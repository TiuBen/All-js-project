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frontend\atc-duty-front-react-js\dist\"/>
    </mc:Choice>
  </mc:AlternateContent>
  <bookViews>
    <workbookView xWindow="0" yWindow="0" windowWidth="16200" windowHeight="17595" tabRatio="954" firstSheet="23" activeTab="24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张虎" sheetId="85" r:id="rId7"/>
    <sheet name="马莲花" sheetId="86" r:id="rId8"/>
    <sheet name="刘国莲" sheetId="87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王风瑞" sheetId="106" r:id="rId27"/>
    <sheet name="金鼎" sheetId="107" r:id="rId28"/>
    <sheet name="董志华" sheetId="108" r:id="rId29"/>
    <sheet name="姜文夫" sheetId="109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陈宏伟" sheetId="118" r:id="rId36"/>
    <sheet name="蒋露裕" sheetId="119" r:id="rId37"/>
    <sheet name="蓝宇航" sheetId="120" r:id="rId38"/>
    <sheet name="程卓" sheetId="121" r:id="rId39"/>
    <sheet name="郑文卓" sheetId="122" r:id="rId40"/>
    <sheet name="宋天霖" sheetId="101" r:id="rId41"/>
    <sheet name="带班席位小时" sheetId="126" r:id="rId42"/>
  </sheets>
  <definedNames>
    <definedName name="_xlnm._FilterDatabase" localSheetId="34" hidden="1">巴富毅!$A$2:$K$42</definedName>
    <definedName name="_xlnm._FilterDatabase" localSheetId="20" hidden="1">边昊!$A$2:$K$42</definedName>
    <definedName name="_xlnm._FilterDatabase" localSheetId="23" hidden="1">蔡昊霖!$A$2:$K$42</definedName>
    <definedName name="_xlnm._FilterDatabase" localSheetId="35" hidden="1">陈宏伟!$A$2:$K$42</definedName>
    <definedName name="_xlnm._FilterDatabase" localSheetId="38" hidden="1">程卓!$A$2:$K$42</definedName>
    <definedName name="_xlnm._FilterDatabase" localSheetId="17" hidden="1">邓心豪!$A$2:$K$42</definedName>
    <definedName name="_xlnm._FilterDatabase" localSheetId="28" hidden="1">董志华!$A$2:$K$42</definedName>
    <definedName name="_xlnm._FilterDatabase" localSheetId="9" hidden="1">杜涛!$A$2:$K$42</definedName>
    <definedName name="_xlnm._FilterDatabase" localSheetId="4" hidden="1">耿若岩!$A$2:$K$42</definedName>
    <definedName name="_xlnm._FilterDatabase" localSheetId="30" hidden="1">郭永杰!$A$2:$K$42</definedName>
    <definedName name="_xlnm._FilterDatabase" localSheetId="16" hidden="1">胡鑫!$A$2:$K$42</definedName>
    <definedName name="_xlnm._FilterDatabase" localSheetId="18" hidden="1">黄恩!$A$2:$K$42</definedName>
    <definedName name="_xlnm._FilterDatabase" localSheetId="29" hidden="1">姜文夫!$A$2:$K$42</definedName>
    <definedName name="_xlnm._FilterDatabase" localSheetId="36" hidden="1">蒋露裕!$A$2:$K$42</definedName>
    <definedName name="_xlnm._FilterDatabase" localSheetId="27" hidden="1">金鼎!$A$2:$K$42</definedName>
    <definedName name="_xlnm._FilterDatabase" localSheetId="37" hidden="1">蓝宇航!$A$2:$K$42</definedName>
    <definedName name="_xlnm._FilterDatabase" localSheetId="5" hidden="1">李明!$A$2:$K$42</definedName>
    <definedName name="_xlnm._FilterDatabase" localSheetId="11" hidden="1">李秋实!$A$2:$K$42</definedName>
    <definedName name="_xlnm._FilterDatabase" localSheetId="8" hidden="1">刘国莲!$A$2:$K$42</definedName>
    <definedName name="_xlnm._FilterDatabase" localSheetId="33" hidden="1">刘琦!$A$2:$K$42</definedName>
    <definedName name="_xlnm._FilterDatabase" localSheetId="7" hidden="1">马莲花!$A$2:$K$42</definedName>
    <definedName name="_xlnm._FilterDatabase" localSheetId="2" hidden="1">明嘉!$A$2:$K$42</definedName>
    <definedName name="_xlnm._FilterDatabase" localSheetId="22" hidden="1">潘伟生!$A$2:$K$42</definedName>
    <definedName name="_xlnm._FilterDatabase" localSheetId="15" hidden="1">沈宁!$A$2:$K$42</definedName>
    <definedName name="_xlnm._FilterDatabase" localSheetId="40" hidden="1">宋天霖!$A$2:$K$42</definedName>
    <definedName name="_xlnm._FilterDatabase" localSheetId="26" hidden="1">王风瑞!$A$2:$K$42</definedName>
    <definedName name="_xlnm._FilterDatabase" localSheetId="25" hidden="1">王建超!$A$2:$K$42</definedName>
    <definedName name="_xlnm._FilterDatabase" localSheetId="1" hidden="1">温若春!$A$2:$K$42</definedName>
    <definedName name="_xlnm._FilterDatabase" localSheetId="31" hidden="1">吴疆!$A$2:$K$42</definedName>
    <definedName name="_xlnm._FilterDatabase" localSheetId="3" hidden="1">徐万友!$A$2:$K$42</definedName>
    <definedName name="_xlnm._FilterDatabase" localSheetId="19" hidden="1">严亮!$A$2:$K$42</definedName>
    <definedName name="_xlnm._FilterDatabase" localSheetId="24" hidden="1">叶大鹏!$A$2:$K$42</definedName>
    <definedName name="_xlnm._FilterDatabase" localSheetId="13" hidden="1">詹泽彬!$A$2:$K$42</definedName>
    <definedName name="_xlnm._FilterDatabase" localSheetId="6" hidden="1">张虎!$A$2:$K$42</definedName>
    <definedName name="_xlnm._FilterDatabase" localSheetId="10" hidden="1">张文中!$A$2:$K$42</definedName>
    <definedName name="_xlnm._FilterDatabase" localSheetId="14" hidden="1">张笑延!$A$2:$K$42</definedName>
    <definedName name="_xlnm._FilterDatabase" localSheetId="21" hidden="1">张宗根!$A$2:$K$42</definedName>
    <definedName name="_xlnm._FilterDatabase" localSheetId="39" hidden="1">郑文卓!$A$2:$K$42</definedName>
    <definedName name="_xlnm._FilterDatabase" localSheetId="12" hidden="1">周岸!$A$2:$K$42</definedName>
    <definedName name="_xlnm._FilterDatabase" localSheetId="32" hidden="1">朱永春!$A$2:$K$42</definedName>
  </definedNames>
  <calcPr calcId="152511"/>
</workbook>
</file>

<file path=xl/calcChain.xml><?xml version="1.0" encoding="utf-8"?>
<calcChain xmlns="http://schemas.openxmlformats.org/spreadsheetml/2006/main">
  <c r="H42" i="101" l="1"/>
  <c r="F42" i="101"/>
  <c r="A42" i="101"/>
  <c r="H41" i="101"/>
  <c r="G41" i="101" s="1"/>
  <c r="F41" i="101"/>
  <c r="A41" i="101"/>
  <c r="H40" i="101"/>
  <c r="F40" i="101"/>
  <c r="A40" i="101"/>
  <c r="H39" i="101"/>
  <c r="F39" i="101"/>
  <c r="G39" i="101" s="1"/>
  <c r="A39" i="101"/>
  <c r="H38" i="101"/>
  <c r="F38" i="101"/>
  <c r="G38" i="101" s="1"/>
  <c r="A38" i="101"/>
  <c r="H37" i="101"/>
  <c r="F37" i="101"/>
  <c r="A37" i="101"/>
  <c r="H36" i="101"/>
  <c r="F36" i="101"/>
  <c r="G36" i="101" s="1"/>
  <c r="A36" i="101"/>
  <c r="H35" i="101"/>
  <c r="F35" i="101"/>
  <c r="G35" i="101" s="1"/>
  <c r="A35" i="101"/>
  <c r="H34" i="101"/>
  <c r="F34" i="101"/>
  <c r="G34" i="101" s="1"/>
  <c r="A34" i="101"/>
  <c r="H33" i="101"/>
  <c r="G33" i="101"/>
  <c r="F33" i="101"/>
  <c r="A33" i="101"/>
  <c r="H32" i="101"/>
  <c r="F32" i="101"/>
  <c r="G32" i="101" s="1"/>
  <c r="A32" i="101"/>
  <c r="H31" i="101"/>
  <c r="F31" i="101"/>
  <c r="G31" i="101" s="1"/>
  <c r="A31" i="101"/>
  <c r="H30" i="101"/>
  <c r="F30" i="101"/>
  <c r="G30" i="101" s="1"/>
  <c r="A30" i="101"/>
  <c r="H29" i="101"/>
  <c r="F29" i="101"/>
  <c r="A29" i="101"/>
  <c r="H28" i="101"/>
  <c r="F28" i="101"/>
  <c r="G28" i="101" s="1"/>
  <c r="A28" i="101"/>
  <c r="H27" i="101"/>
  <c r="F27" i="101"/>
  <c r="G27" i="101" s="1"/>
  <c r="A27" i="101"/>
  <c r="H26" i="101"/>
  <c r="F26" i="101"/>
  <c r="G26" i="101" s="1"/>
  <c r="A26" i="101"/>
  <c r="H25" i="101"/>
  <c r="F25" i="101"/>
  <c r="G25" i="101" s="1"/>
  <c r="A25" i="101"/>
  <c r="H24" i="101"/>
  <c r="F24" i="101"/>
  <c r="A24" i="101"/>
  <c r="H23" i="101"/>
  <c r="F23" i="101"/>
  <c r="A23" i="101"/>
  <c r="H22" i="101"/>
  <c r="F22" i="101"/>
  <c r="G22" i="101" s="1"/>
  <c r="A22" i="101"/>
  <c r="H21" i="101"/>
  <c r="G21" i="101" s="1"/>
  <c r="F21" i="101"/>
  <c r="A21" i="101"/>
  <c r="H20" i="101"/>
  <c r="F20" i="101"/>
  <c r="G20" i="101" s="1"/>
  <c r="A20" i="101"/>
  <c r="J19" i="101"/>
  <c r="H19" i="101"/>
  <c r="F19" i="101"/>
  <c r="G19" i="101" s="1"/>
  <c r="A19" i="101"/>
  <c r="J18" i="101"/>
  <c r="H18" i="101"/>
  <c r="F18" i="101"/>
  <c r="A18" i="101"/>
  <c r="H17" i="101"/>
  <c r="F17" i="101"/>
  <c r="G17" i="101" s="1"/>
  <c r="A17" i="101"/>
  <c r="H16" i="101"/>
  <c r="F16" i="101"/>
  <c r="G16" i="101" s="1"/>
  <c r="A16" i="101"/>
  <c r="H15" i="101"/>
  <c r="F15" i="101"/>
  <c r="A15" i="101"/>
  <c r="H14" i="101"/>
  <c r="F14" i="101"/>
  <c r="A14" i="101"/>
  <c r="H13" i="101"/>
  <c r="F13" i="101"/>
  <c r="G13" i="101" s="1"/>
  <c r="A13" i="101"/>
  <c r="L12" i="101"/>
  <c r="L19" i="101" s="1"/>
  <c r="G26" i="123" s="1"/>
  <c r="K12" i="101"/>
  <c r="K19" i="101" s="1"/>
  <c r="J12" i="101"/>
  <c r="H12" i="101"/>
  <c r="F12" i="101"/>
  <c r="G12" i="101" s="1"/>
  <c r="A12" i="101"/>
  <c r="L11" i="101"/>
  <c r="L18" i="101" s="1"/>
  <c r="K11" i="101"/>
  <c r="K18" i="101" s="1"/>
  <c r="J11" i="101"/>
  <c r="H11" i="101"/>
  <c r="F11" i="101"/>
  <c r="A11" i="101"/>
  <c r="L10" i="101"/>
  <c r="K10" i="101"/>
  <c r="J10" i="101"/>
  <c r="H10" i="101"/>
  <c r="F10" i="101"/>
  <c r="G10" i="101" s="1"/>
  <c r="A10" i="101"/>
  <c r="L9" i="101"/>
  <c r="K9" i="101"/>
  <c r="J9" i="101"/>
  <c r="H9" i="101"/>
  <c r="F9" i="101"/>
  <c r="A9" i="101"/>
  <c r="L8" i="101"/>
  <c r="L21" i="101" s="1"/>
  <c r="K8" i="101"/>
  <c r="J8" i="101"/>
  <c r="H8" i="101"/>
  <c r="F8" i="101"/>
  <c r="G8" i="101" s="1"/>
  <c r="A8" i="101"/>
  <c r="L7" i="101"/>
  <c r="K7" i="101"/>
  <c r="J7" i="101"/>
  <c r="H7" i="101"/>
  <c r="F7" i="101"/>
  <c r="G7" i="101" s="1"/>
  <c r="A7" i="101"/>
  <c r="L6" i="101"/>
  <c r="K6" i="101"/>
  <c r="J6" i="101"/>
  <c r="H6" i="101"/>
  <c r="G6" i="101"/>
  <c r="F6" i="101"/>
  <c r="A6" i="101"/>
  <c r="L5" i="101"/>
  <c r="K5" i="101"/>
  <c r="J5" i="101"/>
  <c r="H5" i="101"/>
  <c r="F5" i="101"/>
  <c r="G5" i="101" s="1"/>
  <c r="A5" i="101"/>
  <c r="L4" i="101"/>
  <c r="K4" i="101"/>
  <c r="K17" i="101" s="1"/>
  <c r="C26" i="123" s="1"/>
  <c r="J4" i="101"/>
  <c r="J17" i="101" s="1"/>
  <c r="H4" i="101"/>
  <c r="F4" i="101"/>
  <c r="G4" i="101" s="1"/>
  <c r="A4" i="101"/>
  <c r="L3" i="101"/>
  <c r="L16" i="101" s="1"/>
  <c r="K3" i="101"/>
  <c r="K16" i="101" s="1"/>
  <c r="J3" i="101"/>
  <c r="J16" i="101" s="1"/>
  <c r="H3" i="101"/>
  <c r="F3" i="101"/>
  <c r="A3" i="101"/>
  <c r="H42" i="122"/>
  <c r="F42" i="122"/>
  <c r="G42" i="122" s="1"/>
  <c r="A42" i="122"/>
  <c r="H41" i="122"/>
  <c r="F41" i="122"/>
  <c r="G41" i="122" s="1"/>
  <c r="A41" i="122"/>
  <c r="H40" i="122"/>
  <c r="F40" i="122"/>
  <c r="G40" i="122" s="1"/>
  <c r="A40" i="122"/>
  <c r="H39" i="122"/>
  <c r="F39" i="122"/>
  <c r="A39" i="122"/>
  <c r="H38" i="122"/>
  <c r="F38" i="122"/>
  <c r="A38" i="122"/>
  <c r="H37" i="122"/>
  <c r="F37" i="122"/>
  <c r="G37" i="122" s="1"/>
  <c r="A37" i="122"/>
  <c r="H36" i="122"/>
  <c r="F36" i="122"/>
  <c r="A36" i="122"/>
  <c r="H35" i="122"/>
  <c r="F35" i="122"/>
  <c r="A35" i="122"/>
  <c r="H34" i="122"/>
  <c r="F34" i="122"/>
  <c r="G34" i="122" s="1"/>
  <c r="A34" i="122"/>
  <c r="H33" i="122"/>
  <c r="F33" i="122"/>
  <c r="G33" i="122" s="1"/>
  <c r="A33" i="122"/>
  <c r="H32" i="122"/>
  <c r="F32" i="122"/>
  <c r="G32" i="122" s="1"/>
  <c r="A32" i="122"/>
  <c r="H31" i="122"/>
  <c r="F31" i="122"/>
  <c r="G31" i="122" s="1"/>
  <c r="A31" i="122"/>
  <c r="H30" i="122"/>
  <c r="F30" i="122"/>
  <c r="A30" i="122"/>
  <c r="H29" i="122"/>
  <c r="F29" i="122"/>
  <c r="G29" i="122" s="1"/>
  <c r="A29" i="122"/>
  <c r="H28" i="122"/>
  <c r="F28" i="122"/>
  <c r="A28" i="122"/>
  <c r="H27" i="122"/>
  <c r="F27" i="122"/>
  <c r="G27" i="122" s="1"/>
  <c r="H26" i="122"/>
  <c r="F26" i="122"/>
  <c r="G26" i="122" s="1"/>
  <c r="H25" i="122"/>
  <c r="F25" i="122"/>
  <c r="H24" i="122"/>
  <c r="G24" i="122"/>
  <c r="F24" i="122"/>
  <c r="H23" i="122"/>
  <c r="F23" i="122"/>
  <c r="G23" i="122" s="1"/>
  <c r="H22" i="122"/>
  <c r="F22" i="122"/>
  <c r="G22" i="122" s="1"/>
  <c r="H21" i="122"/>
  <c r="L7" i="122" s="1"/>
  <c r="F21" i="122"/>
  <c r="J7" i="122" s="1"/>
  <c r="H20" i="122"/>
  <c r="F20" i="122"/>
  <c r="G20" i="122" s="1"/>
  <c r="H19" i="122"/>
  <c r="F19" i="122"/>
  <c r="H18" i="122"/>
  <c r="G18" i="122"/>
  <c r="F18" i="122"/>
  <c r="H17" i="122"/>
  <c r="G17" i="122"/>
  <c r="F17" i="122"/>
  <c r="H16" i="122"/>
  <c r="F16" i="122"/>
  <c r="G16" i="122" s="1"/>
  <c r="H15" i="122"/>
  <c r="F15" i="122"/>
  <c r="G15" i="122" s="1"/>
  <c r="H14" i="122"/>
  <c r="F14" i="122"/>
  <c r="G14" i="122" s="1"/>
  <c r="H13" i="122"/>
  <c r="F13" i="122"/>
  <c r="L12" i="122"/>
  <c r="L19" i="122" s="1"/>
  <c r="K12" i="122"/>
  <c r="K19" i="122" s="1"/>
  <c r="J12" i="122"/>
  <c r="J19" i="122" s="1"/>
  <c r="H12" i="122"/>
  <c r="F12" i="122"/>
  <c r="G12" i="122" s="1"/>
  <c r="L11" i="122"/>
  <c r="L18" i="122" s="1"/>
  <c r="K11" i="122"/>
  <c r="K18" i="122" s="1"/>
  <c r="J11" i="122"/>
  <c r="J18" i="122" s="1"/>
  <c r="H11" i="122"/>
  <c r="F11" i="122"/>
  <c r="G11" i="122" s="1"/>
  <c r="L10" i="122"/>
  <c r="K10" i="122"/>
  <c r="J10" i="122"/>
  <c r="H10" i="122"/>
  <c r="F10" i="122"/>
  <c r="H9" i="122"/>
  <c r="F9" i="122"/>
  <c r="G9" i="122" s="1"/>
  <c r="L8" i="122"/>
  <c r="K8" i="122"/>
  <c r="J8" i="122"/>
  <c r="H8" i="122"/>
  <c r="F8" i="122"/>
  <c r="H7" i="122"/>
  <c r="F7" i="122"/>
  <c r="L6" i="122"/>
  <c r="K6" i="122"/>
  <c r="J6" i="122"/>
  <c r="H6" i="122"/>
  <c r="F6" i="122"/>
  <c r="G6" i="122" s="1"/>
  <c r="H5" i="122"/>
  <c r="F5" i="122"/>
  <c r="G5" i="122" s="1"/>
  <c r="H4" i="122"/>
  <c r="F4" i="122"/>
  <c r="L3" i="122"/>
  <c r="L16" i="122" s="1"/>
  <c r="K3" i="122"/>
  <c r="K16" i="122" s="1"/>
  <c r="J3" i="122"/>
  <c r="J16" i="122" s="1"/>
  <c r="H3" i="122"/>
  <c r="F3" i="122"/>
  <c r="J9" i="122" s="1"/>
  <c r="J21" i="122" s="1"/>
  <c r="H42" i="121"/>
  <c r="F42" i="121"/>
  <c r="A42" i="121"/>
  <c r="H41" i="121"/>
  <c r="F41" i="121"/>
  <c r="G41" i="121" s="1"/>
  <c r="A41" i="121"/>
  <c r="H40" i="121"/>
  <c r="F40" i="121"/>
  <c r="G40" i="121" s="1"/>
  <c r="A40" i="121"/>
  <c r="H39" i="121"/>
  <c r="F39" i="121"/>
  <c r="A39" i="121"/>
  <c r="H38" i="121"/>
  <c r="F38" i="121"/>
  <c r="A38" i="121"/>
  <c r="H37" i="121"/>
  <c r="G37" i="121"/>
  <c r="F37" i="121"/>
  <c r="A37" i="121"/>
  <c r="H36" i="121"/>
  <c r="G36" i="121"/>
  <c r="F36" i="121"/>
  <c r="A36" i="121"/>
  <c r="H35" i="121"/>
  <c r="F35" i="121"/>
  <c r="G35" i="121" s="1"/>
  <c r="A35" i="121"/>
  <c r="H34" i="121"/>
  <c r="F34" i="121"/>
  <c r="G34" i="121" s="1"/>
  <c r="A34" i="121"/>
  <c r="H33" i="121"/>
  <c r="F33" i="121"/>
  <c r="G33" i="121" s="1"/>
  <c r="A33" i="121"/>
  <c r="H32" i="121"/>
  <c r="F32" i="121"/>
  <c r="A32" i="121"/>
  <c r="H31" i="121"/>
  <c r="F31" i="121"/>
  <c r="G31" i="121" s="1"/>
  <c r="A31" i="121"/>
  <c r="H30" i="121"/>
  <c r="F30" i="121"/>
  <c r="A30" i="121"/>
  <c r="H29" i="121"/>
  <c r="F29" i="121"/>
  <c r="G29" i="121" s="1"/>
  <c r="A29" i="121"/>
  <c r="H28" i="121"/>
  <c r="G28" i="121" s="1"/>
  <c r="F28" i="121"/>
  <c r="A28" i="121"/>
  <c r="H27" i="121"/>
  <c r="G27" i="121" s="1"/>
  <c r="F27" i="121"/>
  <c r="A27" i="121"/>
  <c r="H26" i="121"/>
  <c r="F26" i="121"/>
  <c r="H25" i="121"/>
  <c r="F25" i="121"/>
  <c r="G25" i="121" s="1"/>
  <c r="H24" i="121"/>
  <c r="F24" i="121"/>
  <c r="G24" i="121" s="1"/>
  <c r="H23" i="121"/>
  <c r="F23" i="121"/>
  <c r="J5" i="121" s="1"/>
  <c r="H22" i="121"/>
  <c r="F22" i="121"/>
  <c r="G22" i="121" s="1"/>
  <c r="H21" i="121"/>
  <c r="F21" i="121"/>
  <c r="H20" i="121"/>
  <c r="F20" i="121"/>
  <c r="H19" i="121"/>
  <c r="F19" i="121"/>
  <c r="G19" i="121" s="1"/>
  <c r="H18" i="121"/>
  <c r="F18" i="121"/>
  <c r="G18" i="121" s="1"/>
  <c r="H17" i="121"/>
  <c r="F17" i="121"/>
  <c r="G17" i="121" s="1"/>
  <c r="L16" i="121"/>
  <c r="K16" i="121"/>
  <c r="H16" i="121"/>
  <c r="F16" i="121"/>
  <c r="H15" i="121"/>
  <c r="G15" i="121"/>
  <c r="F15" i="121"/>
  <c r="H14" i="121"/>
  <c r="F14" i="121"/>
  <c r="G14" i="121" s="1"/>
  <c r="H13" i="121"/>
  <c r="F13" i="121"/>
  <c r="L12" i="121"/>
  <c r="L19" i="121" s="1"/>
  <c r="K12" i="121"/>
  <c r="K19" i="121" s="1"/>
  <c r="J12" i="121"/>
  <c r="J19" i="121" s="1"/>
  <c r="H12" i="121"/>
  <c r="F12" i="121"/>
  <c r="G12" i="121" s="1"/>
  <c r="L11" i="121"/>
  <c r="L18" i="121" s="1"/>
  <c r="K11" i="121"/>
  <c r="K18" i="121" s="1"/>
  <c r="J11" i="121"/>
  <c r="J18" i="121" s="1"/>
  <c r="H11" i="121"/>
  <c r="F11" i="121"/>
  <c r="L10" i="121"/>
  <c r="K10" i="121"/>
  <c r="J10" i="121"/>
  <c r="H10" i="121"/>
  <c r="F10" i="121"/>
  <c r="H9" i="121"/>
  <c r="F9" i="121"/>
  <c r="G9" i="121" s="1"/>
  <c r="L8" i="121"/>
  <c r="K8" i="121"/>
  <c r="J8" i="121"/>
  <c r="H8" i="121"/>
  <c r="G8" i="121"/>
  <c r="F8" i="121"/>
  <c r="L7" i="121"/>
  <c r="K7" i="121"/>
  <c r="J7" i="121"/>
  <c r="H7" i="121"/>
  <c r="L6" i="121" s="1"/>
  <c r="F7" i="121"/>
  <c r="J6" i="121"/>
  <c r="H6" i="121"/>
  <c r="F6" i="121"/>
  <c r="H5" i="121"/>
  <c r="F5" i="121"/>
  <c r="G5" i="121" s="1"/>
  <c r="H4" i="121"/>
  <c r="F4" i="121"/>
  <c r="G4" i="121" s="1"/>
  <c r="L3" i="121"/>
  <c r="K3" i="121"/>
  <c r="J3" i="121"/>
  <c r="J16" i="121" s="1"/>
  <c r="H3" i="121"/>
  <c r="F3" i="121"/>
  <c r="J4" i="121" s="1"/>
  <c r="H42" i="120"/>
  <c r="F42" i="120"/>
  <c r="G42" i="120" s="1"/>
  <c r="A42" i="120"/>
  <c r="H41" i="120"/>
  <c r="F41" i="120"/>
  <c r="G41" i="120" s="1"/>
  <c r="A41" i="120"/>
  <c r="H40" i="120"/>
  <c r="F40" i="120"/>
  <c r="G40" i="120" s="1"/>
  <c r="A40" i="120"/>
  <c r="H39" i="120"/>
  <c r="F39" i="120"/>
  <c r="G39" i="120" s="1"/>
  <c r="A39" i="120"/>
  <c r="H38" i="120"/>
  <c r="F38" i="120"/>
  <c r="A38" i="120"/>
  <c r="H37" i="120"/>
  <c r="F37" i="120"/>
  <c r="G37" i="120" s="1"/>
  <c r="A37" i="120"/>
  <c r="H36" i="120"/>
  <c r="F36" i="120"/>
  <c r="A36" i="120"/>
  <c r="H35" i="120"/>
  <c r="F35" i="120"/>
  <c r="G35" i="120" s="1"/>
  <c r="A35" i="120"/>
  <c r="H34" i="120"/>
  <c r="F34" i="120"/>
  <c r="A34" i="120"/>
  <c r="H33" i="120"/>
  <c r="F33" i="120"/>
  <c r="A33" i="120"/>
  <c r="H32" i="120"/>
  <c r="F32" i="120"/>
  <c r="G32" i="120" s="1"/>
  <c r="A32" i="120"/>
  <c r="H31" i="120"/>
  <c r="F31" i="120"/>
  <c r="G31" i="120" s="1"/>
  <c r="A31" i="120"/>
  <c r="H30" i="120"/>
  <c r="F30" i="120"/>
  <c r="G30" i="120" s="1"/>
  <c r="A30" i="120"/>
  <c r="H29" i="120"/>
  <c r="F29" i="120"/>
  <c r="G29" i="120" s="1"/>
  <c r="A29" i="120"/>
  <c r="H28" i="120"/>
  <c r="F28" i="120"/>
  <c r="G28" i="120" s="1"/>
  <c r="A28" i="120"/>
  <c r="H27" i="120"/>
  <c r="F27" i="120"/>
  <c r="G27" i="120" s="1"/>
  <c r="A27" i="120"/>
  <c r="H26" i="120"/>
  <c r="F26" i="120"/>
  <c r="G26" i="120" s="1"/>
  <c r="H25" i="120"/>
  <c r="F25" i="120"/>
  <c r="H24" i="120"/>
  <c r="F24" i="120"/>
  <c r="G24" i="120" s="1"/>
  <c r="H23" i="120"/>
  <c r="F23" i="120"/>
  <c r="G23" i="120" s="1"/>
  <c r="H22" i="120"/>
  <c r="F22" i="120"/>
  <c r="G22" i="120" s="1"/>
  <c r="H21" i="120"/>
  <c r="F21" i="120"/>
  <c r="G21" i="120" s="1"/>
  <c r="H20" i="120"/>
  <c r="F20" i="120"/>
  <c r="G20" i="120" s="1"/>
  <c r="K19" i="120"/>
  <c r="D42" i="123" s="1"/>
  <c r="H19" i="120"/>
  <c r="F19" i="120"/>
  <c r="H18" i="120"/>
  <c r="F18" i="120"/>
  <c r="G18" i="120" s="1"/>
  <c r="H17" i="120"/>
  <c r="L7" i="120" s="1"/>
  <c r="F17" i="120"/>
  <c r="J7" i="120" s="1"/>
  <c r="H16" i="120"/>
  <c r="F16" i="120"/>
  <c r="H15" i="120"/>
  <c r="F15" i="120"/>
  <c r="G15" i="120" s="1"/>
  <c r="H14" i="120"/>
  <c r="F14" i="120"/>
  <c r="H13" i="120"/>
  <c r="F13" i="120"/>
  <c r="G13" i="120" s="1"/>
  <c r="L12" i="120"/>
  <c r="L19" i="120" s="1"/>
  <c r="K12" i="120"/>
  <c r="J12" i="120"/>
  <c r="J19" i="120" s="1"/>
  <c r="H12" i="120"/>
  <c r="F12" i="120"/>
  <c r="J6" i="120" s="1"/>
  <c r="L11" i="120"/>
  <c r="L18" i="120" s="1"/>
  <c r="K11" i="120"/>
  <c r="K18" i="120" s="1"/>
  <c r="J11" i="120"/>
  <c r="J18" i="120" s="1"/>
  <c r="H11" i="120"/>
  <c r="F11" i="120"/>
  <c r="L10" i="120"/>
  <c r="K10" i="120"/>
  <c r="J10" i="120"/>
  <c r="H10" i="120"/>
  <c r="G10" i="120"/>
  <c r="F10" i="120"/>
  <c r="L9" i="120"/>
  <c r="K9" i="120"/>
  <c r="J9" i="120"/>
  <c r="H9" i="120"/>
  <c r="F9" i="120"/>
  <c r="G9" i="120" s="1"/>
  <c r="L8" i="120"/>
  <c r="L21" i="120" s="1"/>
  <c r="K8" i="120"/>
  <c r="J8" i="120"/>
  <c r="H8" i="120"/>
  <c r="F8" i="120"/>
  <c r="G8" i="120" s="1"/>
  <c r="H7" i="120"/>
  <c r="F7" i="120"/>
  <c r="G7" i="120" s="1"/>
  <c r="L6" i="120"/>
  <c r="H6" i="120"/>
  <c r="F6" i="120"/>
  <c r="G6" i="120" s="1"/>
  <c r="H5" i="120"/>
  <c r="F5" i="120"/>
  <c r="G5" i="120" s="1"/>
  <c r="H4" i="120"/>
  <c r="F4" i="120"/>
  <c r="L3" i="120"/>
  <c r="L16" i="120" s="1"/>
  <c r="K3" i="120"/>
  <c r="K16" i="120" s="1"/>
  <c r="J3" i="120"/>
  <c r="J16" i="120" s="1"/>
  <c r="H3" i="120"/>
  <c r="F3" i="120"/>
  <c r="G3" i="120" s="1"/>
  <c r="H42" i="119"/>
  <c r="F42" i="119"/>
  <c r="A42" i="119"/>
  <c r="H41" i="119"/>
  <c r="F41" i="119"/>
  <c r="G41" i="119" s="1"/>
  <c r="A41" i="119"/>
  <c r="H40" i="119"/>
  <c r="F40" i="119"/>
  <c r="G40" i="119" s="1"/>
  <c r="A40" i="119"/>
  <c r="H39" i="119"/>
  <c r="F39" i="119"/>
  <c r="G39" i="119" s="1"/>
  <c r="A39" i="119"/>
  <c r="H38" i="119"/>
  <c r="F38" i="119"/>
  <c r="G38" i="119" s="1"/>
  <c r="A38" i="119"/>
  <c r="H37" i="119"/>
  <c r="F37" i="119"/>
  <c r="G37" i="119" s="1"/>
  <c r="A37" i="119"/>
  <c r="H36" i="119"/>
  <c r="F36" i="119"/>
  <c r="A36" i="119"/>
  <c r="H35" i="119"/>
  <c r="F35" i="119"/>
  <c r="A35" i="119"/>
  <c r="H34" i="119"/>
  <c r="F34" i="119"/>
  <c r="G34" i="119" s="1"/>
  <c r="A34" i="119"/>
  <c r="H33" i="119"/>
  <c r="F33" i="119"/>
  <c r="G33" i="119" s="1"/>
  <c r="A33" i="119"/>
  <c r="H32" i="119"/>
  <c r="F32" i="119"/>
  <c r="G32" i="119" s="1"/>
  <c r="A32" i="119"/>
  <c r="H31" i="119"/>
  <c r="F31" i="119"/>
  <c r="A31" i="119"/>
  <c r="H30" i="119"/>
  <c r="F30" i="119"/>
  <c r="G30" i="119" s="1"/>
  <c r="A30" i="119"/>
  <c r="H29" i="119"/>
  <c r="F29" i="119"/>
  <c r="H28" i="119"/>
  <c r="F28" i="119"/>
  <c r="G28" i="119" s="1"/>
  <c r="H27" i="119"/>
  <c r="F27" i="119"/>
  <c r="H26" i="119"/>
  <c r="F26" i="119"/>
  <c r="G26" i="119" s="1"/>
  <c r="H25" i="119"/>
  <c r="F25" i="119"/>
  <c r="G25" i="119" s="1"/>
  <c r="H24" i="119"/>
  <c r="F24" i="119"/>
  <c r="H23" i="119"/>
  <c r="F23" i="119"/>
  <c r="G23" i="119" s="1"/>
  <c r="H22" i="119"/>
  <c r="F22" i="119"/>
  <c r="H21" i="119"/>
  <c r="F21" i="119"/>
  <c r="G21" i="119" s="1"/>
  <c r="H20" i="119"/>
  <c r="G20" i="119"/>
  <c r="F20" i="119"/>
  <c r="L19" i="119"/>
  <c r="K19" i="119"/>
  <c r="H19" i="119"/>
  <c r="F19" i="119"/>
  <c r="H18" i="119"/>
  <c r="F18" i="119"/>
  <c r="G18" i="119" s="1"/>
  <c r="H17" i="119"/>
  <c r="F17" i="119"/>
  <c r="G17" i="119" s="1"/>
  <c r="L16" i="119"/>
  <c r="E41" i="123" s="1"/>
  <c r="J16" i="119"/>
  <c r="H16" i="119"/>
  <c r="F16" i="119"/>
  <c r="G16" i="119" s="1"/>
  <c r="H15" i="119"/>
  <c r="F15" i="119"/>
  <c r="H14" i="119"/>
  <c r="F14" i="119"/>
  <c r="G14" i="119" s="1"/>
  <c r="K6" i="119" s="1"/>
  <c r="H13" i="119"/>
  <c r="G13" i="119"/>
  <c r="F13" i="119"/>
  <c r="L12" i="119"/>
  <c r="K12" i="119"/>
  <c r="J12" i="119"/>
  <c r="J19" i="119" s="1"/>
  <c r="H12" i="119"/>
  <c r="F12" i="119"/>
  <c r="G12" i="119" s="1"/>
  <c r="L11" i="119"/>
  <c r="L18" i="119" s="1"/>
  <c r="K11" i="119"/>
  <c r="K18" i="119" s="1"/>
  <c r="J11" i="119"/>
  <c r="J18" i="119" s="1"/>
  <c r="H11" i="119"/>
  <c r="F11" i="119"/>
  <c r="L10" i="119"/>
  <c r="K10" i="119"/>
  <c r="J10" i="119"/>
  <c r="H10" i="119"/>
  <c r="F10" i="119"/>
  <c r="G10" i="119" s="1"/>
  <c r="H9" i="119"/>
  <c r="F9" i="119"/>
  <c r="G9" i="119" s="1"/>
  <c r="L8" i="119"/>
  <c r="K8" i="119"/>
  <c r="J8" i="119"/>
  <c r="H8" i="119"/>
  <c r="F8" i="119"/>
  <c r="G8" i="119" s="1"/>
  <c r="L7" i="119"/>
  <c r="K7" i="119"/>
  <c r="J7" i="119"/>
  <c r="H7" i="119"/>
  <c r="F7" i="119"/>
  <c r="G7" i="119" s="1"/>
  <c r="L6" i="119"/>
  <c r="J6" i="119"/>
  <c r="H6" i="119"/>
  <c r="F6" i="119"/>
  <c r="H5" i="119"/>
  <c r="F5" i="119"/>
  <c r="H4" i="119"/>
  <c r="F4" i="119"/>
  <c r="G4" i="119" s="1"/>
  <c r="L3" i="119"/>
  <c r="K3" i="119"/>
  <c r="K16" i="119" s="1"/>
  <c r="J3" i="119"/>
  <c r="H3" i="119"/>
  <c r="F3" i="119"/>
  <c r="G3" i="119" s="1"/>
  <c r="H42" i="118"/>
  <c r="F42" i="118"/>
  <c r="G42" i="118" s="1"/>
  <c r="A42" i="118"/>
  <c r="H41" i="118"/>
  <c r="F41" i="118"/>
  <c r="A41" i="118"/>
  <c r="H40" i="118"/>
  <c r="F40" i="118"/>
  <c r="A40" i="118"/>
  <c r="H39" i="118"/>
  <c r="F39" i="118"/>
  <c r="G39" i="118" s="1"/>
  <c r="A39" i="118"/>
  <c r="H38" i="118"/>
  <c r="F38" i="118"/>
  <c r="G38" i="118" s="1"/>
  <c r="A38" i="118"/>
  <c r="H37" i="118"/>
  <c r="F37" i="118"/>
  <c r="A37" i="118"/>
  <c r="H36" i="118"/>
  <c r="F36" i="118"/>
  <c r="G36" i="118" s="1"/>
  <c r="A36" i="118"/>
  <c r="H35" i="118"/>
  <c r="F35" i="118"/>
  <c r="G35" i="118" s="1"/>
  <c r="A35" i="118"/>
  <c r="H34" i="118"/>
  <c r="F34" i="118"/>
  <c r="G34" i="118" s="1"/>
  <c r="A34" i="118"/>
  <c r="H33" i="118"/>
  <c r="F33" i="118"/>
  <c r="A33" i="118"/>
  <c r="H32" i="118"/>
  <c r="G32" i="118" s="1"/>
  <c r="F32" i="118"/>
  <c r="A32" i="118"/>
  <c r="H31" i="118"/>
  <c r="F31" i="118"/>
  <c r="G31" i="118" s="1"/>
  <c r="A31" i="118"/>
  <c r="H30" i="118"/>
  <c r="F30" i="118"/>
  <c r="A30" i="118"/>
  <c r="H29" i="118"/>
  <c r="F29" i="118"/>
  <c r="G29" i="118" s="1"/>
  <c r="A29" i="118"/>
  <c r="H28" i="118"/>
  <c r="G28" i="118"/>
  <c r="F28" i="118"/>
  <c r="H27" i="118"/>
  <c r="F27" i="118"/>
  <c r="G27" i="118" s="1"/>
  <c r="H26" i="118"/>
  <c r="F26" i="118"/>
  <c r="G26" i="118" s="1"/>
  <c r="H25" i="118"/>
  <c r="F25" i="118"/>
  <c r="G25" i="118" s="1"/>
  <c r="H24" i="118"/>
  <c r="F24" i="118"/>
  <c r="G24" i="118" s="1"/>
  <c r="H23" i="118"/>
  <c r="G23" i="118"/>
  <c r="F23" i="118"/>
  <c r="H22" i="118"/>
  <c r="F22" i="118"/>
  <c r="H21" i="118"/>
  <c r="F21" i="118"/>
  <c r="H20" i="118"/>
  <c r="F20" i="118"/>
  <c r="H19" i="118"/>
  <c r="L6" i="118" s="1"/>
  <c r="F19" i="118"/>
  <c r="J6" i="118" s="1"/>
  <c r="L18" i="118"/>
  <c r="K18" i="118"/>
  <c r="H18" i="118"/>
  <c r="F18" i="118"/>
  <c r="G18" i="118" s="1"/>
  <c r="H17" i="118"/>
  <c r="F17" i="118"/>
  <c r="G17" i="118" s="1"/>
  <c r="H16" i="118"/>
  <c r="F16" i="118"/>
  <c r="G16" i="118" s="1"/>
  <c r="H15" i="118"/>
  <c r="F15" i="118"/>
  <c r="G15" i="118" s="1"/>
  <c r="H14" i="118"/>
  <c r="F14" i="118"/>
  <c r="G14" i="118" s="1"/>
  <c r="H13" i="118"/>
  <c r="F13" i="118"/>
  <c r="G13" i="118" s="1"/>
  <c r="L12" i="118"/>
  <c r="L19" i="118" s="1"/>
  <c r="G40" i="123" s="1"/>
  <c r="K12" i="118"/>
  <c r="K19" i="118" s="1"/>
  <c r="D40" i="123" s="1"/>
  <c r="J12" i="118"/>
  <c r="J19" i="118" s="1"/>
  <c r="H12" i="118"/>
  <c r="F12" i="118"/>
  <c r="L11" i="118"/>
  <c r="K11" i="118"/>
  <c r="J11" i="118"/>
  <c r="J18" i="118" s="1"/>
  <c r="H11" i="118"/>
  <c r="F11" i="118"/>
  <c r="L10" i="118"/>
  <c r="K10" i="118"/>
  <c r="J10" i="118"/>
  <c r="H10" i="118"/>
  <c r="G10" i="118" s="1"/>
  <c r="F10" i="118"/>
  <c r="H9" i="118"/>
  <c r="F9" i="118"/>
  <c r="G9" i="118" s="1"/>
  <c r="L8" i="118"/>
  <c r="K8" i="118"/>
  <c r="J8" i="118"/>
  <c r="H8" i="118"/>
  <c r="F8" i="118"/>
  <c r="L7" i="118"/>
  <c r="K7" i="118"/>
  <c r="J7" i="118"/>
  <c r="H7" i="118"/>
  <c r="F7" i="118"/>
  <c r="G7" i="118" s="1"/>
  <c r="H6" i="118"/>
  <c r="F6" i="118"/>
  <c r="G6" i="118" s="1"/>
  <c r="H5" i="118"/>
  <c r="F5" i="118"/>
  <c r="G5" i="118" s="1"/>
  <c r="H4" i="118"/>
  <c r="F4" i="118"/>
  <c r="G4" i="118" s="1"/>
  <c r="L3" i="118"/>
  <c r="L16" i="118" s="1"/>
  <c r="E40" i="123" s="1"/>
  <c r="K3" i="118"/>
  <c r="K16" i="118" s="1"/>
  <c r="J3" i="118"/>
  <c r="J16" i="118" s="1"/>
  <c r="H3" i="118"/>
  <c r="G3" i="118"/>
  <c r="F3" i="118"/>
  <c r="H42" i="114"/>
  <c r="F42" i="114"/>
  <c r="A42" i="114"/>
  <c r="H41" i="114"/>
  <c r="F41" i="114"/>
  <c r="G41" i="114" s="1"/>
  <c r="A41" i="114"/>
  <c r="H40" i="114"/>
  <c r="G40" i="114" s="1"/>
  <c r="F40" i="114"/>
  <c r="A40" i="114"/>
  <c r="H39" i="114"/>
  <c r="F39" i="114"/>
  <c r="G39" i="114" s="1"/>
  <c r="A39" i="114"/>
  <c r="H38" i="114"/>
  <c r="F38" i="114"/>
  <c r="G38" i="114" s="1"/>
  <c r="A38" i="114"/>
  <c r="H37" i="114"/>
  <c r="F37" i="114"/>
  <c r="G37" i="114" s="1"/>
  <c r="A37" i="114"/>
  <c r="H36" i="114"/>
  <c r="F36" i="114"/>
  <c r="A36" i="114"/>
  <c r="H35" i="114"/>
  <c r="F35" i="114"/>
  <c r="G35" i="114" s="1"/>
  <c r="A35" i="114"/>
  <c r="H34" i="114"/>
  <c r="F34" i="114"/>
  <c r="G34" i="114" s="1"/>
  <c r="A34" i="114"/>
  <c r="H33" i="114"/>
  <c r="G33" i="114"/>
  <c r="F33" i="114"/>
  <c r="A33" i="114"/>
  <c r="H32" i="114"/>
  <c r="F32" i="114"/>
  <c r="A32" i="114"/>
  <c r="H31" i="114"/>
  <c r="F31" i="114"/>
  <c r="G31" i="114" s="1"/>
  <c r="A31" i="114"/>
  <c r="H30" i="114"/>
  <c r="F30" i="114"/>
  <c r="G30" i="114" s="1"/>
  <c r="A30" i="114"/>
  <c r="H29" i="114"/>
  <c r="F29" i="114"/>
  <c r="G29" i="114" s="1"/>
  <c r="A29" i="114"/>
  <c r="H28" i="114"/>
  <c r="F28" i="114"/>
  <c r="G28" i="114" s="1"/>
  <c r="A28" i="114"/>
  <c r="H27" i="114"/>
  <c r="F27" i="114"/>
  <c r="A27" i="114"/>
  <c r="H26" i="114"/>
  <c r="F26" i="114"/>
  <c r="G26" i="114" s="1"/>
  <c r="A26" i="114"/>
  <c r="H25" i="114"/>
  <c r="F25" i="114"/>
  <c r="G25" i="114" s="1"/>
  <c r="A25" i="114"/>
  <c r="H24" i="114"/>
  <c r="F24" i="114"/>
  <c r="G24" i="114" s="1"/>
  <c r="A24" i="114"/>
  <c r="H23" i="114"/>
  <c r="F23" i="114"/>
  <c r="G23" i="114" s="1"/>
  <c r="A23" i="114"/>
  <c r="H22" i="114"/>
  <c r="F22" i="114"/>
  <c r="A22" i="114"/>
  <c r="H21" i="114"/>
  <c r="F21" i="114"/>
  <c r="G21" i="114" s="1"/>
  <c r="A21" i="114"/>
  <c r="H20" i="114"/>
  <c r="F20" i="114"/>
  <c r="A20" i="114"/>
  <c r="L19" i="114"/>
  <c r="G39" i="123" s="1"/>
  <c r="K19" i="114"/>
  <c r="D39" i="123" s="1"/>
  <c r="J19" i="114"/>
  <c r="H19" i="114"/>
  <c r="F19" i="114"/>
  <c r="A19" i="114"/>
  <c r="H18" i="114"/>
  <c r="F18" i="114"/>
  <c r="G18" i="114" s="1"/>
  <c r="A18" i="114"/>
  <c r="H17" i="114"/>
  <c r="F17" i="114"/>
  <c r="G17" i="114" s="1"/>
  <c r="A17" i="114"/>
  <c r="L16" i="114"/>
  <c r="E39" i="123" s="1"/>
  <c r="H16" i="114"/>
  <c r="G16" i="114" s="1"/>
  <c r="F16" i="114"/>
  <c r="A16" i="114"/>
  <c r="H15" i="114"/>
  <c r="G15" i="114" s="1"/>
  <c r="F15" i="114"/>
  <c r="H14" i="114"/>
  <c r="F14" i="114"/>
  <c r="H13" i="114"/>
  <c r="F13" i="114"/>
  <c r="L12" i="114"/>
  <c r="K12" i="114"/>
  <c r="J12" i="114"/>
  <c r="H12" i="114"/>
  <c r="F12" i="114"/>
  <c r="G12" i="114" s="1"/>
  <c r="L11" i="114"/>
  <c r="L18" i="114" s="1"/>
  <c r="K11" i="114"/>
  <c r="K18" i="114" s="1"/>
  <c r="J11" i="114"/>
  <c r="J18" i="114" s="1"/>
  <c r="H11" i="114"/>
  <c r="F11" i="114"/>
  <c r="G11" i="114" s="1"/>
  <c r="H10" i="114"/>
  <c r="F10" i="114"/>
  <c r="L9" i="114"/>
  <c r="K9" i="114"/>
  <c r="J9" i="114"/>
  <c r="H9" i="114"/>
  <c r="F9" i="114"/>
  <c r="G9" i="114" s="1"/>
  <c r="L8" i="114"/>
  <c r="L21" i="114" s="1"/>
  <c r="K8" i="114"/>
  <c r="K21" i="114" s="1"/>
  <c r="J8" i="114"/>
  <c r="J21" i="114" s="1"/>
  <c r="I39" i="123" s="1"/>
  <c r="H8" i="114"/>
  <c r="F8" i="114"/>
  <c r="L7" i="114"/>
  <c r="K7" i="114"/>
  <c r="J7" i="114"/>
  <c r="H7" i="114"/>
  <c r="F7" i="114"/>
  <c r="L6" i="114"/>
  <c r="K6" i="114"/>
  <c r="J6" i="114"/>
  <c r="H6" i="114"/>
  <c r="F6" i="114"/>
  <c r="L5" i="114"/>
  <c r="K5" i="114"/>
  <c r="J5" i="114"/>
  <c r="H5" i="114"/>
  <c r="F5" i="114"/>
  <c r="L4" i="114"/>
  <c r="K4" i="114"/>
  <c r="J4" i="114"/>
  <c r="H4" i="114"/>
  <c r="F4" i="114"/>
  <c r="L3" i="114"/>
  <c r="K3" i="114"/>
  <c r="K16" i="114" s="1"/>
  <c r="J3" i="114"/>
  <c r="J16" i="114" s="1"/>
  <c r="H3" i="114"/>
  <c r="F3" i="114"/>
  <c r="G3" i="114" s="1"/>
  <c r="H42" i="112"/>
  <c r="G42" i="112"/>
  <c r="F42" i="112"/>
  <c r="A42" i="112"/>
  <c r="H41" i="112"/>
  <c r="F41" i="112"/>
  <c r="G41" i="112" s="1"/>
  <c r="A41" i="112"/>
  <c r="H40" i="112"/>
  <c r="F40" i="112"/>
  <c r="G40" i="112" s="1"/>
  <c r="A40" i="112"/>
  <c r="H39" i="112"/>
  <c r="G39" i="112"/>
  <c r="F39" i="112"/>
  <c r="A39" i="112"/>
  <c r="H38" i="112"/>
  <c r="F38" i="112"/>
  <c r="G38" i="112" s="1"/>
  <c r="A38" i="112"/>
  <c r="H37" i="112"/>
  <c r="F37" i="112"/>
  <c r="G37" i="112" s="1"/>
  <c r="A37" i="112"/>
  <c r="H36" i="112"/>
  <c r="F36" i="112"/>
  <c r="G36" i="112" s="1"/>
  <c r="A36" i="112"/>
  <c r="H35" i="112"/>
  <c r="F35" i="112"/>
  <c r="G35" i="112" s="1"/>
  <c r="A35" i="112"/>
  <c r="H34" i="112"/>
  <c r="F34" i="112"/>
  <c r="G34" i="112" s="1"/>
  <c r="A34" i="112"/>
  <c r="H33" i="112"/>
  <c r="F33" i="112"/>
  <c r="A33" i="112"/>
  <c r="H32" i="112"/>
  <c r="F32" i="112"/>
  <c r="G32" i="112" s="1"/>
  <c r="A32" i="112"/>
  <c r="H31" i="112"/>
  <c r="F31" i="112"/>
  <c r="G31" i="112" s="1"/>
  <c r="A31" i="112"/>
  <c r="H30" i="112"/>
  <c r="F30" i="112"/>
  <c r="A30" i="112"/>
  <c r="H29" i="112"/>
  <c r="F29" i="112"/>
  <c r="G29" i="112" s="1"/>
  <c r="A29" i="112"/>
  <c r="H28" i="112"/>
  <c r="F28" i="112"/>
  <c r="A28" i="112"/>
  <c r="H27" i="112"/>
  <c r="F27" i="112"/>
  <c r="G27" i="112" s="1"/>
  <c r="A27" i="112"/>
  <c r="H26" i="112"/>
  <c r="F26" i="112"/>
  <c r="G26" i="112" s="1"/>
  <c r="A26" i="112"/>
  <c r="H25" i="112"/>
  <c r="F25" i="112"/>
  <c r="G25" i="112" s="1"/>
  <c r="A25" i="112"/>
  <c r="H24" i="112"/>
  <c r="F24" i="112"/>
  <c r="G24" i="112" s="1"/>
  <c r="A24" i="112"/>
  <c r="H23" i="112"/>
  <c r="F23" i="112"/>
  <c r="G23" i="112" s="1"/>
  <c r="A23" i="112"/>
  <c r="H22" i="112"/>
  <c r="F22" i="112"/>
  <c r="A22" i="112"/>
  <c r="H21" i="112"/>
  <c r="F21" i="112"/>
  <c r="H20" i="112"/>
  <c r="F20" i="112"/>
  <c r="H19" i="112"/>
  <c r="F19" i="112"/>
  <c r="G19" i="112" s="1"/>
  <c r="H18" i="112"/>
  <c r="F18" i="112"/>
  <c r="G18" i="112" s="1"/>
  <c r="H17" i="112"/>
  <c r="F17" i="112"/>
  <c r="H16" i="112"/>
  <c r="F16" i="112"/>
  <c r="G16" i="112" s="1"/>
  <c r="H15" i="112"/>
  <c r="F15" i="112"/>
  <c r="H14" i="112"/>
  <c r="F14" i="112"/>
  <c r="G14" i="112" s="1"/>
  <c r="H13" i="112"/>
  <c r="F13" i="112"/>
  <c r="G13" i="112" s="1"/>
  <c r="L12" i="112"/>
  <c r="L19" i="112" s="1"/>
  <c r="G37" i="123" s="1"/>
  <c r="K12" i="112"/>
  <c r="K19" i="112" s="1"/>
  <c r="J12" i="112"/>
  <c r="J19" i="112" s="1"/>
  <c r="H12" i="112"/>
  <c r="F12" i="112"/>
  <c r="G12" i="112" s="1"/>
  <c r="L11" i="112"/>
  <c r="L18" i="112" s="1"/>
  <c r="K11" i="112"/>
  <c r="K18" i="112" s="1"/>
  <c r="J11" i="112"/>
  <c r="J18" i="112" s="1"/>
  <c r="H11" i="112"/>
  <c r="F11" i="112"/>
  <c r="G11" i="112" s="1"/>
  <c r="H10" i="112"/>
  <c r="F10" i="112"/>
  <c r="G10" i="112" s="1"/>
  <c r="L9" i="112"/>
  <c r="K9" i="112"/>
  <c r="J9" i="112"/>
  <c r="H9" i="112"/>
  <c r="F9" i="112"/>
  <c r="G9" i="112" s="1"/>
  <c r="L8" i="112"/>
  <c r="K8" i="112"/>
  <c r="K21" i="112" s="1"/>
  <c r="J8" i="112"/>
  <c r="H8" i="112"/>
  <c r="F8" i="112"/>
  <c r="L7" i="112"/>
  <c r="K7" i="112"/>
  <c r="J7" i="112"/>
  <c r="H7" i="112"/>
  <c r="F7" i="112"/>
  <c r="G7" i="112" s="1"/>
  <c r="L6" i="112"/>
  <c r="K6" i="112"/>
  <c r="J6" i="112"/>
  <c r="H6" i="112"/>
  <c r="F6" i="112"/>
  <c r="G6" i="112" s="1"/>
  <c r="L5" i="112"/>
  <c r="K5" i="112"/>
  <c r="J5" i="112"/>
  <c r="H5" i="112"/>
  <c r="F5" i="112"/>
  <c r="G5" i="112" s="1"/>
  <c r="L4" i="112"/>
  <c r="K4" i="112"/>
  <c r="J4" i="112"/>
  <c r="H4" i="112"/>
  <c r="F4" i="112"/>
  <c r="G4" i="112" s="1"/>
  <c r="L3" i="112"/>
  <c r="L16" i="112" s="1"/>
  <c r="K3" i="112"/>
  <c r="K16" i="112" s="1"/>
  <c r="J3" i="112"/>
  <c r="J16" i="112" s="1"/>
  <c r="H3" i="112"/>
  <c r="F3" i="112"/>
  <c r="G3" i="112" s="1"/>
  <c r="H42" i="111"/>
  <c r="F42" i="111"/>
  <c r="A42" i="111"/>
  <c r="H41" i="111"/>
  <c r="F41" i="111"/>
  <c r="A41" i="111"/>
  <c r="H40" i="111"/>
  <c r="F40" i="111"/>
  <c r="G40" i="111" s="1"/>
  <c r="A40" i="111"/>
  <c r="H39" i="111"/>
  <c r="G39" i="111"/>
  <c r="F39" i="111"/>
  <c r="A39" i="111"/>
  <c r="H38" i="111"/>
  <c r="F38" i="111"/>
  <c r="G38" i="111" s="1"/>
  <c r="A38" i="111"/>
  <c r="H37" i="111"/>
  <c r="F37" i="111"/>
  <c r="A37" i="111"/>
  <c r="H36" i="111"/>
  <c r="F36" i="111"/>
  <c r="A36" i="111"/>
  <c r="H35" i="111"/>
  <c r="F35" i="111"/>
  <c r="G35" i="111" s="1"/>
  <c r="A35" i="111"/>
  <c r="H34" i="111"/>
  <c r="F34" i="111"/>
  <c r="G34" i="111" s="1"/>
  <c r="H33" i="111"/>
  <c r="F33" i="111"/>
  <c r="H32" i="111"/>
  <c r="L5" i="111" s="1"/>
  <c r="F32" i="111"/>
  <c r="J5" i="111" s="1"/>
  <c r="H31" i="111"/>
  <c r="F31" i="111"/>
  <c r="H30" i="111"/>
  <c r="F30" i="111"/>
  <c r="H29" i="111"/>
  <c r="G29" i="111" s="1"/>
  <c r="F29" i="111"/>
  <c r="H28" i="111"/>
  <c r="F28" i="111"/>
  <c r="G28" i="111" s="1"/>
  <c r="H27" i="111"/>
  <c r="F27" i="111"/>
  <c r="G27" i="111" s="1"/>
  <c r="H26" i="111"/>
  <c r="F26" i="111"/>
  <c r="G26" i="111" s="1"/>
  <c r="H25" i="111"/>
  <c r="F25" i="111"/>
  <c r="H24" i="111"/>
  <c r="F24" i="111"/>
  <c r="J7" i="111" s="1"/>
  <c r="H23" i="111"/>
  <c r="F23" i="111"/>
  <c r="H22" i="111"/>
  <c r="F22" i="111"/>
  <c r="G22" i="111" s="1"/>
  <c r="H21" i="111"/>
  <c r="F21" i="111"/>
  <c r="G21" i="111" s="1"/>
  <c r="H20" i="111"/>
  <c r="F20" i="111"/>
  <c r="G20" i="111" s="1"/>
  <c r="L19" i="111"/>
  <c r="G36" i="123" s="1"/>
  <c r="K19" i="111"/>
  <c r="D36" i="123" s="1"/>
  <c r="H19" i="111"/>
  <c r="F19" i="111"/>
  <c r="G19" i="111" s="1"/>
  <c r="H18" i="111"/>
  <c r="F18" i="111"/>
  <c r="H17" i="111"/>
  <c r="F17" i="111"/>
  <c r="H16" i="111"/>
  <c r="F16" i="111"/>
  <c r="H15" i="111"/>
  <c r="F15" i="111"/>
  <c r="G15" i="111" s="1"/>
  <c r="A15" i="111"/>
  <c r="H14" i="111"/>
  <c r="G14" i="111" s="1"/>
  <c r="F14" i="111"/>
  <c r="H13" i="111"/>
  <c r="F13" i="111"/>
  <c r="G13" i="111" s="1"/>
  <c r="L12" i="111"/>
  <c r="K12" i="111"/>
  <c r="J12" i="111"/>
  <c r="J19" i="111" s="1"/>
  <c r="H12" i="111"/>
  <c r="G12" i="111"/>
  <c r="F12" i="111"/>
  <c r="L11" i="111"/>
  <c r="L18" i="111" s="1"/>
  <c r="K11" i="111"/>
  <c r="K18" i="111" s="1"/>
  <c r="J11" i="111"/>
  <c r="J18" i="111" s="1"/>
  <c r="H11" i="111"/>
  <c r="F11" i="111"/>
  <c r="G11" i="111" s="1"/>
  <c r="H10" i="111"/>
  <c r="F10" i="111"/>
  <c r="J10" i="111" s="1"/>
  <c r="L9" i="111"/>
  <c r="K9" i="111"/>
  <c r="J9" i="111"/>
  <c r="H9" i="111"/>
  <c r="F9" i="111"/>
  <c r="G9" i="111" s="1"/>
  <c r="L8" i="111"/>
  <c r="K8" i="111"/>
  <c r="J8" i="111"/>
  <c r="H8" i="111"/>
  <c r="F8" i="111"/>
  <c r="G8" i="111" s="1"/>
  <c r="H7" i="111"/>
  <c r="G7" i="111"/>
  <c r="F7" i="111"/>
  <c r="L6" i="111"/>
  <c r="K6" i="111"/>
  <c r="J6" i="111"/>
  <c r="H6" i="111"/>
  <c r="F6" i="111"/>
  <c r="H5" i="111"/>
  <c r="F5" i="111"/>
  <c r="G5" i="111" s="1"/>
  <c r="H4" i="111"/>
  <c r="G4" i="111" s="1"/>
  <c r="F4" i="111"/>
  <c r="L3" i="111"/>
  <c r="L16" i="111" s="1"/>
  <c r="E36" i="123" s="1"/>
  <c r="K3" i="111"/>
  <c r="K16" i="111" s="1"/>
  <c r="B36" i="123" s="1"/>
  <c r="J3" i="111"/>
  <c r="J16" i="111" s="1"/>
  <c r="H3" i="111"/>
  <c r="F3" i="111"/>
  <c r="G3" i="111" s="1"/>
  <c r="H42" i="113"/>
  <c r="G42" i="113"/>
  <c r="F42" i="113"/>
  <c r="A42" i="113"/>
  <c r="H41" i="113"/>
  <c r="F41" i="113"/>
  <c r="A41" i="113"/>
  <c r="H40" i="113"/>
  <c r="F40" i="113"/>
  <c r="A40" i="113"/>
  <c r="H39" i="113"/>
  <c r="G39" i="113"/>
  <c r="F39" i="113"/>
  <c r="A39" i="113"/>
  <c r="H38" i="113"/>
  <c r="F38" i="113"/>
  <c r="G38" i="113" s="1"/>
  <c r="A38" i="113"/>
  <c r="H37" i="113"/>
  <c r="F37" i="113"/>
  <c r="G37" i="113" s="1"/>
  <c r="A37" i="113"/>
  <c r="H36" i="113"/>
  <c r="F36" i="113"/>
  <c r="G36" i="113" s="1"/>
  <c r="A36" i="113"/>
  <c r="H35" i="113"/>
  <c r="F35" i="113"/>
  <c r="G35" i="113" s="1"/>
  <c r="A35" i="113"/>
  <c r="H34" i="113"/>
  <c r="G34" i="113"/>
  <c r="F34" i="113"/>
  <c r="A34" i="113"/>
  <c r="H33" i="113"/>
  <c r="G33" i="113" s="1"/>
  <c r="F33" i="113"/>
  <c r="A33" i="113"/>
  <c r="H32" i="113"/>
  <c r="G32" i="113" s="1"/>
  <c r="F32" i="113"/>
  <c r="A32" i="113"/>
  <c r="H31" i="113"/>
  <c r="F31" i="113"/>
  <c r="G31" i="113" s="1"/>
  <c r="A31" i="113"/>
  <c r="H30" i="113"/>
  <c r="F30" i="113"/>
  <c r="G30" i="113" s="1"/>
  <c r="A30" i="113"/>
  <c r="H29" i="113"/>
  <c r="F29" i="113"/>
  <c r="G29" i="113" s="1"/>
  <c r="A29" i="113"/>
  <c r="H28" i="113"/>
  <c r="F28" i="113"/>
  <c r="A28" i="113"/>
  <c r="H27" i="113"/>
  <c r="F27" i="113"/>
  <c r="G27" i="113" s="1"/>
  <c r="A27" i="113"/>
  <c r="H26" i="113"/>
  <c r="G26" i="113" s="1"/>
  <c r="F26" i="113"/>
  <c r="A26" i="113"/>
  <c r="H25" i="113"/>
  <c r="F25" i="113"/>
  <c r="G25" i="113" s="1"/>
  <c r="A25" i="113"/>
  <c r="H24" i="113"/>
  <c r="F24" i="113"/>
  <c r="A24" i="113"/>
  <c r="H23" i="113"/>
  <c r="F23" i="113"/>
  <c r="G23" i="113" s="1"/>
  <c r="A23" i="113"/>
  <c r="H22" i="113"/>
  <c r="F22" i="113"/>
  <c r="G22" i="113" s="1"/>
  <c r="A22" i="113"/>
  <c r="H21" i="113"/>
  <c r="F21" i="113"/>
  <c r="G21" i="113" s="1"/>
  <c r="K4" i="113" s="1"/>
  <c r="K17" i="113" s="1"/>
  <c r="C38" i="123" s="1"/>
  <c r="H20" i="113"/>
  <c r="F20" i="113"/>
  <c r="G20" i="113" s="1"/>
  <c r="K19" i="113"/>
  <c r="J19" i="113"/>
  <c r="H19" i="113"/>
  <c r="F19" i="113"/>
  <c r="G19" i="113" s="1"/>
  <c r="L18" i="113"/>
  <c r="H18" i="113"/>
  <c r="F18" i="113"/>
  <c r="G18" i="113" s="1"/>
  <c r="H17" i="113"/>
  <c r="F17" i="113"/>
  <c r="H16" i="113"/>
  <c r="G16" i="113" s="1"/>
  <c r="F16" i="113"/>
  <c r="H15" i="113"/>
  <c r="F15" i="113"/>
  <c r="G15" i="113" s="1"/>
  <c r="H14" i="113"/>
  <c r="F14" i="113"/>
  <c r="H13" i="113"/>
  <c r="G13" i="113" s="1"/>
  <c r="F13" i="113"/>
  <c r="L12" i="113"/>
  <c r="L19" i="113" s="1"/>
  <c r="G38" i="123" s="1"/>
  <c r="K12" i="113"/>
  <c r="J12" i="113"/>
  <c r="H12" i="113"/>
  <c r="F12" i="113"/>
  <c r="G12" i="113" s="1"/>
  <c r="L11" i="113"/>
  <c r="K11" i="113"/>
  <c r="K18" i="113" s="1"/>
  <c r="J11" i="113"/>
  <c r="J18" i="113" s="1"/>
  <c r="H11" i="113"/>
  <c r="F11" i="113"/>
  <c r="G11" i="113" s="1"/>
  <c r="L10" i="113"/>
  <c r="K10" i="113"/>
  <c r="J10" i="113"/>
  <c r="H10" i="113"/>
  <c r="F10" i="113"/>
  <c r="L9" i="113"/>
  <c r="K9" i="113"/>
  <c r="J9" i="113"/>
  <c r="H9" i="113"/>
  <c r="F9" i="113"/>
  <c r="L8" i="113"/>
  <c r="L21" i="113" s="1"/>
  <c r="K8" i="113"/>
  <c r="K21" i="113" s="1"/>
  <c r="J8" i="113"/>
  <c r="H8" i="113"/>
  <c r="F8" i="113"/>
  <c r="L7" i="113"/>
  <c r="K7" i="113"/>
  <c r="J7" i="113"/>
  <c r="H7" i="113"/>
  <c r="F7" i="113"/>
  <c r="G7" i="113" s="1"/>
  <c r="L6" i="113"/>
  <c r="K6" i="113"/>
  <c r="J6" i="113"/>
  <c r="H6" i="113"/>
  <c r="F6" i="113"/>
  <c r="G6" i="113" s="1"/>
  <c r="L5" i="113"/>
  <c r="K5" i="113"/>
  <c r="J5" i="113"/>
  <c r="H5" i="113"/>
  <c r="F5" i="113"/>
  <c r="G5" i="113" s="1"/>
  <c r="L4" i="113"/>
  <c r="H4" i="113"/>
  <c r="F4" i="113"/>
  <c r="G4" i="113" s="1"/>
  <c r="H3" i="113"/>
  <c r="F3" i="113"/>
  <c r="G3" i="113" s="1"/>
  <c r="H42" i="110"/>
  <c r="F42" i="110"/>
  <c r="A42" i="110"/>
  <c r="H41" i="110"/>
  <c r="F41" i="110"/>
  <c r="G41" i="110" s="1"/>
  <c r="A41" i="110"/>
  <c r="H40" i="110"/>
  <c r="F40" i="110"/>
  <c r="G40" i="110" s="1"/>
  <c r="A40" i="110"/>
  <c r="H39" i="110"/>
  <c r="F39" i="110"/>
  <c r="A39" i="110"/>
  <c r="H38" i="110"/>
  <c r="F38" i="110"/>
  <c r="G38" i="110" s="1"/>
  <c r="A38" i="110"/>
  <c r="H37" i="110"/>
  <c r="F37" i="110"/>
  <c r="A37" i="110"/>
  <c r="H36" i="110"/>
  <c r="F36" i="110"/>
  <c r="G36" i="110" s="1"/>
  <c r="A36" i="110"/>
  <c r="H35" i="110"/>
  <c r="F35" i="110"/>
  <c r="G35" i="110" s="1"/>
  <c r="A35" i="110"/>
  <c r="H34" i="110"/>
  <c r="F34" i="110"/>
  <c r="A34" i="110"/>
  <c r="H33" i="110"/>
  <c r="F33" i="110"/>
  <c r="G33" i="110" s="1"/>
  <c r="A33" i="110"/>
  <c r="H32" i="110"/>
  <c r="G32" i="110" s="1"/>
  <c r="F32" i="110"/>
  <c r="H31" i="110"/>
  <c r="F31" i="110"/>
  <c r="G31" i="110" s="1"/>
  <c r="H30" i="110"/>
  <c r="F30" i="110"/>
  <c r="G30" i="110" s="1"/>
  <c r="H29" i="110"/>
  <c r="F29" i="110"/>
  <c r="G29" i="110" s="1"/>
  <c r="H28" i="110"/>
  <c r="F28" i="110"/>
  <c r="G28" i="110" s="1"/>
  <c r="H27" i="110"/>
  <c r="F27" i="110"/>
  <c r="G27" i="110" s="1"/>
  <c r="H26" i="110"/>
  <c r="F26" i="110"/>
  <c r="G26" i="110" s="1"/>
  <c r="H25" i="110"/>
  <c r="F25" i="110"/>
  <c r="H24" i="110"/>
  <c r="F24" i="110"/>
  <c r="G24" i="110" s="1"/>
  <c r="H23" i="110"/>
  <c r="F23" i="110"/>
  <c r="G23" i="110" s="1"/>
  <c r="H22" i="110"/>
  <c r="F22" i="110"/>
  <c r="G22" i="110" s="1"/>
  <c r="H21" i="110"/>
  <c r="F21" i="110"/>
  <c r="H20" i="110"/>
  <c r="F20" i="110"/>
  <c r="H19" i="110"/>
  <c r="F19" i="110"/>
  <c r="H18" i="110"/>
  <c r="F18" i="110"/>
  <c r="H17" i="110"/>
  <c r="F17" i="110"/>
  <c r="G17" i="110" s="1"/>
  <c r="H16" i="110"/>
  <c r="F16" i="110"/>
  <c r="H15" i="110"/>
  <c r="F15" i="110"/>
  <c r="G15" i="110" s="1"/>
  <c r="A15" i="110"/>
  <c r="H14" i="110"/>
  <c r="G14" i="110"/>
  <c r="F14" i="110"/>
  <c r="H13" i="110"/>
  <c r="G13" i="110" s="1"/>
  <c r="F13" i="110"/>
  <c r="L12" i="110"/>
  <c r="L19" i="110" s="1"/>
  <c r="G35" i="123" s="1"/>
  <c r="K12" i="110"/>
  <c r="K19" i="110" s="1"/>
  <c r="D35" i="123" s="1"/>
  <c r="J12" i="110"/>
  <c r="J19" i="110" s="1"/>
  <c r="H12" i="110"/>
  <c r="F12" i="110"/>
  <c r="G12" i="110" s="1"/>
  <c r="L11" i="110"/>
  <c r="L18" i="110" s="1"/>
  <c r="K11" i="110"/>
  <c r="K18" i="110" s="1"/>
  <c r="J11" i="110"/>
  <c r="J18" i="110" s="1"/>
  <c r="H11" i="110"/>
  <c r="F11" i="110"/>
  <c r="G11" i="110" s="1"/>
  <c r="L10" i="110"/>
  <c r="K10" i="110"/>
  <c r="J10" i="110"/>
  <c r="H10" i="110"/>
  <c r="F10" i="110"/>
  <c r="H9" i="110"/>
  <c r="F9" i="110"/>
  <c r="G9" i="110" s="1"/>
  <c r="L8" i="110"/>
  <c r="K8" i="110"/>
  <c r="J8" i="110"/>
  <c r="H8" i="110"/>
  <c r="F8" i="110"/>
  <c r="G8" i="110" s="1"/>
  <c r="L7" i="110"/>
  <c r="K7" i="110"/>
  <c r="J7" i="110"/>
  <c r="H7" i="110"/>
  <c r="F7" i="110"/>
  <c r="L6" i="110"/>
  <c r="K6" i="110"/>
  <c r="J6" i="110"/>
  <c r="H6" i="110"/>
  <c r="F6" i="110"/>
  <c r="G6" i="110" s="1"/>
  <c r="H5" i="110"/>
  <c r="L9" i="110" s="1"/>
  <c r="F5" i="110"/>
  <c r="J9" i="110" s="1"/>
  <c r="H4" i="110"/>
  <c r="F4" i="110"/>
  <c r="H3" i="110"/>
  <c r="L3" i="110" s="1"/>
  <c r="L16" i="110" s="1"/>
  <c r="E35" i="123" s="1"/>
  <c r="F3" i="110"/>
  <c r="H42" i="109"/>
  <c r="F42" i="109"/>
  <c r="A42" i="109"/>
  <c r="H41" i="109"/>
  <c r="F41" i="109"/>
  <c r="G41" i="109" s="1"/>
  <c r="A41" i="109"/>
  <c r="H40" i="109"/>
  <c r="F40" i="109"/>
  <c r="G40" i="109" s="1"/>
  <c r="A40" i="109"/>
  <c r="H39" i="109"/>
  <c r="F39" i="109"/>
  <c r="A39" i="109"/>
  <c r="H38" i="109"/>
  <c r="F38" i="109"/>
  <c r="G38" i="109" s="1"/>
  <c r="A38" i="109"/>
  <c r="H37" i="109"/>
  <c r="F37" i="109"/>
  <c r="A37" i="109"/>
  <c r="H36" i="109"/>
  <c r="F36" i="109"/>
  <c r="G36" i="109" s="1"/>
  <c r="A36" i="109"/>
  <c r="H35" i="109"/>
  <c r="F35" i="109"/>
  <c r="A35" i="109"/>
  <c r="H34" i="109"/>
  <c r="F34" i="109"/>
  <c r="A34" i="109"/>
  <c r="H33" i="109"/>
  <c r="F33" i="109"/>
  <c r="G33" i="109" s="1"/>
  <c r="A33" i="109"/>
  <c r="H32" i="109"/>
  <c r="F32" i="109"/>
  <c r="G32" i="109" s="1"/>
  <c r="A32" i="109"/>
  <c r="H31" i="109"/>
  <c r="F31" i="109"/>
  <c r="G31" i="109" s="1"/>
  <c r="A31" i="109"/>
  <c r="H30" i="109"/>
  <c r="F30" i="109"/>
  <c r="G30" i="109" s="1"/>
  <c r="A30" i="109"/>
  <c r="H29" i="109"/>
  <c r="G29" i="109"/>
  <c r="F29" i="109"/>
  <c r="A29" i="109"/>
  <c r="H28" i="109"/>
  <c r="F28" i="109"/>
  <c r="G28" i="109" s="1"/>
  <c r="A28" i="109"/>
  <c r="H27" i="109"/>
  <c r="F27" i="109"/>
  <c r="G27" i="109" s="1"/>
  <c r="A27" i="109"/>
  <c r="H26" i="109"/>
  <c r="G26" i="109" s="1"/>
  <c r="F26" i="109"/>
  <c r="A26" i="109"/>
  <c r="H25" i="109"/>
  <c r="F25" i="109"/>
  <c r="G25" i="109" s="1"/>
  <c r="A25" i="109"/>
  <c r="H24" i="109"/>
  <c r="F24" i="109"/>
  <c r="G24" i="109" s="1"/>
  <c r="A24" i="109"/>
  <c r="H23" i="109"/>
  <c r="G23" i="109" s="1"/>
  <c r="F23" i="109"/>
  <c r="A23" i="109"/>
  <c r="H22" i="109"/>
  <c r="F22" i="109"/>
  <c r="G22" i="109" s="1"/>
  <c r="A22" i="109"/>
  <c r="J21" i="109"/>
  <c r="H21" i="109"/>
  <c r="F21" i="109"/>
  <c r="G21" i="109" s="1"/>
  <c r="H20" i="109"/>
  <c r="F20" i="109"/>
  <c r="L19" i="109"/>
  <c r="H19" i="109"/>
  <c r="F19" i="109"/>
  <c r="H18" i="109"/>
  <c r="F18" i="109"/>
  <c r="H17" i="109"/>
  <c r="G17" i="109"/>
  <c r="F17" i="109"/>
  <c r="H16" i="109"/>
  <c r="F16" i="109"/>
  <c r="G16" i="109" s="1"/>
  <c r="H15" i="109"/>
  <c r="F15" i="109"/>
  <c r="G15" i="109" s="1"/>
  <c r="H14" i="109"/>
  <c r="F14" i="109"/>
  <c r="H13" i="109"/>
  <c r="F13" i="109"/>
  <c r="G13" i="109" s="1"/>
  <c r="L12" i="109"/>
  <c r="K12" i="109"/>
  <c r="K19" i="109" s="1"/>
  <c r="D34" i="123" s="1"/>
  <c r="J12" i="109"/>
  <c r="J19" i="109" s="1"/>
  <c r="H12" i="109"/>
  <c r="F12" i="109"/>
  <c r="G12" i="109" s="1"/>
  <c r="L11" i="109"/>
  <c r="L18" i="109" s="1"/>
  <c r="K11" i="109"/>
  <c r="K18" i="109" s="1"/>
  <c r="J11" i="109"/>
  <c r="J18" i="109" s="1"/>
  <c r="H11" i="109"/>
  <c r="F11" i="109"/>
  <c r="G11" i="109" s="1"/>
  <c r="L10" i="109"/>
  <c r="K10" i="109"/>
  <c r="J10" i="109"/>
  <c r="H10" i="109"/>
  <c r="F10" i="109"/>
  <c r="G10" i="109" s="1"/>
  <c r="L9" i="109"/>
  <c r="K9" i="109"/>
  <c r="J9" i="109"/>
  <c r="H9" i="109"/>
  <c r="F9" i="109"/>
  <c r="L8" i="109"/>
  <c r="K8" i="109"/>
  <c r="K21" i="109" s="1"/>
  <c r="J8" i="109"/>
  <c r="H8" i="109"/>
  <c r="F8" i="109"/>
  <c r="G8" i="109" s="1"/>
  <c r="L7" i="109"/>
  <c r="K7" i="109"/>
  <c r="J7" i="109"/>
  <c r="H7" i="109"/>
  <c r="F7" i="109"/>
  <c r="G7" i="109" s="1"/>
  <c r="L6" i="109"/>
  <c r="K6" i="109"/>
  <c r="J6" i="109"/>
  <c r="H6" i="109"/>
  <c r="F6" i="109"/>
  <c r="G6" i="109" s="1"/>
  <c r="L5" i="109"/>
  <c r="K5" i="109"/>
  <c r="J5" i="109"/>
  <c r="H5" i="109"/>
  <c r="F5" i="109"/>
  <c r="G5" i="109" s="1"/>
  <c r="L4" i="109"/>
  <c r="L17" i="109" s="1"/>
  <c r="K4" i="109"/>
  <c r="J4" i="109"/>
  <c r="H4" i="109"/>
  <c r="F4" i="109"/>
  <c r="G4" i="109" s="1"/>
  <c r="H3" i="109"/>
  <c r="F3" i="109"/>
  <c r="H42" i="108"/>
  <c r="F42" i="108"/>
  <c r="G42" i="108" s="1"/>
  <c r="A42" i="108"/>
  <c r="H41" i="108"/>
  <c r="F41" i="108"/>
  <c r="A41" i="108"/>
  <c r="H40" i="108"/>
  <c r="F40" i="108"/>
  <c r="A40" i="108"/>
  <c r="H39" i="108"/>
  <c r="F39" i="108"/>
  <c r="G39" i="108" s="1"/>
  <c r="A39" i="108"/>
  <c r="H38" i="108"/>
  <c r="F38" i="108"/>
  <c r="G38" i="108" s="1"/>
  <c r="A38" i="108"/>
  <c r="H37" i="108"/>
  <c r="F37" i="108"/>
  <c r="A37" i="108"/>
  <c r="H36" i="108"/>
  <c r="F36" i="108"/>
  <c r="G36" i="108" s="1"/>
  <c r="A36" i="108"/>
  <c r="H35" i="108"/>
  <c r="F35" i="108"/>
  <c r="A35" i="108"/>
  <c r="H34" i="108"/>
  <c r="G34" i="108"/>
  <c r="F34" i="108"/>
  <c r="A34" i="108"/>
  <c r="H33" i="108"/>
  <c r="F33" i="108"/>
  <c r="A33" i="108"/>
  <c r="H32" i="108"/>
  <c r="F32" i="108"/>
  <c r="G32" i="108" s="1"/>
  <c r="A32" i="108"/>
  <c r="H31" i="108"/>
  <c r="F31" i="108"/>
  <c r="G31" i="108" s="1"/>
  <c r="A31" i="108"/>
  <c r="H30" i="108"/>
  <c r="G30" i="108" s="1"/>
  <c r="F30" i="108"/>
  <c r="A30" i="108"/>
  <c r="H29" i="108"/>
  <c r="F29" i="108"/>
  <c r="A29" i="108"/>
  <c r="H28" i="108"/>
  <c r="F28" i="108"/>
  <c r="G28" i="108" s="1"/>
  <c r="A28" i="108"/>
  <c r="H27" i="108"/>
  <c r="F27" i="108"/>
  <c r="G27" i="108" s="1"/>
  <c r="H26" i="108"/>
  <c r="F26" i="108"/>
  <c r="G26" i="108" s="1"/>
  <c r="H25" i="108"/>
  <c r="F25" i="108"/>
  <c r="H24" i="108"/>
  <c r="F24" i="108"/>
  <c r="G24" i="108" s="1"/>
  <c r="H23" i="108"/>
  <c r="F23" i="108"/>
  <c r="G23" i="108" s="1"/>
  <c r="H22" i="108"/>
  <c r="F22" i="108"/>
  <c r="G22" i="108" s="1"/>
  <c r="H21" i="108"/>
  <c r="F21" i="108"/>
  <c r="G21" i="108" s="1"/>
  <c r="H20" i="108"/>
  <c r="F20" i="108"/>
  <c r="H19" i="108"/>
  <c r="F19" i="108"/>
  <c r="G19" i="108" s="1"/>
  <c r="L18" i="108"/>
  <c r="K18" i="108"/>
  <c r="J18" i="108"/>
  <c r="H18" i="108"/>
  <c r="F18" i="108"/>
  <c r="H17" i="108"/>
  <c r="F17" i="108"/>
  <c r="G17" i="108" s="1"/>
  <c r="H16" i="108"/>
  <c r="F16" i="108"/>
  <c r="G16" i="108" s="1"/>
  <c r="H15" i="108"/>
  <c r="F15" i="108"/>
  <c r="G15" i="108" s="1"/>
  <c r="H14" i="108"/>
  <c r="F14" i="108"/>
  <c r="J6" i="108" s="1"/>
  <c r="H13" i="108"/>
  <c r="L4" i="108" s="1"/>
  <c r="F13" i="108"/>
  <c r="L12" i="108"/>
  <c r="L19" i="108" s="1"/>
  <c r="K12" i="108"/>
  <c r="K19" i="108" s="1"/>
  <c r="J12" i="108"/>
  <c r="J19" i="108" s="1"/>
  <c r="H12" i="108"/>
  <c r="F12" i="108"/>
  <c r="L11" i="108"/>
  <c r="K11" i="108"/>
  <c r="J11" i="108"/>
  <c r="H11" i="108"/>
  <c r="F11" i="108"/>
  <c r="L10" i="108"/>
  <c r="K10" i="108"/>
  <c r="J10" i="108"/>
  <c r="H10" i="108"/>
  <c r="L5" i="108" s="1"/>
  <c r="F10" i="108"/>
  <c r="L9" i="108"/>
  <c r="K9" i="108"/>
  <c r="J9" i="108"/>
  <c r="H9" i="108"/>
  <c r="F9" i="108"/>
  <c r="L8" i="108"/>
  <c r="L21" i="108" s="1"/>
  <c r="K8" i="108"/>
  <c r="K21" i="108" s="1"/>
  <c r="J8" i="108"/>
  <c r="J21" i="108" s="1"/>
  <c r="H8" i="108"/>
  <c r="F8" i="108"/>
  <c r="G8" i="108" s="1"/>
  <c r="L7" i="108"/>
  <c r="K7" i="108"/>
  <c r="J7" i="108"/>
  <c r="H7" i="108"/>
  <c r="F7" i="108"/>
  <c r="L6" i="108"/>
  <c r="H6" i="108"/>
  <c r="F6" i="108"/>
  <c r="G6" i="108" s="1"/>
  <c r="H5" i="108"/>
  <c r="G5" i="108"/>
  <c r="F5" i="108"/>
  <c r="J4" i="108"/>
  <c r="H4" i="108"/>
  <c r="F4" i="108"/>
  <c r="G4" i="108" s="1"/>
  <c r="H3" i="108"/>
  <c r="F3" i="108"/>
  <c r="H42" i="107"/>
  <c r="F42" i="107"/>
  <c r="A42" i="107"/>
  <c r="H41" i="107"/>
  <c r="F41" i="107"/>
  <c r="G41" i="107" s="1"/>
  <c r="A41" i="107"/>
  <c r="H40" i="107"/>
  <c r="G40" i="107" s="1"/>
  <c r="F40" i="107"/>
  <c r="A40" i="107"/>
  <c r="H39" i="107"/>
  <c r="F39" i="107"/>
  <c r="G39" i="107" s="1"/>
  <c r="A39" i="107"/>
  <c r="H38" i="107"/>
  <c r="F38" i="107"/>
  <c r="A38" i="107"/>
  <c r="H37" i="107"/>
  <c r="F37" i="107"/>
  <c r="A37" i="107"/>
  <c r="H36" i="107"/>
  <c r="F36" i="107"/>
  <c r="A36" i="107"/>
  <c r="H35" i="107"/>
  <c r="F35" i="107"/>
  <c r="G35" i="107" s="1"/>
  <c r="A35" i="107"/>
  <c r="H34" i="107"/>
  <c r="F34" i="107"/>
  <c r="A34" i="107"/>
  <c r="H33" i="107"/>
  <c r="F33" i="107"/>
  <c r="G33" i="107" s="1"/>
  <c r="A33" i="107"/>
  <c r="H32" i="107"/>
  <c r="F32" i="107"/>
  <c r="G32" i="107" s="1"/>
  <c r="A32" i="107"/>
  <c r="H31" i="107"/>
  <c r="F31" i="107"/>
  <c r="G31" i="107" s="1"/>
  <c r="A31" i="107"/>
  <c r="H30" i="107"/>
  <c r="F30" i="107"/>
  <c r="A30" i="107"/>
  <c r="H29" i="107"/>
  <c r="F29" i="107"/>
  <c r="G29" i="107" s="1"/>
  <c r="H28" i="107"/>
  <c r="F28" i="107"/>
  <c r="G28" i="107" s="1"/>
  <c r="H27" i="107"/>
  <c r="G27" i="107"/>
  <c r="F27" i="107"/>
  <c r="H26" i="107"/>
  <c r="G26" i="107" s="1"/>
  <c r="F26" i="107"/>
  <c r="H25" i="107"/>
  <c r="F25" i="107"/>
  <c r="H24" i="107"/>
  <c r="F24" i="107"/>
  <c r="G24" i="107" s="1"/>
  <c r="H23" i="107"/>
  <c r="G23" i="107"/>
  <c r="F23" i="107"/>
  <c r="H22" i="107"/>
  <c r="F22" i="107"/>
  <c r="K21" i="107"/>
  <c r="J21" i="107"/>
  <c r="I32" i="123" s="1"/>
  <c r="H21" i="107"/>
  <c r="F21" i="107"/>
  <c r="G21" i="107" s="1"/>
  <c r="H20" i="107"/>
  <c r="F20" i="107"/>
  <c r="G20" i="107" s="1"/>
  <c r="L19" i="107"/>
  <c r="G32" i="123" s="1"/>
  <c r="K19" i="107"/>
  <c r="D32" i="123" s="1"/>
  <c r="J19" i="107"/>
  <c r="H19" i="107"/>
  <c r="G19" i="107" s="1"/>
  <c r="F19" i="107"/>
  <c r="H18" i="107"/>
  <c r="F18" i="107"/>
  <c r="G18" i="107" s="1"/>
  <c r="H17" i="107"/>
  <c r="G17" i="107" s="1"/>
  <c r="F17" i="107"/>
  <c r="H16" i="107"/>
  <c r="F16" i="107"/>
  <c r="H15" i="107"/>
  <c r="F15" i="107"/>
  <c r="H14" i="107"/>
  <c r="F14" i="107"/>
  <c r="G14" i="107" s="1"/>
  <c r="H13" i="107"/>
  <c r="F13" i="107"/>
  <c r="G13" i="107" s="1"/>
  <c r="L12" i="107"/>
  <c r="K12" i="107"/>
  <c r="J12" i="107"/>
  <c r="H12" i="107"/>
  <c r="F12" i="107"/>
  <c r="G12" i="107" s="1"/>
  <c r="L11" i="107"/>
  <c r="L18" i="107" s="1"/>
  <c r="K11" i="107"/>
  <c r="K18" i="107" s="1"/>
  <c r="J11" i="107"/>
  <c r="J18" i="107" s="1"/>
  <c r="H11" i="107"/>
  <c r="F11" i="107"/>
  <c r="G11" i="107" s="1"/>
  <c r="L10" i="107"/>
  <c r="K10" i="107"/>
  <c r="J10" i="107"/>
  <c r="H10" i="107"/>
  <c r="F10" i="107"/>
  <c r="G10" i="107" s="1"/>
  <c r="L9" i="107"/>
  <c r="L21" i="107" s="1"/>
  <c r="K9" i="107"/>
  <c r="J9" i="107"/>
  <c r="H9" i="107"/>
  <c r="F9" i="107"/>
  <c r="G9" i="107" s="1"/>
  <c r="L8" i="107"/>
  <c r="K8" i="107"/>
  <c r="J8" i="107"/>
  <c r="H8" i="107"/>
  <c r="F8" i="107"/>
  <c r="G8" i="107" s="1"/>
  <c r="L7" i="107"/>
  <c r="K7" i="107"/>
  <c r="J7" i="107"/>
  <c r="H7" i="107"/>
  <c r="F7" i="107"/>
  <c r="L6" i="107"/>
  <c r="K6" i="107"/>
  <c r="J6" i="107"/>
  <c r="H6" i="107"/>
  <c r="L4" i="107" s="1"/>
  <c r="F6" i="107"/>
  <c r="J4" i="107" s="1"/>
  <c r="H5" i="107"/>
  <c r="F5" i="107"/>
  <c r="G5" i="107" s="1"/>
  <c r="H4" i="107"/>
  <c r="F4" i="107"/>
  <c r="H3" i="107"/>
  <c r="F3" i="107"/>
  <c r="H42" i="106"/>
  <c r="F42" i="106"/>
  <c r="G42" i="106" s="1"/>
  <c r="A42" i="106"/>
  <c r="H41" i="106"/>
  <c r="F41" i="106"/>
  <c r="A41" i="106"/>
  <c r="H40" i="106"/>
  <c r="F40" i="106"/>
  <c r="G40" i="106" s="1"/>
  <c r="A40" i="106"/>
  <c r="H39" i="106"/>
  <c r="F39" i="106"/>
  <c r="G39" i="106" s="1"/>
  <c r="A39" i="106"/>
  <c r="H38" i="106"/>
  <c r="G38" i="106" s="1"/>
  <c r="F38" i="106"/>
  <c r="A38" i="106"/>
  <c r="H37" i="106"/>
  <c r="F37" i="106"/>
  <c r="G37" i="106" s="1"/>
  <c r="A37" i="106"/>
  <c r="H36" i="106"/>
  <c r="F36" i="106"/>
  <c r="G36" i="106" s="1"/>
  <c r="A36" i="106"/>
  <c r="H35" i="106"/>
  <c r="F35" i="106"/>
  <c r="G35" i="106" s="1"/>
  <c r="A35" i="106"/>
  <c r="H34" i="106"/>
  <c r="F34" i="106"/>
  <c r="G34" i="106" s="1"/>
  <c r="A34" i="106"/>
  <c r="H33" i="106"/>
  <c r="G33" i="106"/>
  <c r="F33" i="106"/>
  <c r="A33" i="106"/>
  <c r="H32" i="106"/>
  <c r="F32" i="106"/>
  <c r="G32" i="106" s="1"/>
  <c r="A32" i="106"/>
  <c r="H31" i="106"/>
  <c r="F31" i="106"/>
  <c r="G31" i="106" s="1"/>
  <c r="A31" i="106"/>
  <c r="H30" i="106"/>
  <c r="F30" i="106"/>
  <c r="A30" i="106"/>
  <c r="H29" i="106"/>
  <c r="G29" i="106"/>
  <c r="F29" i="106"/>
  <c r="A29" i="106"/>
  <c r="H28" i="106"/>
  <c r="F28" i="106"/>
  <c r="A28" i="106"/>
  <c r="H27" i="106"/>
  <c r="G27" i="106" s="1"/>
  <c r="F27" i="106"/>
  <c r="A27" i="106"/>
  <c r="H26" i="106"/>
  <c r="F26" i="106"/>
  <c r="G26" i="106" s="1"/>
  <c r="H25" i="106"/>
  <c r="F25" i="106"/>
  <c r="G25" i="106" s="1"/>
  <c r="H24" i="106"/>
  <c r="F24" i="106"/>
  <c r="G24" i="106" s="1"/>
  <c r="H23" i="106"/>
  <c r="G23" i="106"/>
  <c r="F23" i="106"/>
  <c r="H22" i="106"/>
  <c r="F22" i="106"/>
  <c r="L21" i="106"/>
  <c r="H21" i="106"/>
  <c r="F21" i="106"/>
  <c r="H20" i="106"/>
  <c r="F20" i="106"/>
  <c r="G20" i="106" s="1"/>
  <c r="L19" i="106"/>
  <c r="K19" i="106"/>
  <c r="J19" i="106"/>
  <c r="H19" i="106"/>
  <c r="F19" i="106"/>
  <c r="H18" i="106"/>
  <c r="F18" i="106"/>
  <c r="H17" i="106"/>
  <c r="F17" i="106"/>
  <c r="G17" i="106" s="1"/>
  <c r="H16" i="106"/>
  <c r="F16" i="106"/>
  <c r="H15" i="106"/>
  <c r="L7" i="106" s="1"/>
  <c r="F15" i="106"/>
  <c r="G15" i="106" s="1"/>
  <c r="H14" i="106"/>
  <c r="F14" i="106"/>
  <c r="H13" i="106"/>
  <c r="F13" i="106"/>
  <c r="L12" i="106"/>
  <c r="K12" i="106"/>
  <c r="J12" i="106"/>
  <c r="H12" i="106"/>
  <c r="F12" i="106"/>
  <c r="L11" i="106"/>
  <c r="L18" i="106" s="1"/>
  <c r="K11" i="106"/>
  <c r="K18" i="106" s="1"/>
  <c r="J11" i="106"/>
  <c r="J18" i="106" s="1"/>
  <c r="H11" i="106"/>
  <c r="F11" i="106"/>
  <c r="G11" i="106" s="1"/>
  <c r="L10" i="106"/>
  <c r="K10" i="106"/>
  <c r="J10" i="106"/>
  <c r="H10" i="106"/>
  <c r="F10" i="106"/>
  <c r="G10" i="106" s="1"/>
  <c r="L9" i="106"/>
  <c r="K9" i="106"/>
  <c r="J9" i="106"/>
  <c r="H9" i="106"/>
  <c r="F9" i="106"/>
  <c r="G9" i="106" s="1"/>
  <c r="L8" i="106"/>
  <c r="K8" i="106"/>
  <c r="K21" i="106" s="1"/>
  <c r="J8" i="106"/>
  <c r="H8" i="106"/>
  <c r="F8" i="106"/>
  <c r="J7" i="106"/>
  <c r="H7" i="106"/>
  <c r="F7" i="106"/>
  <c r="G7" i="106" s="1"/>
  <c r="H6" i="106"/>
  <c r="F6" i="106"/>
  <c r="H5" i="106"/>
  <c r="F5" i="106"/>
  <c r="G5" i="106" s="1"/>
  <c r="H4" i="106"/>
  <c r="L6" i="106" s="1"/>
  <c r="F4" i="106"/>
  <c r="G4" i="106" s="1"/>
  <c r="K6" i="106" s="1"/>
  <c r="L3" i="106"/>
  <c r="L16" i="106" s="1"/>
  <c r="E31" i="123" s="1"/>
  <c r="K3" i="106"/>
  <c r="K16" i="106" s="1"/>
  <c r="B31" i="123" s="1"/>
  <c r="J3" i="106"/>
  <c r="J16" i="106" s="1"/>
  <c r="H3" i="106"/>
  <c r="F3" i="106"/>
  <c r="H42" i="104"/>
  <c r="F42" i="104"/>
  <c r="G42" i="104" s="1"/>
  <c r="A42" i="104"/>
  <c r="H41" i="104"/>
  <c r="F41" i="104"/>
  <c r="G41" i="104" s="1"/>
  <c r="A41" i="104"/>
  <c r="H40" i="104"/>
  <c r="G40" i="104" s="1"/>
  <c r="F40" i="104"/>
  <c r="A40" i="104"/>
  <c r="H39" i="104"/>
  <c r="F39" i="104"/>
  <c r="G39" i="104" s="1"/>
  <c r="A39" i="104"/>
  <c r="H38" i="104"/>
  <c r="G38" i="104"/>
  <c r="F38" i="104"/>
  <c r="A38" i="104"/>
  <c r="H37" i="104"/>
  <c r="F37" i="104"/>
  <c r="A37" i="104"/>
  <c r="H36" i="104"/>
  <c r="F36" i="104"/>
  <c r="A36" i="104"/>
  <c r="H35" i="104"/>
  <c r="F35" i="104"/>
  <c r="A35" i="104"/>
  <c r="H34" i="104"/>
  <c r="F34" i="104"/>
  <c r="A34" i="104"/>
  <c r="H33" i="104"/>
  <c r="G33" i="104"/>
  <c r="F33" i="104"/>
  <c r="A33" i="104"/>
  <c r="H32" i="104"/>
  <c r="F32" i="104"/>
  <c r="A32" i="104"/>
  <c r="H31" i="104"/>
  <c r="F31" i="104"/>
  <c r="G31" i="104" s="1"/>
  <c r="A31" i="104"/>
  <c r="H30" i="104"/>
  <c r="G30" i="104" s="1"/>
  <c r="F30" i="104"/>
  <c r="A30" i="104"/>
  <c r="H29" i="104"/>
  <c r="G29" i="104" s="1"/>
  <c r="F29" i="104"/>
  <c r="A29" i="104"/>
  <c r="H28" i="104"/>
  <c r="F28" i="104"/>
  <c r="A28" i="104"/>
  <c r="H27" i="104"/>
  <c r="F27" i="104"/>
  <c r="G27" i="104" s="1"/>
  <c r="A27" i="104"/>
  <c r="H26" i="104"/>
  <c r="F26" i="104"/>
  <c r="G26" i="104" s="1"/>
  <c r="A26" i="104"/>
  <c r="H25" i="104"/>
  <c r="F25" i="104"/>
  <c r="A25" i="104"/>
  <c r="H24" i="104"/>
  <c r="G24" i="104" s="1"/>
  <c r="F24" i="104"/>
  <c r="A24" i="104"/>
  <c r="H23" i="104"/>
  <c r="F23" i="104"/>
  <c r="G23" i="104" s="1"/>
  <c r="A23" i="104"/>
  <c r="H22" i="104"/>
  <c r="F22" i="104"/>
  <c r="G22" i="104" s="1"/>
  <c r="A22" i="104"/>
  <c r="H21" i="104"/>
  <c r="L6" i="104" s="1"/>
  <c r="F21" i="104"/>
  <c r="G21" i="104" s="1"/>
  <c r="K6" i="104" s="1"/>
  <c r="H20" i="104"/>
  <c r="F20" i="104"/>
  <c r="H19" i="104"/>
  <c r="F19" i="104"/>
  <c r="G19" i="104" s="1"/>
  <c r="H18" i="104"/>
  <c r="F18" i="104"/>
  <c r="H17" i="104"/>
  <c r="F17" i="104"/>
  <c r="G17" i="104" s="1"/>
  <c r="K16" i="104"/>
  <c r="B29" i="123" s="1"/>
  <c r="J16" i="104"/>
  <c r="H16" i="104"/>
  <c r="F16" i="104"/>
  <c r="G16" i="104" s="1"/>
  <c r="H15" i="104"/>
  <c r="G15" i="104" s="1"/>
  <c r="F15" i="104"/>
  <c r="H14" i="104"/>
  <c r="F14" i="104"/>
  <c r="H13" i="104"/>
  <c r="F13" i="104"/>
  <c r="G13" i="104" s="1"/>
  <c r="L12" i="104"/>
  <c r="L19" i="104" s="1"/>
  <c r="G29" i="123" s="1"/>
  <c r="K12" i="104"/>
  <c r="K19" i="104" s="1"/>
  <c r="D29" i="123" s="1"/>
  <c r="J12" i="104"/>
  <c r="J19" i="104" s="1"/>
  <c r="H12" i="104"/>
  <c r="F12" i="104"/>
  <c r="L11" i="104"/>
  <c r="L18" i="104" s="1"/>
  <c r="K11" i="104"/>
  <c r="K18" i="104" s="1"/>
  <c r="J11" i="104"/>
  <c r="J18" i="104" s="1"/>
  <c r="H11" i="104"/>
  <c r="F11" i="104"/>
  <c r="L10" i="104"/>
  <c r="K10" i="104"/>
  <c r="J10" i="104"/>
  <c r="H10" i="104"/>
  <c r="F10" i="104"/>
  <c r="G10" i="104" s="1"/>
  <c r="L9" i="104"/>
  <c r="K9" i="104"/>
  <c r="J9" i="104"/>
  <c r="H9" i="104"/>
  <c r="F9" i="104"/>
  <c r="G9" i="104" s="1"/>
  <c r="L8" i="104"/>
  <c r="K8" i="104"/>
  <c r="J8" i="104"/>
  <c r="J21" i="104" s="1"/>
  <c r="I29" i="123" s="1"/>
  <c r="H8" i="104"/>
  <c r="F8" i="104"/>
  <c r="G8" i="104" s="1"/>
  <c r="L7" i="104"/>
  <c r="K7" i="104"/>
  <c r="J7" i="104"/>
  <c r="H7" i="104"/>
  <c r="F7" i="104"/>
  <c r="H6" i="104"/>
  <c r="F6" i="104"/>
  <c r="G6" i="104" s="1"/>
  <c r="H5" i="104"/>
  <c r="F5" i="104"/>
  <c r="G5" i="104" s="1"/>
  <c r="H4" i="104"/>
  <c r="F4" i="104"/>
  <c r="L3" i="104"/>
  <c r="L16" i="104" s="1"/>
  <c r="E29" i="123" s="1"/>
  <c r="K3" i="104"/>
  <c r="J3" i="104"/>
  <c r="H3" i="104"/>
  <c r="G3" i="104"/>
  <c r="F3" i="104"/>
  <c r="H42" i="103"/>
  <c r="F42" i="103"/>
  <c r="A42" i="103"/>
  <c r="H41" i="103"/>
  <c r="F41" i="103"/>
  <c r="G41" i="103" s="1"/>
  <c r="A41" i="103"/>
  <c r="H40" i="103"/>
  <c r="F40" i="103"/>
  <c r="A40" i="103"/>
  <c r="H39" i="103"/>
  <c r="F39" i="103"/>
  <c r="G39" i="103" s="1"/>
  <c r="A39" i="103"/>
  <c r="H38" i="103"/>
  <c r="F38" i="103"/>
  <c r="G38" i="103" s="1"/>
  <c r="A38" i="103"/>
  <c r="H37" i="103"/>
  <c r="F37" i="103"/>
  <c r="A37" i="103"/>
  <c r="H36" i="103"/>
  <c r="F36" i="103"/>
  <c r="G36" i="103" s="1"/>
  <c r="A36" i="103"/>
  <c r="H35" i="103"/>
  <c r="F35" i="103"/>
  <c r="A35" i="103"/>
  <c r="H34" i="103"/>
  <c r="F34" i="103"/>
  <c r="A34" i="103"/>
  <c r="H33" i="103"/>
  <c r="F33" i="103"/>
  <c r="G33" i="103" s="1"/>
  <c r="A33" i="103"/>
  <c r="H32" i="103"/>
  <c r="F32" i="103"/>
  <c r="G32" i="103" s="1"/>
  <c r="A32" i="103"/>
  <c r="H31" i="103"/>
  <c r="F31" i="103"/>
  <c r="A31" i="103"/>
  <c r="H30" i="103"/>
  <c r="F30" i="103"/>
  <c r="A30" i="103"/>
  <c r="H29" i="103"/>
  <c r="F29" i="103"/>
  <c r="G29" i="103" s="1"/>
  <c r="A29" i="103"/>
  <c r="H28" i="103"/>
  <c r="G28" i="103" s="1"/>
  <c r="F28" i="103"/>
  <c r="A28" i="103"/>
  <c r="H27" i="103"/>
  <c r="G27" i="103" s="1"/>
  <c r="F27" i="103"/>
  <c r="A27" i="103"/>
  <c r="H26" i="103"/>
  <c r="F26" i="103"/>
  <c r="A26" i="103"/>
  <c r="H25" i="103"/>
  <c r="F25" i="103"/>
  <c r="G25" i="103" s="1"/>
  <c r="H24" i="103"/>
  <c r="F24" i="103"/>
  <c r="H23" i="103"/>
  <c r="G23" i="103"/>
  <c r="F23" i="103"/>
  <c r="H22" i="103"/>
  <c r="F22" i="103"/>
  <c r="G22" i="103" s="1"/>
  <c r="K21" i="103"/>
  <c r="J21" i="103"/>
  <c r="I28" i="123" s="1"/>
  <c r="H21" i="103"/>
  <c r="L6" i="103" s="1"/>
  <c r="F21" i="103"/>
  <c r="H20" i="103"/>
  <c r="F20" i="103"/>
  <c r="G20" i="103" s="1"/>
  <c r="H19" i="103"/>
  <c r="F19" i="103"/>
  <c r="G19" i="103" s="1"/>
  <c r="H18" i="103"/>
  <c r="F18" i="103"/>
  <c r="G18" i="103" s="1"/>
  <c r="H17" i="103"/>
  <c r="G17" i="103" s="1"/>
  <c r="F17" i="103"/>
  <c r="H16" i="103"/>
  <c r="F16" i="103"/>
  <c r="H15" i="103"/>
  <c r="F15" i="103"/>
  <c r="H14" i="103"/>
  <c r="F14" i="103"/>
  <c r="H13" i="103"/>
  <c r="F13" i="103"/>
  <c r="G13" i="103" s="1"/>
  <c r="L12" i="103"/>
  <c r="L19" i="103" s="1"/>
  <c r="G28" i="123" s="1"/>
  <c r="K12" i="103"/>
  <c r="K19" i="103" s="1"/>
  <c r="D28" i="123" s="1"/>
  <c r="J12" i="103"/>
  <c r="J19" i="103" s="1"/>
  <c r="H12" i="103"/>
  <c r="G12" i="103" s="1"/>
  <c r="F12" i="103"/>
  <c r="L11" i="103"/>
  <c r="L18" i="103" s="1"/>
  <c r="K11" i="103"/>
  <c r="K18" i="103" s="1"/>
  <c r="J11" i="103"/>
  <c r="J18" i="103" s="1"/>
  <c r="H11" i="103"/>
  <c r="F11" i="103"/>
  <c r="L10" i="103"/>
  <c r="K10" i="103"/>
  <c r="J10" i="103"/>
  <c r="H10" i="103"/>
  <c r="F10" i="103"/>
  <c r="G10" i="103" s="1"/>
  <c r="L9" i="103"/>
  <c r="K9" i="103"/>
  <c r="J9" i="103"/>
  <c r="H9" i="103"/>
  <c r="F9" i="103"/>
  <c r="L8" i="103"/>
  <c r="L21" i="103" s="1"/>
  <c r="K8" i="103"/>
  <c r="J8" i="103"/>
  <c r="H8" i="103"/>
  <c r="F8" i="103"/>
  <c r="G8" i="103" s="1"/>
  <c r="H7" i="103"/>
  <c r="F7" i="103"/>
  <c r="H6" i="103"/>
  <c r="F6" i="103"/>
  <c r="G6" i="103" s="1"/>
  <c r="H5" i="103"/>
  <c r="F5" i="103"/>
  <c r="G5" i="103" s="1"/>
  <c r="H4" i="103"/>
  <c r="F4" i="103"/>
  <c r="L3" i="103"/>
  <c r="L16" i="103" s="1"/>
  <c r="E28" i="123" s="1"/>
  <c r="K3" i="103"/>
  <c r="K16" i="103" s="1"/>
  <c r="J3" i="103"/>
  <c r="J16" i="103" s="1"/>
  <c r="H3" i="103"/>
  <c r="L7" i="103" s="1"/>
  <c r="F3" i="103"/>
  <c r="J7" i="103" s="1"/>
  <c r="H42" i="102"/>
  <c r="F42" i="102"/>
  <c r="G42" i="102" s="1"/>
  <c r="A42" i="102"/>
  <c r="H41" i="102"/>
  <c r="F41" i="102"/>
  <c r="A41" i="102"/>
  <c r="H40" i="102"/>
  <c r="F40" i="102"/>
  <c r="G40" i="102" s="1"/>
  <c r="A40" i="102"/>
  <c r="H39" i="102"/>
  <c r="F39" i="102"/>
  <c r="G39" i="102" s="1"/>
  <c r="A39" i="102"/>
  <c r="H38" i="102"/>
  <c r="F38" i="102"/>
  <c r="G38" i="102" s="1"/>
  <c r="A38" i="102"/>
  <c r="H37" i="102"/>
  <c r="F37" i="102"/>
  <c r="A37" i="102"/>
  <c r="H36" i="102"/>
  <c r="F36" i="102"/>
  <c r="G36" i="102" s="1"/>
  <c r="A36" i="102"/>
  <c r="H35" i="102"/>
  <c r="F35" i="102"/>
  <c r="G35" i="102" s="1"/>
  <c r="A35" i="102"/>
  <c r="H34" i="102"/>
  <c r="F34" i="102"/>
  <c r="G34" i="102" s="1"/>
  <c r="A34" i="102"/>
  <c r="H33" i="102"/>
  <c r="F33" i="102"/>
  <c r="G33" i="102" s="1"/>
  <c r="A33" i="102"/>
  <c r="H32" i="102"/>
  <c r="F32" i="102"/>
  <c r="G32" i="102" s="1"/>
  <c r="A32" i="102"/>
  <c r="H31" i="102"/>
  <c r="F31" i="102"/>
  <c r="G31" i="102" s="1"/>
  <c r="A31" i="102"/>
  <c r="H30" i="102"/>
  <c r="F30" i="102"/>
  <c r="G30" i="102" s="1"/>
  <c r="A30" i="102"/>
  <c r="H29" i="102"/>
  <c r="F29" i="102"/>
  <c r="G29" i="102" s="1"/>
  <c r="A29" i="102"/>
  <c r="H28" i="102"/>
  <c r="F28" i="102"/>
  <c r="G28" i="102" s="1"/>
  <c r="A28" i="102"/>
  <c r="H27" i="102"/>
  <c r="F27" i="102"/>
  <c r="G27" i="102" s="1"/>
  <c r="A27" i="102"/>
  <c r="H26" i="102"/>
  <c r="G26" i="102" s="1"/>
  <c r="F26" i="102"/>
  <c r="H25" i="102"/>
  <c r="F25" i="102"/>
  <c r="H24" i="102"/>
  <c r="F24" i="102"/>
  <c r="H23" i="102"/>
  <c r="F23" i="102"/>
  <c r="G23" i="102" s="1"/>
  <c r="H22" i="102"/>
  <c r="F22" i="102"/>
  <c r="G22" i="102" s="1"/>
  <c r="H21" i="102"/>
  <c r="F21" i="102"/>
  <c r="H20" i="102"/>
  <c r="L7" i="102" s="1"/>
  <c r="F20" i="102"/>
  <c r="J7" i="102" s="1"/>
  <c r="L19" i="102"/>
  <c r="H19" i="102"/>
  <c r="F19" i="102"/>
  <c r="G19" i="102" s="1"/>
  <c r="H18" i="102"/>
  <c r="F18" i="102"/>
  <c r="H17" i="102"/>
  <c r="F17" i="102"/>
  <c r="G17" i="102" s="1"/>
  <c r="H16" i="102"/>
  <c r="F16" i="102"/>
  <c r="G16" i="102" s="1"/>
  <c r="H15" i="102"/>
  <c r="F15" i="102"/>
  <c r="G15" i="102" s="1"/>
  <c r="H14" i="102"/>
  <c r="F14" i="102"/>
  <c r="H13" i="102"/>
  <c r="F13" i="102"/>
  <c r="G13" i="102" s="1"/>
  <c r="L12" i="102"/>
  <c r="K12" i="102"/>
  <c r="K19" i="102" s="1"/>
  <c r="D27" i="123" s="1"/>
  <c r="J12" i="102"/>
  <c r="J19" i="102" s="1"/>
  <c r="H12" i="102"/>
  <c r="F12" i="102"/>
  <c r="G12" i="102" s="1"/>
  <c r="L11" i="102"/>
  <c r="L18" i="102" s="1"/>
  <c r="K11" i="102"/>
  <c r="K18" i="102" s="1"/>
  <c r="J11" i="102"/>
  <c r="J18" i="102" s="1"/>
  <c r="H11" i="102"/>
  <c r="F11" i="102"/>
  <c r="L10" i="102"/>
  <c r="K10" i="102"/>
  <c r="J10" i="102"/>
  <c r="H10" i="102"/>
  <c r="F10" i="102"/>
  <c r="J6" i="102" s="1"/>
  <c r="H9" i="102"/>
  <c r="G9" i="102"/>
  <c r="F9" i="102"/>
  <c r="L8" i="102"/>
  <c r="K8" i="102"/>
  <c r="J8" i="102"/>
  <c r="H8" i="102"/>
  <c r="F8" i="102"/>
  <c r="H7" i="102"/>
  <c r="F7" i="102"/>
  <c r="G7" i="102" s="1"/>
  <c r="L6" i="102"/>
  <c r="H6" i="102"/>
  <c r="F6" i="102"/>
  <c r="G6" i="102" s="1"/>
  <c r="H5" i="102"/>
  <c r="L9" i="102" s="1"/>
  <c r="F5" i="102"/>
  <c r="H4" i="102"/>
  <c r="F4" i="102"/>
  <c r="L3" i="102"/>
  <c r="L16" i="102" s="1"/>
  <c r="K3" i="102"/>
  <c r="K16" i="102" s="1"/>
  <c r="B27" i="123" s="1"/>
  <c r="J3" i="102"/>
  <c r="J16" i="102" s="1"/>
  <c r="H3" i="102"/>
  <c r="F3" i="102"/>
  <c r="G3" i="102" s="1"/>
  <c r="H42" i="105"/>
  <c r="F42" i="105"/>
  <c r="G42" i="105" s="1"/>
  <c r="A42" i="105"/>
  <c r="H41" i="105"/>
  <c r="F41" i="105"/>
  <c r="G41" i="105" s="1"/>
  <c r="A41" i="105"/>
  <c r="H40" i="105"/>
  <c r="F40" i="105"/>
  <c r="G40" i="105" s="1"/>
  <c r="A40" i="105"/>
  <c r="H39" i="105"/>
  <c r="F39" i="105"/>
  <c r="G39" i="105" s="1"/>
  <c r="A39" i="105"/>
  <c r="H38" i="105"/>
  <c r="F38" i="105"/>
  <c r="G38" i="105" s="1"/>
  <c r="A38" i="105"/>
  <c r="H37" i="105"/>
  <c r="F37" i="105"/>
  <c r="A37" i="105"/>
  <c r="H36" i="105"/>
  <c r="F36" i="105"/>
  <c r="A36" i="105"/>
  <c r="H35" i="105"/>
  <c r="F35" i="105"/>
  <c r="H34" i="105"/>
  <c r="G34" i="105"/>
  <c r="F34" i="105"/>
  <c r="H33" i="105"/>
  <c r="F33" i="105"/>
  <c r="H32" i="105"/>
  <c r="F32" i="105"/>
  <c r="G32" i="105" s="1"/>
  <c r="H31" i="105"/>
  <c r="F31" i="105"/>
  <c r="G31" i="105" s="1"/>
  <c r="H30" i="105"/>
  <c r="F30" i="105"/>
  <c r="G30" i="105" s="1"/>
  <c r="H29" i="105"/>
  <c r="F29" i="105"/>
  <c r="G29" i="105" s="1"/>
  <c r="H28" i="105"/>
  <c r="F28" i="105"/>
  <c r="G28" i="105" s="1"/>
  <c r="H27" i="105"/>
  <c r="F27" i="105"/>
  <c r="G27" i="105" s="1"/>
  <c r="H26" i="105"/>
  <c r="F26" i="105"/>
  <c r="G26" i="105" s="1"/>
  <c r="H25" i="105"/>
  <c r="F25" i="105"/>
  <c r="G25" i="105" s="1"/>
  <c r="H24" i="105"/>
  <c r="F24" i="105"/>
  <c r="G24" i="105" s="1"/>
  <c r="H23" i="105"/>
  <c r="G23" i="105"/>
  <c r="F23" i="105"/>
  <c r="H22" i="105"/>
  <c r="L7" i="105" s="1"/>
  <c r="G22" i="105"/>
  <c r="F22" i="105"/>
  <c r="H21" i="105"/>
  <c r="F21" i="105"/>
  <c r="H20" i="105"/>
  <c r="F20" i="105"/>
  <c r="J7" i="105" s="1"/>
  <c r="J19" i="105"/>
  <c r="H19" i="105"/>
  <c r="F19" i="105"/>
  <c r="L18" i="105"/>
  <c r="H18" i="105"/>
  <c r="F18" i="105"/>
  <c r="G18" i="105" s="1"/>
  <c r="H17" i="105"/>
  <c r="F17" i="105"/>
  <c r="H16" i="105"/>
  <c r="F16" i="105"/>
  <c r="G16" i="105" s="1"/>
  <c r="H15" i="105"/>
  <c r="F15" i="105"/>
  <c r="G15" i="105" s="1"/>
  <c r="H14" i="105"/>
  <c r="F14" i="105"/>
  <c r="G14" i="105" s="1"/>
  <c r="H13" i="105"/>
  <c r="F13" i="105"/>
  <c r="G13" i="105" s="1"/>
  <c r="L12" i="105"/>
  <c r="L19" i="105" s="1"/>
  <c r="G30" i="123" s="1"/>
  <c r="K12" i="105"/>
  <c r="K19" i="105" s="1"/>
  <c r="D30" i="123" s="1"/>
  <c r="J12" i="105"/>
  <c r="H12" i="105"/>
  <c r="F12" i="105"/>
  <c r="L11" i="105"/>
  <c r="K11" i="105"/>
  <c r="K18" i="105" s="1"/>
  <c r="J11" i="105"/>
  <c r="J18" i="105" s="1"/>
  <c r="H11" i="105"/>
  <c r="F11" i="105"/>
  <c r="G11" i="105" s="1"/>
  <c r="K6" i="105" s="1"/>
  <c r="L10" i="105"/>
  <c r="K10" i="105"/>
  <c r="J10" i="105"/>
  <c r="H10" i="105"/>
  <c r="F10" i="105"/>
  <c r="G10" i="105" s="1"/>
  <c r="L9" i="105"/>
  <c r="L21" i="105" s="1"/>
  <c r="K9" i="105"/>
  <c r="K21" i="105" s="1"/>
  <c r="J9" i="105"/>
  <c r="H9" i="105"/>
  <c r="F9" i="105"/>
  <c r="L8" i="105"/>
  <c r="K8" i="105"/>
  <c r="J8" i="105"/>
  <c r="H8" i="105"/>
  <c r="F8" i="105"/>
  <c r="H7" i="105"/>
  <c r="F7" i="105"/>
  <c r="G7" i="105" s="1"/>
  <c r="L6" i="105"/>
  <c r="J6" i="105"/>
  <c r="H6" i="105"/>
  <c r="F6" i="105"/>
  <c r="G6" i="105" s="1"/>
  <c r="H5" i="105"/>
  <c r="F5" i="105"/>
  <c r="G5" i="105" s="1"/>
  <c r="H4" i="105"/>
  <c r="F4" i="105"/>
  <c r="L3" i="105"/>
  <c r="L16" i="105" s="1"/>
  <c r="K3" i="105"/>
  <c r="K16" i="105" s="1"/>
  <c r="B30" i="123" s="1"/>
  <c r="J3" i="105"/>
  <c r="J16" i="105" s="1"/>
  <c r="H3" i="105"/>
  <c r="F3" i="105"/>
  <c r="H42" i="100"/>
  <c r="F42" i="100"/>
  <c r="G42" i="100" s="1"/>
  <c r="A42" i="100"/>
  <c r="H41" i="100"/>
  <c r="F41" i="100"/>
  <c r="A41" i="100"/>
  <c r="H40" i="100"/>
  <c r="G40" i="100" s="1"/>
  <c r="F40" i="100"/>
  <c r="A40" i="100"/>
  <c r="H39" i="100"/>
  <c r="F39" i="100"/>
  <c r="A39" i="100"/>
  <c r="H38" i="100"/>
  <c r="F38" i="100"/>
  <c r="A38" i="100"/>
  <c r="H37" i="100"/>
  <c r="F37" i="100"/>
  <c r="G37" i="100" s="1"/>
  <c r="A37" i="100"/>
  <c r="H36" i="100"/>
  <c r="F36" i="100"/>
  <c r="G36" i="100" s="1"/>
  <c r="A36" i="100"/>
  <c r="H35" i="100"/>
  <c r="F35" i="100"/>
  <c r="A35" i="100"/>
  <c r="H34" i="100"/>
  <c r="F34" i="100"/>
  <c r="G34" i="100" s="1"/>
  <c r="A34" i="100"/>
  <c r="H33" i="100"/>
  <c r="F33" i="100"/>
  <c r="G33" i="100" s="1"/>
  <c r="A33" i="100"/>
  <c r="H32" i="100"/>
  <c r="F32" i="100"/>
  <c r="G32" i="100" s="1"/>
  <c r="A32" i="100"/>
  <c r="H31" i="100"/>
  <c r="G31" i="100" s="1"/>
  <c r="F31" i="100"/>
  <c r="A31" i="100"/>
  <c r="H30" i="100"/>
  <c r="F30" i="100"/>
  <c r="A30" i="100"/>
  <c r="H29" i="100"/>
  <c r="F29" i="100"/>
  <c r="A29" i="100"/>
  <c r="H28" i="100"/>
  <c r="F28" i="100"/>
  <c r="A28" i="100"/>
  <c r="H27" i="100"/>
  <c r="F27" i="100"/>
  <c r="H26" i="100"/>
  <c r="F26" i="100"/>
  <c r="G26" i="100" s="1"/>
  <c r="H25" i="100"/>
  <c r="F25" i="100"/>
  <c r="G25" i="100" s="1"/>
  <c r="H24" i="100"/>
  <c r="G24" i="100"/>
  <c r="F24" i="100"/>
  <c r="H23" i="100"/>
  <c r="F23" i="100"/>
  <c r="G23" i="100" s="1"/>
  <c r="H22" i="100"/>
  <c r="F22" i="100"/>
  <c r="G22" i="100" s="1"/>
  <c r="H21" i="100"/>
  <c r="F21" i="100"/>
  <c r="G21" i="100" s="1"/>
  <c r="H20" i="100"/>
  <c r="F20" i="100"/>
  <c r="K19" i="100"/>
  <c r="D25" i="123" s="1"/>
  <c r="H19" i="100"/>
  <c r="F19" i="100"/>
  <c r="G19" i="100" s="1"/>
  <c r="H18" i="100"/>
  <c r="F18" i="100"/>
  <c r="G18" i="100" s="1"/>
  <c r="K6" i="100" s="1"/>
  <c r="H17" i="100"/>
  <c r="F17" i="100"/>
  <c r="H16" i="100"/>
  <c r="F16" i="100"/>
  <c r="G16" i="100" s="1"/>
  <c r="H15" i="100"/>
  <c r="F15" i="100"/>
  <c r="H14" i="100"/>
  <c r="F14" i="100"/>
  <c r="G14" i="100" s="1"/>
  <c r="H13" i="100"/>
  <c r="F13" i="100"/>
  <c r="L12" i="100"/>
  <c r="L19" i="100" s="1"/>
  <c r="G25" i="123" s="1"/>
  <c r="K12" i="100"/>
  <c r="J12" i="100"/>
  <c r="J19" i="100" s="1"/>
  <c r="H12" i="100"/>
  <c r="F12" i="100"/>
  <c r="G12" i="100" s="1"/>
  <c r="L11" i="100"/>
  <c r="L18" i="100" s="1"/>
  <c r="K11" i="100"/>
  <c r="K18" i="100" s="1"/>
  <c r="J11" i="100"/>
  <c r="J18" i="100" s="1"/>
  <c r="H11" i="100"/>
  <c r="L5" i="100" s="1"/>
  <c r="F11" i="100"/>
  <c r="L10" i="100"/>
  <c r="K10" i="100"/>
  <c r="J10" i="100"/>
  <c r="H10" i="100"/>
  <c r="F10" i="100"/>
  <c r="L9" i="100"/>
  <c r="K9" i="100"/>
  <c r="J9" i="100"/>
  <c r="H9" i="100"/>
  <c r="G9" i="100" s="1"/>
  <c r="F9" i="100"/>
  <c r="L8" i="100"/>
  <c r="L21" i="100" s="1"/>
  <c r="K8" i="100"/>
  <c r="K21" i="100" s="1"/>
  <c r="J8" i="100"/>
  <c r="J21" i="100" s="1"/>
  <c r="H8" i="100"/>
  <c r="F8" i="100"/>
  <c r="L7" i="100"/>
  <c r="K7" i="100"/>
  <c r="J7" i="100"/>
  <c r="H7" i="100"/>
  <c r="F7" i="100"/>
  <c r="G7" i="100" s="1"/>
  <c r="L6" i="100"/>
  <c r="H6" i="100"/>
  <c r="F6" i="100"/>
  <c r="H5" i="100"/>
  <c r="F5" i="100"/>
  <c r="G5" i="100" s="1"/>
  <c r="H4" i="100"/>
  <c r="F4" i="100"/>
  <c r="G4" i="100" s="1"/>
  <c r="L3" i="100"/>
  <c r="L16" i="100" s="1"/>
  <c r="E25" i="123" s="1"/>
  <c r="K3" i="100"/>
  <c r="K16" i="100" s="1"/>
  <c r="B25" i="123" s="1"/>
  <c r="J3" i="100"/>
  <c r="J16" i="100" s="1"/>
  <c r="H3" i="100"/>
  <c r="F3" i="100"/>
  <c r="H42" i="99"/>
  <c r="F42" i="99"/>
  <c r="A42" i="99"/>
  <c r="H41" i="99"/>
  <c r="F41" i="99"/>
  <c r="A41" i="99"/>
  <c r="H40" i="99"/>
  <c r="F40" i="99"/>
  <c r="G40" i="99" s="1"/>
  <c r="A40" i="99"/>
  <c r="H39" i="99"/>
  <c r="G39" i="99"/>
  <c r="F39" i="99"/>
  <c r="A39" i="99"/>
  <c r="H38" i="99"/>
  <c r="F38" i="99"/>
  <c r="A38" i="99"/>
  <c r="H37" i="99"/>
  <c r="F37" i="99"/>
  <c r="A37" i="99"/>
  <c r="H36" i="99"/>
  <c r="F36" i="99"/>
  <c r="G36" i="99" s="1"/>
  <c r="A36" i="99"/>
  <c r="H35" i="99"/>
  <c r="F35" i="99"/>
  <c r="G35" i="99" s="1"/>
  <c r="A35" i="99"/>
  <c r="H34" i="99"/>
  <c r="F34" i="99"/>
  <c r="G34" i="99" s="1"/>
  <c r="A34" i="99"/>
  <c r="H33" i="99"/>
  <c r="F33" i="99"/>
  <c r="A33" i="99"/>
  <c r="H32" i="99"/>
  <c r="F32" i="99"/>
  <c r="A32" i="99"/>
  <c r="H31" i="99"/>
  <c r="F31" i="99"/>
  <c r="A31" i="99"/>
  <c r="H30" i="99"/>
  <c r="F30" i="99"/>
  <c r="G30" i="99" s="1"/>
  <c r="A30" i="99"/>
  <c r="H29" i="99"/>
  <c r="F29" i="99"/>
  <c r="G29" i="99" s="1"/>
  <c r="A29" i="99"/>
  <c r="H28" i="99"/>
  <c r="F28" i="99"/>
  <c r="A28" i="99"/>
  <c r="H27" i="99"/>
  <c r="F27" i="99"/>
  <c r="H26" i="99"/>
  <c r="F26" i="99"/>
  <c r="G26" i="99" s="1"/>
  <c r="H25" i="99"/>
  <c r="F25" i="99"/>
  <c r="H24" i="99"/>
  <c r="F24" i="99"/>
  <c r="G24" i="99" s="1"/>
  <c r="H23" i="99"/>
  <c r="F23" i="99"/>
  <c r="H22" i="99"/>
  <c r="F22" i="99"/>
  <c r="H21" i="99"/>
  <c r="F21" i="99"/>
  <c r="G21" i="99" s="1"/>
  <c r="H20" i="99"/>
  <c r="F20" i="99"/>
  <c r="G20" i="99" s="1"/>
  <c r="H19" i="99"/>
  <c r="F19" i="99"/>
  <c r="G19" i="99" s="1"/>
  <c r="J18" i="99"/>
  <c r="H18" i="99"/>
  <c r="F18" i="99"/>
  <c r="G18" i="99" s="1"/>
  <c r="H17" i="99"/>
  <c r="F17" i="99"/>
  <c r="G17" i="99" s="1"/>
  <c r="H16" i="99"/>
  <c r="G16" i="99" s="1"/>
  <c r="F16" i="99"/>
  <c r="H15" i="99"/>
  <c r="F15" i="99"/>
  <c r="G15" i="99" s="1"/>
  <c r="H14" i="99"/>
  <c r="F14" i="99"/>
  <c r="G14" i="99" s="1"/>
  <c r="H13" i="99"/>
  <c r="F13" i="99"/>
  <c r="G13" i="99" s="1"/>
  <c r="L12" i="99"/>
  <c r="L19" i="99" s="1"/>
  <c r="G24" i="123" s="1"/>
  <c r="K12" i="99"/>
  <c r="K19" i="99" s="1"/>
  <c r="D24" i="123" s="1"/>
  <c r="J12" i="99"/>
  <c r="J19" i="99" s="1"/>
  <c r="H12" i="99"/>
  <c r="F12" i="99"/>
  <c r="G12" i="99" s="1"/>
  <c r="L11" i="99"/>
  <c r="L18" i="99" s="1"/>
  <c r="K11" i="99"/>
  <c r="K18" i="99" s="1"/>
  <c r="J11" i="99"/>
  <c r="H11" i="99"/>
  <c r="F11" i="99"/>
  <c r="G11" i="99" s="1"/>
  <c r="L10" i="99"/>
  <c r="K10" i="99"/>
  <c r="J10" i="99"/>
  <c r="H10" i="99"/>
  <c r="F10" i="99"/>
  <c r="G10" i="99" s="1"/>
  <c r="L9" i="99"/>
  <c r="K9" i="99"/>
  <c r="K21" i="99" s="1"/>
  <c r="J9" i="99"/>
  <c r="J21" i="99" s="1"/>
  <c r="I24" i="123" s="1"/>
  <c r="H9" i="99"/>
  <c r="F9" i="99"/>
  <c r="L8" i="99"/>
  <c r="K8" i="99"/>
  <c r="J8" i="99"/>
  <c r="H8" i="99"/>
  <c r="F8" i="99"/>
  <c r="L7" i="99"/>
  <c r="K7" i="99"/>
  <c r="J7" i="99"/>
  <c r="H7" i="99"/>
  <c r="F7" i="99"/>
  <c r="G7" i="99" s="1"/>
  <c r="L6" i="99"/>
  <c r="K6" i="99"/>
  <c r="J6" i="99"/>
  <c r="H6" i="99"/>
  <c r="F6" i="99"/>
  <c r="G6" i="99" s="1"/>
  <c r="L5" i="99"/>
  <c r="K5" i="99"/>
  <c r="J5" i="99"/>
  <c r="H5" i="99"/>
  <c r="G5" i="99" s="1"/>
  <c r="F5" i="99"/>
  <c r="L4" i="99"/>
  <c r="K4" i="99"/>
  <c r="J4" i="99"/>
  <c r="H4" i="99"/>
  <c r="F4" i="99"/>
  <c r="G4" i="99" s="1"/>
  <c r="H3" i="99"/>
  <c r="F3" i="99"/>
  <c r="G3" i="99" s="1"/>
  <c r="H42" i="98"/>
  <c r="G42" i="98" s="1"/>
  <c r="F42" i="98"/>
  <c r="A42" i="98"/>
  <c r="H41" i="98"/>
  <c r="F41" i="98"/>
  <c r="A41" i="98"/>
  <c r="H40" i="98"/>
  <c r="F40" i="98"/>
  <c r="A40" i="98"/>
  <c r="H39" i="98"/>
  <c r="F39" i="98"/>
  <c r="G39" i="98" s="1"/>
  <c r="A39" i="98"/>
  <c r="H38" i="98"/>
  <c r="F38" i="98"/>
  <c r="G38" i="98" s="1"/>
  <c r="A38" i="98"/>
  <c r="H37" i="98"/>
  <c r="F37" i="98"/>
  <c r="G37" i="98" s="1"/>
  <c r="A37" i="98"/>
  <c r="H36" i="98"/>
  <c r="F36" i="98"/>
  <c r="G36" i="98" s="1"/>
  <c r="A36" i="98"/>
  <c r="H35" i="98"/>
  <c r="F35" i="98"/>
  <c r="A35" i="98"/>
  <c r="H34" i="98"/>
  <c r="F34" i="98"/>
  <c r="G34" i="98" s="1"/>
  <c r="A34" i="98"/>
  <c r="H33" i="98"/>
  <c r="F33" i="98"/>
  <c r="A33" i="98"/>
  <c r="H32" i="98"/>
  <c r="F32" i="98"/>
  <c r="G32" i="98" s="1"/>
  <c r="A32" i="98"/>
  <c r="H31" i="98"/>
  <c r="F31" i="98"/>
  <c r="G31" i="98" s="1"/>
  <c r="A31" i="98"/>
  <c r="H30" i="98"/>
  <c r="F30" i="98"/>
  <c r="G30" i="98" s="1"/>
  <c r="A30" i="98"/>
  <c r="H29" i="98"/>
  <c r="F29" i="98"/>
  <c r="A29" i="98"/>
  <c r="H28" i="98"/>
  <c r="F28" i="98"/>
  <c r="A28" i="98"/>
  <c r="H27" i="98"/>
  <c r="F27" i="98"/>
  <c r="A27" i="98"/>
  <c r="H26" i="98"/>
  <c r="F26" i="98"/>
  <c r="G26" i="98" s="1"/>
  <c r="A26" i="98"/>
  <c r="H25" i="98"/>
  <c r="F25" i="98"/>
  <c r="G25" i="98" s="1"/>
  <c r="H24" i="98"/>
  <c r="F24" i="98"/>
  <c r="G24" i="98" s="1"/>
  <c r="H23" i="98"/>
  <c r="F23" i="98"/>
  <c r="G23" i="98" s="1"/>
  <c r="H22" i="98"/>
  <c r="G22" i="98" s="1"/>
  <c r="F22" i="98"/>
  <c r="H21" i="98"/>
  <c r="F21" i="98"/>
  <c r="H20" i="98"/>
  <c r="F20" i="98"/>
  <c r="G20" i="98" s="1"/>
  <c r="K19" i="98"/>
  <c r="D23" i="123" s="1"/>
  <c r="J19" i="98"/>
  <c r="H19" i="98"/>
  <c r="F19" i="98"/>
  <c r="L18" i="98"/>
  <c r="H18" i="98"/>
  <c r="F18" i="98"/>
  <c r="G18" i="98" s="1"/>
  <c r="H17" i="98"/>
  <c r="L6" i="98" s="1"/>
  <c r="G17" i="98"/>
  <c r="K6" i="98" s="1"/>
  <c r="F17" i="98"/>
  <c r="J6" i="98" s="1"/>
  <c r="H16" i="98"/>
  <c r="F16" i="98"/>
  <c r="H15" i="98"/>
  <c r="F15" i="98"/>
  <c r="H14" i="98"/>
  <c r="F14" i="98"/>
  <c r="G14" i="98" s="1"/>
  <c r="H13" i="98"/>
  <c r="F13" i="98"/>
  <c r="G13" i="98" s="1"/>
  <c r="L12" i="98"/>
  <c r="L19" i="98" s="1"/>
  <c r="K12" i="98"/>
  <c r="J12" i="98"/>
  <c r="H12" i="98"/>
  <c r="F12" i="98"/>
  <c r="L11" i="98"/>
  <c r="K11" i="98"/>
  <c r="K18" i="98" s="1"/>
  <c r="J11" i="98"/>
  <c r="J18" i="98" s="1"/>
  <c r="H11" i="98"/>
  <c r="F11" i="98"/>
  <c r="G11" i="98" s="1"/>
  <c r="L10" i="98"/>
  <c r="K10" i="98"/>
  <c r="J10" i="98"/>
  <c r="H10" i="98"/>
  <c r="F10" i="98"/>
  <c r="G10" i="98" s="1"/>
  <c r="H9" i="98"/>
  <c r="F9" i="98"/>
  <c r="L8" i="98"/>
  <c r="K8" i="98"/>
  <c r="J8" i="98"/>
  <c r="H8" i="98"/>
  <c r="G8" i="98" s="1"/>
  <c r="F8" i="98"/>
  <c r="H7" i="98"/>
  <c r="L9" i="98" s="1"/>
  <c r="F7" i="98"/>
  <c r="H6" i="98"/>
  <c r="F6" i="98"/>
  <c r="H5" i="98"/>
  <c r="F5" i="98"/>
  <c r="H4" i="98"/>
  <c r="L7" i="98" s="1"/>
  <c r="F4" i="98"/>
  <c r="G4" i="98" s="1"/>
  <c r="K7" i="98" s="1"/>
  <c r="L3" i="98"/>
  <c r="L16" i="98" s="1"/>
  <c r="E23" i="123" s="1"/>
  <c r="K3" i="98"/>
  <c r="K16" i="98" s="1"/>
  <c r="B23" i="123" s="1"/>
  <c r="J3" i="98"/>
  <c r="J16" i="98" s="1"/>
  <c r="H3" i="98"/>
  <c r="F3" i="98"/>
  <c r="H42" i="97"/>
  <c r="F42" i="97"/>
  <c r="G42" i="97" s="1"/>
  <c r="A42" i="97"/>
  <c r="H41" i="97"/>
  <c r="F41" i="97"/>
  <c r="A41" i="97"/>
  <c r="H40" i="97"/>
  <c r="F40" i="97"/>
  <c r="A40" i="97"/>
  <c r="H39" i="97"/>
  <c r="F39" i="97"/>
  <c r="A39" i="97"/>
  <c r="H38" i="97"/>
  <c r="F38" i="97"/>
  <c r="G38" i="97" s="1"/>
  <c r="A38" i="97"/>
  <c r="H37" i="97"/>
  <c r="F37" i="97"/>
  <c r="G37" i="97" s="1"/>
  <c r="A37" i="97"/>
  <c r="H36" i="97"/>
  <c r="G36" i="97" s="1"/>
  <c r="F36" i="97"/>
  <c r="A36" i="97"/>
  <c r="H35" i="97"/>
  <c r="G35" i="97"/>
  <c r="F35" i="97"/>
  <c r="A35" i="97"/>
  <c r="H34" i="97"/>
  <c r="F34" i="97"/>
  <c r="G34" i="97" s="1"/>
  <c r="A34" i="97"/>
  <c r="H33" i="97"/>
  <c r="F33" i="97"/>
  <c r="G33" i="97" s="1"/>
  <c r="A33" i="97"/>
  <c r="H32" i="97"/>
  <c r="F32" i="97"/>
  <c r="G32" i="97" s="1"/>
  <c r="A32" i="97"/>
  <c r="H31" i="97"/>
  <c r="F31" i="97"/>
  <c r="A31" i="97"/>
  <c r="H30" i="97"/>
  <c r="F30" i="97"/>
  <c r="A30" i="97"/>
  <c r="H29" i="97"/>
  <c r="F29" i="97"/>
  <c r="G29" i="97" s="1"/>
  <c r="A29" i="97"/>
  <c r="H28" i="97"/>
  <c r="F28" i="97"/>
  <c r="A28" i="97"/>
  <c r="H27" i="97"/>
  <c r="F27" i="97"/>
  <c r="A27" i="97"/>
  <c r="H26" i="97"/>
  <c r="F26" i="97"/>
  <c r="H25" i="97"/>
  <c r="F25" i="97"/>
  <c r="G25" i="97" s="1"/>
  <c r="H24" i="97"/>
  <c r="F24" i="97"/>
  <c r="G24" i="97" s="1"/>
  <c r="H23" i="97"/>
  <c r="F23" i="97"/>
  <c r="H22" i="97"/>
  <c r="F22" i="97"/>
  <c r="G22" i="97" s="1"/>
  <c r="H21" i="97"/>
  <c r="F21" i="97"/>
  <c r="G21" i="97" s="1"/>
  <c r="H20" i="97"/>
  <c r="F20" i="97"/>
  <c r="G20" i="97" s="1"/>
  <c r="H19" i="97"/>
  <c r="F19" i="97"/>
  <c r="G19" i="97" s="1"/>
  <c r="H18" i="97"/>
  <c r="F18" i="97"/>
  <c r="H17" i="97"/>
  <c r="F17" i="97"/>
  <c r="G17" i="97" s="1"/>
  <c r="H16" i="97"/>
  <c r="F16" i="97"/>
  <c r="H15" i="97"/>
  <c r="F15" i="97"/>
  <c r="G15" i="97" s="1"/>
  <c r="H14" i="97"/>
  <c r="F14" i="97"/>
  <c r="H13" i="97"/>
  <c r="F13" i="97"/>
  <c r="L12" i="97"/>
  <c r="L19" i="97" s="1"/>
  <c r="G22" i="123" s="1"/>
  <c r="K12" i="97"/>
  <c r="K19" i="97" s="1"/>
  <c r="J12" i="97"/>
  <c r="J19" i="97" s="1"/>
  <c r="H12" i="97"/>
  <c r="F12" i="97"/>
  <c r="L11" i="97"/>
  <c r="L18" i="97" s="1"/>
  <c r="K11" i="97"/>
  <c r="K18" i="97" s="1"/>
  <c r="J11" i="97"/>
  <c r="J18" i="97" s="1"/>
  <c r="H11" i="97"/>
  <c r="F11" i="97"/>
  <c r="L10" i="97"/>
  <c r="K10" i="97"/>
  <c r="J10" i="97"/>
  <c r="H10" i="97"/>
  <c r="F10" i="97"/>
  <c r="G10" i="97" s="1"/>
  <c r="H9" i="97"/>
  <c r="G9" i="97" s="1"/>
  <c r="F9" i="97"/>
  <c r="L8" i="97"/>
  <c r="K8" i="97"/>
  <c r="J8" i="97"/>
  <c r="H8" i="97"/>
  <c r="F8" i="97"/>
  <c r="H7" i="97"/>
  <c r="F7" i="97"/>
  <c r="L6" i="97"/>
  <c r="K6" i="97"/>
  <c r="J6" i="97"/>
  <c r="H6" i="97"/>
  <c r="G6" i="97" s="1"/>
  <c r="K7" i="97" s="1"/>
  <c r="F6" i="97"/>
  <c r="J7" i="97" s="1"/>
  <c r="H5" i="97"/>
  <c r="F5" i="97"/>
  <c r="H4" i="97"/>
  <c r="F4" i="97"/>
  <c r="L3" i="97"/>
  <c r="L16" i="97" s="1"/>
  <c r="K3" i="97"/>
  <c r="K16" i="97" s="1"/>
  <c r="J3" i="97"/>
  <c r="J16" i="97" s="1"/>
  <c r="H3" i="97"/>
  <c r="F3" i="97"/>
  <c r="H42" i="96"/>
  <c r="F42" i="96"/>
  <c r="A42" i="96"/>
  <c r="H41" i="96"/>
  <c r="F41" i="96"/>
  <c r="G41" i="96" s="1"/>
  <c r="A41" i="96"/>
  <c r="H40" i="96"/>
  <c r="F40" i="96"/>
  <c r="A40" i="96"/>
  <c r="H39" i="96"/>
  <c r="F39" i="96"/>
  <c r="A39" i="96"/>
  <c r="H38" i="96"/>
  <c r="F38" i="96"/>
  <c r="A38" i="96"/>
  <c r="H37" i="96"/>
  <c r="G37" i="96" s="1"/>
  <c r="F37" i="96"/>
  <c r="A37" i="96"/>
  <c r="H36" i="96"/>
  <c r="F36" i="96"/>
  <c r="G36" i="96" s="1"/>
  <c r="A36" i="96"/>
  <c r="H35" i="96"/>
  <c r="F35" i="96"/>
  <c r="G35" i="96" s="1"/>
  <c r="A35" i="96"/>
  <c r="H34" i="96"/>
  <c r="F34" i="96"/>
  <c r="G34" i="96" s="1"/>
  <c r="A34" i="96"/>
  <c r="H33" i="96"/>
  <c r="F33" i="96"/>
  <c r="G33" i="96" s="1"/>
  <c r="A33" i="96"/>
  <c r="H32" i="96"/>
  <c r="F32" i="96"/>
  <c r="G32" i="96" s="1"/>
  <c r="A32" i="96"/>
  <c r="H31" i="96"/>
  <c r="F31" i="96"/>
  <c r="G31" i="96" s="1"/>
  <c r="A31" i="96"/>
  <c r="H30" i="96"/>
  <c r="G30" i="96" s="1"/>
  <c r="F30" i="96"/>
  <c r="A30" i="96"/>
  <c r="H29" i="96"/>
  <c r="F29" i="96"/>
  <c r="H28" i="96"/>
  <c r="F28" i="96"/>
  <c r="G28" i="96" s="1"/>
  <c r="H27" i="96"/>
  <c r="F27" i="96"/>
  <c r="G27" i="96" s="1"/>
  <c r="H26" i="96"/>
  <c r="F26" i="96"/>
  <c r="H25" i="96"/>
  <c r="F25" i="96"/>
  <c r="G25" i="96" s="1"/>
  <c r="H24" i="96"/>
  <c r="G24" i="96" s="1"/>
  <c r="F24" i="96"/>
  <c r="H23" i="96"/>
  <c r="F23" i="96"/>
  <c r="G23" i="96" s="1"/>
  <c r="H22" i="96"/>
  <c r="F22" i="96"/>
  <c r="H21" i="96"/>
  <c r="F21" i="96"/>
  <c r="G21" i="96" s="1"/>
  <c r="H20" i="96"/>
  <c r="F20" i="96"/>
  <c r="G20" i="96" s="1"/>
  <c r="H19" i="96"/>
  <c r="F19" i="96"/>
  <c r="H18" i="96"/>
  <c r="F18" i="96"/>
  <c r="J7" i="96" s="1"/>
  <c r="H17" i="96"/>
  <c r="F17" i="96"/>
  <c r="H16" i="96"/>
  <c r="F16" i="96"/>
  <c r="H15" i="96"/>
  <c r="F15" i="96"/>
  <c r="G15" i="96" s="1"/>
  <c r="H14" i="96"/>
  <c r="F14" i="96"/>
  <c r="H13" i="96"/>
  <c r="F13" i="96"/>
  <c r="G13" i="96" s="1"/>
  <c r="L12" i="96"/>
  <c r="L19" i="96" s="1"/>
  <c r="G21" i="123" s="1"/>
  <c r="K12" i="96"/>
  <c r="K19" i="96" s="1"/>
  <c r="D21" i="123" s="1"/>
  <c r="J12" i="96"/>
  <c r="J19" i="96" s="1"/>
  <c r="H12" i="96"/>
  <c r="F12" i="96"/>
  <c r="G12" i="96" s="1"/>
  <c r="L11" i="96"/>
  <c r="L18" i="96" s="1"/>
  <c r="K11" i="96"/>
  <c r="K18" i="96" s="1"/>
  <c r="J11" i="96"/>
  <c r="J18" i="96" s="1"/>
  <c r="H11" i="96"/>
  <c r="F11" i="96"/>
  <c r="G11" i="96" s="1"/>
  <c r="L10" i="96"/>
  <c r="K10" i="96"/>
  <c r="J10" i="96"/>
  <c r="H10" i="96"/>
  <c r="F10" i="96"/>
  <c r="H9" i="96"/>
  <c r="G9" i="96"/>
  <c r="F9" i="96"/>
  <c r="L8" i="96"/>
  <c r="K8" i="96"/>
  <c r="J8" i="96"/>
  <c r="H8" i="96"/>
  <c r="G8" i="96" s="1"/>
  <c r="F8" i="96"/>
  <c r="H7" i="96"/>
  <c r="F7" i="96"/>
  <c r="G7" i="96" s="1"/>
  <c r="L6" i="96"/>
  <c r="K6" i="96"/>
  <c r="J6" i="96"/>
  <c r="H6" i="96"/>
  <c r="F6" i="96"/>
  <c r="G6" i="96" s="1"/>
  <c r="H5" i="96"/>
  <c r="G5" i="96" s="1"/>
  <c r="F5" i="96"/>
  <c r="H4" i="96"/>
  <c r="F4" i="96"/>
  <c r="G4" i="96" s="1"/>
  <c r="L3" i="96"/>
  <c r="L16" i="96" s="1"/>
  <c r="E21" i="123" s="1"/>
  <c r="K3" i="96"/>
  <c r="K16" i="96" s="1"/>
  <c r="B21" i="123" s="1"/>
  <c r="J3" i="96"/>
  <c r="J16" i="96" s="1"/>
  <c r="H3" i="96"/>
  <c r="F3" i="96"/>
  <c r="H42" i="95"/>
  <c r="F42" i="95"/>
  <c r="G42" i="95" s="1"/>
  <c r="A42" i="95"/>
  <c r="H41" i="95"/>
  <c r="F41" i="95"/>
  <c r="G41" i="95" s="1"/>
  <c r="A41" i="95"/>
  <c r="H40" i="95"/>
  <c r="F40" i="95"/>
  <c r="G40" i="95" s="1"/>
  <c r="A40" i="95"/>
  <c r="H39" i="95"/>
  <c r="F39" i="95"/>
  <c r="G39" i="95" s="1"/>
  <c r="A39" i="95"/>
  <c r="H38" i="95"/>
  <c r="F38" i="95"/>
  <c r="G38" i="95" s="1"/>
  <c r="A38" i="95"/>
  <c r="H37" i="95"/>
  <c r="F37" i="95"/>
  <c r="A37" i="95"/>
  <c r="H36" i="95"/>
  <c r="F36" i="95"/>
  <c r="A36" i="95"/>
  <c r="H35" i="95"/>
  <c r="F35" i="95"/>
  <c r="G35" i="95" s="1"/>
  <c r="A35" i="95"/>
  <c r="H34" i="95"/>
  <c r="F34" i="95"/>
  <c r="G34" i="95" s="1"/>
  <c r="A34" i="95"/>
  <c r="H33" i="95"/>
  <c r="F33" i="95"/>
  <c r="G33" i="95" s="1"/>
  <c r="A33" i="95"/>
  <c r="H32" i="95"/>
  <c r="F32" i="95"/>
  <c r="G32" i="95" s="1"/>
  <c r="A32" i="95"/>
  <c r="H31" i="95"/>
  <c r="F31" i="95"/>
  <c r="G31" i="95" s="1"/>
  <c r="A31" i="95"/>
  <c r="H30" i="95"/>
  <c r="F30" i="95"/>
  <c r="G30" i="95" s="1"/>
  <c r="A30" i="95"/>
  <c r="H29" i="95"/>
  <c r="F29" i="95"/>
  <c r="G29" i="95" s="1"/>
  <c r="A29" i="95"/>
  <c r="H28" i="95"/>
  <c r="F28" i="95"/>
  <c r="G28" i="95" s="1"/>
  <c r="A28" i="95"/>
  <c r="H27" i="95"/>
  <c r="F27" i="95"/>
  <c r="A27" i="95"/>
  <c r="H26" i="95"/>
  <c r="F26" i="95"/>
  <c r="G26" i="95" s="1"/>
  <c r="A26" i="95"/>
  <c r="H25" i="95"/>
  <c r="F25" i="95"/>
  <c r="A25" i="95"/>
  <c r="H24" i="95"/>
  <c r="F24" i="95"/>
  <c r="G24" i="95" s="1"/>
  <c r="A24" i="95"/>
  <c r="H23" i="95"/>
  <c r="F23" i="95"/>
  <c r="A23" i="95"/>
  <c r="H22" i="95"/>
  <c r="F22" i="95"/>
  <c r="G22" i="95" s="1"/>
  <c r="A22" i="95"/>
  <c r="H21" i="95"/>
  <c r="F21" i="95"/>
  <c r="G21" i="95" s="1"/>
  <c r="A21" i="95"/>
  <c r="H20" i="95"/>
  <c r="F20" i="95"/>
  <c r="A20" i="95"/>
  <c r="L19" i="95"/>
  <c r="J19" i="95"/>
  <c r="H19" i="95"/>
  <c r="F19" i="95"/>
  <c r="A19" i="95"/>
  <c r="H18" i="95"/>
  <c r="G18" i="95" s="1"/>
  <c r="F18" i="95"/>
  <c r="H17" i="95"/>
  <c r="L4" i="95" s="1"/>
  <c r="L17" i="95" s="1"/>
  <c r="F20" i="123" s="1"/>
  <c r="F17" i="95"/>
  <c r="J4" i="95" s="1"/>
  <c r="H16" i="95"/>
  <c r="L7" i="95" s="1"/>
  <c r="F16" i="95"/>
  <c r="J7" i="95" s="1"/>
  <c r="H15" i="95"/>
  <c r="F15" i="95"/>
  <c r="H14" i="95"/>
  <c r="G14" i="95" s="1"/>
  <c r="F14" i="95"/>
  <c r="H13" i="95"/>
  <c r="F13" i="95"/>
  <c r="L12" i="95"/>
  <c r="K12" i="95"/>
  <c r="K19" i="95" s="1"/>
  <c r="D20" i="123" s="1"/>
  <c r="J12" i="95"/>
  <c r="H12" i="95"/>
  <c r="F12" i="95"/>
  <c r="G12" i="95" s="1"/>
  <c r="L11" i="95"/>
  <c r="L18" i="95" s="1"/>
  <c r="K11" i="95"/>
  <c r="K18" i="95" s="1"/>
  <c r="J11" i="95"/>
  <c r="J18" i="95" s="1"/>
  <c r="H11" i="95"/>
  <c r="F11" i="95"/>
  <c r="G11" i="95" s="1"/>
  <c r="L10" i="95"/>
  <c r="K10" i="95"/>
  <c r="J10" i="95"/>
  <c r="H10" i="95"/>
  <c r="F10" i="95"/>
  <c r="G10" i="95" s="1"/>
  <c r="L9" i="95"/>
  <c r="K9" i="95"/>
  <c r="J9" i="95"/>
  <c r="H9" i="95"/>
  <c r="F9" i="95"/>
  <c r="G9" i="95" s="1"/>
  <c r="L8" i="95"/>
  <c r="K8" i="95"/>
  <c r="J8" i="95"/>
  <c r="J21" i="95" s="1"/>
  <c r="I20" i="123" s="1"/>
  <c r="H8" i="95"/>
  <c r="F8" i="95"/>
  <c r="G8" i="95" s="1"/>
  <c r="H7" i="95"/>
  <c r="F7" i="95"/>
  <c r="G7" i="95" s="1"/>
  <c r="L6" i="95"/>
  <c r="K6" i="95"/>
  <c r="J6" i="95"/>
  <c r="H6" i="95"/>
  <c r="G6" i="95"/>
  <c r="F6" i="95"/>
  <c r="L5" i="95"/>
  <c r="K5" i="95"/>
  <c r="J5" i="95"/>
  <c r="H5" i="95"/>
  <c r="F5" i="95"/>
  <c r="H4" i="95"/>
  <c r="F4" i="95"/>
  <c r="H3" i="95"/>
  <c r="G3" i="95"/>
  <c r="F3" i="95"/>
  <c r="H42" i="94"/>
  <c r="F42" i="94"/>
  <c r="G42" i="94" s="1"/>
  <c r="A42" i="94"/>
  <c r="H41" i="94"/>
  <c r="F41" i="94"/>
  <c r="G41" i="94" s="1"/>
  <c r="A41" i="94"/>
  <c r="H40" i="94"/>
  <c r="F40" i="94"/>
  <c r="A40" i="94"/>
  <c r="H39" i="94"/>
  <c r="F39" i="94"/>
  <c r="A39" i="94"/>
  <c r="H38" i="94"/>
  <c r="F38" i="94"/>
  <c r="G38" i="94" s="1"/>
  <c r="A38" i="94"/>
  <c r="H37" i="94"/>
  <c r="F37" i="94"/>
  <c r="H36" i="94"/>
  <c r="F36" i="94"/>
  <c r="H35" i="94"/>
  <c r="F35" i="94"/>
  <c r="H34" i="94"/>
  <c r="F34" i="94"/>
  <c r="G34" i="94" s="1"/>
  <c r="H33" i="94"/>
  <c r="F33" i="94"/>
  <c r="G33" i="94" s="1"/>
  <c r="H32" i="94"/>
  <c r="F32" i="94"/>
  <c r="G32" i="94" s="1"/>
  <c r="H31" i="94"/>
  <c r="F31" i="94"/>
  <c r="G31" i="94" s="1"/>
  <c r="H30" i="94"/>
  <c r="F30" i="94"/>
  <c r="G30" i="94" s="1"/>
  <c r="H29" i="94"/>
  <c r="F29" i="94"/>
  <c r="G29" i="94" s="1"/>
  <c r="H28" i="94"/>
  <c r="F28" i="94"/>
  <c r="H27" i="94"/>
  <c r="F27" i="94"/>
  <c r="H26" i="94"/>
  <c r="F26" i="94"/>
  <c r="H25" i="94"/>
  <c r="F25" i="94"/>
  <c r="G25" i="94" s="1"/>
  <c r="H24" i="94"/>
  <c r="F24" i="94"/>
  <c r="G24" i="94" s="1"/>
  <c r="H23" i="94"/>
  <c r="F23" i="94"/>
  <c r="H22" i="94"/>
  <c r="F22" i="94"/>
  <c r="H21" i="94"/>
  <c r="G21" i="94"/>
  <c r="F21" i="94"/>
  <c r="H20" i="94"/>
  <c r="F20" i="94"/>
  <c r="H19" i="94"/>
  <c r="F19" i="94"/>
  <c r="H18" i="94"/>
  <c r="F18" i="94"/>
  <c r="G18" i="94" s="1"/>
  <c r="H17" i="94"/>
  <c r="F17" i="94"/>
  <c r="H16" i="94"/>
  <c r="F16" i="94"/>
  <c r="G16" i="94" s="1"/>
  <c r="H15" i="94"/>
  <c r="L6" i="94" s="1"/>
  <c r="F15" i="94"/>
  <c r="G15" i="94" s="1"/>
  <c r="H14" i="94"/>
  <c r="G14" i="94" s="1"/>
  <c r="F14" i="94"/>
  <c r="H13" i="94"/>
  <c r="F13" i="94"/>
  <c r="L12" i="94"/>
  <c r="L19" i="94" s="1"/>
  <c r="G19" i="123" s="1"/>
  <c r="K12" i="94"/>
  <c r="K19" i="94" s="1"/>
  <c r="D19" i="123" s="1"/>
  <c r="J12" i="94"/>
  <c r="J19" i="94" s="1"/>
  <c r="H12" i="94"/>
  <c r="F12" i="94"/>
  <c r="L11" i="94"/>
  <c r="L18" i="94" s="1"/>
  <c r="K11" i="94"/>
  <c r="K18" i="94" s="1"/>
  <c r="J11" i="94"/>
  <c r="J18" i="94" s="1"/>
  <c r="H11" i="94"/>
  <c r="F11" i="94"/>
  <c r="G11" i="94" s="1"/>
  <c r="L10" i="94"/>
  <c r="K10" i="94"/>
  <c r="J10" i="94"/>
  <c r="H10" i="94"/>
  <c r="F10" i="94"/>
  <c r="G10" i="94" s="1"/>
  <c r="H9" i="94"/>
  <c r="F9" i="94"/>
  <c r="G9" i="94" s="1"/>
  <c r="L8" i="94"/>
  <c r="K8" i="94"/>
  <c r="J8" i="94"/>
  <c r="H8" i="94"/>
  <c r="F8" i="94"/>
  <c r="G8" i="94" s="1"/>
  <c r="L7" i="94"/>
  <c r="K7" i="94"/>
  <c r="J7" i="94"/>
  <c r="H7" i="94"/>
  <c r="F7" i="94"/>
  <c r="H6" i="94"/>
  <c r="G6" i="94"/>
  <c r="F6" i="94"/>
  <c r="H5" i="94"/>
  <c r="F5" i="94"/>
  <c r="G5" i="94" s="1"/>
  <c r="H4" i="94"/>
  <c r="F4" i="94"/>
  <c r="G4" i="94" s="1"/>
  <c r="L3" i="94"/>
  <c r="L16" i="94" s="1"/>
  <c r="E19" i="123" s="1"/>
  <c r="K3" i="94"/>
  <c r="K16" i="94" s="1"/>
  <c r="B19" i="123" s="1"/>
  <c r="J3" i="94"/>
  <c r="J16" i="94" s="1"/>
  <c r="H3" i="94"/>
  <c r="F3" i="94"/>
  <c r="H42" i="93"/>
  <c r="F42" i="93"/>
  <c r="G42" i="93" s="1"/>
  <c r="A42" i="93"/>
  <c r="H41" i="93"/>
  <c r="F41" i="93"/>
  <c r="A41" i="93"/>
  <c r="H40" i="93"/>
  <c r="F40" i="93"/>
  <c r="G40" i="93" s="1"/>
  <c r="A40" i="93"/>
  <c r="H39" i="93"/>
  <c r="F39" i="93"/>
  <c r="A39" i="93"/>
  <c r="H38" i="93"/>
  <c r="F38" i="93"/>
  <c r="G38" i="93" s="1"/>
  <c r="A38" i="93"/>
  <c r="H37" i="93"/>
  <c r="F37" i="93"/>
  <c r="A37" i="93"/>
  <c r="H36" i="93"/>
  <c r="F36" i="93"/>
  <c r="G36" i="93" s="1"/>
  <c r="A36" i="93"/>
  <c r="H35" i="93"/>
  <c r="F35" i="93"/>
  <c r="G35" i="93" s="1"/>
  <c r="A35" i="93"/>
  <c r="H34" i="93"/>
  <c r="F34" i="93"/>
  <c r="G34" i="93" s="1"/>
  <c r="H33" i="93"/>
  <c r="G33" i="93"/>
  <c r="F33" i="93"/>
  <c r="H32" i="93"/>
  <c r="F32" i="93"/>
  <c r="H31" i="93"/>
  <c r="F31" i="93"/>
  <c r="G31" i="93" s="1"/>
  <c r="H30" i="93"/>
  <c r="F30" i="93"/>
  <c r="G30" i="93" s="1"/>
  <c r="H29" i="93"/>
  <c r="F29" i="93"/>
  <c r="G29" i="93" s="1"/>
  <c r="H28" i="93"/>
  <c r="G28" i="93"/>
  <c r="F28" i="93"/>
  <c r="H27" i="93"/>
  <c r="F27" i="93"/>
  <c r="G27" i="93" s="1"/>
  <c r="H26" i="93"/>
  <c r="F26" i="93"/>
  <c r="H25" i="93"/>
  <c r="F25" i="93"/>
  <c r="H24" i="93"/>
  <c r="F24" i="93"/>
  <c r="H23" i="93"/>
  <c r="F23" i="93"/>
  <c r="G23" i="93" s="1"/>
  <c r="H22" i="93"/>
  <c r="F22" i="93"/>
  <c r="G22" i="93" s="1"/>
  <c r="H21" i="93"/>
  <c r="F21" i="93"/>
  <c r="G21" i="93" s="1"/>
  <c r="H20" i="93"/>
  <c r="F20" i="93"/>
  <c r="G20" i="93" s="1"/>
  <c r="K19" i="93"/>
  <c r="D18" i="123" s="1"/>
  <c r="J19" i="93"/>
  <c r="H19" i="93"/>
  <c r="F19" i="93"/>
  <c r="G19" i="93" s="1"/>
  <c r="H18" i="93"/>
  <c r="F18" i="93"/>
  <c r="G18" i="93" s="1"/>
  <c r="H17" i="93"/>
  <c r="F17" i="93"/>
  <c r="G17" i="93" s="1"/>
  <c r="K16" i="93"/>
  <c r="B18" i="123" s="1"/>
  <c r="H16" i="93"/>
  <c r="F16" i="93"/>
  <c r="G16" i="93" s="1"/>
  <c r="H15" i="93"/>
  <c r="F15" i="93"/>
  <c r="H14" i="93"/>
  <c r="L6" i="93" s="1"/>
  <c r="G14" i="93"/>
  <c r="K6" i="93" s="1"/>
  <c r="F14" i="93"/>
  <c r="J6" i="93" s="1"/>
  <c r="H13" i="93"/>
  <c r="G13" i="93" s="1"/>
  <c r="F13" i="93"/>
  <c r="L12" i="93"/>
  <c r="L19" i="93" s="1"/>
  <c r="G18" i="123" s="1"/>
  <c r="K12" i="93"/>
  <c r="J12" i="93"/>
  <c r="H12" i="93"/>
  <c r="F12" i="93"/>
  <c r="G12" i="93" s="1"/>
  <c r="L11" i="93"/>
  <c r="L18" i="93" s="1"/>
  <c r="K11" i="93"/>
  <c r="K18" i="93" s="1"/>
  <c r="J11" i="93"/>
  <c r="J18" i="93" s="1"/>
  <c r="H11" i="93"/>
  <c r="F11" i="93"/>
  <c r="G11" i="93" s="1"/>
  <c r="L10" i="93"/>
  <c r="K10" i="93"/>
  <c r="J10" i="93"/>
  <c r="H10" i="93"/>
  <c r="G10" i="93" s="1"/>
  <c r="K9" i="93" s="1"/>
  <c r="F10" i="93"/>
  <c r="H9" i="93"/>
  <c r="F9" i="93"/>
  <c r="L8" i="93"/>
  <c r="K8" i="93"/>
  <c r="J8" i="93"/>
  <c r="H8" i="93"/>
  <c r="F8" i="93"/>
  <c r="H7" i="93"/>
  <c r="F7" i="93"/>
  <c r="H6" i="93"/>
  <c r="G6" i="93"/>
  <c r="F6" i="93"/>
  <c r="H5" i="93"/>
  <c r="F5" i="93"/>
  <c r="G5" i="93" s="1"/>
  <c r="H4" i="93"/>
  <c r="L7" i="93" s="1"/>
  <c r="F4" i="93"/>
  <c r="J7" i="93" s="1"/>
  <c r="L3" i="93"/>
  <c r="L16" i="93" s="1"/>
  <c r="E18" i="123" s="1"/>
  <c r="K3" i="93"/>
  <c r="J3" i="93"/>
  <c r="J16" i="93" s="1"/>
  <c r="H3" i="93"/>
  <c r="F3" i="93"/>
  <c r="G3" i="93" s="1"/>
  <c r="H42" i="92"/>
  <c r="F42" i="92"/>
  <c r="G42" i="92" s="1"/>
  <c r="A42" i="92"/>
  <c r="H41" i="92"/>
  <c r="F41" i="92"/>
  <c r="A41" i="92"/>
  <c r="H40" i="92"/>
  <c r="F40" i="92"/>
  <c r="A40" i="92"/>
  <c r="H39" i="92"/>
  <c r="F39" i="92"/>
  <c r="G39" i="92" s="1"/>
  <c r="A39" i="92"/>
  <c r="H38" i="92"/>
  <c r="F38" i="92"/>
  <c r="G38" i="92" s="1"/>
  <c r="A38" i="92"/>
  <c r="H37" i="92"/>
  <c r="F37" i="92"/>
  <c r="G37" i="92" s="1"/>
  <c r="A37" i="92"/>
  <c r="H36" i="92"/>
  <c r="F36" i="92"/>
  <c r="A36" i="92"/>
  <c r="H35" i="92"/>
  <c r="F35" i="92"/>
  <c r="G35" i="92" s="1"/>
  <c r="A35" i="92"/>
  <c r="H34" i="92"/>
  <c r="F34" i="92"/>
  <c r="A34" i="92"/>
  <c r="H33" i="92"/>
  <c r="F33" i="92"/>
  <c r="A33" i="92"/>
  <c r="H32" i="92"/>
  <c r="F32" i="92"/>
  <c r="A32" i="92"/>
  <c r="H31" i="92"/>
  <c r="F31" i="92"/>
  <c r="A31" i="92"/>
  <c r="H30" i="92"/>
  <c r="F30" i="92"/>
  <c r="G30" i="92" s="1"/>
  <c r="A30" i="92"/>
  <c r="H29" i="92"/>
  <c r="F29" i="92"/>
  <c r="A29" i="92"/>
  <c r="H28" i="92"/>
  <c r="G28" i="92"/>
  <c r="F28" i="92"/>
  <c r="A28" i="92"/>
  <c r="H27" i="92"/>
  <c r="G27" i="92"/>
  <c r="F27" i="92"/>
  <c r="A27" i="92"/>
  <c r="H26" i="92"/>
  <c r="F26" i="92"/>
  <c r="G26" i="92" s="1"/>
  <c r="A26" i="92"/>
  <c r="H25" i="92"/>
  <c r="F25" i="92"/>
  <c r="G25" i="92" s="1"/>
  <c r="A25" i="92"/>
  <c r="H24" i="92"/>
  <c r="G24" i="92" s="1"/>
  <c r="F24" i="92"/>
  <c r="A24" i="92"/>
  <c r="H23" i="92"/>
  <c r="F23" i="92"/>
  <c r="A23" i="92"/>
  <c r="H22" i="92"/>
  <c r="F22" i="92"/>
  <c r="G22" i="92" s="1"/>
  <c r="H21" i="92"/>
  <c r="F21" i="92"/>
  <c r="G21" i="92" s="1"/>
  <c r="H20" i="92"/>
  <c r="F20" i="92"/>
  <c r="G20" i="92" s="1"/>
  <c r="L19" i="92"/>
  <c r="G17" i="123" s="1"/>
  <c r="K19" i="92"/>
  <c r="D17" i="123" s="1"/>
  <c r="H19" i="92"/>
  <c r="G19" i="92" s="1"/>
  <c r="F19" i="92"/>
  <c r="L18" i="92"/>
  <c r="H18" i="92"/>
  <c r="F18" i="92"/>
  <c r="G18" i="92" s="1"/>
  <c r="H17" i="92"/>
  <c r="F17" i="92"/>
  <c r="H16" i="92"/>
  <c r="F16" i="92"/>
  <c r="H15" i="92"/>
  <c r="F15" i="92"/>
  <c r="G15" i="92" s="1"/>
  <c r="H14" i="92"/>
  <c r="G14" i="92" s="1"/>
  <c r="F14" i="92"/>
  <c r="H13" i="92"/>
  <c r="F13" i="92"/>
  <c r="L12" i="92"/>
  <c r="K12" i="92"/>
  <c r="J12" i="92"/>
  <c r="J19" i="92" s="1"/>
  <c r="H12" i="92"/>
  <c r="F12" i="92"/>
  <c r="L11" i="92"/>
  <c r="K11" i="92"/>
  <c r="K18" i="92" s="1"/>
  <c r="J11" i="92"/>
  <c r="J18" i="92" s="1"/>
  <c r="H11" i="92"/>
  <c r="F11" i="92"/>
  <c r="G11" i="92" s="1"/>
  <c r="L10" i="92"/>
  <c r="K10" i="92"/>
  <c r="J10" i="92"/>
  <c r="H10" i="92"/>
  <c r="G10" i="92"/>
  <c r="F10" i="92"/>
  <c r="L9" i="92"/>
  <c r="K9" i="92"/>
  <c r="J9" i="92"/>
  <c r="H9" i="92"/>
  <c r="L5" i="92" s="1"/>
  <c r="F9" i="92"/>
  <c r="G9" i="92" s="1"/>
  <c r="L8" i="92"/>
  <c r="L21" i="92" s="1"/>
  <c r="K8" i="92"/>
  <c r="K21" i="92" s="1"/>
  <c r="J8" i="92"/>
  <c r="J21" i="92" s="1"/>
  <c r="I17" i="123" s="1"/>
  <c r="H8" i="92"/>
  <c r="F8" i="92"/>
  <c r="G8" i="92" s="1"/>
  <c r="L7" i="92"/>
  <c r="K7" i="92"/>
  <c r="J7" i="92"/>
  <c r="H7" i="92"/>
  <c r="F7" i="92"/>
  <c r="G7" i="92" s="1"/>
  <c r="H6" i="92"/>
  <c r="F6" i="92"/>
  <c r="J6" i="92" s="1"/>
  <c r="H5" i="92"/>
  <c r="F5" i="92"/>
  <c r="G5" i="92" s="1"/>
  <c r="H4" i="92"/>
  <c r="F4" i="92"/>
  <c r="G4" i="92" s="1"/>
  <c r="L3" i="92"/>
  <c r="L16" i="92" s="1"/>
  <c r="E17" i="123" s="1"/>
  <c r="K3" i="92"/>
  <c r="K16" i="92" s="1"/>
  <c r="B17" i="123" s="1"/>
  <c r="J3" i="92"/>
  <c r="J16" i="92" s="1"/>
  <c r="H3" i="92"/>
  <c r="G3" i="92"/>
  <c r="F3" i="92"/>
  <c r="H42" i="91"/>
  <c r="F42" i="91"/>
  <c r="G42" i="91" s="1"/>
  <c r="A42" i="91"/>
  <c r="H41" i="91"/>
  <c r="F41" i="91"/>
  <c r="G41" i="91" s="1"/>
  <c r="A41" i="91"/>
  <c r="H40" i="91"/>
  <c r="G40" i="91"/>
  <c r="F40" i="91"/>
  <c r="A40" i="91"/>
  <c r="H39" i="91"/>
  <c r="F39" i="91"/>
  <c r="G39" i="91" s="1"/>
  <c r="A39" i="91"/>
  <c r="H38" i="91"/>
  <c r="F38" i="91"/>
  <c r="G38" i="91" s="1"/>
  <c r="H37" i="91"/>
  <c r="F37" i="91"/>
  <c r="G37" i="91" s="1"/>
  <c r="H36" i="91"/>
  <c r="F36" i="91"/>
  <c r="G36" i="91" s="1"/>
  <c r="H35" i="91"/>
  <c r="F35" i="91"/>
  <c r="H34" i="91"/>
  <c r="F34" i="91"/>
  <c r="G34" i="91" s="1"/>
  <c r="H33" i="91"/>
  <c r="F33" i="91"/>
  <c r="H32" i="91"/>
  <c r="F32" i="91"/>
  <c r="H31" i="91"/>
  <c r="F31" i="91"/>
  <c r="H30" i="91"/>
  <c r="F30" i="91"/>
  <c r="G30" i="91" s="1"/>
  <c r="H29" i="91"/>
  <c r="F29" i="91"/>
  <c r="G29" i="91" s="1"/>
  <c r="H28" i="91"/>
  <c r="F28" i="91"/>
  <c r="G28" i="91" s="1"/>
  <c r="H27" i="91"/>
  <c r="G27" i="91" s="1"/>
  <c r="F27" i="91"/>
  <c r="H26" i="91"/>
  <c r="F26" i="91"/>
  <c r="H25" i="91"/>
  <c r="F25" i="91"/>
  <c r="G25" i="91" s="1"/>
  <c r="H24" i="91"/>
  <c r="F24" i="91"/>
  <c r="G24" i="91" s="1"/>
  <c r="H23" i="91"/>
  <c r="F23" i="91"/>
  <c r="G23" i="91" s="1"/>
  <c r="H22" i="91"/>
  <c r="F22" i="91"/>
  <c r="G22" i="91" s="1"/>
  <c r="L21" i="91"/>
  <c r="H21" i="91"/>
  <c r="F21" i="91"/>
  <c r="H20" i="91"/>
  <c r="F20" i="91"/>
  <c r="H19" i="91"/>
  <c r="F19" i="91"/>
  <c r="G19" i="91" s="1"/>
  <c r="H18" i="91"/>
  <c r="F18" i="91"/>
  <c r="H17" i="91"/>
  <c r="F17" i="91"/>
  <c r="G17" i="91" s="1"/>
  <c r="H16" i="91"/>
  <c r="F16" i="91"/>
  <c r="G16" i="91" s="1"/>
  <c r="H15" i="91"/>
  <c r="F15" i="91"/>
  <c r="H14" i="91"/>
  <c r="F14" i="91"/>
  <c r="H13" i="91"/>
  <c r="G13" i="91" s="1"/>
  <c r="F13" i="91"/>
  <c r="L12" i="91"/>
  <c r="L19" i="91" s="1"/>
  <c r="G16" i="123" s="1"/>
  <c r="K12" i="91"/>
  <c r="K19" i="91" s="1"/>
  <c r="D16" i="123" s="1"/>
  <c r="J12" i="91"/>
  <c r="J19" i="91" s="1"/>
  <c r="H12" i="91"/>
  <c r="F12" i="91"/>
  <c r="G12" i="91" s="1"/>
  <c r="L11" i="91"/>
  <c r="L18" i="91" s="1"/>
  <c r="K11" i="91"/>
  <c r="K18" i="91" s="1"/>
  <c r="J11" i="91"/>
  <c r="J18" i="91" s="1"/>
  <c r="H11" i="91"/>
  <c r="F11" i="91"/>
  <c r="G11" i="91" s="1"/>
  <c r="L10" i="91"/>
  <c r="K10" i="91"/>
  <c r="J10" i="91"/>
  <c r="H10" i="91"/>
  <c r="F10" i="91"/>
  <c r="L9" i="91"/>
  <c r="K9" i="91"/>
  <c r="J9" i="91"/>
  <c r="H9" i="91"/>
  <c r="F9" i="91"/>
  <c r="G9" i="91" s="1"/>
  <c r="L8" i="91"/>
  <c r="K8" i="91"/>
  <c r="K21" i="91" s="1"/>
  <c r="J8" i="91"/>
  <c r="J21" i="91" s="1"/>
  <c r="I16" i="123" s="1"/>
  <c r="H8" i="91"/>
  <c r="F8" i="91"/>
  <c r="G8" i="91" s="1"/>
  <c r="H7" i="91"/>
  <c r="F7" i="91"/>
  <c r="G7" i="91" s="1"/>
  <c r="L6" i="91"/>
  <c r="H6" i="91"/>
  <c r="F6" i="91"/>
  <c r="G6" i="91" s="1"/>
  <c r="H5" i="91"/>
  <c r="F5" i="91"/>
  <c r="H4" i="91"/>
  <c r="F4" i="91"/>
  <c r="G4" i="91" s="1"/>
  <c r="L3" i="91"/>
  <c r="L16" i="91" s="1"/>
  <c r="E16" i="123" s="1"/>
  <c r="K3" i="91"/>
  <c r="K16" i="91" s="1"/>
  <c r="B16" i="123" s="1"/>
  <c r="J3" i="91"/>
  <c r="J16" i="91" s="1"/>
  <c r="H3" i="91"/>
  <c r="F3" i="91"/>
  <c r="J7" i="91" s="1"/>
  <c r="H42" i="90"/>
  <c r="G42" i="90"/>
  <c r="F42" i="90"/>
  <c r="A42" i="90"/>
  <c r="H41" i="90"/>
  <c r="F41" i="90"/>
  <c r="G41" i="90" s="1"/>
  <c r="A41" i="90"/>
  <c r="H40" i="90"/>
  <c r="F40" i="90"/>
  <c r="G40" i="90" s="1"/>
  <c r="A40" i="90"/>
  <c r="H39" i="90"/>
  <c r="F39" i="90"/>
  <c r="G39" i="90" s="1"/>
  <c r="A39" i="90"/>
  <c r="H38" i="90"/>
  <c r="F38" i="90"/>
  <c r="G38" i="90" s="1"/>
  <c r="A38" i="90"/>
  <c r="H37" i="90"/>
  <c r="F37" i="90"/>
  <c r="A37" i="90"/>
  <c r="H36" i="90"/>
  <c r="G36" i="90"/>
  <c r="F36" i="90"/>
  <c r="A36" i="90"/>
  <c r="H35" i="90"/>
  <c r="F35" i="90"/>
  <c r="G35" i="90" s="1"/>
  <c r="A35" i="90"/>
  <c r="H34" i="90"/>
  <c r="F34" i="90"/>
  <c r="G34" i="90" s="1"/>
  <c r="A34" i="90"/>
  <c r="H33" i="90"/>
  <c r="F33" i="90"/>
  <c r="G33" i="90" s="1"/>
  <c r="A33" i="90"/>
  <c r="H32" i="90"/>
  <c r="F32" i="90"/>
  <c r="G32" i="90" s="1"/>
  <c r="A32" i="90"/>
  <c r="H31" i="90"/>
  <c r="F31" i="90"/>
  <c r="G31" i="90" s="1"/>
  <c r="A31" i="90"/>
  <c r="H30" i="90"/>
  <c r="F30" i="90"/>
  <c r="G30" i="90" s="1"/>
  <c r="A30" i="90"/>
  <c r="H29" i="90"/>
  <c r="F29" i="90"/>
  <c r="A29" i="90"/>
  <c r="H28" i="90"/>
  <c r="G28" i="90"/>
  <c r="F28" i="90"/>
  <c r="A28" i="90"/>
  <c r="H27" i="90"/>
  <c r="F27" i="90"/>
  <c r="G27" i="90" s="1"/>
  <c r="A27" i="90"/>
  <c r="H26" i="90"/>
  <c r="G26" i="90"/>
  <c r="F26" i="90"/>
  <c r="A26" i="90"/>
  <c r="H25" i="90"/>
  <c r="F25" i="90"/>
  <c r="G25" i="90" s="1"/>
  <c r="A25" i="90"/>
  <c r="H24" i="90"/>
  <c r="F24" i="90"/>
  <c r="G24" i="90" s="1"/>
  <c r="A24" i="90"/>
  <c r="H23" i="90"/>
  <c r="F23" i="90"/>
  <c r="A23" i="90"/>
  <c r="H22" i="90"/>
  <c r="F22" i="90"/>
  <c r="G22" i="90" s="1"/>
  <c r="A22" i="90"/>
  <c r="H21" i="90"/>
  <c r="F21" i="90"/>
  <c r="G21" i="90" s="1"/>
  <c r="H20" i="90"/>
  <c r="F20" i="90"/>
  <c r="G20" i="90" s="1"/>
  <c r="L19" i="90"/>
  <c r="G15" i="123" s="1"/>
  <c r="H19" i="90"/>
  <c r="F19" i="90"/>
  <c r="H18" i="90"/>
  <c r="F18" i="90"/>
  <c r="G18" i="90" s="1"/>
  <c r="H17" i="90"/>
  <c r="F17" i="90"/>
  <c r="H16" i="90"/>
  <c r="F16" i="90"/>
  <c r="G16" i="90" s="1"/>
  <c r="H15" i="90"/>
  <c r="F15" i="90"/>
  <c r="G15" i="90" s="1"/>
  <c r="H14" i="90"/>
  <c r="F14" i="90"/>
  <c r="G14" i="90" s="1"/>
  <c r="H13" i="90"/>
  <c r="L9" i="90" s="1"/>
  <c r="G13" i="90"/>
  <c r="F13" i="90"/>
  <c r="L12" i="90"/>
  <c r="K12" i="90"/>
  <c r="K19" i="90" s="1"/>
  <c r="D15" i="123" s="1"/>
  <c r="J12" i="90"/>
  <c r="J19" i="90" s="1"/>
  <c r="H12" i="90"/>
  <c r="F12" i="90"/>
  <c r="G12" i="90" s="1"/>
  <c r="L11" i="90"/>
  <c r="L18" i="90" s="1"/>
  <c r="K11" i="90"/>
  <c r="K18" i="90" s="1"/>
  <c r="J11" i="90"/>
  <c r="J18" i="90" s="1"/>
  <c r="H11" i="90"/>
  <c r="G11" i="90"/>
  <c r="F11" i="90"/>
  <c r="L10" i="90"/>
  <c r="K10" i="90"/>
  <c r="J10" i="90"/>
  <c r="H10" i="90"/>
  <c r="F10" i="90"/>
  <c r="J7" i="90" s="1"/>
  <c r="H9" i="90"/>
  <c r="F9" i="90"/>
  <c r="G9" i="90" s="1"/>
  <c r="L8" i="90"/>
  <c r="K8" i="90"/>
  <c r="J8" i="90"/>
  <c r="H8" i="90"/>
  <c r="F8" i="90"/>
  <c r="H7" i="90"/>
  <c r="F7" i="90"/>
  <c r="G7" i="90" s="1"/>
  <c r="L6" i="90"/>
  <c r="K6" i="90"/>
  <c r="J6" i="90"/>
  <c r="H6" i="90"/>
  <c r="F6" i="90"/>
  <c r="G6" i="90" s="1"/>
  <c r="H5" i="90"/>
  <c r="F5" i="90"/>
  <c r="G5" i="90" s="1"/>
  <c r="H4" i="90"/>
  <c r="F4" i="90"/>
  <c r="G4" i="90" s="1"/>
  <c r="L3" i="90"/>
  <c r="L16" i="90" s="1"/>
  <c r="E15" i="123" s="1"/>
  <c r="K3" i="90"/>
  <c r="K16" i="90" s="1"/>
  <c r="B15" i="123" s="1"/>
  <c r="J3" i="90"/>
  <c r="J16" i="90" s="1"/>
  <c r="H3" i="90"/>
  <c r="F3" i="90"/>
  <c r="J5" i="90" s="1"/>
  <c r="H42" i="89"/>
  <c r="F42" i="89"/>
  <c r="G42" i="89" s="1"/>
  <c r="A42" i="89"/>
  <c r="H41" i="89"/>
  <c r="F41" i="89"/>
  <c r="G41" i="89" s="1"/>
  <c r="A41" i="89"/>
  <c r="H40" i="89"/>
  <c r="F40" i="89"/>
  <c r="G40" i="89" s="1"/>
  <c r="A40" i="89"/>
  <c r="H39" i="89"/>
  <c r="F39" i="89"/>
  <c r="G39" i="89" s="1"/>
  <c r="A39" i="89"/>
  <c r="H38" i="89"/>
  <c r="F38" i="89"/>
  <c r="A38" i="89"/>
  <c r="H37" i="89"/>
  <c r="F37" i="89"/>
  <c r="G37" i="89" s="1"/>
  <c r="A37" i="89"/>
  <c r="H36" i="89"/>
  <c r="F36" i="89"/>
  <c r="G36" i="89" s="1"/>
  <c r="A36" i="89"/>
  <c r="H35" i="89"/>
  <c r="G35" i="89"/>
  <c r="F35" i="89"/>
  <c r="A35" i="89"/>
  <c r="H34" i="89"/>
  <c r="F34" i="89"/>
  <c r="G34" i="89" s="1"/>
  <c r="A34" i="89"/>
  <c r="H33" i="89"/>
  <c r="F33" i="89"/>
  <c r="G33" i="89" s="1"/>
  <c r="A33" i="89"/>
  <c r="H32" i="89"/>
  <c r="F32" i="89"/>
  <c r="G32" i="89" s="1"/>
  <c r="A32" i="89"/>
  <c r="H31" i="89"/>
  <c r="F31" i="89"/>
  <c r="G31" i="89" s="1"/>
  <c r="A31" i="89"/>
  <c r="H30" i="89"/>
  <c r="F30" i="89"/>
  <c r="G30" i="89" s="1"/>
  <c r="A30" i="89"/>
  <c r="H29" i="89"/>
  <c r="F29" i="89"/>
  <c r="G29" i="89" s="1"/>
  <c r="A29" i="89"/>
  <c r="H28" i="89"/>
  <c r="F28" i="89"/>
  <c r="G28" i="89" s="1"/>
  <c r="A28" i="89"/>
  <c r="H27" i="89"/>
  <c r="G27" i="89" s="1"/>
  <c r="F27" i="89"/>
  <c r="A27" i="89"/>
  <c r="H26" i="89"/>
  <c r="G26" i="89"/>
  <c r="F26" i="89"/>
  <c r="A26" i="89"/>
  <c r="H25" i="89"/>
  <c r="G25" i="89"/>
  <c r="F25" i="89"/>
  <c r="A25" i="89"/>
  <c r="H24" i="89"/>
  <c r="F24" i="89"/>
  <c r="H23" i="89"/>
  <c r="L7" i="89" s="1"/>
  <c r="F23" i="89"/>
  <c r="G23" i="89" s="1"/>
  <c r="K7" i="89" s="1"/>
  <c r="H22" i="89"/>
  <c r="F22" i="89"/>
  <c r="G22" i="89" s="1"/>
  <c r="H21" i="89"/>
  <c r="F21" i="89"/>
  <c r="H20" i="89"/>
  <c r="F20" i="89"/>
  <c r="J9" i="89" s="1"/>
  <c r="H19" i="89"/>
  <c r="F19" i="89"/>
  <c r="G19" i="89" s="1"/>
  <c r="H18" i="89"/>
  <c r="F18" i="89"/>
  <c r="G18" i="89" s="1"/>
  <c r="H17" i="89"/>
  <c r="F17" i="89"/>
  <c r="G17" i="89" s="1"/>
  <c r="H16" i="89"/>
  <c r="F16" i="89"/>
  <c r="H15" i="89"/>
  <c r="F15" i="89"/>
  <c r="G15" i="89" s="1"/>
  <c r="H14" i="89"/>
  <c r="F14" i="89"/>
  <c r="G14" i="89" s="1"/>
  <c r="H13" i="89"/>
  <c r="F13" i="89"/>
  <c r="G13" i="89" s="1"/>
  <c r="L12" i="89"/>
  <c r="L19" i="89" s="1"/>
  <c r="G14" i="123" s="1"/>
  <c r="K12" i="89"/>
  <c r="K19" i="89" s="1"/>
  <c r="J12" i="89"/>
  <c r="J19" i="89" s="1"/>
  <c r="H12" i="89"/>
  <c r="F12" i="89"/>
  <c r="G12" i="89" s="1"/>
  <c r="L11" i="89"/>
  <c r="L18" i="89" s="1"/>
  <c r="K11" i="89"/>
  <c r="K18" i="89" s="1"/>
  <c r="J11" i="89"/>
  <c r="J18" i="89" s="1"/>
  <c r="H11" i="89"/>
  <c r="F11" i="89"/>
  <c r="L10" i="89"/>
  <c r="K10" i="89"/>
  <c r="J10" i="89"/>
  <c r="H10" i="89"/>
  <c r="F10" i="89"/>
  <c r="G10" i="89" s="1"/>
  <c r="H9" i="89"/>
  <c r="F9" i="89"/>
  <c r="G9" i="89" s="1"/>
  <c r="L8" i="89"/>
  <c r="K8" i="89"/>
  <c r="J8" i="89"/>
  <c r="J21" i="89" s="1"/>
  <c r="I14" i="123" s="1"/>
  <c r="H8" i="89"/>
  <c r="F8" i="89"/>
  <c r="H7" i="89"/>
  <c r="G7" i="89" s="1"/>
  <c r="F7" i="89"/>
  <c r="L6" i="89"/>
  <c r="K6" i="89"/>
  <c r="J6" i="89"/>
  <c r="H6" i="89"/>
  <c r="F6" i="89"/>
  <c r="H5" i="89"/>
  <c r="F5" i="89"/>
  <c r="G5" i="89" s="1"/>
  <c r="H4" i="89"/>
  <c r="F4" i="89"/>
  <c r="L3" i="89"/>
  <c r="L16" i="89" s="1"/>
  <c r="E14" i="123" s="1"/>
  <c r="K3" i="89"/>
  <c r="K16" i="89" s="1"/>
  <c r="B14" i="123" s="1"/>
  <c r="J3" i="89"/>
  <c r="J16" i="89" s="1"/>
  <c r="H3" i="89"/>
  <c r="G3" i="89"/>
  <c r="F3" i="89"/>
  <c r="H42" i="88"/>
  <c r="F42" i="88"/>
  <c r="A42" i="88"/>
  <c r="H41" i="88"/>
  <c r="F41" i="88"/>
  <c r="A41" i="88"/>
  <c r="H40" i="88"/>
  <c r="F40" i="88"/>
  <c r="G40" i="88" s="1"/>
  <c r="A40" i="88"/>
  <c r="H39" i="88"/>
  <c r="G39" i="88"/>
  <c r="F39" i="88"/>
  <c r="A39" i="88"/>
  <c r="H38" i="88"/>
  <c r="F38" i="88"/>
  <c r="A38" i="88"/>
  <c r="H37" i="88"/>
  <c r="F37" i="88"/>
  <c r="G37" i="88" s="1"/>
  <c r="A37" i="88"/>
  <c r="H36" i="88"/>
  <c r="F36" i="88"/>
  <c r="G36" i="88" s="1"/>
  <c r="A36" i="88"/>
  <c r="H35" i="88"/>
  <c r="G35" i="88"/>
  <c r="F35" i="88"/>
  <c r="A35" i="88"/>
  <c r="H34" i="88"/>
  <c r="F34" i="88"/>
  <c r="A34" i="88"/>
  <c r="H33" i="88"/>
  <c r="F33" i="88"/>
  <c r="A33" i="88"/>
  <c r="H32" i="88"/>
  <c r="G32" i="88"/>
  <c r="F32" i="88"/>
  <c r="A32" i="88"/>
  <c r="H31" i="88"/>
  <c r="F31" i="88"/>
  <c r="G31" i="88" s="1"/>
  <c r="A31" i="88"/>
  <c r="H30" i="88"/>
  <c r="F30" i="88"/>
  <c r="A30" i="88"/>
  <c r="H29" i="88"/>
  <c r="F29" i="88"/>
  <c r="G29" i="88" s="1"/>
  <c r="A29" i="88"/>
  <c r="H28" i="88"/>
  <c r="F28" i="88"/>
  <c r="G28" i="88" s="1"/>
  <c r="A28" i="88"/>
  <c r="H27" i="88"/>
  <c r="F27" i="88"/>
  <c r="G27" i="88" s="1"/>
  <c r="A27" i="88"/>
  <c r="H26" i="88"/>
  <c r="F26" i="88"/>
  <c r="G26" i="88" s="1"/>
  <c r="H25" i="88"/>
  <c r="L9" i="88" s="1"/>
  <c r="F25" i="88"/>
  <c r="H24" i="88"/>
  <c r="F24" i="88"/>
  <c r="G24" i="88" s="1"/>
  <c r="H23" i="88"/>
  <c r="F23" i="88"/>
  <c r="H22" i="88"/>
  <c r="G22" i="88" s="1"/>
  <c r="F22" i="88"/>
  <c r="H21" i="88"/>
  <c r="F21" i="88"/>
  <c r="G21" i="88" s="1"/>
  <c r="H20" i="88"/>
  <c r="F20" i="88"/>
  <c r="G20" i="88" s="1"/>
  <c r="H19" i="88"/>
  <c r="F19" i="88"/>
  <c r="H18" i="88"/>
  <c r="F18" i="88"/>
  <c r="G18" i="88" s="1"/>
  <c r="H17" i="88"/>
  <c r="F17" i="88"/>
  <c r="H16" i="88"/>
  <c r="F16" i="88"/>
  <c r="G16" i="88" s="1"/>
  <c r="H15" i="88"/>
  <c r="F15" i="88"/>
  <c r="H14" i="88"/>
  <c r="L7" i="88" s="1"/>
  <c r="F14" i="88"/>
  <c r="G14" i="88" s="1"/>
  <c r="K7" i="88" s="1"/>
  <c r="H13" i="88"/>
  <c r="F13" i="88"/>
  <c r="L12" i="88"/>
  <c r="L19" i="88" s="1"/>
  <c r="G13" i="123" s="1"/>
  <c r="K12" i="88"/>
  <c r="K19" i="88" s="1"/>
  <c r="D13" i="123" s="1"/>
  <c r="J12" i="88"/>
  <c r="J19" i="88" s="1"/>
  <c r="H12" i="88"/>
  <c r="G12" i="88" s="1"/>
  <c r="F12" i="88"/>
  <c r="L11" i="88"/>
  <c r="L18" i="88" s="1"/>
  <c r="K11" i="88"/>
  <c r="K18" i="88" s="1"/>
  <c r="J11" i="88"/>
  <c r="J18" i="88" s="1"/>
  <c r="H11" i="88"/>
  <c r="G11" i="88" s="1"/>
  <c r="F11" i="88"/>
  <c r="L10" i="88"/>
  <c r="K10" i="88"/>
  <c r="J10" i="88"/>
  <c r="H10" i="88"/>
  <c r="F10" i="88"/>
  <c r="G10" i="88" s="1"/>
  <c r="J9" i="88"/>
  <c r="H9" i="88"/>
  <c r="F9" i="88"/>
  <c r="L8" i="88"/>
  <c r="K8" i="88"/>
  <c r="J8" i="88"/>
  <c r="H8" i="88"/>
  <c r="F8" i="88"/>
  <c r="G8" i="88" s="1"/>
  <c r="H7" i="88"/>
  <c r="F7" i="88"/>
  <c r="G7" i="88" s="1"/>
  <c r="L6" i="88"/>
  <c r="K6" i="88"/>
  <c r="J6" i="88"/>
  <c r="H6" i="88"/>
  <c r="F6" i="88"/>
  <c r="G6" i="88" s="1"/>
  <c r="H5" i="88"/>
  <c r="F5" i="88"/>
  <c r="H4" i="88"/>
  <c r="G4" i="88" s="1"/>
  <c r="F4" i="88"/>
  <c r="L3" i="88"/>
  <c r="L16" i="88" s="1"/>
  <c r="E13" i="123" s="1"/>
  <c r="K3" i="88"/>
  <c r="K16" i="88" s="1"/>
  <c r="B13" i="123" s="1"/>
  <c r="J3" i="88"/>
  <c r="J16" i="88" s="1"/>
  <c r="H3" i="88"/>
  <c r="L5" i="88" s="1"/>
  <c r="F3" i="88"/>
  <c r="H42" i="87"/>
  <c r="F42" i="87"/>
  <c r="G42" i="87" s="1"/>
  <c r="A42" i="87"/>
  <c r="H41" i="87"/>
  <c r="G41" i="87" s="1"/>
  <c r="F41" i="87"/>
  <c r="A41" i="87"/>
  <c r="H40" i="87"/>
  <c r="F40" i="87"/>
  <c r="A40" i="87"/>
  <c r="H39" i="87"/>
  <c r="F39" i="87"/>
  <c r="G39" i="87" s="1"/>
  <c r="A39" i="87"/>
  <c r="H38" i="87"/>
  <c r="F38" i="87"/>
  <c r="A38" i="87"/>
  <c r="H37" i="87"/>
  <c r="G37" i="87" s="1"/>
  <c r="F37" i="87"/>
  <c r="A37" i="87"/>
  <c r="H36" i="87"/>
  <c r="G36" i="87"/>
  <c r="F36" i="87"/>
  <c r="A36" i="87"/>
  <c r="H35" i="87"/>
  <c r="F35" i="87"/>
  <c r="G35" i="87" s="1"/>
  <c r="A35" i="87"/>
  <c r="H34" i="87"/>
  <c r="F34" i="87"/>
  <c r="G34" i="87" s="1"/>
  <c r="A34" i="87"/>
  <c r="H33" i="87"/>
  <c r="F33" i="87"/>
  <c r="G33" i="87" s="1"/>
  <c r="A33" i="87"/>
  <c r="H32" i="87"/>
  <c r="F32" i="87"/>
  <c r="A32" i="87"/>
  <c r="H31" i="87"/>
  <c r="F31" i="87"/>
  <c r="G31" i="87" s="1"/>
  <c r="A31" i="87"/>
  <c r="H30" i="87"/>
  <c r="F30" i="87"/>
  <c r="G30" i="87" s="1"/>
  <c r="A30" i="87"/>
  <c r="H29" i="87"/>
  <c r="F29" i="87"/>
  <c r="G29" i="87" s="1"/>
  <c r="A29" i="87"/>
  <c r="H28" i="87"/>
  <c r="F28" i="87"/>
  <c r="A28" i="87"/>
  <c r="H27" i="87"/>
  <c r="G27" i="87"/>
  <c r="F27" i="87"/>
  <c r="H26" i="87"/>
  <c r="F26" i="87"/>
  <c r="H25" i="87"/>
  <c r="F25" i="87"/>
  <c r="H24" i="87"/>
  <c r="G24" i="87" s="1"/>
  <c r="F24" i="87"/>
  <c r="H23" i="87"/>
  <c r="F23" i="87"/>
  <c r="H22" i="87"/>
  <c r="F22" i="87"/>
  <c r="G22" i="87" s="1"/>
  <c r="H21" i="87"/>
  <c r="F21" i="87"/>
  <c r="G21" i="87" s="1"/>
  <c r="H20" i="87"/>
  <c r="F20" i="87"/>
  <c r="G20" i="87" s="1"/>
  <c r="H19" i="87"/>
  <c r="G19" i="87"/>
  <c r="F19" i="87"/>
  <c r="L18" i="87"/>
  <c r="G12" i="123" s="1"/>
  <c r="K18" i="87"/>
  <c r="D12" i="123" s="1"/>
  <c r="J18" i="87"/>
  <c r="H18" i="87"/>
  <c r="F18" i="87"/>
  <c r="H17" i="87"/>
  <c r="F17" i="87"/>
  <c r="G17" i="87" s="1"/>
  <c r="H16" i="87"/>
  <c r="F16" i="87"/>
  <c r="H15" i="87"/>
  <c r="F15" i="87"/>
  <c r="H14" i="87"/>
  <c r="F14" i="87"/>
  <c r="H13" i="87"/>
  <c r="F13" i="87"/>
  <c r="G13" i="87" s="1"/>
  <c r="L12" i="87"/>
  <c r="K12" i="87"/>
  <c r="J12" i="87"/>
  <c r="H12" i="87"/>
  <c r="F12" i="87"/>
  <c r="G12" i="87" s="1"/>
  <c r="L11" i="87"/>
  <c r="L17" i="87" s="1"/>
  <c r="K11" i="87"/>
  <c r="K17" i="87" s="1"/>
  <c r="J11" i="87"/>
  <c r="J17" i="87" s="1"/>
  <c r="H11" i="87"/>
  <c r="F11" i="87"/>
  <c r="G11" i="87" s="1"/>
  <c r="L10" i="87"/>
  <c r="K10" i="87"/>
  <c r="J10" i="87"/>
  <c r="H10" i="87"/>
  <c r="F10" i="87"/>
  <c r="G10" i="87" s="1"/>
  <c r="L9" i="87"/>
  <c r="K9" i="87"/>
  <c r="J9" i="87"/>
  <c r="J20" i="87" s="1"/>
  <c r="I12" i="123" s="1"/>
  <c r="H9" i="87"/>
  <c r="F9" i="87"/>
  <c r="G9" i="87" s="1"/>
  <c r="L8" i="87"/>
  <c r="L20" i="87" s="1"/>
  <c r="K8" i="87"/>
  <c r="K20" i="87" s="1"/>
  <c r="J8" i="87"/>
  <c r="H8" i="87"/>
  <c r="F8" i="87"/>
  <c r="L7" i="87"/>
  <c r="K7" i="87"/>
  <c r="J7" i="87"/>
  <c r="H7" i="87"/>
  <c r="F7" i="87"/>
  <c r="G7" i="87" s="1"/>
  <c r="H6" i="87"/>
  <c r="F6" i="87"/>
  <c r="G6" i="87" s="1"/>
  <c r="H5" i="87"/>
  <c r="F5" i="87"/>
  <c r="G5" i="87" s="1"/>
  <c r="H4" i="87"/>
  <c r="F4" i="87"/>
  <c r="L3" i="87"/>
  <c r="L15" i="87" s="1"/>
  <c r="E12" i="123" s="1"/>
  <c r="K3" i="87"/>
  <c r="K15" i="87" s="1"/>
  <c r="B12" i="123" s="1"/>
  <c r="J3" i="87"/>
  <c r="J15" i="87" s="1"/>
  <c r="H3" i="87"/>
  <c r="G3" i="87"/>
  <c r="F3" i="87"/>
  <c r="H42" i="86"/>
  <c r="F42" i="86"/>
  <c r="G42" i="86" s="1"/>
  <c r="A42" i="86"/>
  <c r="H41" i="86"/>
  <c r="F41" i="86"/>
  <c r="A41" i="86"/>
  <c r="H40" i="86"/>
  <c r="F40" i="86"/>
  <c r="G40" i="86" s="1"/>
  <c r="A40" i="86"/>
  <c r="H39" i="86"/>
  <c r="F39" i="86"/>
  <c r="G39" i="86" s="1"/>
  <c r="A39" i="86"/>
  <c r="H38" i="86"/>
  <c r="F38" i="86"/>
  <c r="G38" i="86" s="1"/>
  <c r="A38" i="86"/>
  <c r="H37" i="86"/>
  <c r="F37" i="86"/>
  <c r="A37" i="86"/>
  <c r="H36" i="86"/>
  <c r="F36" i="86"/>
  <c r="A36" i="86"/>
  <c r="H35" i="86"/>
  <c r="F35" i="86"/>
  <c r="A35" i="86"/>
  <c r="H34" i="86"/>
  <c r="F34" i="86"/>
  <c r="G34" i="86" s="1"/>
  <c r="A34" i="86"/>
  <c r="H33" i="86"/>
  <c r="F33" i="86"/>
  <c r="G33" i="86" s="1"/>
  <c r="H32" i="86"/>
  <c r="F32" i="86"/>
  <c r="G32" i="86" s="1"/>
  <c r="H31" i="86"/>
  <c r="G31" i="86"/>
  <c r="F31" i="86"/>
  <c r="H30" i="86"/>
  <c r="F30" i="86"/>
  <c r="G30" i="86" s="1"/>
  <c r="H29" i="86"/>
  <c r="F29" i="86"/>
  <c r="G29" i="86" s="1"/>
  <c r="H28" i="86"/>
  <c r="F28" i="86"/>
  <c r="G28" i="86" s="1"/>
  <c r="H27" i="86"/>
  <c r="F27" i="86"/>
  <c r="H26" i="86"/>
  <c r="F26" i="86"/>
  <c r="G26" i="86" s="1"/>
  <c r="H25" i="86"/>
  <c r="F25" i="86"/>
  <c r="H24" i="86"/>
  <c r="F24" i="86"/>
  <c r="G24" i="86" s="1"/>
  <c r="H23" i="86"/>
  <c r="G23" i="86" s="1"/>
  <c r="F23" i="86"/>
  <c r="H22" i="86"/>
  <c r="F22" i="86"/>
  <c r="G22" i="86" s="1"/>
  <c r="H21" i="86"/>
  <c r="F21" i="86"/>
  <c r="G21" i="86" s="1"/>
  <c r="H20" i="86"/>
  <c r="F20" i="86"/>
  <c r="H19" i="86"/>
  <c r="F19" i="86"/>
  <c r="G19" i="86" s="1"/>
  <c r="L18" i="86"/>
  <c r="K18" i="86"/>
  <c r="J18" i="86"/>
  <c r="H18" i="86"/>
  <c r="F18" i="86"/>
  <c r="H17" i="86"/>
  <c r="F17" i="86"/>
  <c r="G17" i="86" s="1"/>
  <c r="H16" i="86"/>
  <c r="F16" i="86"/>
  <c r="G16" i="86" s="1"/>
  <c r="H15" i="86"/>
  <c r="F15" i="86"/>
  <c r="H14" i="86"/>
  <c r="F14" i="86"/>
  <c r="G14" i="86" s="1"/>
  <c r="H13" i="86"/>
  <c r="L5" i="86" s="1"/>
  <c r="F13" i="86"/>
  <c r="G13" i="86" s="1"/>
  <c r="L12" i="86"/>
  <c r="L19" i="86" s="1"/>
  <c r="G11" i="123" s="1"/>
  <c r="K12" i="86"/>
  <c r="K19" i="86" s="1"/>
  <c r="D11" i="123" s="1"/>
  <c r="J12" i="86"/>
  <c r="J19" i="86" s="1"/>
  <c r="H12" i="86"/>
  <c r="F12" i="86"/>
  <c r="G12" i="86" s="1"/>
  <c r="L11" i="86"/>
  <c r="K11" i="86"/>
  <c r="J11" i="86"/>
  <c r="H11" i="86"/>
  <c r="F11" i="86"/>
  <c r="G11" i="86" s="1"/>
  <c r="L10" i="86"/>
  <c r="K10" i="86"/>
  <c r="J10" i="86"/>
  <c r="H10" i="86"/>
  <c r="F10" i="86"/>
  <c r="G10" i="86" s="1"/>
  <c r="L9" i="86"/>
  <c r="K9" i="86"/>
  <c r="J9" i="86"/>
  <c r="H9" i="86"/>
  <c r="F9" i="86"/>
  <c r="G9" i="86" s="1"/>
  <c r="L8" i="86"/>
  <c r="L21" i="86" s="1"/>
  <c r="K8" i="86"/>
  <c r="J8" i="86"/>
  <c r="H8" i="86"/>
  <c r="F8" i="86"/>
  <c r="G8" i="86" s="1"/>
  <c r="L7" i="86"/>
  <c r="K7" i="86"/>
  <c r="J7" i="86"/>
  <c r="H7" i="86"/>
  <c r="F7" i="86"/>
  <c r="G7" i="86" s="1"/>
  <c r="L6" i="86"/>
  <c r="K6" i="86"/>
  <c r="J6" i="86"/>
  <c r="H6" i="86"/>
  <c r="F6" i="86"/>
  <c r="H5" i="86"/>
  <c r="F5" i="86"/>
  <c r="G5" i="86" s="1"/>
  <c r="K5" i="86" s="1"/>
  <c r="H4" i="86"/>
  <c r="F4" i="86"/>
  <c r="H3" i="86"/>
  <c r="F3" i="86"/>
  <c r="G3" i="86" s="1"/>
  <c r="H42" i="85"/>
  <c r="F42" i="85"/>
  <c r="G42" i="85" s="1"/>
  <c r="A42" i="85"/>
  <c r="H41" i="85"/>
  <c r="F41" i="85"/>
  <c r="G41" i="85" s="1"/>
  <c r="A41" i="85"/>
  <c r="H40" i="85"/>
  <c r="F40" i="85"/>
  <c r="G40" i="85" s="1"/>
  <c r="A40" i="85"/>
  <c r="H39" i="85"/>
  <c r="F39" i="85"/>
  <c r="G39" i="85" s="1"/>
  <c r="A39" i="85"/>
  <c r="H38" i="85"/>
  <c r="F38" i="85"/>
  <c r="G38" i="85" s="1"/>
  <c r="A38" i="85"/>
  <c r="H37" i="85"/>
  <c r="F37" i="85"/>
  <c r="G37" i="85" s="1"/>
  <c r="A37" i="85"/>
  <c r="H36" i="85"/>
  <c r="F36" i="85"/>
  <c r="G36" i="85" s="1"/>
  <c r="A36" i="85"/>
  <c r="H35" i="85"/>
  <c r="G35" i="85"/>
  <c r="F35" i="85"/>
  <c r="A35" i="85"/>
  <c r="H34" i="85"/>
  <c r="F34" i="85"/>
  <c r="A34" i="85"/>
  <c r="H33" i="85"/>
  <c r="F33" i="85"/>
  <c r="A33" i="85"/>
  <c r="H32" i="85"/>
  <c r="F32" i="85"/>
  <c r="G32" i="85" s="1"/>
  <c r="A32" i="85"/>
  <c r="H31" i="85"/>
  <c r="F31" i="85"/>
  <c r="G31" i="85" s="1"/>
  <c r="A31" i="85"/>
  <c r="H30" i="85"/>
  <c r="F30" i="85"/>
  <c r="G30" i="85" s="1"/>
  <c r="H29" i="85"/>
  <c r="F29" i="85"/>
  <c r="G29" i="85" s="1"/>
  <c r="H28" i="85"/>
  <c r="L9" i="85" s="1"/>
  <c r="F28" i="85"/>
  <c r="J9" i="85" s="1"/>
  <c r="H27" i="85"/>
  <c r="F27" i="85"/>
  <c r="H26" i="85"/>
  <c r="G26" i="85" s="1"/>
  <c r="F26" i="85"/>
  <c r="H25" i="85"/>
  <c r="F25" i="85"/>
  <c r="G25" i="85" s="1"/>
  <c r="H24" i="85"/>
  <c r="F24" i="85"/>
  <c r="G24" i="85" s="1"/>
  <c r="H23" i="85"/>
  <c r="F23" i="85"/>
  <c r="H22" i="85"/>
  <c r="G22" i="85"/>
  <c r="F22" i="85"/>
  <c r="H21" i="85"/>
  <c r="F21" i="85"/>
  <c r="G21" i="85" s="1"/>
  <c r="H20" i="85"/>
  <c r="F20" i="85"/>
  <c r="G20" i="85" s="1"/>
  <c r="L19" i="85"/>
  <c r="G10" i="123" s="1"/>
  <c r="H19" i="85"/>
  <c r="F19" i="85"/>
  <c r="G19" i="85" s="1"/>
  <c r="K18" i="85"/>
  <c r="H18" i="85"/>
  <c r="G18" i="85" s="1"/>
  <c r="F18" i="85"/>
  <c r="H17" i="85"/>
  <c r="F17" i="85"/>
  <c r="G17" i="85" s="1"/>
  <c r="H16" i="85"/>
  <c r="F16" i="85"/>
  <c r="G16" i="85" s="1"/>
  <c r="H15" i="85"/>
  <c r="F15" i="85"/>
  <c r="G15" i="85" s="1"/>
  <c r="H14" i="85"/>
  <c r="F14" i="85"/>
  <c r="H13" i="85"/>
  <c r="F13" i="85"/>
  <c r="G13" i="85" s="1"/>
  <c r="L12" i="85"/>
  <c r="K12" i="85"/>
  <c r="K19" i="85" s="1"/>
  <c r="D10" i="123" s="1"/>
  <c r="J12" i="85"/>
  <c r="J19" i="85" s="1"/>
  <c r="H12" i="85"/>
  <c r="F12" i="85"/>
  <c r="G12" i="85" s="1"/>
  <c r="L11" i="85"/>
  <c r="L18" i="85" s="1"/>
  <c r="K11" i="85"/>
  <c r="J11" i="85"/>
  <c r="J18" i="85" s="1"/>
  <c r="H11" i="85"/>
  <c r="F11" i="85"/>
  <c r="G11" i="85" s="1"/>
  <c r="L10" i="85"/>
  <c r="K10" i="85"/>
  <c r="J10" i="85"/>
  <c r="H10" i="85"/>
  <c r="F10" i="85"/>
  <c r="G10" i="85" s="1"/>
  <c r="H9" i="85"/>
  <c r="G9" i="85"/>
  <c r="F9" i="85"/>
  <c r="L8" i="85"/>
  <c r="K8" i="85"/>
  <c r="J8" i="85"/>
  <c r="H8" i="85"/>
  <c r="F8" i="85"/>
  <c r="G8" i="85" s="1"/>
  <c r="L7" i="85"/>
  <c r="K7" i="85"/>
  <c r="J7" i="85"/>
  <c r="H7" i="85"/>
  <c r="F7" i="85"/>
  <c r="J6" i="85" s="1"/>
  <c r="H6" i="85"/>
  <c r="F6" i="85"/>
  <c r="H5" i="85"/>
  <c r="F5" i="85"/>
  <c r="G5" i="85" s="1"/>
  <c r="H4" i="85"/>
  <c r="F4" i="85"/>
  <c r="G4" i="85" s="1"/>
  <c r="L3" i="85"/>
  <c r="L16" i="85" s="1"/>
  <c r="K3" i="85"/>
  <c r="K16" i="85" s="1"/>
  <c r="B10" i="123" s="1"/>
  <c r="J3" i="85"/>
  <c r="J16" i="85" s="1"/>
  <c r="H3" i="85"/>
  <c r="F3" i="85"/>
  <c r="H42" i="83"/>
  <c r="F42" i="83"/>
  <c r="A42" i="83"/>
  <c r="H41" i="83"/>
  <c r="G41" i="83"/>
  <c r="F41" i="83"/>
  <c r="A41" i="83"/>
  <c r="H40" i="83"/>
  <c r="F40" i="83"/>
  <c r="G40" i="83" s="1"/>
  <c r="A40" i="83"/>
  <c r="H39" i="83"/>
  <c r="F39" i="83"/>
  <c r="G39" i="83" s="1"/>
  <c r="A39" i="83"/>
  <c r="H38" i="83"/>
  <c r="F38" i="83"/>
  <c r="G38" i="83" s="1"/>
  <c r="A38" i="83"/>
  <c r="H37" i="83"/>
  <c r="F37" i="83"/>
  <c r="G37" i="83" s="1"/>
  <c r="A37" i="83"/>
  <c r="H36" i="83"/>
  <c r="F36" i="83"/>
  <c r="G36" i="83" s="1"/>
  <c r="A36" i="83"/>
  <c r="H35" i="83"/>
  <c r="F35" i="83"/>
  <c r="G35" i="83" s="1"/>
  <c r="A35" i="83"/>
  <c r="H34" i="83"/>
  <c r="F34" i="83"/>
  <c r="G34" i="83" s="1"/>
  <c r="A34" i="83"/>
  <c r="H33" i="83"/>
  <c r="G33" i="83" s="1"/>
  <c r="F33" i="83"/>
  <c r="A33" i="83"/>
  <c r="H32" i="83"/>
  <c r="F32" i="83"/>
  <c r="G32" i="83" s="1"/>
  <c r="A32" i="83"/>
  <c r="H31" i="83"/>
  <c r="F31" i="83"/>
  <c r="A31" i="83"/>
  <c r="H30" i="83"/>
  <c r="F30" i="83"/>
  <c r="G30" i="83" s="1"/>
  <c r="A30" i="83"/>
  <c r="H29" i="83"/>
  <c r="F29" i="83"/>
  <c r="G29" i="83" s="1"/>
  <c r="A29" i="83"/>
  <c r="H28" i="83"/>
  <c r="F28" i="83"/>
  <c r="G28" i="83" s="1"/>
  <c r="H27" i="83"/>
  <c r="F27" i="83"/>
  <c r="H26" i="83"/>
  <c r="F26" i="83"/>
  <c r="G26" i="83" s="1"/>
  <c r="H25" i="83"/>
  <c r="F25" i="83"/>
  <c r="G25" i="83" s="1"/>
  <c r="H24" i="83"/>
  <c r="F24" i="83"/>
  <c r="G24" i="83" s="1"/>
  <c r="H23" i="83"/>
  <c r="F23" i="83"/>
  <c r="H22" i="83"/>
  <c r="F22" i="83"/>
  <c r="G22" i="83" s="1"/>
  <c r="H21" i="83"/>
  <c r="F21" i="83"/>
  <c r="H20" i="83"/>
  <c r="F20" i="83"/>
  <c r="H19" i="83"/>
  <c r="F19" i="83"/>
  <c r="H18" i="83"/>
  <c r="F18" i="83"/>
  <c r="G18" i="83" s="1"/>
  <c r="H17" i="83"/>
  <c r="F17" i="83"/>
  <c r="G17" i="83" s="1"/>
  <c r="L16" i="83"/>
  <c r="E9" i="123" s="1"/>
  <c r="K16" i="83"/>
  <c r="B9" i="123" s="1"/>
  <c r="H16" i="83"/>
  <c r="F16" i="83"/>
  <c r="H15" i="83"/>
  <c r="F15" i="83"/>
  <c r="H14" i="83"/>
  <c r="F14" i="83"/>
  <c r="G14" i="83" s="1"/>
  <c r="H13" i="83"/>
  <c r="F13" i="83"/>
  <c r="G13" i="83" s="1"/>
  <c r="L12" i="83"/>
  <c r="L19" i="83" s="1"/>
  <c r="G9" i="123" s="1"/>
  <c r="K12" i="83"/>
  <c r="K19" i="83" s="1"/>
  <c r="D9" i="123" s="1"/>
  <c r="J12" i="83"/>
  <c r="J19" i="83" s="1"/>
  <c r="H12" i="83"/>
  <c r="F12" i="83"/>
  <c r="G12" i="83" s="1"/>
  <c r="L11" i="83"/>
  <c r="L18" i="83" s="1"/>
  <c r="K11" i="83"/>
  <c r="K18" i="83" s="1"/>
  <c r="J11" i="83"/>
  <c r="J18" i="83" s="1"/>
  <c r="H11" i="83"/>
  <c r="F11" i="83"/>
  <c r="L10" i="83"/>
  <c r="K10" i="83"/>
  <c r="J10" i="83"/>
  <c r="H10" i="83"/>
  <c r="F10" i="83"/>
  <c r="G10" i="83" s="1"/>
  <c r="L9" i="83"/>
  <c r="H9" i="83"/>
  <c r="F9" i="83"/>
  <c r="G9" i="83" s="1"/>
  <c r="L8" i="83"/>
  <c r="K8" i="83"/>
  <c r="J8" i="83"/>
  <c r="H8" i="83"/>
  <c r="F8" i="83"/>
  <c r="L7" i="83"/>
  <c r="K7" i="83"/>
  <c r="J7" i="83"/>
  <c r="H7" i="83"/>
  <c r="F7" i="83"/>
  <c r="G7" i="83" s="1"/>
  <c r="L6" i="83"/>
  <c r="J6" i="83"/>
  <c r="H6" i="83"/>
  <c r="F6" i="83"/>
  <c r="G6" i="83" s="1"/>
  <c r="H5" i="83"/>
  <c r="F5" i="83"/>
  <c r="H4" i="83"/>
  <c r="F4" i="83"/>
  <c r="L3" i="83"/>
  <c r="K3" i="83"/>
  <c r="J3" i="83"/>
  <c r="J16" i="83" s="1"/>
  <c r="H3" i="83"/>
  <c r="F3" i="83"/>
  <c r="G3" i="83" s="1"/>
  <c r="H42" i="82"/>
  <c r="F42" i="82"/>
  <c r="G42" i="82" s="1"/>
  <c r="A42" i="82"/>
  <c r="H41" i="82"/>
  <c r="F41" i="82"/>
  <c r="G41" i="82" s="1"/>
  <c r="A41" i="82"/>
  <c r="H40" i="82"/>
  <c r="F40" i="82"/>
  <c r="A40" i="82"/>
  <c r="H39" i="82"/>
  <c r="G39" i="82"/>
  <c r="F39" i="82"/>
  <c r="A39" i="82"/>
  <c r="H38" i="82"/>
  <c r="F38" i="82"/>
  <c r="A38" i="82"/>
  <c r="H37" i="82"/>
  <c r="F37" i="82"/>
  <c r="G37" i="82" s="1"/>
  <c r="A37" i="82"/>
  <c r="H36" i="82"/>
  <c r="F36" i="82"/>
  <c r="A36" i="82"/>
  <c r="H35" i="82"/>
  <c r="F35" i="82"/>
  <c r="A35" i="82"/>
  <c r="H34" i="82"/>
  <c r="F34" i="82"/>
  <c r="G34" i="82" s="1"/>
  <c r="A34" i="82"/>
  <c r="H33" i="82"/>
  <c r="F33" i="82"/>
  <c r="G33" i="82" s="1"/>
  <c r="A33" i="82"/>
  <c r="H32" i="82"/>
  <c r="F32" i="82"/>
  <c r="G32" i="82" s="1"/>
  <c r="A32" i="82"/>
  <c r="H31" i="82"/>
  <c r="F31" i="82"/>
  <c r="G31" i="82" s="1"/>
  <c r="A31" i="82"/>
  <c r="H30" i="82"/>
  <c r="F30" i="82"/>
  <c r="A30" i="82"/>
  <c r="H29" i="82"/>
  <c r="F29" i="82"/>
  <c r="G29" i="82" s="1"/>
  <c r="A29" i="82"/>
  <c r="H28" i="82"/>
  <c r="F28" i="82"/>
  <c r="A28" i="82"/>
  <c r="H27" i="82"/>
  <c r="F27" i="82"/>
  <c r="G27" i="82" s="1"/>
  <c r="A27" i="82"/>
  <c r="H26" i="82"/>
  <c r="F26" i="82"/>
  <c r="G26" i="82" s="1"/>
  <c r="H25" i="82"/>
  <c r="G25" i="82"/>
  <c r="F25" i="82"/>
  <c r="H24" i="82"/>
  <c r="F24" i="82"/>
  <c r="G24" i="82" s="1"/>
  <c r="H23" i="82"/>
  <c r="F23" i="82"/>
  <c r="G23" i="82" s="1"/>
  <c r="H22" i="82"/>
  <c r="F22" i="82"/>
  <c r="G22" i="82" s="1"/>
  <c r="H21" i="82"/>
  <c r="F21" i="82"/>
  <c r="H20" i="82"/>
  <c r="F20" i="82"/>
  <c r="G20" i="82" s="1"/>
  <c r="H19" i="82"/>
  <c r="F19" i="82"/>
  <c r="G19" i="82" s="1"/>
  <c r="H18" i="82"/>
  <c r="F18" i="82"/>
  <c r="H17" i="82"/>
  <c r="F17" i="82"/>
  <c r="H16" i="82"/>
  <c r="F16" i="82"/>
  <c r="H15" i="82"/>
  <c r="F15" i="82"/>
  <c r="G15" i="82" s="1"/>
  <c r="H14" i="82"/>
  <c r="F14" i="82"/>
  <c r="G14" i="82" s="1"/>
  <c r="H13" i="82"/>
  <c r="F13" i="82"/>
  <c r="G13" i="82" s="1"/>
  <c r="L12" i="82"/>
  <c r="L19" i="82" s="1"/>
  <c r="G8" i="123" s="1"/>
  <c r="K12" i="82"/>
  <c r="K19" i="82" s="1"/>
  <c r="D8" i="123" s="1"/>
  <c r="J12" i="82"/>
  <c r="J19" i="82" s="1"/>
  <c r="H12" i="82"/>
  <c r="F12" i="82"/>
  <c r="L11" i="82"/>
  <c r="L18" i="82" s="1"/>
  <c r="K11" i="82"/>
  <c r="K18" i="82" s="1"/>
  <c r="J11" i="82"/>
  <c r="J18" i="82" s="1"/>
  <c r="H11" i="82"/>
  <c r="F11" i="82"/>
  <c r="L10" i="82"/>
  <c r="K10" i="82"/>
  <c r="J10" i="82"/>
  <c r="H10" i="82"/>
  <c r="F10" i="82"/>
  <c r="H9" i="82"/>
  <c r="F9" i="82"/>
  <c r="G9" i="82" s="1"/>
  <c r="L8" i="82"/>
  <c r="K8" i="82"/>
  <c r="J8" i="82"/>
  <c r="H8" i="82"/>
  <c r="F8" i="82"/>
  <c r="G8" i="82" s="1"/>
  <c r="L7" i="82"/>
  <c r="K7" i="82"/>
  <c r="J7" i="82"/>
  <c r="H7" i="82"/>
  <c r="F7" i="82"/>
  <c r="G7" i="82" s="1"/>
  <c r="H6" i="82"/>
  <c r="F6" i="82"/>
  <c r="H5" i="82"/>
  <c r="F5" i="82"/>
  <c r="H4" i="82"/>
  <c r="L4" i="82" s="1"/>
  <c r="F4" i="82"/>
  <c r="L3" i="82"/>
  <c r="L16" i="82" s="1"/>
  <c r="E8" i="123" s="1"/>
  <c r="K3" i="82"/>
  <c r="K16" i="82" s="1"/>
  <c r="B8" i="123" s="1"/>
  <c r="J3" i="82"/>
  <c r="J16" i="82" s="1"/>
  <c r="H3" i="82"/>
  <c r="F3" i="82"/>
  <c r="G3" i="82" s="1"/>
  <c r="H42" i="80"/>
  <c r="F42" i="80"/>
  <c r="G42" i="80" s="1"/>
  <c r="A42" i="80"/>
  <c r="H41" i="80"/>
  <c r="F41" i="80"/>
  <c r="G41" i="80" s="1"/>
  <c r="A41" i="80"/>
  <c r="H40" i="80"/>
  <c r="F40" i="80"/>
  <c r="G40" i="80" s="1"/>
  <c r="A40" i="80"/>
  <c r="H39" i="80"/>
  <c r="G39" i="80" s="1"/>
  <c r="F39" i="80"/>
  <c r="A39" i="80"/>
  <c r="H38" i="80"/>
  <c r="F38" i="80"/>
  <c r="G38" i="80" s="1"/>
  <c r="A38" i="80"/>
  <c r="H37" i="80"/>
  <c r="F37" i="80"/>
  <c r="A37" i="80"/>
  <c r="H36" i="80"/>
  <c r="F36" i="80"/>
  <c r="G36" i="80" s="1"/>
  <c r="A36" i="80"/>
  <c r="H35" i="80"/>
  <c r="F35" i="80"/>
  <c r="G35" i="80" s="1"/>
  <c r="A35" i="80"/>
  <c r="H34" i="80"/>
  <c r="F34" i="80"/>
  <c r="G34" i="80" s="1"/>
  <c r="A34" i="80"/>
  <c r="H33" i="80"/>
  <c r="F33" i="80"/>
  <c r="A33" i="80"/>
  <c r="H32" i="80"/>
  <c r="G32" i="80"/>
  <c r="F32" i="80"/>
  <c r="A32" i="80"/>
  <c r="H31" i="80"/>
  <c r="F31" i="80"/>
  <c r="A31" i="80"/>
  <c r="H30" i="80"/>
  <c r="F30" i="80"/>
  <c r="G30" i="80" s="1"/>
  <c r="A30" i="80"/>
  <c r="H29" i="80"/>
  <c r="G29" i="80"/>
  <c r="F29" i="80"/>
  <c r="A29" i="80"/>
  <c r="H28" i="80"/>
  <c r="F28" i="80"/>
  <c r="G28" i="80" s="1"/>
  <c r="H27" i="80"/>
  <c r="F27" i="80"/>
  <c r="G27" i="80" s="1"/>
  <c r="H26" i="80"/>
  <c r="L5" i="80" s="1"/>
  <c r="F26" i="80"/>
  <c r="J5" i="80" s="1"/>
  <c r="H25" i="80"/>
  <c r="F25" i="80"/>
  <c r="H24" i="80"/>
  <c r="F24" i="80"/>
  <c r="G24" i="80" s="1"/>
  <c r="H23" i="80"/>
  <c r="G23" i="80" s="1"/>
  <c r="F23" i="80"/>
  <c r="H22" i="80"/>
  <c r="F22" i="80"/>
  <c r="G22" i="80" s="1"/>
  <c r="H21" i="80"/>
  <c r="F21" i="80"/>
  <c r="G21" i="80" s="1"/>
  <c r="H20" i="80"/>
  <c r="F20" i="80"/>
  <c r="G20" i="80" s="1"/>
  <c r="H19" i="80"/>
  <c r="F19" i="80"/>
  <c r="G19" i="80" s="1"/>
  <c r="H18" i="80"/>
  <c r="F18" i="80"/>
  <c r="G18" i="80" s="1"/>
  <c r="H17" i="80"/>
  <c r="F17" i="80"/>
  <c r="G17" i="80" s="1"/>
  <c r="H16" i="80"/>
  <c r="F16" i="80"/>
  <c r="G16" i="80" s="1"/>
  <c r="H15" i="80"/>
  <c r="F15" i="80"/>
  <c r="G15" i="80" s="1"/>
  <c r="H14" i="80"/>
  <c r="F14" i="80"/>
  <c r="G14" i="80" s="1"/>
  <c r="H13" i="80"/>
  <c r="F13" i="80"/>
  <c r="G13" i="80" s="1"/>
  <c r="L12" i="80"/>
  <c r="L19" i="80" s="1"/>
  <c r="G7" i="123" s="1"/>
  <c r="K12" i="80"/>
  <c r="K19" i="80" s="1"/>
  <c r="D7" i="123" s="1"/>
  <c r="J12" i="80"/>
  <c r="J19" i="80" s="1"/>
  <c r="H12" i="80"/>
  <c r="F12" i="80"/>
  <c r="L11" i="80"/>
  <c r="L18" i="80" s="1"/>
  <c r="K11" i="80"/>
  <c r="K18" i="80" s="1"/>
  <c r="J11" i="80"/>
  <c r="J18" i="80" s="1"/>
  <c r="H11" i="80"/>
  <c r="F11" i="80"/>
  <c r="G11" i="80" s="1"/>
  <c r="L10" i="80"/>
  <c r="K10" i="80"/>
  <c r="J10" i="80"/>
  <c r="H10" i="80"/>
  <c r="F10" i="80"/>
  <c r="G10" i="80" s="1"/>
  <c r="L9" i="80"/>
  <c r="K9" i="80"/>
  <c r="J9" i="80"/>
  <c r="H9" i="80"/>
  <c r="F9" i="80"/>
  <c r="G9" i="80" s="1"/>
  <c r="L8" i="80"/>
  <c r="L21" i="80" s="1"/>
  <c r="K8" i="80"/>
  <c r="K21" i="80" s="1"/>
  <c r="J8" i="80"/>
  <c r="J21" i="80" s="1"/>
  <c r="I7" i="123" s="1"/>
  <c r="H8" i="80"/>
  <c r="F8" i="80"/>
  <c r="G8" i="80" s="1"/>
  <c r="L7" i="80"/>
  <c r="K7" i="80"/>
  <c r="J7" i="80"/>
  <c r="H7" i="80"/>
  <c r="F7" i="80"/>
  <c r="G7" i="80" s="1"/>
  <c r="L6" i="80"/>
  <c r="K6" i="80"/>
  <c r="J6" i="80"/>
  <c r="H6" i="80"/>
  <c r="F6" i="80"/>
  <c r="G6" i="80" s="1"/>
  <c r="H5" i="80"/>
  <c r="F5" i="80"/>
  <c r="H4" i="80"/>
  <c r="F4" i="80"/>
  <c r="H3" i="80"/>
  <c r="F3" i="80"/>
  <c r="H42" i="79"/>
  <c r="F42" i="79"/>
  <c r="G42" i="79" s="1"/>
  <c r="A42" i="79"/>
  <c r="H41" i="79"/>
  <c r="F41" i="79"/>
  <c r="A41" i="79"/>
  <c r="H40" i="79"/>
  <c r="F40" i="79"/>
  <c r="A40" i="79"/>
  <c r="H39" i="79"/>
  <c r="F39" i="79"/>
  <c r="A39" i="79"/>
  <c r="H38" i="79"/>
  <c r="F38" i="79"/>
  <c r="G38" i="79" s="1"/>
  <c r="A38" i="79"/>
  <c r="H37" i="79"/>
  <c r="F37" i="79"/>
  <c r="G37" i="79" s="1"/>
  <c r="A37" i="79"/>
  <c r="H36" i="79"/>
  <c r="F36" i="79"/>
  <c r="G36" i="79" s="1"/>
  <c r="A36" i="79"/>
  <c r="H35" i="79"/>
  <c r="F35" i="79"/>
  <c r="G35" i="79" s="1"/>
  <c r="A35" i="79"/>
  <c r="H34" i="79"/>
  <c r="F34" i="79"/>
  <c r="G34" i="79" s="1"/>
  <c r="A34" i="79"/>
  <c r="H33" i="79"/>
  <c r="F33" i="79"/>
  <c r="G33" i="79" s="1"/>
  <c r="A33" i="79"/>
  <c r="H32" i="79"/>
  <c r="F32" i="79"/>
  <c r="A32" i="79"/>
  <c r="H31" i="79"/>
  <c r="G31" i="79"/>
  <c r="F31" i="79"/>
  <c r="A31" i="79"/>
  <c r="H30" i="79"/>
  <c r="F30" i="79"/>
  <c r="G30" i="79" s="1"/>
  <c r="A30" i="79"/>
  <c r="H29" i="79"/>
  <c r="F29" i="79"/>
  <c r="G29" i="79" s="1"/>
  <c r="H28" i="79"/>
  <c r="F28" i="79"/>
  <c r="H27" i="79"/>
  <c r="F27" i="79"/>
  <c r="H26" i="79"/>
  <c r="F26" i="79"/>
  <c r="G26" i="79" s="1"/>
  <c r="H25" i="79"/>
  <c r="F25" i="79"/>
  <c r="G25" i="79" s="1"/>
  <c r="H24" i="79"/>
  <c r="F24" i="79"/>
  <c r="G24" i="79" s="1"/>
  <c r="H23" i="79"/>
  <c r="L9" i="79" s="1"/>
  <c r="F23" i="79"/>
  <c r="J9" i="79" s="1"/>
  <c r="H22" i="79"/>
  <c r="F22" i="79"/>
  <c r="J5" i="79" s="1"/>
  <c r="H21" i="79"/>
  <c r="F21" i="79"/>
  <c r="G21" i="79" s="1"/>
  <c r="H20" i="79"/>
  <c r="F20" i="79"/>
  <c r="H19" i="79"/>
  <c r="F19" i="79"/>
  <c r="G19" i="79" s="1"/>
  <c r="H18" i="79"/>
  <c r="F18" i="79"/>
  <c r="G18" i="79" s="1"/>
  <c r="H17" i="79"/>
  <c r="F17" i="79"/>
  <c r="H16" i="79"/>
  <c r="G16" i="79" s="1"/>
  <c r="F16" i="79"/>
  <c r="H15" i="79"/>
  <c r="F15" i="79"/>
  <c r="H14" i="79"/>
  <c r="F14" i="79"/>
  <c r="G14" i="79" s="1"/>
  <c r="H13" i="79"/>
  <c r="F13" i="79"/>
  <c r="G13" i="79" s="1"/>
  <c r="K6" i="79" s="1"/>
  <c r="L12" i="79"/>
  <c r="L19" i="79" s="1"/>
  <c r="G6" i="123" s="1"/>
  <c r="K12" i="79"/>
  <c r="K19" i="79" s="1"/>
  <c r="D6" i="123" s="1"/>
  <c r="J12" i="79"/>
  <c r="J19" i="79" s="1"/>
  <c r="H12" i="79"/>
  <c r="F12" i="79"/>
  <c r="G12" i="79" s="1"/>
  <c r="L11" i="79"/>
  <c r="L18" i="79" s="1"/>
  <c r="K11" i="79"/>
  <c r="K18" i="79" s="1"/>
  <c r="J11" i="79"/>
  <c r="J18" i="79" s="1"/>
  <c r="H11" i="79"/>
  <c r="F11" i="79"/>
  <c r="G11" i="79" s="1"/>
  <c r="L10" i="79"/>
  <c r="K10" i="79"/>
  <c r="J10" i="79"/>
  <c r="H10" i="79"/>
  <c r="F10" i="79"/>
  <c r="G10" i="79" s="1"/>
  <c r="H9" i="79"/>
  <c r="F9" i="79"/>
  <c r="G9" i="79" s="1"/>
  <c r="L8" i="79"/>
  <c r="K8" i="79"/>
  <c r="J8" i="79"/>
  <c r="H8" i="79"/>
  <c r="F8" i="79"/>
  <c r="H7" i="79"/>
  <c r="F7" i="79"/>
  <c r="G7" i="79" s="1"/>
  <c r="L6" i="79"/>
  <c r="J6" i="79"/>
  <c r="H6" i="79"/>
  <c r="F6" i="79"/>
  <c r="G6" i="79" s="1"/>
  <c r="H5" i="79"/>
  <c r="F5" i="79"/>
  <c r="G5" i="79" s="1"/>
  <c r="H4" i="79"/>
  <c r="L7" i="79" s="1"/>
  <c r="F4" i="79"/>
  <c r="G4" i="79" s="1"/>
  <c r="K7" i="79" s="1"/>
  <c r="L3" i="79"/>
  <c r="L16" i="79" s="1"/>
  <c r="E6" i="123" s="1"/>
  <c r="K3" i="79"/>
  <c r="K16" i="79" s="1"/>
  <c r="B6" i="123" s="1"/>
  <c r="J3" i="79"/>
  <c r="J16" i="79" s="1"/>
  <c r="H3" i="79"/>
  <c r="F3" i="79"/>
  <c r="G3" i="79" s="1"/>
  <c r="H42" i="57"/>
  <c r="F42" i="57"/>
  <c r="G42" i="57" s="1"/>
  <c r="A42" i="57"/>
  <c r="H41" i="57"/>
  <c r="F41" i="57"/>
  <c r="G41" i="57" s="1"/>
  <c r="A41" i="57"/>
  <c r="H40" i="57"/>
  <c r="F40" i="57"/>
  <c r="A40" i="57"/>
  <c r="H39" i="57"/>
  <c r="F39" i="57"/>
  <c r="G39" i="57" s="1"/>
  <c r="A39" i="57"/>
  <c r="H38" i="57"/>
  <c r="F38" i="57"/>
  <c r="G38" i="57" s="1"/>
  <c r="A38" i="57"/>
  <c r="H37" i="57"/>
  <c r="F37" i="57"/>
  <c r="A37" i="57"/>
  <c r="H36" i="57"/>
  <c r="G36" i="57"/>
  <c r="F36" i="57"/>
  <c r="A36" i="57"/>
  <c r="H35" i="57"/>
  <c r="F35" i="57"/>
  <c r="G35" i="57" s="1"/>
  <c r="A35" i="57"/>
  <c r="H34" i="57"/>
  <c r="F34" i="57"/>
  <c r="A34" i="57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G29" i="57"/>
  <c r="F29" i="57"/>
  <c r="H28" i="57"/>
  <c r="F28" i="57"/>
  <c r="G28" i="57" s="1"/>
  <c r="H27" i="57"/>
  <c r="F27" i="57"/>
  <c r="H26" i="57"/>
  <c r="F26" i="57"/>
  <c r="G26" i="57" s="1"/>
  <c r="H25" i="57"/>
  <c r="F25" i="57"/>
  <c r="G25" i="57" s="1"/>
  <c r="H24" i="57"/>
  <c r="F24" i="57"/>
  <c r="H23" i="57"/>
  <c r="F23" i="57"/>
  <c r="H22" i="57"/>
  <c r="F22" i="57"/>
  <c r="H21" i="57"/>
  <c r="F21" i="57"/>
  <c r="H20" i="57"/>
  <c r="F20" i="57"/>
  <c r="H19" i="57"/>
  <c r="F19" i="57"/>
  <c r="G19" i="57" s="1"/>
  <c r="L18" i="57"/>
  <c r="K18" i="57"/>
  <c r="D5" i="123" s="1"/>
  <c r="J18" i="57"/>
  <c r="H18" i="57"/>
  <c r="F18" i="57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L12" i="57"/>
  <c r="L19" i="57" s="1"/>
  <c r="G5" i="123" s="1"/>
  <c r="K12" i="57"/>
  <c r="K19" i="57" s="1"/>
  <c r="J12" i="57"/>
  <c r="J19" i="57" s="1"/>
  <c r="H12" i="57"/>
  <c r="G12" i="57"/>
  <c r="F12" i="57"/>
  <c r="L11" i="57"/>
  <c r="K11" i="57"/>
  <c r="J11" i="57"/>
  <c r="H11" i="57"/>
  <c r="F11" i="57"/>
  <c r="L10" i="57"/>
  <c r="K10" i="57"/>
  <c r="J10" i="57"/>
  <c r="H10" i="57"/>
  <c r="F10" i="57"/>
  <c r="G10" i="57" s="1"/>
  <c r="L9" i="57"/>
  <c r="K9" i="57"/>
  <c r="J9" i="57"/>
  <c r="H9" i="57"/>
  <c r="F9" i="57"/>
  <c r="L8" i="57"/>
  <c r="K8" i="57"/>
  <c r="J8" i="57"/>
  <c r="H8" i="57"/>
  <c r="F8" i="57"/>
  <c r="G8" i="57" s="1"/>
  <c r="L7" i="57"/>
  <c r="K7" i="57"/>
  <c r="J7" i="57"/>
  <c r="H7" i="57"/>
  <c r="F7" i="57"/>
  <c r="G7" i="57" s="1"/>
  <c r="L6" i="57"/>
  <c r="K6" i="57"/>
  <c r="J6" i="57"/>
  <c r="H6" i="57"/>
  <c r="F6" i="57"/>
  <c r="H5" i="57"/>
  <c r="L5" i="57" s="1"/>
  <c r="F5" i="57"/>
  <c r="G5" i="57" s="1"/>
  <c r="H4" i="57"/>
  <c r="F4" i="57"/>
  <c r="G4" i="57" s="1"/>
  <c r="H3" i="57"/>
  <c r="F3" i="57"/>
  <c r="G3" i="57" s="1"/>
  <c r="G42" i="123"/>
  <c r="E42" i="123"/>
  <c r="B42" i="123"/>
  <c r="G41" i="123"/>
  <c r="D41" i="123"/>
  <c r="B41" i="123"/>
  <c r="B40" i="123"/>
  <c r="B39" i="123"/>
  <c r="D38" i="123"/>
  <c r="E37" i="123"/>
  <c r="D37" i="123"/>
  <c r="B37" i="123"/>
  <c r="I34" i="123"/>
  <c r="G34" i="123"/>
  <c r="F34" i="123"/>
  <c r="I33" i="123"/>
  <c r="G33" i="123"/>
  <c r="D33" i="123"/>
  <c r="G31" i="123"/>
  <c r="D31" i="123"/>
  <c r="E30" i="123"/>
  <c r="B28" i="123"/>
  <c r="G27" i="123"/>
  <c r="E27" i="123"/>
  <c r="E26" i="123"/>
  <c r="D26" i="123"/>
  <c r="B26" i="123"/>
  <c r="I25" i="123"/>
  <c r="G23" i="123"/>
  <c r="E22" i="123"/>
  <c r="D22" i="123"/>
  <c r="B22" i="123"/>
  <c r="G20" i="123"/>
  <c r="D14" i="123"/>
  <c r="E10" i="123"/>
  <c r="G11" i="101" l="1"/>
  <c r="G18" i="101"/>
  <c r="G37" i="101"/>
  <c r="G29" i="101"/>
  <c r="G40" i="101"/>
  <c r="G3" i="101"/>
  <c r="J21" i="101"/>
  <c r="I26" i="123" s="1"/>
  <c r="K21" i="101"/>
  <c r="G14" i="101"/>
  <c r="G42" i="101"/>
  <c r="G9" i="101"/>
  <c r="G15" i="101"/>
  <c r="G23" i="101"/>
  <c r="J4" i="122"/>
  <c r="G4" i="122"/>
  <c r="L4" i="122"/>
  <c r="L17" i="122" s="1"/>
  <c r="G35" i="122"/>
  <c r="G3" i="122"/>
  <c r="L5" i="122"/>
  <c r="G38" i="122"/>
  <c r="G8" i="122"/>
  <c r="G21" i="122"/>
  <c r="K7" i="122" s="1"/>
  <c r="G28" i="122"/>
  <c r="G39" i="122"/>
  <c r="G30" i="122"/>
  <c r="G25" i="122"/>
  <c r="G10" i="122"/>
  <c r="G19" i="122"/>
  <c r="G30" i="121"/>
  <c r="G20" i="121"/>
  <c r="G32" i="121"/>
  <c r="G42" i="121"/>
  <c r="G11" i="121"/>
  <c r="G21" i="121"/>
  <c r="L9" i="121"/>
  <c r="L21" i="121" s="1"/>
  <c r="G6" i="121"/>
  <c r="G13" i="121"/>
  <c r="G26" i="121"/>
  <c r="G7" i="121"/>
  <c r="K6" i="121" s="1"/>
  <c r="G16" i="121"/>
  <c r="G38" i="121"/>
  <c r="G17" i="120"/>
  <c r="K7" i="120" s="1"/>
  <c r="G19" i="120"/>
  <c r="G11" i="120"/>
  <c r="G34" i="120"/>
  <c r="G33" i="120"/>
  <c r="G25" i="120"/>
  <c r="L4" i="120"/>
  <c r="G36" i="120"/>
  <c r="G14" i="120"/>
  <c r="G38" i="120"/>
  <c r="G29" i="119"/>
  <c r="L9" i="119"/>
  <c r="L21" i="119" s="1"/>
  <c r="J9" i="119"/>
  <c r="J21" i="119" s="1"/>
  <c r="I41" i="123" s="1"/>
  <c r="G19" i="119"/>
  <c r="K9" i="119"/>
  <c r="K21" i="119" s="1"/>
  <c r="G42" i="119"/>
  <c r="G6" i="119"/>
  <c r="G24" i="119"/>
  <c r="G35" i="119"/>
  <c r="L5" i="119"/>
  <c r="G36" i="119"/>
  <c r="G11" i="119"/>
  <c r="G15" i="119"/>
  <c r="G27" i="119"/>
  <c r="G37" i="118"/>
  <c r="G30" i="118"/>
  <c r="G40" i="118"/>
  <c r="G41" i="118"/>
  <c r="G20" i="118"/>
  <c r="J4" i="118"/>
  <c r="G11" i="118"/>
  <c r="G21" i="118"/>
  <c r="G33" i="118"/>
  <c r="G12" i="118"/>
  <c r="G4" i="114"/>
  <c r="G10" i="114"/>
  <c r="G27" i="114"/>
  <c r="G36" i="114"/>
  <c r="G8" i="114"/>
  <c r="G20" i="114"/>
  <c r="G13" i="114"/>
  <c r="G14" i="114"/>
  <c r="G22" i="114"/>
  <c r="G7" i="114"/>
  <c r="G32" i="114"/>
  <c r="G42" i="114"/>
  <c r="G20" i="112"/>
  <c r="G33" i="112"/>
  <c r="G22" i="112"/>
  <c r="G15" i="112"/>
  <c r="G8" i="112"/>
  <c r="G30" i="112"/>
  <c r="J21" i="112"/>
  <c r="I37" i="123" s="1"/>
  <c r="G17" i="112"/>
  <c r="G28" i="112"/>
  <c r="G21" i="112"/>
  <c r="L21" i="112"/>
  <c r="G33" i="111"/>
  <c r="L4" i="111"/>
  <c r="L17" i="111" s="1"/>
  <c r="F36" i="123" s="1"/>
  <c r="G23" i="111"/>
  <c r="G36" i="111"/>
  <c r="G32" i="111"/>
  <c r="G42" i="111"/>
  <c r="G25" i="111"/>
  <c r="G16" i="111"/>
  <c r="G6" i="111"/>
  <c r="G30" i="111"/>
  <c r="G37" i="111"/>
  <c r="G18" i="111"/>
  <c r="G31" i="111"/>
  <c r="G41" i="111"/>
  <c r="L3" i="113"/>
  <c r="L16" i="113" s="1"/>
  <c r="E38" i="123" s="1"/>
  <c r="J21" i="113"/>
  <c r="I38" i="123" s="1"/>
  <c r="J4" i="113"/>
  <c r="J17" i="113" s="1"/>
  <c r="B10" i="126" s="1"/>
  <c r="G41" i="113"/>
  <c r="G24" i="113"/>
  <c r="G28" i="113"/>
  <c r="G14" i="113"/>
  <c r="G8" i="113"/>
  <c r="G40" i="113"/>
  <c r="G37" i="110"/>
  <c r="G7" i="110"/>
  <c r="G25" i="110"/>
  <c r="G5" i="110"/>
  <c r="K9" i="110" s="1"/>
  <c r="L4" i="110"/>
  <c r="G39" i="110"/>
  <c r="L21" i="110"/>
  <c r="G10" i="110"/>
  <c r="J5" i="110"/>
  <c r="J21" i="110"/>
  <c r="I35" i="123" s="1"/>
  <c r="G42" i="110"/>
  <c r="G20" i="110"/>
  <c r="G21" i="110"/>
  <c r="G34" i="110"/>
  <c r="G20" i="109"/>
  <c r="K17" i="109"/>
  <c r="C34" i="123" s="1"/>
  <c r="G39" i="109"/>
  <c r="G14" i="109"/>
  <c r="G34" i="109"/>
  <c r="G35" i="109"/>
  <c r="G9" i="109"/>
  <c r="G18" i="109"/>
  <c r="G37" i="109"/>
  <c r="G42" i="109"/>
  <c r="G3" i="109"/>
  <c r="L21" i="109"/>
  <c r="G19" i="109"/>
  <c r="G29" i="108"/>
  <c r="G9" i="108"/>
  <c r="G18" i="108"/>
  <c r="G40" i="108"/>
  <c r="G11" i="108"/>
  <c r="G33" i="108"/>
  <c r="G37" i="108"/>
  <c r="G12" i="108"/>
  <c r="G41" i="108"/>
  <c r="G35" i="108"/>
  <c r="G13" i="108"/>
  <c r="K4" i="108" s="1"/>
  <c r="G25" i="108"/>
  <c r="L17" i="108"/>
  <c r="F33" i="123" s="1"/>
  <c r="G20" i="108"/>
  <c r="G7" i="108"/>
  <c r="G22" i="107"/>
  <c r="G34" i="107"/>
  <c r="G7" i="107"/>
  <c r="G25" i="107"/>
  <c r="G36" i="107"/>
  <c r="L5" i="107"/>
  <c r="L17" i="107" s="1"/>
  <c r="F32" i="123" s="1"/>
  <c r="G15" i="107"/>
  <c r="G37" i="107"/>
  <c r="G16" i="107"/>
  <c r="G38" i="107"/>
  <c r="G30" i="107"/>
  <c r="G21" i="106"/>
  <c r="G12" i="106"/>
  <c r="G22" i="106"/>
  <c r="G41" i="106"/>
  <c r="G30" i="106"/>
  <c r="J6" i="106"/>
  <c r="G8" i="106"/>
  <c r="G16" i="106"/>
  <c r="K7" i="106" s="1"/>
  <c r="J21" i="106"/>
  <c r="I31" i="123" s="1"/>
  <c r="G13" i="106"/>
  <c r="G28" i="106"/>
  <c r="G18" i="106"/>
  <c r="G19" i="106"/>
  <c r="G12" i="104"/>
  <c r="J5" i="104"/>
  <c r="J6" i="104"/>
  <c r="G7" i="104"/>
  <c r="G14" i="104"/>
  <c r="G34" i="104"/>
  <c r="G4" i="104"/>
  <c r="G32" i="104"/>
  <c r="G36" i="104"/>
  <c r="G37" i="104"/>
  <c r="K21" i="104"/>
  <c r="G18" i="104"/>
  <c r="G28" i="104"/>
  <c r="L21" i="104"/>
  <c r="G35" i="104"/>
  <c r="G11" i="103"/>
  <c r="G42" i="103"/>
  <c r="G40" i="103"/>
  <c r="G4" i="103"/>
  <c r="G31" i="103"/>
  <c r="G7" i="103"/>
  <c r="G15" i="103"/>
  <c r="G26" i="103"/>
  <c r="G35" i="103"/>
  <c r="G37" i="103"/>
  <c r="G24" i="103"/>
  <c r="G9" i="103"/>
  <c r="G34" i="103"/>
  <c r="G14" i="103"/>
  <c r="G30" i="103"/>
  <c r="G25" i="102"/>
  <c r="G4" i="102"/>
  <c r="G5" i="102"/>
  <c r="K9" i="102" s="1"/>
  <c r="K21" i="102" s="1"/>
  <c r="G37" i="102"/>
  <c r="L21" i="102"/>
  <c r="G18" i="102"/>
  <c r="G20" i="102"/>
  <c r="K7" i="102" s="1"/>
  <c r="G21" i="102"/>
  <c r="J21" i="105"/>
  <c r="I30" i="123" s="1"/>
  <c r="G17" i="105"/>
  <c r="J4" i="105"/>
  <c r="G33" i="105"/>
  <c r="G3" i="105"/>
  <c r="G21" i="105"/>
  <c r="G35" i="105"/>
  <c r="G37" i="105"/>
  <c r="G12" i="105"/>
  <c r="G36" i="105"/>
  <c r="G4" i="105"/>
  <c r="G6" i="100"/>
  <c r="J6" i="100"/>
  <c r="G13" i="100"/>
  <c r="G15" i="100"/>
  <c r="G27" i="100"/>
  <c r="G8" i="100"/>
  <c r="G28" i="100"/>
  <c r="G38" i="100"/>
  <c r="L4" i="100"/>
  <c r="L17" i="100" s="1"/>
  <c r="F25" i="123" s="1"/>
  <c r="G20" i="100"/>
  <c r="G35" i="100"/>
  <c r="G17" i="100"/>
  <c r="G29" i="100"/>
  <c r="G39" i="100"/>
  <c r="G30" i="100"/>
  <c r="G10" i="100"/>
  <c r="G41" i="100"/>
  <c r="G31" i="99"/>
  <c r="J17" i="99"/>
  <c r="B5" i="126" s="1"/>
  <c r="L17" i="99"/>
  <c r="F24" i="123" s="1"/>
  <c r="G32" i="99"/>
  <c r="G42" i="99"/>
  <c r="K17" i="99"/>
  <c r="C24" i="123" s="1"/>
  <c r="G33" i="99"/>
  <c r="G25" i="99"/>
  <c r="G37" i="99"/>
  <c r="G8" i="99"/>
  <c r="G28" i="99"/>
  <c r="L21" i="99"/>
  <c r="G41" i="98"/>
  <c r="G21" i="98"/>
  <c r="G40" i="98"/>
  <c r="G6" i="98"/>
  <c r="J7" i="98"/>
  <c r="G15" i="98"/>
  <c r="G16" i="98"/>
  <c r="G27" i="98"/>
  <c r="G35" i="98"/>
  <c r="L21" i="98"/>
  <c r="G19" i="98"/>
  <c r="G9" i="98"/>
  <c r="L4" i="98"/>
  <c r="G3" i="97"/>
  <c r="G11" i="97"/>
  <c r="G23" i="97"/>
  <c r="G5" i="97"/>
  <c r="G28" i="97"/>
  <c r="L7" i="97"/>
  <c r="G13" i="97"/>
  <c r="J9" i="97"/>
  <c r="J21" i="97" s="1"/>
  <c r="I22" i="123" s="1"/>
  <c r="G8" i="97"/>
  <c r="G7" i="97"/>
  <c r="G18" i="97"/>
  <c r="G30" i="97"/>
  <c r="G40" i="97"/>
  <c r="G26" i="97"/>
  <c r="G41" i="97"/>
  <c r="G14" i="97"/>
  <c r="K5" i="97" s="1"/>
  <c r="G31" i="97"/>
  <c r="J5" i="96"/>
  <c r="G14" i="96"/>
  <c r="G26" i="96"/>
  <c r="G22" i="96"/>
  <c r="G16" i="96"/>
  <c r="K5" i="96" s="1"/>
  <c r="G17" i="96"/>
  <c r="G29" i="96"/>
  <c r="G39" i="96"/>
  <c r="G18" i="96"/>
  <c r="G40" i="96"/>
  <c r="G19" i="96"/>
  <c r="G42" i="96"/>
  <c r="G38" i="96"/>
  <c r="G36" i="95"/>
  <c r="J17" i="95"/>
  <c r="B4" i="126" s="1"/>
  <c r="K21" i="95"/>
  <c r="L21" i="95"/>
  <c r="G27" i="95"/>
  <c r="G37" i="95"/>
  <c r="G4" i="95"/>
  <c r="G15" i="95"/>
  <c r="G20" i="95"/>
  <c r="L3" i="95"/>
  <c r="L16" i="95" s="1"/>
  <c r="E20" i="123" s="1"/>
  <c r="G19" i="95"/>
  <c r="G23" i="95"/>
  <c r="G39" i="94"/>
  <c r="G12" i="94"/>
  <c r="G13" i="94"/>
  <c r="G27" i="94"/>
  <c r="G40" i="94"/>
  <c r="G37" i="94"/>
  <c r="G23" i="94"/>
  <c r="G19" i="94"/>
  <c r="G3" i="94"/>
  <c r="L4" i="94"/>
  <c r="J4" i="94"/>
  <c r="J17" i="94" s="1"/>
  <c r="J20" i="94" s="1"/>
  <c r="G22" i="94"/>
  <c r="G35" i="94"/>
  <c r="G41" i="93"/>
  <c r="G9" i="93"/>
  <c r="J9" i="93"/>
  <c r="J21" i="93" s="1"/>
  <c r="I18" i="123" s="1"/>
  <c r="L9" i="93"/>
  <c r="L21" i="93" s="1"/>
  <c r="G8" i="93"/>
  <c r="G37" i="93"/>
  <c r="G25" i="93"/>
  <c r="G26" i="93"/>
  <c r="G39" i="93"/>
  <c r="G7" i="93"/>
  <c r="G15" i="93"/>
  <c r="G36" i="92"/>
  <c r="G17" i="92"/>
  <c r="G16" i="92"/>
  <c r="G40" i="92"/>
  <c r="J5" i="92"/>
  <c r="G12" i="92"/>
  <c r="K5" i="92" s="1"/>
  <c r="G31" i="92"/>
  <c r="G41" i="92"/>
  <c r="G34" i="92"/>
  <c r="G23" i="92"/>
  <c r="G32" i="92"/>
  <c r="L6" i="92"/>
  <c r="G13" i="92"/>
  <c r="G33" i="92"/>
  <c r="G33" i="91"/>
  <c r="G31" i="91"/>
  <c r="G10" i="91"/>
  <c r="G20" i="91"/>
  <c r="G21" i="91"/>
  <c r="G35" i="91"/>
  <c r="G5" i="91"/>
  <c r="G26" i="91"/>
  <c r="G14" i="91"/>
  <c r="G15" i="91"/>
  <c r="K5" i="90"/>
  <c r="L5" i="90"/>
  <c r="G23" i="90"/>
  <c r="J4" i="90"/>
  <c r="J17" i="90" s="1"/>
  <c r="G17" i="90"/>
  <c r="G37" i="90"/>
  <c r="G3" i="90"/>
  <c r="G19" i="90"/>
  <c r="L4" i="90"/>
  <c r="L17" i="90" s="1"/>
  <c r="F15" i="123" s="1"/>
  <c r="G29" i="90"/>
  <c r="G11" i="89"/>
  <c r="G21" i="89"/>
  <c r="G24" i="89"/>
  <c r="L4" i="89"/>
  <c r="L17" i="89" s="1"/>
  <c r="F14" i="123" s="1"/>
  <c r="G6" i="89"/>
  <c r="J7" i="89"/>
  <c r="G8" i="89"/>
  <c r="G16" i="89"/>
  <c r="G15" i="88"/>
  <c r="G17" i="88"/>
  <c r="G38" i="88"/>
  <c r="J7" i="88"/>
  <c r="G19" i="88"/>
  <c r="G3" i="88"/>
  <c r="G41" i="88"/>
  <c r="G42" i="88"/>
  <c r="G33" i="88"/>
  <c r="G30" i="88"/>
  <c r="G23" i="88"/>
  <c r="G34" i="88"/>
  <c r="G25" i="88"/>
  <c r="K9" i="88" s="1"/>
  <c r="K21" i="88" s="1"/>
  <c r="G40" i="87"/>
  <c r="G18" i="87"/>
  <c r="G32" i="87"/>
  <c r="G23" i="87"/>
  <c r="G28" i="87"/>
  <c r="G25" i="87"/>
  <c r="L4" i="87"/>
  <c r="G14" i="87"/>
  <c r="G26" i="87"/>
  <c r="G15" i="87"/>
  <c r="L6" i="87"/>
  <c r="G16" i="87"/>
  <c r="G38" i="87"/>
  <c r="G15" i="86"/>
  <c r="G41" i="86"/>
  <c r="J21" i="86"/>
  <c r="I11" i="123" s="1"/>
  <c r="G27" i="86"/>
  <c r="K21" i="86"/>
  <c r="G20" i="86"/>
  <c r="G35" i="86"/>
  <c r="J5" i="86"/>
  <c r="G36" i="86"/>
  <c r="G37" i="86"/>
  <c r="G25" i="86"/>
  <c r="J21" i="85"/>
  <c r="I10" i="123" s="1"/>
  <c r="L21" i="85"/>
  <c r="G33" i="85"/>
  <c r="G34" i="85"/>
  <c r="G23" i="85"/>
  <c r="G14" i="85"/>
  <c r="G7" i="85"/>
  <c r="L4" i="85"/>
  <c r="G6" i="85"/>
  <c r="G8" i="83"/>
  <c r="G15" i="83"/>
  <c r="G27" i="83"/>
  <c r="K9" i="83"/>
  <c r="K21" i="83" s="1"/>
  <c r="G16" i="83"/>
  <c r="G31" i="83"/>
  <c r="L21" i="83"/>
  <c r="G11" i="83"/>
  <c r="J9" i="83"/>
  <c r="J21" i="83" s="1"/>
  <c r="I9" i="123" s="1"/>
  <c r="G4" i="83"/>
  <c r="J5" i="83"/>
  <c r="J4" i="83"/>
  <c r="J17" i="83" s="1"/>
  <c r="J20" i="83" s="1"/>
  <c r="G21" i="83"/>
  <c r="K6" i="83" s="1"/>
  <c r="G42" i="83"/>
  <c r="G5" i="82"/>
  <c r="G35" i="82"/>
  <c r="G6" i="82"/>
  <c r="G28" i="82"/>
  <c r="G16" i="82"/>
  <c r="G17" i="82"/>
  <c r="G40" i="82"/>
  <c r="G21" i="82"/>
  <c r="G36" i="82"/>
  <c r="G11" i="82"/>
  <c r="G10" i="82"/>
  <c r="J6" i="82"/>
  <c r="G37" i="80"/>
  <c r="G12" i="80"/>
  <c r="G31" i="80"/>
  <c r="G25" i="80"/>
  <c r="K4" i="80" s="1"/>
  <c r="G33" i="80"/>
  <c r="G4" i="80"/>
  <c r="G39" i="79"/>
  <c r="G40" i="79"/>
  <c r="G17" i="79"/>
  <c r="G20" i="79"/>
  <c r="G41" i="79"/>
  <c r="G32" i="79"/>
  <c r="G23" i="79"/>
  <c r="K9" i="79" s="1"/>
  <c r="K21" i="79" s="1"/>
  <c r="L5" i="79"/>
  <c r="G22" i="79"/>
  <c r="G15" i="79"/>
  <c r="J21" i="79"/>
  <c r="I6" i="123" s="1"/>
  <c r="G8" i="79"/>
  <c r="K5" i="79" s="1"/>
  <c r="G28" i="79"/>
  <c r="J7" i="79"/>
  <c r="G27" i="57"/>
  <c r="J21" i="57"/>
  <c r="I5" i="123" s="1"/>
  <c r="K21" i="57"/>
  <c r="G40" i="57"/>
  <c r="L21" i="57"/>
  <c r="G20" i="57"/>
  <c r="G34" i="57"/>
  <c r="G37" i="57"/>
  <c r="J4" i="57"/>
  <c r="G21" i="57"/>
  <c r="G18" i="57"/>
  <c r="G22" i="57"/>
  <c r="J5" i="57"/>
  <c r="G24" i="57"/>
  <c r="G26" i="80"/>
  <c r="K5" i="80" s="1"/>
  <c r="K17" i="80" s="1"/>
  <c r="C7" i="123" s="1"/>
  <c r="G11" i="57"/>
  <c r="K5" i="85"/>
  <c r="G9" i="88"/>
  <c r="K4" i="88" s="1"/>
  <c r="J4" i="88"/>
  <c r="K4" i="90"/>
  <c r="G6" i="57"/>
  <c r="K5" i="57" s="1"/>
  <c r="L5" i="85"/>
  <c r="L17" i="85" s="1"/>
  <c r="F10" i="123" s="1"/>
  <c r="G19" i="105"/>
  <c r="K4" i="105" s="1"/>
  <c r="J5" i="85"/>
  <c r="G8" i="87"/>
  <c r="K5" i="87" s="1"/>
  <c r="L5" i="87"/>
  <c r="L16" i="87" s="1"/>
  <c r="F12" i="123" s="1"/>
  <c r="G8" i="90"/>
  <c r="L5" i="105"/>
  <c r="J4" i="93"/>
  <c r="J17" i="93" s="1"/>
  <c r="J20" i="93" s="1"/>
  <c r="L4" i="93"/>
  <c r="J5" i="88"/>
  <c r="L4" i="79"/>
  <c r="L17" i="79" s="1"/>
  <c r="F6" i="123" s="1"/>
  <c r="G27" i="79"/>
  <c r="K4" i="79" s="1"/>
  <c r="L4" i="83"/>
  <c r="G20" i="83"/>
  <c r="J6" i="91"/>
  <c r="G32" i="91"/>
  <c r="K6" i="91" s="1"/>
  <c r="J3" i="86"/>
  <c r="J16" i="86" s="1"/>
  <c r="G6" i="86"/>
  <c r="G5" i="114"/>
  <c r="K10" i="114" s="1"/>
  <c r="K17" i="114" s="1"/>
  <c r="C39" i="123" s="1"/>
  <c r="L10" i="114"/>
  <c r="L17" i="114" s="1"/>
  <c r="F39" i="123" s="1"/>
  <c r="G20" i="89"/>
  <c r="K9" i="89" s="1"/>
  <c r="K21" i="89" s="1"/>
  <c r="L9" i="89"/>
  <c r="L21" i="89" s="1"/>
  <c r="G18" i="91"/>
  <c r="K5" i="91" s="1"/>
  <c r="J5" i="91"/>
  <c r="G9" i="57"/>
  <c r="K3" i="57" s="1"/>
  <c r="K16" i="57" s="1"/>
  <c r="B5" i="123" s="1"/>
  <c r="J3" i="57"/>
  <c r="J16" i="57" s="1"/>
  <c r="J6" i="87"/>
  <c r="G4" i="87"/>
  <c r="K6" i="87" s="1"/>
  <c r="G17" i="95"/>
  <c r="K4" i="95" s="1"/>
  <c r="K17" i="95" s="1"/>
  <c r="C20" i="123" s="1"/>
  <c r="L4" i="80"/>
  <c r="L17" i="80" s="1"/>
  <c r="F7" i="123" s="1"/>
  <c r="G5" i="83"/>
  <c r="K4" i="83" s="1"/>
  <c r="L4" i="88"/>
  <c r="L17" i="88" s="1"/>
  <c r="F13" i="123" s="1"/>
  <c r="L3" i="57"/>
  <c r="L16" i="57" s="1"/>
  <c r="E5" i="123" s="1"/>
  <c r="L7" i="91"/>
  <c r="G3" i="91"/>
  <c r="K7" i="91" s="1"/>
  <c r="K21" i="93"/>
  <c r="J4" i="89"/>
  <c r="G4" i="89"/>
  <c r="K4" i="89" s="1"/>
  <c r="J4" i="80"/>
  <c r="J17" i="80" s="1"/>
  <c r="B2" i="126" s="1"/>
  <c r="K5" i="94"/>
  <c r="K9" i="90"/>
  <c r="K21" i="90" s="1"/>
  <c r="K4" i="93"/>
  <c r="G5" i="80"/>
  <c r="J3" i="80"/>
  <c r="J16" i="80" s="1"/>
  <c r="G3" i="98"/>
  <c r="J4" i="98"/>
  <c r="J17" i="98" s="1"/>
  <c r="J20" i="98" s="1"/>
  <c r="K5" i="83"/>
  <c r="G23" i="83"/>
  <c r="L3" i="80"/>
  <c r="L16" i="80" s="1"/>
  <c r="E7" i="123" s="1"/>
  <c r="L5" i="106"/>
  <c r="G3" i="106"/>
  <c r="L5" i="83"/>
  <c r="J4" i="91"/>
  <c r="L3" i="86"/>
  <c r="L16" i="86" s="1"/>
  <c r="E11" i="123" s="1"/>
  <c r="G6" i="92"/>
  <c r="K6" i="92" s="1"/>
  <c r="K9" i="82"/>
  <c r="K21" i="82" s="1"/>
  <c r="J4" i="87"/>
  <c r="L5" i="94"/>
  <c r="L17" i="94" s="1"/>
  <c r="F19" i="123" s="1"/>
  <c r="G27" i="85"/>
  <c r="G7" i="94"/>
  <c r="K4" i="94" s="1"/>
  <c r="K4" i="96"/>
  <c r="L5" i="91"/>
  <c r="J5" i="119"/>
  <c r="K21" i="85"/>
  <c r="K6" i="94"/>
  <c r="G38" i="82"/>
  <c r="G22" i="119"/>
  <c r="K5" i="119" s="1"/>
  <c r="L4" i="57"/>
  <c r="L17" i="57" s="1"/>
  <c r="F5" i="123" s="1"/>
  <c r="K5" i="89"/>
  <c r="G11" i="102"/>
  <c r="L4" i="102"/>
  <c r="G28" i="85"/>
  <c r="K9" i="85" s="1"/>
  <c r="L5" i="89"/>
  <c r="L5" i="82"/>
  <c r="L17" i="82" s="1"/>
  <c r="F8" i="123" s="1"/>
  <c r="J4" i="85"/>
  <c r="K4" i="57"/>
  <c r="J4" i="79"/>
  <c r="J17" i="79" s="1"/>
  <c r="J20" i="79" s="1"/>
  <c r="G3" i="85"/>
  <c r="G18" i="86"/>
  <c r="J4" i="92"/>
  <c r="J17" i="92" s="1"/>
  <c r="J20" i="92" s="1"/>
  <c r="G3" i="110"/>
  <c r="K3" i="110" s="1"/>
  <c r="K16" i="110" s="1"/>
  <c r="B35" i="123" s="1"/>
  <c r="J4" i="82"/>
  <c r="G30" i="82"/>
  <c r="L4" i="86"/>
  <c r="L17" i="86" s="1"/>
  <c r="F11" i="123" s="1"/>
  <c r="G38" i="89"/>
  <c r="J9" i="90"/>
  <c r="J21" i="90" s="1"/>
  <c r="I15" i="123" s="1"/>
  <c r="K4" i="92"/>
  <c r="G27" i="97"/>
  <c r="G20" i="105"/>
  <c r="K7" i="105" s="1"/>
  <c r="J3" i="109"/>
  <c r="J16" i="109" s="1"/>
  <c r="L10" i="112"/>
  <c r="L17" i="112" s="1"/>
  <c r="F37" i="123" s="1"/>
  <c r="L4" i="92"/>
  <c r="G5" i="88"/>
  <c r="K5" i="88" s="1"/>
  <c r="J4" i="102"/>
  <c r="J17" i="102" s="1"/>
  <c r="J20" i="102" s="1"/>
  <c r="G24" i="102"/>
  <c r="K10" i="112"/>
  <c r="K17" i="112" s="1"/>
  <c r="C37" i="123" s="1"/>
  <c r="G19" i="83"/>
  <c r="J5" i="94"/>
  <c r="G16" i="95"/>
  <c r="K7" i="95" s="1"/>
  <c r="K3" i="109"/>
  <c r="K16" i="109" s="1"/>
  <c r="B34" i="123" s="1"/>
  <c r="L5" i="110"/>
  <c r="L17" i="110" s="1"/>
  <c r="F35" i="123" s="1"/>
  <c r="G19" i="110"/>
  <c r="J3" i="108"/>
  <c r="J16" i="108" s="1"/>
  <c r="G3" i="108"/>
  <c r="L7" i="96"/>
  <c r="G10" i="96"/>
  <c r="K7" i="96" s="1"/>
  <c r="G3" i="80"/>
  <c r="J9" i="82"/>
  <c r="J21" i="82" s="1"/>
  <c r="I8" i="123" s="1"/>
  <c r="L9" i="82"/>
  <c r="L21" i="82" s="1"/>
  <c r="L6" i="85"/>
  <c r="K4" i="87"/>
  <c r="G13" i="88"/>
  <c r="G4" i="93"/>
  <c r="K7" i="93" s="1"/>
  <c r="J4" i="97"/>
  <c r="G4" i="97"/>
  <c r="K4" i="97" s="1"/>
  <c r="G10" i="121"/>
  <c r="K9" i="121" s="1"/>
  <c r="K21" i="121" s="1"/>
  <c r="J9" i="121"/>
  <c r="J21" i="121" s="1"/>
  <c r="K3" i="95"/>
  <c r="K16" i="95" s="1"/>
  <c r="B20" i="123" s="1"/>
  <c r="L6" i="82"/>
  <c r="G26" i="94"/>
  <c r="J6" i="94"/>
  <c r="L9" i="96"/>
  <c r="L21" i="96" s="1"/>
  <c r="G12" i="97"/>
  <c r="K9" i="97" s="1"/>
  <c r="K21" i="97" s="1"/>
  <c r="G33" i="98"/>
  <c r="J20" i="90"/>
  <c r="J9" i="98"/>
  <c r="J21" i="98" s="1"/>
  <c r="I23" i="123" s="1"/>
  <c r="G7" i="98"/>
  <c r="K9" i="98" s="1"/>
  <c r="K21" i="98" s="1"/>
  <c r="K5" i="111"/>
  <c r="G4" i="82"/>
  <c r="K4" i="82" s="1"/>
  <c r="L7" i="90"/>
  <c r="G10" i="90"/>
  <c r="K7" i="90" s="1"/>
  <c r="J9" i="94"/>
  <c r="J21" i="94" s="1"/>
  <c r="I19" i="123" s="1"/>
  <c r="L10" i="111"/>
  <c r="G10" i="111"/>
  <c r="K10" i="111" s="1"/>
  <c r="G19" i="114"/>
  <c r="K6" i="82"/>
  <c r="L21" i="79"/>
  <c r="J21" i="88"/>
  <c r="I13" i="123" s="1"/>
  <c r="G17" i="94"/>
  <c r="K6" i="85"/>
  <c r="G23" i="57"/>
  <c r="G29" i="92"/>
  <c r="G23" i="99"/>
  <c r="K3" i="99" s="1"/>
  <c r="K16" i="99" s="1"/>
  <c r="B24" i="123" s="1"/>
  <c r="L21" i="88"/>
  <c r="J5" i="89"/>
  <c r="J5" i="87"/>
  <c r="L5" i="96"/>
  <c r="L21" i="90"/>
  <c r="J5" i="93"/>
  <c r="G5" i="95"/>
  <c r="J21" i="96"/>
  <c r="I21" i="123" s="1"/>
  <c r="J4" i="100"/>
  <c r="G18" i="82"/>
  <c r="J3" i="99"/>
  <c r="J16" i="99" s="1"/>
  <c r="J20" i="99" s="1"/>
  <c r="G9" i="99"/>
  <c r="G3" i="100"/>
  <c r="K4" i="100" s="1"/>
  <c r="K5" i="104"/>
  <c r="G12" i="98"/>
  <c r="G17" i="113"/>
  <c r="J5" i="82"/>
  <c r="G12" i="82"/>
  <c r="K5" i="82" s="1"/>
  <c r="G27" i="99"/>
  <c r="J6" i="103"/>
  <c r="G21" i="103"/>
  <c r="K6" i="103" s="1"/>
  <c r="K4" i="118"/>
  <c r="J4" i="86"/>
  <c r="J17" i="86" s="1"/>
  <c r="B3" i="126" s="1"/>
  <c r="J9" i="96"/>
  <c r="L3" i="99"/>
  <c r="L16" i="99" s="1"/>
  <c r="E24" i="123" s="1"/>
  <c r="J5" i="100"/>
  <c r="L3" i="109"/>
  <c r="L16" i="109" s="1"/>
  <c r="E34" i="123" s="1"/>
  <c r="G4" i="86"/>
  <c r="K4" i="86" s="1"/>
  <c r="K17" i="86" s="1"/>
  <c r="C11" i="123" s="1"/>
  <c r="K4" i="91"/>
  <c r="G3" i="96"/>
  <c r="K9" i="96" s="1"/>
  <c r="K21" i="96" s="1"/>
  <c r="G11" i="104"/>
  <c r="K4" i="104" s="1"/>
  <c r="J4" i="104"/>
  <c r="J17" i="104" s="1"/>
  <c r="J20" i="104" s="1"/>
  <c r="G9" i="113"/>
  <c r="K3" i="113" s="1"/>
  <c r="K16" i="113" s="1"/>
  <c r="B38" i="123" s="1"/>
  <c r="L4" i="97"/>
  <c r="G6" i="114"/>
  <c r="J10" i="114"/>
  <c r="J17" i="114" s="1"/>
  <c r="J20" i="114" s="1"/>
  <c r="L5" i="93"/>
  <c r="K5" i="103"/>
  <c r="L4" i="91"/>
  <c r="L5" i="103"/>
  <c r="G6" i="107"/>
  <c r="K4" i="107" s="1"/>
  <c r="G31" i="119"/>
  <c r="J5" i="98"/>
  <c r="L5" i="104"/>
  <c r="G13" i="95"/>
  <c r="J4" i="96"/>
  <c r="J17" i="96" s="1"/>
  <c r="J20" i="96" s="1"/>
  <c r="G11" i="100"/>
  <c r="K5" i="100" s="1"/>
  <c r="J5" i="120"/>
  <c r="G29" i="98"/>
  <c r="G6" i="106"/>
  <c r="G10" i="108"/>
  <c r="K5" i="108" s="1"/>
  <c r="K17" i="108" s="1"/>
  <c r="C33" i="123" s="1"/>
  <c r="J5" i="108"/>
  <c r="J17" i="108" s="1"/>
  <c r="B7" i="126" s="1"/>
  <c r="G4" i="120"/>
  <c r="K5" i="120" s="1"/>
  <c r="L4" i="96"/>
  <c r="L17" i="113"/>
  <c r="F38" i="123" s="1"/>
  <c r="J3" i="95"/>
  <c r="J16" i="95" s="1"/>
  <c r="J20" i="95" s="1"/>
  <c r="J9" i="102"/>
  <c r="J21" i="102" s="1"/>
  <c r="I27" i="123" s="1"/>
  <c r="G3" i="103"/>
  <c r="K7" i="103" s="1"/>
  <c r="G20" i="104"/>
  <c r="G25" i="95"/>
  <c r="G42" i="107"/>
  <c r="J5" i="97"/>
  <c r="G16" i="97"/>
  <c r="G19" i="118"/>
  <c r="K6" i="118" s="1"/>
  <c r="G32" i="93"/>
  <c r="L5" i="97"/>
  <c r="G38" i="99"/>
  <c r="G41" i="102"/>
  <c r="G25" i="104"/>
  <c r="G8" i="105"/>
  <c r="K5" i="105" s="1"/>
  <c r="G24" i="93"/>
  <c r="K5" i="93" s="1"/>
  <c r="J5" i="106"/>
  <c r="L7" i="111"/>
  <c r="G24" i="111"/>
  <c r="K7" i="111" s="1"/>
  <c r="L9" i="94"/>
  <c r="L21" i="94" s="1"/>
  <c r="L9" i="97"/>
  <c r="L21" i="97" s="1"/>
  <c r="G14" i="102"/>
  <c r="J5" i="103"/>
  <c r="J4" i="106"/>
  <c r="J17" i="106" s="1"/>
  <c r="J20" i="106" s="1"/>
  <c r="G14" i="106"/>
  <c r="K4" i="106" s="1"/>
  <c r="G4" i="107"/>
  <c r="L3" i="107"/>
  <c r="L16" i="107" s="1"/>
  <c r="E32" i="123" s="1"/>
  <c r="K21" i="110"/>
  <c r="J20" i="101"/>
  <c r="G36" i="94"/>
  <c r="L4" i="105"/>
  <c r="J4" i="111"/>
  <c r="J17" i="111" s="1"/>
  <c r="J20" i="111" s="1"/>
  <c r="K4" i="122"/>
  <c r="J5" i="105"/>
  <c r="J17" i="105" s="1"/>
  <c r="J20" i="105" s="1"/>
  <c r="G9" i="105"/>
  <c r="L4" i="103"/>
  <c r="G16" i="110"/>
  <c r="K4" i="110" s="1"/>
  <c r="J4" i="110"/>
  <c r="J17" i="110" s="1"/>
  <c r="B9" i="126" s="1"/>
  <c r="G28" i="94"/>
  <c r="J5" i="107"/>
  <c r="J17" i="107" s="1"/>
  <c r="B6" i="126" s="1"/>
  <c r="J5" i="122"/>
  <c r="J17" i="122" s="1"/>
  <c r="J20" i="122" s="1"/>
  <c r="G13" i="122"/>
  <c r="G20" i="94"/>
  <c r="G41" i="99"/>
  <c r="G22" i="99"/>
  <c r="L3" i="108"/>
  <c r="L16" i="108" s="1"/>
  <c r="E33" i="123" s="1"/>
  <c r="G39" i="97"/>
  <c r="J4" i="103"/>
  <c r="G16" i="103"/>
  <c r="K4" i="103" s="1"/>
  <c r="L4" i="106"/>
  <c r="J3" i="110"/>
  <c r="J16" i="110" s="1"/>
  <c r="J17" i="121"/>
  <c r="J20" i="121" s="1"/>
  <c r="G5" i="98"/>
  <c r="K5" i="98" s="1"/>
  <c r="K5" i="107"/>
  <c r="G14" i="108"/>
  <c r="K6" i="108" s="1"/>
  <c r="G4" i="110"/>
  <c r="G3" i="121"/>
  <c r="K4" i="121" s="1"/>
  <c r="K17" i="121" s="1"/>
  <c r="L5" i="98"/>
  <c r="G28" i="98"/>
  <c r="J17" i="109"/>
  <c r="B8" i="126" s="1"/>
  <c r="L4" i="121"/>
  <c r="L5" i="121"/>
  <c r="L5" i="102"/>
  <c r="L4" i="119"/>
  <c r="L17" i="119" s="1"/>
  <c r="F41" i="123" s="1"/>
  <c r="J5" i="102"/>
  <c r="G8" i="102"/>
  <c r="K5" i="102" s="1"/>
  <c r="J3" i="107"/>
  <c r="J16" i="107" s="1"/>
  <c r="G3" i="107"/>
  <c r="G7" i="122"/>
  <c r="K9" i="122" s="1"/>
  <c r="K21" i="122" s="1"/>
  <c r="L9" i="122"/>
  <c r="L21" i="122" s="1"/>
  <c r="L4" i="104"/>
  <c r="G17" i="111"/>
  <c r="K4" i="111" s="1"/>
  <c r="G24" i="101"/>
  <c r="J21" i="120"/>
  <c r="I42" i="123" s="1"/>
  <c r="J10" i="112"/>
  <c r="J17" i="112" s="1"/>
  <c r="J20" i="112" s="1"/>
  <c r="J4" i="119"/>
  <c r="G5" i="119"/>
  <c r="K4" i="119" s="1"/>
  <c r="K17" i="119" s="1"/>
  <c r="C41" i="123" s="1"/>
  <c r="H41" i="123" s="1"/>
  <c r="G16" i="120"/>
  <c r="K4" i="120" s="1"/>
  <c r="J4" i="120"/>
  <c r="G23" i="121"/>
  <c r="K5" i="121" s="1"/>
  <c r="L4" i="118"/>
  <c r="G10" i="102"/>
  <c r="K6" i="102" s="1"/>
  <c r="L17" i="101"/>
  <c r="F26" i="123" s="1"/>
  <c r="H26" i="123" s="1"/>
  <c r="J5" i="118"/>
  <c r="J17" i="118" s="1"/>
  <c r="J20" i="118" s="1"/>
  <c r="G36" i="122"/>
  <c r="G8" i="118"/>
  <c r="K5" i="118" s="1"/>
  <c r="G18" i="110"/>
  <c r="J3" i="113"/>
  <c r="J16" i="113" s="1"/>
  <c r="J20" i="113" s="1"/>
  <c r="L5" i="118"/>
  <c r="G22" i="118"/>
  <c r="K9" i="118" s="1"/>
  <c r="K21" i="118" s="1"/>
  <c r="J9" i="118"/>
  <c r="J21" i="118" s="1"/>
  <c r="I40" i="123" s="1"/>
  <c r="G39" i="121"/>
  <c r="L9" i="118"/>
  <c r="L21" i="118" s="1"/>
  <c r="G10" i="113"/>
  <c r="K5" i="122"/>
  <c r="K21" i="120"/>
  <c r="J21" i="111"/>
  <c r="I36" i="123" s="1"/>
  <c r="K21" i="111"/>
  <c r="L21" i="111"/>
  <c r="G12" i="120"/>
  <c r="K6" i="120" s="1"/>
  <c r="L5" i="120"/>
  <c r="L17" i="120" s="1"/>
  <c r="F42" i="123" s="1"/>
  <c r="L17" i="121" l="1"/>
  <c r="K17" i="120"/>
  <c r="C42" i="123" s="1"/>
  <c r="H42" i="123" s="1"/>
  <c r="J17" i="119"/>
  <c r="J20" i="119" s="1"/>
  <c r="H39" i="123"/>
  <c r="K17" i="111"/>
  <c r="C36" i="123" s="1"/>
  <c r="H36" i="123" s="1"/>
  <c r="J20" i="110"/>
  <c r="K5" i="110"/>
  <c r="K17" i="110" s="1"/>
  <c r="C35" i="123" s="1"/>
  <c r="H35" i="123" s="1"/>
  <c r="K3" i="108"/>
  <c r="K16" i="108" s="1"/>
  <c r="B33" i="123" s="1"/>
  <c r="H33" i="123" s="1"/>
  <c r="L17" i="106"/>
  <c r="F31" i="123" s="1"/>
  <c r="K17" i="104"/>
  <c r="C29" i="123" s="1"/>
  <c r="L17" i="104"/>
  <c r="F29" i="123" s="1"/>
  <c r="K4" i="102"/>
  <c r="K17" i="102" s="1"/>
  <c r="C27" i="123" s="1"/>
  <c r="K17" i="105"/>
  <c r="C30" i="123" s="1"/>
  <c r="J17" i="100"/>
  <c r="J20" i="100" s="1"/>
  <c r="L17" i="98"/>
  <c r="F23" i="123" s="1"/>
  <c r="L17" i="92"/>
  <c r="F17" i="123" s="1"/>
  <c r="L17" i="91"/>
  <c r="F16" i="123" s="1"/>
  <c r="K17" i="90"/>
  <c r="C15" i="123" s="1"/>
  <c r="H15" i="123" s="1"/>
  <c r="K17" i="89"/>
  <c r="C14" i="123" s="1"/>
  <c r="J17" i="89"/>
  <c r="J20" i="89" s="1"/>
  <c r="K17" i="83"/>
  <c r="C9" i="123" s="1"/>
  <c r="J20" i="80"/>
  <c r="K17" i="79"/>
  <c r="C6" i="123" s="1"/>
  <c r="H6" i="123" s="1"/>
  <c r="J17" i="57"/>
  <c r="B1" i="126" s="1"/>
  <c r="H37" i="123"/>
  <c r="H24" i="123"/>
  <c r="H34" i="123"/>
  <c r="H38" i="123"/>
  <c r="L17" i="96"/>
  <c r="F21" i="123" s="1"/>
  <c r="K17" i="94"/>
  <c r="C19" i="123" s="1"/>
  <c r="H19" i="123" s="1"/>
  <c r="H5" i="123"/>
  <c r="L17" i="97"/>
  <c r="F22" i="123" s="1"/>
  <c r="K17" i="100"/>
  <c r="C25" i="123" s="1"/>
  <c r="H25" i="123" s="1"/>
  <c r="K4" i="85"/>
  <c r="K17" i="85" s="1"/>
  <c r="C10" i="123" s="1"/>
  <c r="H10" i="123" s="1"/>
  <c r="J17" i="88"/>
  <c r="J20" i="88" s="1"/>
  <c r="K17" i="97"/>
  <c r="C22" i="123" s="1"/>
  <c r="H22" i="123" s="1"/>
  <c r="K3" i="86"/>
  <c r="K16" i="86" s="1"/>
  <c r="B11" i="123" s="1"/>
  <c r="H11" i="123" s="1"/>
  <c r="K4" i="98"/>
  <c r="K17" i="98" s="1"/>
  <c r="C23" i="123" s="1"/>
  <c r="H23" i="123" s="1"/>
  <c r="K17" i="93"/>
  <c r="C18" i="123" s="1"/>
  <c r="K17" i="122"/>
  <c r="K17" i="118"/>
  <c r="C40" i="123" s="1"/>
  <c r="J20" i="109"/>
  <c r="J20" i="86"/>
  <c r="H20" i="123"/>
  <c r="J17" i="85"/>
  <c r="J20" i="85" s="1"/>
  <c r="K17" i="82"/>
  <c r="C8" i="123" s="1"/>
  <c r="H8" i="123" s="1"/>
  <c r="L17" i="102"/>
  <c r="F27" i="123" s="1"/>
  <c r="K5" i="106"/>
  <c r="K17" i="106" s="1"/>
  <c r="C31" i="123" s="1"/>
  <c r="H31" i="123" s="1"/>
  <c r="K17" i="88"/>
  <c r="C13" i="123" s="1"/>
  <c r="H13" i="123" s="1"/>
  <c r="J17" i="97"/>
  <c r="J20" i="97" s="1"/>
  <c r="J20" i="108"/>
  <c r="L17" i="93"/>
  <c r="F18" i="123" s="1"/>
  <c r="K9" i="94"/>
  <c r="K21" i="94" s="1"/>
  <c r="J16" i="87"/>
  <c r="J19" i="87" s="1"/>
  <c r="J17" i="103"/>
  <c r="J20" i="103" s="1"/>
  <c r="L17" i="118"/>
  <c r="F40" i="123" s="1"/>
  <c r="K16" i="87"/>
  <c r="C12" i="123" s="1"/>
  <c r="H12" i="123" s="1"/>
  <c r="J17" i="82"/>
  <c r="J20" i="82" s="1"/>
  <c r="K17" i="57"/>
  <c r="C5" i="123" s="1"/>
  <c r="K3" i="107"/>
  <c r="K16" i="107" s="1"/>
  <c r="B32" i="123" s="1"/>
  <c r="J17" i="91"/>
  <c r="J20" i="91" s="1"/>
  <c r="K17" i="96"/>
  <c r="C21" i="123" s="1"/>
  <c r="H21" i="123" s="1"/>
  <c r="L17" i="103"/>
  <c r="F28" i="123" s="1"/>
  <c r="K17" i="103"/>
  <c r="C28" i="123" s="1"/>
  <c r="H28" i="123" s="1"/>
  <c r="L17" i="105"/>
  <c r="F30" i="123" s="1"/>
  <c r="H30" i="123" s="1"/>
  <c r="K17" i="92"/>
  <c r="C17" i="123" s="1"/>
  <c r="H17" i="123" s="1"/>
  <c r="H14" i="123"/>
  <c r="J20" i="107"/>
  <c r="K17" i="107"/>
  <c r="C32" i="123" s="1"/>
  <c r="K17" i="91"/>
  <c r="C16" i="123" s="1"/>
  <c r="H16" i="123" s="1"/>
  <c r="J17" i="120"/>
  <c r="J20" i="120" s="1"/>
  <c r="K3" i="80"/>
  <c r="K16" i="80" s="1"/>
  <c r="B7" i="123" s="1"/>
  <c r="H7" i="123" s="1"/>
  <c r="L17" i="83"/>
  <c r="F9" i="123" s="1"/>
  <c r="H9" i="123" s="1"/>
  <c r="H29" i="123" l="1"/>
  <c r="H27" i="123"/>
  <c r="J20" i="57"/>
  <c r="H32" i="123"/>
  <c r="H40" i="123"/>
  <c r="H18" i="123"/>
  <c r="A9" i="93"/>
  <c r="A13" i="110"/>
  <c r="A6" i="103"/>
  <c r="A11" i="100"/>
  <c r="A16" i="107"/>
  <c r="A7" i="108"/>
  <c r="A19" i="112"/>
  <c r="A22" i="92"/>
  <c r="A25" i="120"/>
  <c r="A26" i="111"/>
  <c r="A6" i="98"/>
  <c r="A14" i="88"/>
  <c r="A9" i="57"/>
  <c r="A5" i="85"/>
  <c r="A11" i="91"/>
  <c r="A26" i="100"/>
  <c r="A19" i="111"/>
  <c r="A8" i="113"/>
  <c r="A13" i="122"/>
  <c r="A10" i="97"/>
  <c r="A9" i="92"/>
  <c r="A5" i="80"/>
  <c r="A21" i="104"/>
  <c r="A15" i="79"/>
  <c r="A10" i="91"/>
  <c r="A27" i="100"/>
  <c r="A19" i="97"/>
  <c r="A13" i="104"/>
  <c r="A19" i="96"/>
  <c r="A11" i="102"/>
  <c r="A25" i="99"/>
  <c r="A16" i="86"/>
  <c r="A11" i="113"/>
  <c r="A35" i="94"/>
  <c r="A16" i="85"/>
  <c r="A11" i="79"/>
  <c r="A23" i="87"/>
  <c r="A15" i="86"/>
  <c r="A23" i="80"/>
  <c r="A19" i="107"/>
  <c r="A20" i="91"/>
  <c r="A4" i="103"/>
  <c r="A14" i="120"/>
  <c r="A3" i="121"/>
  <c r="A20" i="121"/>
  <c r="A13" i="105"/>
  <c r="A20" i="118"/>
  <c r="A16" i="103"/>
  <c r="A18" i="91"/>
  <c r="A4" i="113"/>
  <c r="A5" i="119"/>
  <c r="A28" i="83"/>
  <c r="A5" i="86"/>
  <c r="A11" i="99"/>
  <c r="A5" i="111"/>
  <c r="A19" i="99"/>
  <c r="A17" i="103"/>
  <c r="A25" i="100"/>
  <c r="A24" i="91"/>
  <c r="A13" i="118"/>
  <c r="A20" i="82"/>
  <c r="A35" i="105"/>
  <c r="A5" i="89"/>
  <c r="A32" i="110"/>
  <c r="A32" i="86"/>
  <c r="A36" i="94"/>
  <c r="A23" i="102"/>
  <c r="A29" i="105"/>
  <c r="A11" i="83"/>
  <c r="A26" i="96"/>
  <c r="A13" i="98"/>
  <c r="A19" i="85"/>
  <c r="A23" i="96"/>
  <c r="A8" i="98"/>
  <c r="A18" i="103"/>
  <c r="A5" i="82"/>
  <c r="A10" i="100"/>
  <c r="A7" i="107"/>
  <c r="A14" i="105"/>
  <c r="A24" i="105"/>
  <c r="A9" i="114"/>
  <c r="A10" i="93"/>
  <c r="A21" i="79"/>
  <c r="A15" i="118"/>
  <c r="A6" i="105"/>
  <c r="A19" i="103"/>
  <c r="A5" i="110"/>
  <c r="A18" i="80"/>
  <c r="A34" i="111"/>
  <c r="A10" i="122"/>
  <c r="A23" i="103"/>
  <c r="A5" i="79"/>
  <c r="A22" i="88"/>
  <c r="A25" i="93"/>
  <c r="A8" i="91"/>
  <c r="A21" i="122"/>
  <c r="A26" i="83"/>
  <c r="A31" i="110"/>
  <c r="A11" i="118"/>
  <c r="A13" i="103"/>
  <c r="A14" i="114"/>
  <c r="A3" i="106"/>
  <c r="A20" i="83"/>
  <c r="A19" i="105"/>
  <c r="A17" i="102"/>
  <c r="A21" i="100"/>
  <c r="A20" i="111"/>
  <c r="A11" i="108"/>
  <c r="A9" i="79"/>
  <c r="A29" i="111"/>
  <c r="A33" i="91"/>
  <c r="A6" i="90"/>
  <c r="A17" i="93"/>
  <c r="A9" i="108"/>
  <c r="A20" i="100"/>
  <c r="A14" i="57"/>
  <c r="A26" i="57"/>
  <c r="A21" i="97"/>
  <c r="A13" i="99"/>
  <c r="A15" i="82"/>
  <c r="A14" i="109"/>
  <c r="A4" i="120"/>
  <c r="A5" i="97"/>
  <c r="A34" i="105"/>
  <c r="A21" i="109"/>
  <c r="A28" i="85"/>
  <c r="A9" i="113"/>
  <c r="A6" i="91"/>
  <c r="A21" i="88"/>
  <c r="A26" i="86"/>
  <c r="A18" i="100"/>
  <c r="A7" i="118"/>
  <c r="A22" i="119"/>
  <c r="A14" i="102"/>
  <c r="A23" i="89"/>
  <c r="A23" i="82"/>
  <c r="A6" i="111"/>
  <c r="A15" i="103"/>
  <c r="A16" i="100"/>
  <c r="A8" i="100"/>
  <c r="A4" i="86"/>
  <c r="A27" i="105"/>
  <c r="A22" i="94"/>
  <c r="A11" i="109"/>
  <c r="A25" i="96"/>
  <c r="A7" i="57"/>
  <c r="A24" i="85"/>
  <c r="A16" i="122"/>
  <c r="A9" i="122"/>
  <c r="A13" i="94"/>
  <c r="A13" i="106"/>
  <c r="A16" i="94"/>
  <c r="A15" i="121"/>
  <c r="A28" i="110"/>
  <c r="A3" i="112"/>
  <c r="A20" i="93"/>
  <c r="A20" i="85"/>
  <c r="A21" i="108"/>
  <c r="A16" i="118"/>
  <c r="A20" i="122"/>
  <c r="A19" i="83"/>
  <c r="A20" i="89"/>
  <c r="A18" i="109"/>
  <c r="A8" i="92"/>
  <c r="A13" i="102"/>
  <c r="A11" i="89"/>
  <c r="A9" i="100"/>
  <c r="A10" i="102"/>
  <c r="A7" i="113"/>
  <c r="A17" i="85"/>
  <c r="A17" i="112"/>
  <c r="A37" i="94"/>
  <c r="A21" i="94"/>
  <c r="A15" i="85"/>
  <c r="A8" i="108"/>
  <c r="A33" i="57"/>
  <c r="A21" i="105"/>
  <c r="A25" i="83"/>
  <c r="A21" i="113"/>
  <c r="A27" i="119"/>
  <c r="A9" i="102"/>
  <c r="A14" i="108"/>
  <c r="A10" i="87"/>
  <c r="A15" i="114"/>
  <c r="A21" i="90"/>
  <c r="A21" i="102"/>
  <c r="A18" i="111"/>
  <c r="A13" i="79"/>
  <c r="A24" i="121"/>
  <c r="A18" i="107"/>
  <c r="A14" i="83"/>
  <c r="A9" i="105"/>
  <c r="A25" i="121"/>
  <c r="A25" i="102"/>
  <c r="A25" i="79"/>
  <c r="A8" i="102"/>
  <c r="A13" i="112"/>
  <c r="A25" i="94"/>
  <c r="A12" i="97"/>
  <c r="A10" i="105"/>
  <c r="A13" i="93"/>
  <c r="A12" i="98"/>
  <c r="A12" i="99"/>
  <c r="A21" i="120"/>
  <c r="A20" i="109"/>
  <c r="A13" i="92"/>
  <c r="A13" i="120"/>
  <c r="A22" i="121"/>
  <c r="A18" i="89"/>
  <c r="A24" i="108"/>
  <c r="A17" i="99"/>
  <c r="A27" i="93"/>
  <c r="A10" i="82"/>
  <c r="A11" i="103"/>
  <c r="A10" i="95"/>
  <c r="A9" i="85"/>
  <c r="A4" i="119"/>
  <c r="A26" i="94"/>
  <c r="A4" i="57"/>
  <c r="A5" i="87"/>
  <c r="A7" i="96"/>
  <c r="A9" i="107"/>
  <c r="A18" i="85"/>
  <c r="A25" i="57"/>
  <c r="A5" i="94"/>
  <c r="A38" i="91"/>
  <c r="A3" i="80"/>
  <c r="A4" i="122"/>
  <c r="A14" i="93"/>
  <c r="A11" i="90"/>
  <c r="A17" i="98"/>
  <c r="A25" i="119"/>
  <c r="A4" i="93"/>
  <c r="A24" i="87"/>
  <c r="A5" i="99"/>
  <c r="A4" i="118"/>
  <c r="A6" i="94"/>
  <c r="A26" i="93"/>
  <c r="A9" i="82"/>
  <c r="A15" i="92"/>
  <c r="A29" i="96"/>
  <c r="A11" i="105"/>
  <c r="A8" i="99"/>
  <c r="A3" i="111"/>
  <c r="A25" i="106"/>
  <c r="A23" i="110"/>
  <c r="A5" i="114"/>
  <c r="A12" i="102"/>
  <c r="A10" i="89"/>
  <c r="A16" i="95"/>
  <c r="A14" i="112"/>
  <c r="A5" i="93"/>
  <c r="A11" i="95"/>
  <c r="A13" i="121"/>
  <c r="A21" i="86"/>
  <c r="A13" i="107"/>
  <c r="A8" i="118"/>
  <c r="A15" i="109"/>
  <c r="A6" i="95"/>
  <c r="A12" i="121"/>
  <c r="A25" i="82"/>
  <c r="A14" i="80"/>
  <c r="A6" i="88"/>
  <c r="A12" i="85"/>
  <c r="A4" i="106"/>
  <c r="A25" i="107"/>
  <c r="A8" i="88"/>
  <c r="A8" i="90"/>
  <c r="A10" i="106"/>
  <c r="A26" i="99"/>
  <c r="A36" i="91"/>
  <c r="A16" i="93"/>
  <c r="A13" i="91"/>
  <c r="A3" i="110"/>
  <c r="A21" i="106"/>
  <c r="A9" i="91"/>
  <c r="A17" i="121"/>
  <c r="A21" i="93"/>
  <c r="A16" i="82"/>
  <c r="A16" i="87"/>
  <c r="A4" i="99"/>
  <c r="A5" i="103"/>
  <c r="A8" i="112"/>
  <c r="A16" i="112"/>
  <c r="A18" i="106"/>
  <c r="A23" i="79"/>
  <c r="A7" i="121"/>
  <c r="A24" i="57"/>
  <c r="A10" i="92"/>
  <c r="A15" i="100"/>
  <c r="A26" i="85"/>
  <c r="A12" i="118"/>
  <c r="A12" i="89"/>
  <c r="A18" i="122"/>
  <c r="A22" i="86"/>
  <c r="A12" i="92"/>
  <c r="A9" i="88"/>
  <c r="A13" i="88"/>
  <c r="A29" i="85"/>
  <c r="A3" i="97"/>
  <c r="A6" i="110"/>
  <c r="A14" i="103"/>
  <c r="A27" i="118"/>
  <c r="A8" i="87"/>
  <c r="A32" i="111"/>
  <c r="A20" i="57"/>
  <c r="A17" i="95"/>
  <c r="A12" i="103"/>
  <c r="A5" i="107"/>
  <c r="A8" i="82"/>
  <c r="A12" i="95"/>
  <c r="A19" i="92"/>
  <c r="A21" i="107"/>
  <c r="A6" i="104"/>
  <c r="A21" i="80"/>
  <c r="A6" i="93"/>
  <c r="A22" i="79"/>
  <c r="A6" i="119"/>
  <c r="A6" i="79"/>
  <c r="A7" i="106"/>
  <c r="A31" i="94"/>
  <c r="A24" i="102"/>
  <c r="A24" i="82"/>
  <c r="A22" i="103"/>
  <c r="A11" i="120"/>
  <c r="A5" i="120"/>
  <c r="A3" i="108"/>
  <c r="A24" i="83"/>
  <c r="A16" i="57"/>
  <c r="A24" i="80"/>
  <c r="A10" i="114"/>
  <c r="A7" i="112"/>
  <c r="A17" i="88"/>
  <c r="A20" i="99"/>
  <c r="A8" i="107"/>
  <c r="A14" i="104"/>
  <c r="A18" i="113"/>
  <c r="A21" i="98"/>
  <c r="A16" i="91"/>
  <c r="A20" i="87"/>
  <c r="A15" i="93"/>
  <c r="A18" i="92"/>
  <c r="A18" i="120"/>
  <c r="A17" i="111"/>
  <c r="A3" i="120"/>
  <c r="A11" i="88"/>
  <c r="A23" i="83"/>
  <c r="A17" i="106"/>
  <c r="A16" i="120"/>
  <c r="A26" i="102"/>
  <c r="A7" i="105"/>
  <c r="A10" i="112"/>
  <c r="A26" i="97"/>
  <c r="A20" i="92"/>
  <c r="A4" i="107"/>
  <c r="A6" i="89"/>
  <c r="A5" i="95"/>
  <c r="A19" i="89"/>
  <c r="A14" i="121"/>
  <c r="A9" i="86"/>
  <c r="A19" i="106"/>
  <c r="A26" i="82"/>
  <c r="A17" i="90"/>
  <c r="A19" i="102"/>
  <c r="A23" i="119"/>
  <c r="A21" i="83"/>
  <c r="A14" i="113"/>
  <c r="A20" i="80"/>
  <c r="A11" i="114"/>
  <c r="A22" i="100"/>
  <c r="A27" i="80"/>
  <c r="A4" i="95"/>
  <c r="A24" i="100"/>
  <c r="A21" i="110"/>
  <c r="A9" i="90"/>
  <c r="A16" i="110"/>
  <c r="A12" i="88"/>
  <c r="A3" i="96"/>
  <c r="A34" i="94"/>
  <c r="A25" i="97"/>
  <c r="A10" i="88"/>
  <c r="A26" i="87"/>
  <c r="A16" i="83"/>
  <c r="A12" i="96"/>
  <c r="A20" i="103"/>
  <c r="A20" i="96"/>
  <c r="A28" i="96"/>
  <c r="A5" i="92"/>
  <c r="A4" i="82"/>
  <c r="A12" i="109"/>
  <c r="A22" i="96"/>
  <c r="A29" i="94"/>
  <c r="A28" i="86"/>
  <c r="A11" i="119"/>
  <c r="A5" i="118"/>
  <c r="A17" i="105"/>
  <c r="A27" i="94"/>
  <c r="A6" i="108"/>
  <c r="A8" i="57"/>
  <c r="A18" i="83"/>
  <c r="A18" i="94"/>
  <c r="A22" i="98"/>
  <c r="A27" i="107"/>
  <c r="A11" i="104"/>
  <c r="A12" i="93"/>
  <c r="A11" i="98"/>
  <c r="A3" i="113"/>
  <c r="A7" i="99"/>
  <c r="A14" i="106"/>
  <c r="A11" i="107"/>
  <c r="A10" i="80"/>
  <c r="A14" i="122"/>
  <c r="A17" i="109"/>
  <c r="A9" i="121"/>
  <c r="A27" i="86"/>
  <c r="A29" i="93"/>
  <c r="A20" i="105"/>
  <c r="A19" i="108"/>
  <c r="A20" i="102"/>
  <c r="A3" i="93"/>
  <c r="A17" i="86"/>
  <c r="A13" i="100"/>
  <c r="A12" i="110"/>
  <c r="A7" i="89"/>
  <c r="A6" i="92"/>
  <c r="A23" i="98"/>
  <c r="A19" i="82"/>
  <c r="A24" i="119"/>
  <c r="A27" i="110"/>
  <c r="A5" i="91"/>
  <c r="A19" i="120"/>
  <c r="A6" i="97"/>
  <c r="A12" i="94"/>
  <c r="A11" i="122"/>
  <c r="A28" i="93"/>
  <c r="A5" i="98"/>
  <c r="A8" i="86"/>
  <c r="A13" i="83"/>
  <c r="A4" i="94"/>
  <c r="A21" i="99"/>
  <c r="A3" i="87"/>
  <c r="A19" i="80"/>
  <c r="A12" i="86"/>
  <c r="A24" i="94"/>
  <c r="A4" i="87"/>
  <c r="A6" i="114"/>
  <c r="A14" i="91"/>
  <c r="A11" i="92"/>
  <c r="A15" i="112"/>
  <c r="A16" i="88"/>
  <c r="A23" i="118"/>
  <c r="A19" i="79"/>
  <c r="A18" i="99"/>
  <c r="A12" i="82"/>
  <c r="A27" i="108"/>
  <c r="A4" i="112"/>
  <c r="A18" i="102"/>
  <c r="A19" i="87"/>
  <c r="A16" i="90"/>
  <c r="A17" i="108"/>
  <c r="A5" i="105"/>
  <c r="A4" i="114"/>
  <c r="A8" i="109"/>
  <c r="A21" i="92"/>
  <c r="A24" i="111"/>
  <c r="A11" i="96"/>
  <c r="A28" i="118"/>
  <c r="A7" i="92"/>
  <c r="A19" i="98"/>
  <c r="A28" i="94"/>
  <c r="A29" i="107"/>
  <c r="A17" i="87"/>
  <c r="A10" i="83"/>
  <c r="A33" i="111"/>
  <c r="A24" i="103"/>
  <c r="A30" i="110"/>
  <c r="A8" i="80"/>
  <c r="A5" i="83"/>
  <c r="A17" i="97"/>
  <c r="A23" i="57"/>
  <c r="A10" i="96"/>
  <c r="A27" i="111"/>
  <c r="A26" i="121"/>
  <c r="A9" i="120"/>
  <c r="A3" i="102"/>
  <c r="A5" i="112"/>
  <c r="A17" i="122"/>
  <c r="A15" i="89"/>
  <c r="A3" i="114"/>
  <c r="A10" i="85"/>
  <c r="A24" i="97"/>
  <c r="A5" i="104"/>
  <c r="A13" i="96"/>
  <c r="A7" i="111"/>
  <c r="A20" i="113"/>
  <c r="A20" i="112"/>
  <c r="A18" i="108"/>
  <c r="A14" i="79"/>
  <c r="A3" i="105"/>
  <c r="A17" i="100"/>
  <c r="A3" i="107"/>
  <c r="A22" i="102"/>
  <c r="A8" i="119"/>
  <c r="A3" i="94"/>
  <c r="A27" i="85"/>
  <c r="A6" i="85"/>
  <c r="A11" i="121"/>
  <c r="A17" i="94"/>
  <c r="A12" i="80"/>
  <c r="A16" i="79"/>
  <c r="A34" i="91"/>
  <c r="A12" i="112"/>
  <c r="A8" i="122"/>
  <c r="A31" i="86"/>
  <c r="A8" i="120"/>
  <c r="A29" i="86"/>
  <c r="A16" i="106"/>
  <c r="A13" i="111"/>
  <c r="A4" i="97"/>
  <c r="A18" i="88"/>
  <c r="A22" i="93"/>
  <c r="A12" i="108"/>
  <c r="A11" i="106"/>
  <c r="A13" i="82"/>
  <c r="A7" i="83"/>
  <c r="A9" i="94"/>
  <c r="A21" i="111"/>
  <c r="A17" i="57"/>
  <c r="A30" i="85"/>
  <c r="A13" i="113"/>
  <c r="A30" i="91"/>
  <c r="A18" i="121"/>
  <c r="A8" i="85"/>
  <c r="A6" i="57"/>
  <c r="A10" i="90"/>
  <c r="A24" i="79"/>
  <c r="A4" i="96"/>
  <c r="A4" i="109"/>
  <c r="A9" i="99"/>
  <c r="A12" i="83"/>
  <c r="A23" i="88"/>
  <c r="A10" i="111"/>
  <c r="A20" i="88"/>
  <c r="A14" i="95"/>
  <c r="A24" i="110"/>
  <c r="A19" i="121"/>
  <c r="A8" i="96"/>
  <c r="A21" i="119"/>
  <c r="A7" i="93"/>
  <c r="A16" i="109"/>
  <c r="A27" i="83"/>
  <c r="A33" i="86"/>
  <c r="A17" i="110"/>
  <c r="A14" i="119"/>
  <c r="A7" i="95"/>
  <c r="A7" i="103"/>
  <c r="A22" i="57"/>
  <c r="A10" i="113"/>
  <c r="A17" i="104"/>
  <c r="A9" i="96"/>
  <c r="A13" i="89"/>
  <c r="A17" i="113"/>
  <c r="A28" i="80"/>
  <c r="A17" i="96"/>
  <c r="A30" i="93"/>
  <c r="A3" i="85"/>
  <c r="A4" i="92"/>
  <c r="A25" i="80"/>
  <c r="A28" i="91"/>
  <c r="A23" i="105"/>
  <c r="A15" i="102"/>
  <c r="A29" i="79"/>
  <c r="A6" i="118"/>
  <c r="A6" i="99"/>
  <c r="A29" i="110"/>
  <c r="A22" i="87"/>
  <c r="A25" i="86"/>
  <c r="A22" i="106"/>
  <c r="A13" i="87"/>
  <c r="A5" i="122"/>
  <c r="A26" i="120"/>
  <c r="A15" i="90"/>
  <c r="A20" i="97"/>
  <c r="A16" i="96"/>
  <c r="A33" i="93"/>
  <c r="A5" i="109"/>
  <c r="A16" i="113"/>
  <c r="A20" i="107"/>
  <c r="A19" i="57"/>
  <c r="A22" i="82"/>
  <c r="A6" i="86"/>
  <c r="A28" i="105"/>
  <c r="A6" i="106"/>
  <c r="A15" i="105"/>
  <c r="A18" i="86"/>
  <c r="A9" i="83"/>
  <c r="A3" i="122"/>
  <c r="A7" i="86"/>
  <c r="A21" i="121"/>
  <c r="A8" i="110"/>
  <c r="A26" i="105"/>
  <c r="A5" i="57"/>
  <c r="A16" i="119"/>
  <c r="A20" i="110"/>
  <c r="A21" i="96"/>
  <c r="A7" i="79"/>
  <c r="A20" i="90"/>
  <c r="A11" i="97"/>
  <c r="A6" i="120"/>
  <c r="A25" i="122"/>
  <c r="A14" i="85"/>
  <c r="A9" i="89"/>
  <c r="A8" i="103"/>
  <c r="A3" i="82"/>
  <c r="A15" i="107"/>
  <c r="A16" i="108"/>
  <c r="A22" i="83"/>
  <c r="A7" i="109"/>
  <c r="A14" i="94"/>
  <c r="A22" i="107"/>
  <c r="A10" i="121"/>
  <c r="A3" i="79"/>
  <c r="A5" i="106"/>
  <c r="A19" i="100"/>
  <c r="A5" i="90"/>
  <c r="A11" i="93"/>
  <c r="A9" i="95"/>
  <c r="A16" i="102"/>
  <c r="A16" i="80"/>
  <c r="A13" i="119"/>
  <c r="A17" i="79"/>
  <c r="A8" i="97"/>
  <c r="A3" i="119"/>
  <c r="A4" i="83"/>
  <c r="A4" i="104"/>
  <c r="A25" i="91"/>
  <c r="A26" i="106"/>
  <c r="A3" i="83"/>
  <c r="A3" i="100"/>
  <c r="A30" i="105"/>
  <c r="A10" i="118"/>
  <c r="A8" i="83"/>
  <c r="A23" i="93"/>
  <c r="A24" i="120"/>
  <c r="A15" i="94"/>
  <c r="A13" i="85"/>
  <c r="A22" i="80"/>
  <c r="A16" i="104"/>
  <c r="A23" i="122"/>
  <c r="A26" i="107"/>
  <c r="A20" i="108"/>
  <c r="A16" i="92"/>
  <c r="A18" i="98"/>
  <c r="A11" i="110"/>
  <c r="A11" i="80"/>
  <c r="A28" i="79"/>
  <c r="A31" i="111"/>
  <c r="A3" i="109"/>
  <c r="A24" i="107"/>
  <c r="A33" i="94"/>
  <c r="A23" i="106"/>
  <c r="A32" i="93"/>
  <c r="A3" i="57"/>
  <c r="A12" i="91"/>
  <c r="A11" i="94"/>
  <c r="A14" i="107"/>
  <c r="A7" i="88"/>
  <c r="A7" i="100"/>
  <c r="A20" i="119"/>
  <c r="A18" i="95"/>
  <c r="A7" i="104"/>
  <c r="A8" i="114"/>
  <c r="A12" i="114"/>
  <c r="A19" i="88"/>
  <c r="A22" i="85"/>
  <c r="A7" i="91"/>
  <c r="A8" i="106"/>
  <c r="A7" i="114"/>
  <c r="A27" i="87"/>
  <c r="A25" i="118"/>
  <c r="A21" i="118"/>
  <c r="A21" i="103"/>
  <c r="A25" i="103"/>
  <c r="A21" i="57"/>
  <c r="A19" i="104"/>
  <c r="A3" i="98"/>
  <c r="A3" i="86"/>
  <c r="A22" i="89"/>
  <c r="A16" i="98"/>
  <c r="A18" i="90"/>
  <c r="A30" i="86"/>
  <c r="A24" i="96"/>
  <c r="A12" i="120"/>
  <c r="A26" i="108"/>
  <c r="A23" i="86"/>
  <c r="A5" i="102"/>
  <c r="A4" i="79"/>
  <c r="A19" i="113"/>
  <c r="A9" i="109"/>
  <c r="A18" i="97"/>
  <c r="A13" i="90"/>
  <c r="A14" i="110"/>
  <c r="A24" i="89"/>
  <c r="A3" i="104"/>
  <c r="A29" i="119"/>
  <c r="A27" i="96"/>
  <c r="A9" i="119"/>
  <c r="A9" i="106"/>
  <c r="A16" i="99"/>
  <c r="A22" i="108"/>
  <c r="A15" i="120"/>
  <c r="A4" i="88"/>
  <c r="A18" i="93"/>
  <c r="A31" i="105"/>
  <c r="A18" i="104"/>
  <c r="A14" i="96"/>
  <c r="A4" i="89"/>
  <c r="A11" i="57"/>
  <c r="A27" i="79"/>
  <c r="A3" i="90"/>
  <c r="A10" i="108"/>
  <c r="A7" i="119"/>
  <c r="A6" i="109"/>
  <c r="A8" i="105"/>
  <c r="A7" i="87"/>
  <c r="A17" i="82"/>
  <c r="A32" i="94"/>
  <c r="A8" i="111"/>
  <c r="A4" i="105"/>
  <c r="A28" i="119"/>
  <c r="A10" i="107"/>
  <c r="A9" i="118"/>
  <c r="A18" i="82"/>
  <c r="A5" i="121"/>
  <c r="A20" i="104"/>
  <c r="A23" i="85"/>
  <c r="A11" i="111"/>
  <c r="A24" i="99"/>
  <c r="A17" i="107"/>
  <c r="A15" i="83"/>
  <c r="A18" i="105"/>
  <c r="A12" i="87"/>
  <c r="A13" i="86"/>
  <c r="A22" i="97"/>
  <c r="A15" i="119"/>
  <c r="A30" i="111"/>
  <c r="A11" i="85"/>
  <c r="A25" i="85"/>
  <c r="A12" i="79"/>
  <c r="A8" i="121"/>
  <c r="A12" i="107"/>
  <c r="A17" i="119"/>
  <c r="A9" i="111"/>
  <c r="A12" i="119"/>
  <c r="A14" i="86"/>
  <c r="A20" i="94"/>
  <c r="A10" i="94"/>
  <c r="A19" i="110"/>
  <c r="A11" i="112"/>
  <c r="A18" i="112"/>
  <c r="A18" i="96"/>
  <c r="A17" i="92"/>
  <c r="A22" i="111"/>
  <c r="A27" i="99"/>
  <c r="A10" i="119"/>
  <c r="A28" i="107"/>
  <c r="A16" i="97"/>
  <c r="A19" i="119"/>
  <c r="A16" i="89"/>
  <c r="A13" i="80"/>
  <c r="A20" i="106"/>
  <c r="A15" i="88"/>
  <c r="A25" i="111"/>
  <c r="A7" i="120"/>
  <c r="A25" i="110"/>
  <c r="A14" i="92"/>
  <c r="A8" i="94"/>
  <c r="A32" i="105"/>
  <c r="A37" i="91"/>
  <c r="A21" i="112"/>
  <c r="A7" i="102"/>
  <c r="A26" i="88"/>
  <c r="A5" i="100"/>
  <c r="A23" i="97"/>
  <c r="A14" i="89"/>
  <c r="A10" i="104"/>
  <c r="A18" i="118"/>
  <c r="A12" i="57"/>
  <c r="A22" i="118"/>
  <c r="A6" i="80"/>
  <c r="A25" i="87"/>
  <c r="A4" i="111"/>
  <c r="A9" i="104"/>
  <c r="A21" i="87"/>
  <c r="A15" i="104"/>
  <c r="A13" i="57"/>
  <c r="A31" i="93"/>
  <c r="A7" i="80"/>
  <c r="A30" i="94"/>
  <c r="A10" i="103"/>
  <c r="A15" i="91"/>
  <c r="A24" i="118"/>
  <c r="A24" i="88"/>
  <c r="A3" i="89"/>
  <c r="A19" i="91"/>
  <c r="A25" i="105"/>
  <c r="A25" i="98"/>
  <c r="A22" i="120"/>
  <c r="A26" i="122"/>
  <c r="A23" i="91"/>
  <c r="A15" i="97"/>
  <c r="A22" i="110"/>
  <c r="A12" i="90"/>
  <c r="A27" i="122"/>
  <c r="A14" i="87"/>
  <c r="A19" i="86"/>
  <c r="A4" i="90"/>
  <c r="A15" i="87"/>
  <c r="A4" i="102"/>
  <c r="A15" i="96"/>
  <c r="A26" i="110"/>
  <c r="A35" i="91"/>
  <c r="A5" i="108"/>
  <c r="A16" i="121"/>
  <c r="A4" i="85"/>
  <c r="A27" i="91"/>
  <c r="A14" i="97"/>
  <c r="A23" i="108"/>
  <c r="A12" i="122"/>
  <c r="A32" i="91"/>
  <c r="A8" i="95"/>
  <c r="A22" i="122"/>
  <c r="A25" i="88"/>
  <c r="A22" i="91"/>
  <c r="A13" i="114"/>
  <c r="A23" i="111"/>
  <c r="A14" i="111"/>
  <c r="A16" i="105"/>
  <c r="A11" i="87"/>
  <c r="A14" i="90"/>
  <c r="A34" i="93"/>
  <c r="A12" i="105"/>
  <c r="A7" i="122"/>
  <c r="A6" i="102"/>
  <c r="A23" i="99"/>
  <c r="A15" i="57"/>
  <c r="A8" i="93"/>
  <c r="A17" i="80"/>
  <c r="A14" i="82"/>
  <c r="A3" i="91"/>
  <c r="A12" i="113"/>
  <c r="A15" i="113"/>
  <c r="A6" i="122"/>
  <c r="A24" i="106"/>
  <c r="A6" i="121"/>
  <c r="A20" i="120"/>
  <c r="A14" i="99"/>
  <c r="A15" i="108"/>
  <c r="A9" i="87"/>
  <c r="A31" i="91"/>
  <c r="A10" i="109"/>
  <c r="A23" i="100"/>
  <c r="A4" i="91"/>
  <c r="A11" i="86"/>
  <c r="A19" i="93"/>
  <c r="A9" i="98"/>
  <c r="A10" i="99"/>
  <c r="A18" i="79"/>
  <c r="A6" i="83"/>
  <c r="A7" i="110"/>
  <c r="A9" i="103"/>
  <c r="A8" i="79"/>
  <c r="A26" i="118"/>
  <c r="A6" i="113"/>
  <c r="A9" i="80"/>
  <c r="A12" i="104"/>
  <c r="A10" i="79"/>
  <c r="A29" i="91"/>
  <c r="A6" i="96"/>
  <c r="A3" i="88"/>
  <c r="A7" i="98"/>
  <c r="A15" i="99"/>
  <c r="A18" i="119"/>
  <c r="A13" i="109"/>
  <c r="A20" i="98"/>
  <c r="A6" i="107"/>
  <c r="A15" i="122"/>
  <c r="A8" i="89"/>
  <c r="A21" i="91"/>
  <c r="A23" i="121"/>
  <c r="A24" i="98"/>
  <c r="A9" i="110"/>
  <c r="A3" i="99"/>
  <c r="A19" i="122"/>
  <c r="A4" i="80"/>
  <c r="A17" i="89"/>
  <c r="A6" i="82"/>
  <c r="A10" i="86"/>
  <c r="A3" i="92"/>
  <c r="A10" i="110"/>
  <c r="A16" i="111"/>
  <c r="A19" i="94"/>
  <c r="A15" i="106"/>
  <c r="A9" i="97"/>
  <c r="A26" i="80"/>
  <c r="A19" i="118"/>
  <c r="A28" i="111"/>
  <c r="A9" i="112"/>
  <c r="A4" i="108"/>
  <c r="A12" i="100"/>
  <c r="A4" i="100"/>
  <c r="A24" i="86"/>
  <c r="A10" i="120"/>
  <c r="A8" i="104"/>
  <c r="A3" i="95"/>
  <c r="A24" i="93"/>
  <c r="A10" i="57"/>
  <c r="A6" i="112"/>
  <c r="A15" i="98"/>
  <c r="A14" i="118"/>
  <c r="A23" i="107"/>
  <c r="A26" i="91"/>
  <c r="A11" i="82"/>
  <c r="A7" i="97"/>
  <c r="A33" i="105"/>
  <c r="A7" i="90"/>
  <c r="A3" i="103"/>
  <c r="A7" i="82"/>
  <c r="A18" i="110"/>
  <c r="A13" i="108"/>
  <c r="A7" i="94"/>
  <c r="A24" i="122"/>
  <c r="A4" i="121"/>
  <c r="A21" i="82"/>
  <c r="A15" i="95"/>
  <c r="A6" i="87"/>
  <c r="A23" i="94"/>
  <c r="A15" i="80"/>
  <c r="A21" i="89"/>
  <c r="A21" i="85"/>
  <c r="A5" i="88"/>
  <c r="A22" i="105"/>
  <c r="A19" i="90"/>
  <c r="A3" i="118"/>
  <c r="A12" i="106"/>
  <c r="A26" i="119"/>
  <c r="A17" i="120"/>
  <c r="A22" i="99"/>
  <c r="A17" i="118"/>
  <c r="A5" i="113"/>
  <c r="A12" i="111"/>
  <c r="A7" i="85"/>
  <c r="A4" i="110"/>
  <c r="A18" i="57"/>
  <c r="A17" i="91"/>
  <c r="A20" i="79"/>
  <c r="A5" i="96"/>
  <c r="A4" i="98"/>
  <c r="A17" i="83"/>
  <c r="A26" i="79"/>
  <c r="A23" i="120"/>
  <c r="A14" i="98"/>
  <c r="A10" i="98"/>
  <c r="A13" i="95"/>
  <c r="A14" i="100"/>
  <c r="A25" i="108"/>
  <c r="A18" i="87"/>
  <c r="A19" i="109"/>
  <c r="A20" i="86"/>
  <c r="A13" i="97"/>
</calcChain>
</file>

<file path=xl/sharedStrings.xml><?xml version="1.0" encoding="utf-8"?>
<sst xmlns="http://schemas.openxmlformats.org/spreadsheetml/2006/main" count="3450" uniqueCount="86">
  <si>
    <t>汇总统计</t>
  </si>
  <si>
    <t>白班</t>
  </si>
  <si>
    <t>夜班</t>
  </si>
  <si>
    <t>总小时数</t>
  </si>
  <si>
    <t>调度席</t>
  </si>
  <si>
    <t>目录</t>
  </si>
  <si>
    <t>带班</t>
  </si>
  <si>
    <t>席位</t>
  </si>
  <si>
    <t>教员</t>
  </si>
  <si>
    <t>温若春</t>
  </si>
  <si>
    <t>明嘉</t>
  </si>
  <si>
    <t>徐万友</t>
  </si>
  <si>
    <t>耿若岩</t>
  </si>
  <si>
    <t>李明</t>
  </si>
  <si>
    <t>张虎</t>
  </si>
  <si>
    <t>马莲花</t>
  </si>
  <si>
    <t>刘国莲</t>
  </si>
  <si>
    <t>杜涛</t>
  </si>
  <si>
    <t>张文中</t>
  </si>
  <si>
    <t xml:space="preserve"> </t>
  </si>
  <si>
    <t>李秋实</t>
  </si>
  <si>
    <t>周岸</t>
  </si>
  <si>
    <t>詹泽彬</t>
  </si>
  <si>
    <t>张笑延</t>
  </si>
  <si>
    <t>沈宁</t>
  </si>
  <si>
    <t>胡鑫</t>
  </si>
  <si>
    <t>邓心豪</t>
  </si>
  <si>
    <t>黄恩</t>
  </si>
  <si>
    <t>严亮</t>
  </si>
  <si>
    <t>边昊</t>
  </si>
  <si>
    <t>张宗根</t>
  </si>
  <si>
    <t>宋天霖</t>
  </si>
  <si>
    <t>蔡昊霖</t>
  </si>
  <si>
    <t>叶大鹏</t>
  </si>
  <si>
    <t>王建超</t>
  </si>
  <si>
    <t>潘伟生</t>
  </si>
  <si>
    <t>王风瑞</t>
  </si>
  <si>
    <t>金鼎</t>
  </si>
  <si>
    <t>董志华</t>
  </si>
  <si>
    <t>姜文夫</t>
  </si>
  <si>
    <t>郭永杰</t>
  </si>
  <si>
    <t>朱永春</t>
  </si>
  <si>
    <t>刘琦</t>
  </si>
  <si>
    <t>吴疆</t>
  </si>
  <si>
    <t>巴富毅</t>
  </si>
  <si>
    <t>陈宏伟</t>
  </si>
  <si>
    <t>蒋露裕</t>
  </si>
  <si>
    <t>蓝宇航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</si>
  <si>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</si>
  <si>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</si>
  <si>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</si>
  <si>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</si>
  <si>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</si>
  <si>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</si>
  <si>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</si>
  <si>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</si>
  <si>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</si>
  <si>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</si>
  <si>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</si>
  <si>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</si>
  <si>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</si>
  <si>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西塔台管制席</t>
  </si>
  <si>
    <t>完成</t>
  </si>
  <si>
    <t>带班主任席执勤小时</t>
  </si>
  <si>
    <t>东塔台协调席</t>
  </si>
  <si>
    <t>机场管制席执勤小时</t>
  </si>
  <si>
    <t>西塔台协调席</t>
  </si>
  <si>
    <t>机场协调席执勤小时</t>
  </si>
  <si>
    <t>放行席执勤小时</t>
  </si>
  <si>
    <t>东塔台管制席</t>
  </si>
  <si>
    <t>地面席执勤小时</t>
  </si>
  <si>
    <t>生产调度席执勤小时</t>
  </si>
  <si>
    <t>带班主任</t>
  </si>
  <si>
    <t>航班调度席执勤小时</t>
  </si>
  <si>
    <t>综合协调席小时</t>
  </si>
  <si>
    <t>见习管制员小时</t>
  </si>
  <si>
    <t>管制教员席小时</t>
  </si>
  <si>
    <t>月度总小时统计</t>
  </si>
  <si>
    <t>统计</t>
  </si>
  <si>
    <t>席位执勤小时</t>
  </si>
  <si>
    <t>管制教员小时</t>
  </si>
  <si>
    <t>月度总小时</t>
  </si>
  <si>
    <t>地面席</t>
  </si>
  <si>
    <t>放行席</t>
  </si>
  <si>
    <t>航班调度席</t>
  </si>
  <si>
    <t>综合协调席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</si>
</sst>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8" formatCode="0.00_);[Red]\(0.00\)"/>
    <numFmt numFmtId="179" formatCode="0.0"/>
    <numFmt numFmtId="180" formatCode="0.0_ "/>
    <numFmt numFmtId="181" formatCode="h:mm:ss;@"/>
    <numFmt numFmtId="182" formatCode="0.0_);[Red]\(0.0\)"/>
  </numFmts>
  <fonts count="18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b/>
      <sz val="14"/>
      <color theme="4"/>
      <name val="宋体"/>
      <charset val="134"/>
      <scheme val="minor"/>
    </font>
    <font>
      <b/>
      <sz val="14"/>
      <color theme="7"/>
      <name val="宋体"/>
      <charset val="134"/>
      <scheme val="minor"/>
    </font>
    <font>
      <b/>
      <sz val="14"/>
      <color theme="9"/>
      <name val="宋体"/>
      <charset val="134"/>
      <scheme val="minor"/>
    </font>
    <font>
      <b/>
      <sz val="18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6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20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179" fontId="0" fillId="0" borderId="0" xfId="0" applyNumberFormat="1"/>
    <xf numFmtId="0" fontId="1" fillId="0" borderId="0" xfId="0" applyFont="1"/>
    <xf numFmtId="0" fontId="0" fillId="0" borderId="0" xfId="0" applyNumberFormat="1"/>
    <xf numFmtId="180" fontId="0" fillId="0" borderId="0" xfId="0" applyNumberFormat="1"/>
    <xf numFmtId="178" fontId="0" fillId="0" borderId="0" xfId="0" applyNumberFormat="1"/>
    <xf numFmtId="178" fontId="2" fillId="0" borderId="0" xfId="0" applyNumberFormat="1" applyFont="1"/>
    <xf numFmtId="181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 wrapText="1"/>
    </xf>
    <xf numFmtId="180" fontId="4" fillId="0" borderId="1" xfId="0" applyNumberFormat="1" applyFont="1" applyBorder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4" fontId="4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80" fontId="5" fillId="0" borderId="1" xfId="0" applyNumberFormat="1" applyFont="1" applyBorder="1" applyAlignment="1">
      <alignment horizontal="center" vertical="center"/>
    </xf>
    <xf numFmtId="182" fontId="5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Fill="1" applyBorder="1" applyAlignment="1">
      <alignment horizontal="center" vertical="center" wrapText="1"/>
    </xf>
    <xf numFmtId="178" fontId="2" fillId="0" borderId="1" xfId="0" applyNumberFormat="1" applyFont="1" applyFill="1" applyBorder="1" applyAlignment="1">
      <alignment horizontal="center" vertical="center" wrapText="1"/>
    </xf>
    <xf numFmtId="178" fontId="6" fillId="0" borderId="1" xfId="0" applyNumberFormat="1" applyFont="1" applyFill="1" applyBorder="1" applyAlignment="1">
      <alignment horizontal="center" vertical="center"/>
    </xf>
    <xf numFmtId="180" fontId="6" fillId="0" borderId="1" xfId="0" applyNumberFormat="1" applyFont="1" applyFill="1" applyBorder="1" applyAlignment="1">
      <alignment horizontal="center" vertical="center"/>
    </xf>
    <xf numFmtId="182" fontId="6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8" fontId="7" fillId="0" borderId="1" xfId="0" applyNumberFormat="1" applyFont="1" applyFill="1" applyBorder="1" applyAlignment="1">
      <alignment horizontal="center" vertical="center"/>
    </xf>
    <xf numFmtId="180" fontId="7" fillId="0" borderId="1" xfId="0" applyNumberFormat="1" applyFont="1" applyFill="1" applyBorder="1" applyAlignment="1">
      <alignment horizontal="center" vertical="center"/>
    </xf>
    <xf numFmtId="182" fontId="7" fillId="0" borderId="1" xfId="0" applyNumberFormat="1" applyFont="1" applyFill="1" applyBorder="1" applyAlignment="1"/>
    <xf numFmtId="178" fontId="8" fillId="0" borderId="1" xfId="0" applyNumberFormat="1" applyFont="1" applyFill="1" applyBorder="1" applyAlignment="1">
      <alignment horizontal="center" vertical="center"/>
    </xf>
    <xf numFmtId="180" fontId="8" fillId="0" borderId="1" xfId="0" applyNumberFormat="1" applyFont="1" applyFill="1" applyBorder="1" applyAlignment="1">
      <alignment horizontal="center" vertical="center"/>
    </xf>
    <xf numFmtId="182" fontId="8" fillId="0" borderId="1" xfId="0" applyNumberFormat="1" applyFont="1" applyFill="1" applyBorder="1" applyAlignment="1"/>
    <xf numFmtId="178" fontId="9" fillId="0" borderId="1" xfId="0" applyNumberFormat="1" applyFont="1" applyFill="1" applyBorder="1" applyAlignment="1">
      <alignment horizontal="center" vertical="center"/>
    </xf>
    <xf numFmtId="180" fontId="9" fillId="0" borderId="1" xfId="0" applyNumberFormat="1" applyFont="1" applyFill="1" applyBorder="1" applyAlignment="1">
      <alignment horizontal="center" vertical="center"/>
    </xf>
    <xf numFmtId="182" fontId="9" fillId="0" borderId="1" xfId="0" applyNumberFormat="1" applyFont="1" applyFill="1" applyBorder="1" applyAlignment="1"/>
    <xf numFmtId="178" fontId="12" fillId="0" borderId="2" xfId="0" applyNumberFormat="1" applyFont="1" applyFill="1" applyBorder="1" applyAlignment="1">
      <alignment horizontal="center" vertical="center"/>
    </xf>
    <xf numFmtId="181" fontId="12" fillId="0" borderId="2" xfId="0" applyNumberFormat="1" applyFont="1" applyFill="1" applyBorder="1" applyAlignment="1">
      <alignment horizontal="center" vertical="center" wrapText="1"/>
    </xf>
    <xf numFmtId="181" fontId="12" fillId="2" borderId="2" xfId="0" applyNumberFormat="1" applyFont="1" applyFill="1" applyBorder="1" applyAlignment="1">
      <alignment horizontal="center" vertical="center" wrapText="1"/>
    </xf>
    <xf numFmtId="178" fontId="12" fillId="3" borderId="2" xfId="0" applyNumberFormat="1" applyFont="1" applyFill="1" applyBorder="1" applyAlignment="1">
      <alignment horizontal="center" vertical="center" wrapText="1"/>
    </xf>
    <xf numFmtId="181" fontId="12" fillId="0" borderId="1" xfId="0" applyNumberFormat="1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/>
    </xf>
    <xf numFmtId="182" fontId="13" fillId="0" borderId="1" xfId="0" applyNumberFormat="1" applyFont="1" applyFill="1" applyBorder="1" applyAlignment="1">
      <alignment horizontal="center"/>
    </xf>
    <xf numFmtId="182" fontId="13" fillId="2" borderId="1" xfId="0" applyNumberFormat="1" applyFont="1" applyFill="1" applyBorder="1" applyAlignment="1">
      <alignment horizontal="center"/>
    </xf>
    <xf numFmtId="182" fontId="13" fillId="3" borderId="1" xfId="0" applyNumberFormat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178" fontId="12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82" fontId="13" fillId="0" borderId="1" xfId="0" applyNumberFormat="1" applyFont="1" applyBorder="1" applyAlignment="1">
      <alignment horizontal="center"/>
    </xf>
    <xf numFmtId="0" fontId="0" fillId="0" borderId="1" xfId="0" applyBorder="1"/>
    <xf numFmtId="178" fontId="5" fillId="0" borderId="1" xfId="0" applyNumberFormat="1" applyFont="1" applyBorder="1" applyAlignment="1">
      <alignment horizontal="center" vertical="center"/>
    </xf>
    <xf numFmtId="46" fontId="6" fillId="0" borderId="1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3" fillId="0" borderId="1" xfId="1" applyFont="1" applyBorder="1" applyAlignment="1"/>
    <xf numFmtId="180" fontId="1" fillId="0" borderId="1" xfId="0" applyNumberFormat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/>
    </xf>
    <xf numFmtId="0" fontId="15" fillId="0" borderId="1" xfId="1" applyFont="1" applyBorder="1" applyAlignment="1"/>
    <xf numFmtId="0" fontId="15" fillId="0" borderId="1" xfId="1" applyBorder="1" applyAlignment="1"/>
    <xf numFmtId="179" fontId="0" fillId="0" borderId="1" xfId="0" applyNumberFormat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81" fontId="3" fillId="0" borderId="1" xfId="1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2" fontId="14" fillId="0" borderId="3" xfId="0" applyNumberFormat="1" applyFont="1" applyFill="1" applyBorder="1" applyAlignment="1">
      <alignment horizontal="center" vertical="center"/>
    </xf>
    <xf numFmtId="182" fontId="14" fillId="0" borderId="4" xfId="0" applyNumberFormat="1" applyFont="1" applyFill="1" applyBorder="1" applyAlignment="1">
      <alignment horizontal="center" vertical="center"/>
    </xf>
    <xf numFmtId="182" fontId="14" fillId="0" borderId="5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81" fontId="15" fillId="0" borderId="1" xfId="1" applyNumberForma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42"/>
  <sheetViews>
    <sheetView zoomScale="130" zoomScaleNormal="130" workbookViewId="0">
      <selection activeCell="A39" sqref="A39"/>
    </sheetView>
  </sheetViews>
  <sheetFormatPr defaultColWidth="9" defaultRowHeight="13.5" x14ac:dyDescent="0.15"/>
  <sheetData>
    <row r="1" spans="1:14" ht="14.1" customHeight="1" x14ac:dyDescent="0.15">
      <c r="A1" s="46"/>
      <c r="B1" s="61" t="s">
        <v>0</v>
      </c>
      <c r="C1" s="61"/>
      <c r="D1" s="61"/>
      <c r="E1" s="61"/>
      <c r="F1" s="61"/>
      <c r="G1" s="61"/>
    </row>
    <row r="2" spans="1:14" ht="14.1" customHeight="1" x14ac:dyDescent="0.15">
      <c r="A2" s="46"/>
      <c r="B2" s="61"/>
      <c r="C2" s="61"/>
      <c r="D2" s="61"/>
      <c r="E2" s="61"/>
      <c r="F2" s="61"/>
      <c r="G2" s="61"/>
    </row>
    <row r="3" spans="1:14" ht="14.1" customHeight="1" x14ac:dyDescent="0.15">
      <c r="A3" s="46"/>
      <c r="B3" s="57" t="s">
        <v>1</v>
      </c>
      <c r="C3" s="57"/>
      <c r="D3" s="57"/>
      <c r="E3" s="57" t="s">
        <v>2</v>
      </c>
      <c r="F3" s="58"/>
      <c r="G3" s="58"/>
      <c r="H3" s="59" t="s">
        <v>3</v>
      </c>
      <c r="I3" s="59" t="s">
        <v>4</v>
      </c>
    </row>
    <row r="4" spans="1:14" x14ac:dyDescent="0.15">
      <c r="A4" s="46" t="s">
        <v>5</v>
      </c>
      <c r="B4" s="49" t="s">
        <v>6</v>
      </c>
      <c r="C4" s="49" t="s">
        <v>7</v>
      </c>
      <c r="D4" s="49" t="s">
        <v>8</v>
      </c>
      <c r="E4" s="49" t="s">
        <v>6</v>
      </c>
      <c r="F4" s="49" t="s">
        <v>7</v>
      </c>
      <c r="G4" s="49" t="s">
        <v>8</v>
      </c>
      <c r="H4" s="60"/>
      <c r="I4" s="60"/>
    </row>
    <row r="5" spans="1:14" x14ac:dyDescent="0.15">
      <c r="A5" s="50" t="s">
        <v>9</v>
      </c>
      <c r="B5" s="51">
        <f>温若春!K16</f>
        <v>44.3055555555556</v>
      </c>
      <c r="C5" s="51">
        <f>温若春!K17</f>
        <v>19.801111111111126</v>
      </c>
      <c r="D5" s="52">
        <f>温若春!K18</f>
        <v>0</v>
      </c>
      <c r="E5" s="51">
        <f>温若春!L16</f>
        <v>36.214999999999968</v>
      </c>
      <c r="F5" s="51">
        <f>温若春!L17</f>
        <v>5.7269444444444382</v>
      </c>
      <c r="G5" s="51">
        <f>温若春!L19</f>
        <v>0</v>
      </c>
      <c r="H5" s="52">
        <f>SUM(B5:G5)</f>
        <v>106.04861111111113</v>
      </c>
      <c r="I5" s="55">
        <f>温若春!J21</f>
        <v>0</v>
      </c>
    </row>
    <row r="6" spans="1:14" x14ac:dyDescent="0.15">
      <c r="A6" s="50" t="s">
        <v>10</v>
      </c>
      <c r="B6" s="52">
        <f>明嘉!K16</f>
        <v>0</v>
      </c>
      <c r="C6" s="52">
        <f>明嘉!K17</f>
        <v>30.930833333333304</v>
      </c>
      <c r="D6" s="52">
        <f>明嘉!K19</f>
        <v>0</v>
      </c>
      <c r="E6" s="51">
        <f>明嘉!L16</f>
        <v>0</v>
      </c>
      <c r="F6" s="51">
        <f>明嘉!L17</f>
        <v>29.863055555555555</v>
      </c>
      <c r="G6" s="51">
        <f>明嘉!L19</f>
        <v>0</v>
      </c>
      <c r="H6" s="52">
        <f t="shared" ref="H6:H40" si="0">SUM(B6:G6)</f>
        <v>60.793888888888858</v>
      </c>
      <c r="I6" s="55">
        <f>明嘉!J21</f>
        <v>13.459166666666661</v>
      </c>
    </row>
    <row r="7" spans="1:14" x14ac:dyDescent="0.15">
      <c r="A7" s="53" t="s">
        <v>11</v>
      </c>
      <c r="B7" s="51">
        <f>徐万友!K16</f>
        <v>52.074999999999989</v>
      </c>
      <c r="C7" s="51">
        <f>徐万友!K17</f>
        <v>19.415833333333321</v>
      </c>
      <c r="D7" s="51">
        <f>徐万友!K19</f>
        <v>0</v>
      </c>
      <c r="E7" s="51">
        <f>徐万友!L16</f>
        <v>13.094722222222224</v>
      </c>
      <c r="F7" s="51">
        <f>徐万友!L17</f>
        <v>1.6744444444444082</v>
      </c>
      <c r="G7" s="51">
        <f>徐万友!L19</f>
        <v>0</v>
      </c>
      <c r="H7" s="52">
        <f t="shared" si="0"/>
        <v>86.259999999999948</v>
      </c>
      <c r="I7" s="55">
        <f>徐万友!J21</f>
        <v>0</v>
      </c>
    </row>
    <row r="8" spans="1:14" x14ac:dyDescent="0.15">
      <c r="A8" s="54" t="s">
        <v>12</v>
      </c>
      <c r="B8" s="51">
        <f>耿若岩!K16</f>
        <v>0</v>
      </c>
      <c r="C8" s="51">
        <f>耿若岩!K17</f>
        <v>36.248611111111131</v>
      </c>
      <c r="D8" s="51">
        <f>耿若岩!K19</f>
        <v>0</v>
      </c>
      <c r="E8" s="51">
        <f>耿若岩!L16</f>
        <v>0</v>
      </c>
      <c r="F8" s="51">
        <f>耿若岩!L17</f>
        <v>26.589444444444403</v>
      </c>
      <c r="G8" s="51">
        <f>耿若岩!L19</f>
        <v>0</v>
      </c>
      <c r="H8" s="52">
        <f t="shared" si="0"/>
        <v>62.838055555555535</v>
      </c>
      <c r="I8" s="56">
        <f>耿若岩!J21</f>
        <v>12.27472222222222</v>
      </c>
    </row>
    <row r="9" spans="1:14" x14ac:dyDescent="0.15">
      <c r="A9" s="50" t="s">
        <v>13</v>
      </c>
      <c r="B9" s="51">
        <f>李明!K16</f>
        <v>0</v>
      </c>
      <c r="C9" s="51">
        <f>李明!K17</f>
        <v>41.195833333333297</v>
      </c>
      <c r="D9" s="51">
        <f>李明!K19</f>
        <v>0</v>
      </c>
      <c r="E9" s="51">
        <f>李明!L16</f>
        <v>0</v>
      </c>
      <c r="F9" s="51">
        <f>李明!L17</f>
        <v>18.723611111111097</v>
      </c>
      <c r="G9" s="51">
        <f>李明!L19</f>
        <v>0</v>
      </c>
      <c r="H9" s="52">
        <f t="shared" si="0"/>
        <v>59.919444444444395</v>
      </c>
      <c r="I9" s="55">
        <f>李明!J21</f>
        <v>0.1666666666666794</v>
      </c>
    </row>
    <row r="10" spans="1:14" x14ac:dyDescent="0.15">
      <c r="A10" s="53" t="s">
        <v>14</v>
      </c>
      <c r="B10" s="51">
        <f>张虎!K16</f>
        <v>0</v>
      </c>
      <c r="C10" s="51">
        <f>张虎!K17</f>
        <v>34.314166666666736</v>
      </c>
      <c r="D10" s="51">
        <f>张虎!K19</f>
        <v>0</v>
      </c>
      <c r="E10" s="51">
        <f>张虎!L16</f>
        <v>0</v>
      </c>
      <c r="F10" s="51">
        <f>张虎!L17</f>
        <v>31.516388888888848</v>
      </c>
      <c r="G10" s="51">
        <f>张虎!L19</f>
        <v>0</v>
      </c>
      <c r="H10" s="52">
        <f t="shared" si="0"/>
        <v>65.830555555555577</v>
      </c>
      <c r="I10" s="55">
        <f>张虎!J21</f>
        <v>5.9155555555555699</v>
      </c>
    </row>
    <row r="11" spans="1:14" x14ac:dyDescent="0.15">
      <c r="A11" s="50" t="s">
        <v>15</v>
      </c>
      <c r="B11" s="51">
        <f>马莲花!K16</f>
        <v>40.986666666666814</v>
      </c>
      <c r="C11" s="51">
        <f>马莲花!K17</f>
        <v>14.911111111111133</v>
      </c>
      <c r="D11" s="51">
        <f>马莲花!K19</f>
        <v>0</v>
      </c>
      <c r="E11" s="51">
        <f>马莲花!L16</f>
        <v>23.750555555555515</v>
      </c>
      <c r="F11" s="51">
        <f>马莲花!L17</f>
        <v>12.682777777777767</v>
      </c>
      <c r="G11" s="51">
        <f>马莲花!L19</f>
        <v>0</v>
      </c>
      <c r="H11" s="52">
        <f t="shared" si="0"/>
        <v>92.331111111111227</v>
      </c>
      <c r="I11" s="55">
        <f>马莲花!J21</f>
        <v>0</v>
      </c>
    </row>
    <row r="12" spans="1:14" x14ac:dyDescent="0.15">
      <c r="A12" s="50" t="s">
        <v>16</v>
      </c>
      <c r="B12" s="51">
        <f>刘国莲!K15</f>
        <v>0</v>
      </c>
      <c r="C12" s="51">
        <f>刘国莲!K16</f>
        <v>31.414722222222267</v>
      </c>
      <c r="D12" s="51">
        <f>刘国莲!K18</f>
        <v>0</v>
      </c>
      <c r="E12" s="51">
        <f>刘国莲!L15</f>
        <v>0</v>
      </c>
      <c r="F12" s="51">
        <f>刘国莲!L16</f>
        <v>29.169444444444409</v>
      </c>
      <c r="G12" s="51">
        <f>刘国莲!L18</f>
        <v>0</v>
      </c>
      <c r="H12" s="52">
        <f t="shared" si="0"/>
        <v>60.584166666666675</v>
      </c>
      <c r="I12" s="55">
        <f>刘国莲!J20</f>
        <v>0</v>
      </c>
    </row>
    <row r="13" spans="1:14" x14ac:dyDescent="0.15">
      <c r="A13" s="50" t="s">
        <v>17</v>
      </c>
      <c r="B13" s="51">
        <f>杜涛!K16</f>
        <v>0</v>
      </c>
      <c r="C13" s="51">
        <f>杜涛!K17</f>
        <v>33.375000000000071</v>
      </c>
      <c r="D13" s="51">
        <f>杜涛!K19</f>
        <v>0</v>
      </c>
      <c r="E13" s="51">
        <f>杜涛!L16</f>
        <v>0</v>
      </c>
      <c r="F13" s="51">
        <f>杜涛!L17</f>
        <v>22.877222222222187</v>
      </c>
      <c r="G13" s="51">
        <f>杜涛!L19</f>
        <v>0</v>
      </c>
      <c r="H13" s="52">
        <f t="shared" si="0"/>
        <v>56.252222222222258</v>
      </c>
      <c r="I13" s="55">
        <f>杜涛!J21</f>
        <v>5.8541666666666652</v>
      </c>
    </row>
    <row r="14" spans="1:14" x14ac:dyDescent="0.15">
      <c r="A14" s="53" t="s">
        <v>18</v>
      </c>
      <c r="B14" s="51">
        <f>张文中!K16</f>
        <v>0</v>
      </c>
      <c r="C14" s="51">
        <f>张文中!K17</f>
        <v>36.862499999999997</v>
      </c>
      <c r="D14" s="51">
        <f>张文中!K19</f>
        <v>0</v>
      </c>
      <c r="E14" s="51">
        <f>张文中!L16</f>
        <v>0</v>
      </c>
      <c r="F14" s="51">
        <f>张文中!L17</f>
        <v>22.019999999999971</v>
      </c>
      <c r="G14" s="51">
        <f>张文中!L19</f>
        <v>0</v>
      </c>
      <c r="H14" s="52">
        <f t="shared" si="0"/>
        <v>58.882499999999965</v>
      </c>
      <c r="I14" s="55">
        <f>张文中!J21</f>
        <v>1.0849999999999937</v>
      </c>
      <c r="N14" s="2" t="s">
        <v>19</v>
      </c>
    </row>
    <row r="15" spans="1:14" x14ac:dyDescent="0.15">
      <c r="A15" s="50" t="s">
        <v>20</v>
      </c>
      <c r="B15" s="51">
        <f>李秋实!K16</f>
        <v>0</v>
      </c>
      <c r="C15" s="51">
        <f>李秋实!K17</f>
        <v>5.9916666666666725</v>
      </c>
      <c r="D15" s="51">
        <f>李秋实!K19</f>
        <v>0</v>
      </c>
      <c r="E15" s="51">
        <f>李秋实!L16</f>
        <v>0</v>
      </c>
      <c r="F15" s="51">
        <f>李秋实!L17</f>
        <v>32.509444444444476</v>
      </c>
      <c r="G15" s="51">
        <f>李秋实!L19</f>
        <v>0</v>
      </c>
      <c r="H15" s="52">
        <f t="shared" si="0"/>
        <v>38.50111111111115</v>
      </c>
      <c r="I15" s="55">
        <f>李秋实!J21</f>
        <v>11.394166666666656</v>
      </c>
    </row>
    <row r="16" spans="1:14" x14ac:dyDescent="0.15">
      <c r="A16" s="53" t="s">
        <v>21</v>
      </c>
      <c r="B16" s="51">
        <f>周岸!K16</f>
        <v>0</v>
      </c>
      <c r="C16" s="51">
        <f>周岸!K17</f>
        <v>52.091944444444451</v>
      </c>
      <c r="D16" s="51">
        <f>周岸!K19</f>
        <v>0</v>
      </c>
      <c r="E16" s="51">
        <f>周岸!L16</f>
        <v>0</v>
      </c>
      <c r="F16" s="51">
        <f>周岸!L17</f>
        <v>32.032222222222217</v>
      </c>
      <c r="G16" s="51">
        <f>周岸!L19</f>
        <v>0</v>
      </c>
      <c r="H16" s="52">
        <f t="shared" si="0"/>
        <v>84.124166666666667</v>
      </c>
      <c r="I16" s="55">
        <f>周岸!J21</f>
        <v>0</v>
      </c>
    </row>
    <row r="17" spans="1:9" x14ac:dyDescent="0.15">
      <c r="A17" s="50" t="s">
        <v>22</v>
      </c>
      <c r="B17" s="51">
        <f>詹泽彬!K16</f>
        <v>0</v>
      </c>
      <c r="C17" s="51">
        <f>詹泽彬!K17</f>
        <v>28.293333333333315</v>
      </c>
      <c r="D17" s="51">
        <f>詹泽彬!K19</f>
        <v>0</v>
      </c>
      <c r="E17" s="51">
        <f>詹泽彬!L16</f>
        <v>0</v>
      </c>
      <c r="F17" s="51">
        <f>詹泽彬!L17</f>
        <v>16.719722222222209</v>
      </c>
      <c r="G17" s="51">
        <f>詹泽彬!L19</f>
        <v>0</v>
      </c>
      <c r="H17" s="52">
        <f t="shared" si="0"/>
        <v>45.013055555555525</v>
      </c>
      <c r="I17" s="55">
        <f>詹泽彬!J21</f>
        <v>0</v>
      </c>
    </row>
    <row r="18" spans="1:9" x14ac:dyDescent="0.15">
      <c r="A18" s="53" t="s">
        <v>23</v>
      </c>
      <c r="B18" s="51">
        <f>张笑延!K16</f>
        <v>0</v>
      </c>
      <c r="C18" s="51">
        <f>张笑延!K17</f>
        <v>36.720833333333431</v>
      </c>
      <c r="D18" s="51">
        <f>张笑延!K19</f>
        <v>0</v>
      </c>
      <c r="E18" s="51">
        <f>张笑延!L16</f>
        <v>0</v>
      </c>
      <c r="F18" s="51">
        <f>张笑延!L17</f>
        <v>39.900833333333296</v>
      </c>
      <c r="G18" s="51">
        <f>张笑延!L19</f>
        <v>0</v>
      </c>
      <c r="H18" s="52">
        <f t="shared" si="0"/>
        <v>76.621666666666727</v>
      </c>
      <c r="I18" s="55">
        <f>张笑延!J21</f>
        <v>9.2352777777777622</v>
      </c>
    </row>
    <row r="19" spans="1:9" x14ac:dyDescent="0.15">
      <c r="A19" s="50" t="s">
        <v>24</v>
      </c>
      <c r="B19" s="52">
        <f>沈宁!K16</f>
        <v>0</v>
      </c>
      <c r="C19" s="52">
        <f>沈宁!K17</f>
        <v>40.131666666666675</v>
      </c>
      <c r="D19" s="52">
        <f>沈宁!K19</f>
        <v>0</v>
      </c>
      <c r="E19" s="52">
        <f>沈宁!L16</f>
        <v>0</v>
      </c>
      <c r="F19" s="52">
        <f>沈宁!L17</f>
        <v>29.76722222222222</v>
      </c>
      <c r="G19" s="52">
        <f>沈宁!L19</f>
        <v>0</v>
      </c>
      <c r="H19" s="52">
        <f t="shared" si="0"/>
        <v>69.898888888888891</v>
      </c>
      <c r="I19" s="55">
        <f>沈宁!J21</f>
        <v>10.306666666666654</v>
      </c>
    </row>
    <row r="20" spans="1:9" x14ac:dyDescent="0.15">
      <c r="A20" s="54" t="s">
        <v>25</v>
      </c>
      <c r="B20" s="52">
        <f>胡鑫!K16</f>
        <v>47.70333333333334</v>
      </c>
      <c r="C20" s="52">
        <f>胡鑫!K17</f>
        <v>1.114166666666665</v>
      </c>
      <c r="D20" s="52">
        <f>胡鑫!K19</f>
        <v>0</v>
      </c>
      <c r="E20" s="52">
        <f>胡鑫!L16</f>
        <v>13.250833333333317</v>
      </c>
      <c r="F20" s="52">
        <f>胡鑫!L17</f>
        <v>4.0361111111111043</v>
      </c>
      <c r="G20" s="52">
        <f>胡鑫!L19</f>
        <v>0</v>
      </c>
      <c r="H20" s="52">
        <f t="shared" si="0"/>
        <v>66.104444444444425</v>
      </c>
      <c r="I20" s="55">
        <f>胡鑫!J21</f>
        <v>0</v>
      </c>
    </row>
    <row r="21" spans="1:9" x14ac:dyDescent="0.15">
      <c r="A21" s="53" t="s">
        <v>26</v>
      </c>
      <c r="B21" s="52">
        <f>邓心豪!K16</f>
        <v>0</v>
      </c>
      <c r="C21" s="52">
        <f>邓心豪!K17</f>
        <v>30.460833333333337</v>
      </c>
      <c r="D21" s="52">
        <f>邓心豪!K19</f>
        <v>0</v>
      </c>
      <c r="E21" s="52">
        <f>邓心豪!L16</f>
        <v>0</v>
      </c>
      <c r="F21" s="52">
        <f>邓心豪!L17</f>
        <v>15.99611111111113</v>
      </c>
      <c r="G21" s="52">
        <f>邓心豪!L19</f>
        <v>0</v>
      </c>
      <c r="H21" s="52">
        <f t="shared" si="0"/>
        <v>46.456944444444467</v>
      </c>
      <c r="I21" s="55">
        <f>邓心豪!J21</f>
        <v>23.163333333333341</v>
      </c>
    </row>
    <row r="22" spans="1:9" x14ac:dyDescent="0.15">
      <c r="A22" s="50" t="s">
        <v>27</v>
      </c>
      <c r="B22" s="52">
        <f>黄恩!K16</f>
        <v>0</v>
      </c>
      <c r="C22" s="52">
        <f>黄恩!K17</f>
        <v>20.884166666666683</v>
      </c>
      <c r="D22" s="52">
        <f>黄恩!K19</f>
        <v>0</v>
      </c>
      <c r="E22" s="52">
        <f>黄恩!L16</f>
        <v>0</v>
      </c>
      <c r="F22" s="52">
        <f>黄恩!L17</f>
        <v>27.634722222222216</v>
      </c>
      <c r="G22" s="52">
        <f>黄恩!L19</f>
        <v>0</v>
      </c>
      <c r="H22" s="52">
        <f t="shared" si="0"/>
        <v>48.518888888888895</v>
      </c>
      <c r="I22" s="55">
        <f>黄恩!J21</f>
        <v>10.065277777777826</v>
      </c>
    </row>
    <row r="23" spans="1:9" x14ac:dyDescent="0.15">
      <c r="A23" s="54" t="s">
        <v>28</v>
      </c>
      <c r="B23" s="52">
        <f>严亮!K16</f>
        <v>0</v>
      </c>
      <c r="C23" s="52">
        <f>严亮!K17</f>
        <v>23.531944444444505</v>
      </c>
      <c r="D23" s="52">
        <f>严亮!K19</f>
        <v>0</v>
      </c>
      <c r="E23" s="52">
        <f>严亮!L16</f>
        <v>0</v>
      </c>
      <c r="F23" s="52">
        <f>严亮!L17</f>
        <v>25.943333333333314</v>
      </c>
      <c r="G23" s="52">
        <f>严亮!L19</f>
        <v>0</v>
      </c>
      <c r="H23" s="52">
        <f t="shared" si="0"/>
        <v>49.475277777777819</v>
      </c>
      <c r="I23" s="55">
        <f>严亮!J21</f>
        <v>4.1055555555555614</v>
      </c>
    </row>
    <row r="24" spans="1:9" x14ac:dyDescent="0.15">
      <c r="A24" s="53" t="s">
        <v>29</v>
      </c>
      <c r="B24" s="52">
        <f>边昊!K16</f>
        <v>68.609166666666724</v>
      </c>
      <c r="C24" s="52">
        <f>边昊!K17</f>
        <v>0</v>
      </c>
      <c r="D24" s="52">
        <f>边昊!K19</f>
        <v>0</v>
      </c>
      <c r="E24" s="52">
        <f>边昊!L16</f>
        <v>33.357777777777699</v>
      </c>
      <c r="F24" s="52">
        <f>边昊!L17</f>
        <v>0</v>
      </c>
      <c r="G24" s="52">
        <f>边昊!L19</f>
        <v>0</v>
      </c>
      <c r="H24" s="52">
        <f t="shared" si="0"/>
        <v>101.96694444444442</v>
      </c>
      <c r="I24" s="55">
        <f>边昊!J21</f>
        <v>0</v>
      </c>
    </row>
    <row r="25" spans="1:9" x14ac:dyDescent="0.15">
      <c r="A25" s="53" t="s">
        <v>30</v>
      </c>
      <c r="B25" s="52">
        <f>张宗根!K16</f>
        <v>0</v>
      </c>
      <c r="C25" s="52">
        <f>张宗根!K17</f>
        <v>38.373611111111188</v>
      </c>
      <c r="D25" s="52">
        <f>张宗根!K19</f>
        <v>0</v>
      </c>
      <c r="E25" s="52">
        <f>张宗根!L16</f>
        <v>0</v>
      </c>
      <c r="F25" s="52">
        <f>张宗根!L17</f>
        <v>26.046388888888838</v>
      </c>
      <c r="G25" s="52">
        <f>张宗根!L19</f>
        <v>0</v>
      </c>
      <c r="H25" s="52">
        <f t="shared" si="0"/>
        <v>64.42000000000003</v>
      </c>
      <c r="I25" s="55">
        <f>张宗根!J21</f>
        <v>0</v>
      </c>
    </row>
    <row r="26" spans="1:9" x14ac:dyDescent="0.15">
      <c r="A26" s="50" t="s">
        <v>31</v>
      </c>
      <c r="B26" s="52">
        <f>宋天霖!K16</f>
        <v>0</v>
      </c>
      <c r="C26" s="52">
        <f>宋天霖!K17</f>
        <v>0</v>
      </c>
      <c r="D26" s="52">
        <f>宋天霖!K19</f>
        <v>0</v>
      </c>
      <c r="E26" s="52">
        <f>宋天霖!L16</f>
        <v>0</v>
      </c>
      <c r="F26" s="52">
        <f>宋天霖!L17</f>
        <v>0</v>
      </c>
      <c r="G26" s="52">
        <f>宋天霖!L19</f>
        <v>0</v>
      </c>
      <c r="H26" s="52">
        <f t="shared" si="0"/>
        <v>0</v>
      </c>
      <c r="I26" s="55">
        <f>宋天霖!J21</f>
        <v>0</v>
      </c>
    </row>
    <row r="27" spans="1:9" x14ac:dyDescent="0.15">
      <c r="A27" s="53" t="s">
        <v>32</v>
      </c>
      <c r="B27" s="52">
        <f>蔡昊霖!K16</f>
        <v>0</v>
      </c>
      <c r="C27" s="52">
        <f>蔡昊霖!K17</f>
        <v>33.187222222222218</v>
      </c>
      <c r="D27" s="52">
        <f>蔡昊霖!K19</f>
        <v>0</v>
      </c>
      <c r="E27" s="52">
        <f>蔡昊霖!L16</f>
        <v>0</v>
      </c>
      <c r="F27" s="52">
        <f>蔡昊霖!L17</f>
        <v>33.00833333333329</v>
      </c>
      <c r="G27" s="52">
        <f>蔡昊霖!L19</f>
        <v>0</v>
      </c>
      <c r="H27" s="52">
        <f t="shared" si="0"/>
        <v>66.195555555555501</v>
      </c>
      <c r="I27" s="55">
        <f>蔡昊霖!J21</f>
        <v>5.5255555555555462</v>
      </c>
    </row>
    <row r="28" spans="1:9" x14ac:dyDescent="0.15">
      <c r="A28" s="53" t="s">
        <v>33</v>
      </c>
      <c r="B28" s="52">
        <f>叶大鹏!K16</f>
        <v>0</v>
      </c>
      <c r="C28" s="52">
        <f>叶大鹏!K17</f>
        <v>44.105833333333422</v>
      </c>
      <c r="D28" s="52">
        <f>叶大鹏!K19</f>
        <v>0</v>
      </c>
      <c r="E28" s="52">
        <f>叶大鹏!L16</f>
        <v>0</v>
      </c>
      <c r="F28" s="52">
        <f>叶大鹏!L17</f>
        <v>21.759722222222202</v>
      </c>
      <c r="G28" s="52">
        <f>叶大鹏!L19</f>
        <v>0</v>
      </c>
      <c r="H28" s="52">
        <f t="shared" si="0"/>
        <v>65.86555555555563</v>
      </c>
      <c r="I28" s="55">
        <f>叶大鹏!J21</f>
        <v>0</v>
      </c>
    </row>
    <row r="29" spans="1:9" x14ac:dyDescent="0.15">
      <c r="A29" s="53" t="s">
        <v>34</v>
      </c>
      <c r="B29" s="52">
        <f>王建超!K16</f>
        <v>0</v>
      </c>
      <c r="C29" s="52">
        <f>王建超!K17</f>
        <v>34.820000000000036</v>
      </c>
      <c r="D29" s="52">
        <f>王建超!K19</f>
        <v>0</v>
      </c>
      <c r="E29" s="52">
        <f>王建超!L16</f>
        <v>0</v>
      </c>
      <c r="F29" s="52">
        <f>王建超!L17</f>
        <v>25.032777777777788</v>
      </c>
      <c r="G29" s="52">
        <f>王建超!L19</f>
        <v>0</v>
      </c>
      <c r="H29" s="52">
        <f t="shared" si="0"/>
        <v>59.852777777777824</v>
      </c>
      <c r="I29" s="55">
        <f>王建超!J21</f>
        <v>0</v>
      </c>
    </row>
    <row r="30" spans="1:9" x14ac:dyDescent="0.15">
      <c r="A30" s="50" t="s">
        <v>35</v>
      </c>
      <c r="B30" s="52">
        <f>潘伟生!K16</f>
        <v>0</v>
      </c>
      <c r="C30" s="52">
        <f>潘伟生!K17</f>
        <v>49.587777777777816</v>
      </c>
      <c r="D30" s="52">
        <f>潘伟生!K19</f>
        <v>0</v>
      </c>
      <c r="E30" s="52">
        <f>潘伟生!L16</f>
        <v>0</v>
      </c>
      <c r="F30" s="52">
        <f>潘伟生!L17</f>
        <v>26.754722222222178</v>
      </c>
      <c r="G30" s="52">
        <f>潘伟生!L19</f>
        <v>0</v>
      </c>
      <c r="H30" s="52">
        <f t="shared" si="0"/>
        <v>76.342500000000001</v>
      </c>
      <c r="I30" s="55">
        <f>潘伟生!J21</f>
        <v>0</v>
      </c>
    </row>
    <row r="31" spans="1:9" x14ac:dyDescent="0.15">
      <c r="A31" s="50" t="s">
        <v>36</v>
      </c>
      <c r="B31" s="52">
        <f>王风瑞!K16</f>
        <v>0</v>
      </c>
      <c r="C31" s="52">
        <f>王风瑞!K17</f>
        <v>32.018611111111134</v>
      </c>
      <c r="D31" s="52">
        <f>王风瑞!K19</f>
        <v>0</v>
      </c>
      <c r="E31" s="52">
        <f>王风瑞!L16</f>
        <v>0</v>
      </c>
      <c r="F31" s="52">
        <f>王风瑞!L17</f>
        <v>29.415277777777735</v>
      </c>
      <c r="G31" s="52">
        <f>王风瑞!L19</f>
        <v>0</v>
      </c>
      <c r="H31" s="52">
        <f t="shared" si="0"/>
        <v>61.433888888888873</v>
      </c>
      <c r="I31" s="55">
        <f>王风瑞!J21</f>
        <v>0</v>
      </c>
    </row>
    <row r="32" spans="1:9" x14ac:dyDescent="0.15">
      <c r="A32" s="53" t="s">
        <v>37</v>
      </c>
      <c r="B32" s="52">
        <f>金鼎!K16</f>
        <v>30.894444444444424</v>
      </c>
      <c r="C32" s="52">
        <f>金鼎!K17</f>
        <v>8.6858333333333313</v>
      </c>
      <c r="D32" s="52">
        <f>金鼎!K19</f>
        <v>0</v>
      </c>
      <c r="E32" s="52">
        <f>金鼎!L16</f>
        <v>22.485555555555525</v>
      </c>
      <c r="F32" s="52">
        <f>金鼎!L17</f>
        <v>9.0827777777777996</v>
      </c>
      <c r="G32" s="52">
        <f>金鼎!L19</f>
        <v>0</v>
      </c>
      <c r="H32" s="52">
        <f t="shared" si="0"/>
        <v>71.14861111111108</v>
      </c>
      <c r="I32" s="55">
        <f>金鼎!J21</f>
        <v>0</v>
      </c>
    </row>
    <row r="33" spans="1:9" x14ac:dyDescent="0.15">
      <c r="A33" s="50" t="s">
        <v>38</v>
      </c>
      <c r="B33" s="52">
        <f>董志华!K16</f>
        <v>58.42222222222226</v>
      </c>
      <c r="C33" s="52">
        <f>董志华!K17</f>
        <v>1.5205555555555437</v>
      </c>
      <c r="D33" s="52">
        <f>董志华!K19</f>
        <v>0</v>
      </c>
      <c r="E33" s="52">
        <f>董志华!L16</f>
        <v>26.953888888888898</v>
      </c>
      <c r="F33" s="52">
        <f>董志华!L17</f>
        <v>4.3594444444444322</v>
      </c>
      <c r="G33" s="52">
        <f>董志华!L19</f>
        <v>0</v>
      </c>
      <c r="H33" s="52">
        <f t="shared" si="0"/>
        <v>91.256111111111139</v>
      </c>
      <c r="I33" s="55">
        <f>董志华!J21</f>
        <v>0</v>
      </c>
    </row>
    <row r="34" spans="1:9" x14ac:dyDescent="0.15">
      <c r="A34" s="50" t="s">
        <v>39</v>
      </c>
      <c r="B34" s="52">
        <f>姜文夫!K16</f>
        <v>55.070277777777846</v>
      </c>
      <c r="C34" s="52">
        <f>姜文夫!K17</f>
        <v>0</v>
      </c>
      <c r="D34" s="52">
        <f>姜文夫!K19</f>
        <v>0</v>
      </c>
      <c r="E34" s="52">
        <f>姜文夫!L16</f>
        <v>36.389999999999951</v>
      </c>
      <c r="F34" s="52">
        <f>姜文夫!L17</f>
        <v>0</v>
      </c>
      <c r="G34" s="52">
        <f>姜文夫!L19</f>
        <v>0</v>
      </c>
      <c r="H34" s="52">
        <f t="shared" si="0"/>
        <v>91.460277777777804</v>
      </c>
      <c r="I34" s="55">
        <f>姜文夫!J21</f>
        <v>0</v>
      </c>
    </row>
    <row r="35" spans="1:9" x14ac:dyDescent="0.15">
      <c r="A35" s="50" t="s">
        <v>40</v>
      </c>
      <c r="B35" s="52">
        <f>郭永杰!K16</f>
        <v>37.752777777777794</v>
      </c>
      <c r="C35" s="52">
        <f>郭永杰!K17</f>
        <v>23.161111111111133</v>
      </c>
      <c r="D35" s="52">
        <f>郭永杰!K19</f>
        <v>0</v>
      </c>
      <c r="E35" s="52">
        <f>郭永杰!L16</f>
        <v>27.41749999999999</v>
      </c>
      <c r="F35" s="52">
        <f>郭永杰!L17</f>
        <v>1.7238888888888715</v>
      </c>
      <c r="G35" s="52">
        <f>郭永杰!L19</f>
        <v>0</v>
      </c>
      <c r="H35" s="52">
        <f t="shared" si="0"/>
        <v>90.055277777777775</v>
      </c>
      <c r="I35" s="55">
        <f>郭永杰!J21</f>
        <v>1.323611111111112</v>
      </c>
    </row>
    <row r="36" spans="1:9" x14ac:dyDescent="0.15">
      <c r="A36" s="50" t="s">
        <v>41</v>
      </c>
      <c r="B36" s="52">
        <f>朱永春!K16</f>
        <v>0</v>
      </c>
      <c r="C36" s="52">
        <f>朱永春!K17</f>
        <v>48.293055555555554</v>
      </c>
      <c r="D36" s="52">
        <f>朱永春!K19</f>
        <v>0</v>
      </c>
      <c r="E36" s="52">
        <f>朱永春!L16</f>
        <v>0</v>
      </c>
      <c r="F36" s="52">
        <f>朱永春!L17</f>
        <v>29.597222222222207</v>
      </c>
      <c r="G36" s="52">
        <f>朱永春!L19</f>
        <v>0</v>
      </c>
      <c r="H36" s="52">
        <f t="shared" si="0"/>
        <v>77.890277777777754</v>
      </c>
      <c r="I36" s="55">
        <f>朱永春!J21</f>
        <v>0</v>
      </c>
    </row>
    <row r="37" spans="1:9" x14ac:dyDescent="0.15">
      <c r="A37" s="53" t="s">
        <v>42</v>
      </c>
      <c r="B37" s="52">
        <f>刘琦!K16</f>
        <v>0</v>
      </c>
      <c r="C37" s="52">
        <f>刘琦!K17</f>
        <v>37.558611111111141</v>
      </c>
      <c r="D37" s="52">
        <f>刘琦!K19</f>
        <v>0</v>
      </c>
      <c r="E37" s="52">
        <f>刘琦!L16</f>
        <v>0</v>
      </c>
      <c r="F37" s="52">
        <f>刘琦!L17</f>
        <v>1.1563888888888896</v>
      </c>
      <c r="G37" s="52">
        <f>刘琦!L19</f>
        <v>0</v>
      </c>
      <c r="H37" s="52">
        <f t="shared" si="0"/>
        <v>38.715000000000032</v>
      </c>
      <c r="I37" s="55">
        <f>刘琦!J21</f>
        <v>0</v>
      </c>
    </row>
    <row r="38" spans="1:9" x14ac:dyDescent="0.15">
      <c r="A38" s="53" t="s">
        <v>43</v>
      </c>
      <c r="B38" s="52">
        <f>吴疆!K16</f>
        <v>60.410000000000039</v>
      </c>
      <c r="C38" s="52">
        <f>吴疆!K17</f>
        <v>1.1744444444444406</v>
      </c>
      <c r="D38" s="52">
        <f>吴疆!K19</f>
        <v>0</v>
      </c>
      <c r="E38" s="52">
        <f>吴疆!L16</f>
        <v>20.759166666666598</v>
      </c>
      <c r="F38" s="52">
        <f>吴疆!L17</f>
        <v>2.9536111111111198</v>
      </c>
      <c r="G38" s="52">
        <f>吴疆!L19</f>
        <v>0</v>
      </c>
      <c r="H38" s="52">
        <f t="shared" si="0"/>
        <v>85.297222222222189</v>
      </c>
      <c r="I38" s="55">
        <f>吴疆!J21</f>
        <v>0</v>
      </c>
    </row>
    <row r="39" spans="1:9" x14ac:dyDescent="0.15">
      <c r="A39" s="50" t="s">
        <v>44</v>
      </c>
      <c r="B39" s="52">
        <f>巴富毅!K16</f>
        <v>0</v>
      </c>
      <c r="C39" s="52">
        <f>巴富毅!K17</f>
        <v>31.072777777777777</v>
      </c>
      <c r="D39" s="52">
        <f>巴富毅!K19</f>
        <v>0</v>
      </c>
      <c r="E39" s="52">
        <f>巴富毅!L16</f>
        <v>0</v>
      </c>
      <c r="F39" s="52">
        <f>巴富毅!L17</f>
        <v>0</v>
      </c>
      <c r="G39" s="52">
        <f>巴富毅!L19</f>
        <v>0</v>
      </c>
      <c r="H39" s="52">
        <f t="shared" si="0"/>
        <v>31.072777777777777</v>
      </c>
      <c r="I39" s="55">
        <f>巴富毅!J21</f>
        <v>0</v>
      </c>
    </row>
    <row r="40" spans="1:9" x14ac:dyDescent="0.15">
      <c r="A40" s="53" t="s">
        <v>45</v>
      </c>
      <c r="B40" s="52">
        <f>陈宏伟!K16</f>
        <v>0</v>
      </c>
      <c r="C40" s="52">
        <f>陈宏伟!K17</f>
        <v>31.878333333333291</v>
      </c>
      <c r="D40" s="52">
        <f>陈宏伟!K19</f>
        <v>0</v>
      </c>
      <c r="E40" s="52">
        <f>陈宏伟!L16</f>
        <v>0</v>
      </c>
      <c r="F40" s="52">
        <f>陈宏伟!L17</f>
        <v>25.055277777777746</v>
      </c>
      <c r="G40" s="52">
        <f>陈宏伟!L19</f>
        <v>0</v>
      </c>
      <c r="H40" s="52">
        <f t="shared" si="0"/>
        <v>56.933611111111034</v>
      </c>
      <c r="I40" s="55">
        <f>陈宏伟!J21</f>
        <v>15.169722222222219</v>
      </c>
    </row>
    <row r="41" spans="1:9" x14ac:dyDescent="0.15">
      <c r="A41" s="53" t="s">
        <v>46</v>
      </c>
      <c r="B41" s="52">
        <f>蒋露裕!K16</f>
        <v>0</v>
      </c>
      <c r="C41" s="52">
        <f>蒋露裕!K17</f>
        <v>33.165555555555578</v>
      </c>
      <c r="D41" s="52">
        <f>蒋露裕!K19</f>
        <v>0</v>
      </c>
      <c r="E41" s="52">
        <f>蒋露裕!L16</f>
        <v>0</v>
      </c>
      <c r="F41" s="52">
        <f>蒋露裕!L17</f>
        <v>24.294166666666612</v>
      </c>
      <c r="G41" s="52">
        <f>蒋露裕!L19</f>
        <v>0</v>
      </c>
      <c r="H41" s="52">
        <f t="shared" ref="H41:H42" si="1">SUM(B41:G41)</f>
        <v>57.45972222222219</v>
      </c>
      <c r="I41" s="55">
        <f>蒋露裕!J21</f>
        <v>11.694722222222232</v>
      </c>
    </row>
    <row r="42" spans="1:9" x14ac:dyDescent="0.15">
      <c r="A42" s="50" t="s">
        <v>47</v>
      </c>
      <c r="B42" s="52">
        <f>蓝宇航!K16</f>
        <v>0</v>
      </c>
      <c r="C42" s="52">
        <f>蓝宇航!K17</f>
        <v>31.675000000000004</v>
      </c>
      <c r="D42" s="52">
        <f>蓝宇航!K19</f>
        <v>0</v>
      </c>
      <c r="E42" s="52">
        <f>蓝宇航!L16</f>
        <v>0</v>
      </c>
      <c r="F42" s="52">
        <f>蓝宇航!L17</f>
        <v>27.631944444444382</v>
      </c>
      <c r="G42" s="52">
        <f>蓝宇航!L19</f>
        <v>0</v>
      </c>
      <c r="H42" s="52">
        <f t="shared" si="1"/>
        <v>59.306944444444383</v>
      </c>
      <c r="I42" s="55">
        <f>蓝宇航!J21</f>
        <v>0</v>
      </c>
    </row>
  </sheetData>
  <mergeCells count="5">
    <mergeCell ref="B3:D3"/>
    <mergeCell ref="E3:G3"/>
    <mergeCell ref="H3:H4"/>
    <mergeCell ref="I3:I4"/>
    <mergeCell ref="B1:G2"/>
  </mergeCells>
  <phoneticPr fontId="17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陈宏伟'!A1" display="陈宏伟"/>
    <hyperlink ref="A41" location="'蒋露裕'!A1" display="蒋露裕"/>
    <hyperlink ref="A42" location="'蓝宇航'!A1" display="蓝宇航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46174.132888773202</v>
      </c>
      <c r="B3" s="7" t="s">
        <v>61</v>
      </c>
      <c r="C3" s="13">
        <v>0.13288194444444401</v>
      </c>
      <c r="D3" s="13" t="s">
        <v>62</v>
      </c>
      <c r="E3" s="13">
        <v>0.30425925925925901</v>
      </c>
      <c r="F3" s="14">
        <f t="shared" ref="F3:F42" si="1">(IF(E3-C3&lt;0,"24:00"-C3+E3,E3-C3))*24</f>
        <v>4.1130555555555599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4.1130555555555599</v>
      </c>
      <c r="I3" s="18" t="s">
        <v>63</v>
      </c>
      <c r="J3" s="19">
        <f>SUMIF(B:B,"带班主任",F:F)</f>
        <v>80.520555555555561</v>
      </c>
      <c r="K3" s="20">
        <f>SUMIF(B:B,"带班主任",G:G)</f>
        <v>44.3055555555556</v>
      </c>
      <c r="L3" s="20">
        <f>SUMIF(B:B,"带班主任",H:H)</f>
        <v>36.214999999999968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46176.355025463003</v>
      </c>
      <c r="B4" s="7" t="s">
        <v>64</v>
      </c>
      <c r="C4" s="13">
        <v>0.355023148148148</v>
      </c>
      <c r="D4" s="13" t="s">
        <v>62</v>
      </c>
      <c r="E4" s="13">
        <v>0.42392361111111099</v>
      </c>
      <c r="F4" s="14">
        <f t="shared" si="1"/>
        <v>1.6536111111111116</v>
      </c>
      <c r="G4" s="15">
        <f t="shared" si="2"/>
        <v>1.6536111111111116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17.660000000000011</v>
      </c>
      <c r="K4" s="25">
        <f>SUMIF(B:B,"西塔台管制席",G:G)+SUMIF(B:B,"东塔台管制席",G:G)</f>
        <v>12.728888888888903</v>
      </c>
      <c r="L4" s="25">
        <f>SUMIF(B:B,"西塔台管制席",H:H)+SUMIF(B:B,"东塔台管制席",H:H)</f>
        <v>4.931111111111111</v>
      </c>
      <c r="M4" s="21"/>
    </row>
    <row r="5" spans="1:16" ht="18.75" x14ac:dyDescent="0.25">
      <c r="A5" s="12">
        <f t="shared" ca="1" si="0"/>
        <v>46176.423957291699</v>
      </c>
      <c r="B5" s="7" t="s">
        <v>66</v>
      </c>
      <c r="C5" s="13">
        <v>0.42394675925925901</v>
      </c>
      <c r="D5" s="13" t="s">
        <v>62</v>
      </c>
      <c r="E5" s="13">
        <v>0.50633101851851803</v>
      </c>
      <c r="F5" s="14">
        <f t="shared" si="1"/>
        <v>1.9772222222222164</v>
      </c>
      <c r="G5" s="15">
        <f t="shared" si="2"/>
        <v>1.9772222222222164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7.86805555555555</v>
      </c>
      <c r="K5" s="25">
        <f>SUMIF(B:B,"西塔台协调席",G:G)+SUMIF(B:B,"东塔台协调席",G:G)</f>
        <v>7.0722222222222229</v>
      </c>
      <c r="L5" s="25">
        <f>SUMIF(B:B,"西塔台协调席",H:H)+SUMIF(B:B,"东塔台协调席",H:H)</f>
        <v>0.79583333333332718</v>
      </c>
      <c r="M5" s="21"/>
    </row>
    <row r="6" spans="1:16" ht="18.75" x14ac:dyDescent="0.25">
      <c r="A6" s="12">
        <f t="shared" ca="1" si="0"/>
        <v>46176.850552083299</v>
      </c>
      <c r="B6" s="7" t="s">
        <v>66</v>
      </c>
      <c r="C6" s="13">
        <v>0.85054398148148103</v>
      </c>
      <c r="D6" s="13" t="s">
        <v>62</v>
      </c>
      <c r="E6" s="13">
        <v>0.96568287037037004</v>
      </c>
      <c r="F6" s="14">
        <f t="shared" si="1"/>
        <v>2.7633333333333363</v>
      </c>
      <c r="G6" s="15">
        <f t="shared" si="2"/>
        <v>2.7633333333333363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46177.299251157398</v>
      </c>
      <c r="B7" s="7" t="s">
        <v>69</v>
      </c>
      <c r="C7" s="13">
        <v>0.29924768518518502</v>
      </c>
      <c r="D7" s="13" t="s">
        <v>62</v>
      </c>
      <c r="E7" s="13">
        <v>0.46645833333333298</v>
      </c>
      <c r="F7" s="14">
        <f t="shared" si="1"/>
        <v>4.0130555555555514</v>
      </c>
      <c r="G7" s="15">
        <f t="shared" si="2"/>
        <v>3.1950000000000003</v>
      </c>
      <c r="H7" s="15">
        <f t="shared" si="3"/>
        <v>0.81805555555555109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46177.542991666698</v>
      </c>
      <c r="B8" s="7" t="s">
        <v>69</v>
      </c>
      <c r="C8" s="13">
        <v>0.54298611111111095</v>
      </c>
      <c r="D8" s="13" t="s">
        <v>62</v>
      </c>
      <c r="E8" s="13">
        <v>0.63236111111111104</v>
      </c>
      <c r="F8" s="14">
        <f t="shared" si="1"/>
        <v>2.1450000000000022</v>
      </c>
      <c r="G8" s="15">
        <f t="shared" si="2"/>
        <v>2.1450000000000022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46177.9399694444</v>
      </c>
      <c r="B9" s="7" t="s">
        <v>72</v>
      </c>
      <c r="C9" s="13">
        <v>0.93996527777777805</v>
      </c>
      <c r="D9" s="13" t="s">
        <v>62</v>
      </c>
      <c r="E9" s="13">
        <v>0.138298611111111</v>
      </c>
      <c r="F9" s="14">
        <f t="shared" si="1"/>
        <v>4.7599999999999909</v>
      </c>
      <c r="G9" s="15">
        <f t="shared" si="2"/>
        <v>1.4408333333333267</v>
      </c>
      <c r="H9" s="15">
        <f t="shared" si="3"/>
        <v>3.3191666666666642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46181.710023495398</v>
      </c>
      <c r="B10" s="7" t="s">
        <v>69</v>
      </c>
      <c r="C10" s="13">
        <v>0.71002314814814804</v>
      </c>
      <c r="D10" s="13" t="s">
        <v>62</v>
      </c>
      <c r="E10" s="13">
        <v>0.79896990740740703</v>
      </c>
      <c r="F10" s="14">
        <f t="shared" si="1"/>
        <v>2.1347222222222157</v>
      </c>
      <c r="G10" s="15">
        <f t="shared" si="2"/>
        <v>2.1347222222222157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46181.873948611101</v>
      </c>
      <c r="B11" s="7" t="s">
        <v>69</v>
      </c>
      <c r="C11" s="13">
        <v>0.87394675925925902</v>
      </c>
      <c r="D11" s="13" t="s">
        <v>62</v>
      </c>
      <c r="E11" s="13">
        <v>0.96430555555555597</v>
      </c>
      <c r="F11" s="14">
        <f t="shared" si="1"/>
        <v>2.1686111111111268</v>
      </c>
      <c r="G11" s="15">
        <f t="shared" si="2"/>
        <v>2.1686111111111268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46182.300184375003</v>
      </c>
      <c r="B12" s="7" t="s">
        <v>66</v>
      </c>
      <c r="C12" s="13">
        <v>0.30017361111111102</v>
      </c>
      <c r="D12" s="13" t="s">
        <v>62</v>
      </c>
      <c r="E12" s="13">
        <v>0.36158564814814798</v>
      </c>
      <c r="F12" s="14">
        <f t="shared" si="1"/>
        <v>1.473888888888887</v>
      </c>
      <c r="G12" s="15">
        <f t="shared" si="2"/>
        <v>0.67805555555555985</v>
      </c>
      <c r="H12" s="15">
        <f t="shared" si="3"/>
        <v>0.79583333333332718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46182.938112731499</v>
      </c>
      <c r="B13" s="7" t="s">
        <v>72</v>
      </c>
      <c r="C13" s="13">
        <v>0.93810185185185202</v>
      </c>
      <c r="D13" s="13" t="s">
        <v>62</v>
      </c>
      <c r="E13" s="13">
        <v>0.13780092592592599</v>
      </c>
      <c r="F13" s="14">
        <f t="shared" si="1"/>
        <v>4.7927777777777756</v>
      </c>
      <c r="G13" s="15">
        <f t="shared" si="2"/>
        <v>1.4855555555555515</v>
      </c>
      <c r="H13" s="15">
        <f t="shared" si="3"/>
        <v>3.3072222222222241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46184.941255092599</v>
      </c>
      <c r="B14" s="7" t="s">
        <v>72</v>
      </c>
      <c r="C14" s="13">
        <v>0.94125000000000003</v>
      </c>
      <c r="D14" s="13" t="s">
        <v>62</v>
      </c>
      <c r="E14" s="13">
        <v>0.136793981481481</v>
      </c>
      <c r="F14" s="14">
        <f t="shared" si="1"/>
        <v>4.6930555555555431</v>
      </c>
      <c r="G14" s="15">
        <f t="shared" si="2"/>
        <v>1.4099999999999993</v>
      </c>
      <c r="H14" s="15">
        <f t="shared" si="3"/>
        <v>3.2830555555555438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46185.541791666699</v>
      </c>
      <c r="B15" s="7" t="s">
        <v>72</v>
      </c>
      <c r="C15" s="13">
        <v>0.54178240740740702</v>
      </c>
      <c r="D15" s="13" t="s">
        <v>62</v>
      </c>
      <c r="E15" s="13">
        <v>0.62946759259259299</v>
      </c>
      <c r="F15" s="14">
        <f t="shared" si="1"/>
        <v>2.1044444444444634</v>
      </c>
      <c r="G15" s="15">
        <f t="shared" si="2"/>
        <v>2.1044444444444634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46185.629523263902</v>
      </c>
      <c r="B16" s="7" t="s">
        <v>69</v>
      </c>
      <c r="C16" s="13">
        <v>0.62951388888888904</v>
      </c>
      <c r="D16" s="13" t="s">
        <v>62</v>
      </c>
      <c r="E16" s="13">
        <v>0.758078703703704</v>
      </c>
      <c r="F16" s="14">
        <f t="shared" si="1"/>
        <v>3.0855555555555592</v>
      </c>
      <c r="G16" s="15">
        <f t="shared" si="2"/>
        <v>3.0855555555555592</v>
      </c>
      <c r="H16" s="15">
        <f t="shared" si="3"/>
        <v>0</v>
      </c>
      <c r="I16" s="37" t="s">
        <v>63</v>
      </c>
      <c r="J16" s="38">
        <f t="shared" ref="J16:L16" si="4">J3</f>
        <v>80.520555555555561</v>
      </c>
      <c r="K16" s="39">
        <f t="shared" si="4"/>
        <v>44.3055555555556</v>
      </c>
      <c r="L16" s="40">
        <f t="shared" si="4"/>
        <v>36.214999999999968</v>
      </c>
      <c r="M16" s="41"/>
    </row>
    <row r="17" spans="1:13" ht="20.25" x14ac:dyDescent="0.25">
      <c r="A17" s="12">
        <f t="shared" ca="1" si="0"/>
        <v>46186.134634027803</v>
      </c>
      <c r="B17" s="7" t="s">
        <v>72</v>
      </c>
      <c r="C17" s="13">
        <v>0.13462962962962999</v>
      </c>
      <c r="D17" s="13" t="s">
        <v>62</v>
      </c>
      <c r="E17" s="13">
        <v>0.29994212962963002</v>
      </c>
      <c r="F17" s="14">
        <f t="shared" si="1"/>
        <v>3.9675000000000007</v>
      </c>
      <c r="G17" s="15">
        <f t="shared" si="2"/>
        <v>0</v>
      </c>
      <c r="H17" s="15">
        <f t="shared" si="3"/>
        <v>3.9675000000000007</v>
      </c>
      <c r="I17" s="37" t="s">
        <v>79</v>
      </c>
      <c r="J17" s="38">
        <f>J4+J5+J6+J7+J10</f>
        <v>25.528055555555561</v>
      </c>
      <c r="K17" s="39">
        <f>K4+K5+K6+K7+K10</f>
        <v>19.801111111111126</v>
      </c>
      <c r="L17" s="40">
        <f>L4+L5+L6+L7+L10</f>
        <v>5.7269444444444382</v>
      </c>
      <c r="M17" s="41"/>
    </row>
    <row r="18" spans="1:13" ht="20.25" x14ac:dyDescent="0.25">
      <c r="A18" s="12">
        <f t="shared" ca="1" si="0"/>
        <v>46189.134109838</v>
      </c>
      <c r="B18" s="7" t="s">
        <v>72</v>
      </c>
      <c r="C18" s="13">
        <v>0.13410879629629599</v>
      </c>
      <c r="D18" s="13" t="s">
        <v>62</v>
      </c>
      <c r="E18" s="13">
        <v>0.2996875</v>
      </c>
      <c r="F18" s="14">
        <f t="shared" si="1"/>
        <v>3.9738888888888964</v>
      </c>
      <c r="G18" s="15">
        <f t="shared" si="2"/>
        <v>0</v>
      </c>
      <c r="H18" s="15">
        <f t="shared" si="3"/>
        <v>3.9738888888888964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46189.791731944402</v>
      </c>
      <c r="B19" s="7" t="s">
        <v>72</v>
      </c>
      <c r="C19" s="13">
        <v>0.77089120370370401</v>
      </c>
      <c r="D19" s="13" t="s">
        <v>62</v>
      </c>
      <c r="E19" s="13">
        <v>0.94466435185185205</v>
      </c>
      <c r="F19" s="14">
        <f t="shared" si="1"/>
        <v>4.1705555555555529</v>
      </c>
      <c r="G19" s="15">
        <f t="shared" si="2"/>
        <v>4.1705555555555529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46190.293715046297</v>
      </c>
      <c r="B20" s="7" t="s">
        <v>72</v>
      </c>
      <c r="C20" s="13">
        <v>0.29371527777777801</v>
      </c>
      <c r="D20" s="13" t="s">
        <v>62</v>
      </c>
      <c r="E20" s="13">
        <v>0.36192129629629599</v>
      </c>
      <c r="F20" s="14">
        <f t="shared" si="1"/>
        <v>1.6369444444444317</v>
      </c>
      <c r="G20" s="15">
        <f t="shared" si="2"/>
        <v>0.68611111111111223</v>
      </c>
      <c r="H20" s="15">
        <f t="shared" si="3"/>
        <v>0.95083333333331943</v>
      </c>
      <c r="I20" s="42" t="s">
        <v>81</v>
      </c>
      <c r="J20" s="65">
        <f>J16+J17+J18+J19</f>
        <v>106.04861111111111</v>
      </c>
      <c r="K20" s="66"/>
      <c r="L20" s="67"/>
      <c r="M20" s="43"/>
    </row>
    <row r="21" spans="1:13" ht="20.25" x14ac:dyDescent="0.25">
      <c r="A21" s="12">
        <f t="shared" ca="1" si="0"/>
        <v>46192.355032754604</v>
      </c>
      <c r="B21" s="7" t="s">
        <v>72</v>
      </c>
      <c r="C21" s="13">
        <v>0.355023148148148</v>
      </c>
      <c r="D21" s="13" t="s">
        <v>62</v>
      </c>
      <c r="E21" s="13">
        <v>0.54178240740740702</v>
      </c>
      <c r="F21" s="14">
        <f t="shared" si="1"/>
        <v>4.4822222222222159</v>
      </c>
      <c r="G21" s="15">
        <f t="shared" si="2"/>
        <v>4.4822222222222159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46192.647980902802</v>
      </c>
      <c r="B22" s="7" t="s">
        <v>72</v>
      </c>
      <c r="C22" s="13">
        <v>0.647974537037037</v>
      </c>
      <c r="D22" s="13" t="s">
        <v>62</v>
      </c>
      <c r="E22" s="13">
        <v>0.76357638888888901</v>
      </c>
      <c r="F22" s="14">
        <f t="shared" si="1"/>
        <v>2.7744444444444483</v>
      </c>
      <c r="G22" s="15">
        <f t="shared" si="2"/>
        <v>2.7744444444444483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46193.523480555603</v>
      </c>
      <c r="B23" s="7" t="s">
        <v>72</v>
      </c>
      <c r="C23" s="13">
        <v>0.52347222222222201</v>
      </c>
      <c r="D23" s="13" t="s">
        <v>62</v>
      </c>
      <c r="E23" s="13">
        <v>0.65435185185185196</v>
      </c>
      <c r="F23" s="14">
        <f t="shared" si="1"/>
        <v>3.141111111111119</v>
      </c>
      <c r="G23" s="15">
        <f t="shared" si="2"/>
        <v>3.141111111111119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46193.770842361097</v>
      </c>
      <c r="B24" s="7" t="s">
        <v>72</v>
      </c>
      <c r="C24" s="13">
        <v>0.77083333333333304</v>
      </c>
      <c r="D24" s="13" t="s">
        <v>62</v>
      </c>
      <c r="E24" s="13">
        <v>0.94526620370370396</v>
      </c>
      <c r="F24" s="14">
        <f t="shared" si="1"/>
        <v>4.186388888888902</v>
      </c>
      <c r="G24" s="15">
        <f t="shared" si="2"/>
        <v>4.186388888888902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46194.292706365697</v>
      </c>
      <c r="B25" s="7" t="s">
        <v>72</v>
      </c>
      <c r="C25" s="13">
        <v>0.29269675925925898</v>
      </c>
      <c r="D25" s="13" t="s">
        <v>62</v>
      </c>
      <c r="E25" s="13">
        <v>0.361840277777778</v>
      </c>
      <c r="F25" s="14">
        <f t="shared" si="1"/>
        <v>1.6594444444444565</v>
      </c>
      <c r="G25" s="15">
        <f t="shared" si="2"/>
        <v>0.68416666666668036</v>
      </c>
      <c r="H25" s="15">
        <f t="shared" si="3"/>
        <v>0.97527777777777613</v>
      </c>
      <c r="I25"/>
      <c r="J25"/>
    </row>
    <row r="26" spans="1:13" ht="18.75" x14ac:dyDescent="0.15">
      <c r="A26" s="12">
        <f t="shared" ca="1" si="0"/>
        <v>46196.535794560201</v>
      </c>
      <c r="B26" s="7" t="s">
        <v>72</v>
      </c>
      <c r="C26" s="13">
        <v>0.53578703703703701</v>
      </c>
      <c r="D26" s="13" t="s">
        <v>62</v>
      </c>
      <c r="E26" s="13">
        <v>0.779363425925926</v>
      </c>
      <c r="F26" s="14">
        <f t="shared" si="1"/>
        <v>5.8458333333333359</v>
      </c>
      <c r="G26" s="15">
        <f t="shared" si="2"/>
        <v>5.8458333333333359</v>
      </c>
      <c r="H26" s="15">
        <f t="shared" si="3"/>
        <v>0</v>
      </c>
      <c r="I26"/>
      <c r="J26"/>
    </row>
    <row r="27" spans="1:13" ht="18.75" x14ac:dyDescent="0.15">
      <c r="A27" s="12">
        <v>46197</v>
      </c>
      <c r="B27" s="7" t="s">
        <v>72</v>
      </c>
      <c r="C27" s="13">
        <v>0.13278935185185201</v>
      </c>
      <c r="D27" s="13" t="s">
        <v>62</v>
      </c>
      <c r="E27" s="13">
        <v>0.30431712962962998</v>
      </c>
      <c r="F27" s="14">
        <f t="shared" si="1"/>
        <v>4.1166666666666716</v>
      </c>
      <c r="G27" s="15">
        <f t="shared" si="2"/>
        <v>0</v>
      </c>
      <c r="H27" s="15">
        <f t="shared" si="3"/>
        <v>4.1166666666666716</v>
      </c>
      <c r="I27"/>
      <c r="J27"/>
    </row>
    <row r="28" spans="1:13" ht="18.75" x14ac:dyDescent="0.15">
      <c r="A28" s="12">
        <v>46197</v>
      </c>
      <c r="B28" s="7" t="s">
        <v>72</v>
      </c>
      <c r="C28" s="13">
        <v>0.79162037037037003</v>
      </c>
      <c r="D28" s="13" t="s">
        <v>62</v>
      </c>
      <c r="E28" s="13">
        <v>0.94489583333333305</v>
      </c>
      <c r="F28" s="14">
        <f t="shared" si="1"/>
        <v>3.6786111111111124</v>
      </c>
      <c r="G28" s="15">
        <f t="shared" si="2"/>
        <v>3.6786111111111124</v>
      </c>
      <c r="H28" s="15">
        <f t="shared" si="3"/>
        <v>0</v>
      </c>
      <c r="I28"/>
      <c r="J28"/>
    </row>
    <row r="29" spans="1:13" ht="18.75" x14ac:dyDescent="0.15">
      <c r="A29" s="12">
        <v>46198</v>
      </c>
      <c r="B29" s="7" t="s">
        <v>72</v>
      </c>
      <c r="C29" s="13">
        <v>0.293564814814815</v>
      </c>
      <c r="D29" s="13" t="s">
        <v>62</v>
      </c>
      <c r="E29" s="13">
        <v>0.36459490740740702</v>
      </c>
      <c r="F29" s="14">
        <f t="shared" si="1"/>
        <v>1.7047222222222085</v>
      </c>
      <c r="G29" s="15">
        <f t="shared" si="2"/>
        <v>0.75027777777777693</v>
      </c>
      <c r="H29" s="15">
        <f t="shared" si="3"/>
        <v>0.95444444444443155</v>
      </c>
      <c r="I29"/>
      <c r="J29"/>
    </row>
    <row r="30" spans="1:13" ht="18.75" x14ac:dyDescent="0.15">
      <c r="A30" s="12">
        <v>46200</v>
      </c>
      <c r="B30" s="7" t="s">
        <v>72</v>
      </c>
      <c r="C30" s="13">
        <v>0.9375</v>
      </c>
      <c r="D30" s="13" t="s">
        <v>62</v>
      </c>
      <c r="E30" s="13">
        <v>0.13927083333333301</v>
      </c>
      <c r="F30" s="14">
        <f t="shared" si="1"/>
        <v>4.8424999999999923</v>
      </c>
      <c r="G30" s="15">
        <f t="shared" si="2"/>
        <v>1.5</v>
      </c>
      <c r="H30" s="15">
        <f t="shared" si="3"/>
        <v>3.3424999999999923</v>
      </c>
      <c r="I30"/>
      <c r="J30"/>
    </row>
    <row r="31" spans="1:13" ht="18.75" x14ac:dyDescent="0.15">
      <c r="A31" s="12">
        <v>46201</v>
      </c>
      <c r="B31" s="7" t="s">
        <v>72</v>
      </c>
      <c r="C31" s="13">
        <v>0.53656250000000005</v>
      </c>
      <c r="D31" s="13" t="s">
        <v>62</v>
      </c>
      <c r="E31" s="13">
        <v>0.78510416666666705</v>
      </c>
      <c r="F31" s="14">
        <f t="shared" si="1"/>
        <v>5.9650000000000079</v>
      </c>
      <c r="G31" s="15">
        <f t="shared" si="2"/>
        <v>5.9650000000000079</v>
      </c>
      <c r="H31" s="15">
        <f t="shared" si="3"/>
        <v>0</v>
      </c>
      <c r="I31"/>
      <c r="J31"/>
    </row>
    <row r="32" spans="1:13" ht="18.75" x14ac:dyDescent="0.15">
      <c r="A32" s="12">
        <v>46201</v>
      </c>
      <c r="B32" s="7" t="s">
        <v>72</v>
      </c>
      <c r="C32" s="13">
        <v>0.13259259259259301</v>
      </c>
      <c r="D32" s="13" t="s">
        <v>62</v>
      </c>
      <c r="E32" s="13">
        <v>0.29872685185185199</v>
      </c>
      <c r="F32" s="14">
        <f t="shared" si="1"/>
        <v>3.9872222222222158</v>
      </c>
      <c r="G32" s="15">
        <f t="shared" si="2"/>
        <v>0</v>
      </c>
      <c r="H32" s="15">
        <f t="shared" si="3"/>
        <v>3.9872222222222158</v>
      </c>
      <c r="I32"/>
      <c r="J32"/>
    </row>
    <row r="33" spans="1:11" ht="18.75" x14ac:dyDescent="0.15">
      <c r="A33" s="12">
        <f t="shared" ca="1" si="0"/>
        <v>46202.1337494213</v>
      </c>
      <c r="B33" s="7" t="s">
        <v>72</v>
      </c>
      <c r="C33" s="13">
        <v>0.133738425925926</v>
      </c>
      <c r="D33" s="13" t="s">
        <v>62</v>
      </c>
      <c r="E33" s="13">
        <v>0.301956018518519</v>
      </c>
      <c r="F33" s="14">
        <f t="shared" si="1"/>
        <v>4.0372222222222316</v>
      </c>
      <c r="G33" s="15">
        <f t="shared" si="2"/>
        <v>0</v>
      </c>
      <c r="H33" s="15">
        <f t="shared" si="3"/>
        <v>4.0372222222222316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46177.138344791703</v>
      </c>
      <c r="B3" s="7" t="s">
        <v>69</v>
      </c>
      <c r="C3" s="13">
        <v>0.13834490740740699</v>
      </c>
      <c r="D3" s="13" t="s">
        <v>62</v>
      </c>
      <c r="E3" s="13">
        <v>0.30583333333333301</v>
      </c>
      <c r="F3" s="14">
        <f t="shared" ref="F3:F42" si="1">(IF(E3-C3&lt;0,"24:00"-C3+E3,E3-C3))*24</f>
        <v>4.0197222222222244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4.0197222222222244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46178.138162615702</v>
      </c>
      <c r="B4" s="7" t="s">
        <v>82</v>
      </c>
      <c r="C4" s="13">
        <v>0.138159722222222</v>
      </c>
      <c r="D4" s="13" t="s">
        <v>62</v>
      </c>
      <c r="E4" s="13">
        <v>0.25726851851851901</v>
      </c>
      <c r="F4" s="14">
        <f t="shared" si="1"/>
        <v>2.8586111111111281</v>
      </c>
      <c r="G4" s="15">
        <f t="shared" si="2"/>
        <v>0</v>
      </c>
      <c r="H4" s="15">
        <f t="shared" si="3"/>
        <v>2.8586111111111281</v>
      </c>
      <c r="I4" s="23" t="s">
        <v>65</v>
      </c>
      <c r="J4" s="24">
        <f>SUMIF(B:B,"西塔台管制席",F:F)+SUMIF(B:B,"东塔台管制席",F:F)</f>
        <v>28.564722222222198</v>
      </c>
      <c r="K4" s="25">
        <f>SUMIF(B:B,"西塔台管制席",G:G)+SUMIF(B:B,"东塔台管制席",G:G)</f>
        <v>10.322222222222203</v>
      </c>
      <c r="L4" s="25">
        <f>SUMIF(B:B,"西塔台管制席",H:H)+SUMIF(B:B,"东塔台管制席",H:H)</f>
        <v>18.242499999999993</v>
      </c>
      <c r="M4" s="21"/>
    </row>
    <row r="5" spans="1:16" ht="18.75" x14ac:dyDescent="0.25">
      <c r="A5" s="12">
        <f t="shared" ca="1" si="0"/>
        <v>46180.356373148097</v>
      </c>
      <c r="B5" s="7" t="s">
        <v>64</v>
      </c>
      <c r="C5" s="13">
        <v>0.35636574074074101</v>
      </c>
      <c r="D5" s="13" t="s">
        <v>62</v>
      </c>
      <c r="E5" s="13">
        <v>0.39538194444444402</v>
      </c>
      <c r="F5" s="14">
        <f t="shared" si="1"/>
        <v>0.93638888888887228</v>
      </c>
      <c r="G5" s="15">
        <f t="shared" si="2"/>
        <v>0.93638888888887228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27.163055555555545</v>
      </c>
      <c r="K5" s="25">
        <f>SUMIF(B:B,"西塔台协调席",G:G)+SUMIF(B:B,"东塔台协调席",G:G)</f>
        <v>20.608611111111102</v>
      </c>
      <c r="L5" s="25">
        <f>SUMIF(B:B,"西塔台协调席",H:H)+SUMIF(B:B,"东塔台协调席",H:H)</f>
        <v>6.5544444444444476</v>
      </c>
      <c r="M5" s="21"/>
    </row>
    <row r="6" spans="1:16" ht="18.75" x14ac:dyDescent="0.25">
      <c r="A6" s="12">
        <f t="shared" ca="1" si="0"/>
        <v>46180.395416782398</v>
      </c>
      <c r="B6" s="7" t="s">
        <v>66</v>
      </c>
      <c r="C6" s="13">
        <v>0.39541666666666703</v>
      </c>
      <c r="D6" s="13" t="s">
        <v>62</v>
      </c>
      <c r="E6" s="13">
        <v>0.50866898148148099</v>
      </c>
      <c r="F6" s="14">
        <f t="shared" si="1"/>
        <v>2.718055555555535</v>
      </c>
      <c r="G6" s="15">
        <f t="shared" si="2"/>
        <v>2.718055555555535</v>
      </c>
      <c r="H6" s="15">
        <f t="shared" si="3"/>
        <v>0</v>
      </c>
      <c r="I6" s="23" t="s">
        <v>68</v>
      </c>
      <c r="J6" s="24">
        <f>SUMIF(B:B,"放行席",F:F)</f>
        <v>2.207499999999984</v>
      </c>
      <c r="K6" s="25">
        <f>SUMIF(B:B,"放行席",G:G)</f>
        <v>0</v>
      </c>
      <c r="L6" s="25">
        <f>SUMIF(B:B,"放行席",H:H)</f>
        <v>2.207499999999984</v>
      </c>
      <c r="M6" s="21"/>
    </row>
    <row r="7" spans="1:16" ht="18.75" x14ac:dyDescent="0.25">
      <c r="A7" s="12">
        <f t="shared" ca="1" si="0"/>
        <v>46180.626767476897</v>
      </c>
      <c r="B7" s="7" t="s">
        <v>66</v>
      </c>
      <c r="C7" s="13">
        <v>0.62744212962962997</v>
      </c>
      <c r="D7" s="13" t="s">
        <v>62</v>
      </c>
      <c r="E7" s="13">
        <v>0.75626157407407402</v>
      </c>
      <c r="F7" s="14">
        <f t="shared" si="1"/>
        <v>3.091666666666657</v>
      </c>
      <c r="G7" s="15">
        <f t="shared" si="2"/>
        <v>3.091666666666657</v>
      </c>
      <c r="H7" s="15">
        <f t="shared" si="3"/>
        <v>0</v>
      </c>
      <c r="I7" s="23" t="s">
        <v>70</v>
      </c>
      <c r="J7" s="24">
        <f>SUMIF(B:B,"地面席",F:F)</f>
        <v>2.8586111111111281</v>
      </c>
      <c r="K7" s="25">
        <f>SUMIF(B:B,"地面席",G:G)</f>
        <v>0</v>
      </c>
      <c r="L7" s="25">
        <f>SUMIF(B:B,"地面席",H:H)</f>
        <v>2.8586111111111281</v>
      </c>
      <c r="M7" s="21"/>
    </row>
    <row r="8" spans="1:16" ht="18.75" x14ac:dyDescent="0.25">
      <c r="A8" s="12">
        <f t="shared" ca="1" si="0"/>
        <v>46180.876088078701</v>
      </c>
      <c r="B8" s="7" t="s">
        <v>66</v>
      </c>
      <c r="C8" s="13">
        <v>0.87608796296296299</v>
      </c>
      <c r="D8" s="13" t="s">
        <v>62</v>
      </c>
      <c r="E8" s="13">
        <v>0.964513888888889</v>
      </c>
      <c r="F8" s="14">
        <f t="shared" si="1"/>
        <v>2.1222222222222245</v>
      </c>
      <c r="G8" s="15">
        <f t="shared" si="2"/>
        <v>2.1222222222222245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46181.299057291697</v>
      </c>
      <c r="B9" s="7" t="s">
        <v>64</v>
      </c>
      <c r="C9" s="13">
        <v>0.29905092592592603</v>
      </c>
      <c r="D9" s="13" t="s">
        <v>62</v>
      </c>
      <c r="E9" s="13">
        <v>0.43083333333333301</v>
      </c>
      <c r="F9" s="14">
        <f t="shared" si="1"/>
        <v>3.1627777777777677</v>
      </c>
      <c r="G9" s="15">
        <f t="shared" si="2"/>
        <v>2.3400000000000007</v>
      </c>
      <c r="H9" s="15">
        <f t="shared" si="3"/>
        <v>0.82277777777776695</v>
      </c>
      <c r="I9" s="23" t="s">
        <v>73</v>
      </c>
      <c r="J9" s="24">
        <f>SUMIF(B:B,"航班调度席",F:F)</f>
        <v>13.459166666666661</v>
      </c>
      <c r="K9" s="25">
        <f>SUMIF(B:B,"航班调度席",G:G)</f>
        <v>13.459166666666661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46181.500104282401</v>
      </c>
      <c r="B10" s="7" t="s">
        <v>69</v>
      </c>
      <c r="C10" s="13">
        <v>0.50010416666666702</v>
      </c>
      <c r="D10" s="13" t="s">
        <v>62</v>
      </c>
      <c r="E10" s="13">
        <v>0.63365740740740695</v>
      </c>
      <c r="F10" s="14">
        <f t="shared" si="1"/>
        <v>3.2052777777777584</v>
      </c>
      <c r="G10" s="15">
        <f t="shared" si="2"/>
        <v>3.2052777777777584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46184.965348842597</v>
      </c>
      <c r="B11" s="7" t="s">
        <v>69</v>
      </c>
      <c r="C11" s="13">
        <v>0.96534722222222202</v>
      </c>
      <c r="D11" s="13" t="s">
        <v>62</v>
      </c>
      <c r="E11" s="13">
        <v>0.12005787037037</v>
      </c>
      <c r="F11" s="14">
        <f t="shared" si="1"/>
        <v>3.7130555555555516</v>
      </c>
      <c r="G11" s="15">
        <f t="shared" si="2"/>
        <v>0.83166666666667144</v>
      </c>
      <c r="H11" s="15">
        <f t="shared" si="3"/>
        <v>2.8813888888888801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46185.959489004599</v>
      </c>
      <c r="B12" s="7" t="s">
        <v>64</v>
      </c>
      <c r="C12" s="13">
        <v>0.95947916666666699</v>
      </c>
      <c r="D12" s="13" t="s">
        <v>62</v>
      </c>
      <c r="E12" s="13">
        <v>0.115914351851852</v>
      </c>
      <c r="F12" s="14">
        <f t="shared" si="1"/>
        <v>3.7544444444444403</v>
      </c>
      <c r="G12" s="15">
        <f t="shared" si="2"/>
        <v>0.97249999999999215</v>
      </c>
      <c r="H12" s="15">
        <f t="shared" si="3"/>
        <v>2.7819444444444481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46189.130905787002</v>
      </c>
      <c r="B13" s="7" t="s">
        <v>83</v>
      </c>
      <c r="C13" s="13">
        <v>0.13090277777777801</v>
      </c>
      <c r="D13" s="13" t="s">
        <v>62</v>
      </c>
      <c r="E13" s="13">
        <v>0.22288194444444401</v>
      </c>
      <c r="F13" s="14">
        <f t="shared" si="1"/>
        <v>2.207499999999984</v>
      </c>
      <c r="G13" s="15">
        <f t="shared" si="2"/>
        <v>0</v>
      </c>
      <c r="H13" s="15">
        <f t="shared" si="3"/>
        <v>2.207499999999984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46190.117043518498</v>
      </c>
      <c r="B14" s="7" t="s">
        <v>69</v>
      </c>
      <c r="C14" s="13">
        <v>0.117037037037037</v>
      </c>
      <c r="D14" s="13" t="s">
        <v>62</v>
      </c>
      <c r="E14" s="13">
        <v>0.27831018518518502</v>
      </c>
      <c r="F14" s="14">
        <f t="shared" si="1"/>
        <v>3.8705555555555526</v>
      </c>
      <c r="G14" s="15">
        <f t="shared" si="2"/>
        <v>0</v>
      </c>
      <c r="H14" s="15">
        <f t="shared" si="3"/>
        <v>3.8705555555555526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46190.278356597199</v>
      </c>
      <c r="B15" s="7" t="s">
        <v>66</v>
      </c>
      <c r="C15" s="13">
        <v>0.27835648148148101</v>
      </c>
      <c r="D15" s="13" t="s">
        <v>62</v>
      </c>
      <c r="E15" s="13">
        <v>0.30386574074074102</v>
      </c>
      <c r="F15" s="14">
        <f t="shared" si="1"/>
        <v>0.61222222222224021</v>
      </c>
      <c r="G15" s="15">
        <f t="shared" si="2"/>
        <v>0</v>
      </c>
      <c r="H15" s="15">
        <f t="shared" si="3"/>
        <v>0.61222222222224021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46192.5131175926</v>
      </c>
      <c r="B16" s="7" t="s">
        <v>64</v>
      </c>
      <c r="C16" s="13">
        <v>0.50658564814814799</v>
      </c>
      <c r="D16" s="13" t="s">
        <v>62</v>
      </c>
      <c r="E16" s="13">
        <v>0.63071759259259297</v>
      </c>
      <c r="F16" s="14">
        <f t="shared" si="1"/>
        <v>2.9791666666666794</v>
      </c>
      <c r="G16" s="15">
        <f t="shared" si="2"/>
        <v>2.9791666666666794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46192.753253240699</v>
      </c>
      <c r="B17" s="7" t="s">
        <v>69</v>
      </c>
      <c r="C17" s="13">
        <v>0.75325231481481503</v>
      </c>
      <c r="D17" s="13" t="s">
        <v>62</v>
      </c>
      <c r="E17" s="13">
        <v>0.88068287037036996</v>
      </c>
      <c r="F17" s="14">
        <f t="shared" si="1"/>
        <v>3.0583333333333185</v>
      </c>
      <c r="G17" s="15">
        <f t="shared" si="2"/>
        <v>3.0583333333333185</v>
      </c>
      <c r="H17" s="15">
        <f t="shared" si="3"/>
        <v>0</v>
      </c>
      <c r="I17" s="37" t="s">
        <v>79</v>
      </c>
      <c r="J17" s="38">
        <f>J4+J5+J6+J7+J10</f>
        <v>60.793888888888858</v>
      </c>
      <c r="K17" s="39">
        <f>K4+K5+K6+K7+K10</f>
        <v>30.930833333333304</v>
      </c>
      <c r="L17" s="40">
        <f>L4+L5+L6+L7+L10</f>
        <v>29.863055555555555</v>
      </c>
      <c r="M17" s="41"/>
    </row>
    <row r="18" spans="1:13" ht="20.25" x14ac:dyDescent="0.25">
      <c r="A18" s="12">
        <f t="shared" ca="1" si="0"/>
        <v>46193.460332870403</v>
      </c>
      <c r="B18" s="7" t="s">
        <v>64</v>
      </c>
      <c r="C18" s="13">
        <v>0.460324074074074</v>
      </c>
      <c r="D18" s="13" t="s">
        <v>62</v>
      </c>
      <c r="E18" s="13">
        <v>0.54761574074074104</v>
      </c>
      <c r="F18" s="14">
        <f t="shared" si="1"/>
        <v>2.0950000000000091</v>
      </c>
      <c r="G18" s="15">
        <f t="shared" si="2"/>
        <v>2.0950000000000091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46193.627689467598</v>
      </c>
      <c r="B19" s="7" t="s">
        <v>69</v>
      </c>
      <c r="C19" s="13">
        <v>0.62768518518518501</v>
      </c>
      <c r="D19" s="13" t="s">
        <v>62</v>
      </c>
      <c r="E19" s="13">
        <v>0.76214120370370397</v>
      </c>
      <c r="F19" s="14">
        <f t="shared" si="1"/>
        <v>3.2269444444444551</v>
      </c>
      <c r="G19" s="15">
        <f t="shared" si="2"/>
        <v>3.2269444444444551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46193.834536226903</v>
      </c>
      <c r="B20" s="7" t="s">
        <v>64</v>
      </c>
      <c r="C20" s="13">
        <v>0.83452546296296304</v>
      </c>
      <c r="D20" s="13" t="s">
        <v>62</v>
      </c>
      <c r="E20" s="13">
        <v>0.84621527777777805</v>
      </c>
      <c r="F20" s="14">
        <f t="shared" si="1"/>
        <v>0.28055555555556033</v>
      </c>
      <c r="G20" s="15">
        <f t="shared" si="2"/>
        <v>0.28055555555556033</v>
      </c>
      <c r="H20" s="15">
        <f t="shared" si="3"/>
        <v>0</v>
      </c>
      <c r="I20" s="42" t="s">
        <v>81</v>
      </c>
      <c r="J20" s="65">
        <f>J16+J17+J18+J19</f>
        <v>60.793888888888858</v>
      </c>
      <c r="K20" s="66"/>
      <c r="L20" s="67"/>
      <c r="M20" s="43"/>
    </row>
    <row r="21" spans="1:13" ht="20.25" x14ac:dyDescent="0.25">
      <c r="A21" s="12">
        <f t="shared" ca="1" si="0"/>
        <v>46193.859018055598</v>
      </c>
      <c r="B21" s="7" t="s">
        <v>64</v>
      </c>
      <c r="C21" s="13">
        <v>0.85901620370370402</v>
      </c>
      <c r="D21" s="13" t="s">
        <v>62</v>
      </c>
      <c r="E21" s="13">
        <v>0.95760416666666703</v>
      </c>
      <c r="F21" s="14">
        <f t="shared" si="1"/>
        <v>2.3661111111111124</v>
      </c>
      <c r="G21" s="15">
        <f t="shared" si="2"/>
        <v>2.3661111111111124</v>
      </c>
      <c r="H21" s="15">
        <f t="shared" si="3"/>
        <v>0</v>
      </c>
      <c r="I21" s="44" t="s">
        <v>4</v>
      </c>
      <c r="J21" s="45">
        <f>SUM(J8:J9)</f>
        <v>13.459166666666661</v>
      </c>
      <c r="K21" s="39">
        <f>SUM(K8:K9)</f>
        <v>13.459166666666661</v>
      </c>
      <c r="L21" s="40">
        <f>SUM(L8:L9)</f>
        <v>0</v>
      </c>
      <c r="M21" s="46"/>
    </row>
    <row r="22" spans="1:13" ht="18.75" x14ac:dyDescent="0.15">
      <c r="A22" s="12">
        <f t="shared" ca="1" si="0"/>
        <v>46194.297657870397</v>
      </c>
      <c r="B22" s="7" t="s">
        <v>66</v>
      </c>
      <c r="C22" s="13">
        <v>0.29765046296296299</v>
      </c>
      <c r="D22" s="13" t="s">
        <v>62</v>
      </c>
      <c r="E22" s="13">
        <v>0.36278935185185202</v>
      </c>
      <c r="F22" s="14">
        <f t="shared" si="1"/>
        <v>1.5633333333333366</v>
      </c>
      <c r="G22" s="15">
        <f t="shared" si="2"/>
        <v>0.70694444444445681</v>
      </c>
      <c r="H22" s="15">
        <f t="shared" si="3"/>
        <v>0.85638888888887976</v>
      </c>
      <c r="I22"/>
      <c r="J22"/>
    </row>
    <row r="23" spans="1:13" ht="18.75" x14ac:dyDescent="0.15">
      <c r="A23" s="12">
        <f t="shared" ca="1" si="0"/>
        <v>46196.377715046299</v>
      </c>
      <c r="B23" s="7" t="s">
        <v>84</v>
      </c>
      <c r="C23" s="13">
        <v>0.37770833333333298</v>
      </c>
      <c r="D23" s="13" t="s">
        <v>62</v>
      </c>
      <c r="E23" s="13">
        <v>0.508773148148148</v>
      </c>
      <c r="F23" s="14">
        <f t="shared" si="1"/>
        <v>3.1455555555555605</v>
      </c>
      <c r="G23" s="15">
        <f t="shared" si="2"/>
        <v>3.1455555555555605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46196.595493055604</v>
      </c>
      <c r="B24" s="7" t="s">
        <v>84</v>
      </c>
      <c r="C24" s="13">
        <v>0.59548611111111105</v>
      </c>
      <c r="D24" s="13" t="s">
        <v>62</v>
      </c>
      <c r="E24" s="13">
        <v>0.75273148148148195</v>
      </c>
      <c r="F24" s="14">
        <f t="shared" si="1"/>
        <v>3.7738888888889015</v>
      </c>
      <c r="G24" s="15">
        <f t="shared" si="2"/>
        <v>3.7738888888889015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46197.385292708299</v>
      </c>
      <c r="B25" s="7" t="s">
        <v>84</v>
      </c>
      <c r="C25" s="13">
        <v>0.38528935185185198</v>
      </c>
      <c r="D25" s="13" t="s">
        <v>62</v>
      </c>
      <c r="E25" s="13">
        <v>0.50005787037036997</v>
      </c>
      <c r="F25" s="14">
        <f t="shared" si="1"/>
        <v>2.7544444444444318</v>
      </c>
      <c r="G25" s="15">
        <f t="shared" si="2"/>
        <v>2.7544444444444318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46197.594132175902</v>
      </c>
      <c r="B26" s="7" t="s">
        <v>84</v>
      </c>
      <c r="C26" s="13">
        <v>0.59413194444444495</v>
      </c>
      <c r="D26" s="13" t="s">
        <v>62</v>
      </c>
      <c r="E26" s="13">
        <v>0.75185185185185199</v>
      </c>
      <c r="F26" s="14">
        <f t="shared" si="1"/>
        <v>3.7852777777777691</v>
      </c>
      <c r="G26" s="15">
        <f t="shared" si="2"/>
        <v>3.7852777777777691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46198.014651736099</v>
      </c>
      <c r="B27" s="7" t="s">
        <v>61</v>
      </c>
      <c r="C27" s="13">
        <v>1.46412037037037E-2</v>
      </c>
      <c r="D27" s="13" t="s">
        <v>62</v>
      </c>
      <c r="E27" s="13">
        <v>0.24894675925925899</v>
      </c>
      <c r="F27" s="14">
        <f t="shared" si="1"/>
        <v>5.6233333333333269</v>
      </c>
      <c r="G27" s="15">
        <f t="shared" si="2"/>
        <v>0</v>
      </c>
      <c r="H27" s="15">
        <f t="shared" si="3"/>
        <v>5.6233333333333269</v>
      </c>
      <c r="I27"/>
      <c r="J27"/>
    </row>
    <row r="28" spans="1:13" ht="18.75" x14ac:dyDescent="0.15">
      <c r="A28" s="12">
        <f t="shared" ca="1" si="0"/>
        <v>46201.249016435198</v>
      </c>
      <c r="B28" s="7" t="s">
        <v>64</v>
      </c>
      <c r="C28" s="13">
        <v>0.249016203703704</v>
      </c>
      <c r="D28" s="13" t="s">
        <v>62</v>
      </c>
      <c r="E28" s="13">
        <v>0.310729166666667</v>
      </c>
      <c r="F28" s="14">
        <f t="shared" si="1"/>
        <v>1.4811111111111119</v>
      </c>
      <c r="G28" s="15">
        <f t="shared" si="2"/>
        <v>0</v>
      </c>
      <c r="H28" s="15">
        <f t="shared" si="3"/>
        <v>1.4811111111111119</v>
      </c>
      <c r="I28"/>
      <c r="J28"/>
    </row>
    <row r="29" spans="1:13" ht="18.75" x14ac:dyDescent="0.15">
      <c r="A29" s="12">
        <f t="shared" ca="1" si="0"/>
        <v>46202.141308912003</v>
      </c>
      <c r="B29" s="7" t="s">
        <v>61</v>
      </c>
      <c r="C29" s="13">
        <v>0.14130787037036999</v>
      </c>
      <c r="D29" s="13" t="s">
        <v>62</v>
      </c>
      <c r="E29" s="13">
        <v>0.218287037037037</v>
      </c>
      <c r="F29" s="14">
        <f t="shared" si="1"/>
        <v>1.8475000000000084</v>
      </c>
      <c r="G29" s="15">
        <f t="shared" si="2"/>
        <v>0</v>
      </c>
      <c r="H29" s="15">
        <f t="shared" si="3"/>
        <v>1.8475000000000084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"/>
  <sheetViews>
    <sheetView topLeftCell="A13" zoomScale="85" zoomScaleNormal="85" workbookViewId="0">
      <selection activeCell="D28" sqref="D28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46174.132760763903</v>
      </c>
      <c r="B3" s="7" t="s">
        <v>72</v>
      </c>
      <c r="C3" s="13">
        <v>0.13275462962963</v>
      </c>
      <c r="D3" s="13" t="s">
        <v>62</v>
      </c>
      <c r="E3" s="13">
        <v>0.29746527777777798</v>
      </c>
      <c r="F3" s="14">
        <f t="shared" ref="F3:F42" si="1">(IF(E3-C3&lt;0,"24:00"-C3+E3,E3-C3))*24</f>
        <v>3.9530555555555518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3.9530555555555518</v>
      </c>
      <c r="I3" s="18" t="s">
        <v>63</v>
      </c>
      <c r="J3" s="19">
        <f>SUMIF(B:B,"带班主任",F:F)</f>
        <v>65.169722222222205</v>
      </c>
      <c r="K3" s="20">
        <f>SUMIF(B:B,"带班主任",G:G)</f>
        <v>52.074999999999989</v>
      </c>
      <c r="L3" s="20">
        <f>SUMIF(B:B,"带班主任",H:H)</f>
        <v>13.094722222222224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46176.354756018503</v>
      </c>
      <c r="B4" s="7" t="s">
        <v>72</v>
      </c>
      <c r="C4" s="13">
        <v>0.35474537037037002</v>
      </c>
      <c r="D4" s="13" t="s">
        <v>62</v>
      </c>
      <c r="E4" s="13">
        <v>0.55083333333333295</v>
      </c>
      <c r="F4" s="14">
        <f t="shared" si="1"/>
        <v>4.7061111111111105</v>
      </c>
      <c r="G4" s="15">
        <f t="shared" si="2"/>
        <v>4.7061111111111105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14.571111111111072</v>
      </c>
      <c r="K4" s="25">
        <f>SUMIF(B:B,"西塔台管制席",G:G)+SUMIF(B:B,"东塔台管制席",G:G)</f>
        <v>12.896666666666665</v>
      </c>
      <c r="L4" s="25">
        <f>SUMIF(B:B,"西塔台管制席",H:H)+SUMIF(B:B,"东塔台管制席",H:H)</f>
        <v>1.6744444444444082</v>
      </c>
      <c r="M4" s="21"/>
    </row>
    <row r="5" spans="1:16" ht="18.75" x14ac:dyDescent="0.25">
      <c r="A5" s="12">
        <f t="shared" ca="1" si="0"/>
        <v>46176.790760763899</v>
      </c>
      <c r="B5" s="7" t="s">
        <v>72</v>
      </c>
      <c r="C5" s="13">
        <v>0.790752314814815</v>
      </c>
      <c r="D5" s="13" t="s">
        <v>62</v>
      </c>
      <c r="E5" s="13">
        <v>0.96296296296296302</v>
      </c>
      <c r="F5" s="14">
        <f t="shared" si="1"/>
        <v>4.1330555555555524</v>
      </c>
      <c r="G5" s="15">
        <f t="shared" si="2"/>
        <v>4.1330555555555524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6.5191666666666563</v>
      </c>
      <c r="K5" s="25">
        <f>SUMIF(B:B,"西塔台协调席",G:G)+SUMIF(B:B,"东塔台协调席",G:G)</f>
        <v>6.5191666666666563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46177.293325115701</v>
      </c>
      <c r="B6" s="7" t="s">
        <v>72</v>
      </c>
      <c r="C6" s="13">
        <v>0.29332175925925902</v>
      </c>
      <c r="D6" s="13" t="s">
        <v>62</v>
      </c>
      <c r="E6" s="13">
        <v>0.32649305555555602</v>
      </c>
      <c r="F6" s="14">
        <f t="shared" si="1"/>
        <v>0.79611111111112809</v>
      </c>
      <c r="G6" s="15">
        <f t="shared" si="2"/>
        <v>0</v>
      </c>
      <c r="H6" s="15">
        <f t="shared" si="3"/>
        <v>0.79611111111112809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46177.7906069444</v>
      </c>
      <c r="B7" s="7" t="s">
        <v>72</v>
      </c>
      <c r="C7" s="13">
        <v>0.79060185185185206</v>
      </c>
      <c r="D7" s="13" t="s">
        <v>62</v>
      </c>
      <c r="E7" s="13">
        <v>0.94446759259259305</v>
      </c>
      <c r="F7" s="14">
        <f t="shared" si="1"/>
        <v>3.6927777777777839</v>
      </c>
      <c r="G7" s="15">
        <f t="shared" si="2"/>
        <v>3.6927777777777839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46178.292082523098</v>
      </c>
      <c r="B8" s="7" t="s">
        <v>72</v>
      </c>
      <c r="C8" s="13">
        <v>0.29207175925925899</v>
      </c>
      <c r="D8" s="13" t="s">
        <v>62</v>
      </c>
      <c r="E8" s="13">
        <v>0.36145833333333299</v>
      </c>
      <c r="F8" s="14">
        <f t="shared" si="1"/>
        <v>1.6652777777777761</v>
      </c>
      <c r="G8" s="15">
        <f t="shared" si="2"/>
        <v>0.67500000000000027</v>
      </c>
      <c r="H8" s="15">
        <f t="shared" si="3"/>
        <v>0.99027777777777581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46180.539671527797</v>
      </c>
      <c r="B9" s="7" t="s">
        <v>72</v>
      </c>
      <c r="C9" s="13">
        <v>0.53966435185185202</v>
      </c>
      <c r="D9" s="13" t="s">
        <v>62</v>
      </c>
      <c r="E9" s="13">
        <v>0.79870370370370403</v>
      </c>
      <c r="F9" s="14">
        <f t="shared" si="1"/>
        <v>6.2169444444444482</v>
      </c>
      <c r="G9" s="15">
        <f t="shared" si="2"/>
        <v>6.2169444444444482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46181.413384722196</v>
      </c>
      <c r="B10" s="7" t="s">
        <v>72</v>
      </c>
      <c r="C10" s="13">
        <v>0.41337962962962999</v>
      </c>
      <c r="D10" s="13" t="s">
        <v>62</v>
      </c>
      <c r="E10" s="13">
        <v>0.59937499999999999</v>
      </c>
      <c r="F10" s="14">
        <f t="shared" si="1"/>
        <v>4.4638888888888797</v>
      </c>
      <c r="G10" s="15">
        <f t="shared" si="2"/>
        <v>4.4638888888888797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46181.729333796298</v>
      </c>
      <c r="B11" s="7" t="s">
        <v>72</v>
      </c>
      <c r="C11" s="13">
        <v>0.72932870370370395</v>
      </c>
      <c r="D11" s="13" t="s">
        <v>62</v>
      </c>
      <c r="E11" s="13">
        <v>0.81048611111111102</v>
      </c>
      <c r="F11" s="14">
        <f t="shared" si="1"/>
        <v>1.9477777777777696</v>
      </c>
      <c r="G11" s="15">
        <f t="shared" si="2"/>
        <v>1.9477777777777696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46181.821143402798</v>
      </c>
      <c r="B12" s="7" t="s">
        <v>72</v>
      </c>
      <c r="C12" s="13">
        <v>0.82113425925925898</v>
      </c>
      <c r="D12" s="13" t="s">
        <v>62</v>
      </c>
      <c r="E12" s="13">
        <v>0.94445601851851801</v>
      </c>
      <c r="F12" s="14">
        <f t="shared" si="1"/>
        <v>2.9597222222222168</v>
      </c>
      <c r="G12" s="15">
        <f t="shared" si="2"/>
        <v>2.9597222222222168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46184.360272338003</v>
      </c>
      <c r="B13" s="7" t="s">
        <v>72</v>
      </c>
      <c r="C13" s="13">
        <v>0.36026620370370399</v>
      </c>
      <c r="D13" s="13" t="s">
        <v>62</v>
      </c>
      <c r="E13" s="13">
        <v>0.56782407407407398</v>
      </c>
      <c r="F13" s="14">
        <f t="shared" si="1"/>
        <v>4.9813888888888798</v>
      </c>
      <c r="G13" s="15">
        <f t="shared" si="2"/>
        <v>4.9813888888888798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46184.751132523103</v>
      </c>
      <c r="B14" s="7" t="s">
        <v>72</v>
      </c>
      <c r="C14" s="13">
        <v>0.75112268518518499</v>
      </c>
      <c r="D14" s="13" t="s">
        <v>62</v>
      </c>
      <c r="E14" s="13">
        <v>0.8828125</v>
      </c>
      <c r="F14" s="14">
        <f t="shared" si="1"/>
        <v>3.1605555555555602</v>
      </c>
      <c r="G14" s="15">
        <f t="shared" si="2"/>
        <v>3.1605555555555602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46185.416150347199</v>
      </c>
      <c r="B15" s="7" t="s">
        <v>72</v>
      </c>
      <c r="C15" s="13">
        <v>0.41614583333333299</v>
      </c>
      <c r="D15" s="13" t="s">
        <v>62</v>
      </c>
      <c r="E15" s="13">
        <v>0.54729166666666695</v>
      </c>
      <c r="F15" s="14">
        <f t="shared" si="1"/>
        <v>3.1475000000000151</v>
      </c>
      <c r="G15" s="15">
        <f t="shared" si="2"/>
        <v>3.1475000000000151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46185.624940277798</v>
      </c>
      <c r="B16" s="7" t="s">
        <v>72</v>
      </c>
      <c r="C16" s="13">
        <v>0.62493055555555599</v>
      </c>
      <c r="D16" s="13" t="s">
        <v>62</v>
      </c>
      <c r="E16" s="13">
        <v>0.79866898148148102</v>
      </c>
      <c r="F16" s="14">
        <f t="shared" si="1"/>
        <v>4.1697222222222008</v>
      </c>
      <c r="G16" s="15">
        <f t="shared" si="2"/>
        <v>4.1697222222222008</v>
      </c>
      <c r="H16" s="15">
        <f t="shared" si="3"/>
        <v>0</v>
      </c>
      <c r="I16" s="37" t="s">
        <v>63</v>
      </c>
      <c r="J16" s="38">
        <f t="shared" ref="J16:L16" si="4">J3</f>
        <v>65.169722222222205</v>
      </c>
      <c r="K16" s="39">
        <f t="shared" si="4"/>
        <v>52.074999999999989</v>
      </c>
      <c r="L16" s="40">
        <f t="shared" si="4"/>
        <v>13.094722222222224</v>
      </c>
      <c r="M16" s="41"/>
    </row>
    <row r="17" spans="1:13" ht="20.25" x14ac:dyDescent="0.25">
      <c r="A17" s="12">
        <f t="shared" ca="1" si="0"/>
        <v>46185.836240740697</v>
      </c>
      <c r="B17" s="7" t="s">
        <v>69</v>
      </c>
      <c r="C17" s="13">
        <v>0.83627314814814802</v>
      </c>
      <c r="D17" s="13" t="s">
        <v>62</v>
      </c>
      <c r="E17" s="13">
        <v>0.96600694444444402</v>
      </c>
      <c r="F17" s="14">
        <f t="shared" si="1"/>
        <v>3.113611111111104</v>
      </c>
      <c r="G17" s="15">
        <f t="shared" si="2"/>
        <v>3.113611111111104</v>
      </c>
      <c r="H17" s="15">
        <f t="shared" si="3"/>
        <v>0</v>
      </c>
      <c r="I17" s="37" t="s">
        <v>79</v>
      </c>
      <c r="J17" s="38">
        <f>J4+J5+J6+J7+J10</f>
        <v>21.090277777777729</v>
      </c>
      <c r="K17" s="39">
        <f>K4+K5+K6+K7+K10</f>
        <v>19.415833333333321</v>
      </c>
      <c r="L17" s="40">
        <f>L4+L5+L6+L7+L10</f>
        <v>1.6744444444444082</v>
      </c>
      <c r="M17" s="41"/>
    </row>
    <row r="18" spans="1:13" ht="20.25" x14ac:dyDescent="0.25">
      <c r="A18" s="12">
        <f t="shared" ca="1" si="0"/>
        <v>46186.299319097197</v>
      </c>
      <c r="B18" s="7" t="s">
        <v>69</v>
      </c>
      <c r="C18" s="13">
        <v>0.29931712962962997</v>
      </c>
      <c r="D18" s="13" t="s">
        <v>62</v>
      </c>
      <c r="E18" s="13">
        <v>0.364918981481481</v>
      </c>
      <c r="F18" s="14">
        <f t="shared" si="1"/>
        <v>1.5744444444444246</v>
      </c>
      <c r="G18" s="15">
        <f t="shared" si="2"/>
        <v>0.75805555555555237</v>
      </c>
      <c r="H18" s="15">
        <f t="shared" si="3"/>
        <v>0.81638888888887218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46196.938965624999</v>
      </c>
      <c r="B19" s="7" t="s">
        <v>72</v>
      </c>
      <c r="C19" s="13">
        <v>0.93895833333333301</v>
      </c>
      <c r="D19" s="13" t="s">
        <v>62</v>
      </c>
      <c r="E19" s="13">
        <v>0.139756944444444</v>
      </c>
      <c r="F19" s="14">
        <f t="shared" si="1"/>
        <v>4.8191666666666642</v>
      </c>
      <c r="G19" s="15">
        <f t="shared" si="2"/>
        <v>1.4650000000000079</v>
      </c>
      <c r="H19" s="15">
        <f t="shared" si="3"/>
        <v>3.3541666666666563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46197.536145023201</v>
      </c>
      <c r="B20" s="7" t="s">
        <v>72</v>
      </c>
      <c r="C20" s="13">
        <v>0.53613425925925895</v>
      </c>
      <c r="D20" s="13" t="s">
        <v>62</v>
      </c>
      <c r="E20" s="13">
        <v>0.78677083333333298</v>
      </c>
      <c r="F20" s="14">
        <f t="shared" si="1"/>
        <v>6.0152777777777766</v>
      </c>
      <c r="G20" s="15">
        <f t="shared" si="2"/>
        <v>6.0152777777777766</v>
      </c>
      <c r="H20" s="15">
        <f t="shared" si="3"/>
        <v>0</v>
      </c>
      <c r="I20" s="42" t="s">
        <v>81</v>
      </c>
      <c r="J20" s="65">
        <f>J16+J17+J18+J19</f>
        <v>86.259999999999934</v>
      </c>
      <c r="K20" s="66"/>
      <c r="L20" s="67"/>
      <c r="M20" s="43"/>
    </row>
    <row r="21" spans="1:13" ht="20.25" x14ac:dyDescent="0.25">
      <c r="A21" s="12">
        <f t="shared" ca="1" si="0"/>
        <v>46198.1336315972</v>
      </c>
      <c r="B21" s="7" t="s">
        <v>72</v>
      </c>
      <c r="C21" s="13">
        <v>0.133622685185185</v>
      </c>
      <c r="D21" s="13" t="s">
        <v>62</v>
      </c>
      <c r="E21" s="13">
        <v>0.300335648148148</v>
      </c>
      <c r="F21" s="14">
        <f t="shared" si="1"/>
        <v>4.0011111111111122</v>
      </c>
      <c r="G21" s="15">
        <f t="shared" si="2"/>
        <v>0</v>
      </c>
      <c r="H21" s="15">
        <f t="shared" si="3"/>
        <v>4.0011111111111122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46200.357929050901</v>
      </c>
      <c r="B22" s="7" t="s">
        <v>64</v>
      </c>
      <c r="C22" s="13">
        <v>0.35792824074074098</v>
      </c>
      <c r="D22" s="13" t="s">
        <v>62</v>
      </c>
      <c r="E22" s="13">
        <v>0.50614583333333296</v>
      </c>
      <c r="F22" s="14">
        <f t="shared" si="1"/>
        <v>3.5572222222222076</v>
      </c>
      <c r="G22" s="15">
        <f t="shared" si="2"/>
        <v>3.5572222222222076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46200.643444097201</v>
      </c>
      <c r="B23" s="7" t="s">
        <v>69</v>
      </c>
      <c r="C23" s="13">
        <v>0.643472222222222</v>
      </c>
      <c r="D23" s="13" t="s">
        <v>62</v>
      </c>
      <c r="E23" s="13">
        <v>0.75943287037036999</v>
      </c>
      <c r="F23" s="14">
        <f t="shared" si="1"/>
        <v>2.7830555555555518</v>
      </c>
      <c r="G23" s="15">
        <f t="shared" si="2"/>
        <v>2.7830555555555518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46200.874775463002</v>
      </c>
      <c r="B24" s="7" t="s">
        <v>69</v>
      </c>
      <c r="C24" s="13">
        <v>0.87658564814814799</v>
      </c>
      <c r="D24" s="13" t="s">
        <v>62</v>
      </c>
      <c r="E24" s="13">
        <v>0.95799768518518502</v>
      </c>
      <c r="F24" s="14">
        <f t="shared" si="1"/>
        <v>1.9538888888888888</v>
      </c>
      <c r="G24" s="15">
        <f t="shared" si="2"/>
        <v>1.9538888888888888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46201.297581018502</v>
      </c>
      <c r="B25" s="7" t="s">
        <v>69</v>
      </c>
      <c r="C25" s="13">
        <v>0.29758101851851898</v>
      </c>
      <c r="D25" s="13" t="s">
        <v>62</v>
      </c>
      <c r="E25" s="13">
        <v>0.42484953703703698</v>
      </c>
      <c r="F25" s="14">
        <f t="shared" si="1"/>
        <v>3.0544444444444321</v>
      </c>
      <c r="G25" s="15">
        <f t="shared" si="2"/>
        <v>2.1963888888888961</v>
      </c>
      <c r="H25" s="15">
        <f t="shared" si="3"/>
        <v>0.85805555555553603</v>
      </c>
      <c r="I25"/>
      <c r="J25"/>
    </row>
    <row r="26" spans="1:13" ht="18.75" x14ac:dyDescent="0.15">
      <c r="A26" s="12">
        <f t="shared" ca="1" si="0"/>
        <v>46201.506958680598</v>
      </c>
      <c r="B26" s="7" t="s">
        <v>64</v>
      </c>
      <c r="C26" s="13">
        <v>0.50700231481481495</v>
      </c>
      <c r="D26" s="13" t="s">
        <v>62</v>
      </c>
      <c r="E26" s="13">
        <v>0.63041666666666696</v>
      </c>
      <c r="F26" s="14">
        <f t="shared" si="1"/>
        <v>2.9619444444444483</v>
      </c>
      <c r="G26" s="15">
        <f t="shared" si="2"/>
        <v>2.9619444444444483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46201.751432986101</v>
      </c>
      <c r="B27" s="7" t="s">
        <v>69</v>
      </c>
      <c r="C27" s="13">
        <v>0.751423611111111</v>
      </c>
      <c r="D27" s="13" t="s">
        <v>62</v>
      </c>
      <c r="E27" s="13">
        <v>0.83857638888888897</v>
      </c>
      <c r="F27" s="14">
        <f t="shared" si="1"/>
        <v>2.0916666666666712</v>
      </c>
      <c r="G27" s="15">
        <f t="shared" si="2"/>
        <v>2.0916666666666712</v>
      </c>
      <c r="H27" s="15">
        <f t="shared" si="3"/>
        <v>0</v>
      </c>
      <c r="I27"/>
      <c r="J27"/>
    </row>
    <row r="28" spans="1:13" ht="18.75" x14ac:dyDescent="0.15">
      <c r="A28" s="12">
        <f t="shared" ca="1" si="0"/>
        <v>46201.838608912003</v>
      </c>
      <c r="B28" s="7" t="s">
        <v>72</v>
      </c>
      <c r="C28" s="13">
        <v>0.83859953703703705</v>
      </c>
      <c r="D28" s="13" t="s">
        <v>62</v>
      </c>
      <c r="E28" s="13">
        <v>0.85277777777777797</v>
      </c>
      <c r="F28" s="14">
        <f t="shared" si="1"/>
        <v>0.34027777777778212</v>
      </c>
      <c r="G28" s="15">
        <f t="shared" si="2"/>
        <v>0.34027777777778212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46175.135275347202</v>
      </c>
      <c r="B3" s="7" t="s">
        <v>83</v>
      </c>
      <c r="C3" s="13">
        <v>0.13526620370370401</v>
      </c>
      <c r="D3" s="13" t="s">
        <v>62</v>
      </c>
      <c r="E3" s="13">
        <v>0.237858796296296</v>
      </c>
      <c r="F3" s="14">
        <f t="shared" ref="F3:F42" si="1">(IF(E3-C3&lt;0,"24:00"-C3+E3,E3-C3))*24</f>
        <v>2.4622222222222074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2.4622222222222074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46175.952756018502</v>
      </c>
      <c r="B4" s="7" t="s">
        <v>61</v>
      </c>
      <c r="C4" s="13">
        <v>0.95275462962962998</v>
      </c>
      <c r="D4" s="13" t="s">
        <v>62</v>
      </c>
      <c r="E4" s="13">
        <v>0.106863425925926</v>
      </c>
      <c r="F4" s="14">
        <f t="shared" si="1"/>
        <v>3.6986111111111049</v>
      </c>
      <c r="G4" s="15">
        <f t="shared" si="2"/>
        <v>1.133888888888881</v>
      </c>
      <c r="H4" s="15">
        <f t="shared" si="3"/>
        <v>2.5647222222222239</v>
      </c>
      <c r="I4" s="23" t="s">
        <v>65</v>
      </c>
      <c r="J4" s="24">
        <f>SUMIF(B:B,"西塔台管制席",F:F)+SUMIF(B:B,"东塔台管制席",F:F)</f>
        <v>30.031388888888905</v>
      </c>
      <c r="K4" s="25">
        <f>SUMIF(B:B,"西塔台管制席",G:G)+SUMIF(B:B,"东塔台管制席",G:G)</f>
        <v>16.707222222222242</v>
      </c>
      <c r="L4" s="25">
        <f>SUMIF(B:B,"西塔台管制席",H:H)+SUMIF(B:B,"东塔台管制席",H:H)</f>
        <v>13.324166666666661</v>
      </c>
      <c r="M4" s="21"/>
    </row>
    <row r="5" spans="1:16" ht="18.75" x14ac:dyDescent="0.25">
      <c r="A5" s="12">
        <f t="shared" ca="1" si="0"/>
        <v>46178.507387847203</v>
      </c>
      <c r="B5" s="7" t="s">
        <v>69</v>
      </c>
      <c r="C5" s="13">
        <v>0.50738425925925901</v>
      </c>
      <c r="D5" s="13" t="s">
        <v>62</v>
      </c>
      <c r="E5" s="13">
        <v>0.67738425925925905</v>
      </c>
      <c r="F5" s="14">
        <f t="shared" si="1"/>
        <v>4.080000000000001</v>
      </c>
      <c r="G5" s="15">
        <f t="shared" si="2"/>
        <v>4.080000000000001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28.035277777777747</v>
      </c>
      <c r="K5" s="25">
        <f>SUMIF(B:B,"西塔台协调席",G:G)+SUMIF(B:B,"东塔台协调席",G:G)</f>
        <v>19.541388888888886</v>
      </c>
      <c r="L5" s="25">
        <f>SUMIF(B:B,"西塔台协调席",H:H)+SUMIF(B:B,"东塔台协调席",H:H)</f>
        <v>8.4938888888888648</v>
      </c>
      <c r="M5" s="21"/>
    </row>
    <row r="6" spans="1:16" ht="18.75" x14ac:dyDescent="0.25">
      <c r="A6" s="12">
        <f t="shared" ca="1" si="0"/>
        <v>46178.833532291697</v>
      </c>
      <c r="B6" s="7" t="s">
        <v>64</v>
      </c>
      <c r="C6" s="13">
        <v>0.83353009259259303</v>
      </c>
      <c r="D6" s="13" t="s">
        <v>62</v>
      </c>
      <c r="E6" s="13">
        <v>0.95861111111111097</v>
      </c>
      <c r="F6" s="14">
        <f t="shared" si="1"/>
        <v>3.0019444444444305</v>
      </c>
      <c r="G6" s="15">
        <f t="shared" si="2"/>
        <v>3.0019444444444305</v>
      </c>
      <c r="H6" s="15">
        <f t="shared" si="3"/>
        <v>0</v>
      </c>
      <c r="I6" s="23" t="s">
        <v>68</v>
      </c>
      <c r="J6" s="24">
        <f>SUMIF(B:B,"放行席",F:F)</f>
        <v>4.7713888888888789</v>
      </c>
      <c r="K6" s="25">
        <f>SUMIF(B:B,"放行席",G:G)</f>
        <v>0</v>
      </c>
      <c r="L6" s="25">
        <f>SUMIF(B:B,"放行席",H:H)</f>
        <v>4.7713888888888789</v>
      </c>
      <c r="M6" s="21"/>
    </row>
    <row r="7" spans="1:16" ht="18.75" x14ac:dyDescent="0.25">
      <c r="A7" s="12">
        <f t="shared" ca="1" si="0"/>
        <v>46179.417348842602</v>
      </c>
      <c r="B7" s="7" t="s">
        <v>69</v>
      </c>
      <c r="C7" s="13">
        <v>0.41733796296296299</v>
      </c>
      <c r="D7" s="13" t="s">
        <v>62</v>
      </c>
      <c r="E7" s="13">
        <v>0.50719907407407405</v>
      </c>
      <c r="F7" s="14">
        <f t="shared" si="1"/>
        <v>2.1566666666666654</v>
      </c>
      <c r="G7" s="15">
        <f t="shared" si="2"/>
        <v>2.1566666666666654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46179.584878935202</v>
      </c>
      <c r="B8" s="7" t="s">
        <v>64</v>
      </c>
      <c r="C8" s="13">
        <v>0.58487268518518498</v>
      </c>
      <c r="D8" s="13" t="s">
        <v>62</v>
      </c>
      <c r="E8" s="13">
        <v>0.67387731481481505</v>
      </c>
      <c r="F8" s="14">
        <f t="shared" si="1"/>
        <v>2.1361111111111217</v>
      </c>
      <c r="G8" s="15">
        <f t="shared" si="2"/>
        <v>2.1361111111111217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46179.752894097197</v>
      </c>
      <c r="B9" s="7" t="s">
        <v>69</v>
      </c>
      <c r="C9" s="13">
        <v>0.75289351851851805</v>
      </c>
      <c r="D9" s="13" t="s">
        <v>62</v>
      </c>
      <c r="E9" s="13">
        <v>0.88828703703703704</v>
      </c>
      <c r="F9" s="14">
        <f t="shared" si="1"/>
        <v>3.2494444444444559</v>
      </c>
      <c r="G9" s="15">
        <f t="shared" si="2"/>
        <v>3.2494444444444559</v>
      </c>
      <c r="H9" s="15">
        <f t="shared" si="3"/>
        <v>0</v>
      </c>
      <c r="I9" s="23" t="s">
        <v>73</v>
      </c>
      <c r="J9" s="24">
        <f>SUMIF(B:B,"航班调度席",F:F)</f>
        <v>12.27472222222222</v>
      </c>
      <c r="K9" s="25">
        <f>SUMIF(B:B,"航班调度席",G:G)</f>
        <v>12.27472222222222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46180.292916898099</v>
      </c>
      <c r="B10" s="7" t="s">
        <v>69</v>
      </c>
      <c r="C10" s="13">
        <v>0.29291666666666699</v>
      </c>
      <c r="D10" s="13" t="s">
        <v>62</v>
      </c>
      <c r="E10" s="13">
        <v>0.366226851851852</v>
      </c>
      <c r="F10" s="14">
        <f t="shared" si="1"/>
        <v>1.7594444444444401</v>
      </c>
      <c r="G10" s="15">
        <f t="shared" si="2"/>
        <v>0.78944444444445638</v>
      </c>
      <c r="H10" s="15">
        <f t="shared" si="3"/>
        <v>0.96999999999998376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46183.953126620399</v>
      </c>
      <c r="B11" s="7" t="s">
        <v>64</v>
      </c>
      <c r="C11" s="13">
        <v>0.953125</v>
      </c>
      <c r="D11" s="13" t="s">
        <v>62</v>
      </c>
      <c r="E11" s="13">
        <v>0.11505787037037001</v>
      </c>
      <c r="F11" s="14">
        <f t="shared" si="1"/>
        <v>3.8863888888888805</v>
      </c>
      <c r="G11" s="15">
        <f t="shared" si="2"/>
        <v>1.1250000000000004</v>
      </c>
      <c r="H11" s="15">
        <f t="shared" si="3"/>
        <v>2.76138888888888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46187.014999421299</v>
      </c>
      <c r="B12" s="7" t="s">
        <v>66</v>
      </c>
      <c r="C12" s="13">
        <v>1.4999999999999999E-2</v>
      </c>
      <c r="D12" s="13" t="s">
        <v>62</v>
      </c>
      <c r="E12" s="13">
        <v>0.14067129629629599</v>
      </c>
      <c r="F12" s="14">
        <f t="shared" si="1"/>
        <v>3.0161111111111034</v>
      </c>
      <c r="G12" s="15">
        <f t="shared" si="2"/>
        <v>0</v>
      </c>
      <c r="H12" s="15">
        <f t="shared" si="3"/>
        <v>3.0161111111111034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46187.952060879601</v>
      </c>
      <c r="B13" s="7" t="s">
        <v>61</v>
      </c>
      <c r="C13" s="13">
        <v>0.95206018518518498</v>
      </c>
      <c r="D13" s="13" t="s">
        <v>62</v>
      </c>
      <c r="E13" s="13">
        <v>0.113611111111111</v>
      </c>
      <c r="F13" s="14">
        <f t="shared" si="1"/>
        <v>3.8772222222222243</v>
      </c>
      <c r="G13" s="15">
        <f t="shared" si="2"/>
        <v>1.1505555555555604</v>
      </c>
      <c r="H13" s="15">
        <f t="shared" si="3"/>
        <v>2.7266666666666639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46190.353977893501</v>
      </c>
      <c r="B14" s="7" t="s">
        <v>61</v>
      </c>
      <c r="C14" s="13">
        <v>0.35396990740740703</v>
      </c>
      <c r="D14" s="13" t="s">
        <v>62</v>
      </c>
      <c r="E14" s="13">
        <v>0.44591435185185202</v>
      </c>
      <c r="F14" s="14">
        <f t="shared" si="1"/>
        <v>2.2066666666666799</v>
      </c>
      <c r="G14" s="15">
        <f t="shared" si="2"/>
        <v>2.2066666666666799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46190.543499421299</v>
      </c>
      <c r="B15" s="7" t="s">
        <v>66</v>
      </c>
      <c r="C15" s="13">
        <v>0.54349537037036999</v>
      </c>
      <c r="D15" s="13" t="s">
        <v>62</v>
      </c>
      <c r="E15" s="13">
        <v>0.71298611111111099</v>
      </c>
      <c r="F15" s="14">
        <f t="shared" si="1"/>
        <v>4.0677777777777839</v>
      </c>
      <c r="G15" s="15">
        <f t="shared" si="2"/>
        <v>4.0677777777777839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46190.876184838002</v>
      </c>
      <c r="B16" s="7" t="s">
        <v>61</v>
      </c>
      <c r="C16" s="13">
        <v>0.87618055555555596</v>
      </c>
      <c r="D16" s="13" t="s">
        <v>62</v>
      </c>
      <c r="E16" s="13">
        <v>0.95703703703703702</v>
      </c>
      <c r="F16" s="14">
        <f t="shared" si="1"/>
        <v>1.9405555555555454</v>
      </c>
      <c r="G16" s="15">
        <f t="shared" si="2"/>
        <v>1.9405555555555454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46191.459768865701</v>
      </c>
      <c r="B17" s="7" t="s">
        <v>64</v>
      </c>
      <c r="C17" s="13">
        <v>0.45976851851851902</v>
      </c>
      <c r="D17" s="13" t="s">
        <v>62</v>
      </c>
      <c r="E17" s="13">
        <v>0.63087962962962996</v>
      </c>
      <c r="F17" s="14">
        <f t="shared" si="1"/>
        <v>4.106666666666662</v>
      </c>
      <c r="G17" s="15">
        <f t="shared" si="2"/>
        <v>4.106666666666662</v>
      </c>
      <c r="H17" s="15">
        <f t="shared" si="3"/>
        <v>0</v>
      </c>
      <c r="I17" s="37" t="s">
        <v>79</v>
      </c>
      <c r="J17" s="38">
        <f>J4+J5+J6+J7+J10</f>
        <v>62.838055555555528</v>
      </c>
      <c r="K17" s="39">
        <f>K4+K5+K6+K7+K10</f>
        <v>36.248611111111131</v>
      </c>
      <c r="L17" s="40">
        <f>L4+L5+L6+L7+L10</f>
        <v>26.589444444444403</v>
      </c>
      <c r="M17" s="41"/>
    </row>
    <row r="18" spans="1:13" ht="20.25" x14ac:dyDescent="0.25">
      <c r="A18" s="12">
        <f t="shared" ca="1" si="0"/>
        <v>46191.792359838</v>
      </c>
      <c r="B18" s="7" t="s">
        <v>64</v>
      </c>
      <c r="C18" s="13">
        <v>0.79234953703703703</v>
      </c>
      <c r="D18" s="13" t="s">
        <v>62</v>
      </c>
      <c r="E18" s="13">
        <v>0.95784722222222196</v>
      </c>
      <c r="F18" s="14">
        <f t="shared" si="1"/>
        <v>3.9719444444444383</v>
      </c>
      <c r="G18" s="15">
        <f t="shared" si="2"/>
        <v>3.9719444444444383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46194.952841898099</v>
      </c>
      <c r="B19" s="7" t="s">
        <v>66</v>
      </c>
      <c r="C19" s="13">
        <v>0.95283564814814803</v>
      </c>
      <c r="D19" s="13" t="s">
        <v>62</v>
      </c>
      <c r="E19" s="13">
        <v>0.11318287037037</v>
      </c>
      <c r="F19" s="14">
        <f t="shared" si="1"/>
        <v>3.8483333333333274</v>
      </c>
      <c r="G19" s="15">
        <f t="shared" si="2"/>
        <v>1.1319444444444473</v>
      </c>
      <c r="H19" s="15">
        <f t="shared" si="3"/>
        <v>2.7163888888888801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46196.139831944398</v>
      </c>
      <c r="B20" s="7" t="s">
        <v>69</v>
      </c>
      <c r="C20" s="13">
        <v>0.13982638888888901</v>
      </c>
      <c r="D20" s="13" t="s">
        <v>62</v>
      </c>
      <c r="E20" s="13">
        <v>0.306226851851852</v>
      </c>
      <c r="F20" s="14">
        <f t="shared" si="1"/>
        <v>3.9936111111111119</v>
      </c>
      <c r="G20" s="15">
        <f t="shared" si="2"/>
        <v>0</v>
      </c>
      <c r="H20" s="15">
        <f t="shared" si="3"/>
        <v>3.9936111111111119</v>
      </c>
      <c r="I20" s="42" t="s">
        <v>81</v>
      </c>
      <c r="J20" s="65">
        <f>J16+J17+J18+J19</f>
        <v>62.838055555555528</v>
      </c>
      <c r="K20" s="66"/>
      <c r="L20" s="67"/>
      <c r="M20" s="43"/>
    </row>
    <row r="21" spans="1:13" ht="20.25" x14ac:dyDescent="0.25">
      <c r="A21" s="12">
        <f t="shared" ca="1" si="0"/>
        <v>46199.133413310199</v>
      </c>
      <c r="B21" s="7" t="s">
        <v>83</v>
      </c>
      <c r="C21" s="13">
        <v>0.13346064814814801</v>
      </c>
      <c r="D21" s="13" t="s">
        <v>62</v>
      </c>
      <c r="E21" s="13">
        <v>0.22967592592592601</v>
      </c>
      <c r="F21" s="14">
        <f t="shared" si="1"/>
        <v>2.3091666666666719</v>
      </c>
      <c r="G21" s="15">
        <f t="shared" si="2"/>
        <v>0</v>
      </c>
      <c r="H21" s="15">
        <f t="shared" si="3"/>
        <v>2.3091666666666719</v>
      </c>
      <c r="I21" s="44" t="s">
        <v>4</v>
      </c>
      <c r="J21" s="45">
        <f>SUM(J8:J9)</f>
        <v>12.27472222222222</v>
      </c>
      <c r="K21" s="39">
        <f>SUM(K8:K9)</f>
        <v>12.27472222222222</v>
      </c>
      <c r="L21" s="40">
        <f>SUM(L8:L9)</f>
        <v>0</v>
      </c>
      <c r="M21" s="46"/>
    </row>
    <row r="22" spans="1:13" ht="18.75" x14ac:dyDescent="0.15">
      <c r="A22" s="12">
        <f t="shared" ca="1" si="0"/>
        <v>46200.011887036999</v>
      </c>
      <c r="B22" s="7" t="s">
        <v>61</v>
      </c>
      <c r="C22" s="13">
        <v>1.18865740740741E-2</v>
      </c>
      <c r="D22" s="13" t="s">
        <v>62</v>
      </c>
      <c r="E22" s="13">
        <v>0.13976851851851901</v>
      </c>
      <c r="F22" s="14">
        <f t="shared" si="1"/>
        <v>3.0691666666666784</v>
      </c>
      <c r="G22" s="15">
        <f t="shared" si="2"/>
        <v>0</v>
      </c>
      <c r="H22" s="15">
        <f t="shared" si="3"/>
        <v>3.0691666666666784</v>
      </c>
      <c r="I22"/>
      <c r="J22"/>
    </row>
    <row r="23" spans="1:13" ht="18.75" x14ac:dyDescent="0.15">
      <c r="A23" s="12">
        <f t="shared" ca="1" si="0"/>
        <v>46202.3761778935</v>
      </c>
      <c r="B23" s="7" t="s">
        <v>84</v>
      </c>
      <c r="C23" s="13">
        <v>0.37616898148148098</v>
      </c>
      <c r="D23" s="13" t="s">
        <v>62</v>
      </c>
      <c r="E23" s="13">
        <v>0.48601851851851902</v>
      </c>
      <c r="F23" s="14">
        <f t="shared" si="1"/>
        <v>2.6363888888889129</v>
      </c>
      <c r="G23" s="15">
        <f t="shared" si="2"/>
        <v>2.6363888888889129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46202.5991707176</v>
      </c>
      <c r="B24" s="7" t="s">
        <v>84</v>
      </c>
      <c r="C24" s="13">
        <v>0.59916666666666696</v>
      </c>
      <c r="D24" s="13" t="s">
        <v>62</v>
      </c>
      <c r="E24" s="13">
        <v>0.76804398148148101</v>
      </c>
      <c r="F24" s="14">
        <f t="shared" si="1"/>
        <v>4.0530555555555372</v>
      </c>
      <c r="G24" s="15">
        <f t="shared" si="2"/>
        <v>4.0530555555555372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46203.375909606497</v>
      </c>
      <c r="B25" s="7" t="s">
        <v>84</v>
      </c>
      <c r="C25" s="13">
        <v>0.37590277777777797</v>
      </c>
      <c r="D25" s="13" t="s">
        <v>62</v>
      </c>
      <c r="E25" s="13">
        <v>0.50270833333333298</v>
      </c>
      <c r="F25" s="14">
        <f t="shared" si="1"/>
        <v>3.0433333333333201</v>
      </c>
      <c r="G25" s="15">
        <f t="shared" si="2"/>
        <v>3.0433333333333201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46203.625271527802</v>
      </c>
      <c r="B26" s="7" t="s">
        <v>84</v>
      </c>
      <c r="C26" s="13">
        <v>0.625266203703704</v>
      </c>
      <c r="D26" s="13" t="s">
        <v>62</v>
      </c>
      <c r="E26" s="13">
        <v>0.73118055555555606</v>
      </c>
      <c r="F26" s="14">
        <f t="shared" si="1"/>
        <v>2.5419444444444492</v>
      </c>
      <c r="G26" s="15">
        <f t="shared" si="2"/>
        <v>2.5419444444444492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46179.5018053241</v>
      </c>
      <c r="B3" s="7" t="s">
        <v>69</v>
      </c>
      <c r="C3" s="13">
        <v>0.50180555555555595</v>
      </c>
      <c r="D3" s="13" t="s">
        <v>62</v>
      </c>
      <c r="E3" s="13">
        <v>0.58869212962963002</v>
      </c>
      <c r="F3" s="14">
        <f t="shared" ref="F3:F42" si="1">(IF(E3-C3&lt;0,"24:00"-C3+E3,E3-C3))*24</f>
        <v>2.0852777777777778</v>
      </c>
      <c r="G3" s="15">
        <f t="shared" ref="G3:G42" si="2">F3-H3</f>
        <v>2.0852777777777778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46179.668585300897</v>
      </c>
      <c r="B4" s="7" t="s">
        <v>64</v>
      </c>
      <c r="C4" s="13">
        <v>0.66857638888888904</v>
      </c>
      <c r="D4" s="13" t="s">
        <v>62</v>
      </c>
      <c r="E4" s="13">
        <v>0.76064814814814796</v>
      </c>
      <c r="F4" s="14">
        <f t="shared" si="1"/>
        <v>2.2097222222222141</v>
      </c>
      <c r="G4" s="15">
        <f t="shared" si="2"/>
        <v>2.2097222222222141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25.579999999999991</v>
      </c>
      <c r="K4" s="25">
        <f>SUMIF(B:B,"西塔台管制席",G:G)+SUMIF(B:B,"东塔台管制席",G:G)</f>
        <v>17.925277777777779</v>
      </c>
      <c r="L4" s="25">
        <f>SUMIF(B:B,"西塔台管制席",H:H)+SUMIF(B:B,"东塔台管制席",H:H)</f>
        <v>7.6547222222222073</v>
      </c>
      <c r="M4" s="21"/>
    </row>
    <row r="5" spans="1:16" ht="18.75" x14ac:dyDescent="0.25">
      <c r="A5" s="12">
        <f t="shared" ca="1" si="0"/>
        <v>46179.876338657399</v>
      </c>
      <c r="B5" s="7" t="s">
        <v>69</v>
      </c>
      <c r="C5" s="13">
        <v>0.87633101851851902</v>
      </c>
      <c r="D5" s="13" t="s">
        <v>62</v>
      </c>
      <c r="E5" s="13">
        <v>0.95793981481481505</v>
      </c>
      <c r="F5" s="14">
        <f t="shared" si="1"/>
        <v>1.9586111111111046</v>
      </c>
      <c r="G5" s="15">
        <f t="shared" si="2"/>
        <v>1.9586111111111046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32.262777777777742</v>
      </c>
      <c r="K5" s="25">
        <f>SUMIF(B:B,"西塔台协调席",G:G)+SUMIF(B:B,"东塔台协调席",G:G)</f>
        <v>23.270555555555521</v>
      </c>
      <c r="L5" s="25">
        <f>SUMIF(B:B,"西塔台协调席",H:H)+SUMIF(B:B,"东塔台协调席",H:H)</f>
        <v>8.9922222222222192</v>
      </c>
      <c r="M5" s="21"/>
    </row>
    <row r="6" spans="1:16" ht="18.75" x14ac:dyDescent="0.25">
      <c r="A6" s="12">
        <f t="shared" ca="1" si="0"/>
        <v>46180.958745138902</v>
      </c>
      <c r="B6" s="7" t="s">
        <v>66</v>
      </c>
      <c r="C6" s="13">
        <v>0.95873842592592595</v>
      </c>
      <c r="D6" s="13" t="s">
        <v>62</v>
      </c>
      <c r="E6" s="13">
        <v>0.98353009259259305</v>
      </c>
      <c r="F6" s="14">
        <f t="shared" si="1"/>
        <v>0.59500000000001041</v>
      </c>
      <c r="G6" s="15">
        <f t="shared" si="2"/>
        <v>0.59500000000001041</v>
      </c>
      <c r="H6" s="15">
        <f t="shared" si="3"/>
        <v>0</v>
      </c>
      <c r="I6" s="23" t="s">
        <v>68</v>
      </c>
      <c r="J6" s="24">
        <f>SUMIF(B:B,"放行席",F:F)</f>
        <v>2.0766666666666715</v>
      </c>
      <c r="K6" s="25">
        <f>SUMIF(B:B,"放行席",G:G)</f>
        <v>0</v>
      </c>
      <c r="L6" s="25">
        <f>SUMIF(B:B,"放行席",H:H)</f>
        <v>2.0766666666666715</v>
      </c>
      <c r="M6" s="21"/>
    </row>
    <row r="7" spans="1:16" ht="18.75" x14ac:dyDescent="0.25">
      <c r="A7" s="12">
        <f t="shared" ca="1" si="0"/>
        <v>46180.999835648101</v>
      </c>
      <c r="B7" s="7" t="s">
        <v>66</v>
      </c>
      <c r="C7" s="13">
        <v>0.99982638888888897</v>
      </c>
      <c r="D7" s="13" t="s">
        <v>62</v>
      </c>
      <c r="E7" s="13">
        <v>9.6215277777777802E-2</v>
      </c>
      <c r="F7" s="14">
        <f t="shared" si="1"/>
        <v>2.3133333333333317</v>
      </c>
      <c r="G7" s="15">
        <f t="shared" si="2"/>
        <v>4.1666666666646535E-3</v>
      </c>
      <c r="H7" s="15">
        <f t="shared" si="3"/>
        <v>2.309166666666667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46182.013250694399</v>
      </c>
      <c r="B8" s="7" t="s">
        <v>61</v>
      </c>
      <c r="C8" s="13">
        <v>1.3240740740740701E-2</v>
      </c>
      <c r="D8" s="13" t="s">
        <v>62</v>
      </c>
      <c r="E8" s="13">
        <v>1.34606481481481E-2</v>
      </c>
      <c r="F8" s="14">
        <f t="shared" si="1"/>
        <v>5.2777777777775897E-3</v>
      </c>
      <c r="G8" s="15">
        <f t="shared" si="2"/>
        <v>0</v>
      </c>
      <c r="H8" s="15">
        <f t="shared" si="3"/>
        <v>5.2777777777775897E-3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46182.013492129598</v>
      </c>
      <c r="B9" s="7" t="s">
        <v>69</v>
      </c>
      <c r="C9" s="13">
        <v>1.3483796296296299E-2</v>
      </c>
      <c r="D9" s="13" t="s">
        <v>62</v>
      </c>
      <c r="E9" s="13">
        <v>0.14568287037037</v>
      </c>
      <c r="F9" s="14">
        <f t="shared" si="1"/>
        <v>3.1727777777777693</v>
      </c>
      <c r="G9" s="15">
        <f t="shared" si="2"/>
        <v>0</v>
      </c>
      <c r="H9" s="15">
        <f t="shared" si="3"/>
        <v>3.1727777777777693</v>
      </c>
      <c r="I9" s="23" t="s">
        <v>73</v>
      </c>
      <c r="J9" s="24">
        <f>SUMIF(B:B,"航班调度席",F:F)</f>
        <v>0.1666666666666794</v>
      </c>
      <c r="K9" s="25">
        <f>SUMIF(B:B,"航班调度席",G:G)</f>
        <v>0.1666666666666794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46184.500724652797</v>
      </c>
      <c r="B10" s="7" t="s">
        <v>64</v>
      </c>
      <c r="C10" s="13">
        <v>0.50071759259259296</v>
      </c>
      <c r="D10" s="13" t="s">
        <v>62</v>
      </c>
      <c r="E10" s="13">
        <v>0.64553240740740703</v>
      </c>
      <c r="F10" s="14">
        <f t="shared" si="1"/>
        <v>3.4755555555555375</v>
      </c>
      <c r="G10" s="15">
        <f t="shared" si="2"/>
        <v>3.4755555555555375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46184.645715972198</v>
      </c>
      <c r="B11" s="7" t="s">
        <v>84</v>
      </c>
      <c r="C11" s="13">
        <v>0.64570601851851805</v>
      </c>
      <c r="D11" s="13" t="s">
        <v>62</v>
      </c>
      <c r="E11" s="13">
        <v>0.64938657407407396</v>
      </c>
      <c r="F11" s="14">
        <f t="shared" si="1"/>
        <v>8.8333333333341812E-2</v>
      </c>
      <c r="G11" s="15">
        <f t="shared" si="2"/>
        <v>8.8333333333341812E-2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46184.7315914352</v>
      </c>
      <c r="B12" s="7" t="s">
        <v>69</v>
      </c>
      <c r="C12" s="13">
        <v>0.73166666666666702</v>
      </c>
      <c r="D12" s="13" t="s">
        <v>62</v>
      </c>
      <c r="E12" s="13">
        <v>0.88571759259259297</v>
      </c>
      <c r="F12" s="14">
        <f t="shared" si="1"/>
        <v>3.6972222222222229</v>
      </c>
      <c r="G12" s="15">
        <f t="shared" si="2"/>
        <v>3.6972222222222229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46185.4176240741</v>
      </c>
      <c r="B13" s="7" t="s">
        <v>69</v>
      </c>
      <c r="C13" s="13">
        <v>0.41761574074074098</v>
      </c>
      <c r="D13" s="13" t="s">
        <v>62</v>
      </c>
      <c r="E13" s="13">
        <v>0.51311342592592601</v>
      </c>
      <c r="F13" s="14">
        <f t="shared" si="1"/>
        <v>2.2919444444444408</v>
      </c>
      <c r="G13" s="15">
        <f t="shared" si="2"/>
        <v>2.2919444444444408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46185.626814699099</v>
      </c>
      <c r="B14" s="7" t="s">
        <v>64</v>
      </c>
      <c r="C14" s="13">
        <v>0.62680555555555595</v>
      </c>
      <c r="D14" s="13" t="s">
        <v>62</v>
      </c>
      <c r="E14" s="13">
        <v>0.76695601851851902</v>
      </c>
      <c r="F14" s="14">
        <f t="shared" si="1"/>
        <v>3.3636111111111138</v>
      </c>
      <c r="G14" s="15">
        <f t="shared" si="2"/>
        <v>3.3636111111111138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46185.841065162</v>
      </c>
      <c r="B15" s="7" t="s">
        <v>64</v>
      </c>
      <c r="C15" s="13">
        <v>0.84106481481481499</v>
      </c>
      <c r="D15" s="13" t="s">
        <v>62</v>
      </c>
      <c r="E15" s="13">
        <v>0.96535879629629595</v>
      </c>
      <c r="F15" s="14">
        <f t="shared" si="1"/>
        <v>2.9830555555555431</v>
      </c>
      <c r="G15" s="15">
        <f t="shared" si="2"/>
        <v>2.9830555555555431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46186.300397106497</v>
      </c>
      <c r="B16" s="7" t="s">
        <v>64</v>
      </c>
      <c r="C16" s="13">
        <v>0.30039351851851898</v>
      </c>
      <c r="D16" s="13" t="s">
        <v>62</v>
      </c>
      <c r="E16" s="13">
        <v>0.36299768518518499</v>
      </c>
      <c r="F16" s="14">
        <f t="shared" si="1"/>
        <v>1.5024999999999844</v>
      </c>
      <c r="G16" s="15">
        <f t="shared" si="2"/>
        <v>0.71194444444444827</v>
      </c>
      <c r="H16" s="15">
        <f t="shared" si="3"/>
        <v>0.79055555555553614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46188.952931134299</v>
      </c>
      <c r="B17" s="7" t="s">
        <v>66</v>
      </c>
      <c r="C17" s="13">
        <v>0.95292824074074101</v>
      </c>
      <c r="D17" s="13" t="s">
        <v>62</v>
      </c>
      <c r="E17" s="13">
        <v>0.122766203703704</v>
      </c>
      <c r="F17" s="14">
        <f t="shared" si="1"/>
        <v>4.0761111111111124</v>
      </c>
      <c r="G17" s="15">
        <f t="shared" si="2"/>
        <v>1.1297222222222163</v>
      </c>
      <c r="H17" s="15">
        <f t="shared" si="3"/>
        <v>2.9463888888888961</v>
      </c>
      <c r="I17" s="37" t="s">
        <v>79</v>
      </c>
      <c r="J17" s="38">
        <f>J4+J5+J6+J7+J10</f>
        <v>59.919444444444409</v>
      </c>
      <c r="K17" s="39">
        <f>K4+K5+K6+K7+K10</f>
        <v>41.195833333333297</v>
      </c>
      <c r="L17" s="40">
        <f>L4+L5+L6+L7+L10</f>
        <v>18.723611111111097</v>
      </c>
      <c r="M17" s="41"/>
    </row>
    <row r="18" spans="1:13" ht="20.25" x14ac:dyDescent="0.25">
      <c r="A18" s="12">
        <f t="shared" ca="1" si="0"/>
        <v>46190.0158576389</v>
      </c>
      <c r="B18" s="7" t="s">
        <v>69</v>
      </c>
      <c r="C18" s="13">
        <v>1.5856481481481499E-2</v>
      </c>
      <c r="D18" s="13" t="s">
        <v>62</v>
      </c>
      <c r="E18" s="13">
        <v>0.12585648148148099</v>
      </c>
      <c r="F18" s="14">
        <f t="shared" si="1"/>
        <v>2.6399999999999877</v>
      </c>
      <c r="G18" s="15">
        <f t="shared" si="2"/>
        <v>0</v>
      </c>
      <c r="H18" s="15">
        <f t="shared" si="3"/>
        <v>2.6399999999999877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46193.140468634301</v>
      </c>
      <c r="B19" s="7" t="s">
        <v>69</v>
      </c>
      <c r="C19" s="13">
        <v>0.14046296296296301</v>
      </c>
      <c r="D19" s="13" t="s">
        <v>62</v>
      </c>
      <c r="E19" s="13">
        <v>0.21699074074074101</v>
      </c>
      <c r="F19" s="14">
        <f t="shared" si="1"/>
        <v>1.836666666666672</v>
      </c>
      <c r="G19" s="15">
        <f t="shared" si="2"/>
        <v>0</v>
      </c>
      <c r="H19" s="15">
        <f t="shared" si="3"/>
        <v>1.836666666666672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46193.2170952546</v>
      </c>
      <c r="B20" s="7" t="s">
        <v>66</v>
      </c>
      <c r="C20" s="13">
        <v>0.217094907407407</v>
      </c>
      <c r="D20" s="13" t="s">
        <v>62</v>
      </c>
      <c r="E20" s="13">
        <v>0.30915509259259299</v>
      </c>
      <c r="F20" s="14">
        <f t="shared" si="1"/>
        <v>2.2094444444444639</v>
      </c>
      <c r="G20" s="15">
        <f t="shared" si="2"/>
        <v>0</v>
      </c>
      <c r="H20" s="15">
        <f t="shared" si="3"/>
        <v>2.2094444444444639</v>
      </c>
      <c r="I20" s="42" t="s">
        <v>81</v>
      </c>
      <c r="J20" s="65">
        <f>J16+J17+J18+J19</f>
        <v>59.919444444444409</v>
      </c>
      <c r="K20" s="66"/>
      <c r="L20" s="67"/>
      <c r="M20" s="43"/>
    </row>
    <row r="21" spans="1:13" ht="20.25" x14ac:dyDescent="0.25">
      <c r="A21" s="12">
        <f t="shared" ca="1" si="0"/>
        <v>46194.132246064801</v>
      </c>
      <c r="B21" s="7" t="s">
        <v>83</v>
      </c>
      <c r="C21" s="13">
        <v>0.13224537037037001</v>
      </c>
      <c r="D21" s="13" t="s">
        <v>62</v>
      </c>
      <c r="E21" s="13">
        <v>0.21877314814814799</v>
      </c>
      <c r="F21" s="14">
        <f t="shared" si="1"/>
        <v>2.0766666666666715</v>
      </c>
      <c r="G21" s="15">
        <f t="shared" si="2"/>
        <v>0</v>
      </c>
      <c r="H21" s="15">
        <f t="shared" si="3"/>
        <v>2.0766666666666715</v>
      </c>
      <c r="I21" s="44" t="s">
        <v>4</v>
      </c>
      <c r="J21" s="45">
        <f>SUM(J8:J9)</f>
        <v>0.1666666666666794</v>
      </c>
      <c r="K21" s="39">
        <f>SUM(K8:K9)</f>
        <v>0.1666666666666794</v>
      </c>
      <c r="L21" s="40">
        <f>SUM(L8:L9)</f>
        <v>0</v>
      </c>
      <c r="M21" s="46"/>
    </row>
    <row r="22" spans="1:13" ht="18.75" x14ac:dyDescent="0.15">
      <c r="A22" s="12">
        <f t="shared" ca="1" si="0"/>
        <v>46196.354856481499</v>
      </c>
      <c r="B22" s="7" t="s">
        <v>69</v>
      </c>
      <c r="C22" s="13">
        <v>0.35484953703703698</v>
      </c>
      <c r="D22" s="13" t="s">
        <v>62</v>
      </c>
      <c r="E22" s="13">
        <v>0.50603009259259302</v>
      </c>
      <c r="F22" s="14">
        <f t="shared" si="1"/>
        <v>3.628333333333345</v>
      </c>
      <c r="G22" s="15">
        <f t="shared" si="2"/>
        <v>3.628333333333345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46196.625503009302</v>
      </c>
      <c r="B23" s="7" t="s">
        <v>64</v>
      </c>
      <c r="C23" s="13">
        <v>0.625497685185185</v>
      </c>
      <c r="D23" s="13" t="s">
        <v>62</v>
      </c>
      <c r="E23" s="13">
        <v>0.76780092592592597</v>
      </c>
      <c r="F23" s="14">
        <f t="shared" si="1"/>
        <v>3.4152777777777832</v>
      </c>
      <c r="G23" s="15">
        <f t="shared" si="2"/>
        <v>3.4152777777777832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46196.8771957176</v>
      </c>
      <c r="B24" s="7" t="s">
        <v>69</v>
      </c>
      <c r="C24" s="13">
        <v>0.87718750000000001</v>
      </c>
      <c r="D24" s="13" t="s">
        <v>62</v>
      </c>
      <c r="E24" s="13">
        <v>0.96372685185185203</v>
      </c>
      <c r="F24" s="14">
        <f t="shared" si="1"/>
        <v>2.0769444444444485</v>
      </c>
      <c r="G24" s="15">
        <f t="shared" si="2"/>
        <v>2.0769444444444485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46197.302647338001</v>
      </c>
      <c r="B25" s="7" t="s">
        <v>64</v>
      </c>
      <c r="C25" s="13">
        <v>0.30263888888888901</v>
      </c>
      <c r="D25" s="13" t="s">
        <v>62</v>
      </c>
      <c r="E25" s="13">
        <v>0.464398148148148</v>
      </c>
      <c r="F25" s="14">
        <f t="shared" si="1"/>
        <v>3.8822222222222158</v>
      </c>
      <c r="G25" s="15">
        <f t="shared" si="2"/>
        <v>3.1455555555555605</v>
      </c>
      <c r="H25" s="15">
        <f t="shared" si="3"/>
        <v>0.73666666666665526</v>
      </c>
      <c r="I25"/>
      <c r="J25"/>
    </row>
    <row r="26" spans="1:13" ht="18.75" x14ac:dyDescent="0.15">
      <c r="A26" s="12">
        <f t="shared" ca="1" si="0"/>
        <v>46197.5444810185</v>
      </c>
      <c r="B26" s="7" t="s">
        <v>69</v>
      </c>
      <c r="C26" s="13">
        <v>0.54447916666666696</v>
      </c>
      <c r="D26" s="13" t="s">
        <v>62</v>
      </c>
      <c r="E26" s="13">
        <v>0.63560185185185203</v>
      </c>
      <c r="F26" s="14">
        <f t="shared" si="1"/>
        <v>2.1869444444444417</v>
      </c>
      <c r="G26" s="15">
        <f t="shared" si="2"/>
        <v>2.1869444444444417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46197.751373726896</v>
      </c>
      <c r="B27" s="7" t="s">
        <v>64</v>
      </c>
      <c r="C27" s="13">
        <v>0.75136574074074103</v>
      </c>
      <c r="D27" s="13" t="s">
        <v>62</v>
      </c>
      <c r="E27" s="13">
        <v>0.84457175925925898</v>
      </c>
      <c r="F27" s="14">
        <f t="shared" si="1"/>
        <v>2.2369444444444309</v>
      </c>
      <c r="G27" s="15">
        <f t="shared" si="2"/>
        <v>2.2369444444444309</v>
      </c>
      <c r="H27" s="15">
        <f t="shared" si="3"/>
        <v>0</v>
      </c>
      <c r="I27"/>
      <c r="J27"/>
    </row>
    <row r="28" spans="1:13" ht="18.75" x14ac:dyDescent="0.15">
      <c r="A28" s="12">
        <f t="shared" ca="1" si="0"/>
        <v>46197.845005324103</v>
      </c>
      <c r="B28" s="7" t="s">
        <v>84</v>
      </c>
      <c r="C28" s="13">
        <v>0.84499999999999997</v>
      </c>
      <c r="D28" s="13" t="s">
        <v>62</v>
      </c>
      <c r="E28" s="13">
        <v>0.84826388888888904</v>
      </c>
      <c r="F28" s="14">
        <f t="shared" si="1"/>
        <v>7.8333333333337585E-2</v>
      </c>
      <c r="G28" s="15">
        <f t="shared" si="2"/>
        <v>7.8333333333337585E-2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2"/>
  <sheetViews>
    <sheetView topLeftCell="A10" zoomScale="85" zoomScaleNormal="85" workbookViewId="0">
      <selection activeCell="E34" sqref="E34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46174.300335648099</v>
      </c>
      <c r="B3" s="7" t="s">
        <v>61</v>
      </c>
      <c r="C3" s="13">
        <v>0.300335648148148</v>
      </c>
      <c r="D3" s="13" t="s">
        <v>62</v>
      </c>
      <c r="E3" s="13">
        <v>0.36273148148148099</v>
      </c>
      <c r="F3" s="14">
        <f t="shared" ref="F3:F42" si="1">(IF(E3-C3&lt;0,"24:00"-C3+E3,E3-C3))*24</f>
        <v>1.4974999999999916</v>
      </c>
      <c r="G3" s="15">
        <f t="shared" ref="G3:G42" si="2">F3-H3</f>
        <v>0.70555555555555216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0.79194444444443945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46176.959411342599</v>
      </c>
      <c r="B4" s="7" t="s">
        <v>61</v>
      </c>
      <c r="C4" s="13">
        <v>0.95940972222222198</v>
      </c>
      <c r="D4" s="13" t="s">
        <v>62</v>
      </c>
      <c r="E4" s="13">
        <v>0.14321759259259301</v>
      </c>
      <c r="F4" s="14">
        <f t="shared" si="1"/>
        <v>4.4113888888889043</v>
      </c>
      <c r="G4" s="15">
        <f t="shared" si="2"/>
        <v>0.9741666666666724</v>
      </c>
      <c r="H4" s="15">
        <f t="shared" si="3"/>
        <v>3.4372222222222319</v>
      </c>
      <c r="I4" s="23" t="s">
        <v>65</v>
      </c>
      <c r="J4" s="24">
        <f>SUMIF(B:B,"西塔台管制席",F:F)+SUMIF(B:B,"东塔台管制席",F:F)</f>
        <v>36.225277777777777</v>
      </c>
      <c r="K4" s="25">
        <f>SUMIF(B:B,"西塔台管制席",G:G)+SUMIF(B:B,"东塔台管制席",G:G)</f>
        <v>18.862500000000026</v>
      </c>
      <c r="L4" s="25">
        <f>SUMIF(B:B,"西塔台管制席",H:H)+SUMIF(B:B,"东塔台管制席",H:H)</f>
        <v>17.362777777777747</v>
      </c>
      <c r="M4" s="21"/>
    </row>
    <row r="5" spans="1:16" ht="18.75" x14ac:dyDescent="0.25">
      <c r="A5" s="12">
        <f t="shared" ca="1" si="0"/>
        <v>46178.013762037001</v>
      </c>
      <c r="B5" s="7" t="s">
        <v>64</v>
      </c>
      <c r="C5" s="13">
        <v>1.37615740740741E-2</v>
      </c>
      <c r="D5" s="13" t="s">
        <v>62</v>
      </c>
      <c r="E5" s="13">
        <v>0.103263888888889</v>
      </c>
      <c r="F5" s="14">
        <f t="shared" si="1"/>
        <v>2.1480555555555578</v>
      </c>
      <c r="G5" s="15">
        <f t="shared" si="2"/>
        <v>0</v>
      </c>
      <c r="H5" s="15">
        <f t="shared" si="3"/>
        <v>2.1480555555555578</v>
      </c>
      <c r="I5" s="23" t="s">
        <v>67</v>
      </c>
      <c r="J5" s="24">
        <f>SUMIF(B:B,"西塔台协调席",F:F)+SUMIF(B:B,"东塔台协调席",F:F)</f>
        <v>25.412777777777798</v>
      </c>
      <c r="K5" s="25">
        <f>SUMIF(B:B,"西塔台协调席",G:G)+SUMIF(B:B,"东塔台协调席",G:G)</f>
        <v>15.451666666666707</v>
      </c>
      <c r="L5" s="25">
        <f>SUMIF(B:B,"西塔台协调席",H:H)+SUMIF(B:B,"东塔台协调席",H:H)</f>
        <v>9.9611111111110962</v>
      </c>
      <c r="M5" s="21"/>
    </row>
    <row r="6" spans="1:16" ht="18.75" x14ac:dyDescent="0.25">
      <c r="A6" s="12">
        <f t="shared" ca="1" si="0"/>
        <v>46178.103289930601</v>
      </c>
      <c r="B6" s="7" t="s">
        <v>61</v>
      </c>
      <c r="C6" s="13">
        <v>0.103287037037037</v>
      </c>
      <c r="D6" s="13" t="s">
        <v>62</v>
      </c>
      <c r="E6" s="13">
        <v>0.155925925925926</v>
      </c>
      <c r="F6" s="14">
        <f t="shared" si="1"/>
        <v>1.2633333333333359</v>
      </c>
      <c r="G6" s="15">
        <f t="shared" si="2"/>
        <v>0</v>
      </c>
      <c r="H6" s="15">
        <f t="shared" si="3"/>
        <v>1.2633333333333359</v>
      </c>
      <c r="I6" s="23" t="s">
        <v>68</v>
      </c>
      <c r="J6" s="24">
        <f>SUMIF(B:B,"放行席",F:F)</f>
        <v>4.1925000000000008</v>
      </c>
      <c r="K6" s="25">
        <f>SUMIF(B:B,"放行席",G:G)</f>
        <v>0</v>
      </c>
      <c r="L6" s="25">
        <f>SUMIF(B:B,"放行席",H:H)</f>
        <v>4.1925000000000008</v>
      </c>
      <c r="M6" s="21"/>
    </row>
    <row r="7" spans="1:16" ht="18.75" x14ac:dyDescent="0.25">
      <c r="A7" s="12">
        <f t="shared" ca="1" si="0"/>
        <v>46181.132820138897</v>
      </c>
      <c r="B7" s="7" t="s">
        <v>83</v>
      </c>
      <c r="C7" s="13">
        <v>0.1328125</v>
      </c>
      <c r="D7" s="13" t="s">
        <v>62</v>
      </c>
      <c r="E7" s="13">
        <v>0.22500000000000001</v>
      </c>
      <c r="F7" s="14">
        <f t="shared" si="1"/>
        <v>2.2125000000000004</v>
      </c>
      <c r="G7" s="15">
        <f t="shared" si="2"/>
        <v>0</v>
      </c>
      <c r="H7" s="15">
        <f t="shared" si="3"/>
        <v>2.2125000000000004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46182.140703587997</v>
      </c>
      <c r="B8" s="7" t="s">
        <v>61</v>
      </c>
      <c r="C8" s="13">
        <v>0.14069444444444401</v>
      </c>
      <c r="D8" s="13" t="s">
        <v>62</v>
      </c>
      <c r="E8" s="13">
        <v>0.30616898148148097</v>
      </c>
      <c r="F8" s="14">
        <f t="shared" si="1"/>
        <v>3.9713888888888871</v>
      </c>
      <c r="G8" s="15">
        <f t="shared" si="2"/>
        <v>0</v>
      </c>
      <c r="H8" s="15">
        <f t="shared" si="3"/>
        <v>3.9713888888888871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46184.356875231497</v>
      </c>
      <c r="B9" s="7" t="s">
        <v>69</v>
      </c>
      <c r="C9" s="13">
        <v>0.356875</v>
      </c>
      <c r="D9" s="13" t="s">
        <v>62</v>
      </c>
      <c r="E9" s="13">
        <v>0.51766203703703695</v>
      </c>
      <c r="F9" s="14">
        <f t="shared" si="1"/>
        <v>3.8588888888888868</v>
      </c>
      <c r="G9" s="15">
        <f t="shared" si="2"/>
        <v>3.8588888888888868</v>
      </c>
      <c r="H9" s="15">
        <f t="shared" si="3"/>
        <v>0</v>
      </c>
      <c r="I9" s="23" t="s">
        <v>73</v>
      </c>
      <c r="J9" s="24">
        <f>SUMIF(B:B,"航班调度席",F:F)</f>
        <v>5.9155555555555699</v>
      </c>
      <c r="K9" s="25">
        <f>SUMIF(B:B,"航班调度席",G:G)</f>
        <v>5.9155555555555699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46184.631946527799</v>
      </c>
      <c r="B10" s="7" t="s">
        <v>64</v>
      </c>
      <c r="C10" s="13">
        <v>0.63194444444444398</v>
      </c>
      <c r="D10" s="13" t="s">
        <v>62</v>
      </c>
      <c r="E10" s="13">
        <v>0.77456018518518499</v>
      </c>
      <c r="F10" s="14">
        <f t="shared" si="1"/>
        <v>3.4227777777777844</v>
      </c>
      <c r="G10" s="15">
        <f t="shared" si="2"/>
        <v>3.4227777777777844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46184.877470717598</v>
      </c>
      <c r="B11" s="7" t="s">
        <v>69</v>
      </c>
      <c r="C11" s="13">
        <v>0.87746527777777805</v>
      </c>
      <c r="D11" s="13" t="s">
        <v>62</v>
      </c>
      <c r="E11" s="13">
        <v>0.96894675925925899</v>
      </c>
      <c r="F11" s="14">
        <f t="shared" si="1"/>
        <v>2.1955555555555426</v>
      </c>
      <c r="G11" s="15">
        <f t="shared" si="2"/>
        <v>2.1955555555555426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46185.300422106498</v>
      </c>
      <c r="B12" s="7" t="s">
        <v>64</v>
      </c>
      <c r="C12" s="13">
        <v>0.300416666666667</v>
      </c>
      <c r="D12" s="13" t="s">
        <v>62</v>
      </c>
      <c r="E12" s="13">
        <v>0.42182870370370401</v>
      </c>
      <c r="F12" s="14">
        <f t="shared" si="1"/>
        <v>2.9138888888888883</v>
      </c>
      <c r="G12" s="15">
        <f t="shared" si="2"/>
        <v>2.1238888888889047</v>
      </c>
      <c r="H12" s="15">
        <f t="shared" si="3"/>
        <v>0.7899999999999836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46185.508670486102</v>
      </c>
      <c r="B13" s="7" t="s">
        <v>69</v>
      </c>
      <c r="C13" s="13">
        <v>0.50866898148148099</v>
      </c>
      <c r="D13" s="13" t="s">
        <v>62</v>
      </c>
      <c r="E13" s="13">
        <v>0.63358796296296305</v>
      </c>
      <c r="F13" s="14">
        <f t="shared" si="1"/>
        <v>2.9980555555555695</v>
      </c>
      <c r="G13" s="15">
        <f t="shared" si="2"/>
        <v>2.9980555555555695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46185.7632697917</v>
      </c>
      <c r="B14" s="7" t="s">
        <v>64</v>
      </c>
      <c r="C14" s="13">
        <v>0.76326388888888896</v>
      </c>
      <c r="D14" s="13" t="s">
        <v>62</v>
      </c>
      <c r="E14" s="13">
        <v>0.84504629629629602</v>
      </c>
      <c r="F14" s="14">
        <f t="shared" si="1"/>
        <v>1.9627777777777693</v>
      </c>
      <c r="G14" s="15">
        <f t="shared" si="2"/>
        <v>1.9627777777777693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46189.015766782402</v>
      </c>
      <c r="B15" s="7" t="s">
        <v>64</v>
      </c>
      <c r="C15" s="13">
        <v>1.57638888888889E-2</v>
      </c>
      <c r="D15" s="13" t="s">
        <v>62</v>
      </c>
      <c r="E15" s="13">
        <v>0.117581018518519</v>
      </c>
      <c r="F15" s="14">
        <f t="shared" si="1"/>
        <v>2.4436111111111227</v>
      </c>
      <c r="G15" s="15">
        <f t="shared" si="2"/>
        <v>0</v>
      </c>
      <c r="H15" s="15">
        <f t="shared" si="3"/>
        <v>2.4436111111111227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46189.117614583301</v>
      </c>
      <c r="B16" s="7" t="s">
        <v>61</v>
      </c>
      <c r="C16" s="13">
        <v>0.117604166666667</v>
      </c>
      <c r="D16" s="13" t="s">
        <v>62</v>
      </c>
      <c r="E16" s="13">
        <v>0.144456018518519</v>
      </c>
      <c r="F16" s="14">
        <f t="shared" si="1"/>
        <v>0.64444444444444804</v>
      </c>
      <c r="G16" s="15">
        <f t="shared" si="2"/>
        <v>0</v>
      </c>
      <c r="H16" s="15">
        <f t="shared" si="3"/>
        <v>0.64444444444444804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46189.953180439799</v>
      </c>
      <c r="B17" s="7" t="s">
        <v>61</v>
      </c>
      <c r="C17" s="13">
        <v>0.95317129629629604</v>
      </c>
      <c r="D17" s="13" t="s">
        <v>62</v>
      </c>
      <c r="E17" s="13">
        <v>0.109270833333333</v>
      </c>
      <c r="F17" s="14">
        <f t="shared" si="1"/>
        <v>3.7463888888888865</v>
      </c>
      <c r="G17" s="15">
        <f t="shared" si="2"/>
        <v>1.1238888888888945</v>
      </c>
      <c r="H17" s="15">
        <f t="shared" si="3"/>
        <v>2.6224999999999921</v>
      </c>
      <c r="I17" s="37" t="s">
        <v>79</v>
      </c>
      <c r="J17" s="38">
        <f>J4+J5+J6+J7+J10</f>
        <v>65.830555555555577</v>
      </c>
      <c r="K17" s="39">
        <f>K4+K5+K6+K7+K10</f>
        <v>34.314166666666736</v>
      </c>
      <c r="L17" s="40">
        <f>L4+L5+L6+L7+L10</f>
        <v>31.516388888888848</v>
      </c>
      <c r="M17" s="41"/>
    </row>
    <row r="18" spans="1:13" ht="20.25" x14ac:dyDescent="0.25">
      <c r="A18" s="12">
        <f t="shared" ca="1" si="0"/>
        <v>46193.134288541703</v>
      </c>
      <c r="B18" s="7" t="s">
        <v>83</v>
      </c>
      <c r="C18" s="13">
        <v>0.13434027777777799</v>
      </c>
      <c r="D18" s="13" t="s">
        <v>62</v>
      </c>
      <c r="E18" s="13">
        <v>0.21684027777777801</v>
      </c>
      <c r="F18" s="14">
        <f t="shared" si="1"/>
        <v>1.9800000000000004</v>
      </c>
      <c r="G18" s="15">
        <f t="shared" si="2"/>
        <v>0</v>
      </c>
      <c r="H18" s="15">
        <f t="shared" si="3"/>
        <v>1.9800000000000004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46194.140082175902</v>
      </c>
      <c r="B19" s="7" t="s">
        <v>61</v>
      </c>
      <c r="C19" s="13">
        <v>0.14008101851851901</v>
      </c>
      <c r="D19" s="13" t="s">
        <v>62</v>
      </c>
      <c r="E19" s="13">
        <v>0.300532407407407</v>
      </c>
      <c r="F19" s="14">
        <f t="shared" si="1"/>
        <v>3.8508333333333118</v>
      </c>
      <c r="G19" s="15">
        <f t="shared" si="2"/>
        <v>0</v>
      </c>
      <c r="H19" s="15">
        <f t="shared" si="3"/>
        <v>3.8508333333333118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46196.509285648099</v>
      </c>
      <c r="B20" s="7" t="s">
        <v>64</v>
      </c>
      <c r="C20" s="13">
        <v>0.50928240740740705</v>
      </c>
      <c r="D20" s="13" t="s">
        <v>62</v>
      </c>
      <c r="E20" s="13">
        <v>0.63206018518518503</v>
      </c>
      <c r="F20" s="14">
        <f t="shared" si="1"/>
        <v>2.9466666666666717</v>
      </c>
      <c r="G20" s="15">
        <f t="shared" si="2"/>
        <v>2.9466666666666717</v>
      </c>
      <c r="H20" s="15">
        <f t="shared" si="3"/>
        <v>0</v>
      </c>
      <c r="I20" s="42" t="s">
        <v>81</v>
      </c>
      <c r="J20" s="65">
        <f>J16+J17+J18+J19</f>
        <v>65.830555555555577</v>
      </c>
      <c r="K20" s="66"/>
      <c r="L20" s="67"/>
      <c r="M20" s="43"/>
    </row>
    <row r="21" spans="1:13" ht="20.25" x14ac:dyDescent="0.25">
      <c r="A21" s="12">
        <f t="shared" ca="1" si="0"/>
        <v>46196.752533217601</v>
      </c>
      <c r="B21" s="7" t="s">
        <v>69</v>
      </c>
      <c r="C21" s="13">
        <v>0.75255787037037003</v>
      </c>
      <c r="D21" s="13" t="s">
        <v>62</v>
      </c>
      <c r="E21" s="13">
        <v>0.77071759259259298</v>
      </c>
      <c r="F21" s="14">
        <f t="shared" si="1"/>
        <v>0.43583333333335084</v>
      </c>
      <c r="G21" s="15">
        <f t="shared" si="2"/>
        <v>0.43583333333335084</v>
      </c>
      <c r="H21" s="15">
        <f t="shared" si="3"/>
        <v>0</v>
      </c>
      <c r="I21" s="44" t="s">
        <v>4</v>
      </c>
      <c r="J21" s="45">
        <f>SUM(J8:J9)</f>
        <v>5.9155555555555699</v>
      </c>
      <c r="K21" s="39">
        <f>SUM(K8:K9)</f>
        <v>5.9155555555555699</v>
      </c>
      <c r="L21" s="40">
        <f>SUM(L8:L9)</f>
        <v>0</v>
      </c>
      <c r="M21" s="46"/>
    </row>
    <row r="22" spans="1:13" ht="18.75" x14ac:dyDescent="0.15">
      <c r="A22" s="12">
        <f t="shared" ca="1" si="0"/>
        <v>46196.776619444398</v>
      </c>
      <c r="B22" s="7" t="s">
        <v>69</v>
      </c>
      <c r="C22" s="13">
        <v>0.77660879629629598</v>
      </c>
      <c r="D22" s="13" t="s">
        <v>62</v>
      </c>
      <c r="E22" s="13">
        <v>0.88171296296296298</v>
      </c>
      <c r="F22" s="14">
        <f t="shared" si="1"/>
        <v>2.522500000000008</v>
      </c>
      <c r="G22" s="15">
        <f t="shared" si="2"/>
        <v>2.522500000000008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46197.014751504597</v>
      </c>
      <c r="B23" s="7" t="s">
        <v>66</v>
      </c>
      <c r="C23" s="13">
        <v>1.49537037037037E-2</v>
      </c>
      <c r="D23" s="13" t="s">
        <v>62</v>
      </c>
      <c r="E23" s="13">
        <v>0.11829861111111099</v>
      </c>
      <c r="F23" s="14">
        <f t="shared" si="1"/>
        <v>2.4802777777777747</v>
      </c>
      <c r="G23" s="15">
        <f t="shared" si="2"/>
        <v>0</v>
      </c>
      <c r="H23" s="15">
        <f t="shared" si="3"/>
        <v>2.4802777777777747</v>
      </c>
      <c r="I23"/>
      <c r="J23"/>
    </row>
    <row r="24" spans="1:13" ht="18.75" x14ac:dyDescent="0.15">
      <c r="A24" s="12">
        <f t="shared" ca="1" si="0"/>
        <v>46197.4598608796</v>
      </c>
      <c r="B24" s="7" t="s">
        <v>64</v>
      </c>
      <c r="C24" s="13">
        <v>0.46013888888888899</v>
      </c>
      <c r="D24" s="13" t="s">
        <v>62</v>
      </c>
      <c r="E24" s="13">
        <v>0.54759259259259296</v>
      </c>
      <c r="F24" s="14">
        <f t="shared" si="1"/>
        <v>2.0988888888888955</v>
      </c>
      <c r="G24" s="15">
        <f t="shared" si="2"/>
        <v>2.0988888888888955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46197.626381134301</v>
      </c>
      <c r="B25" s="7" t="s">
        <v>69</v>
      </c>
      <c r="C25" s="13">
        <v>0.62637731481481496</v>
      </c>
      <c r="D25" s="13" t="s">
        <v>62</v>
      </c>
      <c r="E25" s="13">
        <v>0.75862268518518505</v>
      </c>
      <c r="F25" s="14">
        <f t="shared" si="1"/>
        <v>3.1738888888888823</v>
      </c>
      <c r="G25" s="15">
        <f t="shared" si="2"/>
        <v>3.1738888888888823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46197.834450000002</v>
      </c>
      <c r="B26" s="7" t="s">
        <v>64</v>
      </c>
      <c r="C26" s="13">
        <v>0.83444444444444399</v>
      </c>
      <c r="D26" s="13" t="s">
        <v>62</v>
      </c>
      <c r="E26" s="13">
        <v>0.95513888888888898</v>
      </c>
      <c r="F26" s="14">
        <f t="shared" si="1"/>
        <v>2.8966666666666798</v>
      </c>
      <c r="G26" s="15">
        <f t="shared" si="2"/>
        <v>2.8966666666666798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46198.300791087997</v>
      </c>
      <c r="B27" s="7" t="s">
        <v>69</v>
      </c>
      <c r="C27" s="13">
        <v>0.30078703703703702</v>
      </c>
      <c r="D27" s="13" t="s">
        <v>62</v>
      </c>
      <c r="E27" s="13">
        <v>0.36975694444444401</v>
      </c>
      <c r="F27" s="14">
        <f t="shared" si="1"/>
        <v>1.6552777777777679</v>
      </c>
      <c r="G27" s="15">
        <f t="shared" si="2"/>
        <v>0.87416666666666476</v>
      </c>
      <c r="H27" s="15">
        <f t="shared" si="3"/>
        <v>0.7811111111111031</v>
      </c>
      <c r="I27"/>
      <c r="J27"/>
    </row>
    <row r="28" spans="1:13" ht="18.75" x14ac:dyDescent="0.15">
      <c r="A28" s="12">
        <f t="shared" ca="1" si="0"/>
        <v>46200.377213425898</v>
      </c>
      <c r="B28" s="7" t="s">
        <v>84</v>
      </c>
      <c r="C28" s="13">
        <v>0.37721064814814798</v>
      </c>
      <c r="D28" s="13" t="s">
        <v>62</v>
      </c>
      <c r="E28" s="13">
        <v>0.50629629629629602</v>
      </c>
      <c r="F28" s="14">
        <f t="shared" si="1"/>
        <v>3.0980555555555531</v>
      </c>
      <c r="G28" s="15">
        <f t="shared" si="2"/>
        <v>3.0980555555555531</v>
      </c>
      <c r="H28" s="15">
        <f t="shared" si="3"/>
        <v>0</v>
      </c>
      <c r="I28"/>
      <c r="J28"/>
    </row>
    <row r="29" spans="1:13" ht="18.75" x14ac:dyDescent="0.15">
      <c r="A29" s="12">
        <f t="shared" ca="1" si="0"/>
        <v>46200.596765972201</v>
      </c>
      <c r="B29" s="7" t="s">
        <v>84</v>
      </c>
      <c r="C29" s="13">
        <v>0.59675925925925899</v>
      </c>
      <c r="D29" s="13" t="s">
        <v>62</v>
      </c>
      <c r="E29" s="13">
        <v>0.71415509259259302</v>
      </c>
      <c r="F29" s="14">
        <f t="shared" si="1"/>
        <v>2.8175000000000168</v>
      </c>
      <c r="G29" s="15">
        <f t="shared" si="2"/>
        <v>2.8175000000000168</v>
      </c>
      <c r="H29" s="15">
        <f t="shared" si="3"/>
        <v>0</v>
      </c>
      <c r="I29"/>
      <c r="J29"/>
    </row>
    <row r="30" spans="1:13" ht="18.75" x14ac:dyDescent="0.15">
      <c r="A30" s="12">
        <f t="shared" ca="1" si="0"/>
        <v>46201.015719675903</v>
      </c>
      <c r="B30" s="7" t="s">
        <v>66</v>
      </c>
      <c r="C30" s="13">
        <v>1.5717592592592599E-2</v>
      </c>
      <c r="D30" s="13" t="s">
        <v>62</v>
      </c>
      <c r="E30" s="13">
        <v>0.10318287037036999</v>
      </c>
      <c r="F30" s="14">
        <f t="shared" si="1"/>
        <v>2.0991666666666573</v>
      </c>
      <c r="G30" s="15">
        <f t="shared" si="2"/>
        <v>0</v>
      </c>
      <c r="H30" s="15">
        <f t="shared" si="3"/>
        <v>2.0991666666666573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2"/>
  <sheetViews>
    <sheetView zoomScale="85" zoomScaleNormal="85" workbookViewId="0">
      <selection activeCell="F25" sqref="F25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46174.015398611104</v>
      </c>
      <c r="B3" s="7" t="s">
        <v>69</v>
      </c>
      <c r="C3" s="13">
        <v>1.26157407407407E-2</v>
      </c>
      <c r="D3" s="13" t="s">
        <v>62</v>
      </c>
      <c r="E3" s="13">
        <v>9.9178240740740706E-2</v>
      </c>
      <c r="F3" s="14">
        <f t="shared" ref="F3:F42" si="1">(IF(E3-C3&lt;0,"24:00"-C3+E3,E3-C3))*24</f>
        <v>2.0775000000000001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2.0775000000000001</v>
      </c>
      <c r="I3" s="18" t="s">
        <v>63</v>
      </c>
      <c r="J3" s="19">
        <f>SUMIF(B:B,"带班主任",F:F)</f>
        <v>64.737222222222329</v>
      </c>
      <c r="K3" s="20">
        <f>SUMIF(B:B,"带班主任",G:G)</f>
        <v>40.986666666666814</v>
      </c>
      <c r="L3" s="20">
        <f>SUMIF(B:B,"带班主任",H:H)</f>
        <v>23.750555555555515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46176.501649652797</v>
      </c>
      <c r="B4" s="7" t="s">
        <v>61</v>
      </c>
      <c r="C4" s="13">
        <v>0.50164351851851896</v>
      </c>
      <c r="D4" s="13" t="s">
        <v>62</v>
      </c>
      <c r="E4" s="13">
        <v>0.63295138888888902</v>
      </c>
      <c r="F4" s="14">
        <f t="shared" si="1"/>
        <v>3.1513888888888815</v>
      </c>
      <c r="G4" s="15">
        <f t="shared" si="2"/>
        <v>3.1513888888888815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22.922222222222238</v>
      </c>
      <c r="K4" s="25">
        <f>SUMIF(B:B,"西塔台管制席",G:G)+SUMIF(B:B,"东塔台管制席",G:G)</f>
        <v>12.56444444444446</v>
      </c>
      <c r="L4" s="25">
        <f>SUMIF(B:B,"西塔台管制席",H:H)+SUMIF(B:B,"东塔台管制席",H:H)</f>
        <v>10.357777777777777</v>
      </c>
      <c r="M4" s="21"/>
    </row>
    <row r="5" spans="1:16" ht="18.75" x14ac:dyDescent="0.25">
      <c r="A5" s="12">
        <f t="shared" ca="1" si="0"/>
        <v>46176.757537037003</v>
      </c>
      <c r="B5" s="7" t="s">
        <v>66</v>
      </c>
      <c r="C5" s="13">
        <v>0.75753472222222196</v>
      </c>
      <c r="D5" s="13" t="s">
        <v>62</v>
      </c>
      <c r="E5" s="13">
        <v>0.85531250000000003</v>
      </c>
      <c r="F5" s="14">
        <f t="shared" si="1"/>
        <v>2.3466666666666738</v>
      </c>
      <c r="G5" s="15">
        <f t="shared" si="2"/>
        <v>2.3466666666666738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4.6716666666666642</v>
      </c>
      <c r="K5" s="25">
        <f>SUMIF(B:B,"西塔台协调席",G:G)+SUMIF(B:B,"东塔台协调席",G:G)</f>
        <v>2.3466666666666738</v>
      </c>
      <c r="L5" s="25">
        <f>SUMIF(B:B,"西塔台协调席",H:H)+SUMIF(B:B,"东塔台协调席",H:H)</f>
        <v>2.3249999999999904</v>
      </c>
      <c r="M5" s="21"/>
    </row>
    <row r="6" spans="1:16" ht="18.75" x14ac:dyDescent="0.25">
      <c r="A6" s="12">
        <f t="shared" ca="1" si="0"/>
        <v>46177.117257870399</v>
      </c>
      <c r="B6" s="7" t="s">
        <v>72</v>
      </c>
      <c r="C6" s="13">
        <v>0.117256944444444</v>
      </c>
      <c r="D6" s="13" t="s">
        <v>62</v>
      </c>
      <c r="E6" s="13">
        <v>0.29881944444444403</v>
      </c>
      <c r="F6" s="14">
        <f t="shared" si="1"/>
        <v>4.3574999999999999</v>
      </c>
      <c r="G6" s="15">
        <f t="shared" si="2"/>
        <v>0</v>
      </c>
      <c r="H6" s="15">
        <f t="shared" si="3"/>
        <v>4.3574999999999999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46177.793405324097</v>
      </c>
      <c r="B7" s="7" t="s">
        <v>61</v>
      </c>
      <c r="C7" s="13">
        <v>0.79342592592592598</v>
      </c>
      <c r="D7" s="13" t="s">
        <v>62</v>
      </c>
      <c r="E7" s="13">
        <v>0.96563657407407399</v>
      </c>
      <c r="F7" s="14">
        <f t="shared" si="1"/>
        <v>4.1330555555555524</v>
      </c>
      <c r="G7" s="15">
        <f t="shared" si="2"/>
        <v>4.1330555555555524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46178.300058333298</v>
      </c>
      <c r="B8" s="7" t="s">
        <v>72</v>
      </c>
      <c r="C8" s="13">
        <v>0.30005787037037002</v>
      </c>
      <c r="D8" s="13" t="s">
        <v>62</v>
      </c>
      <c r="E8" s="13">
        <v>0.36446759259259298</v>
      </c>
      <c r="F8" s="14">
        <f t="shared" si="1"/>
        <v>1.5458333333333512</v>
      </c>
      <c r="G8" s="15">
        <f t="shared" si="2"/>
        <v>0.74722222222224</v>
      </c>
      <c r="H8" s="15">
        <f t="shared" si="3"/>
        <v>0.79861111111111116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46180.937250000003</v>
      </c>
      <c r="B9" s="7" t="s">
        <v>72</v>
      </c>
      <c r="C9" s="13">
        <v>0.93724537037037003</v>
      </c>
      <c r="D9" s="13" t="s">
        <v>62</v>
      </c>
      <c r="E9" s="13">
        <v>0.138391203703704</v>
      </c>
      <c r="F9" s="14">
        <f t="shared" si="1"/>
        <v>4.8275000000000148</v>
      </c>
      <c r="G9" s="15">
        <f t="shared" si="2"/>
        <v>1.5061111111111187</v>
      </c>
      <c r="H9" s="15">
        <f t="shared" si="3"/>
        <v>3.3213888888888961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46181.6268122685</v>
      </c>
      <c r="B10" s="7" t="s">
        <v>69</v>
      </c>
      <c r="C10" s="13">
        <v>0.62680555555555595</v>
      </c>
      <c r="D10" s="13" t="s">
        <v>62</v>
      </c>
      <c r="E10" s="13">
        <v>0.71678240740740795</v>
      </c>
      <c r="F10" s="14">
        <f t="shared" si="1"/>
        <v>2.1594444444444481</v>
      </c>
      <c r="G10" s="15">
        <f t="shared" si="2"/>
        <v>2.1594444444444481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46181.793297106502</v>
      </c>
      <c r="B11" s="7" t="s">
        <v>69</v>
      </c>
      <c r="C11" s="13">
        <v>0.79328703703703696</v>
      </c>
      <c r="D11" s="13" t="s">
        <v>62</v>
      </c>
      <c r="E11" s="13">
        <v>0.88275462962963003</v>
      </c>
      <c r="F11" s="14">
        <f t="shared" si="1"/>
        <v>2.1472222222222337</v>
      </c>
      <c r="G11" s="15">
        <f t="shared" si="2"/>
        <v>2.1472222222222337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46182.132576620403</v>
      </c>
      <c r="B12" s="7" t="s">
        <v>72</v>
      </c>
      <c r="C12" s="13">
        <v>0.13256944444444399</v>
      </c>
      <c r="D12" s="13" t="s">
        <v>62</v>
      </c>
      <c r="E12" s="13">
        <v>0.29630787037036999</v>
      </c>
      <c r="F12" s="14">
        <f t="shared" si="1"/>
        <v>3.9297222222222237</v>
      </c>
      <c r="G12" s="15">
        <f t="shared" si="2"/>
        <v>0</v>
      </c>
      <c r="H12" s="15">
        <f t="shared" si="3"/>
        <v>3.9297222222222237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46185.015223148097</v>
      </c>
      <c r="B13" s="7" t="s">
        <v>66</v>
      </c>
      <c r="C13" s="13">
        <v>1.5219907407407401E-2</v>
      </c>
      <c r="D13" s="13" t="s">
        <v>62</v>
      </c>
      <c r="E13" s="13">
        <v>0.112094907407407</v>
      </c>
      <c r="F13" s="14">
        <f t="shared" si="1"/>
        <v>2.3249999999999904</v>
      </c>
      <c r="G13" s="15">
        <f t="shared" si="2"/>
        <v>0</v>
      </c>
      <c r="H13" s="15">
        <f t="shared" si="3"/>
        <v>2.3249999999999904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46185.112130671303</v>
      </c>
      <c r="B14" s="7" t="s">
        <v>69</v>
      </c>
      <c r="C14" s="13">
        <v>0.11212962962963</v>
      </c>
      <c r="D14" s="13" t="s">
        <v>62</v>
      </c>
      <c r="E14" s="13">
        <v>0.14704861111111101</v>
      </c>
      <c r="F14" s="14">
        <f t="shared" si="1"/>
        <v>0.83805555555554423</v>
      </c>
      <c r="G14" s="15">
        <f t="shared" si="2"/>
        <v>0</v>
      </c>
      <c r="H14" s="15">
        <f t="shared" si="3"/>
        <v>0.83805555555554423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46185.793457523097</v>
      </c>
      <c r="B15" s="7" t="s">
        <v>72</v>
      </c>
      <c r="C15" s="13">
        <v>0.79344907407407395</v>
      </c>
      <c r="D15" s="13" t="s">
        <v>62</v>
      </c>
      <c r="E15" s="13">
        <v>0.94651620370370404</v>
      </c>
      <c r="F15" s="14">
        <f t="shared" si="1"/>
        <v>3.6736111111111223</v>
      </c>
      <c r="G15" s="15">
        <f t="shared" si="2"/>
        <v>3.6736111111111223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46186.293705902797</v>
      </c>
      <c r="B16" s="7" t="s">
        <v>72</v>
      </c>
      <c r="C16" s="13">
        <v>0.29370370370370402</v>
      </c>
      <c r="D16" s="13" t="s">
        <v>62</v>
      </c>
      <c r="E16" s="13">
        <v>0.36214120370370401</v>
      </c>
      <c r="F16" s="14">
        <f t="shared" si="1"/>
        <v>1.6424999999999996</v>
      </c>
      <c r="G16" s="15">
        <f t="shared" si="2"/>
        <v>0.6913888888889046</v>
      </c>
      <c r="H16" s="15">
        <f t="shared" si="3"/>
        <v>0.95111111111109503</v>
      </c>
      <c r="I16" s="37" t="s">
        <v>63</v>
      </c>
      <c r="J16" s="38">
        <f t="shared" ref="J16:L16" si="4">J3</f>
        <v>64.737222222222329</v>
      </c>
      <c r="K16" s="39">
        <f t="shared" si="4"/>
        <v>40.986666666666814</v>
      </c>
      <c r="L16" s="40">
        <f t="shared" si="4"/>
        <v>23.750555555555515</v>
      </c>
      <c r="M16" s="41"/>
    </row>
    <row r="17" spans="1:13" ht="20.25" x14ac:dyDescent="0.25">
      <c r="A17" s="12">
        <f t="shared" ca="1" si="0"/>
        <v>46188.357795023097</v>
      </c>
      <c r="B17" s="7" t="s">
        <v>72</v>
      </c>
      <c r="C17" s="13">
        <v>0.35778935185185201</v>
      </c>
      <c r="D17" s="13" t="s">
        <v>62</v>
      </c>
      <c r="E17" s="13">
        <v>0.52945601851851898</v>
      </c>
      <c r="F17" s="14">
        <f t="shared" si="1"/>
        <v>4.1200000000000072</v>
      </c>
      <c r="G17" s="15">
        <f t="shared" si="2"/>
        <v>4.1200000000000072</v>
      </c>
      <c r="H17" s="15">
        <f t="shared" si="3"/>
        <v>0</v>
      </c>
      <c r="I17" s="37" t="s">
        <v>79</v>
      </c>
      <c r="J17" s="38">
        <f>J4+J5+J6+J7+J10</f>
        <v>27.593888888888902</v>
      </c>
      <c r="K17" s="39">
        <f>K4+K5+K6+K7+K10</f>
        <v>14.911111111111133</v>
      </c>
      <c r="L17" s="40">
        <f>L4+L5+L6+L7+L10</f>
        <v>12.682777777777767</v>
      </c>
      <c r="M17" s="41"/>
    </row>
    <row r="18" spans="1:13" ht="20.25" x14ac:dyDescent="0.25">
      <c r="A18" s="12">
        <f t="shared" ca="1" si="0"/>
        <v>46188.768516550903</v>
      </c>
      <c r="B18" s="7" t="s">
        <v>72</v>
      </c>
      <c r="C18" s="13">
        <v>0.76850694444444401</v>
      </c>
      <c r="D18" s="13" t="s">
        <v>62</v>
      </c>
      <c r="E18" s="13">
        <v>0.89690972222222198</v>
      </c>
      <c r="F18" s="14">
        <f t="shared" si="1"/>
        <v>3.0816666666666714</v>
      </c>
      <c r="G18" s="15">
        <f t="shared" si="2"/>
        <v>3.0816666666666714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46188.906694328703</v>
      </c>
      <c r="B19" s="7" t="s">
        <v>72</v>
      </c>
      <c r="C19" s="13">
        <v>0.90668981481481503</v>
      </c>
      <c r="D19" s="13" t="s">
        <v>62</v>
      </c>
      <c r="E19" s="13">
        <v>0.94444444444444497</v>
      </c>
      <c r="F19" s="14">
        <f t="shared" si="1"/>
        <v>0.90611111111111864</v>
      </c>
      <c r="G19" s="15">
        <f t="shared" si="2"/>
        <v>0.90611111111111864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46189.293179513901</v>
      </c>
      <c r="B20" s="7" t="s">
        <v>72</v>
      </c>
      <c r="C20" s="13">
        <v>0.29317129629629601</v>
      </c>
      <c r="D20" s="13" t="s">
        <v>62</v>
      </c>
      <c r="E20" s="13">
        <v>0.36519675925925899</v>
      </c>
      <c r="F20" s="14">
        <f t="shared" si="1"/>
        <v>1.7286111111111113</v>
      </c>
      <c r="G20" s="15">
        <f t="shared" si="2"/>
        <v>0.76472222222222408</v>
      </c>
      <c r="H20" s="15">
        <f t="shared" si="3"/>
        <v>0.96388888888888724</v>
      </c>
      <c r="I20" s="42" t="s">
        <v>81</v>
      </c>
      <c r="J20" s="65">
        <f>J16+J17+J18+J19</f>
        <v>92.331111111111227</v>
      </c>
      <c r="K20" s="66"/>
      <c r="L20" s="67"/>
      <c r="M20" s="43"/>
    </row>
    <row r="21" spans="1:13" ht="20.25" x14ac:dyDescent="0.25">
      <c r="A21" s="12">
        <f t="shared" ca="1" si="0"/>
        <v>46189.366802893499</v>
      </c>
      <c r="B21" s="7" t="s">
        <v>72</v>
      </c>
      <c r="C21" s="13">
        <v>0.36679398148148201</v>
      </c>
      <c r="D21" s="13" t="s">
        <v>62</v>
      </c>
      <c r="E21" s="13">
        <v>0.547106481481482</v>
      </c>
      <c r="F21" s="14">
        <f t="shared" si="1"/>
        <v>4.3274999999999997</v>
      </c>
      <c r="G21" s="15">
        <f t="shared" si="2"/>
        <v>4.3274999999999997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46189.939090161999</v>
      </c>
      <c r="B22" s="7" t="s">
        <v>72</v>
      </c>
      <c r="C22" s="13">
        <v>0.93908564814814799</v>
      </c>
      <c r="D22" s="13" t="s">
        <v>62</v>
      </c>
      <c r="E22" s="13">
        <v>0.14069444444444401</v>
      </c>
      <c r="F22" s="14">
        <f t="shared" si="1"/>
        <v>4.8386111111111045</v>
      </c>
      <c r="G22" s="15">
        <f t="shared" si="2"/>
        <v>1.4619444444444483</v>
      </c>
      <c r="H22" s="15">
        <f t="shared" si="3"/>
        <v>3.3766666666666563</v>
      </c>
      <c r="I22"/>
      <c r="J22"/>
    </row>
    <row r="23" spans="1:13" ht="18.75" x14ac:dyDescent="0.15">
      <c r="A23" s="12">
        <f t="shared" ca="1" si="0"/>
        <v>46192.536720486103</v>
      </c>
      <c r="B23" s="7" t="s">
        <v>72</v>
      </c>
      <c r="C23" s="13">
        <v>0.536712962962963</v>
      </c>
      <c r="D23" s="13" t="s">
        <v>62</v>
      </c>
      <c r="E23" s="13">
        <v>0.65500000000000003</v>
      </c>
      <c r="F23" s="14">
        <f t="shared" si="1"/>
        <v>2.8388888888888886</v>
      </c>
      <c r="G23" s="15">
        <f t="shared" si="2"/>
        <v>2.8388888888888886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46192.759271875002</v>
      </c>
      <c r="B24" s="7" t="s">
        <v>72</v>
      </c>
      <c r="C24" s="13">
        <v>0.75927083333333301</v>
      </c>
      <c r="D24" s="13" t="s">
        <v>62</v>
      </c>
      <c r="E24" s="13">
        <v>0.94447916666666698</v>
      </c>
      <c r="F24" s="14">
        <f t="shared" si="1"/>
        <v>4.4450000000000154</v>
      </c>
      <c r="G24" s="15">
        <f t="shared" si="2"/>
        <v>4.4450000000000154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46193.293328125001</v>
      </c>
      <c r="B25" s="7" t="s">
        <v>72</v>
      </c>
      <c r="C25" s="13">
        <v>0.29332175925925902</v>
      </c>
      <c r="D25" s="13" t="s">
        <v>62</v>
      </c>
      <c r="E25" s="13">
        <v>0.52876157407407398</v>
      </c>
      <c r="F25" s="14">
        <f t="shared" si="1"/>
        <v>5.6505555555555596</v>
      </c>
      <c r="G25" s="15">
        <f t="shared" si="2"/>
        <v>4.6902777777777844</v>
      </c>
      <c r="H25" s="15">
        <f t="shared" si="3"/>
        <v>0.96027777777777512</v>
      </c>
      <c r="I25"/>
      <c r="J25"/>
    </row>
    <row r="26" spans="1:13" ht="18.75" x14ac:dyDescent="0.15">
      <c r="A26" s="12">
        <f t="shared" ca="1" si="0"/>
        <v>46193.646642013897</v>
      </c>
      <c r="B26" s="7" t="s">
        <v>72</v>
      </c>
      <c r="C26" s="13">
        <v>0.64663194444444405</v>
      </c>
      <c r="D26" s="13" t="s">
        <v>62</v>
      </c>
      <c r="E26" s="13">
        <v>0.77699074074074104</v>
      </c>
      <c r="F26" s="14">
        <f t="shared" si="1"/>
        <v>3.1286111111111277</v>
      </c>
      <c r="G26" s="15">
        <f t="shared" si="2"/>
        <v>3.1286111111111277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46196.959445023102</v>
      </c>
      <c r="B27" s="7" t="s">
        <v>69</v>
      </c>
      <c r="C27" s="13">
        <v>0.95944444444444399</v>
      </c>
      <c r="D27" s="13" t="s">
        <v>62</v>
      </c>
      <c r="E27" s="13">
        <v>0.14431712962963</v>
      </c>
      <c r="F27" s="14">
        <f t="shared" si="1"/>
        <v>4.4369444444444639</v>
      </c>
      <c r="G27" s="15">
        <f t="shared" si="2"/>
        <v>0.97333333333334382</v>
      </c>
      <c r="H27" s="15">
        <f t="shared" si="3"/>
        <v>3.4636111111111201</v>
      </c>
      <c r="I27"/>
      <c r="J27"/>
    </row>
    <row r="28" spans="1:13" ht="18.75" x14ac:dyDescent="0.15">
      <c r="A28" s="12">
        <f t="shared" ca="1" si="0"/>
        <v>46197.784694675902</v>
      </c>
      <c r="B28" s="7" t="s">
        <v>72</v>
      </c>
      <c r="C28" s="13">
        <v>0.78468749999999998</v>
      </c>
      <c r="D28" s="13" t="s">
        <v>62</v>
      </c>
      <c r="E28" s="13">
        <v>0.79883101851851901</v>
      </c>
      <c r="F28" s="14">
        <f t="shared" si="1"/>
        <v>0.33944444444445665</v>
      </c>
      <c r="G28" s="15">
        <f t="shared" si="2"/>
        <v>0.33944444444445665</v>
      </c>
      <c r="H28" s="15">
        <f t="shared" si="3"/>
        <v>0</v>
      </c>
      <c r="I28"/>
      <c r="J28"/>
    </row>
    <row r="29" spans="1:13" ht="18.75" x14ac:dyDescent="0.15">
      <c r="A29" s="12">
        <f t="shared" ca="1" si="0"/>
        <v>46198.139983101799</v>
      </c>
      <c r="B29" s="7" t="s">
        <v>69</v>
      </c>
      <c r="C29" s="13">
        <v>0.13997685185185199</v>
      </c>
      <c r="D29" s="13" t="s">
        <v>62</v>
      </c>
      <c r="E29" s="13">
        <v>0.30575231481481502</v>
      </c>
      <c r="F29" s="14">
        <f t="shared" si="1"/>
        <v>3.9786111111111127</v>
      </c>
      <c r="G29" s="15">
        <f t="shared" si="2"/>
        <v>0</v>
      </c>
      <c r="H29" s="15">
        <f t="shared" si="3"/>
        <v>3.9786111111111127</v>
      </c>
      <c r="I29"/>
      <c r="J29"/>
    </row>
    <row r="30" spans="1:13" ht="18.75" x14ac:dyDescent="0.15">
      <c r="A30" s="12">
        <f t="shared" ca="1" si="0"/>
        <v>46201.131998032397</v>
      </c>
      <c r="B30" s="7" t="s">
        <v>72</v>
      </c>
      <c r="C30" s="13">
        <v>0.13199074074074099</v>
      </c>
      <c r="D30" s="13" t="s">
        <v>62</v>
      </c>
      <c r="E30" s="13">
        <v>0.30232638888888902</v>
      </c>
      <c r="F30" s="14">
        <f t="shared" si="1"/>
        <v>4.0880555555555524</v>
      </c>
      <c r="G30" s="15">
        <f t="shared" si="2"/>
        <v>0</v>
      </c>
      <c r="H30" s="15">
        <f t="shared" si="3"/>
        <v>4.0880555555555524</v>
      </c>
      <c r="I30"/>
      <c r="J30"/>
    </row>
    <row r="31" spans="1:13" ht="18.75" x14ac:dyDescent="0.15">
      <c r="A31" s="12">
        <f t="shared" ca="1" si="0"/>
        <v>46201.781712152799</v>
      </c>
      <c r="B31" s="7" t="s">
        <v>72</v>
      </c>
      <c r="C31" s="13">
        <v>0.78170138888888896</v>
      </c>
      <c r="D31" s="13" t="s">
        <v>62</v>
      </c>
      <c r="E31" s="13">
        <v>0.83866898148148195</v>
      </c>
      <c r="F31" s="14">
        <f t="shared" si="1"/>
        <v>1.3672222222222317</v>
      </c>
      <c r="G31" s="15">
        <f t="shared" si="2"/>
        <v>1.3672222222222317</v>
      </c>
      <c r="H31" s="15">
        <f t="shared" si="3"/>
        <v>0</v>
      </c>
      <c r="I31"/>
      <c r="J31"/>
    </row>
    <row r="32" spans="1:13" ht="18.75" x14ac:dyDescent="0.15">
      <c r="A32" s="12">
        <f t="shared" ca="1" si="0"/>
        <v>46201.849829050901</v>
      </c>
      <c r="B32" s="7" t="s">
        <v>72</v>
      </c>
      <c r="C32" s="13">
        <v>0.84982638888888895</v>
      </c>
      <c r="D32" s="13" t="s">
        <v>62</v>
      </c>
      <c r="E32" s="13">
        <v>0.94378472222222198</v>
      </c>
      <c r="F32" s="14">
        <f t="shared" si="1"/>
        <v>2.2549999999999928</v>
      </c>
      <c r="G32" s="15">
        <f t="shared" si="2"/>
        <v>2.2549999999999928</v>
      </c>
      <c r="H32" s="15">
        <f t="shared" si="3"/>
        <v>0</v>
      </c>
      <c r="I32"/>
      <c r="J32"/>
    </row>
    <row r="33" spans="1:11" ht="18.75" x14ac:dyDescent="0.15">
      <c r="A33" s="12">
        <f t="shared" ca="1" si="0"/>
        <v>46202.291532291703</v>
      </c>
      <c r="B33" s="7" t="s">
        <v>72</v>
      </c>
      <c r="C33" s="13">
        <v>0.291527777777778</v>
      </c>
      <c r="D33" s="13" t="s">
        <v>62</v>
      </c>
      <c r="E33" s="13">
        <v>0.36008101851851898</v>
      </c>
      <c r="F33" s="14">
        <f t="shared" si="1"/>
        <v>1.6452777777777836</v>
      </c>
      <c r="G33" s="15">
        <f t="shared" si="2"/>
        <v>0.64194444444446397</v>
      </c>
      <c r="H33" s="15">
        <f t="shared" si="3"/>
        <v>1.0033333333333196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85" zoomScaleNormal="85" workbookViewId="0">
      <selection activeCell="O19" sqref="O19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46174.014013425898</v>
      </c>
      <c r="B3" s="7" t="s">
        <v>66</v>
      </c>
      <c r="C3" s="13">
        <v>0</v>
      </c>
      <c r="D3" s="13" t="s">
        <v>62</v>
      </c>
      <c r="E3" s="13">
        <v>0.112118055555556</v>
      </c>
      <c r="F3" s="14">
        <f t="shared" ref="F3:F42" si="1">(IF(E3-C3&lt;0,"24:00"-C3+E3,E3-C3))*24</f>
        <v>2.6908333333333441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2.6908333333333441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46177.134202314803</v>
      </c>
      <c r="B4" s="7" t="s">
        <v>83</v>
      </c>
      <c r="C4" s="13">
        <v>0.133506944444444</v>
      </c>
      <c r="D4" s="13" t="s">
        <v>62</v>
      </c>
      <c r="E4" s="13">
        <v>0.22660879629629599</v>
      </c>
      <c r="F4" s="14">
        <f t="shared" si="1"/>
        <v>2.2344444444444478</v>
      </c>
      <c r="G4" s="15">
        <f t="shared" si="2"/>
        <v>0</v>
      </c>
      <c r="H4" s="15">
        <f t="shared" si="3"/>
        <v>2.2344444444444478</v>
      </c>
      <c r="I4" s="23" t="s">
        <v>65</v>
      </c>
      <c r="J4" s="24">
        <f>SUMIF(B:B,"西塔台管制席",F:F)+SUMIF(B:B,"东塔台管制席",F:F)</f>
        <v>29.662777777777791</v>
      </c>
      <c r="K4" s="25">
        <f>SUMIF(B:B,"西塔台管制席",G:G)+SUMIF(B:B,"东塔台管制席",G:G)</f>
        <v>15.675833333333353</v>
      </c>
      <c r="L4" s="25">
        <f>SUMIF(B:B,"西塔台管制席",H:H)+SUMIF(B:B,"东塔台管制席",H:H)</f>
        <v>13.98694444444444</v>
      </c>
      <c r="M4" s="21"/>
    </row>
    <row r="5" spans="1:16" ht="18.75" x14ac:dyDescent="0.25">
      <c r="A5" s="12">
        <f t="shared" ca="1" si="0"/>
        <v>46178.140192592597</v>
      </c>
      <c r="B5" s="7" t="s">
        <v>61</v>
      </c>
      <c r="C5" s="13">
        <v>0.140185185185185</v>
      </c>
      <c r="D5" s="13" t="s">
        <v>62</v>
      </c>
      <c r="E5" s="13">
        <v>0.27148148148148099</v>
      </c>
      <c r="F5" s="14">
        <f t="shared" si="1"/>
        <v>3.1511111111111036</v>
      </c>
      <c r="G5" s="15">
        <f t="shared" si="2"/>
        <v>0</v>
      </c>
      <c r="H5" s="15">
        <f t="shared" si="3"/>
        <v>3.1511111111111036</v>
      </c>
      <c r="I5" s="23" t="s">
        <v>67</v>
      </c>
      <c r="J5" s="24">
        <f>SUMIF(B:B,"西塔台协调席",F:F)+SUMIF(B:B,"东塔台协调席",F:F)</f>
        <v>24.356111111111122</v>
      </c>
      <c r="K5" s="25">
        <f>SUMIF(B:B,"西塔台协调席",G:G)+SUMIF(B:B,"东塔台协调席",G:G)</f>
        <v>15.738888888888912</v>
      </c>
      <c r="L5" s="25">
        <f>SUMIF(B:B,"西塔台协调席",H:H)+SUMIF(B:B,"东塔台协调席",H:H)</f>
        <v>8.6172222222222103</v>
      </c>
      <c r="M5" s="21"/>
    </row>
    <row r="6" spans="1:16" ht="18.75" x14ac:dyDescent="0.25">
      <c r="A6" s="12">
        <f t="shared" ca="1" si="0"/>
        <v>46178.271516782399</v>
      </c>
      <c r="B6" s="7" t="s">
        <v>64</v>
      </c>
      <c r="C6" s="13">
        <v>0.271516203703704</v>
      </c>
      <c r="D6" s="13" t="s">
        <v>62</v>
      </c>
      <c r="E6" s="13">
        <v>0.30489583333333298</v>
      </c>
      <c r="F6" s="14">
        <f t="shared" si="1"/>
        <v>0.80111111111109556</v>
      </c>
      <c r="G6" s="15">
        <f t="shared" si="2"/>
        <v>0</v>
      </c>
      <c r="H6" s="15">
        <f t="shared" si="3"/>
        <v>0.80111111111109556</v>
      </c>
      <c r="I6" s="23" t="s">
        <v>68</v>
      </c>
      <c r="J6" s="24">
        <f>SUMIF(B:B,"放行席",F:F)</f>
        <v>6.5652777777777596</v>
      </c>
      <c r="K6" s="25">
        <f>SUMIF(B:B,"放行席",G:G)</f>
        <v>0</v>
      </c>
      <c r="L6" s="25">
        <f>SUMIF(B:B,"放行席",H:H)</f>
        <v>6.5652777777777596</v>
      </c>
      <c r="M6" s="21"/>
    </row>
    <row r="7" spans="1:16" ht="18.75" x14ac:dyDescent="0.25">
      <c r="A7" s="12">
        <f t="shared" ca="1" si="0"/>
        <v>46180.501887847196</v>
      </c>
      <c r="B7" s="7" t="s">
        <v>61</v>
      </c>
      <c r="C7" s="13">
        <v>0.501886574074074</v>
      </c>
      <c r="D7" s="13" t="s">
        <v>62</v>
      </c>
      <c r="E7" s="13">
        <v>0.63474537037037004</v>
      </c>
      <c r="F7" s="14">
        <f t="shared" si="1"/>
        <v>3.1886111111111051</v>
      </c>
      <c r="G7" s="15">
        <f t="shared" si="2"/>
        <v>3.1886111111111051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46180.751349305603</v>
      </c>
      <c r="B8" s="7" t="s">
        <v>66</v>
      </c>
      <c r="C8" s="13">
        <v>0.75134259259259295</v>
      </c>
      <c r="D8" s="13" t="s">
        <v>62</v>
      </c>
      <c r="E8" s="13">
        <v>0.88149305555555602</v>
      </c>
      <c r="F8" s="14">
        <f t="shared" si="1"/>
        <v>3.1236111111111136</v>
      </c>
      <c r="G8" s="15">
        <f t="shared" si="2"/>
        <v>3.1236111111111136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46181.417095254597</v>
      </c>
      <c r="B9" s="7" t="s">
        <v>69</v>
      </c>
      <c r="C9" s="13">
        <v>0.41709490740740701</v>
      </c>
      <c r="D9" s="13" t="s">
        <v>62</v>
      </c>
      <c r="E9" s="13">
        <v>0.50603009259259302</v>
      </c>
      <c r="F9" s="14">
        <f t="shared" si="1"/>
        <v>2.1344444444444641</v>
      </c>
      <c r="G9" s="15">
        <f t="shared" si="2"/>
        <v>2.1344444444444641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46181.626563888902</v>
      </c>
      <c r="B10" s="7" t="s">
        <v>64</v>
      </c>
      <c r="C10" s="13">
        <v>0.62656250000000002</v>
      </c>
      <c r="D10" s="13" t="s">
        <v>62</v>
      </c>
      <c r="E10" s="13">
        <v>0.75622685185185201</v>
      </c>
      <c r="F10" s="14">
        <f t="shared" si="1"/>
        <v>3.1119444444444477</v>
      </c>
      <c r="G10" s="15">
        <f t="shared" si="2"/>
        <v>3.1119444444444477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46181.833767129603</v>
      </c>
      <c r="B11" s="7" t="s">
        <v>64</v>
      </c>
      <c r="C11" s="13">
        <v>0.83376157407407403</v>
      </c>
      <c r="D11" s="13" t="s">
        <v>62</v>
      </c>
      <c r="E11" s="13">
        <v>0.96248842592592598</v>
      </c>
      <c r="F11" s="14">
        <f t="shared" si="1"/>
        <v>3.0894444444444469</v>
      </c>
      <c r="G11" s="15">
        <f t="shared" si="2"/>
        <v>3.0894444444444469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46182.299269675903</v>
      </c>
      <c r="B12" s="7" t="s">
        <v>61</v>
      </c>
      <c r="C12" s="13">
        <v>0.299259259259259</v>
      </c>
      <c r="D12" s="13" t="s">
        <v>62</v>
      </c>
      <c r="E12" s="13">
        <v>0.36232638888888902</v>
      </c>
      <c r="F12" s="14">
        <f t="shared" si="1"/>
        <v>1.5136111111111203</v>
      </c>
      <c r="G12" s="15">
        <f t="shared" si="2"/>
        <v>0.69583333333334485</v>
      </c>
      <c r="H12" s="15">
        <f t="shared" si="3"/>
        <v>0.81777777777777549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46185.015055555603</v>
      </c>
      <c r="B13" s="7" t="s">
        <v>61</v>
      </c>
      <c r="C13" s="13">
        <v>1.5046296296296301E-2</v>
      </c>
      <c r="D13" s="13" t="s">
        <v>62</v>
      </c>
      <c r="E13" s="13">
        <v>0.145208333333333</v>
      </c>
      <c r="F13" s="14">
        <f t="shared" si="1"/>
        <v>3.1238888888888807</v>
      </c>
      <c r="G13" s="15">
        <f t="shared" si="2"/>
        <v>0</v>
      </c>
      <c r="H13" s="15">
        <f t="shared" si="3"/>
        <v>3.1238888888888807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46186.015565509297</v>
      </c>
      <c r="B14" s="7" t="s">
        <v>66</v>
      </c>
      <c r="C14" s="13">
        <v>1.55555555555556E-2</v>
      </c>
      <c r="D14" s="13" t="s">
        <v>62</v>
      </c>
      <c r="E14" s="13">
        <v>0.11151620370370401</v>
      </c>
      <c r="F14" s="14">
        <f t="shared" si="1"/>
        <v>2.3030555555555616</v>
      </c>
      <c r="G14" s="15">
        <f t="shared" si="2"/>
        <v>0</v>
      </c>
      <c r="H14" s="15">
        <f t="shared" si="3"/>
        <v>2.3030555555555616</v>
      </c>
      <c r="I14" s="69"/>
      <c r="J14" s="69"/>
      <c r="K14" s="69"/>
      <c r="L14" s="69"/>
      <c r="M14" s="69"/>
    </row>
    <row r="15" spans="1:16" ht="20.25" x14ac:dyDescent="0.25">
      <c r="A15" s="12">
        <f t="shared" ca="1" si="0"/>
        <v>46186.111588310203</v>
      </c>
      <c r="B15" s="7" t="s">
        <v>69</v>
      </c>
      <c r="C15" s="13">
        <v>0.111585648148148</v>
      </c>
      <c r="D15" s="13" t="s">
        <v>62</v>
      </c>
      <c r="E15" s="13">
        <v>0.144722222222222</v>
      </c>
      <c r="F15" s="14">
        <f t="shared" si="1"/>
        <v>0.79527777777777597</v>
      </c>
      <c r="G15" s="15">
        <f t="shared" si="2"/>
        <v>0</v>
      </c>
      <c r="H15" s="15">
        <f t="shared" si="3"/>
        <v>0.79527777777777597</v>
      </c>
      <c r="I15" s="37" t="s">
        <v>63</v>
      </c>
      <c r="J15" s="38">
        <f>J3</f>
        <v>0</v>
      </c>
      <c r="K15" s="39">
        <f>K3</f>
        <v>0</v>
      </c>
      <c r="L15" s="40">
        <f>L3</f>
        <v>0</v>
      </c>
      <c r="M15" s="41"/>
    </row>
    <row r="16" spans="1:16" ht="20.25" x14ac:dyDescent="0.25">
      <c r="A16" s="12">
        <f t="shared" ca="1" si="0"/>
        <v>46189.139642824099</v>
      </c>
      <c r="B16" s="7" t="s">
        <v>69</v>
      </c>
      <c r="C16" s="13">
        <v>0.139641203703704</v>
      </c>
      <c r="D16" s="13" t="s">
        <v>62</v>
      </c>
      <c r="E16" s="13">
        <v>0.23026620370370399</v>
      </c>
      <c r="F16" s="14">
        <f t="shared" si="1"/>
        <v>2.1749999999999998</v>
      </c>
      <c r="G16" s="15">
        <f t="shared" si="2"/>
        <v>0</v>
      </c>
      <c r="H16" s="15">
        <f t="shared" si="3"/>
        <v>2.1749999999999998</v>
      </c>
      <c r="I16" s="37" t="s">
        <v>79</v>
      </c>
      <c r="J16" s="38">
        <f>J4+J5+J6+J7+J10</f>
        <v>60.584166666666668</v>
      </c>
      <c r="K16" s="39">
        <f>K4+K5+K6+K7+K10</f>
        <v>31.414722222222267</v>
      </c>
      <c r="L16" s="40">
        <f>L4+L5+L6+L7+L10</f>
        <v>29.169444444444409</v>
      </c>
      <c r="M16" s="41"/>
    </row>
    <row r="17" spans="1:13" ht="20.25" x14ac:dyDescent="0.25">
      <c r="A17" s="12">
        <f t="shared" ca="1" si="0"/>
        <v>46189.230301967596</v>
      </c>
      <c r="B17" s="7" t="s">
        <v>66</v>
      </c>
      <c r="C17" s="13">
        <v>0.23030092592592599</v>
      </c>
      <c r="D17" s="13" t="s">
        <v>62</v>
      </c>
      <c r="E17" s="13">
        <v>0.31495370370370401</v>
      </c>
      <c r="F17" s="14">
        <f t="shared" si="1"/>
        <v>2.0316666666666725</v>
      </c>
      <c r="G17" s="15">
        <f t="shared" si="2"/>
        <v>0</v>
      </c>
      <c r="H17" s="15">
        <f t="shared" si="3"/>
        <v>2.0316666666666725</v>
      </c>
      <c r="I17" s="37" t="s">
        <v>75</v>
      </c>
      <c r="J17" s="38">
        <f t="shared" ref="J17:L18" si="4">J11</f>
        <v>0</v>
      </c>
      <c r="K17" s="39">
        <f t="shared" si="4"/>
        <v>0</v>
      </c>
      <c r="L17" s="40">
        <f t="shared" si="4"/>
        <v>0</v>
      </c>
      <c r="M17" s="41"/>
    </row>
    <row r="18" spans="1:13" ht="20.25" x14ac:dyDescent="0.25">
      <c r="A18" s="12">
        <f t="shared" ca="1" si="0"/>
        <v>46190.133566203702</v>
      </c>
      <c r="B18" s="7" t="s">
        <v>83</v>
      </c>
      <c r="C18" s="13">
        <v>0.133564814814815</v>
      </c>
      <c r="D18" s="13" t="s">
        <v>62</v>
      </c>
      <c r="E18" s="13">
        <v>0.22707175925925899</v>
      </c>
      <c r="F18" s="14">
        <f t="shared" si="1"/>
        <v>2.244166666666656</v>
      </c>
      <c r="G18" s="15">
        <f t="shared" si="2"/>
        <v>0</v>
      </c>
      <c r="H18" s="15">
        <f t="shared" si="3"/>
        <v>2.244166666666656</v>
      </c>
      <c r="I18" s="37" t="s">
        <v>80</v>
      </c>
      <c r="J18" s="38">
        <f t="shared" si="4"/>
        <v>0</v>
      </c>
      <c r="K18" s="39">
        <f t="shared" si="4"/>
        <v>0</v>
      </c>
      <c r="L18" s="40">
        <f t="shared" si="4"/>
        <v>0</v>
      </c>
      <c r="M18" s="41"/>
    </row>
    <row r="19" spans="1:13" ht="20.25" x14ac:dyDescent="0.15">
      <c r="A19" s="12">
        <f t="shared" ca="1" si="0"/>
        <v>46192.356714814799</v>
      </c>
      <c r="B19" s="7" t="s">
        <v>64</v>
      </c>
      <c r="C19" s="13">
        <v>0.35671296296296301</v>
      </c>
      <c r="D19" s="13" t="s">
        <v>62</v>
      </c>
      <c r="E19" s="13">
        <v>0.51334490740740701</v>
      </c>
      <c r="F19" s="14">
        <f t="shared" si="1"/>
        <v>3.7591666666666561</v>
      </c>
      <c r="G19" s="15">
        <f t="shared" si="2"/>
        <v>3.7591666666666561</v>
      </c>
      <c r="H19" s="15">
        <f t="shared" si="3"/>
        <v>0</v>
      </c>
      <c r="I19" s="42" t="s">
        <v>81</v>
      </c>
      <c r="J19" s="65">
        <f>J15+J16+J17+J18</f>
        <v>60.584166666666668</v>
      </c>
      <c r="K19" s="66"/>
      <c r="L19" s="67"/>
      <c r="M19" s="43"/>
    </row>
    <row r="20" spans="1:13" ht="20.25" x14ac:dyDescent="0.25">
      <c r="A20" s="12">
        <f t="shared" ca="1" si="0"/>
        <v>46192.626477546299</v>
      </c>
      <c r="B20" s="7" t="s">
        <v>69</v>
      </c>
      <c r="C20" s="13">
        <v>0.62646990740740705</v>
      </c>
      <c r="D20" s="13" t="s">
        <v>62</v>
      </c>
      <c r="E20" s="13">
        <v>0.75855324074074104</v>
      </c>
      <c r="F20" s="14">
        <f t="shared" si="1"/>
        <v>3.1700000000000159</v>
      </c>
      <c r="G20" s="15">
        <f t="shared" si="2"/>
        <v>3.1700000000000159</v>
      </c>
      <c r="H20" s="15">
        <f t="shared" si="3"/>
        <v>0</v>
      </c>
      <c r="I20" s="44" t="s">
        <v>4</v>
      </c>
      <c r="J20" s="45">
        <f>SUM(J8:J9)</f>
        <v>0</v>
      </c>
      <c r="K20" s="39">
        <f>SUM(K8:K9)</f>
        <v>0</v>
      </c>
      <c r="L20" s="40">
        <f>SUM(L8:L9)</f>
        <v>0</v>
      </c>
      <c r="M20" s="46"/>
    </row>
    <row r="21" spans="1:13" ht="18.75" x14ac:dyDescent="0.15">
      <c r="A21" s="12">
        <f t="shared" ca="1" si="0"/>
        <v>46192.8758640046</v>
      </c>
      <c r="B21" s="7" t="s">
        <v>69</v>
      </c>
      <c r="C21" s="13">
        <v>0.87585648148148199</v>
      </c>
      <c r="D21" s="13" t="s">
        <v>62</v>
      </c>
      <c r="E21" s="13">
        <v>0.95629629629629598</v>
      </c>
      <c r="F21" s="14">
        <f t="shared" si="1"/>
        <v>1.9305555555555358</v>
      </c>
      <c r="G21" s="15">
        <f t="shared" si="2"/>
        <v>1.9305555555555358</v>
      </c>
      <c r="H21" s="15">
        <f t="shared" si="3"/>
        <v>0</v>
      </c>
      <c r="I21"/>
      <c r="J21"/>
    </row>
    <row r="22" spans="1:13" ht="18.75" x14ac:dyDescent="0.15">
      <c r="A22" s="12">
        <f t="shared" ca="1" si="0"/>
        <v>46193.300403472203</v>
      </c>
      <c r="B22" s="7" t="s">
        <v>66</v>
      </c>
      <c r="C22" s="13">
        <v>0.30039351851851898</v>
      </c>
      <c r="D22" s="13" t="s">
        <v>62</v>
      </c>
      <c r="E22" s="13">
        <v>0.35619212962962998</v>
      </c>
      <c r="F22" s="14">
        <f t="shared" si="1"/>
        <v>1.3391666666666642</v>
      </c>
      <c r="G22" s="15">
        <f t="shared" si="2"/>
        <v>0.54861111111112804</v>
      </c>
      <c r="H22" s="15">
        <f t="shared" si="3"/>
        <v>0.79055555555553614</v>
      </c>
      <c r="I22"/>
      <c r="J22"/>
    </row>
    <row r="23" spans="1:13" ht="18.75" x14ac:dyDescent="0.15">
      <c r="A23" s="12">
        <f t="shared" ca="1" si="0"/>
        <v>46193.356222800903</v>
      </c>
      <c r="B23" s="7" t="s">
        <v>69</v>
      </c>
      <c r="C23" s="13">
        <v>0.35621527777777801</v>
      </c>
      <c r="D23" s="13" t="s">
        <v>62</v>
      </c>
      <c r="E23" s="13">
        <v>0.4634375</v>
      </c>
      <c r="F23" s="14">
        <f t="shared" si="1"/>
        <v>2.5733333333333279</v>
      </c>
      <c r="G23" s="15">
        <f t="shared" si="2"/>
        <v>2.5733333333333279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46193.543296411997</v>
      </c>
      <c r="B24" s="7" t="s">
        <v>64</v>
      </c>
      <c r="C24" s="13">
        <v>0.54328703703703696</v>
      </c>
      <c r="D24" s="13" t="s">
        <v>62</v>
      </c>
      <c r="E24" s="13">
        <v>0.63104166666666694</v>
      </c>
      <c r="F24" s="14">
        <f t="shared" si="1"/>
        <v>2.1061111111111197</v>
      </c>
      <c r="G24" s="15">
        <f t="shared" si="2"/>
        <v>2.1061111111111197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46193.757683449097</v>
      </c>
      <c r="B25" s="7" t="s">
        <v>69</v>
      </c>
      <c r="C25" s="13">
        <v>0.75767361111111098</v>
      </c>
      <c r="D25" s="13" t="s">
        <v>62</v>
      </c>
      <c r="E25" s="13">
        <v>0.84030092592592598</v>
      </c>
      <c r="F25" s="14">
        <f t="shared" si="1"/>
        <v>1.98305555555556</v>
      </c>
      <c r="G25" s="15">
        <f t="shared" si="2"/>
        <v>1.98305555555556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46201.218010069402</v>
      </c>
      <c r="B26" s="7" t="s">
        <v>83</v>
      </c>
      <c r="C26" s="13">
        <v>0.13120370370370399</v>
      </c>
      <c r="D26" s="13" t="s">
        <v>62</v>
      </c>
      <c r="E26" s="13">
        <v>0.21814814814814801</v>
      </c>
      <c r="F26" s="14">
        <f t="shared" si="1"/>
        <v>2.0866666666666562</v>
      </c>
      <c r="G26" s="15">
        <f t="shared" si="2"/>
        <v>0</v>
      </c>
      <c r="H26" s="15">
        <f t="shared" si="3"/>
        <v>2.0866666666666562</v>
      </c>
      <c r="I26"/>
      <c r="J26"/>
    </row>
    <row r="27" spans="1:13" ht="18.75" x14ac:dyDescent="0.15">
      <c r="A27" s="12">
        <f t="shared" ca="1" si="0"/>
        <v>46202.141632407402</v>
      </c>
      <c r="B27" s="7" t="s">
        <v>69</v>
      </c>
      <c r="C27" s="13">
        <v>0.14163194444444399</v>
      </c>
      <c r="D27" s="13" t="s">
        <v>62</v>
      </c>
      <c r="E27" s="13">
        <v>0.30512731481481498</v>
      </c>
      <c r="F27" s="14">
        <f t="shared" si="1"/>
        <v>3.9238888888889036</v>
      </c>
      <c r="G27" s="15">
        <f t="shared" si="2"/>
        <v>0</v>
      </c>
      <c r="H27" s="15">
        <f t="shared" si="3"/>
        <v>3.9238888888889036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 s="47"/>
      <c r="J37" s="48"/>
      <c r="K37" s="13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19:L19"/>
    <mergeCell ref="I13:M14"/>
  </mergeCells>
  <phoneticPr fontId="17" type="noConversion"/>
  <dataValidations count="3">
    <dataValidation type="list" allowBlank="1" showInputMessage="1" showErrorMessage="1" sqref="K37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2"/>
  <sheetViews>
    <sheetView topLeftCell="A7" zoomScale="85" zoomScaleNormal="85" workbookViewId="0">
      <selection activeCell="D26" sqref="D26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46174.2983559028</v>
      </c>
      <c r="B3" s="7" t="s">
        <v>66</v>
      </c>
      <c r="C3" s="13">
        <v>0.29834490740740699</v>
      </c>
      <c r="D3" s="13" t="s">
        <v>62</v>
      </c>
      <c r="E3" s="13">
        <v>0.36048611111111101</v>
      </c>
      <c r="F3" s="14">
        <f t="shared" ref="F3:F42" si="1">(IF(E3-C3&lt;0,"24:00"-C3+E3,E3-C3))*24</f>
        <v>1.4913888888888964</v>
      </c>
      <c r="G3" s="15">
        <f t="shared" ref="G3:G42" si="2">F3-H3</f>
        <v>0.65166666666667261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0.83972222222222381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46182.1378982639</v>
      </c>
      <c r="B4" s="7" t="s">
        <v>69</v>
      </c>
      <c r="C4" s="13">
        <v>0.137893518518519</v>
      </c>
      <c r="D4" s="13" t="s">
        <v>62</v>
      </c>
      <c r="E4" s="13">
        <v>0.250497685185185</v>
      </c>
      <c r="F4" s="14">
        <f t="shared" si="1"/>
        <v>2.7024999999999841</v>
      </c>
      <c r="G4" s="15">
        <f t="shared" si="2"/>
        <v>0</v>
      </c>
      <c r="H4" s="15">
        <f t="shared" si="3"/>
        <v>2.7024999999999841</v>
      </c>
      <c r="I4" s="23" t="s">
        <v>65</v>
      </c>
      <c r="J4" s="24">
        <f>SUMIF(B:B,"西塔台管制席",F:F)+SUMIF(B:B,"东塔台管制席",F:F)</f>
        <v>23.38111111111111</v>
      </c>
      <c r="K4" s="25">
        <f>SUMIF(B:B,"西塔台管制席",G:G)+SUMIF(B:B,"东塔台管制席",G:G)</f>
        <v>14.775000000000023</v>
      </c>
      <c r="L4" s="25">
        <f>SUMIF(B:B,"西塔台管制席",H:H)+SUMIF(B:B,"东塔台管制席",H:H)</f>
        <v>8.6061111111110868</v>
      </c>
      <c r="M4" s="21"/>
    </row>
    <row r="5" spans="1:16" ht="18.75" x14ac:dyDescent="0.25">
      <c r="A5" s="12">
        <f t="shared" ca="1" si="0"/>
        <v>46182.250531597201</v>
      </c>
      <c r="B5" s="7" t="s">
        <v>66</v>
      </c>
      <c r="C5" s="13">
        <v>0.25052083333333303</v>
      </c>
      <c r="D5" s="13" t="s">
        <v>62</v>
      </c>
      <c r="E5" s="13">
        <v>0.30519675925925899</v>
      </c>
      <c r="F5" s="14">
        <f t="shared" si="1"/>
        <v>1.3122222222222231</v>
      </c>
      <c r="G5" s="15">
        <f t="shared" si="2"/>
        <v>0</v>
      </c>
      <c r="H5" s="15">
        <f t="shared" si="3"/>
        <v>1.3122222222222231</v>
      </c>
      <c r="I5" s="23" t="s">
        <v>67</v>
      </c>
      <c r="J5" s="24">
        <f>SUMIF(B:B,"西塔台协调席",F:F)+SUMIF(B:B,"东塔台协调席",F:F)</f>
        <v>30.931388888888936</v>
      </c>
      <c r="K5" s="25">
        <f>SUMIF(B:B,"西塔台协调席",G:G)+SUMIF(B:B,"东塔台协调席",G:G)</f>
        <v>18.600000000000048</v>
      </c>
      <c r="L5" s="25">
        <f>SUMIF(B:B,"西塔台协调席",H:H)+SUMIF(B:B,"东塔台协调席",H:H)</f>
        <v>12.331388888888887</v>
      </c>
      <c r="M5" s="21"/>
    </row>
    <row r="6" spans="1:16" ht="18.75" x14ac:dyDescent="0.25">
      <c r="A6" s="12">
        <f t="shared" ca="1" si="0"/>
        <v>46184.356773032399</v>
      </c>
      <c r="B6" s="7" t="s">
        <v>64</v>
      </c>
      <c r="C6" s="13">
        <v>0.35677083333333298</v>
      </c>
      <c r="D6" s="13" t="s">
        <v>62</v>
      </c>
      <c r="E6" s="13">
        <v>0.50682870370370403</v>
      </c>
      <c r="F6" s="14">
        <f t="shared" si="1"/>
        <v>3.6013888888889052</v>
      </c>
      <c r="G6" s="15">
        <f t="shared" si="2"/>
        <v>3.6013888888889052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46184.625636226898</v>
      </c>
      <c r="B7" s="7" t="s">
        <v>69</v>
      </c>
      <c r="C7" s="13">
        <v>0.62563657407407403</v>
      </c>
      <c r="D7" s="13" t="s">
        <v>62</v>
      </c>
      <c r="E7" s="13">
        <v>0.737685185185185</v>
      </c>
      <c r="F7" s="14">
        <f t="shared" si="1"/>
        <v>2.6891666666666634</v>
      </c>
      <c r="G7" s="15">
        <f t="shared" si="2"/>
        <v>2.6891666666666634</v>
      </c>
      <c r="H7" s="15">
        <f t="shared" si="3"/>
        <v>0</v>
      </c>
      <c r="I7" s="23" t="s">
        <v>70</v>
      </c>
      <c r="J7" s="24">
        <f>SUMIF(B:B,"地面席",F:F)</f>
        <v>1.9397222222222159</v>
      </c>
      <c r="K7" s="25">
        <f>SUMIF(B:B,"地面席",G:G)</f>
        <v>0</v>
      </c>
      <c r="L7" s="25">
        <f>SUMIF(B:B,"地面席",H:H)</f>
        <v>1.9397222222222159</v>
      </c>
      <c r="M7" s="21"/>
    </row>
    <row r="8" spans="1:16" ht="18.75" x14ac:dyDescent="0.25">
      <c r="A8" s="12">
        <f t="shared" ca="1" si="0"/>
        <v>46184.875526041702</v>
      </c>
      <c r="B8" s="7" t="s">
        <v>64</v>
      </c>
      <c r="C8" s="13">
        <v>0.87552083333333297</v>
      </c>
      <c r="D8" s="13" t="s">
        <v>62</v>
      </c>
      <c r="E8" s="13">
        <v>0.96474537037037</v>
      </c>
      <c r="F8" s="14">
        <f t="shared" si="1"/>
        <v>2.1413888888888888</v>
      </c>
      <c r="G8" s="15">
        <f t="shared" si="2"/>
        <v>2.1413888888888888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46185.300010069397</v>
      </c>
      <c r="B9" s="7" t="s">
        <v>69</v>
      </c>
      <c r="C9" s="13">
        <v>0.3</v>
      </c>
      <c r="D9" s="13" t="s">
        <v>62</v>
      </c>
      <c r="E9" s="13">
        <v>0.42336805555555601</v>
      </c>
      <c r="F9" s="14">
        <f t="shared" si="1"/>
        <v>2.9608333333333445</v>
      </c>
      <c r="G9" s="15">
        <f t="shared" si="2"/>
        <v>2.1608333333333527</v>
      </c>
      <c r="H9" s="15">
        <f t="shared" si="3"/>
        <v>0.79999999999999183</v>
      </c>
      <c r="I9" s="23" t="s">
        <v>73</v>
      </c>
      <c r="J9" s="24">
        <f>SUMIF(B:B,"航班调度席",F:F)</f>
        <v>5.8541666666666652</v>
      </c>
      <c r="K9" s="25">
        <f>SUMIF(B:B,"航班调度席",G:G)</f>
        <v>5.8541666666666652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46185.5058721065</v>
      </c>
      <c r="B10" s="7" t="s">
        <v>64</v>
      </c>
      <c r="C10" s="13">
        <v>0.50586805555555603</v>
      </c>
      <c r="D10" s="13" t="s">
        <v>62</v>
      </c>
      <c r="E10" s="13">
        <v>0.63378472222222204</v>
      </c>
      <c r="F10" s="14">
        <f t="shared" si="1"/>
        <v>3.0699999999999843</v>
      </c>
      <c r="G10" s="15">
        <f t="shared" si="2"/>
        <v>3.0699999999999843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46185.754360069397</v>
      </c>
      <c r="B11" s="7" t="s">
        <v>69</v>
      </c>
      <c r="C11" s="13">
        <v>0.75435185185185205</v>
      </c>
      <c r="D11" s="13" t="s">
        <v>62</v>
      </c>
      <c r="E11" s="13">
        <v>0.84129629629629599</v>
      </c>
      <c r="F11" s="14">
        <f t="shared" si="1"/>
        <v>2.0866666666666545</v>
      </c>
      <c r="G11" s="15">
        <f t="shared" si="2"/>
        <v>2.0866666666666545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46189.013142476899</v>
      </c>
      <c r="B12" s="7" t="s">
        <v>69</v>
      </c>
      <c r="C12" s="13">
        <v>1.3136574074074101E-2</v>
      </c>
      <c r="D12" s="13" t="s">
        <v>62</v>
      </c>
      <c r="E12" s="13">
        <v>0.14543981481481499</v>
      </c>
      <c r="F12" s="14">
        <f t="shared" si="1"/>
        <v>3.1752777777777816</v>
      </c>
      <c r="G12" s="15">
        <f t="shared" si="2"/>
        <v>0</v>
      </c>
      <c r="H12" s="15">
        <f t="shared" si="3"/>
        <v>3.1752777777777816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46189.951767476901</v>
      </c>
      <c r="B13" s="7" t="s">
        <v>66</v>
      </c>
      <c r="C13" s="13">
        <v>0.95175925925925897</v>
      </c>
      <c r="D13" s="13" t="s">
        <v>62</v>
      </c>
      <c r="E13" s="13">
        <v>0.109155092592593</v>
      </c>
      <c r="F13" s="14">
        <f t="shared" si="1"/>
        <v>3.7775000000000163</v>
      </c>
      <c r="G13" s="15">
        <f t="shared" si="2"/>
        <v>1.1577777777777842</v>
      </c>
      <c r="H13" s="15">
        <f t="shared" si="3"/>
        <v>2.6197222222222321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46193.138388888903</v>
      </c>
      <c r="B14" s="7" t="s">
        <v>82</v>
      </c>
      <c r="C14" s="13">
        <v>0.13837962962962999</v>
      </c>
      <c r="D14" s="13" t="s">
        <v>62</v>
      </c>
      <c r="E14" s="13">
        <v>0.21920138888888899</v>
      </c>
      <c r="F14" s="14">
        <f t="shared" si="1"/>
        <v>1.9397222222222159</v>
      </c>
      <c r="G14" s="15">
        <f t="shared" si="2"/>
        <v>0</v>
      </c>
      <c r="H14" s="15">
        <f t="shared" si="3"/>
        <v>1.9397222222222159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46194.138157638903</v>
      </c>
      <c r="B15" s="7" t="s">
        <v>69</v>
      </c>
      <c r="C15" s="13">
        <v>0.13814814814814799</v>
      </c>
      <c r="D15" s="13" t="s">
        <v>62</v>
      </c>
      <c r="E15" s="13">
        <v>0.21849537037037001</v>
      </c>
      <c r="F15" s="14">
        <f t="shared" si="1"/>
        <v>1.9283333333333283</v>
      </c>
      <c r="G15" s="15">
        <f t="shared" si="2"/>
        <v>0</v>
      </c>
      <c r="H15" s="15">
        <f t="shared" si="3"/>
        <v>1.9283333333333283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46194.218542013899</v>
      </c>
      <c r="B16" s="7" t="s">
        <v>66</v>
      </c>
      <c r="C16" s="13">
        <v>0.21854166666666699</v>
      </c>
      <c r="D16" s="13" t="s">
        <v>62</v>
      </c>
      <c r="E16" s="13">
        <v>0.30340277777777802</v>
      </c>
      <c r="F16" s="14">
        <f t="shared" si="1"/>
        <v>2.0366666666666644</v>
      </c>
      <c r="G16" s="15">
        <f t="shared" si="2"/>
        <v>0</v>
      </c>
      <c r="H16" s="15">
        <f t="shared" si="3"/>
        <v>2.0366666666666644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46196.501659259302</v>
      </c>
      <c r="B17" s="7" t="s">
        <v>69</v>
      </c>
      <c r="C17" s="13">
        <v>0.501655092592593</v>
      </c>
      <c r="D17" s="13" t="s">
        <v>62</v>
      </c>
      <c r="E17" s="13">
        <v>0.50949074074074097</v>
      </c>
      <c r="F17" s="14">
        <f t="shared" si="1"/>
        <v>0.1880555555555512</v>
      </c>
      <c r="G17" s="15">
        <f t="shared" si="2"/>
        <v>0.1880555555555512</v>
      </c>
      <c r="H17" s="15">
        <f t="shared" si="3"/>
        <v>0</v>
      </c>
      <c r="I17" s="37" t="s">
        <v>79</v>
      </c>
      <c r="J17" s="38">
        <f>J4+J5+J6+J7+J10</f>
        <v>56.252222222222258</v>
      </c>
      <c r="K17" s="39">
        <f>K4+K5+K6+K7+K10</f>
        <v>33.375000000000071</v>
      </c>
      <c r="L17" s="40">
        <f>L4+L5+L6+L7+L10</f>
        <v>22.877222222222187</v>
      </c>
      <c r="M17" s="41"/>
    </row>
    <row r="18" spans="1:13" ht="20.25" x14ac:dyDescent="0.25">
      <c r="A18" s="12">
        <f t="shared" ca="1" si="0"/>
        <v>46196.5233240741</v>
      </c>
      <c r="B18" s="7" t="s">
        <v>69</v>
      </c>
      <c r="C18" s="13">
        <v>0.52332175925925895</v>
      </c>
      <c r="D18" s="13" t="s">
        <v>62</v>
      </c>
      <c r="E18" s="13">
        <v>0.63248842592592602</v>
      </c>
      <c r="F18" s="14">
        <f t="shared" si="1"/>
        <v>2.6200000000000099</v>
      </c>
      <c r="G18" s="15">
        <f t="shared" si="2"/>
        <v>2.6200000000000099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46196.763461111099</v>
      </c>
      <c r="B19" s="7" t="s">
        <v>64</v>
      </c>
      <c r="C19" s="13">
        <v>0.76346064814814796</v>
      </c>
      <c r="D19" s="13" t="s">
        <v>62</v>
      </c>
      <c r="E19" s="13">
        <v>0.88026620370370401</v>
      </c>
      <c r="F19" s="14">
        <f t="shared" si="1"/>
        <v>2.8033333333333452</v>
      </c>
      <c r="G19" s="15">
        <f t="shared" si="2"/>
        <v>2.8033333333333452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46197.458775462997</v>
      </c>
      <c r="B20" s="7" t="s">
        <v>69</v>
      </c>
      <c r="C20" s="13">
        <v>0.45879629629629598</v>
      </c>
      <c r="D20" s="13" t="s">
        <v>62</v>
      </c>
      <c r="E20" s="13">
        <v>0.547372685185185</v>
      </c>
      <c r="F20" s="14">
        <f t="shared" si="1"/>
        <v>2.1258333333333366</v>
      </c>
      <c r="G20" s="15">
        <f t="shared" si="2"/>
        <v>2.1258333333333366</v>
      </c>
      <c r="H20" s="15">
        <f t="shared" si="3"/>
        <v>0</v>
      </c>
      <c r="I20" s="42" t="s">
        <v>81</v>
      </c>
      <c r="J20" s="65">
        <f>J16+J17+J18+J19</f>
        <v>56.252222222222258</v>
      </c>
      <c r="K20" s="66"/>
      <c r="L20" s="67"/>
      <c r="M20" s="43"/>
    </row>
    <row r="21" spans="1:13" ht="20.25" x14ac:dyDescent="0.25">
      <c r="A21" s="12">
        <f t="shared" ca="1" si="0"/>
        <v>46197.623828703698</v>
      </c>
      <c r="B21" s="7" t="s">
        <v>64</v>
      </c>
      <c r="C21" s="13">
        <v>0.62381944444444404</v>
      </c>
      <c r="D21" s="13" t="s">
        <v>62</v>
      </c>
      <c r="E21" s="13">
        <v>0.75680555555555595</v>
      </c>
      <c r="F21" s="14">
        <f t="shared" si="1"/>
        <v>3.191666666666686</v>
      </c>
      <c r="G21" s="15">
        <f t="shared" si="2"/>
        <v>3.191666666666686</v>
      </c>
      <c r="H21" s="15">
        <f t="shared" si="3"/>
        <v>0</v>
      </c>
      <c r="I21" s="44" t="s">
        <v>4</v>
      </c>
      <c r="J21" s="45">
        <f>SUM(J8:J9)</f>
        <v>5.8541666666666652</v>
      </c>
      <c r="K21" s="39">
        <f>SUM(K8:K9)</f>
        <v>5.8541666666666652</v>
      </c>
      <c r="L21" s="40">
        <f>SUM(L8:L9)</f>
        <v>0</v>
      </c>
      <c r="M21" s="46"/>
    </row>
    <row r="22" spans="1:13" ht="18.75" x14ac:dyDescent="0.15">
      <c r="A22" s="12">
        <f t="shared" ca="1" si="0"/>
        <v>46197.833641435202</v>
      </c>
      <c r="B22" s="7" t="s">
        <v>69</v>
      </c>
      <c r="C22" s="13">
        <v>0.83363425925925905</v>
      </c>
      <c r="D22" s="13" t="s">
        <v>62</v>
      </c>
      <c r="E22" s="13">
        <v>0.95465277777777802</v>
      </c>
      <c r="F22" s="14">
        <f t="shared" si="1"/>
        <v>2.9044444444444553</v>
      </c>
      <c r="G22" s="15">
        <f t="shared" si="2"/>
        <v>2.9044444444444553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46198.2992346065</v>
      </c>
      <c r="B23" s="7" t="s">
        <v>64</v>
      </c>
      <c r="C23" s="13">
        <v>0.299224537037037</v>
      </c>
      <c r="D23" s="13" t="s">
        <v>62</v>
      </c>
      <c r="E23" s="13">
        <v>0.368460648148148</v>
      </c>
      <c r="F23" s="14">
        <f t="shared" si="1"/>
        <v>1.661666666666664</v>
      </c>
      <c r="G23" s="15">
        <f t="shared" si="2"/>
        <v>0.84305555555556033</v>
      </c>
      <c r="H23" s="15">
        <f t="shared" si="3"/>
        <v>0.81861111111110363</v>
      </c>
      <c r="I23"/>
      <c r="J23"/>
    </row>
    <row r="24" spans="1:13" ht="18.75" x14ac:dyDescent="0.15">
      <c r="A24" s="12">
        <f t="shared" ca="1" si="0"/>
        <v>46200.952516898098</v>
      </c>
      <c r="B24" s="7" t="s">
        <v>64</v>
      </c>
      <c r="C24" s="13">
        <v>0.95251157407407405</v>
      </c>
      <c r="D24" s="13" t="s">
        <v>62</v>
      </c>
      <c r="E24" s="13">
        <v>0.10084490740740699</v>
      </c>
      <c r="F24" s="14">
        <f t="shared" si="1"/>
        <v>3.5599999999999903</v>
      </c>
      <c r="G24" s="15">
        <f t="shared" si="2"/>
        <v>1.1397222222222223</v>
      </c>
      <c r="H24" s="15">
        <f t="shared" si="3"/>
        <v>2.420277777777768</v>
      </c>
      <c r="I24"/>
      <c r="J24"/>
    </row>
    <row r="25" spans="1:13" ht="18.75" x14ac:dyDescent="0.15">
      <c r="A25" s="12">
        <f t="shared" ca="1" si="0"/>
        <v>46201.511290046299</v>
      </c>
      <c r="B25" s="7" t="s">
        <v>84</v>
      </c>
      <c r="C25" s="13">
        <v>0.51128472222222199</v>
      </c>
      <c r="D25" s="13" t="s">
        <v>62</v>
      </c>
      <c r="E25" s="13">
        <v>0.75520833333333304</v>
      </c>
      <c r="F25" s="14">
        <f t="shared" si="1"/>
        <v>5.8541666666666652</v>
      </c>
      <c r="G25" s="15">
        <f t="shared" si="2"/>
        <v>5.8541666666666652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46202.012923263901</v>
      </c>
      <c r="B26" s="7" t="s">
        <v>66</v>
      </c>
      <c r="C26" s="13">
        <v>1.29166666666667E-2</v>
      </c>
      <c r="D26" s="13" t="s">
        <v>62</v>
      </c>
      <c r="E26" s="13">
        <v>0.10809027777777799</v>
      </c>
      <c r="F26" s="14">
        <f t="shared" si="1"/>
        <v>2.2841666666666711</v>
      </c>
      <c r="G26" s="15">
        <f t="shared" si="2"/>
        <v>0</v>
      </c>
      <c r="H26" s="15">
        <f t="shared" si="3"/>
        <v>2.2841666666666711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42"/>
  <sheetViews>
    <sheetView topLeftCell="A7" zoomScale="85" zoomScaleNormal="85" workbookViewId="0">
      <selection activeCell="D29" sqref="D29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46176.501499537</v>
      </c>
      <c r="B3" s="7" t="s">
        <v>66</v>
      </c>
      <c r="C3" s="13">
        <v>0.50149305555555601</v>
      </c>
      <c r="D3" s="13" t="s">
        <v>62</v>
      </c>
      <c r="E3" s="13">
        <v>0.65091435185185198</v>
      </c>
      <c r="F3" s="14">
        <f t="shared" ref="F3:F42" si="1">(IF(E3-C3&lt;0,"24:00"-C3+E3,E3-C3))*24</f>
        <v>3.5861111111111033</v>
      </c>
      <c r="G3" s="15">
        <f t="shared" ref="G3:G42" si="2">F3-H3</f>
        <v>3.5861111111111033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46176.751774652803</v>
      </c>
      <c r="B4" s="7" t="s">
        <v>61</v>
      </c>
      <c r="C4" s="13">
        <v>0.75177083333333306</v>
      </c>
      <c r="D4" s="13" t="s">
        <v>62</v>
      </c>
      <c r="E4" s="13">
        <v>0.88084490740740795</v>
      </c>
      <c r="F4" s="14">
        <f t="shared" si="1"/>
        <v>3.0977777777777975</v>
      </c>
      <c r="G4" s="15">
        <f t="shared" si="2"/>
        <v>3.0977777777777975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24.740555555555542</v>
      </c>
      <c r="K4" s="25">
        <f>SUMIF(B:B,"西塔台管制席",G:G)+SUMIF(B:B,"东塔台管制席",G:G)</f>
        <v>11.583333333333332</v>
      </c>
      <c r="L4" s="25">
        <f>SUMIF(B:B,"西塔台管制席",H:H)+SUMIF(B:B,"东塔台管制席",H:H)</f>
        <v>13.157222222222209</v>
      </c>
      <c r="M4" s="21"/>
    </row>
    <row r="5" spans="1:16" ht="18.75" x14ac:dyDescent="0.25">
      <c r="A5" s="12">
        <f t="shared" ca="1" si="0"/>
        <v>46177.299183217598</v>
      </c>
      <c r="B5" s="7" t="s">
        <v>64</v>
      </c>
      <c r="C5" s="13">
        <v>0.29917824074074101</v>
      </c>
      <c r="D5" s="13" t="s">
        <v>62</v>
      </c>
      <c r="E5" s="13">
        <v>0.42078703703703701</v>
      </c>
      <c r="F5" s="14">
        <f t="shared" si="1"/>
        <v>2.9186111111111042</v>
      </c>
      <c r="G5" s="15">
        <f t="shared" si="2"/>
        <v>2.0988888888888968</v>
      </c>
      <c r="H5" s="15">
        <f t="shared" si="3"/>
        <v>0.81972222222220736</v>
      </c>
      <c r="I5" s="23" t="s">
        <v>67</v>
      </c>
      <c r="J5" s="24">
        <f>SUMIF(B:B,"西塔台协调席",F:F)+SUMIF(B:B,"东塔台协调席",F:F)</f>
        <v>31.787222222222201</v>
      </c>
      <c r="K5" s="25">
        <f>SUMIF(B:B,"西塔台协调席",G:G)+SUMIF(B:B,"东塔台协调席",G:G)</f>
        <v>25.279166666666669</v>
      </c>
      <c r="L5" s="25">
        <f>SUMIF(B:B,"西塔台协调席",H:H)+SUMIF(B:B,"东塔台协调席",H:H)</f>
        <v>6.5080555555555346</v>
      </c>
      <c r="M5" s="21"/>
    </row>
    <row r="6" spans="1:16" ht="18.75" x14ac:dyDescent="0.25">
      <c r="A6" s="12">
        <f t="shared" ca="1" si="0"/>
        <v>46177.5051123843</v>
      </c>
      <c r="B6" s="7" t="s">
        <v>66</v>
      </c>
      <c r="C6" s="13">
        <v>0.50510416666666702</v>
      </c>
      <c r="D6" s="13" t="s">
        <v>62</v>
      </c>
      <c r="E6" s="13">
        <v>0.63059027777777799</v>
      </c>
      <c r="F6" s="14">
        <f t="shared" si="1"/>
        <v>3.0116666666666632</v>
      </c>
      <c r="G6" s="15">
        <f t="shared" si="2"/>
        <v>3.0116666666666632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46177.753914120403</v>
      </c>
      <c r="B7" s="7" t="s">
        <v>66</v>
      </c>
      <c r="C7" s="13">
        <v>0.75391203703703702</v>
      </c>
      <c r="D7" s="13" t="s">
        <v>62</v>
      </c>
      <c r="E7" s="13">
        <v>0.83829861111111104</v>
      </c>
      <c r="F7" s="14">
        <f t="shared" si="1"/>
        <v>2.0252777777777764</v>
      </c>
      <c r="G7" s="15">
        <f t="shared" si="2"/>
        <v>2.0252777777777764</v>
      </c>
      <c r="H7" s="15">
        <f t="shared" si="3"/>
        <v>0</v>
      </c>
      <c r="I7" s="23" t="s">
        <v>70</v>
      </c>
      <c r="J7" s="24">
        <f>SUMIF(B:B,"地面席",F:F)</f>
        <v>2.3547222222222244</v>
      </c>
      <c r="K7" s="25">
        <f>SUMIF(B:B,"地面席",G:G)</f>
        <v>0</v>
      </c>
      <c r="L7" s="25">
        <f>SUMIF(B:B,"地面席",H:H)</f>
        <v>2.3547222222222244</v>
      </c>
      <c r="M7" s="21"/>
    </row>
    <row r="8" spans="1:16" ht="18.75" x14ac:dyDescent="0.25">
      <c r="A8" s="12">
        <f t="shared" ca="1" si="0"/>
        <v>46181.014357523098</v>
      </c>
      <c r="B8" s="7" t="s">
        <v>69</v>
      </c>
      <c r="C8" s="13">
        <v>1.43518518518519E-2</v>
      </c>
      <c r="D8" s="13" t="s">
        <v>62</v>
      </c>
      <c r="E8" s="13">
        <v>0.14459490740740699</v>
      </c>
      <c r="F8" s="14">
        <f t="shared" si="1"/>
        <v>3.1258333333333224</v>
      </c>
      <c r="G8" s="15">
        <f t="shared" si="2"/>
        <v>0</v>
      </c>
      <c r="H8" s="15">
        <f t="shared" si="3"/>
        <v>3.1258333333333224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46181.7509782407</v>
      </c>
      <c r="B9" s="7" t="s">
        <v>64</v>
      </c>
      <c r="C9" s="13">
        <v>0.75097222222222204</v>
      </c>
      <c r="D9" s="13" t="s">
        <v>62</v>
      </c>
      <c r="E9" s="13">
        <v>0.83856481481481504</v>
      </c>
      <c r="F9" s="14">
        <f t="shared" si="1"/>
        <v>2.102222222222232</v>
      </c>
      <c r="G9" s="15">
        <f t="shared" si="2"/>
        <v>2.102222222222232</v>
      </c>
      <c r="H9" s="15">
        <f t="shared" si="3"/>
        <v>0</v>
      </c>
      <c r="I9" s="23" t="s">
        <v>73</v>
      </c>
      <c r="J9" s="24">
        <f>SUMIF(B:B,"航班调度席",F:F)</f>
        <v>1.0849999999999937</v>
      </c>
      <c r="K9" s="25">
        <f>SUMIF(B:B,"航班调度席",G:G)</f>
        <v>1.0849999999999937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46181.957215277798</v>
      </c>
      <c r="B10" s="7" t="s">
        <v>64</v>
      </c>
      <c r="C10" s="13">
        <v>0.95721064814814805</v>
      </c>
      <c r="D10" s="13" t="s">
        <v>62</v>
      </c>
      <c r="E10" s="13">
        <v>0.98280092592592605</v>
      </c>
      <c r="F10" s="14">
        <f t="shared" si="1"/>
        <v>0.61416666666667208</v>
      </c>
      <c r="G10" s="15">
        <f t="shared" si="2"/>
        <v>0.61416666666667208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46181.982830439803</v>
      </c>
      <c r="B11" s="7" t="s">
        <v>61</v>
      </c>
      <c r="C11" s="13">
        <v>0.98282407407407402</v>
      </c>
      <c r="D11" s="13" t="s">
        <v>62</v>
      </c>
      <c r="E11" s="13">
        <v>0.117418981481481</v>
      </c>
      <c r="F11" s="14">
        <f t="shared" si="1"/>
        <v>3.2302777777777676</v>
      </c>
      <c r="G11" s="15">
        <f t="shared" si="2"/>
        <v>0.4122222222222236</v>
      </c>
      <c r="H11" s="15">
        <f t="shared" si="3"/>
        <v>2.818055555555544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46186.137818171301</v>
      </c>
      <c r="B12" s="7" t="s">
        <v>69</v>
      </c>
      <c r="C12" s="13">
        <v>0.1378125</v>
      </c>
      <c r="D12" s="13" t="s">
        <v>62</v>
      </c>
      <c r="E12" s="13">
        <v>0.30496527777777799</v>
      </c>
      <c r="F12" s="14">
        <f t="shared" si="1"/>
        <v>4.011666666666672</v>
      </c>
      <c r="G12" s="15">
        <f t="shared" si="2"/>
        <v>0</v>
      </c>
      <c r="H12" s="15">
        <f t="shared" si="3"/>
        <v>4.011666666666672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46188.504460185199</v>
      </c>
      <c r="B13" s="7" t="s">
        <v>66</v>
      </c>
      <c r="C13" s="13">
        <v>0.50445601851851896</v>
      </c>
      <c r="D13" s="13" t="s">
        <v>62</v>
      </c>
      <c r="E13" s="13">
        <v>0.65421296296296305</v>
      </c>
      <c r="F13" s="14">
        <f t="shared" si="1"/>
        <v>3.5941666666666583</v>
      </c>
      <c r="G13" s="15">
        <f t="shared" si="2"/>
        <v>3.5941666666666583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46188.754198726798</v>
      </c>
      <c r="B14" s="7" t="s">
        <v>61</v>
      </c>
      <c r="C14" s="13">
        <v>0.75418981481481495</v>
      </c>
      <c r="D14" s="13" t="s">
        <v>62</v>
      </c>
      <c r="E14" s="13">
        <v>0.87998842592592597</v>
      </c>
      <c r="F14" s="14">
        <f t="shared" si="1"/>
        <v>3.0191666666666643</v>
      </c>
      <c r="G14" s="15">
        <f t="shared" si="2"/>
        <v>3.0191666666666643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46189.418005555599</v>
      </c>
      <c r="B15" s="7" t="s">
        <v>69</v>
      </c>
      <c r="C15" s="13">
        <v>0.41703703703703698</v>
      </c>
      <c r="D15" s="13" t="s">
        <v>62</v>
      </c>
      <c r="E15" s="13">
        <v>0.50359953703703697</v>
      </c>
      <c r="F15" s="14">
        <f t="shared" si="1"/>
        <v>2.0774999999999997</v>
      </c>
      <c r="G15" s="15">
        <f t="shared" si="2"/>
        <v>2.0774999999999997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46189.626187152797</v>
      </c>
      <c r="B16" s="7" t="s">
        <v>66</v>
      </c>
      <c r="C16" s="13">
        <v>0.62618055555555596</v>
      </c>
      <c r="D16" s="13" t="s">
        <v>62</v>
      </c>
      <c r="E16" s="13">
        <v>0.75410879629629601</v>
      </c>
      <c r="F16" s="14">
        <f t="shared" si="1"/>
        <v>3.0702777777777612</v>
      </c>
      <c r="G16" s="15">
        <f t="shared" si="2"/>
        <v>3.0702777777777612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46189.833717708301</v>
      </c>
      <c r="B17" s="7" t="s">
        <v>61</v>
      </c>
      <c r="C17" s="13">
        <v>0.83371527777777799</v>
      </c>
      <c r="D17" s="13" t="s">
        <v>62</v>
      </c>
      <c r="E17" s="13">
        <v>0.95774305555555495</v>
      </c>
      <c r="F17" s="14">
        <f t="shared" si="1"/>
        <v>2.976666666666647</v>
      </c>
      <c r="G17" s="15">
        <f t="shared" si="2"/>
        <v>2.976666666666647</v>
      </c>
      <c r="H17" s="15">
        <f t="shared" si="3"/>
        <v>0</v>
      </c>
      <c r="I17" s="37" t="s">
        <v>79</v>
      </c>
      <c r="J17" s="38">
        <f>J4+J5+J6+J7+J10</f>
        <v>58.882499999999965</v>
      </c>
      <c r="K17" s="39">
        <f>K4+K5+K6+K7+K10</f>
        <v>36.862499999999997</v>
      </c>
      <c r="L17" s="40">
        <f>L4+L5+L6+L7+L10</f>
        <v>22.019999999999971</v>
      </c>
      <c r="M17" s="41"/>
    </row>
    <row r="18" spans="1:13" ht="20.25" x14ac:dyDescent="0.25">
      <c r="A18" s="12">
        <f t="shared" ca="1" si="0"/>
        <v>46190.299510185199</v>
      </c>
      <c r="B18" s="7" t="s">
        <v>66</v>
      </c>
      <c r="C18" s="13">
        <v>0.29950231481481498</v>
      </c>
      <c r="D18" s="13" t="s">
        <v>62</v>
      </c>
      <c r="E18" s="13">
        <v>0.36292824074074098</v>
      </c>
      <c r="F18" s="14">
        <f t="shared" si="1"/>
        <v>1.5222222222222239</v>
      </c>
      <c r="G18" s="15">
        <f t="shared" si="2"/>
        <v>0.710277777777792</v>
      </c>
      <c r="H18" s="15">
        <f t="shared" si="3"/>
        <v>0.81194444444443192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46193.013439930597</v>
      </c>
      <c r="B19" s="7" t="s">
        <v>61</v>
      </c>
      <c r="C19" s="13">
        <v>1.34375E-2</v>
      </c>
      <c r="D19" s="13" t="s">
        <v>62</v>
      </c>
      <c r="E19" s="13">
        <v>0.146840277777778</v>
      </c>
      <c r="F19" s="14">
        <f t="shared" si="1"/>
        <v>3.2016666666666724</v>
      </c>
      <c r="G19" s="15">
        <f t="shared" si="2"/>
        <v>0</v>
      </c>
      <c r="H19" s="15">
        <f t="shared" si="3"/>
        <v>3.2016666666666724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46193.565606134303</v>
      </c>
      <c r="B20" s="7" t="s">
        <v>84</v>
      </c>
      <c r="C20" s="13">
        <v>0.56560185185185197</v>
      </c>
      <c r="D20" s="13" t="s">
        <v>62</v>
      </c>
      <c r="E20" s="13">
        <v>0.61081018518518504</v>
      </c>
      <c r="F20" s="14">
        <f t="shared" si="1"/>
        <v>1.0849999999999937</v>
      </c>
      <c r="G20" s="15">
        <f t="shared" si="2"/>
        <v>1.0849999999999937</v>
      </c>
      <c r="H20" s="15">
        <f t="shared" si="3"/>
        <v>0</v>
      </c>
      <c r="I20" s="42" t="s">
        <v>81</v>
      </c>
      <c r="J20" s="65">
        <f>J16+J17+J18+J19</f>
        <v>58.882499999999965</v>
      </c>
      <c r="K20" s="66"/>
      <c r="L20" s="67"/>
      <c r="M20" s="43"/>
    </row>
    <row r="21" spans="1:13" ht="20.25" x14ac:dyDescent="0.25">
      <c r="A21" s="12">
        <f t="shared" ca="1" si="0"/>
        <v>46193.750986574101</v>
      </c>
      <c r="B21" s="7" t="s">
        <v>64</v>
      </c>
      <c r="C21" s="13">
        <v>0.75098379629629597</v>
      </c>
      <c r="D21" s="13" t="s">
        <v>62</v>
      </c>
      <c r="E21" s="13">
        <v>0.83974537037037</v>
      </c>
      <c r="F21" s="14">
        <f t="shared" si="1"/>
        <v>2.1302777777777768</v>
      </c>
      <c r="G21" s="15">
        <f t="shared" si="2"/>
        <v>2.1302777777777768</v>
      </c>
      <c r="H21" s="15">
        <f t="shared" si="3"/>
        <v>0</v>
      </c>
      <c r="I21" s="44" t="s">
        <v>4</v>
      </c>
      <c r="J21" s="45">
        <f>SUM(J8:J9)</f>
        <v>1.0849999999999937</v>
      </c>
      <c r="K21" s="39">
        <f>SUM(K8:K9)</f>
        <v>1.0849999999999937</v>
      </c>
      <c r="L21" s="40">
        <f>SUM(L8:L9)</f>
        <v>0</v>
      </c>
      <c r="M21" s="46"/>
    </row>
    <row r="22" spans="1:13" ht="18.75" x14ac:dyDescent="0.15">
      <c r="A22" s="12">
        <f t="shared" ca="1" si="0"/>
        <v>46193.952499884297</v>
      </c>
      <c r="B22" s="7" t="s">
        <v>64</v>
      </c>
      <c r="C22" s="13">
        <v>0.95177083333333301</v>
      </c>
      <c r="D22" s="13" t="s">
        <v>62</v>
      </c>
      <c r="E22" s="13">
        <v>9.0405092592592606E-2</v>
      </c>
      <c r="F22" s="14">
        <f t="shared" si="1"/>
        <v>3.3272222222222303</v>
      </c>
      <c r="G22" s="15">
        <f t="shared" si="2"/>
        <v>1.1575000000000077</v>
      </c>
      <c r="H22" s="15">
        <f t="shared" si="3"/>
        <v>2.1697222222222226</v>
      </c>
      <c r="I22"/>
      <c r="J22"/>
    </row>
    <row r="23" spans="1:13" ht="18.75" x14ac:dyDescent="0.15">
      <c r="A23" s="12">
        <f t="shared" ca="1" si="0"/>
        <v>46197.138611111099</v>
      </c>
      <c r="B23" s="7" t="s">
        <v>82</v>
      </c>
      <c r="C23" s="13">
        <v>0.13861111111111099</v>
      </c>
      <c r="D23" s="13" t="s">
        <v>62</v>
      </c>
      <c r="E23" s="13">
        <v>0.236724537037037</v>
      </c>
      <c r="F23" s="14">
        <f t="shared" si="1"/>
        <v>2.3547222222222244</v>
      </c>
      <c r="G23" s="15">
        <f t="shared" si="2"/>
        <v>0</v>
      </c>
      <c r="H23" s="15">
        <f t="shared" si="3"/>
        <v>2.3547222222222244</v>
      </c>
      <c r="I23"/>
      <c r="J23"/>
    </row>
    <row r="24" spans="1:13" ht="18.75" x14ac:dyDescent="0.15">
      <c r="A24" s="12">
        <f t="shared" ca="1" si="0"/>
        <v>46197.95090625</v>
      </c>
      <c r="B24" s="7" t="s">
        <v>64</v>
      </c>
      <c r="C24" s="13">
        <v>0.95090277777777799</v>
      </c>
      <c r="D24" s="13" t="s">
        <v>62</v>
      </c>
      <c r="E24" s="13">
        <v>0.112777777777778</v>
      </c>
      <c r="F24" s="14">
        <f t="shared" si="1"/>
        <v>3.8850000000000007</v>
      </c>
      <c r="G24" s="15">
        <f t="shared" si="2"/>
        <v>1.1783333333333283</v>
      </c>
      <c r="H24" s="15">
        <f t="shared" si="3"/>
        <v>2.7066666666666723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42"/>
  <sheetViews>
    <sheetView zoomScale="85" zoomScaleNormal="85" workbookViewId="0">
      <selection activeCell="I25" sqref="I25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46174.0148239583</v>
      </c>
      <c r="B3" s="7" t="s">
        <v>64</v>
      </c>
      <c r="C3" s="13">
        <v>1.2037037037037001E-2</v>
      </c>
      <c r="D3" s="13" t="s">
        <v>62</v>
      </c>
      <c r="E3" s="13">
        <v>9.4733796296296302E-2</v>
      </c>
      <c r="F3" s="14">
        <f t="shared" ref="F3:F42" si="1">(IF(E3-C3&lt;0,"24:00"-C3+E3,E3-C3))*24</f>
        <v>1.9847222222222234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1.9847222222222234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46174.0947653935</v>
      </c>
      <c r="B4" s="7" t="s">
        <v>69</v>
      </c>
      <c r="C4" s="13">
        <v>9.4756944444444394E-2</v>
      </c>
      <c r="D4" s="13" t="s">
        <v>62</v>
      </c>
      <c r="E4" s="13">
        <v>0.14261574074074099</v>
      </c>
      <c r="F4" s="14">
        <f t="shared" si="1"/>
        <v>1.1486111111111184</v>
      </c>
      <c r="G4" s="15">
        <f t="shared" si="2"/>
        <v>0</v>
      </c>
      <c r="H4" s="15">
        <f t="shared" si="3"/>
        <v>1.1486111111111184</v>
      </c>
      <c r="I4" s="23" t="s">
        <v>65</v>
      </c>
      <c r="J4" s="24">
        <f>SUMIF(B:B,"西塔台管制席",F:F)+SUMIF(B:B,"东塔台管制席",F:F)</f>
        <v>24.992500000000046</v>
      </c>
      <c r="K4" s="25">
        <f>SUMIF(B:B,"西塔台管制席",G:G)+SUMIF(B:B,"东塔台管制席",G:G)</f>
        <v>4.0611111111111136</v>
      </c>
      <c r="L4" s="25">
        <f>SUMIF(B:B,"西塔台管制席",H:H)+SUMIF(B:B,"东塔台管制席",H:H)</f>
        <v>20.931388888888932</v>
      </c>
      <c r="M4" s="21"/>
    </row>
    <row r="5" spans="1:16" ht="18.75" x14ac:dyDescent="0.25">
      <c r="A5" s="12">
        <f t="shared" ca="1" si="0"/>
        <v>46176.960042361097</v>
      </c>
      <c r="B5" s="7" t="s">
        <v>66</v>
      </c>
      <c r="C5" s="13">
        <v>0.96003472222222197</v>
      </c>
      <c r="D5" s="13" t="s">
        <v>62</v>
      </c>
      <c r="E5" s="13">
        <v>1.72800925925926E-2</v>
      </c>
      <c r="F5" s="14">
        <f t="shared" si="1"/>
        <v>1.3738888888888949</v>
      </c>
      <c r="G5" s="15">
        <f t="shared" si="2"/>
        <v>0.9591666666666725</v>
      </c>
      <c r="H5" s="15">
        <f t="shared" si="3"/>
        <v>0.41472222222222244</v>
      </c>
      <c r="I5" s="23" t="s">
        <v>67</v>
      </c>
      <c r="J5" s="24">
        <f>SUMIF(B:B,"西塔台协调席",F:F)+SUMIF(B:B,"东塔台协调席",F:F)</f>
        <v>11.584166666666661</v>
      </c>
      <c r="K5" s="25">
        <f>SUMIF(B:B,"西塔台协调席",G:G)+SUMIF(B:B,"东塔台协调席",G:G)</f>
        <v>1.9305555555555591</v>
      </c>
      <c r="L5" s="25">
        <f>SUMIF(B:B,"西塔台协调席",H:H)+SUMIF(B:B,"东塔台协调席",H:H)</f>
        <v>9.6536111111111023</v>
      </c>
      <c r="M5" s="21"/>
    </row>
    <row r="6" spans="1:16" ht="18.75" x14ac:dyDescent="0.25">
      <c r="A6" s="12">
        <f t="shared" ca="1" si="0"/>
        <v>46177.017338194397</v>
      </c>
      <c r="B6" s="7" t="s">
        <v>64</v>
      </c>
      <c r="C6" s="13">
        <v>1.7337962962962999E-2</v>
      </c>
      <c r="D6" s="13" t="s">
        <v>62</v>
      </c>
      <c r="E6" s="13">
        <v>0.12034722222222199</v>
      </c>
      <c r="F6" s="14">
        <f t="shared" si="1"/>
        <v>2.4722222222222161</v>
      </c>
      <c r="G6" s="15">
        <f t="shared" si="2"/>
        <v>0</v>
      </c>
      <c r="H6" s="15">
        <f t="shared" si="3"/>
        <v>2.4722222222222161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46177.960605208304</v>
      </c>
      <c r="B7" s="7" t="s">
        <v>61</v>
      </c>
      <c r="C7" s="13">
        <v>0.96060185185185198</v>
      </c>
      <c r="D7" s="13" t="s">
        <v>62</v>
      </c>
      <c r="E7" s="13">
        <v>0.111331018518519</v>
      </c>
      <c r="F7" s="14">
        <f t="shared" si="1"/>
        <v>3.6175000000000086</v>
      </c>
      <c r="G7" s="15">
        <f t="shared" si="2"/>
        <v>0.94555555555555282</v>
      </c>
      <c r="H7" s="15">
        <f t="shared" si="3"/>
        <v>2.6719444444444558</v>
      </c>
      <c r="I7" s="23" t="s">
        <v>70</v>
      </c>
      <c r="J7" s="24">
        <f>SUMIF(B:B,"地面席",F:F)</f>
        <v>1.92444444444444</v>
      </c>
      <c r="K7" s="25">
        <f>SUMIF(B:B,"地面席",G:G)</f>
        <v>0</v>
      </c>
      <c r="L7" s="25">
        <f>SUMIF(B:B,"地面席",H:H)</f>
        <v>1.92444444444444</v>
      </c>
      <c r="M7" s="21"/>
    </row>
    <row r="8" spans="1:16" ht="18.75" x14ac:dyDescent="0.25">
      <c r="A8" s="12">
        <f t="shared" ca="1" si="0"/>
        <v>46181.139746875</v>
      </c>
      <c r="B8" s="7" t="s">
        <v>61</v>
      </c>
      <c r="C8" s="13">
        <v>0.13974537037036999</v>
      </c>
      <c r="D8" s="13" t="s">
        <v>62</v>
      </c>
      <c r="E8" s="13">
        <v>0.22082175925925901</v>
      </c>
      <c r="F8" s="14">
        <f t="shared" si="1"/>
        <v>1.9458333333333364</v>
      </c>
      <c r="G8" s="15">
        <f t="shared" si="2"/>
        <v>0</v>
      </c>
      <c r="H8" s="15">
        <f t="shared" si="3"/>
        <v>1.9458333333333364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46181.220982523097</v>
      </c>
      <c r="B9" s="7" t="s">
        <v>64</v>
      </c>
      <c r="C9" s="13">
        <v>0.22097222222222199</v>
      </c>
      <c r="D9" s="13" t="s">
        <v>62</v>
      </c>
      <c r="E9" s="13">
        <v>0.30583333333333301</v>
      </c>
      <c r="F9" s="14">
        <f t="shared" si="1"/>
        <v>2.0366666666666644</v>
      </c>
      <c r="G9" s="15">
        <f t="shared" si="2"/>
        <v>0</v>
      </c>
      <c r="H9" s="15">
        <f t="shared" si="3"/>
        <v>2.0366666666666644</v>
      </c>
      <c r="I9" s="23" t="s">
        <v>73</v>
      </c>
      <c r="J9" s="24">
        <f>SUMIF(B:B,"航班调度席",F:F)</f>
        <v>11.394166666666656</v>
      </c>
      <c r="K9" s="25">
        <f>SUMIF(B:B,"航班调度席",G:G)</f>
        <v>11.394166666666656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46182.140110532397</v>
      </c>
      <c r="B10" s="7" t="s">
        <v>82</v>
      </c>
      <c r="C10" s="13">
        <v>0.140104166666667</v>
      </c>
      <c r="D10" s="13" t="s">
        <v>62</v>
      </c>
      <c r="E10" s="13">
        <v>0.220289351851852</v>
      </c>
      <c r="F10" s="14">
        <f t="shared" si="1"/>
        <v>1.92444444444444</v>
      </c>
      <c r="G10" s="15">
        <f t="shared" si="2"/>
        <v>0</v>
      </c>
      <c r="H10" s="15">
        <f t="shared" si="3"/>
        <v>1.92444444444444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46184.959530786997</v>
      </c>
      <c r="B11" s="7" t="s">
        <v>64</v>
      </c>
      <c r="C11" s="13">
        <v>0.95952546296296304</v>
      </c>
      <c r="D11" s="13" t="s">
        <v>62</v>
      </c>
      <c r="E11" s="13">
        <v>0.114386574074074</v>
      </c>
      <c r="F11" s="14">
        <f t="shared" si="1"/>
        <v>3.7166666666666628</v>
      </c>
      <c r="G11" s="15">
        <f t="shared" si="2"/>
        <v>0.97138888888888664</v>
      </c>
      <c r="H11" s="15">
        <f t="shared" si="3"/>
        <v>2.7452777777777762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46185.959707291702</v>
      </c>
      <c r="B12" s="7" t="s">
        <v>69</v>
      </c>
      <c r="C12" s="13">
        <v>0.95969907407407395</v>
      </c>
      <c r="D12" s="13" t="s">
        <v>62</v>
      </c>
      <c r="E12" s="13">
        <v>0.116377314814815</v>
      </c>
      <c r="F12" s="14">
        <f t="shared" si="1"/>
        <v>3.7602777777777852</v>
      </c>
      <c r="G12" s="15">
        <f t="shared" si="2"/>
        <v>0.96722222222222509</v>
      </c>
      <c r="H12" s="15">
        <f t="shared" si="3"/>
        <v>2.7930555555555601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46188.376858217598</v>
      </c>
      <c r="B13" s="7" t="s">
        <v>84</v>
      </c>
      <c r="C13" s="13">
        <v>0.37685185185185199</v>
      </c>
      <c r="D13" s="13" t="s">
        <v>62</v>
      </c>
      <c r="E13" s="13">
        <v>0.52880787037037003</v>
      </c>
      <c r="F13" s="14">
        <f t="shared" si="1"/>
        <v>3.6469444444444328</v>
      </c>
      <c r="G13" s="15">
        <f t="shared" si="2"/>
        <v>3.6469444444444328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46188.6426565972</v>
      </c>
      <c r="B14" s="7" t="s">
        <v>84</v>
      </c>
      <c r="C14" s="13">
        <v>0.64265046296296302</v>
      </c>
      <c r="D14" s="13" t="s">
        <v>62</v>
      </c>
      <c r="E14" s="13">
        <v>0.75341435185185202</v>
      </c>
      <c r="F14" s="14">
        <f t="shared" si="1"/>
        <v>2.6583333333333359</v>
      </c>
      <c r="G14" s="15">
        <f t="shared" si="2"/>
        <v>2.6583333333333359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46189.380200462998</v>
      </c>
      <c r="B15" s="7" t="s">
        <v>84</v>
      </c>
      <c r="C15" s="13">
        <v>0.380196759259259</v>
      </c>
      <c r="D15" s="13" t="s">
        <v>62</v>
      </c>
      <c r="E15" s="13">
        <v>0.50782407407407404</v>
      </c>
      <c r="F15" s="14">
        <f t="shared" si="1"/>
        <v>3.063055555555561</v>
      </c>
      <c r="G15" s="15">
        <f t="shared" si="2"/>
        <v>3.063055555555561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46189.629643634296</v>
      </c>
      <c r="B16" s="7" t="s">
        <v>84</v>
      </c>
      <c r="C16" s="13">
        <v>0.62964120370370402</v>
      </c>
      <c r="D16" s="13" t="s">
        <v>62</v>
      </c>
      <c r="E16" s="13">
        <v>0.71405092592592601</v>
      </c>
      <c r="F16" s="14">
        <f t="shared" si="1"/>
        <v>2.0258333333333276</v>
      </c>
      <c r="G16" s="15">
        <f t="shared" si="2"/>
        <v>2.0258333333333276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46193.1412957176</v>
      </c>
      <c r="B17" s="7" t="s">
        <v>61</v>
      </c>
      <c r="C17" s="13">
        <v>0.141296296296296</v>
      </c>
      <c r="D17" s="13" t="s">
        <v>62</v>
      </c>
      <c r="E17" s="13">
        <v>0.30228009259259297</v>
      </c>
      <c r="F17" s="14">
        <f t="shared" si="1"/>
        <v>3.8636111111111271</v>
      </c>
      <c r="G17" s="15">
        <f t="shared" si="2"/>
        <v>0</v>
      </c>
      <c r="H17" s="15">
        <f t="shared" si="3"/>
        <v>3.8636111111111271</v>
      </c>
      <c r="I17" s="37" t="s">
        <v>79</v>
      </c>
      <c r="J17" s="38">
        <f>J4+J5+J6+J7+J10</f>
        <v>38.50111111111115</v>
      </c>
      <c r="K17" s="39">
        <f>K4+K5+K6+K7+K10</f>
        <v>5.9916666666666725</v>
      </c>
      <c r="L17" s="40">
        <f>L4+L5+L6+L7+L10</f>
        <v>32.509444444444476</v>
      </c>
      <c r="M17" s="41"/>
    </row>
    <row r="18" spans="1:13" ht="20.25" x14ac:dyDescent="0.25">
      <c r="A18" s="12">
        <f t="shared" ca="1" si="0"/>
        <v>46193.957712962998</v>
      </c>
      <c r="B18" s="7" t="s">
        <v>69</v>
      </c>
      <c r="C18" s="13">
        <v>0.95770833333333305</v>
      </c>
      <c r="D18" s="13" t="s">
        <v>62</v>
      </c>
      <c r="E18" s="13">
        <v>8.8530092592592605E-2</v>
      </c>
      <c r="F18" s="14">
        <f t="shared" si="1"/>
        <v>3.139722222222229</v>
      </c>
      <c r="G18" s="15">
        <f t="shared" si="2"/>
        <v>1.0150000000000063</v>
      </c>
      <c r="H18" s="15">
        <f t="shared" si="3"/>
        <v>2.1247222222222226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46201.015803935203</v>
      </c>
      <c r="B19" s="7" t="s">
        <v>61</v>
      </c>
      <c r="C19" s="13">
        <v>1.57986111111111E-2</v>
      </c>
      <c r="D19" s="13" t="s">
        <v>62</v>
      </c>
      <c r="E19" s="13">
        <v>8.4722222222222199E-2</v>
      </c>
      <c r="F19" s="14">
        <f t="shared" si="1"/>
        <v>1.6541666666666663</v>
      </c>
      <c r="G19" s="15">
        <f t="shared" si="2"/>
        <v>0</v>
      </c>
      <c r="H19" s="15">
        <f t="shared" si="3"/>
        <v>1.6541666666666663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46201.094349305597</v>
      </c>
      <c r="B20" s="7" t="s">
        <v>61</v>
      </c>
      <c r="C20" s="13">
        <v>9.4340277777777801E-2</v>
      </c>
      <c r="D20" s="13" t="s">
        <v>62</v>
      </c>
      <c r="E20" s="13">
        <v>0.14513888888888901</v>
      </c>
      <c r="F20" s="14">
        <f t="shared" si="1"/>
        <v>1.219166666666669</v>
      </c>
      <c r="G20" s="15">
        <f t="shared" si="2"/>
        <v>0</v>
      </c>
      <c r="H20" s="15">
        <f t="shared" si="3"/>
        <v>1.219166666666669</v>
      </c>
      <c r="I20" s="42" t="s">
        <v>81</v>
      </c>
      <c r="J20" s="65">
        <f>J16+J17+J18+J19</f>
        <v>38.50111111111115</v>
      </c>
      <c r="K20" s="66"/>
      <c r="L20" s="67"/>
      <c r="M20" s="43"/>
    </row>
    <row r="21" spans="1:13" ht="20.25" x14ac:dyDescent="0.25">
      <c r="A21" s="12">
        <f t="shared" ca="1" si="0"/>
        <v>46201.952785763897</v>
      </c>
      <c r="B21" s="7" t="s">
        <v>69</v>
      </c>
      <c r="C21" s="13">
        <v>0.95277777777777795</v>
      </c>
      <c r="D21" s="13" t="s">
        <v>62</v>
      </c>
      <c r="E21" s="13">
        <v>0.146261574074074</v>
      </c>
      <c r="F21" s="14">
        <f t="shared" si="1"/>
        <v>4.6436111111111051</v>
      </c>
      <c r="G21" s="15">
        <f t="shared" si="2"/>
        <v>1.1333333333333293</v>
      </c>
      <c r="H21" s="15">
        <f t="shared" si="3"/>
        <v>3.5102777777777758</v>
      </c>
      <c r="I21" s="44" t="s">
        <v>4</v>
      </c>
      <c r="J21" s="45">
        <f>SUM(J8:J9)</f>
        <v>11.394166666666656</v>
      </c>
      <c r="K21" s="39">
        <f>SUM(K8:K9)</f>
        <v>11.394166666666656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46174.137483912004</v>
      </c>
      <c r="B3" s="7" t="s">
        <v>82</v>
      </c>
      <c r="C3" s="13">
        <v>0.13747685185185199</v>
      </c>
      <c r="D3" s="13" t="s">
        <v>62</v>
      </c>
      <c r="E3" s="13">
        <v>0.13899305555555599</v>
      </c>
      <c r="F3" s="14">
        <f t="shared" ref="F3:F42" si="1">(IF(E3-C3&lt;0,"24:00"-C3+E3,E3-C3))*24</f>
        <v>3.6388888888896131E-2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3.6388888888896131E-2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46174.139026620403</v>
      </c>
      <c r="B4" s="7" t="s">
        <v>69</v>
      </c>
      <c r="C4" s="13">
        <v>0.13901620370370399</v>
      </c>
      <c r="D4" s="13" t="s">
        <v>62</v>
      </c>
      <c r="E4" s="13">
        <v>0.24652777777777801</v>
      </c>
      <c r="F4" s="14">
        <f t="shared" si="1"/>
        <v>2.5802777777777766</v>
      </c>
      <c r="G4" s="15">
        <f t="shared" si="2"/>
        <v>0</v>
      </c>
      <c r="H4" s="15">
        <f t="shared" si="3"/>
        <v>2.5802777777777766</v>
      </c>
      <c r="I4" s="23" t="s">
        <v>65</v>
      </c>
      <c r="J4" s="24">
        <f>SUMIF(B:B,"西塔台管制席",F:F)+SUMIF(B:B,"东塔台管制席",F:F)</f>
        <v>39.181111111111136</v>
      </c>
      <c r="K4" s="25">
        <f>SUMIF(B:B,"西塔台管制席",G:G)+SUMIF(B:B,"东塔台管制席",G:G)</f>
        <v>24.88444444444448</v>
      </c>
      <c r="L4" s="25">
        <f>SUMIF(B:B,"西塔台管制席",H:H)+SUMIF(B:B,"东塔台管制席",H:H)</f>
        <v>14.296666666666654</v>
      </c>
      <c r="M4" s="21"/>
    </row>
    <row r="5" spans="1:16" ht="18.75" x14ac:dyDescent="0.25">
      <c r="A5" s="12">
        <f t="shared" ca="1" si="0"/>
        <v>46174.246558796302</v>
      </c>
      <c r="B5" s="7" t="s">
        <v>66</v>
      </c>
      <c r="C5" s="13">
        <v>0.24655092592592601</v>
      </c>
      <c r="D5" s="13" t="s">
        <v>62</v>
      </c>
      <c r="E5" s="13">
        <v>0.30285879629629597</v>
      </c>
      <c r="F5" s="14">
        <f t="shared" si="1"/>
        <v>1.3513888888888792</v>
      </c>
      <c r="G5" s="15">
        <f t="shared" si="2"/>
        <v>0</v>
      </c>
      <c r="H5" s="15">
        <f t="shared" si="3"/>
        <v>1.3513888888888792</v>
      </c>
      <c r="I5" s="23" t="s">
        <v>67</v>
      </c>
      <c r="J5" s="24">
        <f>SUMIF(B:B,"西塔台协调席",F:F)+SUMIF(B:B,"东塔台协调席",F:F)</f>
        <v>36.397777777777719</v>
      </c>
      <c r="K5" s="25">
        <f>SUMIF(B:B,"西塔台协调席",G:G)+SUMIF(B:B,"东塔台协调席",G:G)</f>
        <v>27.207499999999968</v>
      </c>
      <c r="L5" s="25">
        <f>SUMIF(B:B,"西塔台协调席",H:H)+SUMIF(B:B,"东塔台协调席",H:H)</f>
        <v>9.1902777777777569</v>
      </c>
      <c r="M5" s="21"/>
    </row>
    <row r="6" spans="1:16" ht="18.75" x14ac:dyDescent="0.25">
      <c r="A6" s="12">
        <f t="shared" ca="1" si="0"/>
        <v>46176.355122569403</v>
      </c>
      <c r="B6" s="7" t="s">
        <v>69</v>
      </c>
      <c r="C6" s="13">
        <v>0.35511574074074098</v>
      </c>
      <c r="D6" s="13" t="s">
        <v>62</v>
      </c>
      <c r="E6" s="13">
        <v>0.42534722222222199</v>
      </c>
      <c r="F6" s="14">
        <f t="shared" si="1"/>
        <v>1.6855555555555441</v>
      </c>
      <c r="G6" s="15">
        <f t="shared" si="2"/>
        <v>1.6855555555555441</v>
      </c>
      <c r="H6" s="15">
        <f t="shared" si="3"/>
        <v>0</v>
      </c>
      <c r="I6" s="23" t="s">
        <v>68</v>
      </c>
      <c r="J6" s="24">
        <f>SUMIF(B:B,"放行席",F:F)</f>
        <v>2.2972222222222318</v>
      </c>
      <c r="K6" s="25">
        <f>SUMIF(B:B,"放行席",G:G)</f>
        <v>0</v>
      </c>
      <c r="L6" s="25">
        <f>SUMIF(B:B,"放行席",H:H)</f>
        <v>2.2972222222222318</v>
      </c>
      <c r="M6" s="21"/>
    </row>
    <row r="7" spans="1:16" ht="18.75" x14ac:dyDescent="0.25">
      <c r="A7" s="12">
        <f t="shared" ca="1" si="0"/>
        <v>46176.425389930599</v>
      </c>
      <c r="B7" s="7" t="s">
        <v>61</v>
      </c>
      <c r="C7" s="13">
        <v>0.42538194444444399</v>
      </c>
      <c r="D7" s="13" t="s">
        <v>62</v>
      </c>
      <c r="E7" s="13">
        <v>0.50866898148148099</v>
      </c>
      <c r="F7" s="14">
        <f t="shared" si="1"/>
        <v>1.9988888888888878</v>
      </c>
      <c r="G7" s="15">
        <f t="shared" si="2"/>
        <v>1.9988888888888878</v>
      </c>
      <c r="H7" s="15">
        <f t="shared" si="3"/>
        <v>0</v>
      </c>
      <c r="I7" s="23" t="s">
        <v>70</v>
      </c>
      <c r="J7" s="24">
        <f>SUMIF(B:B,"地面席",F:F)</f>
        <v>6.2480555555555775</v>
      </c>
      <c r="K7" s="25">
        <f>SUMIF(B:B,"地面席",G:G)</f>
        <v>0</v>
      </c>
      <c r="L7" s="25">
        <f>SUMIF(B:B,"地面席",H:H)</f>
        <v>6.2480555555555775</v>
      </c>
      <c r="M7" s="21"/>
    </row>
    <row r="8" spans="1:16" ht="18.75" x14ac:dyDescent="0.25">
      <c r="A8" s="12">
        <f t="shared" ca="1" si="0"/>
        <v>46176.646471296299</v>
      </c>
      <c r="B8" s="7" t="s">
        <v>66</v>
      </c>
      <c r="C8" s="13">
        <v>0.64646990740740695</v>
      </c>
      <c r="D8" s="13" t="s">
        <v>62</v>
      </c>
      <c r="E8" s="13">
        <v>0.76195601851851802</v>
      </c>
      <c r="F8" s="14">
        <f t="shared" si="1"/>
        <v>2.7716666666666656</v>
      </c>
      <c r="G8" s="15">
        <f t="shared" si="2"/>
        <v>2.7716666666666656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46176.875041319399</v>
      </c>
      <c r="B9" s="7" t="s">
        <v>61</v>
      </c>
      <c r="C9" s="13">
        <v>0.87503472222222201</v>
      </c>
      <c r="D9" s="13" t="s">
        <v>62</v>
      </c>
      <c r="E9" s="13">
        <v>0.96545138888888904</v>
      </c>
      <c r="F9" s="14">
        <f t="shared" si="1"/>
        <v>2.1700000000000088</v>
      </c>
      <c r="G9" s="15">
        <f t="shared" si="2"/>
        <v>2.1700000000000088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46177.416396296299</v>
      </c>
      <c r="B10" s="7" t="s">
        <v>64</v>
      </c>
      <c r="C10" s="13">
        <v>0.41638888888888897</v>
      </c>
      <c r="D10" s="13" t="s">
        <v>62</v>
      </c>
      <c r="E10" s="13">
        <v>0.51037037037037003</v>
      </c>
      <c r="F10" s="14">
        <f t="shared" si="1"/>
        <v>2.2555555555555453</v>
      </c>
      <c r="G10" s="15">
        <f t="shared" si="2"/>
        <v>2.2555555555555453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46177.586858564799</v>
      </c>
      <c r="B11" s="7" t="s">
        <v>61</v>
      </c>
      <c r="C11" s="13">
        <v>0.58685185185185196</v>
      </c>
      <c r="D11" s="13" t="s">
        <v>62</v>
      </c>
      <c r="E11" s="13">
        <v>0.62612268518518499</v>
      </c>
      <c r="F11" s="14">
        <f t="shared" si="1"/>
        <v>0.94249999999999279</v>
      </c>
      <c r="G11" s="15">
        <f t="shared" si="2"/>
        <v>0.94249999999999279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46177.626174074103</v>
      </c>
      <c r="B12" s="7" t="s">
        <v>64</v>
      </c>
      <c r="C12" s="13">
        <v>0.62616898148148104</v>
      </c>
      <c r="D12" s="13" t="s">
        <v>62</v>
      </c>
      <c r="E12" s="13">
        <v>0.75952546296296297</v>
      </c>
      <c r="F12" s="14">
        <f t="shared" si="1"/>
        <v>3.2005555555555665</v>
      </c>
      <c r="G12" s="15">
        <f t="shared" si="2"/>
        <v>3.2005555555555665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46177.833102430603</v>
      </c>
      <c r="B13" s="7" t="s">
        <v>66</v>
      </c>
      <c r="C13" s="13">
        <v>0.83310185185185204</v>
      </c>
      <c r="D13" s="13" t="s">
        <v>62</v>
      </c>
      <c r="E13" s="13">
        <v>0.96317129629629605</v>
      </c>
      <c r="F13" s="14">
        <f t="shared" si="1"/>
        <v>3.1216666666666564</v>
      </c>
      <c r="G13" s="15">
        <f t="shared" si="2"/>
        <v>3.1216666666666564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46178.2982746528</v>
      </c>
      <c r="B14" s="7" t="s">
        <v>69</v>
      </c>
      <c r="C14" s="13">
        <v>0.29826388888888899</v>
      </c>
      <c r="D14" s="13" t="s">
        <v>62</v>
      </c>
      <c r="E14" s="13">
        <v>0.36409722222222202</v>
      </c>
      <c r="F14" s="14">
        <f t="shared" si="1"/>
        <v>1.5799999999999925</v>
      </c>
      <c r="G14" s="15">
        <f t="shared" si="2"/>
        <v>0.73833333333333684</v>
      </c>
      <c r="H14" s="15">
        <f t="shared" si="3"/>
        <v>0.84166666666665568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46181.013780786998</v>
      </c>
      <c r="B15" s="7" t="s">
        <v>64</v>
      </c>
      <c r="C15" s="13">
        <v>1.37731481481481E-2</v>
      </c>
      <c r="D15" s="13" t="s">
        <v>62</v>
      </c>
      <c r="E15" s="13">
        <v>7.5185185185185202E-2</v>
      </c>
      <c r="F15" s="14">
        <f t="shared" si="1"/>
        <v>1.4738888888888904</v>
      </c>
      <c r="G15" s="15">
        <f t="shared" si="2"/>
        <v>0</v>
      </c>
      <c r="H15" s="15">
        <f t="shared" si="3"/>
        <v>1.4738888888888904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46181.075255208299</v>
      </c>
      <c r="B16" s="7" t="s">
        <v>61</v>
      </c>
      <c r="C16" s="13">
        <v>7.5254629629629602E-2</v>
      </c>
      <c r="D16" s="13" t="s">
        <v>62</v>
      </c>
      <c r="E16" s="13">
        <v>0.14527777777777801</v>
      </c>
      <c r="F16" s="14">
        <f t="shared" si="1"/>
        <v>1.6805555555555616</v>
      </c>
      <c r="G16" s="15">
        <f t="shared" si="2"/>
        <v>0</v>
      </c>
      <c r="H16" s="15">
        <f t="shared" si="3"/>
        <v>1.6805555555555616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46181.9570922454</v>
      </c>
      <c r="B17" s="7" t="s">
        <v>69</v>
      </c>
      <c r="C17" s="13">
        <v>0.95708333333333295</v>
      </c>
      <c r="D17" s="13" t="s">
        <v>62</v>
      </c>
      <c r="E17" s="13">
        <v>2.1087962962962999E-2</v>
      </c>
      <c r="F17" s="14">
        <f t="shared" si="1"/>
        <v>1.5361111111111212</v>
      </c>
      <c r="G17" s="15">
        <f t="shared" si="2"/>
        <v>1.0300000000000091</v>
      </c>
      <c r="H17" s="15">
        <f t="shared" si="3"/>
        <v>0.50611111111111196</v>
      </c>
      <c r="I17" s="37" t="s">
        <v>79</v>
      </c>
      <c r="J17" s="38">
        <f>J4+J5+J6+J7+J10</f>
        <v>84.124166666666667</v>
      </c>
      <c r="K17" s="39">
        <f>K4+K5+K6+K7+K10</f>
        <v>52.091944444444451</v>
      </c>
      <c r="L17" s="40">
        <f>L4+L5+L6+L7+L10</f>
        <v>32.032222222222217</v>
      </c>
      <c r="M17" s="41"/>
    </row>
    <row r="18" spans="1:13" ht="20.25" x14ac:dyDescent="0.25">
      <c r="A18" s="12">
        <f t="shared" ca="1" si="0"/>
        <v>46182.021125694402</v>
      </c>
      <c r="B18" s="7" t="s">
        <v>66</v>
      </c>
      <c r="C18" s="13">
        <v>2.1122685185185199E-2</v>
      </c>
      <c r="D18" s="13" t="s">
        <v>62</v>
      </c>
      <c r="E18" s="13">
        <v>0.13715277777777801</v>
      </c>
      <c r="F18" s="14">
        <f t="shared" si="1"/>
        <v>2.7847222222222276</v>
      </c>
      <c r="G18" s="15">
        <f t="shared" si="2"/>
        <v>0</v>
      </c>
      <c r="H18" s="15">
        <f t="shared" si="3"/>
        <v>2.7847222222222276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46185.1387725694</v>
      </c>
      <c r="B19" s="7" t="s">
        <v>82</v>
      </c>
      <c r="C19" s="13">
        <v>0.138761574074074</v>
      </c>
      <c r="D19" s="13" t="s">
        <v>62</v>
      </c>
      <c r="E19" s="13">
        <v>0.30517361111111102</v>
      </c>
      <c r="F19" s="14">
        <f t="shared" si="1"/>
        <v>3.9938888888888888</v>
      </c>
      <c r="G19" s="15">
        <f t="shared" si="2"/>
        <v>0</v>
      </c>
      <c r="H19" s="15">
        <f t="shared" si="3"/>
        <v>3.9938888888888888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46186.139267129598</v>
      </c>
      <c r="B20" s="7" t="s">
        <v>82</v>
      </c>
      <c r="C20" s="13">
        <v>0.139259259259259</v>
      </c>
      <c r="D20" s="13" t="s">
        <v>62</v>
      </c>
      <c r="E20" s="13">
        <v>0.23166666666666699</v>
      </c>
      <c r="F20" s="14">
        <f t="shared" si="1"/>
        <v>2.2177777777777918</v>
      </c>
      <c r="G20" s="15">
        <f t="shared" si="2"/>
        <v>0</v>
      </c>
      <c r="H20" s="15">
        <f t="shared" si="3"/>
        <v>2.2177777777777918</v>
      </c>
      <c r="I20" s="42" t="s">
        <v>81</v>
      </c>
      <c r="J20" s="65">
        <f>J16+J17+J18+J19</f>
        <v>84.124166666666667</v>
      </c>
      <c r="K20" s="66"/>
      <c r="L20" s="67"/>
      <c r="M20" s="43"/>
    </row>
    <row r="21" spans="1:13" ht="20.25" x14ac:dyDescent="0.25">
      <c r="A21" s="12">
        <f t="shared" ca="1" si="0"/>
        <v>46188.357879050898</v>
      </c>
      <c r="B21" s="7" t="s">
        <v>66</v>
      </c>
      <c r="C21" s="13">
        <v>0.35787037037037001</v>
      </c>
      <c r="D21" s="13" t="s">
        <v>62</v>
      </c>
      <c r="E21" s="13">
        <v>0.50855324074074104</v>
      </c>
      <c r="F21" s="14">
        <f t="shared" si="1"/>
        <v>3.6163888888889049</v>
      </c>
      <c r="G21" s="15">
        <f t="shared" si="2"/>
        <v>3.6163888888889049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46188.646292013902</v>
      </c>
      <c r="B22" s="7" t="s">
        <v>61</v>
      </c>
      <c r="C22" s="13">
        <v>0.646284722222222</v>
      </c>
      <c r="D22" s="13" t="s">
        <v>62</v>
      </c>
      <c r="E22" s="13">
        <v>0.76010416666666702</v>
      </c>
      <c r="F22" s="14">
        <f t="shared" si="1"/>
        <v>2.7316666666666807</v>
      </c>
      <c r="G22" s="15">
        <f t="shared" si="2"/>
        <v>2.7316666666666807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46188.874394675899</v>
      </c>
      <c r="B23" s="7" t="s">
        <v>66</v>
      </c>
      <c r="C23" s="13">
        <v>0.87438657407407405</v>
      </c>
      <c r="D23" s="13" t="s">
        <v>62</v>
      </c>
      <c r="E23" s="13">
        <v>0.95863425925925905</v>
      </c>
      <c r="F23" s="14">
        <f t="shared" si="1"/>
        <v>2.0219444444444399</v>
      </c>
      <c r="G23" s="15">
        <f t="shared" si="2"/>
        <v>2.0219444444444399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46189.299175231499</v>
      </c>
      <c r="B24" s="7" t="s">
        <v>61</v>
      </c>
      <c r="C24" s="13">
        <v>0.29916666666666702</v>
      </c>
      <c r="D24" s="13" t="s">
        <v>62</v>
      </c>
      <c r="E24" s="13">
        <v>0.421724537037037</v>
      </c>
      <c r="F24" s="14">
        <f t="shared" si="1"/>
        <v>2.9413888888888793</v>
      </c>
      <c r="G24" s="15">
        <f t="shared" si="2"/>
        <v>2.1213888888888963</v>
      </c>
      <c r="H24" s="15">
        <f t="shared" si="3"/>
        <v>0.81999999999998296</v>
      </c>
      <c r="I24"/>
      <c r="J24"/>
    </row>
    <row r="25" spans="1:13" ht="18.75" x14ac:dyDescent="0.15">
      <c r="A25" s="12">
        <f t="shared" ca="1" si="0"/>
        <v>46189.499341666698</v>
      </c>
      <c r="B25" s="7" t="s">
        <v>61</v>
      </c>
      <c r="C25" s="13">
        <v>0.49934027777777801</v>
      </c>
      <c r="D25" s="13" t="s">
        <v>62</v>
      </c>
      <c r="E25" s="13">
        <v>0.53031249999999996</v>
      </c>
      <c r="F25" s="14">
        <f t="shared" si="1"/>
        <v>0.74333333333332696</v>
      </c>
      <c r="G25" s="15">
        <f t="shared" si="2"/>
        <v>0.74333333333332696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46189.543143865703</v>
      </c>
      <c r="B26" s="7" t="s">
        <v>61</v>
      </c>
      <c r="C26" s="13">
        <v>0.54313657407407401</v>
      </c>
      <c r="D26" s="13" t="s">
        <v>62</v>
      </c>
      <c r="E26" s="13">
        <v>0.63142361111111101</v>
      </c>
      <c r="F26" s="14">
        <f t="shared" si="1"/>
        <v>2.1188888888888879</v>
      </c>
      <c r="G26" s="15">
        <f t="shared" si="2"/>
        <v>2.1188888888888879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46189.749306597201</v>
      </c>
      <c r="B27" s="7" t="s">
        <v>66</v>
      </c>
      <c r="C27" s="13">
        <v>0.749305555555556</v>
      </c>
      <c r="D27" s="13" t="s">
        <v>62</v>
      </c>
      <c r="E27" s="13">
        <v>0.83788194444444397</v>
      </c>
      <c r="F27" s="14">
        <f t="shared" si="1"/>
        <v>2.1258333333333113</v>
      </c>
      <c r="G27" s="15">
        <f t="shared" si="2"/>
        <v>2.1258333333333113</v>
      </c>
      <c r="H27" s="15">
        <f t="shared" si="3"/>
        <v>0</v>
      </c>
      <c r="I27"/>
      <c r="J27"/>
    </row>
    <row r="28" spans="1:13" ht="18.75" x14ac:dyDescent="0.15">
      <c r="A28" s="12">
        <f t="shared" ca="1" si="0"/>
        <v>46192.951594560203</v>
      </c>
      <c r="B28" s="7" t="s">
        <v>64</v>
      </c>
      <c r="C28" s="13">
        <v>0.95158564814814794</v>
      </c>
      <c r="D28" s="13" t="s">
        <v>62</v>
      </c>
      <c r="E28" s="13">
        <v>0.113761574074074</v>
      </c>
      <c r="F28" s="14">
        <f t="shared" si="1"/>
        <v>3.8922222222222254</v>
      </c>
      <c r="G28" s="15">
        <f t="shared" si="2"/>
        <v>1.1619444444444493</v>
      </c>
      <c r="H28" s="15">
        <f t="shared" si="3"/>
        <v>2.730277777777776</v>
      </c>
      <c r="I28"/>
      <c r="J28"/>
    </row>
    <row r="29" spans="1:13" ht="18.75" x14ac:dyDescent="0.15">
      <c r="A29" s="12">
        <f t="shared" ca="1" si="0"/>
        <v>46193.113743865702</v>
      </c>
      <c r="B29" s="7" t="s">
        <v>69</v>
      </c>
      <c r="C29" s="13">
        <v>0.11373842592592601</v>
      </c>
      <c r="D29" s="13" t="s">
        <v>62</v>
      </c>
      <c r="E29" s="13">
        <v>0.145393518518519</v>
      </c>
      <c r="F29" s="14">
        <f t="shared" si="1"/>
        <v>0.75972222222223196</v>
      </c>
      <c r="G29" s="15">
        <f t="shared" si="2"/>
        <v>0</v>
      </c>
      <c r="H29" s="15">
        <f t="shared" si="3"/>
        <v>0.75972222222223196</v>
      </c>
      <c r="I29"/>
      <c r="J29"/>
    </row>
    <row r="30" spans="1:13" ht="18.75" x14ac:dyDescent="0.15">
      <c r="A30" s="12">
        <f t="shared" ca="1" si="0"/>
        <v>46194.013203588001</v>
      </c>
      <c r="B30" s="7" t="s">
        <v>61</v>
      </c>
      <c r="C30" s="13">
        <v>1.3194444444444399E-2</v>
      </c>
      <c r="D30" s="13" t="s">
        <v>62</v>
      </c>
      <c r="E30" s="13">
        <v>0.144837962962963</v>
      </c>
      <c r="F30" s="14">
        <f t="shared" si="1"/>
        <v>3.1594444444444463</v>
      </c>
      <c r="G30" s="15">
        <f t="shared" si="2"/>
        <v>0</v>
      </c>
      <c r="H30" s="15">
        <f t="shared" si="3"/>
        <v>3.1594444444444463</v>
      </c>
      <c r="I30"/>
      <c r="J30"/>
    </row>
    <row r="31" spans="1:13" ht="18.75" x14ac:dyDescent="0.15">
      <c r="A31" s="12">
        <f t="shared" ca="1" si="0"/>
        <v>46197.139512962996</v>
      </c>
      <c r="B31" s="7" t="s">
        <v>69</v>
      </c>
      <c r="C31" s="13">
        <v>0.13950231481481501</v>
      </c>
      <c r="D31" s="13" t="s">
        <v>62</v>
      </c>
      <c r="E31" s="13">
        <v>0.30403935185185199</v>
      </c>
      <c r="F31" s="14">
        <f t="shared" si="1"/>
        <v>3.9488888888888876</v>
      </c>
      <c r="G31" s="15">
        <f t="shared" si="2"/>
        <v>0</v>
      </c>
      <c r="H31" s="15">
        <f t="shared" si="3"/>
        <v>3.9488888888888876</v>
      </c>
      <c r="I31"/>
      <c r="J31"/>
    </row>
    <row r="32" spans="1:13" ht="18.75" x14ac:dyDescent="0.15">
      <c r="A32" s="12">
        <f t="shared" ca="1" si="0"/>
        <v>46198.130669791703</v>
      </c>
      <c r="B32" s="7" t="s">
        <v>83</v>
      </c>
      <c r="C32" s="13">
        <v>0.130659722222222</v>
      </c>
      <c r="D32" s="13" t="s">
        <v>62</v>
      </c>
      <c r="E32" s="13">
        <v>0.22637731481481499</v>
      </c>
      <c r="F32" s="14">
        <f t="shared" si="1"/>
        <v>2.2972222222222318</v>
      </c>
      <c r="G32" s="15">
        <f t="shared" si="2"/>
        <v>0</v>
      </c>
      <c r="H32" s="15">
        <f t="shared" si="3"/>
        <v>2.2972222222222318</v>
      </c>
      <c r="I32"/>
      <c r="J32"/>
    </row>
    <row r="33" spans="1:11" ht="18.75" x14ac:dyDescent="0.15">
      <c r="A33" s="12">
        <f t="shared" ca="1" si="0"/>
        <v>46200.5007638889</v>
      </c>
      <c r="B33" s="7" t="s">
        <v>69</v>
      </c>
      <c r="C33" s="13">
        <v>0.50076388888888901</v>
      </c>
      <c r="D33" s="13" t="s">
        <v>62</v>
      </c>
      <c r="E33" s="13">
        <v>0.64877314814814802</v>
      </c>
      <c r="F33" s="14">
        <f t="shared" si="1"/>
        <v>3.5522222222222162</v>
      </c>
      <c r="G33" s="15">
        <f t="shared" si="2"/>
        <v>3.5522222222222162</v>
      </c>
      <c r="H33" s="15">
        <f t="shared" si="3"/>
        <v>0</v>
      </c>
      <c r="I33"/>
      <c r="J33"/>
    </row>
    <row r="34" spans="1:11" ht="18.75" x14ac:dyDescent="0.15">
      <c r="A34" s="12">
        <f t="shared" ca="1" si="0"/>
        <v>46200.753756481499</v>
      </c>
      <c r="B34" s="7" t="s">
        <v>64</v>
      </c>
      <c r="C34" s="13">
        <v>0.75375000000000003</v>
      </c>
      <c r="D34" s="13" t="s">
        <v>62</v>
      </c>
      <c r="E34" s="13">
        <v>0.88299768518518496</v>
      </c>
      <c r="F34" s="14">
        <f t="shared" si="1"/>
        <v>3.1019444444444382</v>
      </c>
      <c r="G34" s="15">
        <f t="shared" si="2"/>
        <v>3.1019444444444382</v>
      </c>
      <c r="H34" s="15">
        <f t="shared" si="3"/>
        <v>0</v>
      </c>
      <c r="I34"/>
      <c r="J34"/>
    </row>
    <row r="35" spans="1:11" ht="18.75" x14ac:dyDescent="0.15">
      <c r="A35" s="12">
        <f t="shared" ca="1" si="0"/>
        <v>46201.416922569399</v>
      </c>
      <c r="B35" s="7" t="s">
        <v>69</v>
      </c>
      <c r="C35" s="13">
        <v>0.41692129629629598</v>
      </c>
      <c r="D35" s="13" t="s">
        <v>62</v>
      </c>
      <c r="E35" s="13">
        <v>0.503078703703704</v>
      </c>
      <c r="F35" s="14">
        <f t="shared" si="1"/>
        <v>2.0677777777777924</v>
      </c>
      <c r="G35" s="15">
        <f t="shared" si="2"/>
        <v>2.0677777777777924</v>
      </c>
      <c r="H35" s="15">
        <f t="shared" si="3"/>
        <v>0</v>
      </c>
      <c r="I35"/>
      <c r="J35"/>
    </row>
    <row r="36" spans="1:11" ht="18.75" x14ac:dyDescent="0.15">
      <c r="A36" s="12">
        <f t="shared" ca="1" si="0"/>
        <v>46201.624575578702</v>
      </c>
      <c r="B36" s="7" t="s">
        <v>64</v>
      </c>
      <c r="C36" s="13">
        <v>0.62457175925925901</v>
      </c>
      <c r="D36" s="13" t="s">
        <v>62</v>
      </c>
      <c r="E36" s="13">
        <v>0.75506944444444402</v>
      </c>
      <c r="F36" s="14">
        <f t="shared" si="1"/>
        <v>3.1319444444444402</v>
      </c>
      <c r="G36" s="15">
        <f t="shared" si="2"/>
        <v>3.1319444444444402</v>
      </c>
      <c r="H36" s="15">
        <f t="shared" si="3"/>
        <v>0</v>
      </c>
      <c r="I36"/>
      <c r="J36"/>
    </row>
    <row r="37" spans="1:11" ht="18.75" x14ac:dyDescent="0.15">
      <c r="A37" s="12">
        <f t="shared" ca="1" si="0"/>
        <v>46201.8335822917</v>
      </c>
      <c r="B37" s="7" t="s">
        <v>69</v>
      </c>
      <c r="C37" s="13">
        <v>0.83357638888888896</v>
      </c>
      <c r="D37" s="13" t="s">
        <v>62</v>
      </c>
      <c r="E37" s="13">
        <v>0.95790509259259304</v>
      </c>
      <c r="F37" s="14">
        <f t="shared" si="1"/>
        <v>2.9838888888888979</v>
      </c>
      <c r="G37" s="15">
        <f t="shared" si="2"/>
        <v>2.9838888888888979</v>
      </c>
      <c r="H37" s="15">
        <f t="shared" si="3"/>
        <v>0</v>
      </c>
      <c r="I37"/>
      <c r="J37"/>
    </row>
    <row r="38" spans="1:11" ht="18.75" x14ac:dyDescent="0.15">
      <c r="A38" s="12">
        <f t="shared" ca="1" si="0"/>
        <v>46202.297923842598</v>
      </c>
      <c r="B38" s="7" t="s">
        <v>64</v>
      </c>
      <c r="C38" s="13">
        <v>0.297916666666667</v>
      </c>
      <c r="D38" s="13" t="s">
        <v>62</v>
      </c>
      <c r="E38" s="13">
        <v>0.362418981481481</v>
      </c>
      <c r="F38" s="14">
        <f t="shared" si="1"/>
        <v>1.548055555555536</v>
      </c>
      <c r="G38" s="15">
        <f t="shared" si="2"/>
        <v>0.69805555555555232</v>
      </c>
      <c r="H38" s="15">
        <f t="shared" si="3"/>
        <v>0.84999999999998366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46174.132151851903</v>
      </c>
      <c r="B3" s="7" t="s">
        <v>83</v>
      </c>
      <c r="C3" s="13">
        <v>0.132141203703704</v>
      </c>
      <c r="D3" s="13" t="s">
        <v>62</v>
      </c>
      <c r="E3" s="13">
        <v>0.2175</v>
      </c>
      <c r="F3" s="14">
        <f t="shared" ref="F3:F42" si="1">(IF(E3-C3&lt;0,"24:00"-C3+E3,E3-C3))*24</f>
        <v>2.0486111111111041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2.0486111111111041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46177.137526967599</v>
      </c>
      <c r="B4" s="7" t="s">
        <v>61</v>
      </c>
      <c r="C4" s="13">
        <v>0.13752314814814801</v>
      </c>
      <c r="D4" s="13" t="s">
        <v>62</v>
      </c>
      <c r="E4" s="13">
        <v>0.22855324074074099</v>
      </c>
      <c r="F4" s="14">
        <f t="shared" si="1"/>
        <v>2.1847222222222316</v>
      </c>
      <c r="G4" s="15">
        <f t="shared" si="2"/>
        <v>0</v>
      </c>
      <c r="H4" s="15">
        <f t="shared" si="3"/>
        <v>2.1847222222222316</v>
      </c>
      <c r="I4" s="23" t="s">
        <v>65</v>
      </c>
      <c r="J4" s="24">
        <f>SUMIF(B:B,"西塔台管制席",F:F)+SUMIF(B:B,"东塔台管制席",F:F)</f>
        <v>18.799722222222218</v>
      </c>
      <c r="K4" s="25">
        <f>SUMIF(B:B,"西塔台管制席",G:G)+SUMIF(B:B,"东塔台管制席",G:G)</f>
        <v>13.461111111111098</v>
      </c>
      <c r="L4" s="25">
        <f>SUMIF(B:B,"西塔台管制席",H:H)+SUMIF(B:B,"东塔台管制席",H:H)</f>
        <v>5.3386111111111205</v>
      </c>
      <c r="M4" s="21"/>
    </row>
    <row r="5" spans="1:16" ht="18.75" x14ac:dyDescent="0.25">
      <c r="A5" s="12">
        <f t="shared" ca="1" si="0"/>
        <v>46177.228613310202</v>
      </c>
      <c r="B5" s="7" t="s">
        <v>64</v>
      </c>
      <c r="C5" s="13">
        <v>0.22861111111111099</v>
      </c>
      <c r="D5" s="13" t="s">
        <v>62</v>
      </c>
      <c r="E5" s="13">
        <v>0.30525462962963001</v>
      </c>
      <c r="F5" s="14">
        <f t="shared" si="1"/>
        <v>1.8394444444444566</v>
      </c>
      <c r="G5" s="15">
        <f t="shared" si="2"/>
        <v>0</v>
      </c>
      <c r="H5" s="15">
        <f t="shared" si="3"/>
        <v>1.8394444444444566</v>
      </c>
      <c r="I5" s="23" t="s">
        <v>67</v>
      </c>
      <c r="J5" s="24">
        <f>SUMIF(B:B,"西塔台协调席",F:F)+SUMIF(B:B,"东塔台协调席",F:F)</f>
        <v>18.945555555555554</v>
      </c>
      <c r="K5" s="25">
        <f>SUMIF(B:B,"西塔台协调席",G:G)+SUMIF(B:B,"东塔台协调席",G:G)</f>
        <v>14.832222222222217</v>
      </c>
      <c r="L5" s="25">
        <f>SUMIF(B:B,"西塔台协调席",H:H)+SUMIF(B:B,"东塔台协调席",H:H)</f>
        <v>4.1133333333333368</v>
      </c>
      <c r="M5" s="21"/>
    </row>
    <row r="6" spans="1:16" ht="18.75" x14ac:dyDescent="0.25">
      <c r="A6" s="12">
        <f t="shared" ca="1" si="0"/>
        <v>46178.133374074103</v>
      </c>
      <c r="B6" s="7" t="s">
        <v>83</v>
      </c>
      <c r="C6" s="13">
        <v>0.133368055555556</v>
      </c>
      <c r="D6" s="13" t="s">
        <v>62</v>
      </c>
      <c r="E6" s="13">
        <v>0.25206018518518503</v>
      </c>
      <c r="F6" s="14">
        <f t="shared" si="1"/>
        <v>2.8486111111110963</v>
      </c>
      <c r="G6" s="15">
        <f t="shared" si="2"/>
        <v>0</v>
      </c>
      <c r="H6" s="15">
        <f t="shared" si="3"/>
        <v>2.8486111111110963</v>
      </c>
      <c r="I6" s="23" t="s">
        <v>68</v>
      </c>
      <c r="J6" s="24">
        <f>SUMIF(B:B,"放行席",F:F)</f>
        <v>7.267777777777753</v>
      </c>
      <c r="K6" s="25">
        <f>SUMIF(B:B,"放行席",G:G)</f>
        <v>0</v>
      </c>
      <c r="L6" s="25">
        <f>SUMIF(B:B,"放行席",H:H)</f>
        <v>7.267777777777753</v>
      </c>
      <c r="M6" s="21"/>
    </row>
    <row r="7" spans="1:16" ht="18.75" x14ac:dyDescent="0.25">
      <c r="A7" s="12">
        <f t="shared" ca="1" si="0"/>
        <v>46188.500926157401</v>
      </c>
      <c r="B7" s="7" t="s">
        <v>61</v>
      </c>
      <c r="C7" s="13">
        <v>0.500925925925926</v>
      </c>
      <c r="D7" s="13" t="s">
        <v>62</v>
      </c>
      <c r="E7" s="13">
        <v>0.52854166666666702</v>
      </c>
      <c r="F7" s="14">
        <f t="shared" si="1"/>
        <v>0.66277777777778457</v>
      </c>
      <c r="G7" s="15">
        <f t="shared" si="2"/>
        <v>0.66277777777778457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46188.544051620403</v>
      </c>
      <c r="B8" s="7" t="s">
        <v>61</v>
      </c>
      <c r="C8" s="13">
        <v>0.54405092592592597</v>
      </c>
      <c r="D8" s="13" t="s">
        <v>62</v>
      </c>
      <c r="E8" s="13">
        <v>0.65287037037036999</v>
      </c>
      <c r="F8" s="14">
        <f t="shared" si="1"/>
        <v>2.6116666666666566</v>
      </c>
      <c r="G8" s="15">
        <f t="shared" si="2"/>
        <v>2.6116666666666566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46188.754492476903</v>
      </c>
      <c r="B9" s="7" t="s">
        <v>66</v>
      </c>
      <c r="C9" s="13">
        <v>0.75449074074074096</v>
      </c>
      <c r="D9" s="13" t="s">
        <v>62</v>
      </c>
      <c r="E9" s="13">
        <v>0.87909722222222197</v>
      </c>
      <c r="F9" s="14">
        <f t="shared" si="1"/>
        <v>2.9905555555555443</v>
      </c>
      <c r="G9" s="15">
        <f t="shared" si="2"/>
        <v>2.9905555555555443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46189.432832291699</v>
      </c>
      <c r="B10" s="7" t="s">
        <v>66</v>
      </c>
      <c r="C10" s="13">
        <v>0.43282407407407397</v>
      </c>
      <c r="D10" s="13" t="s">
        <v>62</v>
      </c>
      <c r="E10" s="13">
        <v>0.51956018518518499</v>
      </c>
      <c r="F10" s="14">
        <f t="shared" si="1"/>
        <v>2.0816666666666643</v>
      </c>
      <c r="G10" s="15">
        <f t="shared" si="2"/>
        <v>2.0816666666666643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46189.626227893503</v>
      </c>
      <c r="B11" s="7" t="s">
        <v>61</v>
      </c>
      <c r="C11" s="13">
        <v>0.62622685185185201</v>
      </c>
      <c r="D11" s="13" t="s">
        <v>62</v>
      </c>
      <c r="E11" s="13">
        <v>0.75788194444444401</v>
      </c>
      <c r="F11" s="14">
        <f t="shared" si="1"/>
        <v>3.1597222222222081</v>
      </c>
      <c r="G11" s="15">
        <f t="shared" si="2"/>
        <v>3.1597222222222081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46189.833008911999</v>
      </c>
      <c r="B12" s="7" t="s">
        <v>66</v>
      </c>
      <c r="C12" s="13">
        <v>0.83300925925925895</v>
      </c>
      <c r="D12" s="13" t="s">
        <v>62</v>
      </c>
      <c r="E12" s="13">
        <v>0.95615740740740696</v>
      </c>
      <c r="F12" s="14">
        <f t="shared" si="1"/>
        <v>2.9555555555555522</v>
      </c>
      <c r="G12" s="15">
        <f t="shared" si="2"/>
        <v>2.9555555555555522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46190.299438541697</v>
      </c>
      <c r="B13" s="7" t="s">
        <v>61</v>
      </c>
      <c r="C13" s="13">
        <v>0.29943287037036997</v>
      </c>
      <c r="D13" s="13" t="s">
        <v>62</v>
      </c>
      <c r="E13" s="13">
        <v>0.36391203703703701</v>
      </c>
      <c r="F13" s="14">
        <f t="shared" si="1"/>
        <v>1.5475000000000088</v>
      </c>
      <c r="G13" s="15">
        <f t="shared" si="2"/>
        <v>0.73388888888889658</v>
      </c>
      <c r="H13" s="15">
        <f t="shared" si="3"/>
        <v>0.81361111111111217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46197.1303513889</v>
      </c>
      <c r="B14" s="7" t="s">
        <v>83</v>
      </c>
      <c r="C14" s="13">
        <v>0.130347222222222</v>
      </c>
      <c r="D14" s="13" t="s">
        <v>62</v>
      </c>
      <c r="E14" s="13">
        <v>0.22912037037037</v>
      </c>
      <c r="F14" s="14">
        <f t="shared" si="1"/>
        <v>2.3705555555555522</v>
      </c>
      <c r="G14" s="15">
        <f t="shared" si="2"/>
        <v>0</v>
      </c>
      <c r="H14" s="15">
        <f t="shared" si="3"/>
        <v>2.3705555555555522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46198.138012037001</v>
      </c>
      <c r="B15" s="7" t="s">
        <v>61</v>
      </c>
      <c r="C15" s="13">
        <v>0.138009259259259</v>
      </c>
      <c r="D15" s="13" t="s">
        <v>62</v>
      </c>
      <c r="E15" s="13">
        <v>0.23552083333333301</v>
      </c>
      <c r="F15" s="14">
        <f t="shared" si="1"/>
        <v>2.3402777777777763</v>
      </c>
      <c r="G15" s="15">
        <f t="shared" si="2"/>
        <v>0</v>
      </c>
      <c r="H15" s="15">
        <f t="shared" si="3"/>
        <v>2.3402777777777763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46198.2355648148</v>
      </c>
      <c r="B16" s="7" t="s">
        <v>64</v>
      </c>
      <c r="C16" s="13">
        <v>0.23555555555555599</v>
      </c>
      <c r="D16" s="13" t="s">
        <v>62</v>
      </c>
      <c r="E16" s="13">
        <v>0.30416666666666697</v>
      </c>
      <c r="F16" s="14">
        <f t="shared" si="1"/>
        <v>1.6466666666666636</v>
      </c>
      <c r="G16" s="15">
        <f t="shared" si="2"/>
        <v>0</v>
      </c>
      <c r="H16" s="15">
        <f t="shared" si="3"/>
        <v>1.6466666666666636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46200.357824999999</v>
      </c>
      <c r="B17" s="7" t="s">
        <v>69</v>
      </c>
      <c r="C17" s="13">
        <v>0.35782407407407402</v>
      </c>
      <c r="D17" s="13" t="s">
        <v>62</v>
      </c>
      <c r="E17" s="13">
        <v>0.50664351851851896</v>
      </c>
      <c r="F17" s="14">
        <f t="shared" si="1"/>
        <v>3.5716666666666788</v>
      </c>
      <c r="G17" s="15">
        <f t="shared" si="2"/>
        <v>3.5716666666666788</v>
      </c>
      <c r="H17" s="15">
        <f t="shared" si="3"/>
        <v>0</v>
      </c>
      <c r="I17" s="37" t="s">
        <v>79</v>
      </c>
      <c r="J17" s="38">
        <f>J4+J5+J6+J7+J10</f>
        <v>45.013055555555525</v>
      </c>
      <c r="K17" s="39">
        <f>K4+K5+K6+K7+K10</f>
        <v>28.293333333333315</v>
      </c>
      <c r="L17" s="40">
        <f>L4+L5+L6+L7+L10</f>
        <v>16.719722222222209</v>
      </c>
      <c r="M17" s="41"/>
    </row>
    <row r="18" spans="1:13" ht="20.25" x14ac:dyDescent="0.25">
      <c r="A18" s="12">
        <f t="shared" ca="1" si="0"/>
        <v>46200.644818402798</v>
      </c>
      <c r="B18" s="7" t="s">
        <v>64</v>
      </c>
      <c r="C18" s="13">
        <v>0.64481481481481495</v>
      </c>
      <c r="D18" s="13" t="s">
        <v>62</v>
      </c>
      <c r="E18" s="13">
        <v>0.75869212962962995</v>
      </c>
      <c r="F18" s="14">
        <f t="shared" si="1"/>
        <v>2.73305555555556</v>
      </c>
      <c r="G18" s="15">
        <f t="shared" si="2"/>
        <v>2.73305555555556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46200.879832638901</v>
      </c>
      <c r="B19" s="7" t="s">
        <v>64</v>
      </c>
      <c r="C19" s="13">
        <v>0.87982638888888898</v>
      </c>
      <c r="D19" s="13" t="s">
        <v>62</v>
      </c>
      <c r="E19" s="13">
        <v>0.95810185185185204</v>
      </c>
      <c r="F19" s="14">
        <f t="shared" si="1"/>
        <v>1.8786111111111135</v>
      </c>
      <c r="G19" s="15">
        <f t="shared" si="2"/>
        <v>1.8786111111111135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46201.307204513898</v>
      </c>
      <c r="B20" s="7" t="s">
        <v>64</v>
      </c>
      <c r="C20" s="13">
        <v>0.30719907407407399</v>
      </c>
      <c r="D20" s="13" t="s">
        <v>62</v>
      </c>
      <c r="E20" s="13">
        <v>0.42469907407407398</v>
      </c>
      <c r="F20" s="14">
        <f t="shared" si="1"/>
        <v>2.82</v>
      </c>
      <c r="G20" s="15">
        <f t="shared" si="2"/>
        <v>2.1927777777777839</v>
      </c>
      <c r="H20" s="15">
        <f t="shared" si="3"/>
        <v>0.62722222222221591</v>
      </c>
      <c r="I20" s="42" t="s">
        <v>81</v>
      </c>
      <c r="J20" s="65">
        <f>J16+J17+J18+J19</f>
        <v>45.013055555555525</v>
      </c>
      <c r="K20" s="66"/>
      <c r="L20" s="67"/>
      <c r="M20" s="43"/>
    </row>
    <row r="21" spans="1:13" ht="20.25" x14ac:dyDescent="0.25">
      <c r="A21" s="12">
        <f t="shared" ca="1" si="0"/>
        <v>46201.498861921304</v>
      </c>
      <c r="B21" s="7" t="s">
        <v>61</v>
      </c>
      <c r="C21" s="13">
        <v>0.49885416666666699</v>
      </c>
      <c r="D21" s="13" t="s">
        <v>62</v>
      </c>
      <c r="E21" s="13">
        <v>0.58601851851851805</v>
      </c>
      <c r="F21" s="14">
        <f t="shared" si="1"/>
        <v>2.0919444444444255</v>
      </c>
      <c r="G21" s="15">
        <f t="shared" si="2"/>
        <v>2.0919444444444255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46201.604236689796</v>
      </c>
      <c r="B22" s="7" t="s">
        <v>61</v>
      </c>
      <c r="C22" s="13">
        <v>0.60423611111111097</v>
      </c>
      <c r="D22" s="13" t="s">
        <v>62</v>
      </c>
      <c r="E22" s="13">
        <v>0.630462962962963</v>
      </c>
      <c r="F22" s="14">
        <f t="shared" si="1"/>
        <v>0.62944444444444869</v>
      </c>
      <c r="G22" s="15">
        <f t="shared" si="2"/>
        <v>0.62944444444444869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2"/>
  <sheetViews>
    <sheetView topLeftCell="A13" zoomScale="85" zoomScaleNormal="85" workbookViewId="0">
      <selection activeCell="D34" sqref="D34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" ca="1" si="0">IF(B3="","",IF(A3="",NOW(),A3))</f>
        <v>46174.014013425898</v>
      </c>
      <c r="B3" s="7" t="s">
        <v>61</v>
      </c>
      <c r="C3" s="13">
        <v>0</v>
      </c>
      <c r="D3" s="13" t="s">
        <v>62</v>
      </c>
      <c r="E3" s="13">
        <v>0.13871527777777801</v>
      </c>
      <c r="F3" s="14">
        <f t="shared" ref="F3:F42" si="1">(IF(E3-C3&lt;0,"24:00"-C3+E3,E3-C3))*24</f>
        <v>3.3291666666666719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3.3291666666666719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ref="A4:A42" ca="1" si="4">IF(B4="","",IF(A4="",NOW(),A4))</f>
        <v>46177.137284722201</v>
      </c>
      <c r="B4" s="7" t="s">
        <v>82</v>
      </c>
      <c r="C4" s="13">
        <v>0.13728009259259299</v>
      </c>
      <c r="D4" s="13" t="s">
        <v>62</v>
      </c>
      <c r="E4" s="13">
        <v>0.22614583333333299</v>
      </c>
      <c r="F4" s="14">
        <f t="shared" si="1"/>
        <v>2.1327777777777599</v>
      </c>
      <c r="G4" s="15">
        <f t="shared" si="2"/>
        <v>0</v>
      </c>
      <c r="H4" s="15">
        <f t="shared" si="3"/>
        <v>2.1327777777777599</v>
      </c>
      <c r="I4" s="23" t="s">
        <v>65</v>
      </c>
      <c r="J4" s="24">
        <f>SUMIF(B:B,"西塔台管制席",F:F)+SUMIF(B:B,"东塔台管制席",F:F)</f>
        <v>53.72555555555558</v>
      </c>
      <c r="K4" s="25">
        <f>SUMIF(B:B,"西塔台管制席",G:G)+SUMIF(B:B,"东塔台管制席",G:G)</f>
        <v>20.683888888888948</v>
      </c>
      <c r="L4" s="25">
        <f>SUMIF(B:B,"西塔台管制席",H:H)+SUMIF(B:B,"东塔台管制席",H:H)</f>
        <v>33.041666666666629</v>
      </c>
      <c r="M4" s="21"/>
    </row>
    <row r="5" spans="1:16" ht="18.75" x14ac:dyDescent="0.25">
      <c r="A5" s="12">
        <f t="shared" ca="1" si="4"/>
        <v>46177.625991435198</v>
      </c>
      <c r="B5" s="7" t="s">
        <v>69</v>
      </c>
      <c r="C5" s="13">
        <v>0.62598379629629597</v>
      </c>
      <c r="D5" s="13" t="s">
        <v>62</v>
      </c>
      <c r="E5" s="13">
        <v>0.75586805555555603</v>
      </c>
      <c r="F5" s="14">
        <f t="shared" si="1"/>
        <v>3.1172222222222414</v>
      </c>
      <c r="G5" s="15">
        <f t="shared" si="2"/>
        <v>3.1172222222222414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18.66250000000003</v>
      </c>
      <c r="K5" s="25">
        <f>SUMIF(B:B,"西塔台协调席",G:G)+SUMIF(B:B,"东塔台协调席",G:G)</f>
        <v>16.03694444444448</v>
      </c>
      <c r="L5" s="25">
        <f>SUMIF(B:B,"西塔台协调席",H:H)+SUMIF(B:B,"东塔台协调席",H:H)</f>
        <v>2.6255555555555512</v>
      </c>
      <c r="M5" s="21"/>
    </row>
    <row r="6" spans="1:16" ht="18.75" x14ac:dyDescent="0.25">
      <c r="A6" s="12">
        <f t="shared" ca="1" si="4"/>
        <v>46177.755899074102</v>
      </c>
      <c r="B6" s="7" t="s">
        <v>61</v>
      </c>
      <c r="C6" s="13">
        <v>0.755891203703704</v>
      </c>
      <c r="D6" s="13" t="s">
        <v>62</v>
      </c>
      <c r="E6" s="13">
        <v>0.797141203703704</v>
      </c>
      <c r="F6" s="14">
        <f t="shared" si="1"/>
        <v>0.99000000000000021</v>
      </c>
      <c r="G6" s="15">
        <f t="shared" si="2"/>
        <v>0.99000000000000021</v>
      </c>
      <c r="H6" s="15">
        <f t="shared" si="3"/>
        <v>0</v>
      </c>
      <c r="I6" s="23" t="s">
        <v>68</v>
      </c>
      <c r="J6" s="24">
        <f>SUMIF(B:B,"放行席",F:F)</f>
        <v>2.1008333333333518</v>
      </c>
      <c r="K6" s="25">
        <f>SUMIF(B:B,"放行席",G:G)</f>
        <v>0</v>
      </c>
      <c r="L6" s="25">
        <f>SUMIF(B:B,"放行席",H:H)</f>
        <v>2.1008333333333518</v>
      </c>
      <c r="M6" s="21"/>
    </row>
    <row r="7" spans="1:16" ht="18.75" x14ac:dyDescent="0.25">
      <c r="A7" s="12">
        <f t="shared" ca="1" si="4"/>
        <v>46178.138549074101</v>
      </c>
      <c r="B7" s="7" t="s">
        <v>69</v>
      </c>
      <c r="C7" s="13">
        <v>0.13854166666666701</v>
      </c>
      <c r="D7" s="13" t="s">
        <v>62</v>
      </c>
      <c r="E7" s="13">
        <v>0.302997685185185</v>
      </c>
      <c r="F7" s="14">
        <f t="shared" si="1"/>
        <v>3.9469444444444317</v>
      </c>
      <c r="G7" s="15">
        <f t="shared" si="2"/>
        <v>0</v>
      </c>
      <c r="H7" s="15">
        <f t="shared" si="3"/>
        <v>3.9469444444444317</v>
      </c>
      <c r="I7" s="23" t="s">
        <v>70</v>
      </c>
      <c r="J7" s="24">
        <f>SUMIF(B:B,"地面席",F:F)</f>
        <v>2.1327777777777599</v>
      </c>
      <c r="K7" s="25">
        <f>SUMIF(B:B,"地面席",G:G)</f>
        <v>0</v>
      </c>
      <c r="L7" s="25">
        <f>SUMIF(B:B,"地面席",H:H)</f>
        <v>2.1327777777777599</v>
      </c>
      <c r="M7" s="21"/>
    </row>
    <row r="8" spans="1:16" ht="18.75" x14ac:dyDescent="0.25">
      <c r="A8" s="12">
        <f t="shared" ca="1" si="4"/>
        <v>46180.3571429398</v>
      </c>
      <c r="B8" s="7" t="s">
        <v>69</v>
      </c>
      <c r="C8" s="13">
        <v>0.35717592592592601</v>
      </c>
      <c r="D8" s="13" t="s">
        <v>62</v>
      </c>
      <c r="E8" s="13">
        <v>0.39532407407407399</v>
      </c>
      <c r="F8" s="14">
        <f t="shared" si="1"/>
        <v>0.91555555555555168</v>
      </c>
      <c r="G8" s="15">
        <f t="shared" si="2"/>
        <v>0.91555555555555168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4"/>
        <v>46180.395348495404</v>
      </c>
      <c r="B9" s="7" t="s">
        <v>61</v>
      </c>
      <c r="C9" s="13">
        <v>0.39534722222222202</v>
      </c>
      <c r="D9" s="13" t="s">
        <v>62</v>
      </c>
      <c r="E9" s="13">
        <v>0.50637731481481496</v>
      </c>
      <c r="F9" s="14">
        <f t="shared" si="1"/>
        <v>2.6647222222222307</v>
      </c>
      <c r="G9" s="15">
        <f t="shared" si="2"/>
        <v>2.6647222222222307</v>
      </c>
      <c r="H9" s="15">
        <f t="shared" si="3"/>
        <v>0</v>
      </c>
      <c r="I9" s="23" t="s">
        <v>73</v>
      </c>
      <c r="J9" s="24">
        <f>SUMIF(B:B,"航班调度席",F:F)</f>
        <v>9.2352777777777622</v>
      </c>
      <c r="K9" s="25">
        <f>SUMIF(B:B,"航班调度席",G:G)</f>
        <v>9.2352777777777622</v>
      </c>
      <c r="L9" s="25">
        <f>SUMIF(B:B,"航班调度席",H:H)</f>
        <v>0</v>
      </c>
      <c r="M9" s="21"/>
    </row>
    <row r="10" spans="1:16" ht="18.75" x14ac:dyDescent="0.25">
      <c r="A10" s="12">
        <f t="shared" ca="1" si="4"/>
        <v>46180.603677430598</v>
      </c>
      <c r="B10" s="7" t="s">
        <v>84</v>
      </c>
      <c r="C10" s="13">
        <v>0.60366898148148196</v>
      </c>
      <c r="D10" s="13" t="s">
        <v>62</v>
      </c>
      <c r="E10" s="13">
        <v>0.75172453703703701</v>
      </c>
      <c r="F10" s="14">
        <f t="shared" si="1"/>
        <v>3.5533333333333212</v>
      </c>
      <c r="G10" s="15">
        <f t="shared" si="2"/>
        <v>3.5533333333333212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4"/>
        <v>46181.370989351897</v>
      </c>
      <c r="B11" s="7" t="s">
        <v>84</v>
      </c>
      <c r="C11" s="13">
        <v>0.37098379629629602</v>
      </c>
      <c r="D11" s="13" t="s">
        <v>62</v>
      </c>
      <c r="E11" s="13">
        <v>0.50112268518518499</v>
      </c>
      <c r="F11" s="14">
        <f t="shared" si="1"/>
        <v>3.1233333333333353</v>
      </c>
      <c r="G11" s="15">
        <f t="shared" si="2"/>
        <v>3.1233333333333353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4"/>
        <v>46181.541109722202</v>
      </c>
      <c r="B12" s="7" t="s">
        <v>64</v>
      </c>
      <c r="C12" s="13">
        <v>0.54109953703703695</v>
      </c>
      <c r="D12" s="13" t="s">
        <v>62</v>
      </c>
      <c r="E12" s="13">
        <v>0.63099537037037001</v>
      </c>
      <c r="F12" s="14">
        <f t="shared" si="1"/>
        <v>2.1574999999999935</v>
      </c>
      <c r="G12" s="15">
        <f t="shared" si="2"/>
        <v>2.1574999999999935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4"/>
        <v>46181.631027314797</v>
      </c>
      <c r="B13" s="7" t="s">
        <v>84</v>
      </c>
      <c r="C13" s="13">
        <v>0.63101851851851898</v>
      </c>
      <c r="D13" s="13" t="s">
        <v>62</v>
      </c>
      <c r="E13" s="13">
        <v>0.73762731481481503</v>
      </c>
      <c r="F13" s="14">
        <f t="shared" si="1"/>
        <v>2.5586111111111052</v>
      </c>
      <c r="G13" s="15">
        <f t="shared" si="2"/>
        <v>2.5586111111111052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4"/>
        <v>46185.136620717603</v>
      </c>
      <c r="B14" s="7" t="s">
        <v>83</v>
      </c>
      <c r="C14" s="13">
        <v>0.13662037037037</v>
      </c>
      <c r="D14" s="13" t="s">
        <v>62</v>
      </c>
      <c r="E14" s="13">
        <v>0.224155092592593</v>
      </c>
      <c r="F14" s="14">
        <f t="shared" si="1"/>
        <v>2.1008333333333518</v>
      </c>
      <c r="G14" s="15">
        <f t="shared" si="2"/>
        <v>0</v>
      </c>
      <c r="H14" s="15">
        <f t="shared" si="3"/>
        <v>2.1008333333333518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4"/>
        <v>46185.224189351902</v>
      </c>
      <c r="B15" s="7" t="s">
        <v>69</v>
      </c>
      <c r="C15" s="13">
        <v>0.22418981481481501</v>
      </c>
      <c r="D15" s="13" t="s">
        <v>62</v>
      </c>
      <c r="E15" s="13">
        <v>0.30585648148148098</v>
      </c>
      <c r="F15" s="14">
        <f t="shared" si="1"/>
        <v>1.9599999999999833</v>
      </c>
      <c r="G15" s="15">
        <f t="shared" si="2"/>
        <v>0</v>
      </c>
      <c r="H15" s="15">
        <f t="shared" si="3"/>
        <v>1.9599999999999833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4"/>
        <v>46186.137978240702</v>
      </c>
      <c r="B16" s="7" t="s">
        <v>61</v>
      </c>
      <c r="C16" s="13">
        <v>0.13797453703703699</v>
      </c>
      <c r="D16" s="13" t="s">
        <v>62</v>
      </c>
      <c r="E16" s="13">
        <v>0.22989583333333299</v>
      </c>
      <c r="F16" s="14">
        <f t="shared" si="1"/>
        <v>2.2061111111111043</v>
      </c>
      <c r="G16" s="15">
        <f t="shared" si="2"/>
        <v>0</v>
      </c>
      <c r="H16" s="15">
        <f t="shared" si="3"/>
        <v>2.2061111111111043</v>
      </c>
      <c r="I16" s="37" t="s">
        <v>63</v>
      </c>
      <c r="J16" s="38">
        <f t="shared" ref="J16:L16" si="5">J3</f>
        <v>0</v>
      </c>
      <c r="K16" s="39">
        <f t="shared" si="5"/>
        <v>0</v>
      </c>
      <c r="L16" s="40">
        <f t="shared" si="5"/>
        <v>0</v>
      </c>
      <c r="M16" s="41"/>
    </row>
    <row r="17" spans="1:13" ht="20.25" x14ac:dyDescent="0.25">
      <c r="A17" s="12">
        <f t="shared" ca="1" si="4"/>
        <v>46186.229930208297</v>
      </c>
      <c r="B17" s="7" t="s">
        <v>64</v>
      </c>
      <c r="C17" s="13">
        <v>0.22990740740740701</v>
      </c>
      <c r="D17" s="13" t="s">
        <v>62</v>
      </c>
      <c r="E17" s="13">
        <v>0.305034722222222</v>
      </c>
      <c r="F17" s="14">
        <f t="shared" si="1"/>
        <v>1.8030555555555599</v>
      </c>
      <c r="G17" s="15">
        <f t="shared" si="2"/>
        <v>0</v>
      </c>
      <c r="H17" s="15">
        <f t="shared" si="3"/>
        <v>1.8030555555555599</v>
      </c>
      <c r="I17" s="37" t="s">
        <v>79</v>
      </c>
      <c r="J17" s="38">
        <f>J4+J5+J6+J7+J10</f>
        <v>76.621666666666727</v>
      </c>
      <c r="K17" s="39">
        <f>K4+K5+K6+K7+K10</f>
        <v>36.720833333333431</v>
      </c>
      <c r="L17" s="40">
        <f>L4+L5+L6+L7+L10</f>
        <v>39.900833333333296</v>
      </c>
      <c r="M17" s="41"/>
    </row>
    <row r="18" spans="1:13" ht="20.25" x14ac:dyDescent="0.25">
      <c r="A18" s="12">
        <f t="shared" ca="1" si="4"/>
        <v>46189.138076851901</v>
      </c>
      <c r="B18" s="7" t="s">
        <v>61</v>
      </c>
      <c r="C18" s="13">
        <v>0.13806712962963</v>
      </c>
      <c r="D18" s="13" t="s">
        <v>62</v>
      </c>
      <c r="E18" s="13">
        <v>0.303877314814815</v>
      </c>
      <c r="F18" s="14">
        <f t="shared" si="1"/>
        <v>3.9794444444444403</v>
      </c>
      <c r="G18" s="15">
        <f t="shared" si="2"/>
        <v>0</v>
      </c>
      <c r="H18" s="15">
        <f t="shared" si="3"/>
        <v>3.9794444444444403</v>
      </c>
      <c r="I18" s="37" t="s">
        <v>75</v>
      </c>
      <c r="J18" s="38">
        <f t="shared" ref="J18:L18" si="6">J11</f>
        <v>0</v>
      </c>
      <c r="K18" s="39">
        <f t="shared" si="6"/>
        <v>0</v>
      </c>
      <c r="L18" s="40">
        <f t="shared" si="6"/>
        <v>0</v>
      </c>
      <c r="M18" s="41"/>
    </row>
    <row r="19" spans="1:13" ht="20.25" x14ac:dyDescent="0.25">
      <c r="A19" s="12">
        <f t="shared" ca="1" si="4"/>
        <v>46190.103955208302</v>
      </c>
      <c r="B19" s="7" t="s">
        <v>61</v>
      </c>
      <c r="C19" s="13">
        <v>0.103946759259259</v>
      </c>
      <c r="D19" s="13" t="s">
        <v>62</v>
      </c>
      <c r="E19" s="13">
        <v>0.22751157407407399</v>
      </c>
      <c r="F19" s="14">
        <f t="shared" si="1"/>
        <v>2.9655555555555599</v>
      </c>
      <c r="G19" s="15">
        <f t="shared" si="2"/>
        <v>0</v>
      </c>
      <c r="H19" s="15">
        <f t="shared" si="3"/>
        <v>2.9655555555555599</v>
      </c>
      <c r="I19" s="37" t="s">
        <v>80</v>
      </c>
      <c r="J19" s="38">
        <f t="shared" ref="J19:L19" si="7">J12</f>
        <v>0</v>
      </c>
      <c r="K19" s="39">
        <f t="shared" si="7"/>
        <v>0</v>
      </c>
      <c r="L19" s="40">
        <f t="shared" si="7"/>
        <v>0</v>
      </c>
      <c r="M19" s="41"/>
    </row>
    <row r="20" spans="1:13" ht="20.25" x14ac:dyDescent="0.15">
      <c r="A20" s="12">
        <f t="shared" ca="1" si="4"/>
        <v>46192.356651851798</v>
      </c>
      <c r="B20" s="7" t="s">
        <v>69</v>
      </c>
      <c r="C20" s="13">
        <v>0.356643518518519</v>
      </c>
      <c r="D20" s="13" t="s">
        <v>62</v>
      </c>
      <c r="E20" s="13">
        <v>0.51320601851851899</v>
      </c>
      <c r="F20" s="14">
        <f t="shared" si="1"/>
        <v>3.7574999999999998</v>
      </c>
      <c r="G20" s="15">
        <f t="shared" si="2"/>
        <v>3.7574999999999998</v>
      </c>
      <c r="H20" s="15">
        <f t="shared" si="3"/>
        <v>0</v>
      </c>
      <c r="I20" s="42" t="s">
        <v>81</v>
      </c>
      <c r="J20" s="65">
        <f>J16+J17+J18+J19</f>
        <v>76.621666666666727</v>
      </c>
      <c r="K20" s="66"/>
      <c r="L20" s="67"/>
      <c r="M20" s="43"/>
    </row>
    <row r="21" spans="1:13" ht="20.25" x14ac:dyDescent="0.25">
      <c r="A21" s="12">
        <f t="shared" ca="1" si="4"/>
        <v>46192.624750115698</v>
      </c>
      <c r="B21" s="7" t="s">
        <v>64</v>
      </c>
      <c r="C21" s="13">
        <v>0.62474537037037003</v>
      </c>
      <c r="D21" s="13" t="s">
        <v>62</v>
      </c>
      <c r="E21" s="13">
        <v>0.77822916666666697</v>
      </c>
      <c r="F21" s="14">
        <f t="shared" si="1"/>
        <v>3.6836111111111265</v>
      </c>
      <c r="G21" s="15">
        <f t="shared" si="2"/>
        <v>3.6836111111111265</v>
      </c>
      <c r="H21" s="15">
        <f t="shared" si="3"/>
        <v>0</v>
      </c>
      <c r="I21" s="44" t="s">
        <v>4</v>
      </c>
      <c r="J21" s="45">
        <f>SUM(J8:J9)</f>
        <v>9.2352777777777622</v>
      </c>
      <c r="K21" s="39">
        <f>SUM(K8:K9)</f>
        <v>9.2352777777777622</v>
      </c>
      <c r="L21" s="40">
        <f>SUM(L8:L9)</f>
        <v>0</v>
      </c>
      <c r="M21" s="46"/>
    </row>
    <row r="22" spans="1:13" ht="18.75" x14ac:dyDescent="0.15">
      <c r="A22" s="12">
        <f t="shared" ca="1" si="4"/>
        <v>46192.891744675901</v>
      </c>
      <c r="B22" s="7" t="s">
        <v>64</v>
      </c>
      <c r="C22" s="13">
        <v>0.89173611111111095</v>
      </c>
      <c r="D22" s="13" t="s">
        <v>62</v>
      </c>
      <c r="E22" s="13">
        <v>0.95651620370370405</v>
      </c>
      <c r="F22" s="14">
        <f t="shared" si="1"/>
        <v>1.5547222222222343</v>
      </c>
      <c r="G22" s="15">
        <f t="shared" si="2"/>
        <v>1.5547222222222343</v>
      </c>
      <c r="H22" s="15">
        <f t="shared" si="3"/>
        <v>0</v>
      </c>
      <c r="I22"/>
      <c r="J22"/>
    </row>
    <row r="23" spans="1:13" ht="18.75" x14ac:dyDescent="0.15">
      <c r="A23" s="12">
        <f t="shared" ca="1" si="4"/>
        <v>46193.298342476897</v>
      </c>
      <c r="B23" s="7" t="s">
        <v>61</v>
      </c>
      <c r="C23" s="13">
        <v>0.29833333333333301</v>
      </c>
      <c r="D23" s="13" t="s">
        <v>62</v>
      </c>
      <c r="E23" s="13">
        <v>0.35626157407407399</v>
      </c>
      <c r="F23" s="14">
        <f t="shared" si="1"/>
        <v>1.3902777777777837</v>
      </c>
      <c r="G23" s="15">
        <f t="shared" si="2"/>
        <v>0.5502777777777843</v>
      </c>
      <c r="H23" s="15">
        <f t="shared" si="3"/>
        <v>0.83999999999999941</v>
      </c>
      <c r="I23"/>
      <c r="J23"/>
    </row>
    <row r="24" spans="1:13" ht="18.75" x14ac:dyDescent="0.15">
      <c r="A24" s="12">
        <f t="shared" ca="1" si="4"/>
        <v>46193.3562886574</v>
      </c>
      <c r="B24" s="7" t="s">
        <v>64</v>
      </c>
      <c r="C24" s="13">
        <v>0.35628472222222202</v>
      </c>
      <c r="D24" s="13" t="s">
        <v>62</v>
      </c>
      <c r="E24" s="13">
        <v>0.46405092592592601</v>
      </c>
      <c r="F24" s="14">
        <f t="shared" si="1"/>
        <v>2.5863888888888957</v>
      </c>
      <c r="G24" s="15">
        <f t="shared" si="2"/>
        <v>2.5863888888888957</v>
      </c>
      <c r="H24" s="15">
        <f t="shared" si="3"/>
        <v>0</v>
      </c>
      <c r="I24"/>
      <c r="J24"/>
    </row>
    <row r="25" spans="1:13" ht="18.75" x14ac:dyDescent="0.15">
      <c r="A25" s="12">
        <f t="shared" ca="1" si="4"/>
        <v>46193.541736689796</v>
      </c>
      <c r="B25" s="7" t="s">
        <v>69</v>
      </c>
      <c r="C25" s="13">
        <v>0.54173611111111097</v>
      </c>
      <c r="D25" s="13" t="s">
        <v>62</v>
      </c>
      <c r="E25" s="13">
        <v>0.63160879629629596</v>
      </c>
      <c r="F25" s="14">
        <f t="shared" si="1"/>
        <v>2.1569444444444397</v>
      </c>
      <c r="G25" s="15">
        <f t="shared" si="2"/>
        <v>2.1569444444444397</v>
      </c>
      <c r="H25" s="15">
        <f t="shared" si="3"/>
        <v>0</v>
      </c>
      <c r="I25"/>
      <c r="J25"/>
    </row>
    <row r="26" spans="1:13" ht="18.75" x14ac:dyDescent="0.15">
      <c r="A26" s="12">
        <f t="shared" ca="1" si="4"/>
        <v>46195.417414236101</v>
      </c>
      <c r="B26" s="7" t="s">
        <v>69</v>
      </c>
      <c r="C26" s="13">
        <v>0.41740740740740701</v>
      </c>
      <c r="D26" s="13" t="s">
        <v>62</v>
      </c>
      <c r="E26" s="13">
        <v>0.53513888888888905</v>
      </c>
      <c r="F26" s="14">
        <f t="shared" si="1"/>
        <v>2.8255555555555691</v>
      </c>
      <c r="G26" s="15">
        <f t="shared" si="2"/>
        <v>2.8255555555555691</v>
      </c>
      <c r="H26" s="15">
        <f t="shared" si="3"/>
        <v>0</v>
      </c>
      <c r="I26"/>
      <c r="J26"/>
    </row>
    <row r="27" spans="1:13" ht="18.75" x14ac:dyDescent="0.15">
      <c r="A27" s="12">
        <f t="shared" ca="1" si="4"/>
        <v>46195.653476041698</v>
      </c>
      <c r="B27" s="7" t="s">
        <v>64</v>
      </c>
      <c r="C27" s="13">
        <v>0.65347222222222201</v>
      </c>
      <c r="D27" s="13" t="s">
        <v>62</v>
      </c>
      <c r="E27" s="13">
        <v>0.78876157407407399</v>
      </c>
      <c r="F27" s="14">
        <f t="shared" si="1"/>
        <v>3.2469444444444475</v>
      </c>
      <c r="G27" s="15">
        <f t="shared" si="2"/>
        <v>3.2469444444444475</v>
      </c>
      <c r="H27" s="15">
        <f t="shared" si="3"/>
        <v>0</v>
      </c>
      <c r="I27"/>
      <c r="J27"/>
    </row>
    <row r="28" spans="1:13" ht="18.75" x14ac:dyDescent="0.15">
      <c r="A28" s="12">
        <f t="shared" ca="1" si="4"/>
        <v>46195.854435763897</v>
      </c>
      <c r="B28" s="7" t="s">
        <v>69</v>
      </c>
      <c r="C28" s="13">
        <v>0.85443287037036997</v>
      </c>
      <c r="D28" s="13" t="s">
        <v>62</v>
      </c>
      <c r="E28" s="13">
        <v>0.95721064814814805</v>
      </c>
      <c r="F28" s="14">
        <f t="shared" si="1"/>
        <v>2.4666666666666739</v>
      </c>
      <c r="G28" s="15">
        <f t="shared" si="2"/>
        <v>2.4666666666666739</v>
      </c>
      <c r="H28" s="15">
        <f t="shared" si="3"/>
        <v>0</v>
      </c>
      <c r="I28"/>
      <c r="J28"/>
    </row>
    <row r="29" spans="1:13" ht="18.75" x14ac:dyDescent="0.15">
      <c r="A29" s="12">
        <f t="shared" ca="1" si="4"/>
        <v>46196.299065393498</v>
      </c>
      <c r="B29" s="7" t="s">
        <v>64</v>
      </c>
      <c r="C29" s="13">
        <v>0.29906250000000001</v>
      </c>
      <c r="D29" s="13" t="s">
        <v>62</v>
      </c>
      <c r="E29" s="13">
        <v>0.36278935185185202</v>
      </c>
      <c r="F29" s="14">
        <f t="shared" si="1"/>
        <v>1.5294444444444482</v>
      </c>
      <c r="G29" s="15">
        <f t="shared" si="2"/>
        <v>0.70694444444445681</v>
      </c>
      <c r="H29" s="15">
        <f t="shared" si="3"/>
        <v>0.82249999999999135</v>
      </c>
      <c r="I29"/>
      <c r="J29"/>
    </row>
    <row r="30" spans="1:13" ht="18.75" x14ac:dyDescent="0.15">
      <c r="A30" s="12">
        <f t="shared" ca="1" si="4"/>
        <v>46197.013156018496</v>
      </c>
      <c r="B30" s="7" t="s">
        <v>61</v>
      </c>
      <c r="C30" s="13">
        <v>1.31481481481481E-2</v>
      </c>
      <c r="D30" s="13" t="s">
        <v>62</v>
      </c>
      <c r="E30" s="13">
        <v>0.144224537037037</v>
      </c>
      <c r="F30" s="14">
        <f t="shared" si="1"/>
        <v>3.1458333333333335</v>
      </c>
      <c r="G30" s="15">
        <f t="shared" si="2"/>
        <v>0</v>
      </c>
      <c r="H30" s="15">
        <f t="shared" si="3"/>
        <v>3.1458333333333335</v>
      </c>
      <c r="I30"/>
      <c r="J30"/>
    </row>
    <row r="31" spans="1:13" ht="18.75" x14ac:dyDescent="0.15">
      <c r="A31" s="12">
        <f t="shared" ca="1" si="4"/>
        <v>46197.948360648203</v>
      </c>
      <c r="B31" s="7" t="s">
        <v>69</v>
      </c>
      <c r="C31" s="13">
        <v>0.948356481481481</v>
      </c>
      <c r="D31" s="13" t="s">
        <v>62</v>
      </c>
      <c r="E31" s="13">
        <v>0.14578703703703699</v>
      </c>
      <c r="F31" s="14">
        <f t="shared" si="1"/>
        <v>4.7383333333333439</v>
      </c>
      <c r="G31" s="15">
        <f t="shared" si="2"/>
        <v>1.2394444444444561</v>
      </c>
      <c r="H31" s="15">
        <f t="shared" si="3"/>
        <v>3.4988888888888878</v>
      </c>
      <c r="I31"/>
      <c r="J31"/>
    </row>
    <row r="32" spans="1:13" ht="18.75" x14ac:dyDescent="0.15">
      <c r="A32" s="12">
        <f t="shared" ca="1" si="4"/>
        <v>46201.138073611102</v>
      </c>
      <c r="B32" s="7" t="s">
        <v>69</v>
      </c>
      <c r="C32" s="13">
        <v>0.13806712962963</v>
      </c>
      <c r="D32" s="13" t="s">
        <v>62</v>
      </c>
      <c r="E32" s="13">
        <v>0.30214120370370401</v>
      </c>
      <c r="F32" s="14">
        <f t="shared" si="1"/>
        <v>3.937777777777776</v>
      </c>
      <c r="G32" s="15">
        <f t="shared" si="2"/>
        <v>0</v>
      </c>
      <c r="H32" s="15">
        <f t="shared" si="3"/>
        <v>3.937777777777776</v>
      </c>
      <c r="I32"/>
      <c r="J32"/>
    </row>
    <row r="33" spans="1:11" ht="18.75" x14ac:dyDescent="0.15">
      <c r="A33" s="12">
        <f t="shared" ca="1" si="4"/>
        <v>46201.7504239583</v>
      </c>
      <c r="B33" s="7" t="s">
        <v>64</v>
      </c>
      <c r="C33" s="13">
        <v>0.75041666666666695</v>
      </c>
      <c r="D33" s="13" t="s">
        <v>62</v>
      </c>
      <c r="E33" s="13">
        <v>0.83795138888888898</v>
      </c>
      <c r="F33" s="14">
        <f t="shared" si="1"/>
        <v>2.1008333333333287</v>
      </c>
      <c r="G33" s="15">
        <f t="shared" si="2"/>
        <v>2.1008333333333287</v>
      </c>
      <c r="H33" s="15">
        <f t="shared" si="3"/>
        <v>0</v>
      </c>
      <c r="I33"/>
      <c r="J33"/>
    </row>
    <row r="34" spans="1:11" ht="18.75" x14ac:dyDescent="0.15">
      <c r="A34" s="12">
        <f t="shared" ca="1" si="4"/>
        <v>46202.012382175897</v>
      </c>
      <c r="B34" s="7" t="s">
        <v>61</v>
      </c>
      <c r="C34" s="13">
        <v>1.23726851851852E-2</v>
      </c>
      <c r="D34" s="13" t="s">
        <v>62</v>
      </c>
      <c r="E34" s="13">
        <v>0.14703703703703699</v>
      </c>
      <c r="F34" s="14">
        <f t="shared" si="1"/>
        <v>3.2319444444444434</v>
      </c>
      <c r="G34" s="15">
        <f t="shared" si="2"/>
        <v>0</v>
      </c>
      <c r="H34" s="15">
        <f t="shared" si="3"/>
        <v>3.2319444444444434</v>
      </c>
      <c r="I34"/>
      <c r="J34"/>
    </row>
    <row r="35" spans="1:11" ht="18.75" x14ac:dyDescent="0.15">
      <c r="A35" s="12" t="str">
        <f t="shared" ca="1" si="4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4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4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4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4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4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4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4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46174.518299652802</v>
      </c>
      <c r="B3" s="7" t="s">
        <v>66</v>
      </c>
      <c r="C3" s="13">
        <v>0.51829861111111097</v>
      </c>
      <c r="D3" s="13" t="s">
        <v>62</v>
      </c>
      <c r="E3" s="13">
        <v>0.55190972222222201</v>
      </c>
      <c r="F3" s="14">
        <f t="shared" ref="F3:F42" si="1">(IF(E3-C3&lt;0,"24:00"-C3+E3,E3-C3))*24</f>
        <v>0.80666666666666487</v>
      </c>
      <c r="G3" s="15">
        <f t="shared" ref="G3:G42" si="2">F3-H3</f>
        <v>0.80666666666666487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46174.551958449098</v>
      </c>
      <c r="B4" s="7" t="s">
        <v>64</v>
      </c>
      <c r="C4" s="13">
        <v>0.55195601851851805</v>
      </c>
      <c r="D4" s="13" t="s">
        <v>62</v>
      </c>
      <c r="E4" s="13">
        <v>0.69482638888888903</v>
      </c>
      <c r="F4" s="14">
        <f t="shared" si="1"/>
        <v>3.4288888888889035</v>
      </c>
      <c r="G4" s="15">
        <f t="shared" si="2"/>
        <v>3.4288888888889035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28.706666666666681</v>
      </c>
      <c r="K4" s="25">
        <f>SUMIF(B:B,"西塔台管制席",G:G)+SUMIF(B:B,"东塔台管制席",G:G)</f>
        <v>17.793055555555579</v>
      </c>
      <c r="L4" s="25">
        <f>SUMIF(B:B,"西塔台管制席",H:H)+SUMIF(B:B,"东塔台管制席",H:H)</f>
        <v>10.913611111111102</v>
      </c>
      <c r="M4" s="21"/>
    </row>
    <row r="5" spans="1:16" ht="18.75" x14ac:dyDescent="0.25">
      <c r="A5" s="12">
        <f t="shared" ca="1" si="0"/>
        <v>46174.7698243056</v>
      </c>
      <c r="B5" s="7" t="s">
        <v>64</v>
      </c>
      <c r="C5" s="13">
        <v>0.76981481481481495</v>
      </c>
      <c r="D5" s="13" t="s">
        <v>62</v>
      </c>
      <c r="E5" s="13">
        <v>0.862453703703704</v>
      </c>
      <c r="F5" s="14">
        <f t="shared" si="1"/>
        <v>2.2233333333333372</v>
      </c>
      <c r="G5" s="15">
        <f t="shared" si="2"/>
        <v>2.2233333333333372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33.905555555555551</v>
      </c>
      <c r="K5" s="25">
        <f>SUMIF(B:B,"西塔台协调席",G:G)+SUMIF(B:B,"东塔台协调席",G:G)</f>
        <v>22.338611111111092</v>
      </c>
      <c r="L5" s="25">
        <f>SUMIF(B:B,"西塔台协调席",H:H)+SUMIF(B:B,"东塔台协调席",H:H)</f>
        <v>11.566944444444452</v>
      </c>
      <c r="M5" s="21"/>
    </row>
    <row r="6" spans="1:16" ht="18.75" x14ac:dyDescent="0.25">
      <c r="A6" s="12">
        <f t="shared" ca="1" si="0"/>
        <v>46175.418640740703</v>
      </c>
      <c r="B6" s="7" t="s">
        <v>69</v>
      </c>
      <c r="C6" s="13">
        <v>0.41863425925925901</v>
      </c>
      <c r="D6" s="13" t="s">
        <v>62</v>
      </c>
      <c r="E6" s="13">
        <v>0.53284722222222203</v>
      </c>
      <c r="F6" s="14">
        <f t="shared" si="1"/>
        <v>2.7411111111111124</v>
      </c>
      <c r="G6" s="15">
        <f t="shared" si="2"/>
        <v>2.7411111111111124</v>
      </c>
      <c r="H6" s="15">
        <f t="shared" si="3"/>
        <v>0</v>
      </c>
      <c r="I6" s="23" t="s">
        <v>68</v>
      </c>
      <c r="J6" s="24">
        <f>SUMIF(B:B,"放行席",F:F)</f>
        <v>7.2866666666666653</v>
      </c>
      <c r="K6" s="25">
        <f>SUMIF(B:B,"放行席",G:G)</f>
        <v>0</v>
      </c>
      <c r="L6" s="25">
        <f>SUMIF(B:B,"放行席",H:H)</f>
        <v>7.2866666666666653</v>
      </c>
      <c r="M6" s="21"/>
    </row>
    <row r="7" spans="1:16" ht="18.75" x14ac:dyDescent="0.25">
      <c r="A7" s="12">
        <f t="shared" ca="1" si="0"/>
        <v>46175.625497337998</v>
      </c>
      <c r="B7" s="7" t="s">
        <v>61</v>
      </c>
      <c r="C7" s="13">
        <v>0.625497685185185</v>
      </c>
      <c r="D7" s="13" t="s">
        <v>62</v>
      </c>
      <c r="E7" s="13">
        <v>0.64173611111111095</v>
      </c>
      <c r="F7" s="14">
        <f t="shared" si="1"/>
        <v>0.38972222222222275</v>
      </c>
      <c r="G7" s="15">
        <f t="shared" si="2"/>
        <v>0.38972222222222275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46175.654916550899</v>
      </c>
      <c r="B8" s="7" t="s">
        <v>61</v>
      </c>
      <c r="C8" s="13">
        <v>0.65490740740740705</v>
      </c>
      <c r="D8" s="13" t="s">
        <v>62</v>
      </c>
      <c r="E8" s="13">
        <v>0.77591435185185198</v>
      </c>
      <c r="F8" s="14">
        <f t="shared" si="1"/>
        <v>2.9041666666666783</v>
      </c>
      <c r="G8" s="15">
        <f t="shared" si="2"/>
        <v>2.9041666666666783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46175.854703009303</v>
      </c>
      <c r="B9" s="7" t="s">
        <v>61</v>
      </c>
      <c r="C9" s="13">
        <v>0.85469907407407397</v>
      </c>
      <c r="D9" s="13" t="s">
        <v>62</v>
      </c>
      <c r="E9" s="13">
        <v>0.86306712962962995</v>
      </c>
      <c r="F9" s="14">
        <f t="shared" si="1"/>
        <v>0.20083333333334341</v>
      </c>
      <c r="G9" s="15">
        <f t="shared" si="2"/>
        <v>0.20083333333334341</v>
      </c>
      <c r="H9" s="15">
        <f t="shared" si="3"/>
        <v>0</v>
      </c>
      <c r="I9" s="23" t="s">
        <v>73</v>
      </c>
      <c r="J9" s="24">
        <f>SUMIF(B:B,"航班调度席",F:F)</f>
        <v>10.306666666666654</v>
      </c>
      <c r="K9" s="25">
        <f>SUMIF(B:B,"航班调度席",G:G)</f>
        <v>10.306666666666654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46175.879043287001</v>
      </c>
      <c r="B10" s="7" t="s">
        <v>61</v>
      </c>
      <c r="C10" s="13">
        <v>0.879039351851852</v>
      </c>
      <c r="D10" s="13" t="s">
        <v>62</v>
      </c>
      <c r="E10" s="13">
        <v>0.95937499999999998</v>
      </c>
      <c r="F10" s="14">
        <f t="shared" si="1"/>
        <v>1.9280555555555514</v>
      </c>
      <c r="G10" s="15">
        <f t="shared" si="2"/>
        <v>1.9280555555555514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46176.2910694444</v>
      </c>
      <c r="B11" s="7" t="s">
        <v>69</v>
      </c>
      <c r="C11" s="13">
        <v>0.291064814814815</v>
      </c>
      <c r="D11" s="13" t="s">
        <v>62</v>
      </c>
      <c r="E11" s="13">
        <v>0.36550925925925898</v>
      </c>
      <c r="F11" s="14">
        <f t="shared" si="1"/>
        <v>1.7866666666666555</v>
      </c>
      <c r="G11" s="15">
        <f t="shared" si="2"/>
        <v>0.77222222222222392</v>
      </c>
      <c r="H11" s="15">
        <f t="shared" si="3"/>
        <v>1.0144444444444316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46178.950806713001</v>
      </c>
      <c r="B12" s="7" t="s">
        <v>64</v>
      </c>
      <c r="C12" s="13">
        <v>0.95079861111111097</v>
      </c>
      <c r="D12" s="13" t="s">
        <v>62</v>
      </c>
      <c r="E12" s="13">
        <v>0.10974537037036999</v>
      </c>
      <c r="F12" s="14">
        <f t="shared" si="1"/>
        <v>3.8147222222222164</v>
      </c>
      <c r="G12" s="15">
        <f t="shared" si="2"/>
        <v>1.1808333333333367</v>
      </c>
      <c r="H12" s="15">
        <f t="shared" si="3"/>
        <v>2.6338888888888796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46180.1268569444</v>
      </c>
      <c r="B13" s="7" t="s">
        <v>83</v>
      </c>
      <c r="C13" s="13">
        <v>0.12685185185185199</v>
      </c>
      <c r="D13" s="13" t="s">
        <v>62</v>
      </c>
      <c r="E13" s="13">
        <v>0.22184027777777801</v>
      </c>
      <c r="F13" s="14">
        <f t="shared" si="1"/>
        <v>2.2797222222222242</v>
      </c>
      <c r="G13" s="15">
        <f t="shared" si="2"/>
        <v>0</v>
      </c>
      <c r="H13" s="15">
        <f t="shared" si="3"/>
        <v>2.2797222222222242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46180.221879976903</v>
      </c>
      <c r="B14" s="7" t="s">
        <v>69</v>
      </c>
      <c r="C14" s="13">
        <v>0.22187499999999999</v>
      </c>
      <c r="D14" s="13" t="s">
        <v>62</v>
      </c>
      <c r="E14" s="13">
        <v>0.29858796296296303</v>
      </c>
      <c r="F14" s="14">
        <f t="shared" si="1"/>
        <v>1.8411111111111129</v>
      </c>
      <c r="G14" s="15">
        <f t="shared" si="2"/>
        <v>0</v>
      </c>
      <c r="H14" s="15">
        <f t="shared" si="3"/>
        <v>1.8411111111111129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46183.126064351898</v>
      </c>
      <c r="B15" s="7" t="s">
        <v>83</v>
      </c>
      <c r="C15" s="13">
        <v>0.12606481481481499</v>
      </c>
      <c r="D15" s="13" t="s">
        <v>62</v>
      </c>
      <c r="E15" s="13">
        <v>0.228599537037037</v>
      </c>
      <c r="F15" s="14">
        <f t="shared" si="1"/>
        <v>2.4608333333333281</v>
      </c>
      <c r="G15" s="15">
        <f t="shared" si="2"/>
        <v>0</v>
      </c>
      <c r="H15" s="15">
        <f t="shared" si="3"/>
        <v>2.4608333333333281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46184.012361226902</v>
      </c>
      <c r="B16" s="7" t="s">
        <v>61</v>
      </c>
      <c r="C16" s="13">
        <v>1.2361111111111101E-2</v>
      </c>
      <c r="D16" s="13" t="s">
        <v>62</v>
      </c>
      <c r="E16" s="13">
        <v>0.14606481481481501</v>
      </c>
      <c r="F16" s="14">
        <f t="shared" si="1"/>
        <v>3.208888888888894</v>
      </c>
      <c r="G16" s="15">
        <f t="shared" si="2"/>
        <v>0</v>
      </c>
      <c r="H16" s="15">
        <f t="shared" si="3"/>
        <v>3.208888888888894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46186.374065740703</v>
      </c>
      <c r="B17" s="7" t="s">
        <v>84</v>
      </c>
      <c r="C17" s="13">
        <v>0.37406250000000002</v>
      </c>
      <c r="D17" s="13" t="s">
        <v>62</v>
      </c>
      <c r="E17" s="13">
        <v>0.46202546296296299</v>
      </c>
      <c r="F17" s="14">
        <f t="shared" si="1"/>
        <v>2.1111111111111112</v>
      </c>
      <c r="G17" s="15">
        <f t="shared" si="2"/>
        <v>2.1111111111111112</v>
      </c>
      <c r="H17" s="15">
        <f t="shared" si="3"/>
        <v>0</v>
      </c>
      <c r="I17" s="37" t="s">
        <v>79</v>
      </c>
      <c r="J17" s="38">
        <f>J4+J5+J6+J7+J10</f>
        <v>69.898888888888891</v>
      </c>
      <c r="K17" s="39">
        <f>K4+K5+K6+K7+K10</f>
        <v>40.131666666666675</v>
      </c>
      <c r="L17" s="40">
        <f>L4+L5+L6+L7+L10</f>
        <v>29.76722222222222</v>
      </c>
      <c r="M17" s="41"/>
    </row>
    <row r="18" spans="1:13" ht="20.25" x14ac:dyDescent="0.25">
      <c r="A18" s="12">
        <f t="shared" ca="1" si="0"/>
        <v>46186.676753240703</v>
      </c>
      <c r="B18" s="7" t="s">
        <v>84</v>
      </c>
      <c r="C18" s="13">
        <v>0.60452546296296295</v>
      </c>
      <c r="D18" s="13" t="s">
        <v>62</v>
      </c>
      <c r="E18" s="13">
        <v>0.73598379629629596</v>
      </c>
      <c r="F18" s="14">
        <f t="shared" si="1"/>
        <v>3.1549999999999923</v>
      </c>
      <c r="G18" s="15">
        <f t="shared" si="2"/>
        <v>3.1549999999999923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46187.366758333301</v>
      </c>
      <c r="B19" s="7" t="s">
        <v>84</v>
      </c>
      <c r="C19" s="13">
        <v>0.36674768518518502</v>
      </c>
      <c r="D19" s="13" t="s">
        <v>62</v>
      </c>
      <c r="E19" s="13">
        <v>0.48467592592592601</v>
      </c>
      <c r="F19" s="14">
        <f t="shared" si="1"/>
        <v>2.8302777777777837</v>
      </c>
      <c r="G19" s="15">
        <f t="shared" si="2"/>
        <v>2.8302777777777837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46187.587967592597</v>
      </c>
      <c r="B20" s="7" t="s">
        <v>84</v>
      </c>
      <c r="C20" s="13">
        <v>0.58796296296296302</v>
      </c>
      <c r="D20" s="13" t="s">
        <v>62</v>
      </c>
      <c r="E20" s="13">
        <v>0.61682870370370402</v>
      </c>
      <c r="F20" s="14">
        <f t="shared" si="1"/>
        <v>0.69277777777778393</v>
      </c>
      <c r="G20" s="15">
        <f t="shared" si="2"/>
        <v>0.69277777777778393</v>
      </c>
      <c r="H20" s="15">
        <f t="shared" si="3"/>
        <v>0</v>
      </c>
      <c r="I20" s="42" t="s">
        <v>81</v>
      </c>
      <c r="J20" s="65">
        <f>J16+J17+J18+J19</f>
        <v>69.898888888888891</v>
      </c>
      <c r="K20" s="66"/>
      <c r="L20" s="67"/>
      <c r="M20" s="43"/>
    </row>
    <row r="21" spans="1:13" ht="20.25" x14ac:dyDescent="0.25">
      <c r="A21" s="12">
        <f t="shared" ca="1" si="0"/>
        <v>46187.693751388899</v>
      </c>
      <c r="B21" s="7" t="s">
        <v>84</v>
      </c>
      <c r="C21" s="13">
        <v>0.624305555555556</v>
      </c>
      <c r="D21" s="13" t="s">
        <v>62</v>
      </c>
      <c r="E21" s="13">
        <v>0.68753472222222201</v>
      </c>
      <c r="F21" s="14">
        <f t="shared" si="1"/>
        <v>1.5174999999999841</v>
      </c>
      <c r="G21" s="15">
        <f t="shared" si="2"/>
        <v>1.5174999999999841</v>
      </c>
      <c r="H21" s="15">
        <f t="shared" si="3"/>
        <v>0</v>
      </c>
      <c r="I21" s="44" t="s">
        <v>4</v>
      </c>
      <c r="J21" s="45">
        <f>SUM(J8:J9)</f>
        <v>10.306666666666654</v>
      </c>
      <c r="K21" s="39">
        <f>SUM(K8:K9)</f>
        <v>10.306666666666654</v>
      </c>
      <c r="L21" s="40">
        <f>SUM(L8:L9)</f>
        <v>0</v>
      </c>
      <c r="M21" s="46"/>
    </row>
    <row r="22" spans="1:13" ht="18.75" x14ac:dyDescent="0.15">
      <c r="A22" s="12">
        <f t="shared" ca="1" si="0"/>
        <v>46187.792046759299</v>
      </c>
      <c r="B22" s="7" t="s">
        <v>66</v>
      </c>
      <c r="C22" s="13">
        <v>0.79203703703703698</v>
      </c>
      <c r="D22" s="13" t="s">
        <v>62</v>
      </c>
      <c r="E22" s="13">
        <v>0.90902777777777799</v>
      </c>
      <c r="F22" s="14">
        <f t="shared" si="1"/>
        <v>2.8077777777777841</v>
      </c>
      <c r="G22" s="15">
        <f t="shared" si="2"/>
        <v>2.8077777777777841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46190.707525231497</v>
      </c>
      <c r="B23" s="7" t="s">
        <v>66</v>
      </c>
      <c r="C23" s="13">
        <v>0.70752314814814798</v>
      </c>
      <c r="D23" s="13" t="s">
        <v>62</v>
      </c>
      <c r="E23" s="13">
        <v>0.74062499999999998</v>
      </c>
      <c r="F23" s="14">
        <f t="shared" si="1"/>
        <v>0.79444444444444784</v>
      </c>
      <c r="G23" s="15">
        <f t="shared" si="2"/>
        <v>0.79444444444444784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46190.951725694402</v>
      </c>
      <c r="B24" s="7" t="s">
        <v>66</v>
      </c>
      <c r="C24" s="13">
        <v>0.95172453703703697</v>
      </c>
      <c r="D24" s="13" t="s">
        <v>62</v>
      </c>
      <c r="E24" s="13">
        <v>0.14009259259259299</v>
      </c>
      <c r="F24" s="14">
        <f t="shared" si="1"/>
        <v>4.5208333333333446</v>
      </c>
      <c r="G24" s="15">
        <f t="shared" si="2"/>
        <v>1.1586111111111128</v>
      </c>
      <c r="H24" s="15">
        <f t="shared" si="3"/>
        <v>3.3622222222222318</v>
      </c>
      <c r="I24"/>
      <c r="J24"/>
    </row>
    <row r="25" spans="1:13" ht="18.75" x14ac:dyDescent="0.15">
      <c r="A25" s="12">
        <f t="shared" ca="1" si="0"/>
        <v>46191.541411921302</v>
      </c>
      <c r="B25" s="7" t="s">
        <v>69</v>
      </c>
      <c r="C25" s="13">
        <v>0.54162037037037003</v>
      </c>
      <c r="D25" s="13" t="s">
        <v>62</v>
      </c>
      <c r="E25" s="13">
        <v>0.58995370370370404</v>
      </c>
      <c r="F25" s="14">
        <f t="shared" si="1"/>
        <v>1.1600000000000161</v>
      </c>
      <c r="G25" s="15">
        <f t="shared" si="2"/>
        <v>1.1600000000000161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46192.128242939798</v>
      </c>
      <c r="B26" s="7" t="s">
        <v>83</v>
      </c>
      <c r="C26" s="13">
        <v>0.12824074074074099</v>
      </c>
      <c r="D26" s="13" t="s">
        <v>62</v>
      </c>
      <c r="E26" s="13">
        <v>0.23432870370370401</v>
      </c>
      <c r="F26" s="14">
        <f t="shared" si="1"/>
        <v>2.5461111111111125</v>
      </c>
      <c r="G26" s="15">
        <f t="shared" si="2"/>
        <v>0</v>
      </c>
      <c r="H26" s="15">
        <f t="shared" si="3"/>
        <v>2.5461111111111125</v>
      </c>
      <c r="I26"/>
      <c r="J26"/>
    </row>
    <row r="27" spans="1:13" ht="18.75" x14ac:dyDescent="0.15">
      <c r="A27" s="12">
        <f t="shared" ca="1" si="0"/>
        <v>46195.140419328702</v>
      </c>
      <c r="B27" s="7" t="s">
        <v>69</v>
      </c>
      <c r="C27" s="13">
        <v>0.14041666666666699</v>
      </c>
      <c r="D27" s="13" t="s">
        <v>62</v>
      </c>
      <c r="E27" s="13">
        <v>0.30478009259259298</v>
      </c>
      <c r="F27" s="14">
        <f t="shared" si="1"/>
        <v>3.9447222222222234</v>
      </c>
      <c r="G27" s="15">
        <f t="shared" si="2"/>
        <v>0</v>
      </c>
      <c r="H27" s="15">
        <f t="shared" si="3"/>
        <v>3.9447222222222234</v>
      </c>
      <c r="I27"/>
      <c r="J27"/>
    </row>
    <row r="28" spans="1:13" ht="18.75" x14ac:dyDescent="0.15">
      <c r="A28" s="12">
        <f t="shared" ca="1" si="0"/>
        <v>46196.0153446759</v>
      </c>
      <c r="B28" s="7" t="s">
        <v>66</v>
      </c>
      <c r="C28" s="13">
        <v>1.53356481481481E-2</v>
      </c>
      <c r="D28" s="13" t="s">
        <v>62</v>
      </c>
      <c r="E28" s="13">
        <v>0.107766203703704</v>
      </c>
      <c r="F28" s="14">
        <f t="shared" si="1"/>
        <v>2.2183333333333417</v>
      </c>
      <c r="G28" s="15">
        <f t="shared" si="2"/>
        <v>0</v>
      </c>
      <c r="H28" s="15">
        <f t="shared" si="3"/>
        <v>2.2183333333333417</v>
      </c>
      <c r="I28"/>
      <c r="J28"/>
    </row>
    <row r="29" spans="1:13" ht="18.75" x14ac:dyDescent="0.15">
      <c r="A29" s="12">
        <f t="shared" ca="1" si="0"/>
        <v>46196.107809606503</v>
      </c>
      <c r="B29" s="7" t="s">
        <v>69</v>
      </c>
      <c r="C29" s="13">
        <v>0.10780092592592599</v>
      </c>
      <c r="D29" s="13" t="s">
        <v>62</v>
      </c>
      <c r="E29" s="13">
        <v>0.14548611111111101</v>
      </c>
      <c r="F29" s="14">
        <f t="shared" si="1"/>
        <v>0.90444444444444039</v>
      </c>
      <c r="G29" s="15">
        <f t="shared" si="2"/>
        <v>0</v>
      </c>
      <c r="H29" s="15">
        <f t="shared" si="3"/>
        <v>0.90444444444444039</v>
      </c>
      <c r="I29"/>
      <c r="J29"/>
    </row>
    <row r="30" spans="1:13" ht="18.75" x14ac:dyDescent="0.15">
      <c r="A30" s="12">
        <f t="shared" ca="1" si="0"/>
        <v>46198.522231134302</v>
      </c>
      <c r="B30" s="7" t="s">
        <v>69</v>
      </c>
      <c r="C30" s="13">
        <v>0.52222222222222203</v>
      </c>
      <c r="D30" s="13" t="s">
        <v>62</v>
      </c>
      <c r="E30" s="13">
        <v>0.70618055555555603</v>
      </c>
      <c r="F30" s="14">
        <f t="shared" si="1"/>
        <v>4.415000000000016</v>
      </c>
      <c r="G30" s="15">
        <f t="shared" si="2"/>
        <v>4.415000000000016</v>
      </c>
      <c r="H30" s="15">
        <f t="shared" si="3"/>
        <v>0</v>
      </c>
      <c r="I30"/>
      <c r="J30"/>
    </row>
    <row r="31" spans="1:13" ht="18.75" x14ac:dyDescent="0.15">
      <c r="A31" s="12">
        <f t="shared" ca="1" si="0"/>
        <v>46198.770956944398</v>
      </c>
      <c r="B31" s="7" t="s">
        <v>69</v>
      </c>
      <c r="C31" s="13">
        <v>0.77094907407407398</v>
      </c>
      <c r="D31" s="13" t="s">
        <v>62</v>
      </c>
      <c r="E31" s="13">
        <v>0.86209490740740702</v>
      </c>
      <c r="F31" s="14">
        <f t="shared" si="1"/>
        <v>2.1874999999999929</v>
      </c>
      <c r="G31" s="15">
        <f t="shared" si="2"/>
        <v>2.1874999999999929</v>
      </c>
      <c r="H31" s="15">
        <f t="shared" si="3"/>
        <v>0</v>
      </c>
      <c r="I31"/>
      <c r="J31"/>
    </row>
    <row r="32" spans="1:13" ht="18.75" x14ac:dyDescent="0.15">
      <c r="A32" s="12">
        <f t="shared" ca="1" si="0"/>
        <v>46199.418574074101</v>
      </c>
      <c r="B32" s="7" t="s">
        <v>66</v>
      </c>
      <c r="C32" s="13">
        <v>0.418564814814815</v>
      </c>
      <c r="D32" s="13" t="s">
        <v>62</v>
      </c>
      <c r="E32" s="13">
        <v>0.52599537037037003</v>
      </c>
      <c r="F32" s="14">
        <f t="shared" si="1"/>
        <v>2.5783333333333207</v>
      </c>
      <c r="G32" s="15">
        <f t="shared" si="2"/>
        <v>2.5783333333333207</v>
      </c>
      <c r="H32" s="15">
        <f t="shared" si="3"/>
        <v>0</v>
      </c>
      <c r="I32"/>
      <c r="J32"/>
    </row>
    <row r="33" spans="1:11" ht="18.75" x14ac:dyDescent="0.15">
      <c r="A33" s="12">
        <f t="shared" ca="1" si="0"/>
        <v>46199.625875694401</v>
      </c>
      <c r="B33" s="7" t="s">
        <v>66</v>
      </c>
      <c r="C33" s="13">
        <v>0.62586805555555602</v>
      </c>
      <c r="D33" s="13" t="s">
        <v>62</v>
      </c>
      <c r="E33" s="13">
        <v>0.70129629629629597</v>
      </c>
      <c r="F33" s="14">
        <f t="shared" si="1"/>
        <v>1.8102777777777588</v>
      </c>
      <c r="G33" s="15">
        <f t="shared" si="2"/>
        <v>1.8102777777777588</v>
      </c>
      <c r="H33" s="15">
        <f t="shared" si="3"/>
        <v>0</v>
      </c>
      <c r="I33"/>
      <c r="J33"/>
    </row>
    <row r="34" spans="1:11" ht="18.75" x14ac:dyDescent="0.15">
      <c r="A34" s="12">
        <f t="shared" ca="1" si="0"/>
        <v>46199.701331365701</v>
      </c>
      <c r="B34" s="7" t="s">
        <v>64</v>
      </c>
      <c r="C34" s="13">
        <v>0.70133101851851898</v>
      </c>
      <c r="D34" s="13" t="s">
        <v>62</v>
      </c>
      <c r="E34" s="13">
        <v>0.77788194444444403</v>
      </c>
      <c r="F34" s="14">
        <f t="shared" si="1"/>
        <v>1.8372222222222012</v>
      </c>
      <c r="G34" s="15">
        <f t="shared" si="2"/>
        <v>1.8372222222222012</v>
      </c>
      <c r="H34" s="15">
        <f t="shared" si="3"/>
        <v>0</v>
      </c>
      <c r="I34"/>
      <c r="J34"/>
    </row>
    <row r="35" spans="1:11" ht="18.75" x14ac:dyDescent="0.15">
      <c r="A35" s="12">
        <f t="shared" ca="1" si="0"/>
        <v>46199.853907291697</v>
      </c>
      <c r="B35" s="7" t="s">
        <v>64</v>
      </c>
      <c r="C35" s="13">
        <v>0.85390046296296296</v>
      </c>
      <c r="D35" s="13" t="s">
        <v>62</v>
      </c>
      <c r="E35" s="13">
        <v>0.95979166666666704</v>
      </c>
      <c r="F35" s="14">
        <f t="shared" si="1"/>
        <v>2.541388888888898</v>
      </c>
      <c r="G35" s="15">
        <f t="shared" si="2"/>
        <v>2.541388888888898</v>
      </c>
      <c r="H35" s="15">
        <f t="shared" si="3"/>
        <v>0</v>
      </c>
      <c r="I35"/>
      <c r="J35"/>
    </row>
    <row r="36" spans="1:11" ht="18.75" x14ac:dyDescent="0.15">
      <c r="A36" s="12">
        <f t="shared" ca="1" si="0"/>
        <v>46202.951219328701</v>
      </c>
      <c r="B36" s="7" t="s">
        <v>64</v>
      </c>
      <c r="C36" s="13">
        <v>0.95121527777777803</v>
      </c>
      <c r="D36" s="13" t="s">
        <v>62</v>
      </c>
      <c r="E36" s="13">
        <v>0.13968749999999999</v>
      </c>
      <c r="F36" s="14">
        <f t="shared" si="1"/>
        <v>4.5233333333333272</v>
      </c>
      <c r="G36" s="15">
        <f t="shared" si="2"/>
        <v>1.1708333333333272</v>
      </c>
      <c r="H36" s="15">
        <f t="shared" si="3"/>
        <v>3.3525</v>
      </c>
      <c r="I36"/>
      <c r="J36"/>
    </row>
    <row r="37" spans="1:11" ht="18.75" x14ac:dyDescent="0.15">
      <c r="A37" s="12">
        <f t="shared" ca="1" si="0"/>
        <v>46203.501496296303</v>
      </c>
      <c r="B37" s="7" t="s">
        <v>69</v>
      </c>
      <c r="C37" s="13">
        <v>0.50149305555555601</v>
      </c>
      <c r="D37" s="13" t="s">
        <v>62</v>
      </c>
      <c r="E37" s="13">
        <v>0.54709490740740696</v>
      </c>
      <c r="F37" s="14">
        <f t="shared" si="1"/>
        <v>1.0944444444444228</v>
      </c>
      <c r="G37" s="15">
        <f t="shared" si="2"/>
        <v>1.0944444444444228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42"/>
  <sheetViews>
    <sheetView zoomScale="85" zoomScaleNormal="85" workbookViewId="0">
      <selection activeCell="E19" sqref="E19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46179.540015856503</v>
      </c>
      <c r="B3" s="7" t="s">
        <v>72</v>
      </c>
      <c r="C3" s="13">
        <v>0.54001157407407396</v>
      </c>
      <c r="D3" s="13" t="s">
        <v>62</v>
      </c>
      <c r="E3" s="13">
        <v>0.79630787037036999</v>
      </c>
      <c r="F3" s="14">
        <f t="shared" ref="F3:F42" si="1">(IF(E3-C3&lt;0,"24:00"-C3+E3,E3-C3))*24</f>
        <v>6.1511111111111045</v>
      </c>
      <c r="G3" s="15">
        <f t="shared" ref="G3:G42" si="2">F3-H3</f>
        <v>6.1511111111111045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60.954166666666659</v>
      </c>
      <c r="K3" s="20">
        <f>SUMIF(B:B,"带班主任",G:G)</f>
        <v>47.70333333333334</v>
      </c>
      <c r="L3" s="20">
        <f>SUMIF(B:B,"带班主任",H:H)</f>
        <v>13.250833333333317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46180.130242939798</v>
      </c>
      <c r="B4" s="7" t="s">
        <v>72</v>
      </c>
      <c r="C4" s="13">
        <v>0.13024305555555599</v>
      </c>
      <c r="D4" s="13" t="s">
        <v>62</v>
      </c>
      <c r="E4" s="13">
        <v>0.29707175925925899</v>
      </c>
      <c r="F4" s="14">
        <f t="shared" si="1"/>
        <v>4.0038888888888717</v>
      </c>
      <c r="G4" s="15">
        <f t="shared" si="2"/>
        <v>0</v>
      </c>
      <c r="H4" s="15">
        <f t="shared" si="3"/>
        <v>4.0038888888888717</v>
      </c>
      <c r="I4" s="23" t="s">
        <v>65</v>
      </c>
      <c r="J4" s="24">
        <f>SUMIF(B:B,"西塔台管制席",F:F)+SUMIF(B:B,"东塔台管制席",F:F)</f>
        <v>2.6938888888888806</v>
      </c>
      <c r="K4" s="25">
        <f>SUMIF(B:B,"西塔台管制席",G:G)+SUMIF(B:B,"东塔台管制席",G:G)</f>
        <v>1.114166666666665</v>
      </c>
      <c r="L4" s="25">
        <f>SUMIF(B:B,"西塔台管制席",H:H)+SUMIF(B:B,"东塔台管制席",H:H)</f>
        <v>1.5797222222222156</v>
      </c>
      <c r="M4" s="21"/>
    </row>
    <row r="5" spans="1:16" ht="18.75" x14ac:dyDescent="0.25">
      <c r="A5" s="12">
        <f t="shared" ca="1" si="0"/>
        <v>46183.543148958299</v>
      </c>
      <c r="B5" s="7" t="s">
        <v>72</v>
      </c>
      <c r="C5" s="13">
        <v>0.54314814814814805</v>
      </c>
      <c r="D5" s="13" t="s">
        <v>62</v>
      </c>
      <c r="E5" s="13">
        <v>0.79548611111111101</v>
      </c>
      <c r="F5" s="14">
        <f t="shared" si="1"/>
        <v>6.056111111111111</v>
      </c>
      <c r="G5" s="15">
        <f t="shared" si="2"/>
        <v>6.056111111111111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46184.1302967593</v>
      </c>
      <c r="B6" s="7" t="s">
        <v>72</v>
      </c>
      <c r="C6" s="13">
        <v>0.130289351851852</v>
      </c>
      <c r="D6" s="13" t="s">
        <v>62</v>
      </c>
      <c r="E6" s="13">
        <v>0.29508101851851898</v>
      </c>
      <c r="F6" s="14">
        <f t="shared" si="1"/>
        <v>3.9550000000000072</v>
      </c>
      <c r="G6" s="15">
        <f t="shared" si="2"/>
        <v>0</v>
      </c>
      <c r="H6" s="15">
        <f t="shared" si="3"/>
        <v>3.9550000000000072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46186.354021180603</v>
      </c>
      <c r="B7" s="7" t="s">
        <v>72</v>
      </c>
      <c r="C7" s="13">
        <v>0.35401620370370401</v>
      </c>
      <c r="D7" s="13" t="s">
        <v>62</v>
      </c>
      <c r="E7" s="13">
        <v>0.54967592592592596</v>
      </c>
      <c r="F7" s="14">
        <f t="shared" si="1"/>
        <v>4.6958333333333266</v>
      </c>
      <c r="G7" s="15">
        <f t="shared" si="2"/>
        <v>4.6958333333333266</v>
      </c>
      <c r="H7" s="15">
        <f t="shared" si="3"/>
        <v>0</v>
      </c>
      <c r="I7" s="23" t="s">
        <v>70</v>
      </c>
      <c r="J7" s="24">
        <f>SUMIF(B:B,"地面席",F:F)</f>
        <v>2.4563888888888883</v>
      </c>
      <c r="K7" s="25">
        <f>SUMIF(B:B,"地面席",G:G)</f>
        <v>0</v>
      </c>
      <c r="L7" s="25">
        <f>SUMIF(B:B,"地面席",H:H)</f>
        <v>2.4563888888888883</v>
      </c>
      <c r="M7" s="21"/>
    </row>
    <row r="8" spans="1:16" ht="18.75" x14ac:dyDescent="0.25">
      <c r="A8" s="12">
        <f t="shared" ca="1" si="0"/>
        <v>46186.791041435201</v>
      </c>
      <c r="B8" s="7" t="s">
        <v>72</v>
      </c>
      <c r="C8" s="13">
        <v>0.79104166666666698</v>
      </c>
      <c r="D8" s="13" t="s">
        <v>62</v>
      </c>
      <c r="E8" s="13">
        <v>0.94809027777777799</v>
      </c>
      <c r="F8" s="14">
        <f t="shared" si="1"/>
        <v>3.7691666666666643</v>
      </c>
      <c r="G8" s="15">
        <f t="shared" si="2"/>
        <v>3.7691666666666643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46187.292408217603</v>
      </c>
      <c r="B9" s="7" t="s">
        <v>72</v>
      </c>
      <c r="C9" s="13">
        <v>0.29240740740740701</v>
      </c>
      <c r="D9" s="13" t="s">
        <v>62</v>
      </c>
      <c r="E9" s="13">
        <v>0.54896990740740703</v>
      </c>
      <c r="F9" s="14">
        <f t="shared" si="1"/>
        <v>6.1575000000000006</v>
      </c>
      <c r="G9" s="15">
        <f t="shared" si="2"/>
        <v>5.1752777777777776</v>
      </c>
      <c r="H9" s="15">
        <f t="shared" si="3"/>
        <v>0.98222222222222344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46187.936811805601</v>
      </c>
      <c r="B10" s="7" t="s">
        <v>72</v>
      </c>
      <c r="C10" s="13">
        <v>0.936805555555556</v>
      </c>
      <c r="D10" s="13" t="s">
        <v>62</v>
      </c>
      <c r="E10" s="13">
        <v>0.13875000000000001</v>
      </c>
      <c r="F10" s="14">
        <f t="shared" si="1"/>
        <v>4.846666666666656</v>
      </c>
      <c r="G10" s="15">
        <f t="shared" si="2"/>
        <v>1.5166666666666559</v>
      </c>
      <c r="H10" s="15">
        <f t="shared" si="3"/>
        <v>3.33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46190.3538078704</v>
      </c>
      <c r="B11" s="7" t="s">
        <v>72</v>
      </c>
      <c r="C11" s="13">
        <v>0.35380787037036998</v>
      </c>
      <c r="D11" s="13" t="s">
        <v>62</v>
      </c>
      <c r="E11" s="13">
        <v>0.54443287037037003</v>
      </c>
      <c r="F11" s="14">
        <f t="shared" si="1"/>
        <v>4.5750000000000011</v>
      </c>
      <c r="G11" s="15">
        <f t="shared" si="2"/>
        <v>4.5750000000000011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46198.5169888889</v>
      </c>
      <c r="B12" s="7" t="s">
        <v>72</v>
      </c>
      <c r="C12" s="13">
        <v>0.51697916666666699</v>
      </c>
      <c r="D12" s="13" t="s">
        <v>62</v>
      </c>
      <c r="E12" s="13">
        <v>0.68883101851851902</v>
      </c>
      <c r="F12" s="14">
        <f t="shared" si="1"/>
        <v>4.1244444444444488</v>
      </c>
      <c r="G12" s="15">
        <f t="shared" si="2"/>
        <v>4.1244444444444488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46198.783103819398</v>
      </c>
      <c r="B13" s="7" t="s">
        <v>72</v>
      </c>
      <c r="C13" s="13">
        <v>0.78310185185185199</v>
      </c>
      <c r="D13" s="13" t="s">
        <v>62</v>
      </c>
      <c r="E13" s="13">
        <v>0.94444444444444497</v>
      </c>
      <c r="F13" s="14">
        <f t="shared" si="1"/>
        <v>3.8722222222222316</v>
      </c>
      <c r="G13" s="15">
        <f t="shared" si="2"/>
        <v>3.8722222222222316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46199.292518634298</v>
      </c>
      <c r="B14" s="7" t="s">
        <v>72</v>
      </c>
      <c r="C14" s="13">
        <v>0.29251157407407402</v>
      </c>
      <c r="D14" s="13" t="s">
        <v>62</v>
      </c>
      <c r="E14" s="13">
        <v>0.54487268518518495</v>
      </c>
      <c r="F14" s="14">
        <f t="shared" si="1"/>
        <v>6.0566666666666622</v>
      </c>
      <c r="G14" s="15">
        <f t="shared" si="2"/>
        <v>5.0769444444444467</v>
      </c>
      <c r="H14" s="15">
        <f t="shared" si="3"/>
        <v>0.97972222222221506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46199.646602777801</v>
      </c>
      <c r="B15" s="7" t="s">
        <v>72</v>
      </c>
      <c r="C15" s="13">
        <v>0.64659722222222205</v>
      </c>
      <c r="D15" s="13" t="s">
        <v>62</v>
      </c>
      <c r="E15" s="13">
        <v>0.75870370370370399</v>
      </c>
      <c r="F15" s="14">
        <f t="shared" si="1"/>
        <v>2.6905555555555667</v>
      </c>
      <c r="G15" s="15">
        <f t="shared" si="2"/>
        <v>2.6905555555555667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46203.137306712997</v>
      </c>
      <c r="B16" s="7" t="s">
        <v>82</v>
      </c>
      <c r="C16" s="13">
        <v>0.13730324074074099</v>
      </c>
      <c r="D16" s="13" t="s">
        <v>62</v>
      </c>
      <c r="E16" s="13">
        <v>0.23965277777777799</v>
      </c>
      <c r="F16" s="14">
        <f t="shared" si="1"/>
        <v>2.4563888888888883</v>
      </c>
      <c r="G16" s="15">
        <f t="shared" si="2"/>
        <v>0</v>
      </c>
      <c r="H16" s="15">
        <f t="shared" si="3"/>
        <v>2.4563888888888883</v>
      </c>
      <c r="I16" s="37" t="s">
        <v>63</v>
      </c>
      <c r="J16" s="38">
        <f t="shared" ref="J16:L16" si="4">J3</f>
        <v>60.954166666666659</v>
      </c>
      <c r="K16" s="39">
        <f t="shared" si="4"/>
        <v>47.70333333333334</v>
      </c>
      <c r="L16" s="40">
        <f t="shared" si="4"/>
        <v>13.250833333333317</v>
      </c>
      <c r="M16" s="41"/>
    </row>
    <row r="17" spans="1:13" ht="20.25" x14ac:dyDescent="0.25">
      <c r="A17" s="12">
        <f t="shared" ca="1" si="0"/>
        <v>46203.239690740702</v>
      </c>
      <c r="B17" s="7" t="s">
        <v>69</v>
      </c>
      <c r="C17" s="13">
        <v>0.2396875</v>
      </c>
      <c r="D17" s="13" t="s">
        <v>62</v>
      </c>
      <c r="E17" s="13">
        <v>0.30550925925925898</v>
      </c>
      <c r="F17" s="14">
        <f t="shared" si="1"/>
        <v>1.5797222222222156</v>
      </c>
      <c r="G17" s="15">
        <f t="shared" si="2"/>
        <v>0</v>
      </c>
      <c r="H17" s="15">
        <f t="shared" si="3"/>
        <v>1.5797222222222156</v>
      </c>
      <c r="I17" s="37" t="s">
        <v>79</v>
      </c>
      <c r="J17" s="38">
        <f>J4+J5+J6+J7+J10</f>
        <v>5.1502777777777684</v>
      </c>
      <c r="K17" s="39">
        <f>K4+K5+K6+K7+K10</f>
        <v>1.114166666666665</v>
      </c>
      <c r="L17" s="40">
        <f>L4+L5+L6+L7+L10</f>
        <v>4.0361111111111043</v>
      </c>
      <c r="M17" s="41"/>
    </row>
    <row r="18" spans="1:13" ht="20.25" x14ac:dyDescent="0.25">
      <c r="A18" s="12">
        <f t="shared" ca="1" si="0"/>
        <v>46203.953556481501</v>
      </c>
      <c r="B18" s="7" t="s">
        <v>69</v>
      </c>
      <c r="C18" s="13">
        <v>0.95355324074074099</v>
      </c>
      <c r="D18" s="13" t="s">
        <v>62</v>
      </c>
      <c r="E18" s="13">
        <v>0.99997685185185203</v>
      </c>
      <c r="F18" s="14">
        <f t="shared" si="1"/>
        <v>1.114166666666665</v>
      </c>
      <c r="G18" s="15">
        <f t="shared" si="2"/>
        <v>1.114166666666665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 t="str">
        <f t="shared" ca="1" si="0"/>
        <v/>
      </c>
      <c r="B19" s="7"/>
      <c r="C19" s="13"/>
      <c r="D19" s="13"/>
      <c r="E19" s="13"/>
      <c r="F19" s="14">
        <f t="shared" si="1"/>
        <v>0</v>
      </c>
      <c r="G19" s="15">
        <f t="shared" si="2"/>
        <v>0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 t="str">
        <f t="shared" ca="1" si="0"/>
        <v/>
      </c>
      <c r="B20" s="7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2" t="s">
        <v>81</v>
      </c>
      <c r="J20" s="65">
        <f>J16+J17+J18+J19</f>
        <v>66.104444444444425</v>
      </c>
      <c r="K20" s="66"/>
      <c r="L20" s="67"/>
      <c r="M20" s="43"/>
    </row>
    <row r="21" spans="1:13" ht="20.25" x14ac:dyDescent="0.25">
      <c r="A21" s="12" t="str">
        <f t="shared" ca="1" si="0"/>
        <v/>
      </c>
      <c r="B21" s="7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46174.355253819398</v>
      </c>
      <c r="B3" s="7" t="s">
        <v>84</v>
      </c>
      <c r="C3" s="13">
        <v>0.35524305555555602</v>
      </c>
      <c r="D3" s="13" t="s">
        <v>62</v>
      </c>
      <c r="E3" s="13">
        <v>0.50145833333333301</v>
      </c>
      <c r="F3" s="14">
        <f t="shared" ref="F3:F42" si="1">(IF(E3-C3&lt;0,"24:00"-C3+E3,E3-C3))*24</f>
        <v>3.5091666666666477</v>
      </c>
      <c r="G3" s="15">
        <f t="shared" ref="G3:G42" si="2">F3-H3</f>
        <v>3.5091666666666477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46174.628964583302</v>
      </c>
      <c r="B4" s="7" t="s">
        <v>84</v>
      </c>
      <c r="C4" s="13">
        <v>0.62895833333333295</v>
      </c>
      <c r="D4" s="13" t="s">
        <v>62</v>
      </c>
      <c r="E4" s="13">
        <v>0.75126157407407401</v>
      </c>
      <c r="F4" s="14">
        <f t="shared" si="1"/>
        <v>2.9352777777777854</v>
      </c>
      <c r="G4" s="15">
        <f t="shared" si="2"/>
        <v>2.9352777777777854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24.34916666666664</v>
      </c>
      <c r="K4" s="25">
        <f>SUMIF(B:B,"西塔台管制席",G:G)+SUMIF(B:B,"东塔台管制席",G:G)</f>
        <v>17.286666666666651</v>
      </c>
      <c r="L4" s="25">
        <f>SUMIF(B:B,"西塔台管制席",H:H)+SUMIF(B:B,"东塔台管制席",H:H)</f>
        <v>7.062499999999992</v>
      </c>
      <c r="M4" s="21"/>
    </row>
    <row r="5" spans="1:16" ht="18.75" x14ac:dyDescent="0.25">
      <c r="A5" s="12">
        <f t="shared" ca="1" si="0"/>
        <v>46175.392418865697</v>
      </c>
      <c r="B5" s="7" t="s">
        <v>84</v>
      </c>
      <c r="C5" s="13">
        <v>0.39241898148148202</v>
      </c>
      <c r="D5" s="13" t="s">
        <v>62</v>
      </c>
      <c r="E5" s="13">
        <v>0.50223379629629605</v>
      </c>
      <c r="F5" s="14">
        <f t="shared" si="1"/>
        <v>2.6355555555555368</v>
      </c>
      <c r="G5" s="15">
        <f t="shared" si="2"/>
        <v>2.6355555555555368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17.687222222222239</v>
      </c>
      <c r="K5" s="25">
        <f>SUMIF(B:B,"西塔台协调席",G:G)+SUMIF(B:B,"东塔台协调席",G:G)</f>
        <v>13.174166666666686</v>
      </c>
      <c r="L5" s="25">
        <f>SUMIF(B:B,"西塔台协调席",H:H)+SUMIF(B:B,"东塔台协调席",H:H)</f>
        <v>4.5130555555555549</v>
      </c>
      <c r="M5" s="21"/>
    </row>
    <row r="6" spans="1:16" ht="18.75" x14ac:dyDescent="0.25">
      <c r="A6" s="12">
        <f t="shared" ca="1" si="0"/>
        <v>46175.638340625002</v>
      </c>
      <c r="B6" s="7" t="s">
        <v>84</v>
      </c>
      <c r="C6" s="13">
        <v>0.63833333333333298</v>
      </c>
      <c r="D6" s="13" t="s">
        <v>62</v>
      </c>
      <c r="E6" s="13">
        <v>0.734606481481482</v>
      </c>
      <c r="F6" s="14">
        <f t="shared" si="1"/>
        <v>2.3105555555555766</v>
      </c>
      <c r="G6" s="15">
        <f t="shared" si="2"/>
        <v>2.3105555555555766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46178.951838773202</v>
      </c>
      <c r="B7" s="7" t="s">
        <v>69</v>
      </c>
      <c r="C7" s="13">
        <v>0.95182870370370398</v>
      </c>
      <c r="D7" s="13" t="s">
        <v>62</v>
      </c>
      <c r="E7" s="13">
        <v>0.111377314814815</v>
      </c>
      <c r="F7" s="14">
        <f t="shared" si="1"/>
        <v>3.8291666666666644</v>
      </c>
      <c r="G7" s="15">
        <f t="shared" si="2"/>
        <v>1.1561111111111044</v>
      </c>
      <c r="H7" s="15">
        <f t="shared" si="3"/>
        <v>2.67305555555556</v>
      </c>
      <c r="I7" s="23" t="s">
        <v>70</v>
      </c>
      <c r="J7" s="24">
        <f>SUMIF(B:B,"地面席",F:F)</f>
        <v>4.420555555555584</v>
      </c>
      <c r="K7" s="25">
        <f>SUMIF(B:B,"地面席",G:G)</f>
        <v>0</v>
      </c>
      <c r="L7" s="25">
        <f>SUMIF(B:B,"地面席",H:H)</f>
        <v>4.420555555555584</v>
      </c>
      <c r="M7" s="21"/>
    </row>
    <row r="8" spans="1:16" ht="18.75" x14ac:dyDescent="0.25">
      <c r="A8" s="12">
        <f t="shared" ca="1" si="0"/>
        <v>46180.139029745398</v>
      </c>
      <c r="B8" s="7" t="s">
        <v>61</v>
      </c>
      <c r="C8" s="13">
        <v>0.139027777777778</v>
      </c>
      <c r="D8" s="13" t="s">
        <v>62</v>
      </c>
      <c r="E8" s="13">
        <v>0.25506944444444402</v>
      </c>
      <c r="F8" s="14">
        <f t="shared" si="1"/>
        <v>2.7849999999999842</v>
      </c>
      <c r="G8" s="15">
        <f t="shared" si="2"/>
        <v>0</v>
      </c>
      <c r="H8" s="15">
        <f t="shared" si="3"/>
        <v>2.7849999999999842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46180.255149536999</v>
      </c>
      <c r="B9" s="7" t="s">
        <v>64</v>
      </c>
      <c r="C9" s="13">
        <v>0.25513888888888903</v>
      </c>
      <c r="D9" s="13" t="s">
        <v>62</v>
      </c>
      <c r="E9" s="13">
        <v>0.30133101851851901</v>
      </c>
      <c r="F9" s="14">
        <f t="shared" si="1"/>
        <v>1.1086111111111197</v>
      </c>
      <c r="G9" s="15">
        <f t="shared" si="2"/>
        <v>0</v>
      </c>
      <c r="H9" s="15">
        <f t="shared" si="3"/>
        <v>1.1086111111111197</v>
      </c>
      <c r="I9" s="23" t="s">
        <v>73</v>
      </c>
      <c r="J9" s="24">
        <f>SUMIF(B:B,"航班调度席",F:F)</f>
        <v>23.163333333333341</v>
      </c>
      <c r="K9" s="25">
        <f>SUMIF(B:B,"航班调度席",G:G)</f>
        <v>23.163333333333341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46183.138485763899</v>
      </c>
      <c r="B10" s="7" t="s">
        <v>82</v>
      </c>
      <c r="C10" s="13">
        <v>0.13848379629629601</v>
      </c>
      <c r="D10" s="13" t="s">
        <v>62</v>
      </c>
      <c r="E10" s="13">
        <v>0.22822916666666701</v>
      </c>
      <c r="F10" s="14">
        <f t="shared" si="1"/>
        <v>2.1538888888889041</v>
      </c>
      <c r="G10" s="15">
        <f t="shared" si="2"/>
        <v>0</v>
      </c>
      <c r="H10" s="15">
        <f t="shared" si="3"/>
        <v>2.1538888888889041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46184.0128996528</v>
      </c>
      <c r="B11" s="7" t="s">
        <v>66</v>
      </c>
      <c r="C11" s="13">
        <v>1.28935185185185E-2</v>
      </c>
      <c r="D11" s="13" t="s">
        <v>62</v>
      </c>
      <c r="E11" s="13">
        <v>0.11282407407407399</v>
      </c>
      <c r="F11" s="14">
        <f t="shared" si="1"/>
        <v>2.3983333333333317</v>
      </c>
      <c r="G11" s="15">
        <f t="shared" si="2"/>
        <v>0</v>
      </c>
      <c r="H11" s="15">
        <f t="shared" si="3"/>
        <v>2.3983333333333317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46184.112863310198</v>
      </c>
      <c r="B12" s="7" t="s">
        <v>69</v>
      </c>
      <c r="C12" s="13">
        <v>0.112858796296296</v>
      </c>
      <c r="D12" s="13" t="s">
        <v>62</v>
      </c>
      <c r="E12" s="13">
        <v>0.146030092592593</v>
      </c>
      <c r="F12" s="14">
        <f t="shared" si="1"/>
        <v>0.79611111111112809</v>
      </c>
      <c r="G12" s="15">
        <f t="shared" si="2"/>
        <v>0</v>
      </c>
      <c r="H12" s="15">
        <f t="shared" si="3"/>
        <v>0.79611111111112809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46186.354111805602</v>
      </c>
      <c r="B13" s="7" t="s">
        <v>69</v>
      </c>
      <c r="C13" s="13">
        <v>0.35410879629629599</v>
      </c>
      <c r="D13" s="13" t="s">
        <v>62</v>
      </c>
      <c r="E13" s="13">
        <v>0.52694444444444399</v>
      </c>
      <c r="F13" s="14">
        <f t="shared" si="1"/>
        <v>4.1480555555555521</v>
      </c>
      <c r="G13" s="15">
        <f t="shared" si="2"/>
        <v>4.1480555555555521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46186.693669328699</v>
      </c>
      <c r="B14" s="7" t="s">
        <v>64</v>
      </c>
      <c r="C14" s="13">
        <v>0.69366898148148104</v>
      </c>
      <c r="D14" s="13" t="s">
        <v>62</v>
      </c>
      <c r="E14" s="13">
        <v>0.77641203703703698</v>
      </c>
      <c r="F14" s="14">
        <f t="shared" si="1"/>
        <v>1.9858333333333427</v>
      </c>
      <c r="G14" s="15">
        <f t="shared" si="2"/>
        <v>1.9858333333333427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46186.855550925902</v>
      </c>
      <c r="B15" s="7" t="s">
        <v>69</v>
      </c>
      <c r="C15" s="13">
        <v>0.85554398148148103</v>
      </c>
      <c r="D15" s="13" t="s">
        <v>62</v>
      </c>
      <c r="E15" s="13">
        <v>0.95820601851851805</v>
      </c>
      <c r="F15" s="14">
        <f t="shared" si="1"/>
        <v>2.4638888888888886</v>
      </c>
      <c r="G15" s="15">
        <f t="shared" si="2"/>
        <v>2.4638888888888886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46187.291412152801</v>
      </c>
      <c r="B16" s="7" t="s">
        <v>66</v>
      </c>
      <c r="C16" s="13">
        <v>0.291412037037037</v>
      </c>
      <c r="D16" s="13" t="s">
        <v>62</v>
      </c>
      <c r="E16" s="13">
        <v>0.42480324074074099</v>
      </c>
      <c r="F16" s="14">
        <f t="shared" si="1"/>
        <v>3.2013888888888959</v>
      </c>
      <c r="G16" s="15">
        <f t="shared" si="2"/>
        <v>2.1952777777777923</v>
      </c>
      <c r="H16" s="15">
        <f t="shared" si="3"/>
        <v>1.0061111111111036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46187.5401047454</v>
      </c>
      <c r="B17" s="7" t="s">
        <v>66</v>
      </c>
      <c r="C17" s="13">
        <v>0.54010416666666705</v>
      </c>
      <c r="D17" s="13" t="s">
        <v>62</v>
      </c>
      <c r="E17" s="13">
        <v>0.651516203703704</v>
      </c>
      <c r="F17" s="14">
        <f t="shared" si="1"/>
        <v>2.6738888888888868</v>
      </c>
      <c r="G17" s="15">
        <f t="shared" si="2"/>
        <v>2.6738888888888868</v>
      </c>
      <c r="H17" s="15">
        <f t="shared" si="3"/>
        <v>0</v>
      </c>
      <c r="I17" s="37" t="s">
        <v>79</v>
      </c>
      <c r="J17" s="38">
        <f>J4+J5+J6+J7+J10</f>
        <v>46.45694444444446</v>
      </c>
      <c r="K17" s="39">
        <f>K4+K5+K6+K7+K10</f>
        <v>30.460833333333337</v>
      </c>
      <c r="L17" s="40">
        <f>L4+L5+L6+L7+L10</f>
        <v>15.99611111111113</v>
      </c>
      <c r="M17" s="41"/>
    </row>
    <row r="18" spans="1:13" ht="20.25" x14ac:dyDescent="0.25">
      <c r="A18" s="12">
        <f t="shared" ca="1" si="0"/>
        <v>46192.1394133102</v>
      </c>
      <c r="B18" s="7" t="s">
        <v>82</v>
      </c>
      <c r="C18" s="13">
        <v>0.139409722222222</v>
      </c>
      <c r="D18" s="13" t="s">
        <v>62</v>
      </c>
      <c r="E18" s="13">
        <v>0.233854166666667</v>
      </c>
      <c r="F18" s="14">
        <f t="shared" si="1"/>
        <v>2.2666666666666799</v>
      </c>
      <c r="G18" s="15">
        <f t="shared" si="2"/>
        <v>0</v>
      </c>
      <c r="H18" s="15">
        <f t="shared" si="3"/>
        <v>2.2666666666666799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46194.354600462997</v>
      </c>
      <c r="B19" s="7" t="s">
        <v>84</v>
      </c>
      <c r="C19" s="13">
        <v>0.35459490740740701</v>
      </c>
      <c r="D19" s="13" t="s">
        <v>62</v>
      </c>
      <c r="E19" s="13">
        <v>0.49525462962963002</v>
      </c>
      <c r="F19" s="14">
        <f t="shared" si="1"/>
        <v>3.3758333333333521</v>
      </c>
      <c r="G19" s="15">
        <f t="shared" si="2"/>
        <v>3.3758333333333521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46194.636337962998</v>
      </c>
      <c r="B20" s="7" t="s">
        <v>84</v>
      </c>
      <c r="C20" s="13">
        <v>0.63633101851851903</v>
      </c>
      <c r="D20" s="13" t="s">
        <v>62</v>
      </c>
      <c r="E20" s="13">
        <v>0.77329861111111098</v>
      </c>
      <c r="F20" s="14">
        <f t="shared" si="1"/>
        <v>3.2872222222222067</v>
      </c>
      <c r="G20" s="15">
        <f t="shared" si="2"/>
        <v>3.2872222222222067</v>
      </c>
      <c r="H20" s="15">
        <f t="shared" si="3"/>
        <v>0</v>
      </c>
      <c r="I20" s="42" t="s">
        <v>81</v>
      </c>
      <c r="J20" s="65">
        <f>J16+J17+J18+J19</f>
        <v>46.45694444444446</v>
      </c>
      <c r="K20" s="66"/>
      <c r="L20" s="67"/>
      <c r="M20" s="43"/>
    </row>
    <row r="21" spans="1:13" ht="20.25" x14ac:dyDescent="0.25">
      <c r="A21" s="12">
        <f t="shared" ca="1" si="0"/>
        <v>46195.424353240698</v>
      </c>
      <c r="B21" s="7" t="s">
        <v>84</v>
      </c>
      <c r="C21" s="13">
        <v>0.42435185185185198</v>
      </c>
      <c r="D21" s="13" t="s">
        <v>62</v>
      </c>
      <c r="E21" s="13">
        <v>0.50593750000000004</v>
      </c>
      <c r="F21" s="14">
        <f t="shared" si="1"/>
        <v>1.9580555555555534</v>
      </c>
      <c r="G21" s="15">
        <f t="shared" si="2"/>
        <v>1.9580555555555534</v>
      </c>
      <c r="H21" s="15">
        <f t="shared" si="3"/>
        <v>0</v>
      </c>
      <c r="I21" s="44" t="s">
        <v>4</v>
      </c>
      <c r="J21" s="45">
        <f>SUM(J8:J9)</f>
        <v>23.163333333333341</v>
      </c>
      <c r="K21" s="39">
        <f>SUM(K8:K9)</f>
        <v>23.163333333333341</v>
      </c>
      <c r="L21" s="40">
        <f>SUM(L8:L9)</f>
        <v>0</v>
      </c>
      <c r="M21" s="46"/>
    </row>
    <row r="22" spans="1:13" ht="18.75" x14ac:dyDescent="0.15">
      <c r="A22" s="12">
        <f t="shared" ca="1" si="0"/>
        <v>46195.654293055602</v>
      </c>
      <c r="B22" s="7" t="s">
        <v>84</v>
      </c>
      <c r="C22" s="13">
        <v>0.65428240740740695</v>
      </c>
      <c r="D22" s="13" t="s">
        <v>62</v>
      </c>
      <c r="E22" s="13">
        <v>0.78560185185185205</v>
      </c>
      <c r="F22" s="14">
        <f t="shared" si="1"/>
        <v>3.1516666666666824</v>
      </c>
      <c r="G22" s="15">
        <f t="shared" si="2"/>
        <v>3.1516666666666824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46198.522149652803</v>
      </c>
      <c r="B23" s="7" t="s">
        <v>64</v>
      </c>
      <c r="C23" s="13">
        <v>0.52214120370370398</v>
      </c>
      <c r="D23" s="13" t="s">
        <v>62</v>
      </c>
      <c r="E23" s="13">
        <v>0.70612268518518495</v>
      </c>
      <c r="F23" s="14">
        <f t="shared" si="1"/>
        <v>4.4155555555555432</v>
      </c>
      <c r="G23" s="15">
        <f t="shared" si="2"/>
        <v>4.4155555555555432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46198.7831554398</v>
      </c>
      <c r="B24" s="7" t="s">
        <v>64</v>
      </c>
      <c r="C24" s="13">
        <v>0.78314814814814804</v>
      </c>
      <c r="D24" s="13" t="s">
        <v>62</v>
      </c>
      <c r="E24" s="13">
        <v>0.86246527777777804</v>
      </c>
      <c r="F24" s="14">
        <f t="shared" si="1"/>
        <v>1.90361111111112</v>
      </c>
      <c r="G24" s="15">
        <f t="shared" si="2"/>
        <v>1.90361111111112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46199.424829513897</v>
      </c>
      <c r="B25" s="7" t="s">
        <v>61</v>
      </c>
      <c r="C25" s="13">
        <v>0.42482638888888902</v>
      </c>
      <c r="D25" s="13" t="s">
        <v>62</v>
      </c>
      <c r="E25" s="13">
        <v>0.52851851851851805</v>
      </c>
      <c r="F25" s="14">
        <f t="shared" si="1"/>
        <v>2.4886111111110969</v>
      </c>
      <c r="G25" s="15">
        <f t="shared" si="2"/>
        <v>2.4886111111110969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46199.6259868056</v>
      </c>
      <c r="B26" s="7" t="s">
        <v>61</v>
      </c>
      <c r="C26" s="13">
        <v>0.62598379629629597</v>
      </c>
      <c r="D26" s="13" t="s">
        <v>62</v>
      </c>
      <c r="E26" s="13">
        <v>0.70138888888888895</v>
      </c>
      <c r="F26" s="14">
        <f t="shared" si="1"/>
        <v>1.8097222222222316</v>
      </c>
      <c r="G26" s="15">
        <f t="shared" si="2"/>
        <v>1.8097222222222316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46199.701420023099</v>
      </c>
      <c r="B27" s="7" t="s">
        <v>69</v>
      </c>
      <c r="C27" s="13">
        <v>0.70141203703703703</v>
      </c>
      <c r="D27" s="13" t="s">
        <v>62</v>
      </c>
      <c r="E27" s="13">
        <v>0.77784722222222202</v>
      </c>
      <c r="F27" s="14">
        <f t="shared" si="1"/>
        <v>1.8344444444444399</v>
      </c>
      <c r="G27" s="15">
        <f t="shared" si="2"/>
        <v>1.8344444444444399</v>
      </c>
      <c r="H27" s="15">
        <f t="shared" si="3"/>
        <v>0</v>
      </c>
      <c r="I27"/>
      <c r="J27"/>
    </row>
    <row r="28" spans="1:13" ht="18.75" x14ac:dyDescent="0.15">
      <c r="A28" s="12">
        <f t="shared" ca="1" si="0"/>
        <v>46199.855033911997</v>
      </c>
      <c r="B28" s="7" t="s">
        <v>69</v>
      </c>
      <c r="C28" s="13">
        <v>0.85502314814814795</v>
      </c>
      <c r="D28" s="13" t="s">
        <v>62</v>
      </c>
      <c r="E28" s="13">
        <v>0.95974537037037</v>
      </c>
      <c r="F28" s="14">
        <f t="shared" si="1"/>
        <v>2.5133333333333292</v>
      </c>
      <c r="G28" s="15">
        <f t="shared" si="2"/>
        <v>2.5133333333333292</v>
      </c>
      <c r="H28" s="15">
        <f t="shared" si="3"/>
        <v>0</v>
      </c>
      <c r="I28"/>
      <c r="J28"/>
    </row>
    <row r="29" spans="1:13" ht="18.75" x14ac:dyDescent="0.15">
      <c r="A29" s="12">
        <f t="shared" ca="1" si="0"/>
        <v>46200.299654398099</v>
      </c>
      <c r="B29" s="7" t="s">
        <v>69</v>
      </c>
      <c r="C29" s="13">
        <v>0.29965277777777799</v>
      </c>
      <c r="D29" s="13" t="s">
        <v>62</v>
      </c>
      <c r="E29" s="13">
        <v>0.3696875</v>
      </c>
      <c r="F29" s="14">
        <f t="shared" si="1"/>
        <v>1.6808333333333283</v>
      </c>
      <c r="G29" s="15">
        <f t="shared" si="2"/>
        <v>0.87250000000000849</v>
      </c>
      <c r="H29" s="15">
        <f t="shared" si="3"/>
        <v>0.8083333333333198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46174.952074537003</v>
      </c>
      <c r="B3" s="7" t="s">
        <v>69</v>
      </c>
      <c r="C3" s="13">
        <v>0.95207175925925902</v>
      </c>
      <c r="D3" s="13" t="s">
        <v>62</v>
      </c>
      <c r="E3" s="13">
        <v>0.13372685185185201</v>
      </c>
      <c r="F3" s="14">
        <f t="shared" ref="F3:F42" si="1">(IF(E3-C3&lt;0,"24:00"-C3+E3,E3-C3))*24</f>
        <v>4.3597222222222314</v>
      </c>
      <c r="G3" s="15">
        <f t="shared" ref="G3:G42" si="2">F3-H3</f>
        <v>1.1502777777777831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3.2094444444444483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46176.145574768503</v>
      </c>
      <c r="B4" s="7" t="s">
        <v>61</v>
      </c>
      <c r="C4" s="13">
        <v>0.14556712962963</v>
      </c>
      <c r="D4" s="13" t="s">
        <v>62</v>
      </c>
      <c r="E4" s="13">
        <v>0.25765046296296301</v>
      </c>
      <c r="F4" s="14">
        <f t="shared" si="1"/>
        <v>2.6899999999999924</v>
      </c>
      <c r="G4" s="15">
        <f t="shared" si="2"/>
        <v>0</v>
      </c>
      <c r="H4" s="15">
        <f t="shared" si="3"/>
        <v>2.6899999999999924</v>
      </c>
      <c r="I4" s="23" t="s">
        <v>65</v>
      </c>
      <c r="J4" s="24">
        <f>SUMIF(B:B,"西塔台管制席",F:F)+SUMIF(B:B,"东塔台管制席",F:F)</f>
        <v>30.162499999999998</v>
      </c>
      <c r="K4" s="25">
        <f>SUMIF(B:B,"西塔台管制席",G:G)+SUMIF(B:B,"东塔台管制席",G:G)</f>
        <v>14.339166666666671</v>
      </c>
      <c r="L4" s="25">
        <f>SUMIF(B:B,"西塔台管制席",H:H)+SUMIF(B:B,"东塔台管制席",H:H)</f>
        <v>15.823333333333325</v>
      </c>
      <c r="M4" s="21"/>
    </row>
    <row r="5" spans="1:16" ht="18.75" x14ac:dyDescent="0.25">
      <c r="A5" s="12">
        <f t="shared" ca="1" si="0"/>
        <v>46176.275141088001</v>
      </c>
      <c r="B5" s="7" t="s">
        <v>64</v>
      </c>
      <c r="C5" s="13">
        <v>0.27513888888888899</v>
      </c>
      <c r="D5" s="13" t="s">
        <v>62</v>
      </c>
      <c r="E5" s="13">
        <v>0.29755787037037001</v>
      </c>
      <c r="F5" s="14">
        <f t="shared" si="1"/>
        <v>0.53805555555554463</v>
      </c>
      <c r="G5" s="15">
        <f t="shared" si="2"/>
        <v>0</v>
      </c>
      <c r="H5" s="15">
        <f t="shared" si="3"/>
        <v>0.53805555555554463</v>
      </c>
      <c r="I5" s="23" t="s">
        <v>67</v>
      </c>
      <c r="J5" s="24">
        <f>SUMIF(B:B,"西塔台协调席",F:F)+SUMIF(B:B,"东塔台协调席",F:F)</f>
        <v>14.281666666666673</v>
      </c>
      <c r="K5" s="25">
        <f>SUMIF(B:B,"西塔台协调席",G:G)+SUMIF(B:B,"东塔台协调席",G:G)</f>
        <v>6.5450000000000124</v>
      </c>
      <c r="L5" s="25">
        <f>SUMIF(B:B,"西塔台协调席",H:H)+SUMIF(B:B,"东塔台协调席",H:H)</f>
        <v>7.7366666666666601</v>
      </c>
      <c r="M5" s="21"/>
    </row>
    <row r="6" spans="1:16" ht="18.75" x14ac:dyDescent="0.25">
      <c r="A6" s="12">
        <f t="shared" ca="1" si="0"/>
        <v>46179.139845023099</v>
      </c>
      <c r="B6" s="7" t="s">
        <v>82</v>
      </c>
      <c r="C6" s="13">
        <v>0.139837962962963</v>
      </c>
      <c r="D6" s="13" t="s">
        <v>62</v>
      </c>
      <c r="E6" s="13">
        <v>0.22947916666666701</v>
      </c>
      <c r="F6" s="14">
        <f t="shared" si="1"/>
        <v>2.1513888888888966</v>
      </c>
      <c r="G6" s="15">
        <f t="shared" si="2"/>
        <v>0</v>
      </c>
      <c r="H6" s="15">
        <f t="shared" si="3"/>
        <v>2.1513888888888966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46179.9518783565</v>
      </c>
      <c r="B7" s="7" t="s">
        <v>64</v>
      </c>
      <c r="C7" s="13">
        <v>0.95187500000000003</v>
      </c>
      <c r="D7" s="13" t="s">
        <v>62</v>
      </c>
      <c r="E7" s="13">
        <v>0.11362268518518499</v>
      </c>
      <c r="F7" s="14">
        <f t="shared" si="1"/>
        <v>3.8819444444444389</v>
      </c>
      <c r="G7" s="15">
        <f t="shared" si="2"/>
        <v>1.1549999999999989</v>
      </c>
      <c r="H7" s="15">
        <f t="shared" si="3"/>
        <v>2.72694444444444</v>
      </c>
      <c r="I7" s="23" t="s">
        <v>70</v>
      </c>
      <c r="J7" s="24">
        <f>SUMIF(B:B,"地面席",F:F)</f>
        <v>4.074722222222233</v>
      </c>
      <c r="K7" s="25">
        <f>SUMIF(B:B,"地面席",G:G)</f>
        <v>0</v>
      </c>
      <c r="L7" s="25">
        <f>SUMIF(B:B,"地面席",H:H)</f>
        <v>4.074722222222233</v>
      </c>
      <c r="M7" s="21"/>
    </row>
    <row r="8" spans="1:16" ht="18.75" x14ac:dyDescent="0.25">
      <c r="A8" s="12">
        <f t="shared" ca="1" si="0"/>
        <v>46182.379977199103</v>
      </c>
      <c r="B8" s="7" t="s">
        <v>84</v>
      </c>
      <c r="C8" s="13">
        <v>0.37997685185185198</v>
      </c>
      <c r="D8" s="13" t="s">
        <v>62</v>
      </c>
      <c r="E8" s="13">
        <v>0.48625000000000002</v>
      </c>
      <c r="F8" s="14">
        <f t="shared" si="1"/>
        <v>2.5505555555555528</v>
      </c>
      <c r="G8" s="15">
        <f t="shared" si="2"/>
        <v>2.5505555555555528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46182.644271064797</v>
      </c>
      <c r="B9" s="7" t="s">
        <v>84</v>
      </c>
      <c r="C9" s="13">
        <v>0.64427083333333302</v>
      </c>
      <c r="D9" s="13" t="s">
        <v>62</v>
      </c>
      <c r="E9" s="13">
        <v>0.70251157407407405</v>
      </c>
      <c r="F9" s="14">
        <f t="shared" si="1"/>
        <v>1.3977777777777849</v>
      </c>
      <c r="G9" s="15">
        <f t="shared" si="2"/>
        <v>1.3977777777777849</v>
      </c>
      <c r="H9" s="15">
        <f t="shared" si="3"/>
        <v>0</v>
      </c>
      <c r="I9" s="23" t="s">
        <v>73</v>
      </c>
      <c r="J9" s="24">
        <f>SUMIF(B:B,"航班调度席",F:F)</f>
        <v>10.065277777777826</v>
      </c>
      <c r="K9" s="25">
        <f>SUMIF(B:B,"航班调度席",G:G)</f>
        <v>10.065277777777826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46183.379079166698</v>
      </c>
      <c r="B10" s="7" t="s">
        <v>84</v>
      </c>
      <c r="C10" s="13">
        <v>0.37907407407407401</v>
      </c>
      <c r="D10" s="13" t="s">
        <v>62</v>
      </c>
      <c r="E10" s="13">
        <v>0.50122685185185201</v>
      </c>
      <c r="F10" s="14">
        <f t="shared" si="1"/>
        <v>2.931666666666672</v>
      </c>
      <c r="G10" s="15">
        <f t="shared" si="2"/>
        <v>2.931666666666672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46183.531791898102</v>
      </c>
      <c r="B11" s="7" t="s">
        <v>84</v>
      </c>
      <c r="C11" s="13">
        <v>0.53178240740740701</v>
      </c>
      <c r="D11" s="13" t="s">
        <v>62</v>
      </c>
      <c r="E11" s="13">
        <v>0.54743055555555598</v>
      </c>
      <c r="F11" s="14">
        <f t="shared" si="1"/>
        <v>0.37555555555557518</v>
      </c>
      <c r="G11" s="15">
        <f t="shared" si="2"/>
        <v>0.37555555555557518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46183.589734143497</v>
      </c>
      <c r="B12" s="7" t="s">
        <v>84</v>
      </c>
      <c r="C12" s="13">
        <v>0.58973379629629596</v>
      </c>
      <c r="D12" s="13" t="s">
        <v>62</v>
      </c>
      <c r="E12" s="13">
        <v>0.70680555555555602</v>
      </c>
      <c r="F12" s="14">
        <f t="shared" si="1"/>
        <v>2.8097222222222413</v>
      </c>
      <c r="G12" s="15">
        <f t="shared" si="2"/>
        <v>2.8097222222222413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46186.952506944399</v>
      </c>
      <c r="B13" s="7" t="s">
        <v>64</v>
      </c>
      <c r="C13" s="13">
        <v>0.95250000000000001</v>
      </c>
      <c r="D13" s="13" t="s">
        <v>62</v>
      </c>
      <c r="E13" s="13">
        <v>9.9814814814814801E-2</v>
      </c>
      <c r="F13" s="14">
        <f t="shared" si="1"/>
        <v>3.5355555555555549</v>
      </c>
      <c r="G13" s="15">
        <f t="shared" si="2"/>
        <v>1.1399999999999997</v>
      </c>
      <c r="H13" s="15">
        <f t="shared" si="3"/>
        <v>2.3955555555555552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46190.354086805601</v>
      </c>
      <c r="B14" s="7" t="s">
        <v>66</v>
      </c>
      <c r="C14" s="13">
        <v>0.35408564814814802</v>
      </c>
      <c r="D14" s="13" t="s">
        <v>62</v>
      </c>
      <c r="E14" s="13">
        <v>0.451435185185185</v>
      </c>
      <c r="F14" s="14">
        <f t="shared" si="1"/>
        <v>2.3363888888888873</v>
      </c>
      <c r="G14" s="15">
        <f t="shared" si="2"/>
        <v>2.3363888888888873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46190.543261226798</v>
      </c>
      <c r="B15" s="7" t="s">
        <v>61</v>
      </c>
      <c r="C15" s="13">
        <v>0.54325231481481495</v>
      </c>
      <c r="D15" s="13" t="s">
        <v>62</v>
      </c>
      <c r="E15" s="13">
        <v>0.71594907407407404</v>
      </c>
      <c r="F15" s="14">
        <f t="shared" si="1"/>
        <v>4.1447222222222182</v>
      </c>
      <c r="G15" s="15">
        <f t="shared" si="2"/>
        <v>4.1447222222222182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46190.8767770833</v>
      </c>
      <c r="B16" s="7" t="s">
        <v>66</v>
      </c>
      <c r="C16" s="13">
        <v>0.87677083333333306</v>
      </c>
      <c r="D16" s="13" t="s">
        <v>62</v>
      </c>
      <c r="E16" s="13">
        <v>0.95650462962963001</v>
      </c>
      <c r="F16" s="14">
        <f t="shared" si="1"/>
        <v>1.9136111111111269</v>
      </c>
      <c r="G16" s="15">
        <f t="shared" si="2"/>
        <v>1.9136111111111269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46191.459189351903</v>
      </c>
      <c r="B17" s="7" t="s">
        <v>61</v>
      </c>
      <c r="C17" s="13">
        <v>0.45918981481481502</v>
      </c>
      <c r="D17" s="13" t="s">
        <v>62</v>
      </c>
      <c r="E17" s="13">
        <v>0.49722222222222201</v>
      </c>
      <c r="F17" s="14">
        <f t="shared" si="1"/>
        <v>0.9127777777777677</v>
      </c>
      <c r="G17" s="15">
        <f t="shared" si="2"/>
        <v>0.9127777777777677</v>
      </c>
      <c r="H17" s="15">
        <f t="shared" si="3"/>
        <v>0</v>
      </c>
      <c r="I17" s="37" t="s">
        <v>79</v>
      </c>
      <c r="J17" s="38">
        <f>J4+J5+J6+J7+J10</f>
        <v>48.51888888888891</v>
      </c>
      <c r="K17" s="39">
        <f>K4+K5+K6+K7+K10</f>
        <v>20.884166666666683</v>
      </c>
      <c r="L17" s="40">
        <f>L4+L5+L6+L7+L10</f>
        <v>27.634722222222216</v>
      </c>
      <c r="M17" s="41"/>
    </row>
    <row r="18" spans="1:13" ht="20.25" x14ac:dyDescent="0.25">
      <c r="A18" s="12">
        <f t="shared" ca="1" si="0"/>
        <v>46191.507316782401</v>
      </c>
      <c r="B18" s="7" t="s">
        <v>61</v>
      </c>
      <c r="C18" s="13">
        <v>0.507314814814815</v>
      </c>
      <c r="D18" s="13" t="s">
        <v>62</v>
      </c>
      <c r="E18" s="13">
        <v>0.54703703703703699</v>
      </c>
      <c r="F18" s="14">
        <f t="shared" si="1"/>
        <v>0.95333333333332781</v>
      </c>
      <c r="G18" s="15">
        <f t="shared" si="2"/>
        <v>0.95333333333332781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46191.585117476898</v>
      </c>
      <c r="B19" s="7" t="s">
        <v>61</v>
      </c>
      <c r="C19" s="13">
        <v>0.58511574074074102</v>
      </c>
      <c r="D19" s="13" t="s">
        <v>62</v>
      </c>
      <c r="E19" s="13">
        <v>0.71435185185185202</v>
      </c>
      <c r="F19" s="14">
        <f t="shared" si="1"/>
        <v>3.1016666666666639</v>
      </c>
      <c r="G19" s="15">
        <f t="shared" si="2"/>
        <v>3.1016666666666639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46191.835047569402</v>
      </c>
      <c r="B20" s="7" t="s">
        <v>61</v>
      </c>
      <c r="C20" s="13">
        <v>0.83504629629629601</v>
      </c>
      <c r="D20" s="13" t="s">
        <v>62</v>
      </c>
      <c r="E20" s="13">
        <v>0.95778935185185199</v>
      </c>
      <c r="F20" s="14">
        <f t="shared" si="1"/>
        <v>2.9458333333333435</v>
      </c>
      <c r="G20" s="15">
        <f t="shared" si="2"/>
        <v>2.9458333333333435</v>
      </c>
      <c r="H20" s="15">
        <f t="shared" si="3"/>
        <v>0</v>
      </c>
      <c r="I20" s="42" t="s">
        <v>81</v>
      </c>
      <c r="J20" s="65">
        <f>J16+J17+J18+J19</f>
        <v>48.51888888888891</v>
      </c>
      <c r="K20" s="66"/>
      <c r="L20" s="67"/>
      <c r="M20" s="43"/>
    </row>
    <row r="21" spans="1:13" ht="20.25" x14ac:dyDescent="0.25">
      <c r="A21" s="12">
        <f t="shared" ca="1" si="0"/>
        <v>46195.139442592597</v>
      </c>
      <c r="B21" s="7" t="s">
        <v>61</v>
      </c>
      <c r="C21" s="13">
        <v>0.13943287037037</v>
      </c>
      <c r="D21" s="13" t="s">
        <v>62</v>
      </c>
      <c r="E21" s="13">
        <v>0.218287037037037</v>
      </c>
      <c r="F21" s="14">
        <f t="shared" si="1"/>
        <v>1.8925000000000081</v>
      </c>
      <c r="G21" s="15">
        <f t="shared" si="2"/>
        <v>0</v>
      </c>
      <c r="H21" s="15">
        <f t="shared" si="3"/>
        <v>1.8925000000000081</v>
      </c>
      <c r="I21" s="44" t="s">
        <v>4</v>
      </c>
      <c r="J21" s="45">
        <f>SUM(J8:J9)</f>
        <v>10.065277777777826</v>
      </c>
      <c r="K21" s="39">
        <f>SUM(K8:K9)</f>
        <v>10.065277777777826</v>
      </c>
      <c r="L21" s="40">
        <f>SUM(L8:L9)</f>
        <v>0</v>
      </c>
      <c r="M21" s="46"/>
    </row>
    <row r="22" spans="1:13" ht="18.75" x14ac:dyDescent="0.15">
      <c r="A22" s="12">
        <f t="shared" ca="1" si="0"/>
        <v>46195.218328472198</v>
      </c>
      <c r="B22" s="7" t="s">
        <v>64</v>
      </c>
      <c r="C22" s="13">
        <v>0.21832175925925901</v>
      </c>
      <c r="D22" s="13" t="s">
        <v>62</v>
      </c>
      <c r="E22" s="13">
        <v>0.30482638888888902</v>
      </c>
      <c r="F22" s="14">
        <f t="shared" si="1"/>
        <v>2.0761111111111203</v>
      </c>
      <c r="G22" s="15">
        <f t="shared" si="2"/>
        <v>0</v>
      </c>
      <c r="H22" s="15">
        <f t="shared" si="3"/>
        <v>2.0761111111111203</v>
      </c>
      <c r="I22"/>
      <c r="J22"/>
    </row>
    <row r="23" spans="1:13" ht="18.75" x14ac:dyDescent="0.15">
      <c r="A23" s="12">
        <f t="shared" ca="1" si="0"/>
        <v>46196.015126851897</v>
      </c>
      <c r="B23" s="7" t="s">
        <v>61</v>
      </c>
      <c r="C23" s="13">
        <v>1.51273148148148E-2</v>
      </c>
      <c r="D23" s="13" t="s">
        <v>62</v>
      </c>
      <c r="E23" s="13">
        <v>0.145972222222222</v>
      </c>
      <c r="F23" s="14">
        <f t="shared" si="1"/>
        <v>3.1402777777777731</v>
      </c>
      <c r="G23" s="15">
        <f t="shared" si="2"/>
        <v>0</v>
      </c>
      <c r="H23" s="15">
        <f t="shared" si="3"/>
        <v>3.1402777777777731</v>
      </c>
      <c r="I23"/>
      <c r="J23"/>
    </row>
    <row r="24" spans="1:13" ht="18.75" x14ac:dyDescent="0.15">
      <c r="A24" s="12">
        <f t="shared" ca="1" si="0"/>
        <v>46198.952898032403</v>
      </c>
      <c r="B24" s="7" t="s">
        <v>69</v>
      </c>
      <c r="C24" s="13">
        <v>0.952893518518518</v>
      </c>
      <c r="D24" s="13" t="s">
        <v>62</v>
      </c>
      <c r="E24" s="13">
        <v>0.1021875</v>
      </c>
      <c r="F24" s="14">
        <f t="shared" si="1"/>
        <v>3.5830555555555677</v>
      </c>
      <c r="G24" s="15">
        <f t="shared" si="2"/>
        <v>1.1305555555555675</v>
      </c>
      <c r="H24" s="15">
        <f t="shared" si="3"/>
        <v>2.4525000000000001</v>
      </c>
      <c r="I24"/>
      <c r="J24"/>
    </row>
    <row r="25" spans="1:13" ht="18.75" x14ac:dyDescent="0.15">
      <c r="A25" s="12">
        <f t="shared" ca="1" si="0"/>
        <v>46200.139842592602</v>
      </c>
      <c r="B25" s="7" t="s">
        <v>82</v>
      </c>
      <c r="C25" s="13">
        <v>0.13988425925925899</v>
      </c>
      <c r="D25" s="13" t="s">
        <v>62</v>
      </c>
      <c r="E25" s="13">
        <v>0.220023148148148</v>
      </c>
      <c r="F25" s="14">
        <f t="shared" si="1"/>
        <v>1.9233333333333362</v>
      </c>
      <c r="G25" s="15">
        <f t="shared" si="2"/>
        <v>0</v>
      </c>
      <c r="H25" s="15">
        <f t="shared" si="3"/>
        <v>1.9233333333333362</v>
      </c>
      <c r="I25"/>
      <c r="J25"/>
    </row>
    <row r="26" spans="1:13" ht="18.75" x14ac:dyDescent="0.15">
      <c r="A26" s="12">
        <f t="shared" ca="1" si="0"/>
        <v>46203.142355092597</v>
      </c>
      <c r="B26" s="7" t="s">
        <v>69</v>
      </c>
      <c r="C26" s="13">
        <v>0.14234953703703701</v>
      </c>
      <c r="D26" s="13" t="s">
        <v>62</v>
      </c>
      <c r="E26" s="13">
        <v>0.243958333333333</v>
      </c>
      <c r="F26" s="14">
        <f t="shared" si="1"/>
        <v>2.4386111111111037</v>
      </c>
      <c r="G26" s="15">
        <f t="shared" si="2"/>
        <v>0</v>
      </c>
      <c r="H26" s="15">
        <f t="shared" si="3"/>
        <v>2.4386111111111037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42"/>
  <sheetViews>
    <sheetView zoomScale="85" zoomScaleNormal="85" workbookViewId="0">
      <selection activeCell="E26" sqref="E26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46175.013884143496</v>
      </c>
      <c r="B3" s="7" t="s">
        <v>61</v>
      </c>
      <c r="C3" s="13">
        <v>1.3877314814814801E-2</v>
      </c>
      <c r="D3" s="13" t="s">
        <v>62</v>
      </c>
      <c r="E3" s="13">
        <v>0.13988425925925899</v>
      </c>
      <c r="F3" s="14">
        <f t="shared" ref="F3:F42" si="1">(IF(E3-C3&lt;0,"24:00"-C3+E3,E3-C3))*24</f>
        <v>3.0241666666666607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3.0241666666666607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46176.135791203698</v>
      </c>
      <c r="B4" s="7" t="s">
        <v>82</v>
      </c>
      <c r="C4" s="13">
        <v>0.13578703703703701</v>
      </c>
      <c r="D4" s="13" t="s">
        <v>62</v>
      </c>
      <c r="E4" s="13">
        <v>0.237835648148148</v>
      </c>
      <c r="F4" s="14">
        <f t="shared" si="1"/>
        <v>2.449166666666664</v>
      </c>
      <c r="G4" s="15">
        <f t="shared" si="2"/>
        <v>0</v>
      </c>
      <c r="H4" s="15">
        <f t="shared" si="3"/>
        <v>2.449166666666664</v>
      </c>
      <c r="I4" s="23" t="s">
        <v>65</v>
      </c>
      <c r="J4" s="24">
        <f>SUMIF(B:B,"西塔台管制席",F:F)+SUMIF(B:B,"东塔台管制席",F:F)</f>
        <v>28.882777777777822</v>
      </c>
      <c r="K4" s="25">
        <f>SUMIF(B:B,"西塔台管制席",G:G)+SUMIF(B:B,"东塔台管制席",G:G)</f>
        <v>12.68500000000005</v>
      </c>
      <c r="L4" s="25">
        <f>SUMIF(B:B,"西塔台管制席",H:H)+SUMIF(B:B,"东塔台管制席",H:H)</f>
        <v>16.197777777777766</v>
      </c>
      <c r="M4" s="21"/>
    </row>
    <row r="5" spans="1:16" ht="18.75" x14ac:dyDescent="0.25">
      <c r="A5" s="12">
        <f t="shared" ca="1" si="0"/>
        <v>46179.014138888902</v>
      </c>
      <c r="B5" s="7" t="s">
        <v>66</v>
      </c>
      <c r="C5" s="13">
        <v>1.41319444444444E-2</v>
      </c>
      <c r="D5" s="13" t="s">
        <v>62</v>
      </c>
      <c r="E5" s="13">
        <v>0.111423611111111</v>
      </c>
      <c r="F5" s="14">
        <f t="shared" si="1"/>
        <v>2.3349999999999982</v>
      </c>
      <c r="G5" s="15">
        <f t="shared" si="2"/>
        <v>0</v>
      </c>
      <c r="H5" s="15">
        <f t="shared" si="3"/>
        <v>2.3349999999999982</v>
      </c>
      <c r="I5" s="23" t="s">
        <v>67</v>
      </c>
      <c r="J5" s="24">
        <f>SUMIF(B:B,"西塔台协调席",F:F)+SUMIF(B:B,"东塔台协调席",F:F)</f>
        <v>15.965277777777782</v>
      </c>
      <c r="K5" s="25">
        <f>SUMIF(B:B,"西塔台协调席",G:G)+SUMIF(B:B,"东塔台协调席",G:G)</f>
        <v>10.846944444444457</v>
      </c>
      <c r="L5" s="25">
        <f>SUMIF(B:B,"西塔台协调席",H:H)+SUMIF(B:B,"东塔台协调席",H:H)</f>
        <v>5.1183333333333261</v>
      </c>
      <c r="M5" s="21"/>
    </row>
    <row r="6" spans="1:16" ht="18.75" x14ac:dyDescent="0.25">
      <c r="A6" s="12">
        <f t="shared" ca="1" si="0"/>
        <v>46179.111454513899</v>
      </c>
      <c r="B6" s="7" t="s">
        <v>69</v>
      </c>
      <c r="C6" s="13">
        <v>0.11150462962962999</v>
      </c>
      <c r="D6" s="13" t="s">
        <v>62</v>
      </c>
      <c r="E6" s="13">
        <v>0.14390046296296299</v>
      </c>
      <c r="F6" s="14">
        <f t="shared" si="1"/>
        <v>0.77749999999999198</v>
      </c>
      <c r="G6" s="15">
        <f t="shared" si="2"/>
        <v>0</v>
      </c>
      <c r="H6" s="15">
        <f t="shared" si="3"/>
        <v>0.77749999999999198</v>
      </c>
      <c r="I6" s="23" t="s">
        <v>68</v>
      </c>
      <c r="J6" s="24">
        <f>SUMIF(B:B,"放行席",F:F)</f>
        <v>2.1780555555555599</v>
      </c>
      <c r="K6" s="25">
        <f>SUMIF(B:B,"放行席",G:G)</f>
        <v>0</v>
      </c>
      <c r="L6" s="25">
        <f>SUMIF(B:B,"放行席",H:H)</f>
        <v>2.1780555555555599</v>
      </c>
      <c r="M6" s="21"/>
    </row>
    <row r="7" spans="1:16" ht="18.75" x14ac:dyDescent="0.25">
      <c r="A7" s="12">
        <f t="shared" ca="1" si="0"/>
        <v>46179.394562152796</v>
      </c>
      <c r="B7" s="7" t="s">
        <v>84</v>
      </c>
      <c r="C7" s="13">
        <v>0.39456018518518499</v>
      </c>
      <c r="D7" s="13" t="s">
        <v>62</v>
      </c>
      <c r="E7" s="13">
        <v>0.50517361111111103</v>
      </c>
      <c r="F7" s="14">
        <f t="shared" si="1"/>
        <v>2.6547222222222251</v>
      </c>
      <c r="G7" s="15">
        <f t="shared" si="2"/>
        <v>2.6547222222222251</v>
      </c>
      <c r="H7" s="15">
        <f t="shared" si="3"/>
        <v>0</v>
      </c>
      <c r="I7" s="23" t="s">
        <v>70</v>
      </c>
      <c r="J7" s="24">
        <f>SUMIF(B:B,"地面席",F:F)</f>
        <v>2.449166666666664</v>
      </c>
      <c r="K7" s="25">
        <f>SUMIF(B:B,"地面席",G:G)</f>
        <v>0</v>
      </c>
      <c r="L7" s="25">
        <f>SUMIF(B:B,"地面席",H:H)</f>
        <v>2.449166666666664</v>
      </c>
      <c r="M7" s="21"/>
    </row>
    <row r="8" spans="1:16" ht="18.75" x14ac:dyDescent="0.25">
      <c r="A8" s="12">
        <f t="shared" ca="1" si="0"/>
        <v>46179.5278322917</v>
      </c>
      <c r="B8" s="7" t="s">
        <v>84</v>
      </c>
      <c r="C8" s="13">
        <v>0.52782407407407395</v>
      </c>
      <c r="D8" s="13" t="s">
        <v>62</v>
      </c>
      <c r="E8" s="13">
        <v>0.58827546296296296</v>
      </c>
      <c r="F8" s="14">
        <f t="shared" si="1"/>
        <v>1.4508333333333363</v>
      </c>
      <c r="G8" s="15">
        <f t="shared" si="2"/>
        <v>1.4508333333333363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46182.351489004599</v>
      </c>
      <c r="B9" s="7" t="s">
        <v>66</v>
      </c>
      <c r="C9" s="13">
        <v>0.35148148148148201</v>
      </c>
      <c r="D9" s="13" t="s">
        <v>62</v>
      </c>
      <c r="E9" s="13">
        <v>0.52946759259259302</v>
      </c>
      <c r="F9" s="14">
        <f t="shared" si="1"/>
        <v>4.2716666666666647</v>
      </c>
      <c r="G9" s="15">
        <f t="shared" si="2"/>
        <v>4.2716666666666647</v>
      </c>
      <c r="H9" s="15">
        <f t="shared" si="3"/>
        <v>0</v>
      </c>
      <c r="I9" s="23" t="s">
        <v>73</v>
      </c>
      <c r="J9" s="24">
        <f>SUMIF(B:B,"航班调度席",F:F)</f>
        <v>4.1055555555555614</v>
      </c>
      <c r="K9" s="25">
        <f>SUMIF(B:B,"航班调度席",G:G)</f>
        <v>4.1055555555555614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46182.6926753472</v>
      </c>
      <c r="B10" s="7" t="s">
        <v>61</v>
      </c>
      <c r="C10" s="13">
        <v>0.69267361111111103</v>
      </c>
      <c r="D10" s="13" t="s">
        <v>62</v>
      </c>
      <c r="E10" s="13">
        <v>0.77570601851851895</v>
      </c>
      <c r="F10" s="14">
        <f t="shared" si="1"/>
        <v>1.99277777777779</v>
      </c>
      <c r="G10" s="15">
        <f t="shared" si="2"/>
        <v>1.99277777777779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46182.8556157407</v>
      </c>
      <c r="B11" s="7" t="s">
        <v>66</v>
      </c>
      <c r="C11" s="13">
        <v>0.85561342592592604</v>
      </c>
      <c r="D11" s="13" t="s">
        <v>62</v>
      </c>
      <c r="E11" s="13">
        <v>0.95790509259259304</v>
      </c>
      <c r="F11" s="14">
        <f t="shared" si="1"/>
        <v>2.4550000000000081</v>
      </c>
      <c r="G11" s="15">
        <f t="shared" si="2"/>
        <v>2.4550000000000081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46183.292863078699</v>
      </c>
      <c r="B12" s="7" t="s">
        <v>69</v>
      </c>
      <c r="C12" s="13">
        <v>0.29285879629629602</v>
      </c>
      <c r="D12" s="13" t="s">
        <v>62</v>
      </c>
      <c r="E12" s="13">
        <v>0.36493055555555598</v>
      </c>
      <c r="F12" s="14">
        <f t="shared" si="1"/>
        <v>1.729722222222239</v>
      </c>
      <c r="G12" s="15">
        <f t="shared" si="2"/>
        <v>0.75833333333335196</v>
      </c>
      <c r="H12" s="15">
        <f t="shared" si="3"/>
        <v>0.97138888888888708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46183.373509027799</v>
      </c>
      <c r="B13" s="7" t="s">
        <v>69</v>
      </c>
      <c r="C13" s="13">
        <v>0.37350694444444399</v>
      </c>
      <c r="D13" s="13" t="s">
        <v>62</v>
      </c>
      <c r="E13" s="13">
        <v>0.42249999999999999</v>
      </c>
      <c r="F13" s="14">
        <f t="shared" si="1"/>
        <v>1.1758333333333439</v>
      </c>
      <c r="G13" s="15">
        <f t="shared" si="2"/>
        <v>1.1758333333333439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46183.533183101797</v>
      </c>
      <c r="B14" s="7" t="s">
        <v>64</v>
      </c>
      <c r="C14" s="13">
        <v>0.53318287037037004</v>
      </c>
      <c r="D14" s="13" t="s">
        <v>62</v>
      </c>
      <c r="E14" s="13">
        <v>0.65457175925925903</v>
      </c>
      <c r="F14" s="14">
        <f t="shared" si="1"/>
        <v>2.9133333333333358</v>
      </c>
      <c r="G14" s="15">
        <f t="shared" si="2"/>
        <v>2.9133333333333358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46183.773024189803</v>
      </c>
      <c r="B15" s="7" t="s">
        <v>69</v>
      </c>
      <c r="C15" s="13">
        <v>0.77302083333333305</v>
      </c>
      <c r="D15" s="13" t="s">
        <v>62</v>
      </c>
      <c r="E15" s="13">
        <v>0.84055555555555495</v>
      </c>
      <c r="F15" s="14">
        <f t="shared" si="1"/>
        <v>1.6208333333333256</v>
      </c>
      <c r="G15" s="15">
        <f t="shared" si="2"/>
        <v>1.6208333333333256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46187.0103542824</v>
      </c>
      <c r="B16" s="7" t="s">
        <v>61</v>
      </c>
      <c r="C16" s="13">
        <v>1.03472222222222E-2</v>
      </c>
      <c r="D16" s="13" t="s">
        <v>62</v>
      </c>
      <c r="E16" s="13">
        <v>0.14359953703703701</v>
      </c>
      <c r="F16" s="14">
        <f t="shared" si="1"/>
        <v>3.1980555555555554</v>
      </c>
      <c r="G16" s="15">
        <f t="shared" si="2"/>
        <v>0</v>
      </c>
      <c r="H16" s="15">
        <f t="shared" si="3"/>
        <v>3.1980555555555554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46188.128032870402</v>
      </c>
      <c r="B17" s="7" t="s">
        <v>83</v>
      </c>
      <c r="C17" s="13">
        <v>0.12803240740740701</v>
      </c>
      <c r="D17" s="13" t="s">
        <v>62</v>
      </c>
      <c r="E17" s="13">
        <v>0.21878472222222201</v>
      </c>
      <c r="F17" s="14">
        <f t="shared" si="1"/>
        <v>2.1780555555555599</v>
      </c>
      <c r="G17" s="15">
        <f t="shared" si="2"/>
        <v>0</v>
      </c>
      <c r="H17" s="15">
        <f t="shared" si="3"/>
        <v>2.1780555555555599</v>
      </c>
      <c r="I17" s="37" t="s">
        <v>79</v>
      </c>
      <c r="J17" s="38">
        <f>J4+J5+J6+J7+J10</f>
        <v>49.475277777777826</v>
      </c>
      <c r="K17" s="39">
        <f>K4+K5+K6+K7+K10</f>
        <v>23.531944444444505</v>
      </c>
      <c r="L17" s="40">
        <f>L4+L5+L6+L7+L10</f>
        <v>25.943333333333314</v>
      </c>
      <c r="M17" s="41"/>
    </row>
    <row r="18" spans="1:13" ht="20.25" x14ac:dyDescent="0.25">
      <c r="A18" s="12">
        <f t="shared" ca="1" si="0"/>
        <v>46191.138407291699</v>
      </c>
      <c r="B18" s="7" t="s">
        <v>61</v>
      </c>
      <c r="C18" s="13">
        <v>0.13840277777777801</v>
      </c>
      <c r="D18" s="13" t="s">
        <v>62</v>
      </c>
      <c r="E18" s="13">
        <v>0.24450231481481499</v>
      </c>
      <c r="F18" s="14">
        <f t="shared" si="1"/>
        <v>2.5463888888888873</v>
      </c>
      <c r="G18" s="15">
        <f t="shared" si="2"/>
        <v>0</v>
      </c>
      <c r="H18" s="15">
        <f t="shared" si="3"/>
        <v>2.5463888888888873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46191.244562499996</v>
      </c>
      <c r="B19" s="7" t="s">
        <v>64</v>
      </c>
      <c r="C19" s="13">
        <v>0.24456018518518499</v>
      </c>
      <c r="D19" s="13" t="s">
        <v>62</v>
      </c>
      <c r="E19" s="13">
        <v>0.30694444444444402</v>
      </c>
      <c r="F19" s="14">
        <f t="shared" si="1"/>
        <v>1.4972222222222167</v>
      </c>
      <c r="G19" s="15">
        <f t="shared" si="2"/>
        <v>0</v>
      </c>
      <c r="H19" s="15">
        <f t="shared" si="3"/>
        <v>1.4972222222222167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46191.952254745403</v>
      </c>
      <c r="B20" s="7" t="s">
        <v>69</v>
      </c>
      <c r="C20" s="13">
        <v>0.95224537037037005</v>
      </c>
      <c r="D20" s="13" t="s">
        <v>62</v>
      </c>
      <c r="E20" s="13">
        <v>0.122986111111111</v>
      </c>
      <c r="F20" s="14">
        <f t="shared" si="1"/>
        <v>4.0977777777777833</v>
      </c>
      <c r="G20" s="15">
        <f t="shared" si="2"/>
        <v>1.1461111111111193</v>
      </c>
      <c r="H20" s="15">
        <f t="shared" si="3"/>
        <v>2.951666666666664</v>
      </c>
      <c r="I20" s="42" t="s">
        <v>81</v>
      </c>
      <c r="J20" s="65">
        <f>J16+J17+J18+J19</f>
        <v>49.475277777777826</v>
      </c>
      <c r="K20" s="66"/>
      <c r="L20" s="67"/>
      <c r="M20" s="43"/>
    </row>
    <row r="21" spans="1:13" ht="20.25" x14ac:dyDescent="0.25">
      <c r="A21" s="12">
        <f t="shared" ca="1" si="0"/>
        <v>46194.530168750003</v>
      </c>
      <c r="B21" s="7" t="s">
        <v>61</v>
      </c>
      <c r="C21" s="13">
        <v>0.53016203703703701</v>
      </c>
      <c r="D21" s="13" t="s">
        <v>62</v>
      </c>
      <c r="E21" s="13">
        <v>0.70011574074074101</v>
      </c>
      <c r="F21" s="14">
        <f t="shared" si="1"/>
        <v>4.0788888888888959</v>
      </c>
      <c r="G21" s="15">
        <f t="shared" si="2"/>
        <v>4.0788888888888959</v>
      </c>
      <c r="H21" s="15">
        <f t="shared" si="3"/>
        <v>0</v>
      </c>
      <c r="I21" s="44" t="s">
        <v>4</v>
      </c>
      <c r="J21" s="45">
        <f>SUM(J8:J9)</f>
        <v>4.1055555555555614</v>
      </c>
      <c r="K21" s="39">
        <f>SUM(K8:K9)</f>
        <v>4.1055555555555614</v>
      </c>
      <c r="L21" s="40">
        <f>SUM(L8:L9)</f>
        <v>0</v>
      </c>
      <c r="M21" s="46"/>
    </row>
    <row r="22" spans="1:13" ht="18.75" x14ac:dyDescent="0.15">
      <c r="A22" s="12">
        <f t="shared" ca="1" si="0"/>
        <v>46194.779933101898</v>
      </c>
      <c r="B22" s="7" t="s">
        <v>61</v>
      </c>
      <c r="C22" s="13">
        <v>0.77993055555555602</v>
      </c>
      <c r="D22" s="13" t="s">
        <v>62</v>
      </c>
      <c r="E22" s="13">
        <v>0.859606481481482</v>
      </c>
      <c r="F22" s="14">
        <f t="shared" si="1"/>
        <v>1.9122222222222236</v>
      </c>
      <c r="G22" s="15">
        <f t="shared" si="2"/>
        <v>1.9122222222222236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46203.137878588001</v>
      </c>
      <c r="B23" s="7" t="s">
        <v>61</v>
      </c>
      <c r="C23" s="13">
        <v>0.13787037037037</v>
      </c>
      <c r="D23" s="13" t="s">
        <v>62</v>
      </c>
      <c r="E23" s="13">
        <v>0.25156250000000002</v>
      </c>
      <c r="F23" s="14">
        <f t="shared" si="1"/>
        <v>2.7286111111111202</v>
      </c>
      <c r="G23" s="15">
        <f t="shared" si="2"/>
        <v>0</v>
      </c>
      <c r="H23" s="15">
        <f t="shared" si="3"/>
        <v>2.7286111111111202</v>
      </c>
      <c r="I23"/>
      <c r="J23"/>
    </row>
    <row r="24" spans="1:13" ht="18.75" x14ac:dyDescent="0.15">
      <c r="A24" s="12">
        <f t="shared" ca="1" si="0"/>
        <v>46203.25161875</v>
      </c>
      <c r="B24" s="7" t="s">
        <v>64</v>
      </c>
      <c r="C24" s="13">
        <v>0.25160879629629601</v>
      </c>
      <c r="D24" s="13" t="s">
        <v>62</v>
      </c>
      <c r="E24" s="13">
        <v>0.30519675925925899</v>
      </c>
      <c r="F24" s="14">
        <f t="shared" si="1"/>
        <v>1.2861111111111114</v>
      </c>
      <c r="G24" s="15">
        <f t="shared" si="2"/>
        <v>0</v>
      </c>
      <c r="H24" s="15">
        <f t="shared" si="3"/>
        <v>1.2861111111111114</v>
      </c>
      <c r="I24"/>
      <c r="J24"/>
    </row>
    <row r="25" spans="1:13" ht="18.75" x14ac:dyDescent="0.15">
      <c r="A25" s="12">
        <f t="shared" ca="1" si="0"/>
        <v>46203.949697569398</v>
      </c>
      <c r="B25" s="7" t="s">
        <v>64</v>
      </c>
      <c r="C25" s="13">
        <v>0.94968750000000002</v>
      </c>
      <c r="D25" s="13" t="s">
        <v>62</v>
      </c>
      <c r="E25" s="13">
        <v>0.99997685185185203</v>
      </c>
      <c r="F25" s="14">
        <f t="shared" si="1"/>
        <v>1.2069444444444484</v>
      </c>
      <c r="G25" s="15">
        <f t="shared" si="2"/>
        <v>1.2069444444444484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2"/>
  <sheetViews>
    <sheetView topLeftCell="A4" zoomScale="85" zoomScaleNormal="85" workbookViewId="0">
      <selection activeCell="E28" sqref="E28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46174.5384239583</v>
      </c>
      <c r="B3" s="7" t="s">
        <v>72</v>
      </c>
      <c r="C3" s="13">
        <v>0.53841435185185205</v>
      </c>
      <c r="D3" s="13" t="s">
        <v>62</v>
      </c>
      <c r="E3" s="13">
        <v>0.79811342592592605</v>
      </c>
      <c r="F3" s="14">
        <f t="shared" ref="F3:F42" si="1">(IF(E3-C3&lt;0,"24:00"-C3+E3,E3-C3))*24</f>
        <v>6.232777777777776</v>
      </c>
      <c r="G3" s="15">
        <f t="shared" ref="G3:G42" si="2">F3-H3</f>
        <v>6.232777777777776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101.96694444444444</v>
      </c>
      <c r="K3" s="20">
        <f>SUMIF(B:B,"带班主任",G:G)</f>
        <v>68.609166666666724</v>
      </c>
      <c r="L3" s="20">
        <f>SUMIF(B:B,"带班主任",H:H)</f>
        <v>33.357777777777699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46175.129932638898</v>
      </c>
      <c r="B4" s="7" t="s">
        <v>72</v>
      </c>
      <c r="C4" s="13">
        <v>0.12993055555555599</v>
      </c>
      <c r="D4" s="13" t="s">
        <v>62</v>
      </c>
      <c r="E4" s="13">
        <v>0.29958333333333298</v>
      </c>
      <c r="F4" s="14">
        <f t="shared" si="1"/>
        <v>4.0716666666666477</v>
      </c>
      <c r="G4" s="15">
        <f t="shared" si="2"/>
        <v>0</v>
      </c>
      <c r="H4" s="15">
        <f t="shared" si="3"/>
        <v>4.0716666666666477</v>
      </c>
      <c r="I4" s="23" t="s">
        <v>65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spans="1:16" ht="18.75" x14ac:dyDescent="0.25">
      <c r="A5" s="12">
        <f t="shared" ca="1" si="0"/>
        <v>46175.7895280093</v>
      </c>
      <c r="B5" s="7" t="s">
        <v>72</v>
      </c>
      <c r="C5" s="13">
        <v>0.789525462962963</v>
      </c>
      <c r="D5" s="13" t="s">
        <v>62</v>
      </c>
      <c r="E5" s="13">
        <v>0.94151620370370404</v>
      </c>
      <c r="F5" s="14">
        <f t="shared" si="1"/>
        <v>3.6477777777777849</v>
      </c>
      <c r="G5" s="15">
        <f t="shared" si="2"/>
        <v>3.6477777777777849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46176.289218981503</v>
      </c>
      <c r="B6" s="7" t="s">
        <v>72</v>
      </c>
      <c r="C6" s="13">
        <v>0.289212962962963</v>
      </c>
      <c r="D6" s="13" t="s">
        <v>62</v>
      </c>
      <c r="E6" s="13">
        <v>0.36453703703703699</v>
      </c>
      <c r="F6" s="14">
        <f t="shared" si="1"/>
        <v>1.8077777777777757</v>
      </c>
      <c r="G6" s="15">
        <f t="shared" si="2"/>
        <v>0.74888888888889626</v>
      </c>
      <c r="H6" s="15">
        <f t="shared" si="3"/>
        <v>1.0588888888888794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46178.352955208298</v>
      </c>
      <c r="B7" s="7" t="s">
        <v>72</v>
      </c>
      <c r="C7" s="13">
        <v>0.35295138888888899</v>
      </c>
      <c r="D7" s="13" t="s">
        <v>62</v>
      </c>
      <c r="E7" s="13">
        <v>0.54859953703703701</v>
      </c>
      <c r="F7" s="14">
        <f t="shared" si="1"/>
        <v>4.6955555555555524</v>
      </c>
      <c r="G7" s="15">
        <f t="shared" si="2"/>
        <v>4.6955555555555524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46178.756714699099</v>
      </c>
      <c r="B8" s="7" t="s">
        <v>72</v>
      </c>
      <c r="C8" s="13">
        <v>0.75671296296296298</v>
      </c>
      <c r="D8" s="13" t="s">
        <v>62</v>
      </c>
      <c r="E8" s="13">
        <v>0.94491898148148101</v>
      </c>
      <c r="F8" s="14">
        <f t="shared" si="1"/>
        <v>4.5169444444444329</v>
      </c>
      <c r="G8" s="15">
        <f t="shared" si="2"/>
        <v>4.5169444444444329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46179.292661342603</v>
      </c>
      <c r="B9" s="7" t="s">
        <v>72</v>
      </c>
      <c r="C9" s="13">
        <v>0.29265046296296299</v>
      </c>
      <c r="D9" s="13" t="s">
        <v>62</v>
      </c>
      <c r="E9" s="13">
        <v>0.54813657407407401</v>
      </c>
      <c r="F9" s="14">
        <f t="shared" si="1"/>
        <v>6.1316666666666642</v>
      </c>
      <c r="G9" s="15">
        <f t="shared" si="2"/>
        <v>5.1552777777777843</v>
      </c>
      <c r="H9" s="15">
        <f t="shared" si="3"/>
        <v>0.97638888888887987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46182.541440393499</v>
      </c>
      <c r="B10" s="7" t="s">
        <v>72</v>
      </c>
      <c r="C10" s="13">
        <v>0.54143518518518496</v>
      </c>
      <c r="D10" s="13" t="s">
        <v>62</v>
      </c>
      <c r="E10" s="13">
        <v>0.79844907407407395</v>
      </c>
      <c r="F10" s="14">
        <f t="shared" si="1"/>
        <v>6.1683333333333357</v>
      </c>
      <c r="G10" s="15">
        <f t="shared" si="2"/>
        <v>6.1683333333333357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46183.128943287003</v>
      </c>
      <c r="B11" s="7" t="s">
        <v>72</v>
      </c>
      <c r="C11" s="13">
        <v>0.12893518518518499</v>
      </c>
      <c r="D11" s="13" t="s">
        <v>62</v>
      </c>
      <c r="E11" s="13">
        <v>0.298761574074074</v>
      </c>
      <c r="F11" s="14">
        <f t="shared" si="1"/>
        <v>4.0758333333333363</v>
      </c>
      <c r="G11" s="15">
        <f t="shared" si="2"/>
        <v>0</v>
      </c>
      <c r="H11" s="15">
        <f t="shared" si="3"/>
        <v>4.0758333333333363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46183.788335995399</v>
      </c>
      <c r="B12" s="7" t="s">
        <v>72</v>
      </c>
      <c r="C12" s="13">
        <v>0.788333333333333</v>
      </c>
      <c r="D12" s="13" t="s">
        <v>62</v>
      </c>
      <c r="E12" s="13">
        <v>0.94332175925925899</v>
      </c>
      <c r="F12" s="14">
        <f t="shared" si="1"/>
        <v>3.7197222222222237</v>
      </c>
      <c r="G12" s="15">
        <f t="shared" si="2"/>
        <v>3.7197222222222237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46184.289233101903</v>
      </c>
      <c r="B13" s="7" t="s">
        <v>72</v>
      </c>
      <c r="C13" s="13">
        <v>0.28922453703703699</v>
      </c>
      <c r="D13" s="13" t="s">
        <v>62</v>
      </c>
      <c r="E13" s="13">
        <v>0.36579861111111101</v>
      </c>
      <c r="F13" s="14">
        <f t="shared" si="1"/>
        <v>1.8377777777777764</v>
      </c>
      <c r="G13" s="15">
        <f t="shared" si="2"/>
        <v>0.77916666666667256</v>
      </c>
      <c r="H13" s="15">
        <f t="shared" si="3"/>
        <v>1.0586111111111038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46186.942210995403</v>
      </c>
      <c r="B14" s="7" t="s">
        <v>72</v>
      </c>
      <c r="C14" s="13">
        <v>0.94221064814814803</v>
      </c>
      <c r="D14" s="13" t="s">
        <v>62</v>
      </c>
      <c r="E14" s="13">
        <v>0.13782407407407399</v>
      </c>
      <c r="F14" s="14">
        <f t="shared" si="1"/>
        <v>4.6947222222222234</v>
      </c>
      <c r="G14" s="15">
        <f t="shared" si="2"/>
        <v>1.3869444444444476</v>
      </c>
      <c r="H14" s="15">
        <f t="shared" si="3"/>
        <v>3.3077777777777757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46191.129983333303</v>
      </c>
      <c r="B15" s="7" t="s">
        <v>72</v>
      </c>
      <c r="C15" s="13">
        <v>0.12997685185185201</v>
      </c>
      <c r="D15" s="13" t="s">
        <v>62</v>
      </c>
      <c r="E15" s="13">
        <v>0.301643518518519</v>
      </c>
      <c r="F15" s="14">
        <f t="shared" si="1"/>
        <v>4.1200000000000081</v>
      </c>
      <c r="G15" s="15">
        <f t="shared" si="2"/>
        <v>0</v>
      </c>
      <c r="H15" s="15">
        <f t="shared" si="3"/>
        <v>4.1200000000000081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46191.788775462999</v>
      </c>
      <c r="B16" s="7" t="s">
        <v>72</v>
      </c>
      <c r="C16" s="13">
        <v>0.78877314814814803</v>
      </c>
      <c r="D16" s="13" t="s">
        <v>62</v>
      </c>
      <c r="E16" s="13">
        <v>0.94512731481481504</v>
      </c>
      <c r="F16" s="14">
        <f t="shared" si="1"/>
        <v>3.7525000000000084</v>
      </c>
      <c r="G16" s="15">
        <f t="shared" si="2"/>
        <v>3.7525000000000084</v>
      </c>
      <c r="H16" s="15">
        <f t="shared" si="3"/>
        <v>0</v>
      </c>
      <c r="I16" s="37" t="s">
        <v>63</v>
      </c>
      <c r="J16" s="38">
        <f t="shared" ref="J16:L16" si="4">J3</f>
        <v>101.96694444444444</v>
      </c>
      <c r="K16" s="39">
        <f t="shared" si="4"/>
        <v>68.609166666666724</v>
      </c>
      <c r="L16" s="40">
        <f t="shared" si="4"/>
        <v>33.357777777777699</v>
      </c>
      <c r="M16" s="41"/>
    </row>
    <row r="17" spans="1:13" ht="20.25" x14ac:dyDescent="0.25">
      <c r="A17" s="12">
        <f t="shared" ca="1" si="0"/>
        <v>46192.284405439801</v>
      </c>
      <c r="B17" s="7" t="s">
        <v>72</v>
      </c>
      <c r="C17" s="13">
        <v>0.28439814814814801</v>
      </c>
      <c r="D17" s="13" t="s">
        <v>62</v>
      </c>
      <c r="E17" s="13">
        <v>0.364837962962963</v>
      </c>
      <c r="F17" s="14">
        <f t="shared" si="1"/>
        <v>1.9305555555555598</v>
      </c>
      <c r="G17" s="15">
        <f t="shared" si="2"/>
        <v>0.7561111111111205</v>
      </c>
      <c r="H17" s="15">
        <f t="shared" si="3"/>
        <v>1.1744444444444393</v>
      </c>
      <c r="I17" s="37" t="s">
        <v>79</v>
      </c>
      <c r="J17" s="38">
        <f>J4+J5+J6+J7+J10</f>
        <v>0</v>
      </c>
      <c r="K17" s="39">
        <f>K4+K5+K6+K7+K10</f>
        <v>0</v>
      </c>
      <c r="L17" s="40">
        <f>L4+L5+L6+L7+L10</f>
        <v>0</v>
      </c>
      <c r="M17" s="41"/>
    </row>
    <row r="18" spans="1:13" ht="20.25" x14ac:dyDescent="0.25">
      <c r="A18" s="12">
        <f t="shared" ca="1" si="0"/>
        <v>46194.5235883102</v>
      </c>
      <c r="B18" s="7" t="s">
        <v>72</v>
      </c>
      <c r="C18" s="13">
        <v>0.52358796296296295</v>
      </c>
      <c r="D18" s="13" t="s">
        <v>62</v>
      </c>
      <c r="E18" s="13">
        <v>0.77357638888888902</v>
      </c>
      <c r="F18" s="14">
        <f t="shared" si="1"/>
        <v>5.9997222222222257</v>
      </c>
      <c r="G18" s="15">
        <f t="shared" si="2"/>
        <v>5.9997222222222257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46195.132199768501</v>
      </c>
      <c r="B19" s="7" t="s">
        <v>72</v>
      </c>
      <c r="C19" s="13">
        <v>0.132199074074074</v>
      </c>
      <c r="D19" s="13" t="s">
        <v>62</v>
      </c>
      <c r="E19" s="13">
        <v>0.300069444444444</v>
      </c>
      <c r="F19" s="14">
        <f t="shared" si="1"/>
        <v>4.0288888888888801</v>
      </c>
      <c r="G19" s="15">
        <f t="shared" si="2"/>
        <v>0</v>
      </c>
      <c r="H19" s="15">
        <f t="shared" si="3"/>
        <v>4.0288888888888801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46195.782398495401</v>
      </c>
      <c r="B20" s="7" t="s">
        <v>72</v>
      </c>
      <c r="C20" s="13">
        <v>0.78239583333333296</v>
      </c>
      <c r="D20" s="13" t="s">
        <v>62</v>
      </c>
      <c r="E20" s="13">
        <v>0.94303240740740701</v>
      </c>
      <c r="F20" s="14">
        <f t="shared" si="1"/>
        <v>3.8552777777777774</v>
      </c>
      <c r="G20" s="15">
        <f t="shared" si="2"/>
        <v>3.8552777777777774</v>
      </c>
      <c r="H20" s="15">
        <f t="shared" si="3"/>
        <v>0</v>
      </c>
      <c r="I20" s="42" t="s">
        <v>81</v>
      </c>
      <c r="J20" s="65">
        <f>J16+J17+J18+J19</f>
        <v>101.96694444444444</v>
      </c>
      <c r="K20" s="66"/>
      <c r="L20" s="67"/>
      <c r="M20" s="43"/>
    </row>
    <row r="21" spans="1:13" ht="20.25" x14ac:dyDescent="0.25">
      <c r="A21" s="12">
        <f t="shared" ca="1" si="0"/>
        <v>46196.290323148103</v>
      </c>
      <c r="B21" s="7" t="s">
        <v>72</v>
      </c>
      <c r="C21" s="13">
        <v>0.29031249999999997</v>
      </c>
      <c r="D21" s="13" t="s">
        <v>62</v>
      </c>
      <c r="E21" s="13">
        <v>0.36244212962963002</v>
      </c>
      <c r="F21" s="14">
        <f t="shared" si="1"/>
        <v>1.731111111111121</v>
      </c>
      <c r="G21" s="15">
        <f t="shared" si="2"/>
        <v>0.69861111111112884</v>
      </c>
      <c r="H21" s="15">
        <f t="shared" si="3"/>
        <v>1.0324999999999922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46199.129463194397</v>
      </c>
      <c r="B22" s="7" t="s">
        <v>72</v>
      </c>
      <c r="C22" s="13">
        <v>0.12945601851851901</v>
      </c>
      <c r="D22" s="13" t="s">
        <v>62</v>
      </c>
      <c r="E22" s="13">
        <v>0.30192129629629599</v>
      </c>
      <c r="F22" s="14">
        <f t="shared" si="1"/>
        <v>4.1391666666666476</v>
      </c>
      <c r="G22" s="15">
        <f t="shared" si="2"/>
        <v>0</v>
      </c>
      <c r="H22" s="15">
        <f t="shared" si="3"/>
        <v>4.1391666666666476</v>
      </c>
      <c r="I22"/>
      <c r="J22"/>
    </row>
    <row r="23" spans="1:13" ht="18.75" x14ac:dyDescent="0.15">
      <c r="A23" s="12">
        <f t="shared" ca="1" si="0"/>
        <v>46199.937748611097</v>
      </c>
      <c r="B23" s="7" t="s">
        <v>72</v>
      </c>
      <c r="C23" s="13">
        <v>0.93774305555555604</v>
      </c>
      <c r="D23" s="13" t="s">
        <v>62</v>
      </c>
      <c r="E23" s="13">
        <v>0.13806712962963</v>
      </c>
      <c r="F23" s="14">
        <f t="shared" si="1"/>
        <v>4.8077777777777753</v>
      </c>
      <c r="G23" s="15">
        <f t="shared" si="2"/>
        <v>1.4941666666666551</v>
      </c>
      <c r="H23" s="15">
        <f t="shared" si="3"/>
        <v>3.3136111111111202</v>
      </c>
      <c r="I23"/>
      <c r="J23"/>
    </row>
    <row r="24" spans="1:13" ht="18.75" x14ac:dyDescent="0.15">
      <c r="A24" s="12">
        <f t="shared" ca="1" si="0"/>
        <v>46202.351489004599</v>
      </c>
      <c r="B24" s="7" t="s">
        <v>72</v>
      </c>
      <c r="C24" s="13">
        <v>0.35148148148148201</v>
      </c>
      <c r="D24" s="13" t="s">
        <v>62</v>
      </c>
      <c r="E24" s="13">
        <v>0.54682870370370396</v>
      </c>
      <c r="F24" s="14">
        <f t="shared" si="1"/>
        <v>4.6883333333333272</v>
      </c>
      <c r="G24" s="15">
        <f t="shared" si="2"/>
        <v>4.6883333333333272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46202.789136458297</v>
      </c>
      <c r="B25" s="7" t="s">
        <v>72</v>
      </c>
      <c r="C25" s="13">
        <v>0.78913194444444401</v>
      </c>
      <c r="D25" s="13" t="s">
        <v>62</v>
      </c>
      <c r="E25" s="13">
        <v>0.94701388888888904</v>
      </c>
      <c r="F25" s="14">
        <f t="shared" si="1"/>
        <v>3.7891666666666808</v>
      </c>
      <c r="G25" s="15">
        <f t="shared" si="2"/>
        <v>3.7891666666666808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46203.291668171303</v>
      </c>
      <c r="B26" s="7" t="s">
        <v>72</v>
      </c>
      <c r="C26" s="13">
        <v>0.29166666666666702</v>
      </c>
      <c r="D26" s="13" t="s">
        <v>62</v>
      </c>
      <c r="E26" s="13">
        <v>0.54114583333333299</v>
      </c>
      <c r="F26" s="14">
        <f t="shared" si="1"/>
        <v>5.9874999999999829</v>
      </c>
      <c r="G26" s="15">
        <f t="shared" si="2"/>
        <v>4.9874999999999998</v>
      </c>
      <c r="H26" s="15">
        <f t="shared" si="3"/>
        <v>0.99999999999998312</v>
      </c>
      <c r="I26"/>
      <c r="J26"/>
    </row>
    <row r="27" spans="1:13" ht="18.75" x14ac:dyDescent="0.15">
      <c r="A27" s="12">
        <f t="shared" ca="1" si="0"/>
        <v>46203.935962731499</v>
      </c>
      <c r="B27" s="7" t="s">
        <v>72</v>
      </c>
      <c r="C27" s="13">
        <v>0.93596064814814794</v>
      </c>
      <c r="D27" s="13" t="s">
        <v>62</v>
      </c>
      <c r="E27" s="13">
        <v>0.99997685185185203</v>
      </c>
      <c r="F27" s="14">
        <f t="shared" si="1"/>
        <v>1.5363888888888981</v>
      </c>
      <c r="G27" s="15">
        <f t="shared" si="2"/>
        <v>1.5363888888888981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42"/>
  <sheetViews>
    <sheetView topLeftCell="A10" zoomScale="85" zoomScaleNormal="85" workbookViewId="0">
      <selection activeCell="D30" sqref="D30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46175.135507175903</v>
      </c>
      <c r="B3" s="7" t="s">
        <v>61</v>
      </c>
      <c r="C3" s="13">
        <v>0.13549768518518501</v>
      </c>
      <c r="D3" s="13" t="s">
        <v>62</v>
      </c>
      <c r="E3" s="13">
        <v>0.238472222222222</v>
      </c>
      <c r="F3" s="14">
        <f t="shared" ref="F3:F42" si="1">(IF(E3-C3&lt;0,"24:00"-C3+E3,E3-C3))*24</f>
        <v>2.471388888888888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2.471388888888888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46175.238506713002</v>
      </c>
      <c r="B4" s="7" t="s">
        <v>64</v>
      </c>
      <c r="C4" s="13">
        <v>0.23850694444444401</v>
      </c>
      <c r="D4" s="13" t="s">
        <v>62</v>
      </c>
      <c r="E4" s="13">
        <v>0.298414351851852</v>
      </c>
      <c r="F4" s="14">
        <f t="shared" si="1"/>
        <v>1.4377777777777918</v>
      </c>
      <c r="G4" s="15">
        <f t="shared" si="2"/>
        <v>0</v>
      </c>
      <c r="H4" s="15">
        <f t="shared" si="3"/>
        <v>1.4377777777777918</v>
      </c>
      <c r="I4" s="23" t="s">
        <v>65</v>
      </c>
      <c r="J4" s="24">
        <f>SUMIF(B:B,"西塔台管制席",F:F)+SUMIF(B:B,"东塔台管制席",F:F)</f>
        <v>28.070833333333333</v>
      </c>
      <c r="K4" s="25">
        <f>SUMIF(B:B,"西塔台管制席",G:G)+SUMIF(B:B,"东塔台管制席",G:G)</f>
        <v>17.728888888888896</v>
      </c>
      <c r="L4" s="25">
        <f>SUMIF(B:B,"西塔台管制席",H:H)+SUMIF(B:B,"东塔台管制席",H:H)</f>
        <v>10.341944444444435</v>
      </c>
      <c r="M4" s="21"/>
    </row>
    <row r="5" spans="1:16" ht="18.75" x14ac:dyDescent="0.25">
      <c r="A5" s="12">
        <f t="shared" ca="1" si="0"/>
        <v>46176.015087500004</v>
      </c>
      <c r="B5" s="7" t="s">
        <v>69</v>
      </c>
      <c r="C5" s="13">
        <v>1.5081018518518501E-2</v>
      </c>
      <c r="D5" s="13" t="s">
        <v>62</v>
      </c>
      <c r="E5" s="13">
        <v>0.14755787037036999</v>
      </c>
      <c r="F5" s="14">
        <f t="shared" si="1"/>
        <v>3.1794444444444356</v>
      </c>
      <c r="G5" s="15">
        <f t="shared" si="2"/>
        <v>0</v>
      </c>
      <c r="H5" s="15">
        <f t="shared" si="3"/>
        <v>3.1794444444444356</v>
      </c>
      <c r="I5" s="23" t="s">
        <v>67</v>
      </c>
      <c r="J5" s="24">
        <f>SUMIF(B:B,"西塔台协调席",F:F)+SUMIF(B:B,"东塔台协调席",F:F)</f>
        <v>34.071111111111151</v>
      </c>
      <c r="K5" s="25">
        <f>SUMIF(B:B,"西塔台协调席",G:G)+SUMIF(B:B,"东塔台协调席",G:G)</f>
        <v>20.644722222222292</v>
      </c>
      <c r="L5" s="25">
        <f>SUMIF(B:B,"西塔台协调席",H:H)+SUMIF(B:B,"东塔台协调席",H:H)</f>
        <v>13.426388888888862</v>
      </c>
      <c r="M5" s="21"/>
    </row>
    <row r="6" spans="1:16" ht="18.75" x14ac:dyDescent="0.25">
      <c r="A6" s="12">
        <v>46178</v>
      </c>
      <c r="B6" s="7" t="s">
        <v>64</v>
      </c>
      <c r="C6" s="13">
        <v>0.35519675925925898</v>
      </c>
      <c r="D6" s="13" t="s">
        <v>62</v>
      </c>
      <c r="E6" s="13">
        <v>0.51143518518518505</v>
      </c>
      <c r="F6" s="14">
        <f t="shared" si="1"/>
        <v>3.7497222222222257</v>
      </c>
      <c r="G6" s="15">
        <f t="shared" si="2"/>
        <v>3.7497222222222257</v>
      </c>
      <c r="H6" s="15">
        <f t="shared" si="3"/>
        <v>0</v>
      </c>
      <c r="I6" s="23" t="s">
        <v>68</v>
      </c>
      <c r="J6" s="24">
        <f>SUMIF(B:B,"放行席",F:F)</f>
        <v>2.278055555555544</v>
      </c>
      <c r="K6" s="25">
        <f>SUMIF(B:B,"放行席",G:G)</f>
        <v>0</v>
      </c>
      <c r="L6" s="25">
        <f>SUMIF(B:B,"放行席",H:H)</f>
        <v>2.278055555555544</v>
      </c>
      <c r="M6" s="21"/>
    </row>
    <row r="7" spans="1:16" ht="18.75" x14ac:dyDescent="0.25">
      <c r="A7" s="12">
        <f t="shared" ca="1" si="0"/>
        <v>46178.671059143497</v>
      </c>
      <c r="B7" s="7" t="s">
        <v>69</v>
      </c>
      <c r="C7" s="13">
        <v>0.67105324074074102</v>
      </c>
      <c r="D7" s="13" t="s">
        <v>62</v>
      </c>
      <c r="E7" s="13">
        <v>0.84050925925925901</v>
      </c>
      <c r="F7" s="14">
        <f t="shared" si="1"/>
        <v>4.0669444444444318</v>
      </c>
      <c r="G7" s="15">
        <f t="shared" si="2"/>
        <v>4.0669444444444318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46179.293252546297</v>
      </c>
      <c r="B8" s="7" t="s">
        <v>64</v>
      </c>
      <c r="C8" s="13">
        <v>0.29325231481481501</v>
      </c>
      <c r="D8" s="13" t="s">
        <v>62</v>
      </c>
      <c r="E8" s="13">
        <v>0.42261574074074099</v>
      </c>
      <c r="F8" s="14">
        <f t="shared" si="1"/>
        <v>3.1047222222222235</v>
      </c>
      <c r="G8" s="15">
        <f t="shared" si="2"/>
        <v>2.1427777777777921</v>
      </c>
      <c r="H8" s="15">
        <f t="shared" si="3"/>
        <v>0.96194444444443139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46188.140313310199</v>
      </c>
      <c r="B9" s="7" t="s">
        <v>61</v>
      </c>
      <c r="C9" s="13">
        <v>0.14031250000000001</v>
      </c>
      <c r="D9" s="13" t="s">
        <v>62</v>
      </c>
      <c r="E9" s="13">
        <v>0.243784722222222</v>
      </c>
      <c r="F9" s="14">
        <f t="shared" si="1"/>
        <v>2.4833333333333281</v>
      </c>
      <c r="G9" s="15">
        <f t="shared" si="2"/>
        <v>0</v>
      </c>
      <c r="H9" s="15">
        <f t="shared" si="3"/>
        <v>2.4833333333333281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46188.243818750001</v>
      </c>
      <c r="B10" s="7" t="s">
        <v>64</v>
      </c>
      <c r="C10" s="13">
        <v>0.24380787037036999</v>
      </c>
      <c r="D10" s="13" t="s">
        <v>62</v>
      </c>
      <c r="E10" s="13">
        <v>0.29961805555555598</v>
      </c>
      <c r="F10" s="14">
        <f t="shared" si="1"/>
        <v>1.3394444444444638</v>
      </c>
      <c r="G10" s="15">
        <f t="shared" si="2"/>
        <v>0</v>
      </c>
      <c r="H10" s="15">
        <f t="shared" si="3"/>
        <v>1.3394444444444638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46190.446031134299</v>
      </c>
      <c r="B11" s="7" t="s">
        <v>66</v>
      </c>
      <c r="C11" s="13">
        <v>0.44603009259259302</v>
      </c>
      <c r="D11" s="13" t="s">
        <v>62</v>
      </c>
      <c r="E11" s="13">
        <v>0.54854166666666704</v>
      </c>
      <c r="F11" s="14">
        <f t="shared" si="1"/>
        <v>2.4602777777777765</v>
      </c>
      <c r="G11" s="15">
        <f t="shared" si="2"/>
        <v>2.4602777777777765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46190.709700347201</v>
      </c>
      <c r="B12" s="7" t="s">
        <v>61</v>
      </c>
      <c r="C12" s="13">
        <v>0.70969907407407395</v>
      </c>
      <c r="D12" s="13" t="s">
        <v>62</v>
      </c>
      <c r="E12" s="13">
        <v>0.80710648148148101</v>
      </c>
      <c r="F12" s="14">
        <f t="shared" si="1"/>
        <v>2.3377777777777693</v>
      </c>
      <c r="G12" s="15">
        <f t="shared" si="2"/>
        <v>2.3377777777777693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46190.824715740702</v>
      </c>
      <c r="B13" s="7" t="s">
        <v>61</v>
      </c>
      <c r="C13" s="13">
        <v>0.82471064814814798</v>
      </c>
      <c r="D13" s="13" t="s">
        <v>62</v>
      </c>
      <c r="E13" s="13">
        <v>0.88094907407407397</v>
      </c>
      <c r="F13" s="14">
        <f t="shared" si="1"/>
        <v>1.3497222222222236</v>
      </c>
      <c r="G13" s="15">
        <f t="shared" si="2"/>
        <v>1.3497222222222236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46191.2998008102</v>
      </c>
      <c r="B14" s="7" t="s">
        <v>64</v>
      </c>
      <c r="C14" s="13">
        <v>0.29979166666666701</v>
      </c>
      <c r="D14" s="13" t="s">
        <v>62</v>
      </c>
      <c r="E14" s="13">
        <v>0.46465277777777803</v>
      </c>
      <c r="F14" s="14">
        <f t="shared" si="1"/>
        <v>3.9566666666666643</v>
      </c>
      <c r="G14" s="15">
        <f t="shared" si="2"/>
        <v>3.151666666666681</v>
      </c>
      <c r="H14" s="15">
        <f t="shared" si="3"/>
        <v>0.80499999999998328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46191.708895717602</v>
      </c>
      <c r="B15" s="7" t="s">
        <v>69</v>
      </c>
      <c r="C15" s="13">
        <v>0.70888888888888901</v>
      </c>
      <c r="D15" s="13" t="s">
        <v>62</v>
      </c>
      <c r="E15" s="13">
        <v>0.84091435185185204</v>
      </c>
      <c r="F15" s="14">
        <f t="shared" si="1"/>
        <v>3.1686111111111126</v>
      </c>
      <c r="G15" s="15">
        <f t="shared" si="2"/>
        <v>3.1686111111111126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46192.299383333302</v>
      </c>
      <c r="B16" s="7" t="s">
        <v>64</v>
      </c>
      <c r="C16" s="13">
        <v>0.299375</v>
      </c>
      <c r="D16" s="13" t="s">
        <v>62</v>
      </c>
      <c r="E16" s="13">
        <v>0.36512731481481497</v>
      </c>
      <c r="F16" s="14">
        <f t="shared" si="1"/>
        <v>1.5780555555555593</v>
      </c>
      <c r="G16" s="15">
        <f t="shared" si="2"/>
        <v>0.76305555555556781</v>
      </c>
      <c r="H16" s="15">
        <f t="shared" si="3"/>
        <v>0.81499999999999151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46195.013965625003</v>
      </c>
      <c r="B17" s="7" t="s">
        <v>64</v>
      </c>
      <c r="C17" s="13">
        <v>1.39583333333333E-2</v>
      </c>
      <c r="D17" s="13" t="s">
        <v>62</v>
      </c>
      <c r="E17" s="13">
        <v>0.144664351851852</v>
      </c>
      <c r="F17" s="14">
        <f t="shared" si="1"/>
        <v>3.136944444444449</v>
      </c>
      <c r="G17" s="15">
        <f t="shared" si="2"/>
        <v>0</v>
      </c>
      <c r="H17" s="15">
        <f t="shared" si="3"/>
        <v>3.136944444444449</v>
      </c>
      <c r="I17" s="37" t="s">
        <v>79</v>
      </c>
      <c r="J17" s="38">
        <f>J4+J5+J6+J7+J10</f>
        <v>64.42000000000003</v>
      </c>
      <c r="K17" s="39">
        <f>K4+K5+K6+K7+K10</f>
        <v>38.373611111111188</v>
      </c>
      <c r="L17" s="40">
        <f>L4+L5+L6+L7+L10</f>
        <v>26.046388888888838</v>
      </c>
      <c r="M17" s="41"/>
    </row>
    <row r="18" spans="1:13" ht="20.25" x14ac:dyDescent="0.25">
      <c r="A18" s="12">
        <f t="shared" ca="1" si="0"/>
        <v>46196.1315376157</v>
      </c>
      <c r="B18" s="7" t="s">
        <v>83</v>
      </c>
      <c r="C18" s="13">
        <v>0.13152777777777799</v>
      </c>
      <c r="D18" s="13" t="s">
        <v>62</v>
      </c>
      <c r="E18" s="13">
        <v>0.226446759259259</v>
      </c>
      <c r="F18" s="14">
        <f t="shared" si="1"/>
        <v>2.278055555555544</v>
      </c>
      <c r="G18" s="15">
        <f t="shared" si="2"/>
        <v>0</v>
      </c>
      <c r="H18" s="15">
        <f t="shared" si="3"/>
        <v>2.278055555555544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46199.139532754598</v>
      </c>
      <c r="B19" s="7" t="s">
        <v>69</v>
      </c>
      <c r="C19" s="13">
        <v>0.139525462962963</v>
      </c>
      <c r="D19" s="13" t="s">
        <v>62</v>
      </c>
      <c r="E19" s="13">
        <v>0.23151620370370399</v>
      </c>
      <c r="F19" s="14">
        <f t="shared" si="1"/>
        <v>2.2077777777777836</v>
      </c>
      <c r="G19" s="15">
        <f t="shared" si="2"/>
        <v>0</v>
      </c>
      <c r="H19" s="15">
        <f t="shared" si="3"/>
        <v>2.2077777777777836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46199.231561342604</v>
      </c>
      <c r="B20" s="7" t="s">
        <v>66</v>
      </c>
      <c r="C20" s="13">
        <v>0.23137731481481499</v>
      </c>
      <c r="D20" s="13" t="s">
        <v>62</v>
      </c>
      <c r="E20" s="13">
        <v>0.30377314814814799</v>
      </c>
      <c r="F20" s="14">
        <f t="shared" si="1"/>
        <v>1.7374999999999918</v>
      </c>
      <c r="G20" s="15">
        <f t="shared" si="2"/>
        <v>0</v>
      </c>
      <c r="H20" s="15">
        <f t="shared" si="3"/>
        <v>1.7374999999999918</v>
      </c>
      <c r="I20" s="42" t="s">
        <v>81</v>
      </c>
      <c r="J20" s="65">
        <f>J16+J17+J18+J19</f>
        <v>64.42000000000003</v>
      </c>
      <c r="K20" s="66"/>
      <c r="L20" s="67"/>
      <c r="M20" s="43"/>
    </row>
    <row r="21" spans="1:13" ht="20.25" x14ac:dyDescent="0.25">
      <c r="A21" s="12">
        <f t="shared" ca="1" si="0"/>
        <v>46199.952407175901</v>
      </c>
      <c r="B21" s="7" t="s">
        <v>64</v>
      </c>
      <c r="C21" s="13">
        <v>0.95240740740740704</v>
      </c>
      <c r="D21" s="13" t="s">
        <v>62</v>
      </c>
      <c r="E21" s="13">
        <v>9.9629629629629596E-2</v>
      </c>
      <c r="F21" s="14">
        <f t="shared" si="1"/>
        <v>3.5333333333333412</v>
      </c>
      <c r="G21" s="15">
        <f t="shared" si="2"/>
        <v>1.1422222222222311</v>
      </c>
      <c r="H21" s="15">
        <f t="shared" si="3"/>
        <v>2.3911111111111101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46202.353041550901</v>
      </c>
      <c r="B22" s="7" t="s">
        <v>64</v>
      </c>
      <c r="C22" s="13">
        <v>0.35303240740740699</v>
      </c>
      <c r="D22" s="13" t="s">
        <v>62</v>
      </c>
      <c r="E22" s="13">
        <v>0.50591435185185196</v>
      </c>
      <c r="F22" s="14">
        <f t="shared" si="1"/>
        <v>3.6691666666666793</v>
      </c>
      <c r="G22" s="15">
        <f t="shared" si="2"/>
        <v>3.6691666666666793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46202.667880439803</v>
      </c>
      <c r="B23" s="7" t="s">
        <v>69</v>
      </c>
      <c r="C23" s="13">
        <v>0.66787037037037</v>
      </c>
      <c r="D23" s="13" t="s">
        <v>62</v>
      </c>
      <c r="E23" s="13">
        <v>0.81795138888888896</v>
      </c>
      <c r="F23" s="14">
        <f t="shared" si="1"/>
        <v>3.6019444444444551</v>
      </c>
      <c r="G23" s="15">
        <f t="shared" si="2"/>
        <v>3.6019444444444551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46203.299935648101</v>
      </c>
      <c r="B24" s="7" t="s">
        <v>64</v>
      </c>
      <c r="C24" s="13">
        <v>0.29993055555555598</v>
      </c>
      <c r="D24" s="13" t="s">
        <v>62</v>
      </c>
      <c r="E24" s="13">
        <v>0.38074074074074099</v>
      </c>
      <c r="F24" s="14">
        <f t="shared" si="1"/>
        <v>1.9394444444444403</v>
      </c>
      <c r="G24" s="15">
        <f t="shared" si="2"/>
        <v>1.1377777777777922</v>
      </c>
      <c r="H24" s="15">
        <f t="shared" si="3"/>
        <v>0.8016666666666481</v>
      </c>
      <c r="I24"/>
      <c r="J24"/>
    </row>
    <row r="25" spans="1:13" ht="18.75" x14ac:dyDescent="0.15">
      <c r="A25" s="12">
        <f t="shared" ca="1" si="0"/>
        <v>46203.675437037004</v>
      </c>
      <c r="B25" s="7" t="s">
        <v>69</v>
      </c>
      <c r="C25" s="13">
        <v>0.54209490740740696</v>
      </c>
      <c r="D25" s="13" t="s">
        <v>62</v>
      </c>
      <c r="E25" s="13">
        <v>0.67559027777777803</v>
      </c>
      <c r="F25" s="14">
        <f t="shared" si="1"/>
        <v>3.2038888888889057</v>
      </c>
      <c r="G25" s="15">
        <f t="shared" si="2"/>
        <v>3.2038888888889057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46203.908163541702</v>
      </c>
      <c r="B26" s="7" t="s">
        <v>64</v>
      </c>
      <c r="C26" s="13">
        <v>0.8359375</v>
      </c>
      <c r="D26" s="13" t="s">
        <v>62</v>
      </c>
      <c r="E26" s="13">
        <v>0.90847222222222201</v>
      </c>
      <c r="F26" s="14">
        <f t="shared" si="1"/>
        <v>1.7408333333333283</v>
      </c>
      <c r="G26" s="15">
        <f t="shared" si="2"/>
        <v>1.7408333333333283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46203.9253076389</v>
      </c>
      <c r="B27" s="7" t="s">
        <v>64</v>
      </c>
      <c r="C27" s="13">
        <v>0.92530092592592605</v>
      </c>
      <c r="D27" s="13" t="s">
        <v>62</v>
      </c>
      <c r="E27" s="13">
        <v>0.95393518518518505</v>
      </c>
      <c r="F27" s="14">
        <f t="shared" si="1"/>
        <v>0.68722222222221596</v>
      </c>
      <c r="G27" s="15">
        <f t="shared" si="2"/>
        <v>0.68722222222221596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46174.521740972203</v>
      </c>
      <c r="B3" s="7" t="s">
        <v>61</v>
      </c>
      <c r="C3" s="13">
        <v>0.52173611111111096</v>
      </c>
      <c r="D3" s="13" t="s">
        <v>62</v>
      </c>
      <c r="E3" s="13">
        <v>0.55537037037036996</v>
      </c>
      <c r="F3" s="14">
        <f t="shared" ref="F3:F42" si="1">(IF(E3-C3&lt;0,"24:00"-C3+E3,E3-C3))*24</f>
        <v>0.80722222222221607</v>
      </c>
      <c r="G3" s="15">
        <f t="shared" ref="G3:G42" si="2">F3-H3</f>
        <v>0.80722222222221607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46174.555351967603</v>
      </c>
      <c r="B4" s="7" t="s">
        <v>69</v>
      </c>
      <c r="C4" s="13">
        <v>0.55534722222222199</v>
      </c>
      <c r="D4" s="13" t="s">
        <v>62</v>
      </c>
      <c r="E4" s="13">
        <v>0.6534375</v>
      </c>
      <c r="F4" s="14">
        <f t="shared" si="1"/>
        <v>2.3541666666666723</v>
      </c>
      <c r="G4" s="15">
        <f t="shared" si="2"/>
        <v>2.3541666666666723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32.67666666666662</v>
      </c>
      <c r="K4" s="25">
        <f>SUMIF(B:B,"西塔台管制席",G:G)+SUMIF(B:B,"东塔台管制席",G:G)</f>
        <v>20.461388888888898</v>
      </c>
      <c r="L4" s="25">
        <f>SUMIF(B:B,"西塔台管制席",H:H)+SUMIF(B:B,"东塔台管制席",H:H)</f>
        <v>12.21527777777772</v>
      </c>
      <c r="M4" s="21"/>
    </row>
    <row r="5" spans="1:16" ht="18.75" x14ac:dyDescent="0.25">
      <c r="A5" s="12">
        <f t="shared" ca="1" si="0"/>
        <v>46174.659834143502</v>
      </c>
      <c r="B5" s="7" t="s">
        <v>69</v>
      </c>
      <c r="C5" s="13">
        <v>0.659826388888889</v>
      </c>
      <c r="D5" s="13" t="s">
        <v>62</v>
      </c>
      <c r="E5" s="13">
        <v>0.69533564814814797</v>
      </c>
      <c r="F5" s="14">
        <f t="shared" si="1"/>
        <v>0.85222222222221511</v>
      </c>
      <c r="G5" s="15">
        <f t="shared" si="2"/>
        <v>0.85222222222221511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36.820000000000036</v>
      </c>
      <c r="K5" s="25">
        <f>SUMIF(B:B,"西塔台协调席",G:G)+SUMIF(B:B,"东塔台协调席",G:G)</f>
        <v>29.126388888888918</v>
      </c>
      <c r="L5" s="25">
        <f>SUMIF(B:B,"西塔台协调席",H:H)+SUMIF(B:B,"东塔台协调席",H:H)</f>
        <v>7.6936111111111147</v>
      </c>
      <c r="M5" s="21"/>
    </row>
    <row r="6" spans="1:16" ht="18.75" x14ac:dyDescent="0.25">
      <c r="A6" s="12">
        <f t="shared" ca="1" si="0"/>
        <v>46174.771368518501</v>
      </c>
      <c r="B6" s="7" t="s">
        <v>69</v>
      </c>
      <c r="C6" s="13">
        <v>0.77136574074074105</v>
      </c>
      <c r="D6" s="13" t="s">
        <v>62</v>
      </c>
      <c r="E6" s="13">
        <v>0.86234953703703698</v>
      </c>
      <c r="F6" s="14">
        <f t="shared" si="1"/>
        <v>2.1836111111111025</v>
      </c>
      <c r="G6" s="15">
        <f t="shared" si="2"/>
        <v>2.1836111111111025</v>
      </c>
      <c r="H6" s="15">
        <f t="shared" si="3"/>
        <v>0</v>
      </c>
      <c r="I6" s="23" t="s">
        <v>68</v>
      </c>
      <c r="J6" s="24">
        <f>SUMIF(B:B,"放行席",F:F)</f>
        <v>2.2858333333333434</v>
      </c>
      <c r="K6" s="25">
        <f>SUMIF(B:B,"放行席",G:G)</f>
        <v>0</v>
      </c>
      <c r="L6" s="25">
        <f>SUMIF(B:B,"放行席",H:H)</f>
        <v>2.2858333333333434</v>
      </c>
      <c r="M6" s="21"/>
    </row>
    <row r="7" spans="1:16" ht="18.75" x14ac:dyDescent="0.25">
      <c r="A7" s="12">
        <f t="shared" ca="1" si="0"/>
        <v>46175.418513773096</v>
      </c>
      <c r="B7" s="7" t="s">
        <v>64</v>
      </c>
      <c r="C7" s="13">
        <v>0.41850694444444397</v>
      </c>
      <c r="D7" s="13" t="s">
        <v>62</v>
      </c>
      <c r="E7" s="13">
        <v>0.53280092592592598</v>
      </c>
      <c r="F7" s="14">
        <f t="shared" si="1"/>
        <v>2.7430555555555682</v>
      </c>
      <c r="G7" s="15">
        <f t="shared" si="2"/>
        <v>2.7430555555555682</v>
      </c>
      <c r="H7" s="15">
        <f t="shared" si="3"/>
        <v>0</v>
      </c>
      <c r="I7" s="23" t="s">
        <v>70</v>
      </c>
      <c r="J7" s="24">
        <f>SUMIF(B:B,"地面席",F:F)</f>
        <v>4.5600000000000005</v>
      </c>
      <c r="K7" s="25">
        <f>SUMIF(B:B,"地面席",G:G)</f>
        <v>0</v>
      </c>
      <c r="L7" s="25">
        <f>SUMIF(B:B,"地面席",H:H)</f>
        <v>4.5600000000000005</v>
      </c>
      <c r="M7" s="21"/>
    </row>
    <row r="8" spans="1:16" ht="18.75" x14ac:dyDescent="0.25">
      <c r="A8" s="12">
        <f t="shared" ca="1" si="0"/>
        <v>46175.625446064798</v>
      </c>
      <c r="B8" s="7" t="s">
        <v>66</v>
      </c>
      <c r="C8" s="13">
        <v>0.62543981481481503</v>
      </c>
      <c r="D8" s="13" t="s">
        <v>62</v>
      </c>
      <c r="E8" s="13">
        <v>0.77824074074074101</v>
      </c>
      <c r="F8" s="14">
        <f t="shared" si="1"/>
        <v>3.6672222222222235</v>
      </c>
      <c r="G8" s="15">
        <f t="shared" si="2"/>
        <v>3.6672222222222235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46175.8546383102</v>
      </c>
      <c r="B9" s="7" t="s">
        <v>66</v>
      </c>
      <c r="C9" s="13">
        <v>0.85462962962962996</v>
      </c>
      <c r="D9" s="13" t="s">
        <v>62</v>
      </c>
      <c r="E9" s="13">
        <v>0.95943287037036995</v>
      </c>
      <c r="F9" s="14">
        <f t="shared" si="1"/>
        <v>2.5152777777777597</v>
      </c>
      <c r="G9" s="15">
        <f t="shared" si="2"/>
        <v>2.5152777777777597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46176.291009606502</v>
      </c>
      <c r="B10" s="7" t="s">
        <v>64</v>
      </c>
      <c r="C10" s="13">
        <v>0.29100694444444403</v>
      </c>
      <c r="D10" s="13" t="s">
        <v>62</v>
      </c>
      <c r="E10" s="13">
        <v>0.36403935185185199</v>
      </c>
      <c r="F10" s="14">
        <f t="shared" si="1"/>
        <v>1.7527777777777911</v>
      </c>
      <c r="G10" s="15">
        <f t="shared" si="2"/>
        <v>0.73694444444445617</v>
      </c>
      <c r="H10" s="15">
        <f t="shared" si="3"/>
        <v>1.0158333333333349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46179.133202430603</v>
      </c>
      <c r="B11" s="7" t="s">
        <v>83</v>
      </c>
      <c r="C11" s="13">
        <v>0.133194444444444</v>
      </c>
      <c r="D11" s="13" t="s">
        <v>62</v>
      </c>
      <c r="E11" s="13">
        <v>0.22843749999999999</v>
      </c>
      <c r="F11" s="14">
        <f t="shared" si="1"/>
        <v>2.2858333333333434</v>
      </c>
      <c r="G11" s="15">
        <f t="shared" si="2"/>
        <v>0</v>
      </c>
      <c r="H11" s="15">
        <f t="shared" si="3"/>
        <v>2.2858333333333434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46179.228479976897</v>
      </c>
      <c r="B12" s="7" t="s">
        <v>69</v>
      </c>
      <c r="C12" s="13">
        <v>0.22847222222222199</v>
      </c>
      <c r="D12" s="13" t="s">
        <v>62</v>
      </c>
      <c r="E12" s="13">
        <v>0.30061342592592599</v>
      </c>
      <c r="F12" s="14">
        <f t="shared" si="1"/>
        <v>1.731388888888896</v>
      </c>
      <c r="G12" s="15">
        <f t="shared" si="2"/>
        <v>0</v>
      </c>
      <c r="H12" s="15">
        <f t="shared" si="3"/>
        <v>1.731388888888896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46180.014737731501</v>
      </c>
      <c r="B13" s="7" t="s">
        <v>66</v>
      </c>
      <c r="C13" s="13">
        <v>1.47337962962963E-2</v>
      </c>
      <c r="D13" s="13" t="s">
        <v>62</v>
      </c>
      <c r="E13" s="13">
        <v>0.106354166666667</v>
      </c>
      <c r="F13" s="14">
        <f t="shared" si="1"/>
        <v>2.1988888888888969</v>
      </c>
      <c r="G13" s="15">
        <f t="shared" si="2"/>
        <v>0</v>
      </c>
      <c r="H13" s="15">
        <f t="shared" si="3"/>
        <v>2.1988888888888969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46180.106338425903</v>
      </c>
      <c r="B14" s="7" t="s">
        <v>69</v>
      </c>
      <c r="C14" s="13">
        <v>0.106331018518519</v>
      </c>
      <c r="D14" s="13" t="s">
        <v>62</v>
      </c>
      <c r="E14" s="13">
        <v>0.14767361111111099</v>
      </c>
      <c r="F14" s="14">
        <f t="shared" si="1"/>
        <v>0.99222222222220768</v>
      </c>
      <c r="G14" s="15">
        <f t="shared" si="2"/>
        <v>0</v>
      </c>
      <c r="H14" s="15">
        <f t="shared" si="3"/>
        <v>0.99222222222220768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46183.141048379599</v>
      </c>
      <c r="B15" s="7" t="s">
        <v>61</v>
      </c>
      <c r="C15" s="13">
        <v>0.14104166666666701</v>
      </c>
      <c r="D15" s="13" t="s">
        <v>62</v>
      </c>
      <c r="E15" s="13">
        <v>0.24034722222222199</v>
      </c>
      <c r="F15" s="14">
        <f t="shared" si="1"/>
        <v>2.3833333333333195</v>
      </c>
      <c r="G15" s="15">
        <f t="shared" si="2"/>
        <v>0</v>
      </c>
      <c r="H15" s="15">
        <f t="shared" si="3"/>
        <v>2.3833333333333195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46183.240402661999</v>
      </c>
      <c r="B16" s="7" t="s">
        <v>64</v>
      </c>
      <c r="C16" s="13">
        <v>0.24039351851851901</v>
      </c>
      <c r="D16" s="13" t="s">
        <v>62</v>
      </c>
      <c r="E16" s="13">
        <v>0.29971064814814802</v>
      </c>
      <c r="F16" s="14">
        <f t="shared" si="1"/>
        <v>1.4236111111110963</v>
      </c>
      <c r="G16" s="15">
        <f t="shared" si="2"/>
        <v>0</v>
      </c>
      <c r="H16" s="15">
        <f t="shared" si="3"/>
        <v>1.4236111111110963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46183.951753588</v>
      </c>
      <c r="B17" s="7" t="s">
        <v>69</v>
      </c>
      <c r="C17" s="13">
        <v>0.95174768518518504</v>
      </c>
      <c r="D17" s="13" t="s">
        <v>62</v>
      </c>
      <c r="E17" s="13">
        <v>0.12075231481481501</v>
      </c>
      <c r="F17" s="14">
        <f t="shared" si="1"/>
        <v>4.0561111111111199</v>
      </c>
      <c r="G17" s="15">
        <f t="shared" si="2"/>
        <v>1.1580555555555598</v>
      </c>
      <c r="H17" s="15">
        <f t="shared" si="3"/>
        <v>2.89805555555556</v>
      </c>
      <c r="I17" s="37" t="s">
        <v>79</v>
      </c>
      <c r="J17" s="38">
        <f>J4+J5+J6+J7+J10</f>
        <v>76.342500000000001</v>
      </c>
      <c r="K17" s="39">
        <f>K4+K5+K6+K7+K10</f>
        <v>49.587777777777816</v>
      </c>
      <c r="L17" s="40">
        <f>L4+L5+L6+L7+L10</f>
        <v>26.754722222222178</v>
      </c>
      <c r="M17" s="41"/>
    </row>
    <row r="18" spans="1:13" ht="20.25" x14ac:dyDescent="0.25">
      <c r="A18" s="12">
        <f t="shared" ca="1" si="0"/>
        <v>46188.014986574097</v>
      </c>
      <c r="B18" s="7" t="s">
        <v>64</v>
      </c>
      <c r="C18" s="13">
        <v>1.4976851851851899E-2</v>
      </c>
      <c r="D18" s="13" t="s">
        <v>62</v>
      </c>
      <c r="E18" s="13">
        <v>0.108680555555556</v>
      </c>
      <c r="F18" s="14">
        <f t="shared" si="1"/>
        <v>2.2488888888888985</v>
      </c>
      <c r="G18" s="15">
        <f t="shared" si="2"/>
        <v>0</v>
      </c>
      <c r="H18" s="15">
        <f t="shared" si="3"/>
        <v>2.2488888888888985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46188.108666666703</v>
      </c>
      <c r="B19" s="7" t="s">
        <v>61</v>
      </c>
      <c r="C19" s="13">
        <v>0.108726851851852</v>
      </c>
      <c r="D19" s="13" t="s">
        <v>62</v>
      </c>
      <c r="E19" s="13">
        <v>0.146631944444444</v>
      </c>
      <c r="F19" s="14">
        <f t="shared" si="1"/>
        <v>0.90972222222220778</v>
      </c>
      <c r="G19" s="15">
        <f t="shared" si="2"/>
        <v>0</v>
      </c>
      <c r="H19" s="15">
        <f t="shared" si="3"/>
        <v>0.90972222222220778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46191.140908449102</v>
      </c>
      <c r="B20" s="7" t="s">
        <v>82</v>
      </c>
      <c r="C20" s="13">
        <v>0.14090277777777799</v>
      </c>
      <c r="D20" s="13" t="s">
        <v>62</v>
      </c>
      <c r="E20" s="13">
        <v>0.23804398148148201</v>
      </c>
      <c r="F20" s="14">
        <f t="shared" si="1"/>
        <v>2.3313888888888963</v>
      </c>
      <c r="G20" s="15">
        <f t="shared" si="2"/>
        <v>0</v>
      </c>
      <c r="H20" s="15">
        <f t="shared" si="3"/>
        <v>2.3313888888888963</v>
      </c>
      <c r="I20" s="42" t="s">
        <v>81</v>
      </c>
      <c r="J20" s="65">
        <f>J16+J17+J18+J19</f>
        <v>76.342500000000001</v>
      </c>
      <c r="K20" s="66"/>
      <c r="L20" s="67"/>
      <c r="M20" s="43"/>
    </row>
    <row r="21" spans="1:13" ht="20.25" x14ac:dyDescent="0.25">
      <c r="A21" s="12">
        <f t="shared" ca="1" si="0"/>
        <v>46191.238094212997</v>
      </c>
      <c r="B21" s="7" t="s">
        <v>69</v>
      </c>
      <c r="C21" s="13">
        <v>0.238090277777778</v>
      </c>
      <c r="D21" s="13" t="s">
        <v>62</v>
      </c>
      <c r="E21" s="13">
        <v>0.30710648148148201</v>
      </c>
      <c r="F21" s="14">
        <f t="shared" si="1"/>
        <v>1.6563888888888962</v>
      </c>
      <c r="G21" s="15">
        <f t="shared" si="2"/>
        <v>0</v>
      </c>
      <c r="H21" s="15">
        <f t="shared" si="3"/>
        <v>1.6563888888888962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46192.139205555599</v>
      </c>
      <c r="B22" s="7" t="s">
        <v>82</v>
      </c>
      <c r="C22" s="13">
        <v>0.139201388888889</v>
      </c>
      <c r="D22" s="13" t="s">
        <v>62</v>
      </c>
      <c r="E22" s="13">
        <v>0.23206018518518501</v>
      </c>
      <c r="F22" s="14">
        <f t="shared" si="1"/>
        <v>2.2286111111111042</v>
      </c>
      <c r="G22" s="15">
        <f t="shared" si="2"/>
        <v>0</v>
      </c>
      <c r="H22" s="15">
        <f t="shared" si="3"/>
        <v>2.2286111111111042</v>
      </c>
      <c r="I22"/>
      <c r="J22"/>
    </row>
    <row r="23" spans="1:13" ht="18.75" x14ac:dyDescent="0.15">
      <c r="A23" s="12">
        <f t="shared" ca="1" si="0"/>
        <v>46194.529156828699</v>
      </c>
      <c r="B23" s="7" t="s">
        <v>66</v>
      </c>
      <c r="C23" s="13">
        <v>0.52915509259259297</v>
      </c>
      <c r="D23" s="13" t="s">
        <v>62</v>
      </c>
      <c r="E23" s="13">
        <v>0.70056712962962997</v>
      </c>
      <c r="F23" s="14">
        <f t="shared" si="1"/>
        <v>4.113888888888888</v>
      </c>
      <c r="G23" s="15">
        <f t="shared" si="2"/>
        <v>4.113888888888888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46194.779168749999</v>
      </c>
      <c r="B24" s="7" t="s">
        <v>66</v>
      </c>
      <c r="C24" s="13">
        <v>0.77916666666666701</v>
      </c>
      <c r="D24" s="13" t="s">
        <v>62</v>
      </c>
      <c r="E24" s="13">
        <v>0.87435185185185205</v>
      </c>
      <c r="F24" s="14">
        <f t="shared" si="1"/>
        <v>2.2844444444444409</v>
      </c>
      <c r="G24" s="15">
        <f t="shared" si="2"/>
        <v>2.2844444444444409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46195.418077314796</v>
      </c>
      <c r="B25" s="7" t="s">
        <v>64</v>
      </c>
      <c r="C25" s="13">
        <v>0.41806712962963</v>
      </c>
      <c r="D25" s="13" t="s">
        <v>62</v>
      </c>
      <c r="E25" s="13">
        <v>0.53606481481481505</v>
      </c>
      <c r="F25" s="14">
        <f t="shared" si="1"/>
        <v>2.8319444444444413</v>
      </c>
      <c r="G25" s="15">
        <f t="shared" si="2"/>
        <v>2.8319444444444413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46195.6544146991</v>
      </c>
      <c r="B26" s="7" t="s">
        <v>69</v>
      </c>
      <c r="C26" s="13">
        <v>0.65440972222222205</v>
      </c>
      <c r="D26" s="13" t="s">
        <v>62</v>
      </c>
      <c r="E26" s="13">
        <v>0.78701388888888901</v>
      </c>
      <c r="F26" s="14">
        <f t="shared" si="1"/>
        <v>3.1825000000000072</v>
      </c>
      <c r="G26" s="15">
        <f t="shared" si="2"/>
        <v>3.1825000000000072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46195.854912731498</v>
      </c>
      <c r="B27" s="7" t="s">
        <v>64</v>
      </c>
      <c r="C27" s="13">
        <v>0.85490740740740701</v>
      </c>
      <c r="D27" s="13" t="s">
        <v>62</v>
      </c>
      <c r="E27" s="13">
        <v>0.95795138888888898</v>
      </c>
      <c r="F27" s="14">
        <f t="shared" si="1"/>
        <v>2.4730555555555673</v>
      </c>
      <c r="G27" s="15">
        <f t="shared" si="2"/>
        <v>2.4730555555555673</v>
      </c>
      <c r="H27" s="15">
        <f t="shared" si="3"/>
        <v>0</v>
      </c>
      <c r="I27"/>
      <c r="J27"/>
    </row>
    <row r="28" spans="1:13" ht="18.75" x14ac:dyDescent="0.15">
      <c r="A28" s="12">
        <f t="shared" ca="1" si="0"/>
        <v>46196.297923611099</v>
      </c>
      <c r="B28" s="7" t="s">
        <v>69</v>
      </c>
      <c r="C28" s="13">
        <v>0.297916666666667</v>
      </c>
      <c r="D28" s="13" t="s">
        <v>62</v>
      </c>
      <c r="E28" s="13">
        <v>0.36421296296296302</v>
      </c>
      <c r="F28" s="14">
        <f t="shared" si="1"/>
        <v>1.5911111111111045</v>
      </c>
      <c r="G28" s="15">
        <f t="shared" si="2"/>
        <v>0.74111111111112082</v>
      </c>
      <c r="H28" s="15">
        <f t="shared" si="3"/>
        <v>0.84999999999998366</v>
      </c>
      <c r="I28"/>
      <c r="J28"/>
    </row>
    <row r="29" spans="1:13" ht="18.75" x14ac:dyDescent="0.15">
      <c r="A29" s="12">
        <f t="shared" ca="1" si="0"/>
        <v>46198.359549537003</v>
      </c>
      <c r="B29" s="7" t="s">
        <v>69</v>
      </c>
      <c r="C29" s="13">
        <v>0.35954861111111103</v>
      </c>
      <c r="D29" s="13" t="s">
        <v>62</v>
      </c>
      <c r="E29" s="13">
        <v>0.53193287037036996</v>
      </c>
      <c r="F29" s="14">
        <f t="shared" si="1"/>
        <v>4.1372222222222144</v>
      </c>
      <c r="G29" s="15">
        <f t="shared" si="2"/>
        <v>4.1372222222222144</v>
      </c>
      <c r="H29" s="15">
        <f t="shared" si="3"/>
        <v>0</v>
      </c>
      <c r="I29"/>
      <c r="J29"/>
    </row>
    <row r="30" spans="1:13" ht="18.75" x14ac:dyDescent="0.15">
      <c r="A30" s="12">
        <f t="shared" ca="1" si="0"/>
        <v>46198.6988488426</v>
      </c>
      <c r="B30" s="7" t="s">
        <v>64</v>
      </c>
      <c r="C30" s="13">
        <v>0.69884259259259296</v>
      </c>
      <c r="D30" s="13" t="s">
        <v>62</v>
      </c>
      <c r="E30" s="13">
        <v>0.79179398148148195</v>
      </c>
      <c r="F30" s="14">
        <f t="shared" si="1"/>
        <v>2.2308333333333357</v>
      </c>
      <c r="G30" s="15">
        <f t="shared" si="2"/>
        <v>2.2308333333333357</v>
      </c>
      <c r="H30" s="15">
        <f t="shared" si="3"/>
        <v>0</v>
      </c>
      <c r="I30"/>
      <c r="J30"/>
    </row>
    <row r="31" spans="1:13" ht="18.75" x14ac:dyDescent="0.15">
      <c r="A31" s="12">
        <f t="shared" ca="1" si="0"/>
        <v>46198.855555671304</v>
      </c>
      <c r="B31" s="7" t="s">
        <v>64</v>
      </c>
      <c r="C31" s="13">
        <v>0.85555555555555596</v>
      </c>
      <c r="D31" s="13" t="s">
        <v>62</v>
      </c>
      <c r="E31" s="13">
        <v>0.96055555555555605</v>
      </c>
      <c r="F31" s="14">
        <f t="shared" si="1"/>
        <v>2.5200000000000022</v>
      </c>
      <c r="G31" s="15">
        <f t="shared" si="2"/>
        <v>2.5200000000000022</v>
      </c>
      <c r="H31" s="15">
        <f t="shared" si="3"/>
        <v>0</v>
      </c>
      <c r="I31"/>
      <c r="J31"/>
    </row>
    <row r="32" spans="1:13" ht="18.75" x14ac:dyDescent="0.15">
      <c r="A32" s="12">
        <f t="shared" ca="1" si="0"/>
        <v>46199.300248842599</v>
      </c>
      <c r="B32" s="7" t="s">
        <v>69</v>
      </c>
      <c r="C32" s="13">
        <v>0.30024305555555603</v>
      </c>
      <c r="D32" s="13" t="s">
        <v>62</v>
      </c>
      <c r="E32" s="13">
        <v>0.43211805555555599</v>
      </c>
      <c r="F32" s="14">
        <f t="shared" si="1"/>
        <v>3.1649999999999991</v>
      </c>
      <c r="G32" s="15">
        <f t="shared" si="2"/>
        <v>2.3708333333333522</v>
      </c>
      <c r="H32" s="15">
        <f t="shared" si="3"/>
        <v>0.79416666666664693</v>
      </c>
      <c r="I32"/>
      <c r="J32"/>
    </row>
    <row r="33" spans="1:11" ht="18.75" x14ac:dyDescent="0.15">
      <c r="A33" s="12">
        <f t="shared" ca="1" si="0"/>
        <v>46199.524410648097</v>
      </c>
      <c r="B33" s="7" t="s">
        <v>61</v>
      </c>
      <c r="C33" s="13">
        <v>0.52440972222222204</v>
      </c>
      <c r="D33" s="13" t="s">
        <v>62</v>
      </c>
      <c r="E33" s="13">
        <v>0.63584490740740696</v>
      </c>
      <c r="F33" s="14">
        <f t="shared" si="1"/>
        <v>2.674444444444438</v>
      </c>
      <c r="G33" s="15">
        <f t="shared" si="2"/>
        <v>2.674444444444438</v>
      </c>
      <c r="H33" s="15">
        <f t="shared" si="3"/>
        <v>0</v>
      </c>
      <c r="I33"/>
      <c r="J33"/>
    </row>
    <row r="34" spans="1:11" ht="18.75" x14ac:dyDescent="0.15">
      <c r="A34" s="12">
        <f t="shared" ca="1" si="0"/>
        <v>46199.772367708298</v>
      </c>
      <c r="B34" s="7" t="s">
        <v>64</v>
      </c>
      <c r="C34" s="13">
        <v>0.77236111111111105</v>
      </c>
      <c r="D34" s="13" t="s">
        <v>62</v>
      </c>
      <c r="E34" s="13">
        <v>0.86276620370370405</v>
      </c>
      <c r="F34" s="14">
        <f t="shared" si="1"/>
        <v>2.1697222222222319</v>
      </c>
      <c r="G34" s="15">
        <f t="shared" si="2"/>
        <v>2.1697222222222319</v>
      </c>
      <c r="H34" s="15">
        <f t="shared" si="3"/>
        <v>0</v>
      </c>
      <c r="I34"/>
      <c r="J34"/>
    </row>
    <row r="35" spans="1:11" ht="18.75" x14ac:dyDescent="0.15">
      <c r="A35" s="12">
        <f t="shared" ca="1" si="0"/>
        <v>46200.299733333297</v>
      </c>
      <c r="B35" s="7" t="s">
        <v>64</v>
      </c>
      <c r="C35" s="13">
        <v>0.29973379629629598</v>
      </c>
      <c r="D35" s="13" t="s">
        <v>62</v>
      </c>
      <c r="E35" s="13">
        <v>0.36833333333333301</v>
      </c>
      <c r="F35" s="14">
        <f t="shared" si="1"/>
        <v>1.6463888888888887</v>
      </c>
      <c r="G35" s="15">
        <f t="shared" si="2"/>
        <v>0.84000000000000075</v>
      </c>
      <c r="H35" s="15">
        <f t="shared" si="3"/>
        <v>0.80638888888888793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42"/>
  <sheetViews>
    <sheetView zoomScale="85" zoomScaleNormal="85" workbookViewId="0">
      <selection activeCell="D26" sqref="D26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46174.954367129598</v>
      </c>
      <c r="B3" s="7" t="s">
        <v>64</v>
      </c>
      <c r="C3" s="13">
        <v>0.95436342592592605</v>
      </c>
      <c r="D3" s="13" t="s">
        <v>62</v>
      </c>
      <c r="E3" s="13">
        <v>0.115590277777778</v>
      </c>
      <c r="F3" s="14">
        <f t="shared" ref="F3:F42" si="1">(IF(E3-C3&lt;0,"24:00"-C3+E3,E3-C3))*24</f>
        <v>3.8694444444444471</v>
      </c>
      <c r="G3" s="15">
        <f t="shared" ref="G3:G42" si="2">F3-H3</f>
        <v>1.0952777777777749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2.7741666666666722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46176.139423148103</v>
      </c>
      <c r="B4" s="7" t="s">
        <v>69</v>
      </c>
      <c r="C4" s="13">
        <v>0.13942129629629599</v>
      </c>
      <c r="D4" s="13" t="s">
        <v>62</v>
      </c>
      <c r="E4" s="13">
        <v>0.30026620370370399</v>
      </c>
      <c r="F4" s="14">
        <f t="shared" si="1"/>
        <v>3.8602777777777924</v>
      </c>
      <c r="G4" s="15">
        <f t="shared" si="2"/>
        <v>0</v>
      </c>
      <c r="H4" s="15">
        <f t="shared" si="3"/>
        <v>3.8602777777777924</v>
      </c>
      <c r="I4" s="23" t="s">
        <v>65</v>
      </c>
      <c r="J4" s="24">
        <f>SUMIF(B:B,"西塔台管制席",F:F)+SUMIF(B:B,"东塔台管制席",F:F)</f>
        <v>33.530833333333355</v>
      </c>
      <c r="K4" s="25">
        <f>SUMIF(B:B,"西塔台管制席",G:G)+SUMIF(B:B,"东塔台管制席",G:G)</f>
        <v>15.395555555555594</v>
      </c>
      <c r="L4" s="25">
        <f>SUMIF(B:B,"西塔台管制席",H:H)+SUMIF(B:B,"东塔台管制席",H:H)</f>
        <v>18.135277777777755</v>
      </c>
      <c r="M4" s="21"/>
    </row>
    <row r="5" spans="1:16" ht="18.75" x14ac:dyDescent="0.25">
      <c r="A5" s="12">
        <f t="shared" ca="1" si="0"/>
        <v>46178.379946759298</v>
      </c>
      <c r="B5" s="7" t="s">
        <v>84</v>
      </c>
      <c r="C5" s="13">
        <v>0.37994212962962998</v>
      </c>
      <c r="D5" s="13" t="s">
        <v>62</v>
      </c>
      <c r="E5" s="13">
        <v>0.482337962962963</v>
      </c>
      <c r="F5" s="14">
        <f t="shared" si="1"/>
        <v>2.4574999999999925</v>
      </c>
      <c r="G5" s="15">
        <f t="shared" si="2"/>
        <v>2.4574999999999925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28.173888888888833</v>
      </c>
      <c r="K5" s="25">
        <f>SUMIF(B:B,"西塔台协调席",G:G)+SUMIF(B:B,"东塔台协调席",G:G)</f>
        <v>17.791666666666622</v>
      </c>
      <c r="L5" s="25">
        <f>SUMIF(B:B,"西塔台协调席",H:H)+SUMIF(B:B,"东塔台协调席",H:H)</f>
        <v>10.382222222222211</v>
      </c>
      <c r="M5" s="21"/>
    </row>
    <row r="6" spans="1:16" ht="18.75" x14ac:dyDescent="0.25">
      <c r="A6" s="12">
        <f t="shared" ca="1" si="0"/>
        <v>46178.521448842599</v>
      </c>
      <c r="B6" s="7" t="s">
        <v>84</v>
      </c>
      <c r="C6" s="13">
        <v>0.52144675925925899</v>
      </c>
      <c r="D6" s="13" t="s">
        <v>62</v>
      </c>
      <c r="E6" s="13">
        <v>0.55863425925925903</v>
      </c>
      <c r="F6" s="14">
        <f t="shared" si="1"/>
        <v>0.89250000000000096</v>
      </c>
      <c r="G6" s="15">
        <f t="shared" si="2"/>
        <v>0.89250000000000096</v>
      </c>
      <c r="H6" s="15">
        <f t="shared" si="3"/>
        <v>0</v>
      </c>
      <c r="I6" s="23" t="s">
        <v>68</v>
      </c>
      <c r="J6" s="24">
        <f>SUMIF(B:B,"放行席",F:F)</f>
        <v>2.1863888888888878</v>
      </c>
      <c r="K6" s="25">
        <f>SUMIF(B:B,"放行席",G:G)</f>
        <v>0</v>
      </c>
      <c r="L6" s="25">
        <f>SUMIF(B:B,"放行席",H:H)</f>
        <v>2.1863888888888878</v>
      </c>
      <c r="M6" s="21"/>
    </row>
    <row r="7" spans="1:16" ht="18.75" x14ac:dyDescent="0.25">
      <c r="A7" s="12">
        <f t="shared" ca="1" si="0"/>
        <v>46178.662007754603</v>
      </c>
      <c r="B7" s="7" t="s">
        <v>84</v>
      </c>
      <c r="C7" s="13">
        <v>0.66200231481481497</v>
      </c>
      <c r="D7" s="13" t="s">
        <v>62</v>
      </c>
      <c r="E7" s="13">
        <v>0.75265046296296301</v>
      </c>
      <c r="F7" s="14">
        <f t="shared" si="1"/>
        <v>2.1755555555555528</v>
      </c>
      <c r="G7" s="15">
        <f t="shared" si="2"/>
        <v>2.1755555555555528</v>
      </c>
      <c r="H7" s="15">
        <f t="shared" si="3"/>
        <v>0</v>
      </c>
      <c r="I7" s="23" t="s">
        <v>70</v>
      </c>
      <c r="J7" s="24">
        <f>SUMIF(B:B,"地面席",F:F)</f>
        <v>2.3044444444444321</v>
      </c>
      <c r="K7" s="25">
        <f>SUMIF(B:B,"地面席",G:G)</f>
        <v>0</v>
      </c>
      <c r="L7" s="25">
        <f>SUMIF(B:B,"地面席",H:H)</f>
        <v>2.3044444444444321</v>
      </c>
      <c r="M7" s="21"/>
    </row>
    <row r="8" spans="1:16" ht="18.75" x14ac:dyDescent="0.25">
      <c r="A8" s="12">
        <f t="shared" ca="1" si="0"/>
        <v>46182.950922569398</v>
      </c>
      <c r="B8" s="7" t="s">
        <v>66</v>
      </c>
      <c r="C8" s="13">
        <v>0.95091435185185202</v>
      </c>
      <c r="D8" s="13" t="s">
        <v>62</v>
      </c>
      <c r="E8" s="13">
        <v>0.116736111111111</v>
      </c>
      <c r="F8" s="14">
        <f t="shared" si="1"/>
        <v>3.9797222222222151</v>
      </c>
      <c r="G8" s="15">
        <f t="shared" si="2"/>
        <v>1.178055555555551</v>
      </c>
      <c r="H8" s="15">
        <f t="shared" si="3"/>
        <v>2.8016666666666641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46184.140519791697</v>
      </c>
      <c r="B9" s="7" t="s">
        <v>69</v>
      </c>
      <c r="C9" s="13">
        <v>0.140509259259259</v>
      </c>
      <c r="D9" s="13" t="s">
        <v>62</v>
      </c>
      <c r="E9" s="13">
        <v>0.30009259259259302</v>
      </c>
      <c r="F9" s="14">
        <f t="shared" si="1"/>
        <v>3.8300000000000165</v>
      </c>
      <c r="G9" s="15">
        <f t="shared" si="2"/>
        <v>0</v>
      </c>
      <c r="H9" s="15">
        <f t="shared" si="3"/>
        <v>3.8300000000000165</v>
      </c>
      <c r="I9" s="23" t="s">
        <v>73</v>
      </c>
      <c r="J9" s="24">
        <f>SUMIF(B:B,"航班调度席",F:F)</f>
        <v>5.5255555555555462</v>
      </c>
      <c r="K9" s="25">
        <f>SUMIF(B:B,"航班调度席",G:G)</f>
        <v>5.5255555555555462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46187.132486111099</v>
      </c>
      <c r="B10" s="7" t="s">
        <v>83</v>
      </c>
      <c r="C10" s="13">
        <v>0.13247685185185201</v>
      </c>
      <c r="D10" s="13" t="s">
        <v>62</v>
      </c>
      <c r="E10" s="13">
        <v>0.223576388888889</v>
      </c>
      <c r="F10" s="14">
        <f t="shared" si="1"/>
        <v>2.1863888888888878</v>
      </c>
      <c r="G10" s="15">
        <f t="shared" si="2"/>
        <v>0</v>
      </c>
      <c r="H10" s="15">
        <f t="shared" si="3"/>
        <v>2.1863888888888878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46188.0135592593</v>
      </c>
      <c r="B11" s="7" t="s">
        <v>69</v>
      </c>
      <c r="C11" s="13">
        <v>1.3553240740740701E-2</v>
      </c>
      <c r="D11" s="13" t="s">
        <v>62</v>
      </c>
      <c r="E11" s="13">
        <v>0.143935185185185</v>
      </c>
      <c r="F11" s="14">
        <f t="shared" si="1"/>
        <v>3.1291666666666629</v>
      </c>
      <c r="G11" s="15">
        <f t="shared" si="2"/>
        <v>0</v>
      </c>
      <c r="H11" s="15">
        <f t="shared" si="3"/>
        <v>3.1291666666666629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46190.438904166702</v>
      </c>
      <c r="B12" s="7" t="s">
        <v>61</v>
      </c>
      <c r="C12" s="13">
        <v>0.43890046296296298</v>
      </c>
      <c r="D12" s="13" t="s">
        <v>62</v>
      </c>
      <c r="E12" s="13">
        <v>0.54951388888888897</v>
      </c>
      <c r="F12" s="14">
        <f t="shared" si="1"/>
        <v>2.6547222222222238</v>
      </c>
      <c r="G12" s="15">
        <f t="shared" si="2"/>
        <v>2.6547222222222238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46190.734666319397</v>
      </c>
      <c r="B13" s="7" t="s">
        <v>66</v>
      </c>
      <c r="C13" s="13">
        <v>0.73466435185185197</v>
      </c>
      <c r="D13" s="13" t="s">
        <v>62</v>
      </c>
      <c r="E13" s="13">
        <v>0.88081018518518495</v>
      </c>
      <c r="F13" s="14">
        <f t="shared" si="1"/>
        <v>3.5074999999999914</v>
      </c>
      <c r="G13" s="15">
        <f t="shared" si="2"/>
        <v>3.5074999999999914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46191.3001016204</v>
      </c>
      <c r="B14" s="7" t="s">
        <v>69</v>
      </c>
      <c r="C14" s="13">
        <v>0.30009259259259302</v>
      </c>
      <c r="D14" s="13" t="s">
        <v>62</v>
      </c>
      <c r="E14" s="13">
        <v>0.4634375</v>
      </c>
      <c r="F14" s="14">
        <f t="shared" si="1"/>
        <v>3.9202777777777675</v>
      </c>
      <c r="G14" s="15">
        <f t="shared" si="2"/>
        <v>3.1225000000000085</v>
      </c>
      <c r="H14" s="15">
        <f t="shared" si="3"/>
        <v>0.79777777777775905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46191.626049884297</v>
      </c>
      <c r="B15" s="7" t="s">
        <v>64</v>
      </c>
      <c r="C15" s="13">
        <v>0.62604166666666705</v>
      </c>
      <c r="D15" s="13" t="s">
        <v>62</v>
      </c>
      <c r="E15" s="13">
        <v>0.79755787037036996</v>
      </c>
      <c r="F15" s="14">
        <f t="shared" si="1"/>
        <v>4.1163888888888698</v>
      </c>
      <c r="G15" s="15">
        <f t="shared" si="2"/>
        <v>4.1163888888888698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46192.299288773102</v>
      </c>
      <c r="B16" s="7" t="s">
        <v>69</v>
      </c>
      <c r="C16" s="13">
        <v>0.29928240740740703</v>
      </c>
      <c r="D16" s="13" t="s">
        <v>62</v>
      </c>
      <c r="E16" s="13">
        <v>0.364918981481481</v>
      </c>
      <c r="F16" s="14">
        <f t="shared" si="1"/>
        <v>1.5752777777777753</v>
      </c>
      <c r="G16" s="15">
        <f t="shared" si="2"/>
        <v>0.75805555555555237</v>
      </c>
      <c r="H16" s="15">
        <f t="shared" si="3"/>
        <v>0.81722222222222296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46194.952115277803</v>
      </c>
      <c r="B17" s="7" t="s">
        <v>61</v>
      </c>
      <c r="C17" s="13">
        <v>0.95210648148148103</v>
      </c>
      <c r="D17" s="13" t="s">
        <v>62</v>
      </c>
      <c r="E17" s="13">
        <v>0.113472222222222</v>
      </c>
      <c r="F17" s="14">
        <f t="shared" si="1"/>
        <v>3.8727777777777836</v>
      </c>
      <c r="G17" s="15">
        <f t="shared" si="2"/>
        <v>1.1494444444444554</v>
      </c>
      <c r="H17" s="15">
        <f t="shared" si="3"/>
        <v>2.7233333333333283</v>
      </c>
      <c r="I17" s="37" t="s">
        <v>79</v>
      </c>
      <c r="J17" s="38">
        <f>J4+J5+J6+J7+J10</f>
        <v>66.195555555555501</v>
      </c>
      <c r="K17" s="39">
        <f>K4+K5+K6+K7+K10</f>
        <v>33.187222222222218</v>
      </c>
      <c r="L17" s="40">
        <f>L4+L5+L6+L7+L10</f>
        <v>33.00833333333329</v>
      </c>
      <c r="M17" s="41"/>
    </row>
    <row r="18" spans="1:13" ht="20.25" x14ac:dyDescent="0.25">
      <c r="A18" s="12">
        <f t="shared" ca="1" si="0"/>
        <v>46196.1407181713</v>
      </c>
      <c r="B18" s="7" t="s">
        <v>61</v>
      </c>
      <c r="C18" s="13">
        <v>0.140717592592593</v>
      </c>
      <c r="D18" s="13" t="s">
        <v>62</v>
      </c>
      <c r="E18" s="13">
        <v>0.23131944444444399</v>
      </c>
      <c r="F18" s="14">
        <f t="shared" si="1"/>
        <v>2.1744444444444238</v>
      </c>
      <c r="G18" s="15">
        <f t="shared" si="2"/>
        <v>0</v>
      </c>
      <c r="H18" s="15">
        <f t="shared" si="3"/>
        <v>2.1744444444444238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46196.231375000003</v>
      </c>
      <c r="B19" s="7" t="s">
        <v>64</v>
      </c>
      <c r="C19" s="13">
        <v>0.23136574074074101</v>
      </c>
      <c r="D19" s="13" t="s">
        <v>62</v>
      </c>
      <c r="E19" s="13">
        <v>0.30599537037037</v>
      </c>
      <c r="F19" s="14">
        <f t="shared" si="1"/>
        <v>1.7911111111110958</v>
      </c>
      <c r="G19" s="15">
        <f t="shared" si="2"/>
        <v>0</v>
      </c>
      <c r="H19" s="15">
        <f t="shared" si="3"/>
        <v>1.7911111111110958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46199.139317013898</v>
      </c>
      <c r="B20" s="7" t="s">
        <v>82</v>
      </c>
      <c r="C20" s="13">
        <v>0.13931712962963</v>
      </c>
      <c r="D20" s="13" t="s">
        <v>62</v>
      </c>
      <c r="E20" s="13">
        <v>0.235335648148148</v>
      </c>
      <c r="F20" s="14">
        <f t="shared" si="1"/>
        <v>2.3044444444444321</v>
      </c>
      <c r="G20" s="15">
        <f t="shared" si="2"/>
        <v>0</v>
      </c>
      <c r="H20" s="15">
        <f t="shared" si="3"/>
        <v>2.3044444444444321</v>
      </c>
      <c r="I20" s="42" t="s">
        <v>81</v>
      </c>
      <c r="J20" s="65">
        <f>J16+J17+J18+J19</f>
        <v>66.195555555555501</v>
      </c>
      <c r="K20" s="66"/>
      <c r="L20" s="67"/>
      <c r="M20" s="43"/>
    </row>
    <row r="21" spans="1:13" ht="20.25" x14ac:dyDescent="0.25">
      <c r="A21" s="12">
        <f t="shared" ca="1" si="0"/>
        <v>46200.014829513901</v>
      </c>
      <c r="B21" s="7" t="s">
        <v>66</v>
      </c>
      <c r="C21" s="13">
        <v>1.4826388888888899E-2</v>
      </c>
      <c r="D21" s="13" t="s">
        <v>62</v>
      </c>
      <c r="E21" s="13">
        <v>0.14046296296296301</v>
      </c>
      <c r="F21" s="14">
        <f t="shared" si="1"/>
        <v>3.0152777777777784</v>
      </c>
      <c r="G21" s="15">
        <f t="shared" si="2"/>
        <v>0</v>
      </c>
      <c r="H21" s="15">
        <f t="shared" si="3"/>
        <v>3.0152777777777784</v>
      </c>
      <c r="I21" s="44" t="s">
        <v>4</v>
      </c>
      <c r="J21" s="45">
        <f>SUM(J8:J9)</f>
        <v>5.5255555555555462</v>
      </c>
      <c r="K21" s="39">
        <f>SUM(K8:K9)</f>
        <v>5.5255555555555462</v>
      </c>
      <c r="L21" s="40">
        <f>SUM(L8:L9)</f>
        <v>0</v>
      </c>
      <c r="M21" s="46"/>
    </row>
    <row r="22" spans="1:13" ht="18.75" x14ac:dyDescent="0.15">
      <c r="A22" s="12">
        <f t="shared" ca="1" si="0"/>
        <v>46202.353104745402</v>
      </c>
      <c r="B22" s="7" t="s">
        <v>69</v>
      </c>
      <c r="C22" s="13">
        <v>0.353101851851852</v>
      </c>
      <c r="D22" s="13" t="s">
        <v>62</v>
      </c>
      <c r="E22" s="13">
        <v>0.50585648148148199</v>
      </c>
      <c r="F22" s="14">
        <f t="shared" si="1"/>
        <v>3.6661111111111198</v>
      </c>
      <c r="G22" s="15">
        <f t="shared" si="2"/>
        <v>3.6661111111111198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46202.6679568287</v>
      </c>
      <c r="B23" s="7" t="s">
        <v>64</v>
      </c>
      <c r="C23" s="13">
        <v>0.66795138888888905</v>
      </c>
      <c r="D23" s="13" t="s">
        <v>62</v>
      </c>
      <c r="E23" s="13">
        <v>0.81805555555555598</v>
      </c>
      <c r="F23" s="14">
        <f t="shared" si="1"/>
        <v>3.6025000000000063</v>
      </c>
      <c r="G23" s="15">
        <f t="shared" si="2"/>
        <v>3.6025000000000063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46203.299882754603</v>
      </c>
      <c r="B24" s="7" t="s">
        <v>69</v>
      </c>
      <c r="C24" s="13">
        <v>0.29987268518518501</v>
      </c>
      <c r="D24" s="13" t="s">
        <v>62</v>
      </c>
      <c r="E24" s="13">
        <v>0.37920138888888899</v>
      </c>
      <c r="F24" s="14">
        <f t="shared" si="1"/>
        <v>1.9038888888888956</v>
      </c>
      <c r="G24" s="15">
        <f t="shared" si="2"/>
        <v>1.1008333333333442</v>
      </c>
      <c r="H24" s="15">
        <f t="shared" si="3"/>
        <v>0.80305555555555141</v>
      </c>
      <c r="I24"/>
      <c r="J24"/>
    </row>
    <row r="25" spans="1:13" ht="18.75" x14ac:dyDescent="0.15">
      <c r="A25" s="12">
        <f t="shared" ca="1" si="0"/>
        <v>46203.500747338003</v>
      </c>
      <c r="B25" s="7" t="s">
        <v>64</v>
      </c>
      <c r="C25" s="13">
        <v>0.50074074074074104</v>
      </c>
      <c r="D25" s="13" t="s">
        <v>62</v>
      </c>
      <c r="E25" s="13">
        <v>0.67957175925925895</v>
      </c>
      <c r="F25" s="14">
        <f t="shared" si="1"/>
        <v>4.2919444444444297</v>
      </c>
      <c r="G25" s="15">
        <f t="shared" si="2"/>
        <v>4.2919444444444297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46203.834875578701</v>
      </c>
      <c r="B26" s="7" t="s">
        <v>69</v>
      </c>
      <c r="C26" s="13">
        <v>0.83487268518518498</v>
      </c>
      <c r="D26" s="13" t="s">
        <v>62</v>
      </c>
      <c r="E26" s="13">
        <v>0.95753472222222202</v>
      </c>
      <c r="F26" s="14">
        <f t="shared" si="1"/>
        <v>2.943888888888889</v>
      </c>
      <c r="G26" s="15">
        <f t="shared" si="2"/>
        <v>2.943888888888889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42"/>
  <sheetViews>
    <sheetView tabSelected="1" zoomScale="85" zoomScaleNormal="85" workbookViewId="0">
      <selection activeCell="P52" sqref="P52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46175.139214120398</v>
      </c>
      <c r="B3" s="7" t="s">
        <v>82</v>
      </c>
      <c r="C3" s="13">
        <v>0.13921296296296301</v>
      </c>
      <c r="D3" s="13" t="s">
        <v>62</v>
      </c>
      <c r="E3" s="13">
        <v>0.23798611111111101</v>
      </c>
      <c r="F3" s="14">
        <f t="shared" ref="F3:F42" si="1">(IF(E3-C3&lt;0,"24:00"-C3+E3,E3-C3))*24</f>
        <v>2.3705555555555522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2.3705555555555522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46175.952116666696</v>
      </c>
      <c r="B4" s="7" t="s">
        <v>66</v>
      </c>
      <c r="C4" s="13">
        <v>0.95210648148148103</v>
      </c>
      <c r="D4" s="13" t="s">
        <v>62</v>
      </c>
      <c r="E4" s="13">
        <v>0.10615740740740701</v>
      </c>
      <c r="F4" s="14">
        <f t="shared" si="1"/>
        <v>3.6972222222222237</v>
      </c>
      <c r="G4" s="15">
        <f t="shared" si="2"/>
        <v>1.1494444444444554</v>
      </c>
      <c r="H4" s="15">
        <f t="shared" si="3"/>
        <v>2.5477777777777684</v>
      </c>
      <c r="I4" s="23" t="s">
        <v>65</v>
      </c>
      <c r="J4" s="24">
        <f>SUMIF(B:B,"西塔台管制席",F:F)+SUMIF(B:B,"东塔台管制席",F:F)</f>
        <v>23.409444444444471</v>
      </c>
      <c r="K4" s="25">
        <f>SUMIF(B:B,"西塔台管制席",G:G)+SUMIF(B:B,"东塔台管制席",G:G)</f>
        <v>16.777777777777807</v>
      </c>
      <c r="L4" s="25">
        <f>SUMIF(B:B,"西塔台管制席",H:H)+SUMIF(B:B,"东塔台管制席",H:H)</f>
        <v>6.6316666666666642</v>
      </c>
      <c r="M4" s="21"/>
    </row>
    <row r="5" spans="1:16" ht="18.75" x14ac:dyDescent="0.25">
      <c r="A5" s="12">
        <f t="shared" ca="1" si="0"/>
        <v>46178.504437615702</v>
      </c>
      <c r="B5" s="7" t="s">
        <v>64</v>
      </c>
      <c r="C5" s="13">
        <v>0.50443287037036999</v>
      </c>
      <c r="D5" s="13" t="s">
        <v>62</v>
      </c>
      <c r="E5" s="13">
        <v>0.67275462962962995</v>
      </c>
      <c r="F5" s="14">
        <f t="shared" si="1"/>
        <v>4.0397222222222391</v>
      </c>
      <c r="G5" s="15">
        <f t="shared" si="2"/>
        <v>4.0397222222222391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35.874444444444485</v>
      </c>
      <c r="K5" s="25">
        <f>SUMIF(B:B,"西塔台协调席",G:G)+SUMIF(B:B,"东塔台协调席",G:G)</f>
        <v>27.328055555555618</v>
      </c>
      <c r="L5" s="25">
        <f>SUMIF(B:B,"西塔台协调席",H:H)+SUMIF(B:B,"东塔台协调席",H:H)</f>
        <v>8.5463888888888739</v>
      </c>
      <c r="M5" s="21"/>
    </row>
    <row r="6" spans="1:16" ht="18.75" x14ac:dyDescent="0.25">
      <c r="A6" s="12">
        <f t="shared" ca="1" si="0"/>
        <v>46178.833620138903</v>
      </c>
      <c r="B6" s="7" t="s">
        <v>69</v>
      </c>
      <c r="C6" s="13">
        <v>0.83361111111111097</v>
      </c>
      <c r="D6" s="13" t="s">
        <v>62</v>
      </c>
      <c r="E6" s="13">
        <v>0.95851851851851899</v>
      </c>
      <c r="F6" s="14">
        <f t="shared" si="1"/>
        <v>2.9977777777777925</v>
      </c>
      <c r="G6" s="15">
        <f t="shared" si="2"/>
        <v>2.9977777777777925</v>
      </c>
      <c r="H6" s="15">
        <f t="shared" si="3"/>
        <v>0</v>
      </c>
      <c r="I6" s="23" t="s">
        <v>68</v>
      </c>
      <c r="J6" s="24">
        <f>SUMIF(B:B,"放行席",F:F)</f>
        <v>2.0316666666666716</v>
      </c>
      <c r="K6" s="25">
        <f>SUMIF(B:B,"放行席",G:G)</f>
        <v>0</v>
      </c>
      <c r="L6" s="25">
        <f>SUMIF(B:B,"放行席",H:H)</f>
        <v>2.0316666666666716</v>
      </c>
      <c r="M6" s="21"/>
    </row>
    <row r="7" spans="1:16" ht="18.75" x14ac:dyDescent="0.25">
      <c r="A7" s="12">
        <f t="shared" ca="1" si="0"/>
        <v>46179.415670254602</v>
      </c>
      <c r="B7" s="7" t="s">
        <v>64</v>
      </c>
      <c r="C7" s="13">
        <v>0.41565972222222197</v>
      </c>
      <c r="D7" s="13" t="s">
        <v>62</v>
      </c>
      <c r="E7" s="13">
        <v>0.50658564814814799</v>
      </c>
      <c r="F7" s="14">
        <f t="shared" si="1"/>
        <v>2.1822222222222245</v>
      </c>
      <c r="G7" s="15">
        <f t="shared" si="2"/>
        <v>2.1822222222222245</v>
      </c>
      <c r="H7" s="15">
        <f t="shared" si="3"/>
        <v>0</v>
      </c>
      <c r="I7" s="23" t="s">
        <v>70</v>
      </c>
      <c r="J7" s="24">
        <f>SUMIF(B:B,"地面席",F:F)</f>
        <v>4.5499999999999918</v>
      </c>
      <c r="K7" s="25">
        <f>SUMIF(B:B,"地面席",G:G)</f>
        <v>0</v>
      </c>
      <c r="L7" s="25">
        <f>SUMIF(B:B,"地面席",H:H)</f>
        <v>4.5499999999999918</v>
      </c>
      <c r="M7" s="21"/>
    </row>
    <row r="8" spans="1:16" ht="18.75" x14ac:dyDescent="0.25">
      <c r="A8" s="12">
        <f t="shared" ca="1" si="0"/>
        <v>46179.584787152802</v>
      </c>
      <c r="B8" s="7" t="s">
        <v>69</v>
      </c>
      <c r="C8" s="13">
        <v>0.584780092592593</v>
      </c>
      <c r="D8" s="13" t="s">
        <v>62</v>
      </c>
      <c r="E8" s="13">
        <v>0.673796296296296</v>
      </c>
      <c r="F8" s="14">
        <f t="shared" si="1"/>
        <v>2.136388888888872</v>
      </c>
      <c r="G8" s="15">
        <f t="shared" si="2"/>
        <v>2.136388888888872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46179.755491550903</v>
      </c>
      <c r="B9" s="7" t="s">
        <v>64</v>
      </c>
      <c r="C9" s="13">
        <v>0.75548611111111097</v>
      </c>
      <c r="D9" s="13" t="s">
        <v>62</v>
      </c>
      <c r="E9" s="13">
        <v>0.88059027777777799</v>
      </c>
      <c r="F9" s="14">
        <f t="shared" si="1"/>
        <v>3.0025000000000084</v>
      </c>
      <c r="G9" s="15">
        <f t="shared" si="2"/>
        <v>3.0025000000000084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46180.293112500003</v>
      </c>
      <c r="B10" s="7" t="s">
        <v>64</v>
      </c>
      <c r="C10" s="13">
        <v>0.293101851851852</v>
      </c>
      <c r="D10" s="13" t="s">
        <v>62</v>
      </c>
      <c r="E10" s="13">
        <v>0.36525462962963001</v>
      </c>
      <c r="F10" s="14">
        <f t="shared" si="1"/>
        <v>1.7316666666666722</v>
      </c>
      <c r="G10" s="15">
        <f t="shared" si="2"/>
        <v>0.76611111111112873</v>
      </c>
      <c r="H10" s="15">
        <f t="shared" si="3"/>
        <v>0.96555555555554351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46183.014640509296</v>
      </c>
      <c r="B11" s="7" t="s">
        <v>69</v>
      </c>
      <c r="C11" s="13">
        <v>1.46296296296296E-2</v>
      </c>
      <c r="D11" s="13" t="s">
        <v>62</v>
      </c>
      <c r="E11" s="13">
        <v>0.14392361111111099</v>
      </c>
      <c r="F11" s="14">
        <f t="shared" si="1"/>
        <v>3.103055555555553</v>
      </c>
      <c r="G11" s="15">
        <f t="shared" si="2"/>
        <v>0</v>
      </c>
      <c r="H11" s="15">
        <f t="shared" si="3"/>
        <v>3.103055555555553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46184.139818981501</v>
      </c>
      <c r="B12" s="7" t="s">
        <v>82</v>
      </c>
      <c r="C12" s="13">
        <v>0.139814814814815</v>
      </c>
      <c r="D12" s="13" t="s">
        <v>62</v>
      </c>
      <c r="E12" s="13">
        <v>0.230625</v>
      </c>
      <c r="F12" s="14">
        <f t="shared" si="1"/>
        <v>2.1794444444444396</v>
      </c>
      <c r="G12" s="15">
        <f t="shared" si="2"/>
        <v>0</v>
      </c>
      <c r="H12" s="15">
        <f t="shared" si="3"/>
        <v>2.1794444444444396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46186.354179861097</v>
      </c>
      <c r="B13" s="7" t="s">
        <v>64</v>
      </c>
      <c r="C13" s="13">
        <v>0.354178240740741</v>
      </c>
      <c r="D13" s="13" t="s">
        <v>62</v>
      </c>
      <c r="E13" s="13">
        <v>0.52704861111111101</v>
      </c>
      <c r="F13" s="14">
        <f t="shared" si="1"/>
        <v>4.1488888888888802</v>
      </c>
      <c r="G13" s="15">
        <f t="shared" si="2"/>
        <v>4.1488888888888802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46186.688881249996</v>
      </c>
      <c r="B14" s="7" t="s">
        <v>69</v>
      </c>
      <c r="C14" s="13">
        <v>0.68887731481481496</v>
      </c>
      <c r="D14" s="13" t="s">
        <v>62</v>
      </c>
      <c r="E14" s="13">
        <v>0.77649305555555603</v>
      </c>
      <c r="F14" s="14">
        <f t="shared" si="1"/>
        <v>2.1027777777777859</v>
      </c>
      <c r="G14" s="15">
        <f t="shared" si="2"/>
        <v>2.1027777777777859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46186.853491435199</v>
      </c>
      <c r="B15" s="7" t="s">
        <v>64</v>
      </c>
      <c r="C15" s="13">
        <v>0.853483796296296</v>
      </c>
      <c r="D15" s="13" t="s">
        <v>62</v>
      </c>
      <c r="E15" s="13">
        <v>0.95747685185185205</v>
      </c>
      <c r="F15" s="14">
        <f t="shared" si="1"/>
        <v>2.4958333333333451</v>
      </c>
      <c r="G15" s="15">
        <f t="shared" si="2"/>
        <v>2.4958333333333451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46187.291295833304</v>
      </c>
      <c r="B16" s="7" t="s">
        <v>61</v>
      </c>
      <c r="C16" s="13">
        <v>0.29131944444444402</v>
      </c>
      <c r="D16" s="13" t="s">
        <v>62</v>
      </c>
      <c r="E16" s="13">
        <v>0.33468750000000003</v>
      </c>
      <c r="F16" s="14">
        <f t="shared" si="1"/>
        <v>1.0408333333333442</v>
      </c>
      <c r="G16" s="15">
        <f t="shared" si="2"/>
        <v>3.2500000000009077E-2</v>
      </c>
      <c r="H16" s="15">
        <f t="shared" si="3"/>
        <v>1.0083333333333351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46187.344468287003</v>
      </c>
      <c r="B17" s="7" t="s">
        <v>61</v>
      </c>
      <c r="C17" s="13">
        <v>0.34446759259259302</v>
      </c>
      <c r="D17" s="13" t="s">
        <v>62</v>
      </c>
      <c r="E17" s="13">
        <v>0.42494212962963002</v>
      </c>
      <c r="F17" s="14">
        <f t="shared" si="1"/>
        <v>1.9313888888888879</v>
      </c>
      <c r="G17" s="15">
        <f t="shared" si="2"/>
        <v>1.9313888888888879</v>
      </c>
      <c r="H17" s="15">
        <f t="shared" si="3"/>
        <v>0</v>
      </c>
      <c r="I17" s="37" t="s">
        <v>79</v>
      </c>
      <c r="J17" s="38">
        <f>J4+J5+J6+J7+J10</f>
        <v>65.865555555555616</v>
      </c>
      <c r="K17" s="39">
        <f>K4+K5+K6+K7+K10</f>
        <v>44.105833333333422</v>
      </c>
      <c r="L17" s="40">
        <f>L4+L5+L6+L7+L10</f>
        <v>21.759722222222202</v>
      </c>
      <c r="M17" s="41"/>
    </row>
    <row r="18" spans="1:13" ht="20.25" x14ac:dyDescent="0.25">
      <c r="A18" s="12">
        <f t="shared" ca="1" si="0"/>
        <v>46191.1413173611</v>
      </c>
      <c r="B18" s="7" t="s">
        <v>69</v>
      </c>
      <c r="C18" s="13">
        <v>0.14130787037036999</v>
      </c>
      <c r="D18" s="13" t="s">
        <v>62</v>
      </c>
      <c r="E18" s="13">
        <v>0.24631944444444401</v>
      </c>
      <c r="F18" s="14">
        <f t="shared" si="1"/>
        <v>2.5202777777777765</v>
      </c>
      <c r="G18" s="15">
        <f t="shared" si="2"/>
        <v>0</v>
      </c>
      <c r="H18" s="15">
        <f t="shared" si="3"/>
        <v>2.5202777777777765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46191.952312847199</v>
      </c>
      <c r="B19" s="7" t="s">
        <v>64</v>
      </c>
      <c r="C19" s="13">
        <v>0.95230324074074102</v>
      </c>
      <c r="D19" s="13" t="s">
        <v>62</v>
      </c>
      <c r="E19" s="13">
        <v>0.11994212962963</v>
      </c>
      <c r="F19" s="14">
        <f t="shared" si="1"/>
        <v>4.0233333333333352</v>
      </c>
      <c r="G19" s="15">
        <f t="shared" si="2"/>
        <v>1.1447222222222155</v>
      </c>
      <c r="H19" s="15">
        <f t="shared" si="3"/>
        <v>2.8786111111111197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46198.952801736101</v>
      </c>
      <c r="B20" s="7" t="s">
        <v>64</v>
      </c>
      <c r="C20" s="13">
        <v>0.95280092592592602</v>
      </c>
      <c r="D20" s="13" t="s">
        <v>62</v>
      </c>
      <c r="E20" s="13">
        <v>8.9768518518518498E-2</v>
      </c>
      <c r="F20" s="14">
        <f t="shared" si="1"/>
        <v>3.2872222222222192</v>
      </c>
      <c r="G20" s="15">
        <f t="shared" si="2"/>
        <v>1.1327777777777754</v>
      </c>
      <c r="H20" s="15">
        <f t="shared" si="3"/>
        <v>2.1544444444444437</v>
      </c>
      <c r="I20" s="42" t="s">
        <v>81</v>
      </c>
      <c r="J20" s="65">
        <f>J16+J17+J18+J19</f>
        <v>65.865555555555616</v>
      </c>
      <c r="K20" s="66"/>
      <c r="L20" s="67"/>
      <c r="M20" s="43"/>
    </row>
    <row r="21" spans="1:13" ht="20.25" x14ac:dyDescent="0.25">
      <c r="A21" s="12">
        <f t="shared" ca="1" si="0"/>
        <v>46200.133012963001</v>
      </c>
      <c r="B21" s="7" t="s">
        <v>83</v>
      </c>
      <c r="C21" s="13">
        <v>0.13300925925925899</v>
      </c>
      <c r="D21" s="13" t="s">
        <v>62</v>
      </c>
      <c r="E21" s="13">
        <v>0.21766203703703699</v>
      </c>
      <c r="F21" s="14">
        <f t="shared" si="1"/>
        <v>2.0316666666666716</v>
      </c>
      <c r="G21" s="15">
        <f t="shared" si="2"/>
        <v>0</v>
      </c>
      <c r="H21" s="15">
        <f t="shared" si="3"/>
        <v>2.0316666666666716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46202.499765393499</v>
      </c>
      <c r="B22" s="7" t="s">
        <v>64</v>
      </c>
      <c r="C22" s="13">
        <v>0.49975694444444402</v>
      </c>
      <c r="D22" s="13" t="s">
        <v>62</v>
      </c>
      <c r="E22" s="13">
        <v>0.67267361111111101</v>
      </c>
      <c r="F22" s="14">
        <f t="shared" si="1"/>
        <v>4.1500000000000075</v>
      </c>
      <c r="G22" s="15">
        <f t="shared" si="2"/>
        <v>4.1500000000000075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46202.813816550901</v>
      </c>
      <c r="B23" s="7" t="s">
        <v>69</v>
      </c>
      <c r="C23" s="13">
        <v>0.81380787037036995</v>
      </c>
      <c r="D23" s="13" t="s">
        <v>62</v>
      </c>
      <c r="E23" s="13">
        <v>0.95797453703703705</v>
      </c>
      <c r="F23" s="14">
        <f t="shared" si="1"/>
        <v>3.4600000000000106</v>
      </c>
      <c r="G23" s="15">
        <f t="shared" si="2"/>
        <v>3.4600000000000106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46203.376417245403</v>
      </c>
      <c r="B24" s="7" t="s">
        <v>64</v>
      </c>
      <c r="C24" s="13">
        <v>0.37641203703703702</v>
      </c>
      <c r="D24" s="13" t="s">
        <v>62</v>
      </c>
      <c r="E24" s="13">
        <v>0.50623842592592605</v>
      </c>
      <c r="F24" s="14">
        <f t="shared" si="1"/>
        <v>3.1158333333333368</v>
      </c>
      <c r="G24" s="15">
        <f t="shared" si="2"/>
        <v>3.1158333333333368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46203.668252430602</v>
      </c>
      <c r="B25" s="7" t="s">
        <v>69</v>
      </c>
      <c r="C25" s="13">
        <v>0.66825231481481495</v>
      </c>
      <c r="D25" s="13" t="s">
        <v>62</v>
      </c>
      <c r="E25" s="13">
        <v>0.83979166666666705</v>
      </c>
      <c r="F25" s="14">
        <f t="shared" si="1"/>
        <v>4.1169444444444503</v>
      </c>
      <c r="G25" s="15">
        <f t="shared" si="2"/>
        <v>4.1169444444444503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46182.522349652798</v>
      </c>
      <c r="B3" s="7" t="s">
        <v>61</v>
      </c>
      <c r="C3" s="13">
        <v>0.52234953703703701</v>
      </c>
      <c r="D3" s="13" t="s">
        <v>62</v>
      </c>
      <c r="E3" s="13">
        <v>0.69752314814814798</v>
      </c>
      <c r="F3" s="14">
        <f t="shared" ref="F3:F42" si="1">(IF(E3-C3&lt;0,"24:00"-C3+E3,E3-C3))*24</f>
        <v>4.2041666666666631</v>
      </c>
      <c r="G3" s="15">
        <f t="shared" ref="G3:G42" si="2">F3-H3</f>
        <v>4.2041666666666631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46182.771175000002</v>
      </c>
      <c r="B4" s="7" t="s">
        <v>61</v>
      </c>
      <c r="C4" s="13">
        <v>0.77116898148148105</v>
      </c>
      <c r="D4" s="13" t="s">
        <v>62</v>
      </c>
      <c r="E4" s="13">
        <v>0.861030092592593</v>
      </c>
      <c r="F4" s="14">
        <f t="shared" si="1"/>
        <v>2.1566666666666867</v>
      </c>
      <c r="G4" s="15">
        <f t="shared" si="2"/>
        <v>2.1566666666666867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40.371111111111134</v>
      </c>
      <c r="K4" s="25">
        <f>SUMIF(B:B,"西塔台管制席",G:G)+SUMIF(B:B,"东塔台管制席",G:G)</f>
        <v>21.487500000000022</v>
      </c>
      <c r="L4" s="25">
        <f>SUMIF(B:B,"西塔台管制席",H:H)+SUMIF(B:B,"东塔台管制席",H:H)</f>
        <v>18.883611111111115</v>
      </c>
      <c r="M4" s="21"/>
    </row>
    <row r="5" spans="1:16" ht="18.75" x14ac:dyDescent="0.25">
      <c r="A5" s="12">
        <f t="shared" ca="1" si="0"/>
        <v>46183.417684027801</v>
      </c>
      <c r="B5" s="7" t="s">
        <v>64</v>
      </c>
      <c r="C5" s="13">
        <v>0.41767361111111101</v>
      </c>
      <c r="D5" s="13" t="s">
        <v>62</v>
      </c>
      <c r="E5" s="13">
        <v>0.53748842592592605</v>
      </c>
      <c r="F5" s="14">
        <f t="shared" si="1"/>
        <v>2.875555555555561</v>
      </c>
      <c r="G5" s="15">
        <f t="shared" si="2"/>
        <v>2.875555555555561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16.950555555555574</v>
      </c>
      <c r="K5" s="25">
        <f>SUMIF(B:B,"西塔台协调席",G:G)+SUMIF(B:B,"东塔台协调席",G:G)</f>
        <v>13.332500000000017</v>
      </c>
      <c r="L5" s="25">
        <f>SUMIF(B:B,"西塔台协调席",H:H)+SUMIF(B:B,"东塔台协调席",H:H)</f>
        <v>3.6180555555555594</v>
      </c>
      <c r="M5" s="21"/>
    </row>
    <row r="6" spans="1:16" ht="18.75" x14ac:dyDescent="0.25">
      <c r="A6" s="12">
        <f t="shared" ca="1" si="0"/>
        <v>46183.647977893503</v>
      </c>
      <c r="B6" s="7" t="s">
        <v>69</v>
      </c>
      <c r="C6" s="13">
        <v>0.647974537037037</v>
      </c>
      <c r="D6" s="13" t="s">
        <v>62</v>
      </c>
      <c r="E6" s="13">
        <v>0.77856481481481499</v>
      </c>
      <c r="F6" s="14">
        <f t="shared" si="1"/>
        <v>3.1341666666666717</v>
      </c>
      <c r="G6" s="15">
        <f t="shared" si="2"/>
        <v>3.1341666666666717</v>
      </c>
      <c r="H6" s="15">
        <f t="shared" si="3"/>
        <v>0</v>
      </c>
      <c r="I6" s="23" t="s">
        <v>68</v>
      </c>
      <c r="J6" s="24">
        <f>SUMIF(B:B,"放行席",F:F)</f>
        <v>2.5311111111111124</v>
      </c>
      <c r="K6" s="25">
        <f>SUMIF(B:B,"放行席",G:G)</f>
        <v>0</v>
      </c>
      <c r="L6" s="25">
        <f>SUMIF(B:B,"放行席",H:H)</f>
        <v>2.5311111111111124</v>
      </c>
      <c r="M6" s="21"/>
    </row>
    <row r="7" spans="1:16" ht="18.75" x14ac:dyDescent="0.25">
      <c r="A7" s="12">
        <f t="shared" ca="1" si="0"/>
        <v>46183.834848842598</v>
      </c>
      <c r="B7" s="7" t="s">
        <v>64</v>
      </c>
      <c r="C7" s="13">
        <v>0.83483796296296298</v>
      </c>
      <c r="D7" s="13" t="s">
        <v>62</v>
      </c>
      <c r="E7" s="13">
        <v>0.95828703703703699</v>
      </c>
      <c r="F7" s="14">
        <f t="shared" si="1"/>
        <v>2.9627777777777764</v>
      </c>
      <c r="G7" s="15">
        <f t="shared" si="2"/>
        <v>2.9627777777777764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46184.292576157401</v>
      </c>
      <c r="B8" s="7" t="s">
        <v>69</v>
      </c>
      <c r="C8" s="13">
        <v>0.29256944444444399</v>
      </c>
      <c r="D8" s="13" t="s">
        <v>62</v>
      </c>
      <c r="E8" s="13">
        <v>0.36829861111111101</v>
      </c>
      <c r="F8" s="14">
        <f t="shared" si="1"/>
        <v>1.8175000000000083</v>
      </c>
      <c r="G8" s="15">
        <f t="shared" si="2"/>
        <v>0.83916666666667261</v>
      </c>
      <c r="H8" s="15">
        <f t="shared" si="3"/>
        <v>0.97833333333333572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46187.138672453701</v>
      </c>
      <c r="B9" s="7" t="s">
        <v>61</v>
      </c>
      <c r="C9" s="13">
        <v>0.13866898148148099</v>
      </c>
      <c r="D9" s="13" t="s">
        <v>62</v>
      </c>
      <c r="E9" s="13">
        <v>0.29951388888888902</v>
      </c>
      <c r="F9" s="14">
        <f t="shared" si="1"/>
        <v>3.8602777777777928</v>
      </c>
      <c r="G9" s="15">
        <f t="shared" si="2"/>
        <v>0</v>
      </c>
      <c r="H9" s="15">
        <f t="shared" si="3"/>
        <v>3.8602777777777928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46187.950769444396</v>
      </c>
      <c r="B10" s="7" t="s">
        <v>66</v>
      </c>
      <c r="C10" s="13">
        <v>0.95076388888888896</v>
      </c>
      <c r="D10" s="13" t="s">
        <v>62</v>
      </c>
      <c r="E10" s="13">
        <v>0.115405092592593</v>
      </c>
      <c r="F10" s="14">
        <f t="shared" si="1"/>
        <v>3.9513888888888973</v>
      </c>
      <c r="G10" s="15">
        <f t="shared" si="2"/>
        <v>1.1816666666666653</v>
      </c>
      <c r="H10" s="15">
        <f t="shared" si="3"/>
        <v>2.769722222222232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46190.951891782403</v>
      </c>
      <c r="B11" s="7" t="s">
        <v>61</v>
      </c>
      <c r="C11" s="13">
        <v>0.95188657407407395</v>
      </c>
      <c r="D11" s="13" t="s">
        <v>62</v>
      </c>
      <c r="E11" s="13">
        <v>0.14589120370370401</v>
      </c>
      <c r="F11" s="14">
        <f t="shared" si="1"/>
        <v>4.6561111111111213</v>
      </c>
      <c r="G11" s="15">
        <f t="shared" si="2"/>
        <v>1.1547222222222251</v>
      </c>
      <c r="H11" s="15">
        <f t="shared" si="3"/>
        <v>3.5013888888888962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46192.0123542824</v>
      </c>
      <c r="B12" s="7" t="s">
        <v>61</v>
      </c>
      <c r="C12" s="13">
        <v>1.2349537037036999E-2</v>
      </c>
      <c r="D12" s="13" t="s">
        <v>62</v>
      </c>
      <c r="E12" s="13">
        <v>0.14423611111111101</v>
      </c>
      <c r="F12" s="14">
        <f t="shared" si="1"/>
        <v>3.1652777777777761</v>
      </c>
      <c r="G12" s="15">
        <f t="shared" si="2"/>
        <v>0</v>
      </c>
      <c r="H12" s="15">
        <f t="shared" si="3"/>
        <v>3.1652777777777761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46194.354165856501</v>
      </c>
      <c r="B13" s="7" t="s">
        <v>61</v>
      </c>
      <c r="C13" s="13">
        <v>0.35415509259259298</v>
      </c>
      <c r="D13" s="13" t="s">
        <v>62</v>
      </c>
      <c r="E13" s="13">
        <v>0.53497685185185195</v>
      </c>
      <c r="F13" s="14">
        <f t="shared" si="1"/>
        <v>4.3397222222222158</v>
      </c>
      <c r="G13" s="15">
        <f t="shared" si="2"/>
        <v>4.3397222222222158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46194.693761342598</v>
      </c>
      <c r="B14" s="7" t="s">
        <v>66</v>
      </c>
      <c r="C14" s="13">
        <v>0.69376157407407402</v>
      </c>
      <c r="D14" s="13" t="s">
        <v>62</v>
      </c>
      <c r="E14" s="13">
        <v>0.78370370370370401</v>
      </c>
      <c r="F14" s="14">
        <f t="shared" si="1"/>
        <v>2.1586111111111199</v>
      </c>
      <c r="G14" s="15">
        <f t="shared" si="2"/>
        <v>2.1586111111111199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46194.853689351898</v>
      </c>
      <c r="B15" s="7" t="s">
        <v>61</v>
      </c>
      <c r="C15" s="13">
        <v>0.853680555555556</v>
      </c>
      <c r="D15" s="13" t="s">
        <v>62</v>
      </c>
      <c r="E15" s="13">
        <v>0.95844907407407398</v>
      </c>
      <c r="F15" s="14">
        <f t="shared" si="1"/>
        <v>2.5144444444444316</v>
      </c>
      <c r="G15" s="15">
        <f t="shared" si="2"/>
        <v>2.5144444444444316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46195.297989814797</v>
      </c>
      <c r="B16" s="7" t="s">
        <v>64</v>
      </c>
      <c r="C16" s="13">
        <v>0.29798611111111101</v>
      </c>
      <c r="D16" s="13" t="s">
        <v>62</v>
      </c>
      <c r="E16" s="13">
        <v>0.42396990740740698</v>
      </c>
      <c r="F16" s="14">
        <f t="shared" si="1"/>
        <v>3.0236111111111033</v>
      </c>
      <c r="G16" s="15">
        <f t="shared" si="2"/>
        <v>2.1752777777777759</v>
      </c>
      <c r="H16" s="15">
        <f t="shared" si="3"/>
        <v>0.84833333333332739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46195.5296071759</v>
      </c>
      <c r="B17" s="7" t="s">
        <v>69</v>
      </c>
      <c r="C17" s="13">
        <v>0.52960648148148104</v>
      </c>
      <c r="D17" s="13" t="s">
        <v>62</v>
      </c>
      <c r="E17" s="13">
        <v>0.66062500000000002</v>
      </c>
      <c r="F17" s="14">
        <f t="shared" si="1"/>
        <v>3.1444444444444555</v>
      </c>
      <c r="G17" s="15">
        <f t="shared" si="2"/>
        <v>3.1444444444444555</v>
      </c>
      <c r="H17" s="15">
        <f t="shared" si="3"/>
        <v>0</v>
      </c>
      <c r="I17" s="37" t="s">
        <v>79</v>
      </c>
      <c r="J17" s="38">
        <f>J4+J5+J6+J7+J10</f>
        <v>59.852777777777817</v>
      </c>
      <c r="K17" s="39">
        <f>K4+K5+K6+K7+K10</f>
        <v>34.820000000000036</v>
      </c>
      <c r="L17" s="40">
        <f>L4+L5+L6+L7+L10</f>
        <v>25.032777777777788</v>
      </c>
      <c r="M17" s="41"/>
    </row>
    <row r="18" spans="1:13" ht="20.25" x14ac:dyDescent="0.25">
      <c r="A18" s="12">
        <f t="shared" ca="1" si="0"/>
        <v>46195.7789774306</v>
      </c>
      <c r="B18" s="7" t="s">
        <v>64</v>
      </c>
      <c r="C18" s="13">
        <v>0.77896990740740701</v>
      </c>
      <c r="D18" s="13" t="s">
        <v>62</v>
      </c>
      <c r="E18" s="13">
        <v>0.86141203703703695</v>
      </c>
      <c r="F18" s="14">
        <f t="shared" si="1"/>
        <v>1.9786111111111184</v>
      </c>
      <c r="G18" s="15">
        <f t="shared" si="2"/>
        <v>1.9786111111111184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46199.010810763903</v>
      </c>
      <c r="B19" s="7" t="s">
        <v>61</v>
      </c>
      <c r="C19" s="13">
        <v>1.08101851851852E-2</v>
      </c>
      <c r="D19" s="13" t="s">
        <v>62</v>
      </c>
      <c r="E19" s="13">
        <v>0.14627314814814801</v>
      </c>
      <c r="F19" s="14">
        <f t="shared" si="1"/>
        <v>3.2511111111111077</v>
      </c>
      <c r="G19" s="15">
        <f t="shared" si="2"/>
        <v>0</v>
      </c>
      <c r="H19" s="15">
        <f t="shared" si="3"/>
        <v>3.2511111111111077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46200.136848958296</v>
      </c>
      <c r="B20" s="7" t="s">
        <v>69</v>
      </c>
      <c r="C20" s="13">
        <v>0.13684027777777799</v>
      </c>
      <c r="D20" s="13" t="s">
        <v>62</v>
      </c>
      <c r="E20" s="13">
        <v>0.30880787037037</v>
      </c>
      <c r="F20" s="14">
        <f t="shared" si="1"/>
        <v>4.1272222222222084</v>
      </c>
      <c r="G20" s="15">
        <f t="shared" si="2"/>
        <v>0</v>
      </c>
      <c r="H20" s="15">
        <f t="shared" si="3"/>
        <v>4.1272222222222084</v>
      </c>
      <c r="I20" s="42" t="s">
        <v>81</v>
      </c>
      <c r="J20" s="65">
        <f>J16+J17+J18+J19</f>
        <v>59.852777777777817</v>
      </c>
      <c r="K20" s="66"/>
      <c r="L20" s="67"/>
      <c r="M20" s="43"/>
    </row>
    <row r="21" spans="1:13" ht="20.25" x14ac:dyDescent="0.25">
      <c r="A21" s="12">
        <f t="shared" ca="1" si="0"/>
        <v>46203.1319357639</v>
      </c>
      <c r="B21" s="7" t="s">
        <v>83</v>
      </c>
      <c r="C21" s="13">
        <v>0.13193287037036999</v>
      </c>
      <c r="D21" s="13" t="s">
        <v>62</v>
      </c>
      <c r="E21" s="13">
        <v>0.237395833333333</v>
      </c>
      <c r="F21" s="14">
        <f t="shared" si="1"/>
        <v>2.5311111111111124</v>
      </c>
      <c r="G21" s="15">
        <f t="shared" si="2"/>
        <v>0</v>
      </c>
      <c r="H21" s="15">
        <f t="shared" si="3"/>
        <v>2.5311111111111124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46175.013940625002</v>
      </c>
      <c r="B3" s="7" t="s">
        <v>66</v>
      </c>
      <c r="C3" s="13">
        <v>1.39351851851852E-2</v>
      </c>
      <c r="D3" s="13" t="s">
        <v>62</v>
      </c>
      <c r="E3" s="13">
        <v>0.142800925925926</v>
      </c>
      <c r="F3" s="14">
        <f t="shared" ref="F3:F42" si="1">(IF(E3-C3&lt;0,"24:00"-C3+E3,E3-C3))*24</f>
        <v>3.0927777777777794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3.0927777777777794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46176.1326259259</v>
      </c>
      <c r="B4" s="7" t="s">
        <v>83</v>
      </c>
      <c r="C4" s="13">
        <v>0.13261574074074101</v>
      </c>
      <c r="D4" s="13" t="s">
        <v>62</v>
      </c>
      <c r="E4" s="13">
        <v>0.23776620370370399</v>
      </c>
      <c r="F4" s="14">
        <f t="shared" si="1"/>
        <v>2.5236111111111117</v>
      </c>
      <c r="G4" s="15">
        <f t="shared" si="2"/>
        <v>0</v>
      </c>
      <c r="H4" s="15">
        <f t="shared" si="3"/>
        <v>2.5236111111111117</v>
      </c>
      <c r="I4" s="23" t="s">
        <v>65</v>
      </c>
      <c r="J4" s="24">
        <f>SUMIF(B:B,"西塔台管制席",F:F)+SUMIF(B:B,"东塔台管制席",F:F)</f>
        <v>31.176111111111101</v>
      </c>
      <c r="K4" s="25">
        <f>SUMIF(B:B,"西塔台管制席",G:G)+SUMIF(B:B,"东塔台管制席",G:G)</f>
        <v>19.950277777777778</v>
      </c>
      <c r="L4" s="25">
        <f>SUMIF(B:B,"西塔台管制席",H:H)+SUMIF(B:B,"东塔台管制席",H:H)</f>
        <v>11.225833333333322</v>
      </c>
      <c r="M4" s="21"/>
    </row>
    <row r="5" spans="1:16" ht="18.75" x14ac:dyDescent="0.25">
      <c r="A5" s="12">
        <f t="shared" ca="1" si="0"/>
        <v>46179.137647916701</v>
      </c>
      <c r="B5" s="7" t="s">
        <v>61</v>
      </c>
      <c r="C5" s="13">
        <v>0.137638888888889</v>
      </c>
      <c r="D5" s="13" t="s">
        <v>62</v>
      </c>
      <c r="E5" s="13">
        <v>0.244166666666667</v>
      </c>
      <c r="F5" s="14">
        <f t="shared" si="1"/>
        <v>2.556666666666672</v>
      </c>
      <c r="G5" s="15">
        <f t="shared" si="2"/>
        <v>0</v>
      </c>
      <c r="H5" s="15">
        <f t="shared" si="3"/>
        <v>2.556666666666672</v>
      </c>
      <c r="I5" s="23" t="s">
        <v>67</v>
      </c>
      <c r="J5" s="24">
        <f>SUMIF(B:B,"西塔台协调席",F:F)+SUMIF(B:B,"东塔台协调席",F:F)</f>
        <v>21.44277777777776</v>
      </c>
      <c r="K5" s="25">
        <f>SUMIF(B:B,"西塔台协调席",G:G)+SUMIF(B:B,"东塔台协调席",G:G)</f>
        <v>12.068333333333356</v>
      </c>
      <c r="L5" s="25">
        <f>SUMIF(B:B,"西塔台协调席",H:H)+SUMIF(B:B,"东塔台协调席",H:H)</f>
        <v>9.3744444444444035</v>
      </c>
      <c r="M5" s="21"/>
    </row>
    <row r="6" spans="1:16" ht="18.75" x14ac:dyDescent="0.25">
      <c r="A6" s="12">
        <f t="shared" ca="1" si="0"/>
        <v>46179.244204050898</v>
      </c>
      <c r="B6" s="7" t="s">
        <v>64</v>
      </c>
      <c r="C6" s="13">
        <v>0.24420138888888901</v>
      </c>
      <c r="D6" s="13" t="s">
        <v>62</v>
      </c>
      <c r="E6" s="13">
        <v>0.30068287037037</v>
      </c>
      <c r="F6" s="14">
        <f t="shared" si="1"/>
        <v>1.3555555555555439</v>
      </c>
      <c r="G6" s="15">
        <f t="shared" si="2"/>
        <v>0</v>
      </c>
      <c r="H6" s="15">
        <f t="shared" si="3"/>
        <v>1.3555555555555439</v>
      </c>
      <c r="I6" s="23" t="s">
        <v>68</v>
      </c>
      <c r="J6" s="24">
        <f>SUMIF(B:B,"放行席",F:F)</f>
        <v>4.5908333333333271</v>
      </c>
      <c r="K6" s="25">
        <f>SUMIF(B:B,"放行席",G:G)</f>
        <v>0</v>
      </c>
      <c r="L6" s="25">
        <f>SUMIF(B:B,"放行席",H:H)</f>
        <v>4.5908333333333271</v>
      </c>
      <c r="M6" s="21"/>
    </row>
    <row r="7" spans="1:16" ht="18.75" x14ac:dyDescent="0.25">
      <c r="A7" s="12">
        <f t="shared" ca="1" si="0"/>
        <v>46179.951805555596</v>
      </c>
      <c r="B7" s="7" t="s">
        <v>69</v>
      </c>
      <c r="C7" s="13">
        <v>0.95180555555555602</v>
      </c>
      <c r="D7" s="13" t="s">
        <v>62</v>
      </c>
      <c r="E7" s="13">
        <v>0.113576388888889</v>
      </c>
      <c r="F7" s="14">
        <f t="shared" si="1"/>
        <v>3.8824999999999914</v>
      </c>
      <c r="G7" s="15">
        <f t="shared" si="2"/>
        <v>1.1566666666666552</v>
      </c>
      <c r="H7" s="15">
        <f t="shared" si="3"/>
        <v>2.7258333333333362</v>
      </c>
      <c r="I7" s="23" t="s">
        <v>70</v>
      </c>
      <c r="J7" s="24">
        <f>SUMIF(B:B,"地面席",F:F)</f>
        <v>4.2241666666666795</v>
      </c>
      <c r="K7" s="25">
        <f>SUMIF(B:B,"地面席",G:G)</f>
        <v>0</v>
      </c>
      <c r="L7" s="25">
        <f>SUMIF(B:B,"地面席",H:H)</f>
        <v>4.2241666666666795</v>
      </c>
      <c r="M7" s="21"/>
    </row>
    <row r="8" spans="1:16" ht="18.75" x14ac:dyDescent="0.25">
      <c r="A8" s="12">
        <f t="shared" ca="1" si="0"/>
        <v>46182.351594791697</v>
      </c>
      <c r="B8" s="7" t="s">
        <v>61</v>
      </c>
      <c r="C8" s="13">
        <v>0.35158564814814802</v>
      </c>
      <c r="D8" s="13" t="s">
        <v>62</v>
      </c>
      <c r="E8" s="13">
        <v>0.52939814814814801</v>
      </c>
      <c r="F8" s="14">
        <f t="shared" si="1"/>
        <v>4.2675000000000001</v>
      </c>
      <c r="G8" s="15">
        <f t="shared" si="2"/>
        <v>4.2675000000000001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46182.647550925903</v>
      </c>
      <c r="B9" s="7" t="s">
        <v>66</v>
      </c>
      <c r="C9" s="13">
        <v>0.64754629629629601</v>
      </c>
      <c r="D9" s="13" t="s">
        <v>62</v>
      </c>
      <c r="E9" s="13">
        <v>0.73574074074074103</v>
      </c>
      <c r="F9" s="14">
        <f t="shared" si="1"/>
        <v>2.1166666666666805</v>
      </c>
      <c r="G9" s="15">
        <f t="shared" si="2"/>
        <v>2.1166666666666805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46182.8555569444</v>
      </c>
      <c r="B10" s="7" t="s">
        <v>61</v>
      </c>
      <c r="C10" s="13">
        <v>0.85555555555555596</v>
      </c>
      <c r="D10" s="13" t="s">
        <v>62</v>
      </c>
      <c r="E10" s="13">
        <v>0.95780092592592603</v>
      </c>
      <c r="F10" s="14">
        <f t="shared" si="1"/>
        <v>2.4538888888888817</v>
      </c>
      <c r="G10" s="15">
        <f t="shared" si="2"/>
        <v>2.4538888888888817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46183.292801157397</v>
      </c>
      <c r="B11" s="7" t="s">
        <v>64</v>
      </c>
      <c r="C11" s="13">
        <v>0.29280092592592599</v>
      </c>
      <c r="D11" s="13" t="s">
        <v>62</v>
      </c>
      <c r="E11" s="13">
        <v>0.42406250000000001</v>
      </c>
      <c r="F11" s="14">
        <f t="shared" si="1"/>
        <v>3.1502777777777764</v>
      </c>
      <c r="G11" s="15">
        <f t="shared" si="2"/>
        <v>2.1775000000000087</v>
      </c>
      <c r="H11" s="15">
        <f t="shared" si="3"/>
        <v>0.97277777777776775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46183.520691203703</v>
      </c>
      <c r="B12" s="7" t="s">
        <v>69</v>
      </c>
      <c r="C12" s="13">
        <v>0.52068287037036998</v>
      </c>
      <c r="D12" s="13" t="s">
        <v>62</v>
      </c>
      <c r="E12" s="13">
        <v>0.65464120370370404</v>
      </c>
      <c r="F12" s="14">
        <f t="shared" si="1"/>
        <v>3.2150000000000176</v>
      </c>
      <c r="G12" s="15">
        <f t="shared" si="2"/>
        <v>3.2150000000000176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46183.771247338002</v>
      </c>
      <c r="B13" s="7" t="s">
        <v>64</v>
      </c>
      <c r="C13" s="13">
        <v>0.77123842592592595</v>
      </c>
      <c r="D13" s="13" t="s">
        <v>62</v>
      </c>
      <c r="E13" s="13">
        <v>0.84048611111111104</v>
      </c>
      <c r="F13" s="14">
        <f t="shared" si="1"/>
        <v>1.6619444444444422</v>
      </c>
      <c r="G13" s="15">
        <f t="shared" si="2"/>
        <v>1.6619444444444422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46186.015613310199</v>
      </c>
      <c r="B14" s="7" t="s">
        <v>61</v>
      </c>
      <c r="C14" s="13">
        <v>1.56134259259259E-2</v>
      </c>
      <c r="D14" s="13" t="s">
        <v>62</v>
      </c>
      <c r="E14" s="13">
        <v>0.142685185185185</v>
      </c>
      <c r="F14" s="14">
        <f t="shared" si="1"/>
        <v>3.0497222222222184</v>
      </c>
      <c r="G14" s="15">
        <f t="shared" si="2"/>
        <v>0</v>
      </c>
      <c r="H14" s="15">
        <f t="shared" si="3"/>
        <v>3.0497222222222184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46189.137973842597</v>
      </c>
      <c r="B15" s="7" t="s">
        <v>82</v>
      </c>
      <c r="C15" s="13">
        <v>0.13796296296296301</v>
      </c>
      <c r="D15" s="13" t="s">
        <v>62</v>
      </c>
      <c r="E15" s="13">
        <v>0.23023148148148201</v>
      </c>
      <c r="F15" s="14">
        <f t="shared" si="1"/>
        <v>2.2144444444444558</v>
      </c>
      <c r="G15" s="15">
        <f t="shared" si="2"/>
        <v>0</v>
      </c>
      <c r="H15" s="15">
        <f t="shared" si="3"/>
        <v>2.2144444444444558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46190.138637152799</v>
      </c>
      <c r="B16" s="7" t="s">
        <v>82</v>
      </c>
      <c r="C16" s="13">
        <v>0.13863425925925901</v>
      </c>
      <c r="D16" s="13" t="s">
        <v>62</v>
      </c>
      <c r="E16" s="13">
        <v>0.22237268518518499</v>
      </c>
      <c r="F16" s="14">
        <f t="shared" si="1"/>
        <v>2.0097222222222237</v>
      </c>
      <c r="G16" s="15">
        <f t="shared" si="2"/>
        <v>0</v>
      </c>
      <c r="H16" s="15">
        <f t="shared" si="3"/>
        <v>2.0097222222222237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46190.222402314801</v>
      </c>
      <c r="B17" s="7" t="s">
        <v>61</v>
      </c>
      <c r="C17" s="13">
        <v>0.22239583333333299</v>
      </c>
      <c r="D17" s="13" t="s">
        <v>62</v>
      </c>
      <c r="E17" s="13">
        <v>0.30521990740740701</v>
      </c>
      <c r="F17" s="14">
        <f t="shared" si="1"/>
        <v>1.9877777777777765</v>
      </c>
      <c r="G17" s="15">
        <f t="shared" si="2"/>
        <v>0</v>
      </c>
      <c r="H17" s="15">
        <f t="shared" si="3"/>
        <v>1.9877777777777765</v>
      </c>
      <c r="I17" s="37" t="s">
        <v>79</v>
      </c>
      <c r="J17" s="38">
        <f>J4+J5+J6+J7+J10</f>
        <v>61.433888888888873</v>
      </c>
      <c r="K17" s="39">
        <f>K4+K5+K6+K7+K10</f>
        <v>32.018611111111134</v>
      </c>
      <c r="L17" s="40">
        <f>L4+L5+L6+L7+L10</f>
        <v>29.415277777777735</v>
      </c>
      <c r="M17" s="41"/>
    </row>
    <row r="18" spans="1:13" ht="20.25" x14ac:dyDescent="0.25">
      <c r="A18" s="12">
        <f t="shared" ca="1" si="0"/>
        <v>46192.513414930603</v>
      </c>
      <c r="B18" s="7" t="s">
        <v>69</v>
      </c>
      <c r="C18" s="13">
        <v>0.50646990740740705</v>
      </c>
      <c r="D18" s="13" t="s">
        <v>62</v>
      </c>
      <c r="E18" s="13">
        <v>0.63063657407407403</v>
      </c>
      <c r="F18" s="14">
        <f t="shared" si="1"/>
        <v>2.9800000000000075</v>
      </c>
      <c r="G18" s="15">
        <f t="shared" si="2"/>
        <v>2.9800000000000075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46192.7717148148</v>
      </c>
      <c r="B19" s="7" t="s">
        <v>64</v>
      </c>
      <c r="C19" s="13">
        <v>0.77171296296296299</v>
      </c>
      <c r="D19" s="13" t="s">
        <v>62</v>
      </c>
      <c r="E19" s="13">
        <v>0.89626157407407403</v>
      </c>
      <c r="F19" s="14">
        <f t="shared" si="1"/>
        <v>2.989166666666665</v>
      </c>
      <c r="G19" s="15">
        <f t="shared" si="2"/>
        <v>2.989166666666665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46193.015858911996</v>
      </c>
      <c r="B20" s="7" t="s">
        <v>66</v>
      </c>
      <c r="C20" s="13">
        <v>1.5856481481481499E-2</v>
      </c>
      <c r="D20" s="13" t="s">
        <v>62</v>
      </c>
      <c r="E20" s="13">
        <v>9.53009259259259E-2</v>
      </c>
      <c r="F20" s="14">
        <f t="shared" si="1"/>
        <v>1.9066666666666656</v>
      </c>
      <c r="G20" s="15">
        <f t="shared" si="2"/>
        <v>0</v>
      </c>
      <c r="H20" s="15">
        <f t="shared" si="3"/>
        <v>1.9066666666666656</v>
      </c>
      <c r="I20" s="42" t="s">
        <v>81</v>
      </c>
      <c r="J20" s="65">
        <f>J16+J17+J18+J19</f>
        <v>61.433888888888873</v>
      </c>
      <c r="K20" s="66"/>
      <c r="L20" s="67"/>
      <c r="M20" s="43"/>
    </row>
    <row r="21" spans="1:13" ht="20.25" x14ac:dyDescent="0.25">
      <c r="A21" s="12">
        <f t="shared" ca="1" si="0"/>
        <v>46193.457874768501</v>
      </c>
      <c r="B21" s="7" t="s">
        <v>69</v>
      </c>
      <c r="C21" s="13">
        <v>0.457974537037037</v>
      </c>
      <c r="D21" s="13" t="s">
        <v>62</v>
      </c>
      <c r="E21" s="13">
        <v>0.54574074074074097</v>
      </c>
      <c r="F21" s="14">
        <f t="shared" si="1"/>
        <v>2.1063888888888953</v>
      </c>
      <c r="G21" s="15">
        <f t="shared" si="2"/>
        <v>2.1063888888888953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46193.626246527798</v>
      </c>
      <c r="B22" s="7" t="s">
        <v>64</v>
      </c>
      <c r="C22" s="13">
        <v>0.62623842592592605</v>
      </c>
      <c r="D22" s="13" t="s">
        <v>62</v>
      </c>
      <c r="E22" s="13">
        <v>0.75636574074074103</v>
      </c>
      <c r="F22" s="14">
        <f t="shared" si="1"/>
        <v>3.1230555555555597</v>
      </c>
      <c r="G22" s="15">
        <f t="shared" si="2"/>
        <v>3.1230555555555597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46193.833830439798</v>
      </c>
      <c r="B23" s="7" t="s">
        <v>69</v>
      </c>
      <c r="C23" s="13">
        <v>0.83383101851851904</v>
      </c>
      <c r="D23" s="13" t="s">
        <v>62</v>
      </c>
      <c r="E23" s="13">
        <v>0.96144675925925904</v>
      </c>
      <c r="F23" s="14">
        <f t="shared" si="1"/>
        <v>3.0627777777777601</v>
      </c>
      <c r="G23" s="15">
        <f t="shared" si="2"/>
        <v>3.0627777777777601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46194.295594560201</v>
      </c>
      <c r="B24" s="7" t="s">
        <v>61</v>
      </c>
      <c r="C24" s="13">
        <v>0.29559027777777802</v>
      </c>
      <c r="D24" s="13" t="s">
        <v>62</v>
      </c>
      <c r="E24" s="13">
        <v>0.362835648148148</v>
      </c>
      <c r="F24" s="14">
        <f t="shared" si="1"/>
        <v>1.6138888888888796</v>
      </c>
      <c r="G24" s="15">
        <f t="shared" si="2"/>
        <v>0.70805555555556055</v>
      </c>
      <c r="H24" s="15">
        <f t="shared" si="3"/>
        <v>0.90583333333331906</v>
      </c>
      <c r="I24"/>
      <c r="J24"/>
    </row>
    <row r="25" spans="1:13" ht="18.75" x14ac:dyDescent="0.15">
      <c r="A25" s="12">
        <f t="shared" ca="1" si="0"/>
        <v>46202.133582060203</v>
      </c>
      <c r="B25" s="7" t="s">
        <v>83</v>
      </c>
      <c r="C25" s="13">
        <v>0.13357638888888901</v>
      </c>
      <c r="D25" s="13" t="s">
        <v>62</v>
      </c>
      <c r="E25" s="13">
        <v>0.219710648148148</v>
      </c>
      <c r="F25" s="14">
        <f t="shared" si="1"/>
        <v>2.0672222222222159</v>
      </c>
      <c r="G25" s="15">
        <f t="shared" si="2"/>
        <v>0</v>
      </c>
      <c r="H25" s="15">
        <f t="shared" si="3"/>
        <v>2.0672222222222159</v>
      </c>
      <c r="I25"/>
      <c r="J25"/>
    </row>
    <row r="26" spans="1:13" ht="18.75" x14ac:dyDescent="0.15">
      <c r="A26" s="12">
        <f t="shared" ca="1" si="0"/>
        <v>46202.219776967599</v>
      </c>
      <c r="B26" s="7" t="s">
        <v>64</v>
      </c>
      <c r="C26" s="13">
        <v>0.219768518518519</v>
      </c>
      <c r="D26" s="13" t="s">
        <v>62</v>
      </c>
      <c r="E26" s="13">
        <v>0.30504629629629598</v>
      </c>
      <c r="F26" s="14">
        <f t="shared" si="1"/>
        <v>2.0466666666666473</v>
      </c>
      <c r="G26" s="15">
        <f t="shared" si="2"/>
        <v>0</v>
      </c>
      <c r="H26" s="15">
        <f t="shared" si="3"/>
        <v>2.0466666666666473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42"/>
  <sheetViews>
    <sheetView zoomScale="85" zoomScaleNormal="85" workbookViewId="0">
      <selection activeCell="E31" sqref="E3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46174.292489120402</v>
      </c>
      <c r="B3" s="7" t="s">
        <v>72</v>
      </c>
      <c r="C3" s="13">
        <v>0.292488425925926</v>
      </c>
      <c r="D3" s="13" t="s">
        <v>62</v>
      </c>
      <c r="E3" s="13">
        <v>0.358912037037037</v>
      </c>
      <c r="F3" s="14">
        <f t="shared" ref="F3:F42" si="1">(IF(E3-C3&lt;0,"24:00"-C3+E3,E3-C3))*24</f>
        <v>1.5941666666666641</v>
      </c>
      <c r="G3" s="15">
        <f t="shared" ref="G3:G42" si="2">F3-H3</f>
        <v>0.61388888888889648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0.98027777777776759</v>
      </c>
      <c r="I3" s="18" t="s">
        <v>63</v>
      </c>
      <c r="J3" s="19">
        <f>SUMIF(B:B,"带班主任",F:F)</f>
        <v>53.379999999999953</v>
      </c>
      <c r="K3" s="20">
        <f>SUMIF(B:B,"带班主任",G:G)</f>
        <v>30.894444444444424</v>
      </c>
      <c r="L3" s="20">
        <f>SUMIF(B:B,"带班主任",H:H)</f>
        <v>22.485555555555525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46179.9393627315</v>
      </c>
      <c r="B4" s="7" t="s">
        <v>72</v>
      </c>
      <c r="C4" s="13">
        <v>0.937962962962963</v>
      </c>
      <c r="D4" s="13" t="s">
        <v>62</v>
      </c>
      <c r="E4" s="13">
        <v>0.13413194444444401</v>
      </c>
      <c r="F4" s="14">
        <f t="shared" si="1"/>
        <v>4.7080555555555446</v>
      </c>
      <c r="G4" s="15">
        <f t="shared" si="2"/>
        <v>1.488888888888888</v>
      </c>
      <c r="H4" s="15">
        <f t="shared" si="3"/>
        <v>3.2191666666666565</v>
      </c>
      <c r="I4" s="23" t="s">
        <v>65</v>
      </c>
      <c r="J4" s="24">
        <f>SUMIF(B:B,"西塔台管制席",F:F)+SUMIF(B:B,"东塔台管制席",F:F)</f>
        <v>3.5577777777777615</v>
      </c>
      <c r="K4" s="25">
        <f>SUMIF(B:B,"西塔台管制席",G:G)+SUMIF(B:B,"东塔台管制席",G:G)</f>
        <v>2.2813888888888814</v>
      </c>
      <c r="L4" s="25">
        <f>SUMIF(B:B,"西塔台管制席",H:H)+SUMIF(B:B,"东塔台管制席",H:H)</f>
        <v>1.2763888888888801</v>
      </c>
      <c r="M4" s="21"/>
    </row>
    <row r="5" spans="1:16" ht="18.75" x14ac:dyDescent="0.25">
      <c r="A5" s="12">
        <f t="shared" ca="1" si="0"/>
        <v>46180.503680902802</v>
      </c>
      <c r="B5" s="7" t="s">
        <v>64</v>
      </c>
      <c r="C5" s="13">
        <v>0.50229166666666702</v>
      </c>
      <c r="D5" s="13" t="s">
        <v>62</v>
      </c>
      <c r="E5" s="13">
        <v>0.62997685185185204</v>
      </c>
      <c r="F5" s="14">
        <f t="shared" si="1"/>
        <v>3.0644444444444403</v>
      </c>
      <c r="G5" s="15">
        <f t="shared" si="2"/>
        <v>3.0644444444444403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14.210833333333369</v>
      </c>
      <c r="K5" s="25">
        <f>SUMIF(B:B,"西塔台协调席",G:G)+SUMIF(B:B,"东塔台协调席",G:G)</f>
        <v>6.404444444444449</v>
      </c>
      <c r="L5" s="25">
        <f>SUMIF(B:B,"西塔台协调席",H:H)+SUMIF(B:B,"东塔台协调席",H:H)</f>
        <v>7.8063888888889199</v>
      </c>
      <c r="M5" s="21"/>
    </row>
    <row r="6" spans="1:16" ht="18.75" x14ac:dyDescent="0.25">
      <c r="A6" s="12">
        <f t="shared" ca="1" si="0"/>
        <v>46180.750935416698</v>
      </c>
      <c r="B6" s="7" t="s">
        <v>61</v>
      </c>
      <c r="C6" s="13">
        <v>0.750925925925926</v>
      </c>
      <c r="D6" s="13" t="s">
        <v>62</v>
      </c>
      <c r="E6" s="13">
        <v>0.84598379629629605</v>
      </c>
      <c r="F6" s="14">
        <f t="shared" si="1"/>
        <v>2.2813888888888814</v>
      </c>
      <c r="G6" s="15">
        <f t="shared" si="2"/>
        <v>2.2813888888888814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46181.133903472197</v>
      </c>
      <c r="B7" s="7" t="s">
        <v>72</v>
      </c>
      <c r="C7" s="13">
        <v>0.13251157407407399</v>
      </c>
      <c r="D7" s="13" t="s">
        <v>62</v>
      </c>
      <c r="E7" s="13">
        <v>0.29388888888888898</v>
      </c>
      <c r="F7" s="14">
        <f t="shared" si="1"/>
        <v>3.8730555555555597</v>
      </c>
      <c r="G7" s="15">
        <f t="shared" si="2"/>
        <v>0</v>
      </c>
      <c r="H7" s="15">
        <f t="shared" si="3"/>
        <v>3.8730555555555597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46182.014984259302</v>
      </c>
      <c r="B8" s="7" t="s">
        <v>64</v>
      </c>
      <c r="C8" s="13">
        <v>1.42824074074074E-2</v>
      </c>
      <c r="D8" s="13" t="s">
        <v>62</v>
      </c>
      <c r="E8" s="13">
        <v>0.117592592592593</v>
      </c>
      <c r="F8" s="14">
        <f t="shared" si="1"/>
        <v>2.4794444444444546</v>
      </c>
      <c r="G8" s="15">
        <f t="shared" si="2"/>
        <v>0</v>
      </c>
      <c r="H8" s="15">
        <f t="shared" si="3"/>
        <v>2.4794444444444546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46182.117626504602</v>
      </c>
      <c r="B9" s="7" t="s">
        <v>61</v>
      </c>
      <c r="C9" s="13">
        <v>0.11761574074074101</v>
      </c>
      <c r="D9" s="13" t="s">
        <v>62</v>
      </c>
      <c r="E9" s="13">
        <v>0.14429398148148101</v>
      </c>
      <c r="F9" s="14">
        <f t="shared" si="1"/>
        <v>0.64027777777776007</v>
      </c>
      <c r="G9" s="15">
        <f t="shared" si="2"/>
        <v>0</v>
      </c>
      <c r="H9" s="15">
        <f t="shared" si="3"/>
        <v>0.64027777777776007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46184.564014699099</v>
      </c>
      <c r="B10" s="7" t="s">
        <v>72</v>
      </c>
      <c r="C10" s="13">
        <v>0.56261574074074105</v>
      </c>
      <c r="D10" s="13" t="s">
        <v>62</v>
      </c>
      <c r="E10" s="13">
        <v>0.67898148148148196</v>
      </c>
      <c r="F10" s="14">
        <f t="shared" si="1"/>
        <v>2.7927777777777818</v>
      </c>
      <c r="G10" s="15">
        <f t="shared" si="2"/>
        <v>2.7927777777777818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46184.713119907399</v>
      </c>
      <c r="B11" s="7" t="s">
        <v>72</v>
      </c>
      <c r="C11" s="13">
        <v>0.71172453703703698</v>
      </c>
      <c r="D11" s="13" t="s">
        <v>62</v>
      </c>
      <c r="E11" s="13">
        <v>0.75449074074074096</v>
      </c>
      <c r="F11" s="14">
        <f t="shared" si="1"/>
        <v>1.0263888888888957</v>
      </c>
      <c r="G11" s="15">
        <f t="shared" si="2"/>
        <v>1.0263888888888957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46184.876030555599</v>
      </c>
      <c r="B12" s="7" t="s">
        <v>72</v>
      </c>
      <c r="C12" s="13">
        <v>0.87533564814814802</v>
      </c>
      <c r="D12" s="13" t="s">
        <v>62</v>
      </c>
      <c r="E12" s="13">
        <v>0.94459490740740704</v>
      </c>
      <c r="F12" s="14">
        <f t="shared" si="1"/>
        <v>1.6622222222222165</v>
      </c>
      <c r="G12" s="15">
        <f t="shared" si="2"/>
        <v>1.6622222222222165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46185.334092476798</v>
      </c>
      <c r="B13" s="7" t="s">
        <v>72</v>
      </c>
      <c r="C13" s="13">
        <v>0.33339120370370401</v>
      </c>
      <c r="D13" s="13" t="s">
        <v>62</v>
      </c>
      <c r="E13" s="13">
        <v>0.41726851851851898</v>
      </c>
      <c r="F13" s="14">
        <f t="shared" si="1"/>
        <v>2.0130555555555594</v>
      </c>
      <c r="G13" s="15">
        <f t="shared" si="2"/>
        <v>2.0130555555555594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46185.417310416698</v>
      </c>
      <c r="B14" s="7" t="s">
        <v>64</v>
      </c>
      <c r="C14" s="13">
        <v>0.41730324074074099</v>
      </c>
      <c r="D14" s="13" t="s">
        <v>62</v>
      </c>
      <c r="E14" s="13">
        <v>0.50853009259259296</v>
      </c>
      <c r="F14" s="14">
        <f t="shared" si="1"/>
        <v>2.1894444444444474</v>
      </c>
      <c r="G14" s="15">
        <f t="shared" si="2"/>
        <v>2.1894444444444474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46185.939986111101</v>
      </c>
      <c r="B15" s="7" t="s">
        <v>72</v>
      </c>
      <c r="C15" s="13">
        <v>0.93789351851851899</v>
      </c>
      <c r="D15" s="13" t="s">
        <v>62</v>
      </c>
      <c r="E15" s="13">
        <v>0.136122685185185</v>
      </c>
      <c r="F15" s="14">
        <f t="shared" si="1"/>
        <v>4.7574999999999843</v>
      </c>
      <c r="G15" s="15">
        <f t="shared" si="2"/>
        <v>1.4905555555555443</v>
      </c>
      <c r="H15" s="15">
        <f t="shared" si="3"/>
        <v>3.26694444444444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46188.520128356497</v>
      </c>
      <c r="B16" s="7" t="s">
        <v>72</v>
      </c>
      <c r="C16" s="13">
        <v>0.520127314814815</v>
      </c>
      <c r="D16" s="13" t="s">
        <v>62</v>
      </c>
      <c r="E16" s="13">
        <v>0.72214120370370405</v>
      </c>
      <c r="F16" s="14">
        <f t="shared" si="1"/>
        <v>4.8483333333333372</v>
      </c>
      <c r="G16" s="15">
        <f t="shared" si="2"/>
        <v>4.8483333333333372</v>
      </c>
      <c r="H16" s="15">
        <f t="shared" si="3"/>
        <v>0</v>
      </c>
      <c r="I16" s="37" t="s">
        <v>63</v>
      </c>
      <c r="J16" s="38">
        <f t="shared" ref="J16:L16" si="4">J3</f>
        <v>53.379999999999953</v>
      </c>
      <c r="K16" s="39">
        <f t="shared" si="4"/>
        <v>30.894444444444424</v>
      </c>
      <c r="L16" s="40">
        <f t="shared" si="4"/>
        <v>22.485555555555525</v>
      </c>
      <c r="M16" s="41"/>
    </row>
    <row r="17" spans="1:13" ht="20.25" x14ac:dyDescent="0.25">
      <c r="A17" s="12">
        <f t="shared" ca="1" si="0"/>
        <v>46188.740774884303</v>
      </c>
      <c r="B17" s="7" t="s">
        <v>72</v>
      </c>
      <c r="C17" s="13">
        <v>0.74077546296296304</v>
      </c>
      <c r="D17" s="13" t="s">
        <v>62</v>
      </c>
      <c r="E17" s="13">
        <v>0.77127314814814796</v>
      </c>
      <c r="F17" s="14">
        <f t="shared" si="1"/>
        <v>0.73194444444443807</v>
      </c>
      <c r="G17" s="15">
        <f t="shared" si="2"/>
        <v>0.73194444444443807</v>
      </c>
      <c r="H17" s="15">
        <f t="shared" si="3"/>
        <v>0</v>
      </c>
      <c r="I17" s="37" t="s">
        <v>79</v>
      </c>
      <c r="J17" s="38">
        <f>J4+J5+J6+J7+J10</f>
        <v>17.768611111111131</v>
      </c>
      <c r="K17" s="39">
        <f>K4+K5+K6+K7+K10</f>
        <v>8.6858333333333313</v>
      </c>
      <c r="L17" s="40">
        <f>L4+L5+L6+L7+L10</f>
        <v>9.0827777777777996</v>
      </c>
      <c r="M17" s="41"/>
    </row>
    <row r="18" spans="1:13" ht="20.25" x14ac:dyDescent="0.25">
      <c r="A18" s="12">
        <f t="shared" ca="1" si="0"/>
        <v>46193.133113425902</v>
      </c>
      <c r="B18" s="7" t="s">
        <v>72</v>
      </c>
      <c r="C18" s="13">
        <v>0.13241898148148101</v>
      </c>
      <c r="D18" s="13" t="s">
        <v>62</v>
      </c>
      <c r="E18" s="13">
        <v>0.26790509259259299</v>
      </c>
      <c r="F18" s="14">
        <f t="shared" si="1"/>
        <v>3.2516666666666874</v>
      </c>
      <c r="G18" s="15">
        <f t="shared" si="2"/>
        <v>0</v>
      </c>
      <c r="H18" s="15">
        <f t="shared" si="3"/>
        <v>3.2516666666666874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46193.280867129601</v>
      </c>
      <c r="B19" s="7" t="s">
        <v>72</v>
      </c>
      <c r="C19" s="13">
        <v>0.27946759259259302</v>
      </c>
      <c r="D19" s="13" t="s">
        <v>62</v>
      </c>
      <c r="E19" s="13">
        <v>0.295833333333333</v>
      </c>
      <c r="F19" s="14">
        <f t="shared" si="1"/>
        <v>0.39277777777775968</v>
      </c>
      <c r="G19" s="15">
        <f t="shared" si="2"/>
        <v>0</v>
      </c>
      <c r="H19" s="15">
        <f t="shared" si="3"/>
        <v>0.39277777777775968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46193.939626041698</v>
      </c>
      <c r="B20" s="7" t="s">
        <v>72</v>
      </c>
      <c r="C20" s="13">
        <v>0.93753472222222201</v>
      </c>
      <c r="D20" s="13" t="s">
        <v>62</v>
      </c>
      <c r="E20" s="13">
        <v>0.13387731481481499</v>
      </c>
      <c r="F20" s="14">
        <f t="shared" si="1"/>
        <v>4.7122222222222314</v>
      </c>
      <c r="G20" s="15">
        <f t="shared" si="2"/>
        <v>1.4991666666666719</v>
      </c>
      <c r="H20" s="15">
        <f t="shared" si="3"/>
        <v>3.2130555555555596</v>
      </c>
      <c r="I20" s="42" t="s">
        <v>81</v>
      </c>
      <c r="J20" s="65">
        <f>J16+J17+J18+J19</f>
        <v>71.14861111111108</v>
      </c>
      <c r="K20" s="66"/>
      <c r="L20" s="67"/>
      <c r="M20" s="43"/>
    </row>
    <row r="21" spans="1:13" ht="20.25" x14ac:dyDescent="0.25">
      <c r="A21" s="12">
        <f t="shared" ca="1" si="0"/>
        <v>46196.953453588001</v>
      </c>
      <c r="B21" s="7" t="s">
        <v>64</v>
      </c>
      <c r="C21" s="13">
        <v>0.95206018518518498</v>
      </c>
      <c r="D21" s="13" t="s">
        <v>62</v>
      </c>
      <c r="E21" s="13">
        <v>0.118368055555556</v>
      </c>
      <c r="F21" s="14">
        <f t="shared" si="1"/>
        <v>3.9913888888889049</v>
      </c>
      <c r="G21" s="15">
        <f t="shared" si="2"/>
        <v>1.1505555555555609</v>
      </c>
      <c r="H21" s="15">
        <f t="shared" si="3"/>
        <v>2.840833333333344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46198.015171296298</v>
      </c>
      <c r="B22" s="7" t="s">
        <v>66</v>
      </c>
      <c r="C22" s="13">
        <v>1.44675925925926E-2</v>
      </c>
      <c r="D22" s="13" t="s">
        <v>62</v>
      </c>
      <c r="E22" s="13">
        <v>0.118055555555556</v>
      </c>
      <c r="F22" s="14">
        <f t="shared" si="1"/>
        <v>2.4861111111111214</v>
      </c>
      <c r="G22" s="15">
        <f t="shared" si="2"/>
        <v>0</v>
      </c>
      <c r="H22" s="15">
        <f t="shared" si="3"/>
        <v>2.4861111111111214</v>
      </c>
      <c r="I22"/>
      <c r="J22"/>
    </row>
    <row r="23" spans="1:13" ht="18.75" x14ac:dyDescent="0.15">
      <c r="A23" s="12">
        <f t="shared" ca="1" si="0"/>
        <v>46198.145515393502</v>
      </c>
      <c r="B23" s="7" t="s">
        <v>61</v>
      </c>
      <c r="C23" s="13">
        <v>0.118425925925926</v>
      </c>
      <c r="D23" s="13" t="s">
        <v>62</v>
      </c>
      <c r="E23" s="13">
        <v>0.14493055555555601</v>
      </c>
      <c r="F23" s="14">
        <f t="shared" si="1"/>
        <v>0.63611111111112006</v>
      </c>
      <c r="G23" s="15">
        <f t="shared" si="2"/>
        <v>0</v>
      </c>
      <c r="H23" s="15">
        <f t="shared" si="3"/>
        <v>0.63611111111112006</v>
      </c>
      <c r="I23"/>
      <c r="J23"/>
    </row>
    <row r="24" spans="1:13" ht="18.75" x14ac:dyDescent="0.15">
      <c r="A24" s="12">
        <f t="shared" ca="1" si="0"/>
        <v>46200.357589814797</v>
      </c>
      <c r="B24" s="7" t="s">
        <v>72</v>
      </c>
      <c r="C24" s="13">
        <v>0.35619212962962998</v>
      </c>
      <c r="D24" s="13" t="s">
        <v>62</v>
      </c>
      <c r="E24" s="13">
        <v>0.52480324074074103</v>
      </c>
      <c r="F24" s="14">
        <f t="shared" si="1"/>
        <v>4.0466666666666651</v>
      </c>
      <c r="G24" s="15">
        <f t="shared" si="2"/>
        <v>4.0466666666666651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46200.647088078702</v>
      </c>
      <c r="B25" s="7" t="s">
        <v>72</v>
      </c>
      <c r="C25" s="13">
        <v>0.64638888888888901</v>
      </c>
      <c r="D25" s="13" t="s">
        <v>62</v>
      </c>
      <c r="E25" s="13">
        <v>0.74</v>
      </c>
      <c r="F25" s="14">
        <f t="shared" si="1"/>
        <v>2.2466666666666635</v>
      </c>
      <c r="G25" s="15">
        <f t="shared" si="2"/>
        <v>2.2466666666666635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46200.759198263899</v>
      </c>
      <c r="B26" s="7" t="s">
        <v>72</v>
      </c>
      <c r="C26" s="13">
        <v>0.75780092592592596</v>
      </c>
      <c r="D26" s="13" t="s">
        <v>62</v>
      </c>
      <c r="E26" s="13">
        <v>0.775358796296296</v>
      </c>
      <c r="F26" s="14">
        <f t="shared" si="1"/>
        <v>0.42138888888888104</v>
      </c>
      <c r="G26" s="15">
        <f t="shared" si="2"/>
        <v>0.42138888888888104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46201.293204861096</v>
      </c>
      <c r="B27" s="7" t="s">
        <v>72</v>
      </c>
      <c r="C27" s="13">
        <v>0.29180555555555598</v>
      </c>
      <c r="D27" s="13" t="s">
        <v>62</v>
      </c>
      <c r="E27" s="13">
        <v>0.50898148148148104</v>
      </c>
      <c r="F27" s="14">
        <f t="shared" si="1"/>
        <v>5.2122222222222012</v>
      </c>
      <c r="G27" s="15">
        <f t="shared" si="2"/>
        <v>4.2155555555555537</v>
      </c>
      <c r="H27" s="15">
        <f t="shared" si="3"/>
        <v>0.99666666666664794</v>
      </c>
      <c r="I27"/>
      <c r="J27"/>
    </row>
    <row r="28" spans="1:13" ht="18.75" x14ac:dyDescent="0.15">
      <c r="A28" s="12">
        <f t="shared" ca="1" si="0"/>
        <v>46201.527467245403</v>
      </c>
      <c r="B28" s="7" t="s">
        <v>72</v>
      </c>
      <c r="C28" s="13">
        <v>0.52607638888888897</v>
      </c>
      <c r="D28" s="13" t="s">
        <v>62</v>
      </c>
      <c r="E28" s="13">
        <v>0.53858796296296296</v>
      </c>
      <c r="F28" s="14">
        <f t="shared" si="1"/>
        <v>0.30027777777777587</v>
      </c>
      <c r="G28" s="15">
        <f t="shared" si="2"/>
        <v>0.30027777777777587</v>
      </c>
      <c r="H28" s="15">
        <f t="shared" si="3"/>
        <v>0</v>
      </c>
      <c r="I28"/>
      <c r="J28"/>
    </row>
    <row r="29" spans="1:13" ht="18.75" x14ac:dyDescent="0.15">
      <c r="A29" s="12">
        <f t="shared" ca="1" si="0"/>
        <v>46201.939721875002</v>
      </c>
      <c r="B29" s="7" t="s">
        <v>72</v>
      </c>
      <c r="C29" s="13">
        <v>0.93763888888888902</v>
      </c>
      <c r="D29" s="13" t="s">
        <v>62</v>
      </c>
      <c r="E29" s="13">
        <v>0.137164351851852</v>
      </c>
      <c r="F29" s="14">
        <f t="shared" si="1"/>
        <v>4.7886111111111109</v>
      </c>
      <c r="G29" s="15">
        <f t="shared" si="2"/>
        <v>1.496666666666663</v>
      </c>
      <c r="H29" s="15">
        <f t="shared" si="3"/>
        <v>3.2919444444444479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46174.015120717602</v>
      </c>
      <c r="B3" s="7" t="s">
        <v>72</v>
      </c>
      <c r="C3" s="13">
        <v>0</v>
      </c>
      <c r="D3" s="13" t="s">
        <v>62</v>
      </c>
      <c r="E3" s="13">
        <v>0.13717592592592601</v>
      </c>
      <c r="F3" s="14">
        <f t="shared" ref="F3:F42" si="1">(IF(E3-C3&lt;0,"24:00"-C3+E3,E3-C3))*24</f>
        <v>3.2922222222222244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3.2922222222222244</v>
      </c>
      <c r="I3" s="18" t="s">
        <v>63</v>
      </c>
      <c r="J3" s="19">
        <f>SUMIF(B:B,"带班主任",F:F)</f>
        <v>85.376111111111157</v>
      </c>
      <c r="K3" s="20">
        <f>SUMIF(B:B,"带班主任",G:G)</f>
        <v>58.42222222222226</v>
      </c>
      <c r="L3" s="20">
        <f>SUMIF(B:B,"带班主任",H:H)</f>
        <v>26.953888888888898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46176.540305555602</v>
      </c>
      <c r="B4" s="7" t="s">
        <v>72</v>
      </c>
      <c r="C4" s="13">
        <v>0.54030092592592605</v>
      </c>
      <c r="D4" s="13" t="s">
        <v>62</v>
      </c>
      <c r="E4" s="13">
        <v>0.79915509259259299</v>
      </c>
      <c r="F4" s="14">
        <f t="shared" si="1"/>
        <v>6.2125000000000066</v>
      </c>
      <c r="G4" s="15">
        <f t="shared" si="2"/>
        <v>6.2125000000000066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2.1808333333333199</v>
      </c>
      <c r="K4" s="25">
        <f>SUMIF(B:B,"西塔台管制席",G:G)+SUMIF(B:B,"东塔台管制席",G:G)</f>
        <v>0</v>
      </c>
      <c r="L4" s="25">
        <f>SUMIF(B:B,"西塔台管制席",H:H)+SUMIF(B:B,"东塔台管制席",H:H)</f>
        <v>2.1808333333333199</v>
      </c>
      <c r="M4" s="21"/>
    </row>
    <row r="5" spans="1:16" ht="18.75" x14ac:dyDescent="0.25">
      <c r="A5" s="12">
        <f t="shared" ca="1" si="0"/>
        <v>46176.9580615741</v>
      </c>
      <c r="B5" s="7" t="s">
        <v>72</v>
      </c>
      <c r="C5" s="13">
        <v>0.95805555555555599</v>
      </c>
      <c r="D5" s="13" t="s">
        <v>62</v>
      </c>
      <c r="E5" s="13">
        <v>0.118171296296296</v>
      </c>
      <c r="F5" s="14">
        <f t="shared" si="1"/>
        <v>3.8427777777777603</v>
      </c>
      <c r="G5" s="15">
        <f t="shared" si="2"/>
        <v>1.0066666666666562</v>
      </c>
      <c r="H5" s="15">
        <f t="shared" si="3"/>
        <v>2.8361111111111041</v>
      </c>
      <c r="I5" s="23" t="s">
        <v>67</v>
      </c>
      <c r="J5" s="24">
        <f>SUMIF(B:B,"西塔台协调席",F:F)+SUMIF(B:B,"东塔台协调席",F:F)</f>
        <v>1.5205555555555437</v>
      </c>
      <c r="K5" s="25">
        <f>SUMIF(B:B,"西塔台协调席",G:G)+SUMIF(B:B,"东塔台协调席",G:G)</f>
        <v>1.5205555555555437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46177.541321990699</v>
      </c>
      <c r="B6" s="7" t="s">
        <v>72</v>
      </c>
      <c r="C6" s="13">
        <v>0.54131944444444402</v>
      </c>
      <c r="D6" s="13" t="s">
        <v>62</v>
      </c>
      <c r="E6" s="13">
        <v>0.79503472222222205</v>
      </c>
      <c r="F6" s="14">
        <f t="shared" si="1"/>
        <v>6.0891666666666726</v>
      </c>
      <c r="G6" s="15">
        <f t="shared" si="2"/>
        <v>6.0891666666666726</v>
      </c>
      <c r="H6" s="15">
        <f t="shared" si="3"/>
        <v>0</v>
      </c>
      <c r="I6" s="23" t="s">
        <v>68</v>
      </c>
      <c r="J6" s="24">
        <f>SUMIF(B:B,"放行席",F:F)</f>
        <v>2.1786111111111124</v>
      </c>
      <c r="K6" s="25">
        <f>SUMIF(B:B,"放行席",G:G)</f>
        <v>0</v>
      </c>
      <c r="L6" s="25">
        <f>SUMIF(B:B,"放行席",H:H)</f>
        <v>2.1786111111111124</v>
      </c>
      <c r="M6" s="21"/>
    </row>
    <row r="7" spans="1:16" ht="18.75" x14ac:dyDescent="0.25">
      <c r="A7" s="12">
        <f t="shared" ca="1" si="0"/>
        <v>46180.356248032404</v>
      </c>
      <c r="B7" s="7" t="s">
        <v>72</v>
      </c>
      <c r="C7" s="13">
        <v>0.35623842592592603</v>
      </c>
      <c r="D7" s="13" t="s">
        <v>62</v>
      </c>
      <c r="E7" s="13">
        <v>0.54531249999999998</v>
      </c>
      <c r="F7" s="14">
        <f t="shared" si="1"/>
        <v>4.5377777777777748</v>
      </c>
      <c r="G7" s="15">
        <f t="shared" si="2"/>
        <v>4.5377777777777748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46180.793455555598</v>
      </c>
      <c r="B8" s="7" t="s">
        <v>72</v>
      </c>
      <c r="C8" s="13">
        <v>0.79344907407407395</v>
      </c>
      <c r="D8" s="13" t="s">
        <v>62</v>
      </c>
      <c r="E8" s="13">
        <v>0.94328703703703698</v>
      </c>
      <c r="F8" s="14">
        <f t="shared" si="1"/>
        <v>3.5961111111111128</v>
      </c>
      <c r="G8" s="15">
        <f t="shared" si="2"/>
        <v>3.5961111111111128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46181.291452777798</v>
      </c>
      <c r="B9" s="7" t="s">
        <v>72</v>
      </c>
      <c r="C9" s="13">
        <v>0.291446759259259</v>
      </c>
      <c r="D9" s="13" t="s">
        <v>62</v>
      </c>
      <c r="E9" s="13">
        <v>0.424837962962963</v>
      </c>
      <c r="F9" s="14">
        <f t="shared" si="1"/>
        <v>3.2013888888888959</v>
      </c>
      <c r="G9" s="15">
        <f t="shared" si="2"/>
        <v>2.1961111111111205</v>
      </c>
      <c r="H9" s="15">
        <f t="shared" si="3"/>
        <v>1.0052777777777755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46181.488271643502</v>
      </c>
      <c r="B10" s="7" t="s">
        <v>64</v>
      </c>
      <c r="C10" s="13">
        <v>0.425104166666667</v>
      </c>
      <c r="D10" s="13" t="s">
        <v>62</v>
      </c>
      <c r="E10" s="13">
        <v>0.48846064814814799</v>
      </c>
      <c r="F10" s="14">
        <f t="shared" si="1"/>
        <v>1.5205555555555437</v>
      </c>
      <c r="G10" s="15">
        <f t="shared" si="2"/>
        <v>1.5205555555555437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46181.599467939799</v>
      </c>
      <c r="B11" s="7" t="s">
        <v>72</v>
      </c>
      <c r="C11" s="13">
        <v>0.58349537037037003</v>
      </c>
      <c r="D11" s="13" t="s">
        <v>62</v>
      </c>
      <c r="E11" s="13">
        <v>0.73605324074074097</v>
      </c>
      <c r="F11" s="14">
        <f t="shared" si="1"/>
        <v>3.6613888888889026</v>
      </c>
      <c r="G11" s="15">
        <f t="shared" si="2"/>
        <v>3.6613888888889026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46182.291118981499</v>
      </c>
      <c r="B12" s="7" t="s">
        <v>72</v>
      </c>
      <c r="C12" s="13">
        <v>0.29111111111111099</v>
      </c>
      <c r="D12" s="13" t="s">
        <v>62</v>
      </c>
      <c r="E12" s="13">
        <v>0.36056712962963</v>
      </c>
      <c r="F12" s="14">
        <f t="shared" si="1"/>
        <v>1.6669444444444563</v>
      </c>
      <c r="G12" s="15">
        <f t="shared" si="2"/>
        <v>0.65361111111112846</v>
      </c>
      <c r="H12" s="15">
        <f t="shared" si="3"/>
        <v>1.0133333333333279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46185.1379578704</v>
      </c>
      <c r="B13" s="7" t="s">
        <v>61</v>
      </c>
      <c r="C13" s="13">
        <v>0.137951388888889</v>
      </c>
      <c r="D13" s="13" t="s">
        <v>62</v>
      </c>
      <c r="E13" s="13">
        <v>0.22881944444444399</v>
      </c>
      <c r="F13" s="14">
        <f t="shared" si="1"/>
        <v>2.1808333333333199</v>
      </c>
      <c r="G13" s="15">
        <f t="shared" si="2"/>
        <v>0</v>
      </c>
      <c r="H13" s="15">
        <f t="shared" si="3"/>
        <v>2.1808333333333199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46186.131064351903</v>
      </c>
      <c r="B14" s="7" t="s">
        <v>83</v>
      </c>
      <c r="C14" s="13">
        <v>0.13106481481481499</v>
      </c>
      <c r="D14" s="13" t="s">
        <v>62</v>
      </c>
      <c r="E14" s="13">
        <v>0.22184027777777801</v>
      </c>
      <c r="F14" s="14">
        <f t="shared" si="1"/>
        <v>2.1786111111111124</v>
      </c>
      <c r="G14" s="15">
        <f t="shared" si="2"/>
        <v>0</v>
      </c>
      <c r="H14" s="15">
        <f t="shared" si="3"/>
        <v>2.1786111111111124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46188.938442708299</v>
      </c>
      <c r="B15" s="7" t="s">
        <v>72</v>
      </c>
      <c r="C15" s="13">
        <v>0.93843750000000004</v>
      </c>
      <c r="D15" s="13" t="s">
        <v>62</v>
      </c>
      <c r="E15" s="13">
        <v>0.13905092592592599</v>
      </c>
      <c r="F15" s="14">
        <f t="shared" si="1"/>
        <v>4.8147222222222226</v>
      </c>
      <c r="G15" s="15">
        <f t="shared" si="2"/>
        <v>1.4774999999999987</v>
      </c>
      <c r="H15" s="15">
        <f t="shared" si="3"/>
        <v>3.3372222222222239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46189.541893634298</v>
      </c>
      <c r="B16" s="7" t="s">
        <v>72</v>
      </c>
      <c r="C16" s="13">
        <v>0.54188657407407403</v>
      </c>
      <c r="D16" s="13" t="s">
        <v>62</v>
      </c>
      <c r="E16" s="13">
        <v>0.64409722222222199</v>
      </c>
      <c r="F16" s="14">
        <f t="shared" si="1"/>
        <v>2.4530555555555509</v>
      </c>
      <c r="G16" s="15">
        <f t="shared" si="2"/>
        <v>2.4530555555555509</v>
      </c>
      <c r="H16" s="15">
        <f t="shared" si="3"/>
        <v>0</v>
      </c>
      <c r="I16" s="37" t="s">
        <v>63</v>
      </c>
      <c r="J16" s="38">
        <f t="shared" ref="J16:L16" si="4">J3</f>
        <v>85.376111111111157</v>
      </c>
      <c r="K16" s="39">
        <f t="shared" si="4"/>
        <v>58.42222222222226</v>
      </c>
      <c r="L16" s="40">
        <f t="shared" si="4"/>
        <v>26.953888888888898</v>
      </c>
      <c r="M16" s="41"/>
    </row>
    <row r="17" spans="1:13" ht="20.25" x14ac:dyDescent="0.25">
      <c r="A17" s="12">
        <f t="shared" ca="1" si="0"/>
        <v>46189.656080786997</v>
      </c>
      <c r="B17" s="7" t="s">
        <v>72</v>
      </c>
      <c r="C17" s="13">
        <v>0.65607638888888897</v>
      </c>
      <c r="D17" s="13" t="s">
        <v>62</v>
      </c>
      <c r="E17" s="13">
        <v>0.77930555555555603</v>
      </c>
      <c r="F17" s="14">
        <f t="shared" si="1"/>
        <v>2.9575000000000093</v>
      </c>
      <c r="G17" s="15">
        <f t="shared" si="2"/>
        <v>2.9575000000000093</v>
      </c>
      <c r="H17" s="15">
        <f t="shared" si="3"/>
        <v>0</v>
      </c>
      <c r="I17" s="37" t="s">
        <v>79</v>
      </c>
      <c r="J17" s="38">
        <f>J4+J5+J6+J7+J10</f>
        <v>5.8799999999999759</v>
      </c>
      <c r="K17" s="39">
        <f>K4+K5+K6+K7+K10</f>
        <v>1.5205555555555437</v>
      </c>
      <c r="L17" s="40">
        <f>L4+L5+L6+L7+L10</f>
        <v>4.3594444444444322</v>
      </c>
      <c r="M17" s="41"/>
    </row>
    <row r="18" spans="1:13" ht="20.25" x14ac:dyDescent="0.25">
      <c r="A18" s="12">
        <f t="shared" ca="1" si="0"/>
        <v>46190.132115509303</v>
      </c>
      <c r="B18" s="7" t="s">
        <v>72</v>
      </c>
      <c r="C18" s="13">
        <v>0.13210648148148099</v>
      </c>
      <c r="D18" s="13" t="s">
        <v>62</v>
      </c>
      <c r="E18" s="13">
        <v>0.29781249999999998</v>
      </c>
      <c r="F18" s="14">
        <f t="shared" si="1"/>
        <v>3.9769444444444559</v>
      </c>
      <c r="G18" s="15">
        <f t="shared" si="2"/>
        <v>0</v>
      </c>
      <c r="H18" s="15">
        <f t="shared" si="3"/>
        <v>3.9769444444444559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46192.937902546299</v>
      </c>
      <c r="B19" s="7" t="s">
        <v>72</v>
      </c>
      <c r="C19" s="13">
        <v>0.93789351851851899</v>
      </c>
      <c r="D19" s="13" t="s">
        <v>62</v>
      </c>
      <c r="E19" s="13">
        <v>0.13692129629629601</v>
      </c>
      <c r="F19" s="14">
        <f t="shared" si="1"/>
        <v>4.7766666666666486</v>
      </c>
      <c r="G19" s="15">
        <f t="shared" si="2"/>
        <v>1.4905555555555443</v>
      </c>
      <c r="H19" s="15">
        <f t="shared" si="3"/>
        <v>3.2861111111111043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46194.131178472198</v>
      </c>
      <c r="B20" s="7" t="s">
        <v>72</v>
      </c>
      <c r="C20" s="13">
        <v>0.13116898148148101</v>
      </c>
      <c r="D20" s="13" t="s">
        <v>62</v>
      </c>
      <c r="E20" s="13">
        <v>0.29625000000000001</v>
      </c>
      <c r="F20" s="14">
        <f t="shared" si="1"/>
        <v>3.9619444444444563</v>
      </c>
      <c r="G20" s="15">
        <f t="shared" si="2"/>
        <v>0</v>
      </c>
      <c r="H20" s="15">
        <f t="shared" si="3"/>
        <v>3.9619444444444563</v>
      </c>
      <c r="I20" s="42" t="s">
        <v>81</v>
      </c>
      <c r="J20" s="65">
        <f>J16+J17+J18+J19</f>
        <v>91.256111111111139</v>
      </c>
      <c r="K20" s="66"/>
      <c r="L20" s="67"/>
      <c r="M20" s="43"/>
    </row>
    <row r="21" spans="1:13" ht="20.25" x14ac:dyDescent="0.25">
      <c r="A21" s="12">
        <f t="shared" ca="1" si="0"/>
        <v>46196.3549510417</v>
      </c>
      <c r="B21" s="7" t="s">
        <v>72</v>
      </c>
      <c r="C21" s="13">
        <v>0.35494212962963001</v>
      </c>
      <c r="D21" s="13" t="s">
        <v>62</v>
      </c>
      <c r="E21" s="13">
        <v>0.54223379629629598</v>
      </c>
      <c r="F21" s="14">
        <f t="shared" si="1"/>
        <v>4.4949999999999832</v>
      </c>
      <c r="G21" s="15">
        <f t="shared" si="2"/>
        <v>4.4949999999999832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46196.771840856498</v>
      </c>
      <c r="B22" s="7" t="s">
        <v>72</v>
      </c>
      <c r="C22" s="13">
        <v>0.77184027777777797</v>
      </c>
      <c r="D22" s="13" t="s">
        <v>62</v>
      </c>
      <c r="E22" s="13">
        <v>0.86846064814814805</v>
      </c>
      <c r="F22" s="14">
        <f t="shared" si="1"/>
        <v>2.3188888888888819</v>
      </c>
      <c r="G22" s="15">
        <f t="shared" si="2"/>
        <v>2.3188888888888819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46196.880082870397</v>
      </c>
      <c r="B23" s="7" t="s">
        <v>72</v>
      </c>
      <c r="C23" s="13">
        <v>0.88008101851851805</v>
      </c>
      <c r="D23" s="13" t="s">
        <v>62</v>
      </c>
      <c r="E23" s="13">
        <v>0.94684027777777802</v>
      </c>
      <c r="F23" s="14">
        <f t="shared" si="1"/>
        <v>1.6022222222222391</v>
      </c>
      <c r="G23" s="15">
        <f t="shared" si="2"/>
        <v>1.6022222222222391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46197.294378935199</v>
      </c>
      <c r="B24" s="7" t="s">
        <v>72</v>
      </c>
      <c r="C24" s="13">
        <v>0.294375</v>
      </c>
      <c r="D24" s="13" t="s">
        <v>62</v>
      </c>
      <c r="E24" s="13">
        <v>0.54160879629629599</v>
      </c>
      <c r="F24" s="14">
        <f t="shared" si="1"/>
        <v>5.9336111111111034</v>
      </c>
      <c r="G24" s="15">
        <f t="shared" si="2"/>
        <v>4.9986111111111118</v>
      </c>
      <c r="H24" s="15">
        <f t="shared" si="3"/>
        <v>0.93499999999999162</v>
      </c>
      <c r="I24"/>
      <c r="J24"/>
    </row>
    <row r="25" spans="1:13" ht="18.75" x14ac:dyDescent="0.15">
      <c r="A25" s="12">
        <f t="shared" ca="1" si="0"/>
        <v>46197.939406134297</v>
      </c>
      <c r="B25" s="7" t="s">
        <v>72</v>
      </c>
      <c r="C25" s="13">
        <v>0.93939814814814804</v>
      </c>
      <c r="D25" s="13" t="s">
        <v>62</v>
      </c>
      <c r="E25" s="13">
        <v>0.13790509259259301</v>
      </c>
      <c r="F25" s="14">
        <f t="shared" si="1"/>
        <v>4.7641666666666795</v>
      </c>
      <c r="G25" s="15">
        <f t="shared" si="2"/>
        <v>1.4544444444444471</v>
      </c>
      <c r="H25" s="15">
        <f t="shared" si="3"/>
        <v>3.3097222222222324</v>
      </c>
      <c r="I25"/>
      <c r="J25"/>
    </row>
    <row r="26" spans="1:13" ht="18.75" x14ac:dyDescent="0.15">
      <c r="A26" s="12">
        <f t="shared" ca="1" si="0"/>
        <v>46200.522188310199</v>
      </c>
      <c r="B26" s="7" t="s">
        <v>72</v>
      </c>
      <c r="C26" s="13">
        <v>0.52218750000000003</v>
      </c>
      <c r="D26" s="13" t="s">
        <v>62</v>
      </c>
      <c r="E26" s="13">
        <v>0.65104166666666696</v>
      </c>
      <c r="F26" s="14">
        <f t="shared" si="1"/>
        <v>3.0925000000000065</v>
      </c>
      <c r="G26" s="15">
        <f t="shared" si="2"/>
        <v>3.0925000000000065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46200.772401273098</v>
      </c>
      <c r="B27" s="7" t="s">
        <v>72</v>
      </c>
      <c r="C27" s="13">
        <v>0.77239583333333295</v>
      </c>
      <c r="D27" s="13" t="s">
        <v>62</v>
      </c>
      <c r="E27" s="13">
        <v>0.94442129629629601</v>
      </c>
      <c r="F27" s="14">
        <f t="shared" si="1"/>
        <v>4.1286111111111135</v>
      </c>
      <c r="G27" s="15">
        <f t="shared" si="2"/>
        <v>4.1286111111111135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46174.9353283565</v>
      </c>
      <c r="B3" s="7" t="s">
        <v>72</v>
      </c>
      <c r="C3" s="13">
        <v>0.93532407407407403</v>
      </c>
      <c r="D3" s="13" t="s">
        <v>62</v>
      </c>
      <c r="E3" s="13">
        <v>0.13488425925925901</v>
      </c>
      <c r="F3" s="14">
        <f t="shared" ref="F3:F42" si="1">(IF(E3-C3&lt;0,"24:00"-C3+E3,E3-C3))*24</f>
        <v>4.78944444444444</v>
      </c>
      <c r="G3" s="15">
        <f t="shared" ref="G3:G42" si="2">F3-H3</f>
        <v>1.5522222222222237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3.2372222222222162</v>
      </c>
      <c r="I3" s="18" t="s">
        <v>63</v>
      </c>
      <c r="J3" s="19">
        <f>SUMIF(B:B,"带班主任",F:F)</f>
        <v>91.46027777777779</v>
      </c>
      <c r="K3" s="20">
        <f>SUMIF(B:B,"带班主任",G:G)</f>
        <v>55.070277777777846</v>
      </c>
      <c r="L3" s="20">
        <f>SUMIF(B:B,"带班主任",H:H)</f>
        <v>36.389999999999951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46175.538774189801</v>
      </c>
      <c r="B4" s="7" t="s">
        <v>72</v>
      </c>
      <c r="C4" s="13">
        <v>0.53877314814814803</v>
      </c>
      <c r="D4" s="13" t="s">
        <v>62</v>
      </c>
      <c r="E4" s="13">
        <v>0.79638888888888903</v>
      </c>
      <c r="F4" s="14">
        <f t="shared" si="1"/>
        <v>6.1827777777777841</v>
      </c>
      <c r="G4" s="15">
        <f t="shared" si="2"/>
        <v>6.1827777777777841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spans="1:16" ht="18.75" x14ac:dyDescent="0.25">
      <c r="A5" s="12">
        <f t="shared" ca="1" si="0"/>
        <v>46176.129270023099</v>
      </c>
      <c r="B5" s="7" t="s">
        <v>72</v>
      </c>
      <c r="C5" s="13">
        <v>0.12925925925925899</v>
      </c>
      <c r="D5" s="13" t="s">
        <v>62</v>
      </c>
      <c r="E5" s="13">
        <v>0.30349537037037</v>
      </c>
      <c r="F5" s="14">
        <f t="shared" si="1"/>
        <v>4.181666666666664</v>
      </c>
      <c r="G5" s="15">
        <f t="shared" si="2"/>
        <v>0</v>
      </c>
      <c r="H5" s="15">
        <f t="shared" si="3"/>
        <v>4.181666666666664</v>
      </c>
      <c r="I5" s="23" t="s">
        <v>67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46178.539879166703</v>
      </c>
      <c r="B6" s="7" t="s">
        <v>72</v>
      </c>
      <c r="C6" s="13">
        <v>0.53987268518518505</v>
      </c>
      <c r="D6" s="13" t="s">
        <v>62</v>
      </c>
      <c r="E6" s="13">
        <v>0.76092592592592601</v>
      </c>
      <c r="F6" s="14">
        <f t="shared" si="1"/>
        <v>5.3052777777777829</v>
      </c>
      <c r="G6" s="15">
        <f t="shared" si="2"/>
        <v>5.3052777777777829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46179.129836342603</v>
      </c>
      <c r="B7" s="7" t="s">
        <v>72</v>
      </c>
      <c r="C7" s="13">
        <v>0.129826388888889</v>
      </c>
      <c r="D7" s="13" t="s">
        <v>62</v>
      </c>
      <c r="E7" s="13">
        <v>0.30112268518518498</v>
      </c>
      <c r="F7" s="14">
        <f t="shared" si="1"/>
        <v>4.1111111111111036</v>
      </c>
      <c r="G7" s="15">
        <f t="shared" si="2"/>
        <v>0</v>
      </c>
      <c r="H7" s="15">
        <f t="shared" si="3"/>
        <v>4.1111111111111036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46179.791011458299</v>
      </c>
      <c r="B8" s="7" t="s">
        <v>72</v>
      </c>
      <c r="C8" s="13">
        <v>0.79100694444444397</v>
      </c>
      <c r="D8" s="13" t="s">
        <v>62</v>
      </c>
      <c r="E8" s="13">
        <v>0.95282407407407399</v>
      </c>
      <c r="F8" s="14">
        <f t="shared" si="1"/>
        <v>3.8836111111111205</v>
      </c>
      <c r="G8" s="15">
        <f t="shared" si="2"/>
        <v>3.8836111111111205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46180.291246180597</v>
      </c>
      <c r="B9" s="7" t="s">
        <v>72</v>
      </c>
      <c r="C9" s="13">
        <v>0.29123842592592603</v>
      </c>
      <c r="D9" s="13" t="s">
        <v>62</v>
      </c>
      <c r="E9" s="13">
        <v>0.36482638888888902</v>
      </c>
      <c r="F9" s="14">
        <f t="shared" si="1"/>
        <v>1.7661111111111119</v>
      </c>
      <c r="G9" s="15">
        <f t="shared" si="2"/>
        <v>0.7558333333333449</v>
      </c>
      <c r="H9" s="15">
        <f t="shared" si="3"/>
        <v>1.0102777777777669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46187.540639120401</v>
      </c>
      <c r="B10" s="7" t="s">
        <v>72</v>
      </c>
      <c r="C10" s="13">
        <v>0.54063657407407395</v>
      </c>
      <c r="D10" s="13" t="s">
        <v>62</v>
      </c>
      <c r="E10" s="13">
        <v>0.79666666666666697</v>
      </c>
      <c r="F10" s="14">
        <f t="shared" si="1"/>
        <v>6.1447222222222324</v>
      </c>
      <c r="G10" s="15">
        <f t="shared" si="2"/>
        <v>6.1447222222222324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46188.129963078703</v>
      </c>
      <c r="B11" s="7" t="s">
        <v>72</v>
      </c>
      <c r="C11" s="13">
        <v>0.12995370370370399</v>
      </c>
      <c r="D11" s="13" t="s">
        <v>62</v>
      </c>
      <c r="E11" s="13">
        <v>0.300648148148148</v>
      </c>
      <c r="F11" s="14">
        <f t="shared" si="1"/>
        <v>4.096666666666656</v>
      </c>
      <c r="G11" s="15">
        <f t="shared" si="2"/>
        <v>0</v>
      </c>
      <c r="H11" s="15">
        <f t="shared" si="3"/>
        <v>4.096666666666656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46190.539499537001</v>
      </c>
      <c r="B12" s="7" t="s">
        <v>72</v>
      </c>
      <c r="C12" s="13">
        <v>0.53949074074074099</v>
      </c>
      <c r="D12" s="13" t="s">
        <v>62</v>
      </c>
      <c r="E12" s="13">
        <v>0.80203703703703699</v>
      </c>
      <c r="F12" s="14">
        <f t="shared" si="1"/>
        <v>6.301111111111104</v>
      </c>
      <c r="G12" s="15">
        <f t="shared" si="2"/>
        <v>6.301111111111104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46191.291450231503</v>
      </c>
      <c r="B13" s="7" t="s">
        <v>72</v>
      </c>
      <c r="C13" s="13">
        <v>0.291446759259259</v>
      </c>
      <c r="D13" s="13" t="s">
        <v>62</v>
      </c>
      <c r="E13" s="13">
        <v>0.54731481481481503</v>
      </c>
      <c r="F13" s="14">
        <f t="shared" si="1"/>
        <v>6.1408333333333447</v>
      </c>
      <c r="G13" s="15">
        <f t="shared" si="2"/>
        <v>5.1355555555555696</v>
      </c>
      <c r="H13" s="15">
        <f t="shared" si="3"/>
        <v>1.0052777777777755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46191.938304629599</v>
      </c>
      <c r="B14" s="7" t="s">
        <v>72</v>
      </c>
      <c r="C14" s="13">
        <v>0.93829861111111101</v>
      </c>
      <c r="D14" s="13" t="s">
        <v>62</v>
      </c>
      <c r="E14" s="13">
        <v>0.136759259259259</v>
      </c>
      <c r="F14" s="14">
        <f t="shared" si="1"/>
        <v>4.7630555555555514</v>
      </c>
      <c r="G14" s="15">
        <f t="shared" si="2"/>
        <v>1.4808333333333357</v>
      </c>
      <c r="H14" s="15">
        <f t="shared" si="3"/>
        <v>3.2822222222222157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46195.293165393501</v>
      </c>
      <c r="B15" s="7" t="s">
        <v>72</v>
      </c>
      <c r="C15" s="13">
        <v>0.29315972222222197</v>
      </c>
      <c r="D15" s="13" t="s">
        <v>62</v>
      </c>
      <c r="E15" s="13">
        <v>0.55059027777777803</v>
      </c>
      <c r="F15" s="14">
        <f t="shared" si="1"/>
        <v>6.1783333333333452</v>
      </c>
      <c r="G15" s="15">
        <f t="shared" si="2"/>
        <v>5.2141666666666815</v>
      </c>
      <c r="H15" s="15">
        <f t="shared" si="3"/>
        <v>0.96416666666666417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46195.936479629599</v>
      </c>
      <c r="B16" s="7" t="s">
        <v>72</v>
      </c>
      <c r="C16" s="13">
        <v>0.93646990740740699</v>
      </c>
      <c r="D16" s="13" t="s">
        <v>62</v>
      </c>
      <c r="E16" s="13">
        <v>0.13741898148148099</v>
      </c>
      <c r="F16" s="14">
        <f t="shared" si="1"/>
        <v>4.8227777777777758</v>
      </c>
      <c r="G16" s="15">
        <f t="shared" si="2"/>
        <v>1.5247222222222323</v>
      </c>
      <c r="H16" s="15">
        <f t="shared" si="3"/>
        <v>3.2980555555555435</v>
      </c>
      <c r="I16" s="37" t="s">
        <v>63</v>
      </c>
      <c r="J16" s="38">
        <f t="shared" ref="J16:L16" si="4">J3</f>
        <v>91.46027777777779</v>
      </c>
      <c r="K16" s="39">
        <f t="shared" si="4"/>
        <v>55.070277777777846</v>
      </c>
      <c r="L16" s="40">
        <f t="shared" si="4"/>
        <v>36.389999999999951</v>
      </c>
      <c r="M16" s="41"/>
    </row>
    <row r="17" spans="1:13" ht="20.25" x14ac:dyDescent="0.25">
      <c r="A17" s="12">
        <f t="shared" ca="1" si="0"/>
        <v>46198.936939120402</v>
      </c>
      <c r="B17" s="7" t="s">
        <v>72</v>
      </c>
      <c r="C17" s="13">
        <v>0.93693287037036999</v>
      </c>
      <c r="D17" s="13" t="s">
        <v>62</v>
      </c>
      <c r="E17" s="13">
        <v>0.13064814814814801</v>
      </c>
      <c r="F17" s="14">
        <f t="shared" si="1"/>
        <v>4.6491666666666731</v>
      </c>
      <c r="G17" s="15">
        <f t="shared" si="2"/>
        <v>1.5136111111111208</v>
      </c>
      <c r="H17" s="15">
        <f t="shared" si="3"/>
        <v>3.1355555555555523</v>
      </c>
      <c r="I17" s="37" t="s">
        <v>79</v>
      </c>
      <c r="J17" s="38">
        <f>J4+J5+J6+J7+J10</f>
        <v>0</v>
      </c>
      <c r="K17" s="39">
        <f>K4+K5+K6+K7+K10</f>
        <v>0</v>
      </c>
      <c r="L17" s="40">
        <f>L4+L5+L6+L7+L10</f>
        <v>0</v>
      </c>
      <c r="M17" s="41"/>
    </row>
    <row r="18" spans="1:13" ht="20.25" x14ac:dyDescent="0.25">
      <c r="A18" s="12">
        <f t="shared" ca="1" si="0"/>
        <v>46200.132910763903</v>
      </c>
      <c r="B18" s="7" t="s">
        <v>72</v>
      </c>
      <c r="C18" s="13">
        <v>0.12873842592592599</v>
      </c>
      <c r="D18" s="13" t="s">
        <v>62</v>
      </c>
      <c r="E18" s="13">
        <v>0.29920138888888897</v>
      </c>
      <c r="F18" s="14">
        <f t="shared" si="1"/>
        <v>4.0911111111111111</v>
      </c>
      <c r="G18" s="15">
        <f t="shared" si="2"/>
        <v>0</v>
      </c>
      <c r="H18" s="15">
        <f t="shared" si="3"/>
        <v>4.0911111111111111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46202.539945254597</v>
      </c>
      <c r="B19" s="7" t="s">
        <v>72</v>
      </c>
      <c r="C19" s="13">
        <v>0.53994212962962995</v>
      </c>
      <c r="D19" s="13" t="s">
        <v>62</v>
      </c>
      <c r="E19" s="13">
        <v>0.79474537037036996</v>
      </c>
      <c r="F19" s="14">
        <f t="shared" si="1"/>
        <v>6.1152777777777603</v>
      </c>
      <c r="G19" s="15">
        <f t="shared" si="2"/>
        <v>6.1152777777777603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46203.131623032401</v>
      </c>
      <c r="B20" s="7" t="s">
        <v>72</v>
      </c>
      <c r="C20" s="13">
        <v>0.13162037037037</v>
      </c>
      <c r="D20" s="13" t="s">
        <v>62</v>
      </c>
      <c r="E20" s="13">
        <v>0.29731481481481498</v>
      </c>
      <c r="F20" s="14">
        <f t="shared" si="1"/>
        <v>3.9766666666666795</v>
      </c>
      <c r="G20" s="15">
        <f t="shared" si="2"/>
        <v>0</v>
      </c>
      <c r="H20" s="15">
        <f t="shared" si="3"/>
        <v>3.9766666666666795</v>
      </c>
      <c r="I20" s="42" t="s">
        <v>81</v>
      </c>
      <c r="J20" s="65">
        <f>J16+J17+J18+J19</f>
        <v>91.46027777777779</v>
      </c>
      <c r="K20" s="66"/>
      <c r="L20" s="67"/>
      <c r="M20" s="43"/>
    </row>
    <row r="21" spans="1:13" ht="20.25" x14ac:dyDescent="0.25">
      <c r="A21" s="12">
        <f t="shared" ca="1" si="0"/>
        <v>46203.779509490698</v>
      </c>
      <c r="B21" s="7" t="s">
        <v>72</v>
      </c>
      <c r="C21" s="13">
        <v>0.77950231481481502</v>
      </c>
      <c r="D21" s="13" t="s">
        <v>62</v>
      </c>
      <c r="E21" s="13">
        <v>0.94452546296296302</v>
      </c>
      <c r="F21" s="14">
        <f t="shared" si="1"/>
        <v>3.9605555555555521</v>
      </c>
      <c r="G21" s="15">
        <f t="shared" si="2"/>
        <v>3.9605555555555521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46177.324182060198</v>
      </c>
      <c r="B3" s="7" t="s">
        <v>72</v>
      </c>
      <c r="C3" s="13">
        <v>0.32417824074074097</v>
      </c>
      <c r="D3" s="13" t="s">
        <v>62</v>
      </c>
      <c r="E3" s="13">
        <v>0.54920138888888903</v>
      </c>
      <c r="F3" s="14">
        <f t="shared" ref="F3:F42" si="1">(IF(E3-C3&lt;0,"24:00"-C3+E3,E3-C3))*24</f>
        <v>5.4005555555555533</v>
      </c>
      <c r="G3" s="15">
        <f t="shared" ref="G3:G42" si="2">F3-H3</f>
        <v>5.1808333333333447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0.21972222222220816</v>
      </c>
      <c r="I3" s="18" t="s">
        <v>63</v>
      </c>
      <c r="J3" s="19">
        <f>SUMIF(B:B,"带班主任",F:F)</f>
        <v>65.170277777777784</v>
      </c>
      <c r="K3" s="20">
        <f>SUMIF(B:B,"带班主任",G:G)</f>
        <v>37.752777777777794</v>
      </c>
      <c r="L3" s="20">
        <f>SUMIF(B:B,"带班主任",H:H)</f>
        <v>27.41749999999999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46178.131085532397</v>
      </c>
      <c r="B4" s="7" t="s">
        <v>72</v>
      </c>
      <c r="C4" s="13">
        <v>0.13107638888888901</v>
      </c>
      <c r="D4" s="13" t="s">
        <v>62</v>
      </c>
      <c r="E4" s="13">
        <v>0.29993055555555598</v>
      </c>
      <c r="F4" s="14">
        <f t="shared" si="1"/>
        <v>4.0525000000000073</v>
      </c>
      <c r="G4" s="15">
        <f t="shared" si="2"/>
        <v>0</v>
      </c>
      <c r="H4" s="15">
        <f t="shared" si="3"/>
        <v>4.0525000000000073</v>
      </c>
      <c r="I4" s="23" t="s">
        <v>65</v>
      </c>
      <c r="J4" s="24">
        <f>SUMIF(B:B,"西塔台管制席",F:F)+SUMIF(B:B,"东塔台管制席",F:F)</f>
        <v>17.100555555555552</v>
      </c>
      <c r="K4" s="25">
        <f>SUMIF(B:B,"西塔台管制席",G:G)+SUMIF(B:B,"东塔台管制席",G:G)</f>
        <v>16.320555555555554</v>
      </c>
      <c r="L4" s="25">
        <f>SUMIF(B:B,"西塔台管制席",H:H)+SUMIF(B:B,"东塔台管制席",H:H)</f>
        <v>0.77999999999999936</v>
      </c>
      <c r="M4" s="21"/>
    </row>
    <row r="5" spans="1:16" ht="18.75" x14ac:dyDescent="0.25">
      <c r="A5" s="12">
        <f t="shared" ca="1" si="0"/>
        <v>46180.4390935185</v>
      </c>
      <c r="B5" s="7" t="s">
        <v>84</v>
      </c>
      <c r="C5" s="13">
        <v>0.43908564814814799</v>
      </c>
      <c r="D5" s="13" t="s">
        <v>62</v>
      </c>
      <c r="E5" s="13">
        <v>0.49423611111111099</v>
      </c>
      <c r="F5" s="14">
        <f t="shared" si="1"/>
        <v>1.323611111111112</v>
      </c>
      <c r="G5" s="15">
        <f t="shared" si="2"/>
        <v>1.323611111111112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7.7844444444444489</v>
      </c>
      <c r="K5" s="25">
        <f>SUMIF(B:B,"西塔台协调席",G:G)+SUMIF(B:B,"东塔台协调席",G:G)</f>
        <v>6.8405555555555777</v>
      </c>
      <c r="L5" s="25">
        <f>SUMIF(B:B,"西塔台协调席",H:H)+SUMIF(B:B,"东塔台协调席",H:H)</f>
        <v>0.94388888888887212</v>
      </c>
      <c r="M5" s="21"/>
    </row>
    <row r="6" spans="1:16" ht="18.75" x14ac:dyDescent="0.25">
      <c r="A6" s="12">
        <f t="shared" ca="1" si="0"/>
        <v>46180.627533911997</v>
      </c>
      <c r="B6" s="7" t="s">
        <v>61</v>
      </c>
      <c r="C6" s="13">
        <v>0.62752314814814802</v>
      </c>
      <c r="D6" s="13" t="s">
        <v>62</v>
      </c>
      <c r="E6" s="13">
        <v>0.76027777777777805</v>
      </c>
      <c r="F6" s="14">
        <f t="shared" si="1"/>
        <v>3.1861111111111207</v>
      </c>
      <c r="G6" s="15">
        <f t="shared" si="2"/>
        <v>3.1861111111111207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46180.843475115696</v>
      </c>
      <c r="B7" s="7" t="s">
        <v>61</v>
      </c>
      <c r="C7" s="13">
        <v>0.84347222222222196</v>
      </c>
      <c r="D7" s="13" t="s">
        <v>62</v>
      </c>
      <c r="E7" s="13">
        <v>0.96545138888888904</v>
      </c>
      <c r="F7" s="14">
        <f t="shared" si="1"/>
        <v>2.92750000000001</v>
      </c>
      <c r="G7" s="15">
        <f t="shared" si="2"/>
        <v>2.92750000000001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46181.300837152798</v>
      </c>
      <c r="B8" s="7" t="s">
        <v>69</v>
      </c>
      <c r="C8" s="13">
        <v>0.30083333333333301</v>
      </c>
      <c r="D8" s="13" t="s">
        <v>62</v>
      </c>
      <c r="E8" s="13">
        <v>0.36393518518518497</v>
      </c>
      <c r="F8" s="14">
        <f t="shared" si="1"/>
        <v>1.5144444444444471</v>
      </c>
      <c r="G8" s="15">
        <f t="shared" si="2"/>
        <v>0.73444444444444779</v>
      </c>
      <c r="H8" s="15">
        <f t="shared" si="3"/>
        <v>0.77999999999999936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46181.370864120399</v>
      </c>
      <c r="B9" s="7" t="s">
        <v>69</v>
      </c>
      <c r="C9" s="13">
        <v>0.37085648148148098</v>
      </c>
      <c r="D9" s="13" t="s">
        <v>62</v>
      </c>
      <c r="E9" s="13">
        <v>0.42409722222222201</v>
      </c>
      <c r="F9" s="14">
        <f t="shared" si="1"/>
        <v>1.2777777777777848</v>
      </c>
      <c r="G9" s="15">
        <f t="shared" si="2"/>
        <v>1.2777777777777848</v>
      </c>
      <c r="H9" s="15">
        <f t="shared" si="3"/>
        <v>0</v>
      </c>
      <c r="I9" s="23" t="s">
        <v>73</v>
      </c>
      <c r="J9" s="24">
        <f>SUMIF(B:B,"航班调度席",F:F)</f>
        <v>1.323611111111112</v>
      </c>
      <c r="K9" s="25">
        <f>SUMIF(B:B,"航班调度席",G:G)</f>
        <v>1.323611111111112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46181.479703009303</v>
      </c>
      <c r="B10" s="7" t="s">
        <v>64</v>
      </c>
      <c r="C10" s="13">
        <v>0.47969907407407397</v>
      </c>
      <c r="D10" s="13" t="s">
        <v>62</v>
      </c>
      <c r="E10" s="13">
        <v>0.54796296296296299</v>
      </c>
      <c r="F10" s="14">
        <f t="shared" si="1"/>
        <v>1.6383333333333363</v>
      </c>
      <c r="G10" s="15">
        <f t="shared" si="2"/>
        <v>1.6383333333333363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46181.938612847203</v>
      </c>
      <c r="B11" s="7" t="s">
        <v>72</v>
      </c>
      <c r="C11" s="13">
        <v>0.93861111111111095</v>
      </c>
      <c r="D11" s="13" t="s">
        <v>62</v>
      </c>
      <c r="E11" s="13">
        <v>0.14105324074074099</v>
      </c>
      <c r="F11" s="14">
        <f t="shared" si="1"/>
        <v>4.858611111111121</v>
      </c>
      <c r="G11" s="15">
        <f t="shared" si="2"/>
        <v>1.4733333333333372</v>
      </c>
      <c r="H11" s="15">
        <f t="shared" si="3"/>
        <v>3.3852777777777838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46184.564620717603</v>
      </c>
      <c r="B12" s="7" t="s">
        <v>69</v>
      </c>
      <c r="C12" s="13">
        <v>0.56451388888888898</v>
      </c>
      <c r="D12" s="13" t="s">
        <v>62</v>
      </c>
      <c r="E12" s="13">
        <v>0.63241898148148101</v>
      </c>
      <c r="F12" s="14">
        <f t="shared" si="1"/>
        <v>1.6297222222222087</v>
      </c>
      <c r="G12" s="15">
        <f t="shared" si="2"/>
        <v>1.6297222222222087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46184.765864467598</v>
      </c>
      <c r="B13" s="7" t="s">
        <v>64</v>
      </c>
      <c r="C13" s="13">
        <v>0.765856481481482</v>
      </c>
      <c r="D13" s="13" t="s">
        <v>62</v>
      </c>
      <c r="E13" s="13">
        <v>0.88820601851851899</v>
      </c>
      <c r="F13" s="14">
        <f t="shared" si="1"/>
        <v>2.9363888888888878</v>
      </c>
      <c r="G13" s="15">
        <f t="shared" si="2"/>
        <v>2.9363888888888878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46185.132210879601</v>
      </c>
      <c r="B14" s="7" t="s">
        <v>72</v>
      </c>
      <c r="C14" s="13">
        <v>0.13221064814814801</v>
      </c>
      <c r="D14" s="13" t="s">
        <v>62</v>
      </c>
      <c r="E14" s="13">
        <v>0.34010416666666698</v>
      </c>
      <c r="F14" s="14">
        <f t="shared" si="1"/>
        <v>4.9894444444444552</v>
      </c>
      <c r="G14" s="15">
        <f t="shared" si="2"/>
        <v>0.16250000000001563</v>
      </c>
      <c r="H14" s="15">
        <f t="shared" si="3"/>
        <v>4.8269444444444396</v>
      </c>
      <c r="I14" s="69"/>
      <c r="J14" s="69"/>
      <c r="K14" s="69"/>
      <c r="L14" s="69"/>
      <c r="M14" s="69"/>
    </row>
    <row r="15" spans="1:16" ht="101.25" x14ac:dyDescent="0.15">
      <c r="A15" s="12" t="str">
        <f t="shared" ca="1" si="0"/>
        <v/>
      </c>
      <c r="B15" s="7"/>
      <c r="C15" s="13"/>
      <c r="D15" s="13"/>
      <c r="E15" s="13"/>
      <c r="F15" s="14">
        <f t="shared" si="1"/>
        <v>0</v>
      </c>
      <c r="G15" s="15">
        <f t="shared" si="2"/>
        <v>0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46187.4182133102</v>
      </c>
      <c r="B16" s="7" t="s">
        <v>61</v>
      </c>
      <c r="C16" s="13">
        <v>0.41820601851851902</v>
      </c>
      <c r="D16" s="13" t="s">
        <v>62</v>
      </c>
      <c r="E16" s="13">
        <v>0.47780092592592599</v>
      </c>
      <c r="F16" s="14">
        <f t="shared" si="1"/>
        <v>1.4302777777777673</v>
      </c>
      <c r="G16" s="15">
        <f t="shared" si="2"/>
        <v>1.4302777777777673</v>
      </c>
      <c r="H16" s="15">
        <f t="shared" si="3"/>
        <v>0</v>
      </c>
      <c r="I16" s="37" t="s">
        <v>63</v>
      </c>
      <c r="J16" s="38">
        <f t="shared" ref="J16:L16" si="4">J3</f>
        <v>65.170277777777784</v>
      </c>
      <c r="K16" s="39">
        <f t="shared" si="4"/>
        <v>37.752777777777794</v>
      </c>
      <c r="L16" s="40">
        <f t="shared" si="4"/>
        <v>27.41749999999999</v>
      </c>
      <c r="M16" s="41"/>
    </row>
    <row r="17" spans="1:13" ht="20.25" x14ac:dyDescent="0.25">
      <c r="A17" s="12">
        <f t="shared" ca="1" si="0"/>
        <v>46187.486743981499</v>
      </c>
      <c r="B17" s="7" t="s">
        <v>61</v>
      </c>
      <c r="C17" s="13">
        <v>0.48673611111111098</v>
      </c>
      <c r="D17" s="13" t="s">
        <v>62</v>
      </c>
      <c r="E17" s="13">
        <v>0.54943287037037003</v>
      </c>
      <c r="F17" s="14">
        <f t="shared" si="1"/>
        <v>1.5047222222222172</v>
      </c>
      <c r="G17" s="15">
        <f t="shared" si="2"/>
        <v>1.5047222222222172</v>
      </c>
      <c r="H17" s="15">
        <f t="shared" si="3"/>
        <v>0</v>
      </c>
      <c r="I17" s="37" t="s">
        <v>79</v>
      </c>
      <c r="J17" s="38">
        <f>J4+J5+J6+J7+J10</f>
        <v>24.885000000000002</v>
      </c>
      <c r="K17" s="39">
        <f>K4+K5+K6+K7+K10</f>
        <v>23.161111111111133</v>
      </c>
      <c r="L17" s="40">
        <f>L4+L5+L6+L7+L10</f>
        <v>1.7238888888888715</v>
      </c>
      <c r="M17" s="41"/>
    </row>
    <row r="18" spans="1:13" ht="20.25" x14ac:dyDescent="0.25">
      <c r="A18" s="12">
        <f t="shared" ca="1" si="0"/>
        <v>46187.647425000003</v>
      </c>
      <c r="B18" s="7" t="s">
        <v>61</v>
      </c>
      <c r="C18" s="13">
        <v>0.64741898148148103</v>
      </c>
      <c r="D18" s="13" t="s">
        <v>62</v>
      </c>
      <c r="E18" s="13">
        <v>0.79866898148148102</v>
      </c>
      <c r="F18" s="14">
        <f t="shared" si="1"/>
        <v>3.63</v>
      </c>
      <c r="G18" s="15">
        <f t="shared" si="2"/>
        <v>3.63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46187.900717361103</v>
      </c>
      <c r="B19" s="7" t="s">
        <v>66</v>
      </c>
      <c r="C19" s="13">
        <v>0.90071759259259299</v>
      </c>
      <c r="D19" s="13" t="s">
        <v>62</v>
      </c>
      <c r="E19" s="13">
        <v>0.95896990740740795</v>
      </c>
      <c r="F19" s="14">
        <f t="shared" si="1"/>
        <v>1.3980555555555592</v>
      </c>
      <c r="G19" s="15">
        <f t="shared" si="2"/>
        <v>1.3980555555555592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46188.294010763901</v>
      </c>
      <c r="B20" s="7" t="s">
        <v>64</v>
      </c>
      <c r="C20" s="13">
        <v>0.29400462962962998</v>
      </c>
      <c r="D20" s="13" t="s">
        <v>62</v>
      </c>
      <c r="E20" s="13">
        <v>0.34484953703703702</v>
      </c>
      <c r="F20" s="14">
        <f t="shared" si="1"/>
        <v>1.2202777777777691</v>
      </c>
      <c r="G20" s="15">
        <f t="shared" si="2"/>
        <v>0.27638888888889701</v>
      </c>
      <c r="H20" s="15">
        <f t="shared" si="3"/>
        <v>0.94388888888887212</v>
      </c>
      <c r="I20" s="42" t="s">
        <v>81</v>
      </c>
      <c r="J20" s="65">
        <f>J16+J17+J18+J19</f>
        <v>90.055277777777789</v>
      </c>
      <c r="K20" s="66"/>
      <c r="L20" s="67"/>
      <c r="M20" s="43"/>
    </row>
    <row r="21" spans="1:13" ht="20.25" x14ac:dyDescent="0.25">
      <c r="A21" s="12">
        <f t="shared" ca="1" si="0"/>
        <v>46188.344891782399</v>
      </c>
      <c r="B21" s="7" t="s">
        <v>66</v>
      </c>
      <c r="C21" s="13">
        <v>0.34576388888888898</v>
      </c>
      <c r="D21" s="13" t="s">
        <v>62</v>
      </c>
      <c r="E21" s="13">
        <v>0.37040509259259302</v>
      </c>
      <c r="F21" s="14">
        <f t="shared" si="1"/>
        <v>0.59138888888889696</v>
      </c>
      <c r="G21" s="15">
        <f t="shared" si="2"/>
        <v>0.59138888888889696</v>
      </c>
      <c r="H21" s="15">
        <f t="shared" si="3"/>
        <v>0</v>
      </c>
      <c r="I21" s="44" t="s">
        <v>4</v>
      </c>
      <c r="J21" s="45">
        <f>SUM(J8:J9)</f>
        <v>1.323611111111112</v>
      </c>
      <c r="K21" s="39">
        <f>SUM(K8:K9)</f>
        <v>1.323611111111112</v>
      </c>
      <c r="L21" s="40">
        <f>SUM(L8:L9)</f>
        <v>0</v>
      </c>
      <c r="M21" s="46"/>
    </row>
    <row r="22" spans="1:13" ht="18.75" x14ac:dyDescent="0.15">
      <c r="A22" s="12">
        <f t="shared" ca="1" si="0"/>
        <v>46190.938643518501</v>
      </c>
      <c r="B22" s="7" t="s">
        <v>72</v>
      </c>
      <c r="C22" s="13">
        <v>0.93863425925925903</v>
      </c>
      <c r="D22" s="13" t="s">
        <v>62</v>
      </c>
      <c r="E22" s="13">
        <v>0.136793981481481</v>
      </c>
      <c r="F22" s="14">
        <f t="shared" si="1"/>
        <v>4.7558333333333271</v>
      </c>
      <c r="G22" s="15">
        <f t="shared" si="2"/>
        <v>1.4727777777777833</v>
      </c>
      <c r="H22" s="15">
        <f t="shared" si="3"/>
        <v>3.2830555555555438</v>
      </c>
      <c r="I22"/>
      <c r="J22"/>
    </row>
    <row r="23" spans="1:13" ht="18.75" x14ac:dyDescent="0.15">
      <c r="A23" s="12">
        <f t="shared" ca="1" si="0"/>
        <v>46194.937210416698</v>
      </c>
      <c r="B23" s="7" t="s">
        <v>72</v>
      </c>
      <c r="C23" s="13">
        <v>0.93721064814814803</v>
      </c>
      <c r="D23" s="13" t="s">
        <v>62</v>
      </c>
      <c r="E23" s="13">
        <v>0.13923611111111101</v>
      </c>
      <c r="F23" s="14">
        <f t="shared" si="1"/>
        <v>4.8486111111111114</v>
      </c>
      <c r="G23" s="15">
        <f t="shared" si="2"/>
        <v>1.5069444444444473</v>
      </c>
      <c r="H23" s="15">
        <f t="shared" si="3"/>
        <v>3.3416666666666641</v>
      </c>
      <c r="I23"/>
      <c r="J23"/>
    </row>
    <row r="24" spans="1:13" ht="18.75" x14ac:dyDescent="0.15">
      <c r="A24" s="12">
        <f t="shared" ca="1" si="0"/>
        <v>46195.544524652803</v>
      </c>
      <c r="B24" s="7" t="s">
        <v>72</v>
      </c>
      <c r="C24" s="13">
        <v>0.54451388888888896</v>
      </c>
      <c r="D24" s="13" t="s">
        <v>62</v>
      </c>
      <c r="E24" s="13">
        <v>0.792106481481481</v>
      </c>
      <c r="F24" s="14">
        <f t="shared" si="1"/>
        <v>5.9422222222222087</v>
      </c>
      <c r="G24" s="15">
        <f t="shared" si="2"/>
        <v>5.9422222222222087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46196.130285416701</v>
      </c>
      <c r="B25" s="7" t="s">
        <v>72</v>
      </c>
      <c r="C25" s="13">
        <v>0.13027777777777799</v>
      </c>
      <c r="D25" s="13" t="s">
        <v>62</v>
      </c>
      <c r="E25" s="13">
        <v>0.296180555555556</v>
      </c>
      <c r="F25" s="14">
        <f t="shared" si="1"/>
        <v>3.9816666666666722</v>
      </c>
      <c r="G25" s="15">
        <f t="shared" si="2"/>
        <v>0</v>
      </c>
      <c r="H25" s="15">
        <f t="shared" si="3"/>
        <v>3.9816666666666722</v>
      </c>
      <c r="I25"/>
      <c r="J25"/>
    </row>
    <row r="26" spans="1:13" ht="18.75" x14ac:dyDescent="0.15">
      <c r="A26" s="12">
        <f t="shared" ca="1" si="0"/>
        <v>46198.358808912002</v>
      </c>
      <c r="B26" s="7" t="s">
        <v>72</v>
      </c>
      <c r="C26" s="13">
        <v>0.35880787037036999</v>
      </c>
      <c r="D26" s="13" t="s">
        <v>62</v>
      </c>
      <c r="E26" s="13">
        <v>0.522476851851852</v>
      </c>
      <c r="F26" s="14">
        <f t="shared" si="1"/>
        <v>3.9280555555555683</v>
      </c>
      <c r="G26" s="15">
        <f t="shared" si="2"/>
        <v>3.9280555555555683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46198.682839930603</v>
      </c>
      <c r="B27" s="7" t="s">
        <v>72</v>
      </c>
      <c r="C27" s="13">
        <v>0.68283564814814801</v>
      </c>
      <c r="D27" s="13" t="s">
        <v>62</v>
      </c>
      <c r="E27" s="13">
        <v>0.78613425925925895</v>
      </c>
      <c r="F27" s="14">
        <f t="shared" si="1"/>
        <v>2.4791666666666625</v>
      </c>
      <c r="G27" s="15">
        <f t="shared" si="2"/>
        <v>2.4791666666666625</v>
      </c>
      <c r="H27" s="15">
        <f t="shared" si="3"/>
        <v>0</v>
      </c>
      <c r="I27"/>
      <c r="J27"/>
    </row>
    <row r="28" spans="1:13" ht="18.75" x14ac:dyDescent="0.15">
      <c r="A28" s="12">
        <f t="shared" ca="1" si="0"/>
        <v>46199.5382060185</v>
      </c>
      <c r="B28" s="7" t="s">
        <v>72</v>
      </c>
      <c r="C28" s="13">
        <v>0.53820601851851901</v>
      </c>
      <c r="D28" s="13" t="s">
        <v>62</v>
      </c>
      <c r="E28" s="13">
        <v>0.65311342592592603</v>
      </c>
      <c r="F28" s="14">
        <f t="shared" si="1"/>
        <v>2.7577777777777683</v>
      </c>
      <c r="G28" s="15">
        <f t="shared" si="2"/>
        <v>2.7577777777777683</v>
      </c>
      <c r="H28" s="15">
        <f t="shared" si="3"/>
        <v>0</v>
      </c>
      <c r="I28"/>
      <c r="J28"/>
    </row>
    <row r="29" spans="1:13" ht="18.75" x14ac:dyDescent="0.15">
      <c r="A29" s="12">
        <f t="shared" ca="1" si="0"/>
        <v>46199.748438310198</v>
      </c>
      <c r="B29" s="7" t="s">
        <v>72</v>
      </c>
      <c r="C29" s="13">
        <v>0.74843749999999998</v>
      </c>
      <c r="D29" s="13" t="s">
        <v>62</v>
      </c>
      <c r="E29" s="13">
        <v>0.94503472222222196</v>
      </c>
      <c r="F29" s="14">
        <f t="shared" si="1"/>
        <v>4.7183333333333275</v>
      </c>
      <c r="G29" s="15">
        <f t="shared" si="2"/>
        <v>4.7183333333333275</v>
      </c>
      <c r="H29" s="15">
        <f t="shared" si="3"/>
        <v>0</v>
      </c>
      <c r="I29"/>
      <c r="J29"/>
    </row>
    <row r="30" spans="1:13" ht="18.75" x14ac:dyDescent="0.15">
      <c r="A30" s="12">
        <f t="shared" ca="1" si="0"/>
        <v>46200.293806018497</v>
      </c>
      <c r="B30" s="7" t="s">
        <v>72</v>
      </c>
      <c r="C30" s="13">
        <v>0.293796296296296</v>
      </c>
      <c r="D30" s="13" t="s">
        <v>62</v>
      </c>
      <c r="E30" s="13">
        <v>0.36125000000000002</v>
      </c>
      <c r="F30" s="14">
        <f t="shared" si="1"/>
        <v>1.6188888888888964</v>
      </c>
      <c r="G30" s="15">
        <f t="shared" si="2"/>
        <v>0.67000000000000881</v>
      </c>
      <c r="H30" s="15">
        <f t="shared" si="3"/>
        <v>0.94888888888888756</v>
      </c>
      <c r="I30"/>
      <c r="J30"/>
    </row>
    <row r="31" spans="1:13" ht="18.75" x14ac:dyDescent="0.15">
      <c r="A31" s="12">
        <f t="shared" ca="1" si="0"/>
        <v>46202.9398490741</v>
      </c>
      <c r="B31" s="7" t="s">
        <v>72</v>
      </c>
      <c r="C31" s="13">
        <v>0.939849537037037</v>
      </c>
      <c r="D31" s="13" t="s">
        <v>62</v>
      </c>
      <c r="E31" s="13">
        <v>0.140740740740741</v>
      </c>
      <c r="F31" s="14">
        <f t="shared" si="1"/>
        <v>4.8213888888888956</v>
      </c>
      <c r="G31" s="15">
        <f t="shared" si="2"/>
        <v>1.4436111111111116</v>
      </c>
      <c r="H31" s="15">
        <f t="shared" si="3"/>
        <v>3.377777777777784</v>
      </c>
      <c r="I31"/>
      <c r="J31"/>
    </row>
    <row r="32" spans="1:13" ht="18.75" x14ac:dyDescent="0.15">
      <c r="A32" s="12">
        <f t="shared" ca="1" si="0"/>
        <v>46203.528095949099</v>
      </c>
      <c r="B32" s="7" t="s">
        <v>72</v>
      </c>
      <c r="C32" s="13">
        <v>0.53465277777777798</v>
      </c>
      <c r="D32" s="13" t="s">
        <v>62</v>
      </c>
      <c r="E32" s="13">
        <v>0.78537037037037005</v>
      </c>
      <c r="F32" s="14">
        <f t="shared" si="1"/>
        <v>6.0172222222222098</v>
      </c>
      <c r="G32" s="15">
        <f t="shared" si="2"/>
        <v>6.0172222222222098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46174.353376851897</v>
      </c>
      <c r="B3" s="7" t="s">
        <v>72</v>
      </c>
      <c r="C3" s="13">
        <v>0.353368055555556</v>
      </c>
      <c r="D3" s="13" t="s">
        <v>62</v>
      </c>
      <c r="E3" s="13">
        <v>0.54560185185185195</v>
      </c>
      <c r="F3" s="14">
        <f t="shared" ref="F3:F42" si="1">(IF(E3-C3&lt;0,"24:00"-C3+E3,E3-C3))*24</f>
        <v>4.6136111111111031</v>
      </c>
      <c r="G3" s="15">
        <f t="shared" ref="G3:G42" si="2">F3-H3</f>
        <v>4.6136111111111031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81.169166666666612</v>
      </c>
      <c r="K3" s="20">
        <f>SUMIF(B:B,"带班主任",G:G)</f>
        <v>60.410000000000039</v>
      </c>
      <c r="L3" s="20">
        <f>SUMIF(B:B,"带班主任",H:H)</f>
        <v>20.759166666666598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46174.7909685185</v>
      </c>
      <c r="B4" s="7" t="s">
        <v>72</v>
      </c>
      <c r="C4" s="13">
        <v>0.79096064814814804</v>
      </c>
      <c r="D4" s="13" t="s">
        <v>62</v>
      </c>
      <c r="E4" s="13">
        <v>0.94228009259259304</v>
      </c>
      <c r="F4" s="14">
        <f t="shared" si="1"/>
        <v>3.6316666666666801</v>
      </c>
      <c r="G4" s="15">
        <f t="shared" si="2"/>
        <v>3.6316666666666801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4.1280555555555605</v>
      </c>
      <c r="K4" s="25">
        <f>SUMIF(B:B,"西塔台管制席",G:G)+SUMIF(B:B,"东塔台管制席",G:G)</f>
        <v>1.1744444444444406</v>
      </c>
      <c r="L4" s="25">
        <f>SUMIF(B:B,"西塔台管制席",H:H)+SUMIF(B:B,"东塔台管制席",H:H)</f>
        <v>2.9536111111111198</v>
      </c>
      <c r="M4" s="21"/>
    </row>
    <row r="5" spans="1:16" ht="18.75" x14ac:dyDescent="0.25">
      <c r="A5" s="12">
        <f t="shared" ca="1" si="0"/>
        <v>46175.292284259303</v>
      </c>
      <c r="B5" s="7" t="s">
        <v>72</v>
      </c>
      <c r="C5" s="13">
        <v>0.29228009259259302</v>
      </c>
      <c r="D5" s="13" t="s">
        <v>62</v>
      </c>
      <c r="E5" s="13">
        <v>0.54802083333333296</v>
      </c>
      <c r="F5" s="14">
        <f t="shared" si="1"/>
        <v>6.1377777777777585</v>
      </c>
      <c r="G5" s="15">
        <f t="shared" si="2"/>
        <v>5.1524999999999999</v>
      </c>
      <c r="H5" s="15">
        <f t="shared" si="3"/>
        <v>0.98527777777775905</v>
      </c>
      <c r="I5" s="23" t="s">
        <v>67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46175.936486458297</v>
      </c>
      <c r="B6" s="7" t="s">
        <v>72</v>
      </c>
      <c r="C6" s="13">
        <v>0.93648148148148103</v>
      </c>
      <c r="D6" s="13" t="s">
        <v>62</v>
      </c>
      <c r="E6" s="13">
        <v>0.136759259259259</v>
      </c>
      <c r="F6" s="14">
        <f t="shared" si="1"/>
        <v>4.8066666666666711</v>
      </c>
      <c r="G6" s="15">
        <f t="shared" si="2"/>
        <v>1.5244444444444554</v>
      </c>
      <c r="H6" s="15">
        <f t="shared" si="3"/>
        <v>3.2822222222222157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46178.938311805599</v>
      </c>
      <c r="B7" s="7" t="s">
        <v>72</v>
      </c>
      <c r="C7" s="13">
        <v>0.93831018518518505</v>
      </c>
      <c r="D7" s="13" t="s">
        <v>62</v>
      </c>
      <c r="E7" s="13">
        <v>0.13724537037036999</v>
      </c>
      <c r="F7" s="14">
        <f t="shared" si="1"/>
        <v>4.7744444444444385</v>
      </c>
      <c r="G7" s="15">
        <f t="shared" si="2"/>
        <v>1.4805555555555587</v>
      </c>
      <c r="H7" s="15">
        <f t="shared" si="3"/>
        <v>3.2938888888888798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46182.350529513897</v>
      </c>
      <c r="B8" s="7" t="s">
        <v>72</v>
      </c>
      <c r="C8" s="13">
        <v>0.350520833333333</v>
      </c>
      <c r="D8" s="13" t="s">
        <v>62</v>
      </c>
      <c r="E8" s="13">
        <v>0.54849537037036999</v>
      </c>
      <c r="F8" s="14">
        <f t="shared" si="1"/>
        <v>4.7513888888888882</v>
      </c>
      <c r="G8" s="15">
        <f t="shared" si="2"/>
        <v>4.7513888888888882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46182.791528703703</v>
      </c>
      <c r="B9" s="7" t="s">
        <v>72</v>
      </c>
      <c r="C9" s="13">
        <v>0.79152777777777805</v>
      </c>
      <c r="D9" s="13" t="s">
        <v>62</v>
      </c>
      <c r="E9" s="13">
        <v>0.94526620370370396</v>
      </c>
      <c r="F9" s="14">
        <f t="shared" si="1"/>
        <v>3.6897222222222217</v>
      </c>
      <c r="G9" s="15">
        <f t="shared" si="2"/>
        <v>3.6897222222222217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46183.291244560198</v>
      </c>
      <c r="B10" s="7" t="s">
        <v>72</v>
      </c>
      <c r="C10" s="13">
        <v>0.29123842592592603</v>
      </c>
      <c r="D10" s="13" t="s">
        <v>62</v>
      </c>
      <c r="E10" s="13">
        <v>0.54965277777777799</v>
      </c>
      <c r="F10" s="14">
        <f t="shared" si="1"/>
        <v>6.2019444444444467</v>
      </c>
      <c r="G10" s="15">
        <f t="shared" si="2"/>
        <v>5.1916666666666798</v>
      </c>
      <c r="H10" s="15">
        <f t="shared" si="3"/>
        <v>1.0102777777777669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46183.936650463002</v>
      </c>
      <c r="B11" s="7" t="s">
        <v>72</v>
      </c>
      <c r="C11" s="13">
        <v>0.93664351851851801</v>
      </c>
      <c r="D11" s="13" t="s">
        <v>62</v>
      </c>
      <c r="E11" s="13">
        <v>0.138275462962963</v>
      </c>
      <c r="F11" s="14">
        <f t="shared" si="1"/>
        <v>4.8391666666666797</v>
      </c>
      <c r="G11" s="15">
        <f t="shared" si="2"/>
        <v>1.5205555555555677</v>
      </c>
      <c r="H11" s="15">
        <f t="shared" si="3"/>
        <v>3.3186111111111121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46186.538161226898</v>
      </c>
      <c r="B12" s="7" t="s">
        <v>72</v>
      </c>
      <c r="C12" s="13">
        <v>0.53815972222222197</v>
      </c>
      <c r="D12" s="13" t="s">
        <v>62</v>
      </c>
      <c r="E12" s="13">
        <v>0.79777777777777803</v>
      </c>
      <c r="F12" s="14">
        <f t="shared" si="1"/>
        <v>6.2308333333333454</v>
      </c>
      <c r="G12" s="15">
        <f t="shared" si="2"/>
        <v>6.2308333333333454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46187.1310226852</v>
      </c>
      <c r="B13" s="7" t="s">
        <v>72</v>
      </c>
      <c r="C13" s="13">
        <v>0.13101851851851901</v>
      </c>
      <c r="D13" s="13" t="s">
        <v>62</v>
      </c>
      <c r="E13" s="13">
        <v>0.29939814814814802</v>
      </c>
      <c r="F13" s="14">
        <f t="shared" si="1"/>
        <v>4.0411111111110962</v>
      </c>
      <c r="G13" s="15">
        <f t="shared" si="2"/>
        <v>0</v>
      </c>
      <c r="H13" s="15">
        <f t="shared" si="3"/>
        <v>4.0411111111110962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46187.792171527799</v>
      </c>
      <c r="B14" s="7" t="s">
        <v>72</v>
      </c>
      <c r="C14" s="13">
        <v>0.79216435185185197</v>
      </c>
      <c r="D14" s="13" t="s">
        <v>62</v>
      </c>
      <c r="E14" s="13">
        <v>0.94348379629629597</v>
      </c>
      <c r="F14" s="14">
        <f t="shared" si="1"/>
        <v>3.6316666666666562</v>
      </c>
      <c r="G14" s="15">
        <f t="shared" si="2"/>
        <v>3.6316666666666562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46188.291865277803</v>
      </c>
      <c r="B15" s="7" t="s">
        <v>72</v>
      </c>
      <c r="C15" s="13">
        <v>0.29186342592592601</v>
      </c>
      <c r="D15" s="13" t="s">
        <v>62</v>
      </c>
      <c r="E15" s="13">
        <v>0.36565972222222198</v>
      </c>
      <c r="F15" s="14">
        <f t="shared" si="1"/>
        <v>1.7711111111111033</v>
      </c>
      <c r="G15" s="15">
        <f t="shared" si="2"/>
        <v>0.77583333333333604</v>
      </c>
      <c r="H15" s="15">
        <f t="shared" si="3"/>
        <v>0.99527777777776727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46190.797075925897</v>
      </c>
      <c r="B16" s="7" t="s">
        <v>72</v>
      </c>
      <c r="C16" s="13">
        <v>0.79707175925925899</v>
      </c>
      <c r="D16" s="13" t="s">
        <v>62</v>
      </c>
      <c r="E16" s="13">
        <v>0.94469907407407405</v>
      </c>
      <c r="F16" s="14">
        <f t="shared" si="1"/>
        <v>3.5430555555555614</v>
      </c>
      <c r="G16" s="15">
        <f t="shared" si="2"/>
        <v>3.5430555555555614</v>
      </c>
      <c r="H16" s="15">
        <f t="shared" si="3"/>
        <v>0</v>
      </c>
      <c r="I16" s="37" t="s">
        <v>63</v>
      </c>
      <c r="J16" s="38">
        <f t="shared" ref="J16:L16" si="4">J3</f>
        <v>81.169166666666612</v>
      </c>
      <c r="K16" s="39">
        <f t="shared" si="4"/>
        <v>60.410000000000039</v>
      </c>
      <c r="L16" s="40">
        <f t="shared" si="4"/>
        <v>20.759166666666598</v>
      </c>
      <c r="M16" s="41"/>
    </row>
    <row r="17" spans="1:13" ht="20.25" x14ac:dyDescent="0.25">
      <c r="A17" s="12">
        <f t="shared" ca="1" si="0"/>
        <v>46191.539817939803</v>
      </c>
      <c r="B17" s="7" t="s">
        <v>72</v>
      </c>
      <c r="C17" s="13">
        <v>0.53981481481481497</v>
      </c>
      <c r="D17" s="13" t="s">
        <v>62</v>
      </c>
      <c r="E17" s="13">
        <v>0.79578703703703701</v>
      </c>
      <c r="F17" s="14">
        <f t="shared" si="1"/>
        <v>6.1433333333333291</v>
      </c>
      <c r="G17" s="15">
        <f t="shared" si="2"/>
        <v>6.1433333333333291</v>
      </c>
      <c r="H17" s="15">
        <f t="shared" si="3"/>
        <v>0</v>
      </c>
      <c r="I17" s="37" t="s">
        <v>79</v>
      </c>
      <c r="J17" s="38">
        <f>J4+J5+J6+J7+J10</f>
        <v>4.1280555555555605</v>
      </c>
      <c r="K17" s="39">
        <f>K4+K5+K6+K7+K10</f>
        <v>1.1744444444444406</v>
      </c>
      <c r="L17" s="40">
        <f>L4+L5+L6+L7+L10</f>
        <v>2.9536111111111198</v>
      </c>
      <c r="M17" s="41"/>
    </row>
    <row r="18" spans="1:13" ht="20.25" x14ac:dyDescent="0.25">
      <c r="A18" s="12">
        <f t="shared" ca="1" si="0"/>
        <v>46192.131076388898</v>
      </c>
      <c r="B18" s="7" t="s">
        <v>72</v>
      </c>
      <c r="C18" s="13">
        <v>0.13107638888888901</v>
      </c>
      <c r="D18" s="13" t="s">
        <v>62</v>
      </c>
      <c r="E18" s="13">
        <v>0.29076388888888899</v>
      </c>
      <c r="F18" s="14">
        <f t="shared" si="1"/>
        <v>3.8324999999999996</v>
      </c>
      <c r="G18" s="15">
        <f t="shared" si="2"/>
        <v>0</v>
      </c>
      <c r="H18" s="15">
        <f t="shared" si="3"/>
        <v>3.8324999999999996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46194.353551157401</v>
      </c>
      <c r="B19" s="7" t="s">
        <v>72</v>
      </c>
      <c r="C19" s="13">
        <v>0.35354166666666698</v>
      </c>
      <c r="D19" s="13" t="s">
        <v>62</v>
      </c>
      <c r="E19" s="13">
        <v>0.53004629629629596</v>
      </c>
      <c r="F19" s="14">
        <f t="shared" si="1"/>
        <v>4.2361111111110956</v>
      </c>
      <c r="G19" s="15">
        <f t="shared" si="2"/>
        <v>4.2361111111110956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46194.766495370401</v>
      </c>
      <c r="B20" s="7" t="s">
        <v>72</v>
      </c>
      <c r="C20" s="13">
        <v>0.76649305555555503</v>
      </c>
      <c r="D20" s="13" t="s">
        <v>62</v>
      </c>
      <c r="E20" s="13">
        <v>0.94537037037036997</v>
      </c>
      <c r="F20" s="14">
        <f t="shared" si="1"/>
        <v>4.2930555555555587</v>
      </c>
      <c r="G20" s="15">
        <f t="shared" si="2"/>
        <v>4.2930555555555587</v>
      </c>
      <c r="H20" s="15">
        <f t="shared" si="3"/>
        <v>0</v>
      </c>
      <c r="I20" s="42" t="s">
        <v>81</v>
      </c>
      <c r="J20" s="65">
        <f>J16+J17+J18+J19</f>
        <v>85.297222222222175</v>
      </c>
      <c r="K20" s="66"/>
      <c r="L20" s="67"/>
      <c r="M20" s="43"/>
    </row>
    <row r="21" spans="1:13" ht="20.25" x14ac:dyDescent="0.25">
      <c r="A21" s="12">
        <f t="shared" ca="1" si="0"/>
        <v>46202.9510703704</v>
      </c>
      <c r="B21" s="7" t="s">
        <v>69</v>
      </c>
      <c r="C21" s="13">
        <v>0.95106481481481497</v>
      </c>
      <c r="D21" s="13" t="s">
        <v>62</v>
      </c>
      <c r="E21" s="13">
        <v>0.12306712962963</v>
      </c>
      <c r="F21" s="14">
        <f t="shared" si="1"/>
        <v>4.1280555555555605</v>
      </c>
      <c r="G21" s="15">
        <f t="shared" si="2"/>
        <v>1.1744444444444406</v>
      </c>
      <c r="H21" s="15">
        <f t="shared" si="3"/>
        <v>2.9536111111111198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46174.353519675897</v>
      </c>
      <c r="B3" s="7" t="s">
        <v>66</v>
      </c>
      <c r="C3" s="13">
        <v>0.35351851851851901</v>
      </c>
      <c r="D3" s="13" t="s">
        <v>62</v>
      </c>
      <c r="E3" s="13">
        <v>0.52524305555555595</v>
      </c>
      <c r="F3" s="14">
        <f t="shared" ref="F3:F42" si="1">(IF(E3-C3&lt;0,"24:00"-C3+E3,E3-C3))*24</f>
        <v>4.1213888888888865</v>
      </c>
      <c r="G3" s="15">
        <f t="shared" ref="G3:G42" si="2">F3-H3</f>
        <v>4.1213888888888865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46174.687341203702</v>
      </c>
      <c r="B4" s="7" t="s">
        <v>69</v>
      </c>
      <c r="C4" s="13">
        <v>0.68733796296296301</v>
      </c>
      <c r="D4" s="13" t="s">
        <v>62</v>
      </c>
      <c r="E4" s="13">
        <v>0.778402777777778</v>
      </c>
      <c r="F4" s="14">
        <f t="shared" si="1"/>
        <v>2.1855555555555597</v>
      </c>
      <c r="G4" s="15">
        <f t="shared" si="2"/>
        <v>2.1855555555555597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48.685277777777792</v>
      </c>
      <c r="K4" s="25">
        <f>SUMIF(B:B,"西塔台管制席",G:G)+SUMIF(B:B,"东塔台管制席",G:G)</f>
        <v>26.683888888888898</v>
      </c>
      <c r="L4" s="25">
        <f>SUMIF(B:B,"西塔台管制席",H:H)+SUMIF(B:B,"东塔台管制席",H:H)</f>
        <v>22.00138888888889</v>
      </c>
      <c r="M4" s="21"/>
    </row>
    <row r="5" spans="1:16" ht="18.75" x14ac:dyDescent="0.25">
      <c r="A5" s="12">
        <f t="shared" ca="1" si="0"/>
        <v>46174.854263078698</v>
      </c>
      <c r="B5" s="7" t="s">
        <v>69</v>
      </c>
      <c r="C5" s="13">
        <v>0.85425925925925905</v>
      </c>
      <c r="D5" s="13" t="s">
        <v>62</v>
      </c>
      <c r="E5" s="13">
        <v>0.95840277777777805</v>
      </c>
      <c r="F5" s="14">
        <f t="shared" si="1"/>
        <v>2.4994444444444559</v>
      </c>
      <c r="G5" s="15">
        <f t="shared" si="2"/>
        <v>2.4994444444444559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25.51888888888886</v>
      </c>
      <c r="K5" s="25">
        <f>SUMIF(B:B,"西塔台协调席",G:G)+SUMIF(B:B,"东塔台协调席",G:G)</f>
        <v>19.246944444444431</v>
      </c>
      <c r="L5" s="25">
        <f>SUMIF(B:B,"西塔台协调席",H:H)+SUMIF(B:B,"东塔台协调席",H:H)</f>
        <v>6.271944444444431</v>
      </c>
      <c r="M5" s="21"/>
    </row>
    <row r="6" spans="1:16" ht="18.75" x14ac:dyDescent="0.25">
      <c r="A6" s="12">
        <f t="shared" ca="1" si="0"/>
        <v>46175.292905786999</v>
      </c>
      <c r="B6" s="7" t="s">
        <v>69</v>
      </c>
      <c r="C6" s="13">
        <v>0.29290509259259301</v>
      </c>
      <c r="D6" s="13" t="s">
        <v>62</v>
      </c>
      <c r="E6" s="13">
        <v>0.42785879629629597</v>
      </c>
      <c r="F6" s="14">
        <f t="shared" si="1"/>
        <v>3.2388888888888712</v>
      </c>
      <c r="G6" s="15">
        <f t="shared" si="2"/>
        <v>2.2686111111111118</v>
      </c>
      <c r="H6" s="15">
        <f t="shared" si="3"/>
        <v>0.97027777777775936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46175.521356597201</v>
      </c>
      <c r="B7" s="7" t="s">
        <v>66</v>
      </c>
      <c r="C7" s="13">
        <v>0.52087962962962997</v>
      </c>
      <c r="D7" s="13" t="s">
        <v>62</v>
      </c>
      <c r="E7" s="13">
        <v>0.63392361111111095</v>
      </c>
      <c r="F7" s="14">
        <f t="shared" si="1"/>
        <v>2.7130555555555436</v>
      </c>
      <c r="G7" s="15">
        <f t="shared" si="2"/>
        <v>2.7130555555555436</v>
      </c>
      <c r="H7" s="15">
        <f t="shared" si="3"/>
        <v>0</v>
      </c>
      <c r="I7" s="23" t="s">
        <v>70</v>
      </c>
      <c r="J7" s="24">
        <f>SUMIF(B:B,"地面席",F:F)</f>
        <v>1.3238888888888882</v>
      </c>
      <c r="K7" s="25">
        <f>SUMIF(B:B,"地面席",G:G)</f>
        <v>0</v>
      </c>
      <c r="L7" s="25">
        <f>SUMIF(B:B,"地面席",H:H)</f>
        <v>1.3238888888888882</v>
      </c>
      <c r="M7" s="21"/>
    </row>
    <row r="8" spans="1:16" ht="18.75" x14ac:dyDescent="0.25">
      <c r="A8" s="12">
        <f t="shared" ca="1" si="0"/>
        <v>46175.771228703699</v>
      </c>
      <c r="B8" s="7" t="s">
        <v>61</v>
      </c>
      <c r="C8" s="13">
        <v>0.77122685185185202</v>
      </c>
      <c r="D8" s="13" t="s">
        <v>62</v>
      </c>
      <c r="E8" s="13">
        <v>0.861296296296296</v>
      </c>
      <c r="F8" s="14">
        <f t="shared" si="1"/>
        <v>2.1616666666666555</v>
      </c>
      <c r="G8" s="15">
        <f t="shared" si="2"/>
        <v>2.1616666666666555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46179.013252430603</v>
      </c>
      <c r="B9" s="7" t="s">
        <v>61</v>
      </c>
      <c r="C9" s="13">
        <v>1.32523148148148E-2</v>
      </c>
      <c r="D9" s="13" t="s">
        <v>62</v>
      </c>
      <c r="E9" s="13">
        <v>0.14400462962963001</v>
      </c>
      <c r="F9" s="14">
        <f t="shared" si="1"/>
        <v>3.1380555555555647</v>
      </c>
      <c r="G9" s="15">
        <f t="shared" si="2"/>
        <v>0</v>
      </c>
      <c r="H9" s="15">
        <f t="shared" si="3"/>
        <v>3.1380555555555647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46179.545717824098</v>
      </c>
      <c r="B10" s="7" t="s">
        <v>85</v>
      </c>
      <c r="C10" s="13">
        <v>0.54577546296296298</v>
      </c>
      <c r="D10" s="13" t="s">
        <v>62</v>
      </c>
      <c r="E10" s="13">
        <v>0.57932870370370404</v>
      </c>
      <c r="F10" s="14">
        <f t="shared" si="1"/>
        <v>0.80527777777778553</v>
      </c>
      <c r="G10" s="15">
        <f t="shared" si="2"/>
        <v>0.80527777777778553</v>
      </c>
      <c r="H10" s="15">
        <f t="shared" si="3"/>
        <v>0</v>
      </c>
      <c r="I10" s="23" t="s">
        <v>74</v>
      </c>
      <c r="J10" s="24">
        <f>SUMIF(B:B,"综合协调席",F:F)</f>
        <v>2.3622222222222273</v>
      </c>
      <c r="K10" s="25">
        <f>SUMIF(B:B,"综合协调席",G:G)</f>
        <v>2.3622222222222273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46180.1387972222</v>
      </c>
      <c r="B11" s="7" t="s">
        <v>69</v>
      </c>
      <c r="C11" s="13">
        <v>0.138796296296296</v>
      </c>
      <c r="D11" s="13" t="s">
        <v>62</v>
      </c>
      <c r="E11" s="13">
        <v>0.228217592592593</v>
      </c>
      <c r="F11" s="14">
        <f t="shared" si="1"/>
        <v>2.1461111111111277</v>
      </c>
      <c r="G11" s="15">
        <f t="shared" si="2"/>
        <v>0</v>
      </c>
      <c r="H11" s="15">
        <f t="shared" si="3"/>
        <v>2.1461111111111277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46182.983212152802</v>
      </c>
      <c r="B12" s="7" t="s">
        <v>61</v>
      </c>
      <c r="C12" s="13">
        <v>0.98320601851851896</v>
      </c>
      <c r="D12" s="13" t="s">
        <v>62</v>
      </c>
      <c r="E12" s="13">
        <v>0.11849537037037</v>
      </c>
      <c r="F12" s="14">
        <f t="shared" si="1"/>
        <v>3.2469444444444249</v>
      </c>
      <c r="G12" s="15">
        <f t="shared" si="2"/>
        <v>0.40305555555554484</v>
      </c>
      <c r="H12" s="15">
        <f t="shared" si="3"/>
        <v>2.84388888888888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46183.548132638898</v>
      </c>
      <c r="B13" s="7" t="s">
        <v>85</v>
      </c>
      <c r="C13" s="13">
        <v>0.54812499999999997</v>
      </c>
      <c r="D13" s="13" t="s">
        <v>62</v>
      </c>
      <c r="E13" s="13">
        <v>0.61299768518518505</v>
      </c>
      <c r="F13" s="14">
        <f t="shared" si="1"/>
        <v>1.5569444444444418</v>
      </c>
      <c r="G13" s="15">
        <f t="shared" si="2"/>
        <v>1.5569444444444418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46184.1390896991</v>
      </c>
      <c r="B14" s="7" t="s">
        <v>61</v>
      </c>
      <c r="C14" s="13">
        <v>0.139085648148148</v>
      </c>
      <c r="D14" s="13" t="s">
        <v>62</v>
      </c>
      <c r="E14" s="13">
        <v>0.230856481481481</v>
      </c>
      <c r="F14" s="14">
        <f t="shared" si="1"/>
        <v>2.2024999999999917</v>
      </c>
      <c r="G14" s="15">
        <f t="shared" si="2"/>
        <v>0</v>
      </c>
      <c r="H14" s="15">
        <f t="shared" si="3"/>
        <v>2.2024999999999917</v>
      </c>
      <c r="I14" s="69"/>
      <c r="J14" s="69"/>
      <c r="K14" s="69"/>
      <c r="L14" s="69"/>
      <c r="M14" s="69"/>
    </row>
    <row r="15" spans="1:16" ht="101.25" x14ac:dyDescent="0.15">
      <c r="A15" s="12" t="str">
        <f t="shared" ca="1" si="0"/>
        <v/>
      </c>
      <c r="B15" s="7"/>
      <c r="C15" s="13"/>
      <c r="D15" s="13"/>
      <c r="E15" s="13"/>
      <c r="F15" s="14">
        <f t="shared" si="1"/>
        <v>0</v>
      </c>
      <c r="G15" s="15">
        <f t="shared" si="2"/>
        <v>0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46184.230935995402</v>
      </c>
      <c r="B16" s="7" t="s">
        <v>64</v>
      </c>
      <c r="C16" s="13">
        <v>0.23092592592592601</v>
      </c>
      <c r="D16" s="13" t="s">
        <v>62</v>
      </c>
      <c r="E16" s="13">
        <v>0.29912037037036998</v>
      </c>
      <c r="F16" s="14">
        <f t="shared" si="1"/>
        <v>1.6366666666666554</v>
      </c>
      <c r="G16" s="15">
        <f t="shared" si="2"/>
        <v>0</v>
      </c>
      <c r="H16" s="15">
        <f t="shared" si="3"/>
        <v>1.6366666666666554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46186.519732523098</v>
      </c>
      <c r="B17" s="7" t="s">
        <v>69</v>
      </c>
      <c r="C17" s="13">
        <v>0.51972222222222197</v>
      </c>
      <c r="D17" s="13" t="s">
        <v>62</v>
      </c>
      <c r="E17" s="13">
        <v>0.69516203703703705</v>
      </c>
      <c r="F17" s="14">
        <f t="shared" si="1"/>
        <v>4.2105555555555618</v>
      </c>
      <c r="G17" s="15">
        <f t="shared" si="2"/>
        <v>4.2105555555555618</v>
      </c>
      <c r="H17" s="15">
        <f t="shared" si="3"/>
        <v>0</v>
      </c>
      <c r="I17" s="37" t="s">
        <v>79</v>
      </c>
      <c r="J17" s="38">
        <f>J4+J5+J6+J7+J10</f>
        <v>77.890277777777769</v>
      </c>
      <c r="K17" s="39">
        <f>K4+K5+K6+K7+K10</f>
        <v>48.293055555555554</v>
      </c>
      <c r="L17" s="40">
        <f>L4+L5+L6+L7+L10</f>
        <v>29.597222222222207</v>
      </c>
      <c r="M17" s="41"/>
    </row>
    <row r="18" spans="1:13" ht="20.25" x14ac:dyDescent="0.25">
      <c r="A18" s="12">
        <f t="shared" ca="1" si="0"/>
        <v>46186.770887152801</v>
      </c>
      <c r="B18" s="7" t="s">
        <v>64</v>
      </c>
      <c r="C18" s="13">
        <v>0.77087962962962997</v>
      </c>
      <c r="D18" s="13" t="s">
        <v>62</v>
      </c>
      <c r="E18" s="13">
        <v>0.86309027777777803</v>
      </c>
      <c r="F18" s="14">
        <f t="shared" si="1"/>
        <v>2.2130555555555533</v>
      </c>
      <c r="G18" s="15">
        <f t="shared" si="2"/>
        <v>2.2130555555555533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46187.542089467599</v>
      </c>
      <c r="B19" s="7" t="s">
        <v>61</v>
      </c>
      <c r="C19" s="13">
        <v>0.54208333333333303</v>
      </c>
      <c r="D19" s="13" t="s">
        <v>62</v>
      </c>
      <c r="E19" s="13">
        <v>0.65417824074074105</v>
      </c>
      <c r="F19" s="14">
        <f t="shared" si="1"/>
        <v>2.6902777777777924</v>
      </c>
      <c r="G19" s="15">
        <f t="shared" si="2"/>
        <v>2.6902777777777924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46187.7923934028</v>
      </c>
      <c r="B20" s="7" t="s">
        <v>61</v>
      </c>
      <c r="C20" s="13">
        <v>0.79238425925925904</v>
      </c>
      <c r="D20" s="13" t="s">
        <v>62</v>
      </c>
      <c r="E20" s="13">
        <v>0.90415509259259297</v>
      </c>
      <c r="F20" s="14">
        <f t="shared" si="1"/>
        <v>2.6825000000000143</v>
      </c>
      <c r="G20" s="15">
        <f t="shared" si="2"/>
        <v>2.6825000000000143</v>
      </c>
      <c r="H20" s="15">
        <f t="shared" si="3"/>
        <v>0</v>
      </c>
      <c r="I20" s="42" t="s">
        <v>81</v>
      </c>
      <c r="J20" s="65">
        <f>J16+J17+J18+J19</f>
        <v>77.890277777777769</v>
      </c>
      <c r="K20" s="66"/>
      <c r="L20" s="67"/>
      <c r="M20" s="43"/>
    </row>
    <row r="21" spans="1:13" ht="20.25" x14ac:dyDescent="0.25">
      <c r="A21" s="12">
        <f t="shared" ca="1" si="0"/>
        <v>46188.291778819403</v>
      </c>
      <c r="B21" s="7" t="s">
        <v>69</v>
      </c>
      <c r="C21" s="13">
        <v>0.29177083333333298</v>
      </c>
      <c r="D21" s="13" t="s">
        <v>62</v>
      </c>
      <c r="E21" s="13">
        <v>0.34474537037037001</v>
      </c>
      <c r="F21" s="14">
        <f t="shared" si="1"/>
        <v>1.2713888888888887</v>
      </c>
      <c r="G21" s="15">
        <f t="shared" si="2"/>
        <v>0.27388888888888863</v>
      </c>
      <c r="H21" s="15">
        <f t="shared" si="3"/>
        <v>0.99750000000000005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46188.344789120398</v>
      </c>
      <c r="B22" s="7" t="s">
        <v>61</v>
      </c>
      <c r="C22" s="13">
        <v>0.34592592592592603</v>
      </c>
      <c r="D22" s="13" t="s">
        <v>62</v>
      </c>
      <c r="E22" s="13">
        <v>0.37048611111111102</v>
      </c>
      <c r="F22" s="14">
        <f t="shared" si="1"/>
        <v>0.58944444444443977</v>
      </c>
      <c r="G22" s="15">
        <f t="shared" si="2"/>
        <v>0.58944444444443977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46191.013520138898</v>
      </c>
      <c r="B23" s="7" t="s">
        <v>69</v>
      </c>
      <c r="C23" s="13">
        <v>1.3518518518518499E-2</v>
      </c>
      <c r="D23" s="13" t="s">
        <v>62</v>
      </c>
      <c r="E23" s="13">
        <v>0.146493055555556</v>
      </c>
      <c r="F23" s="14">
        <f t="shared" si="1"/>
        <v>3.1913888888888997</v>
      </c>
      <c r="G23" s="15">
        <f t="shared" si="2"/>
        <v>0</v>
      </c>
      <c r="H23" s="15">
        <f t="shared" si="3"/>
        <v>3.1913888888888997</v>
      </c>
      <c r="I23"/>
      <c r="J23"/>
    </row>
    <row r="24" spans="1:13" ht="18.75" x14ac:dyDescent="0.15">
      <c r="A24" s="12">
        <f t="shared" ca="1" si="0"/>
        <v>46191.1516984954</v>
      </c>
      <c r="B24" s="7" t="s">
        <v>82</v>
      </c>
      <c r="C24" s="13">
        <v>0.151689814814815</v>
      </c>
      <c r="D24" s="13" t="s">
        <v>62</v>
      </c>
      <c r="E24" s="13">
        <v>0.20685185185185201</v>
      </c>
      <c r="F24" s="14">
        <f t="shared" si="1"/>
        <v>1.3238888888888882</v>
      </c>
      <c r="G24" s="15">
        <f t="shared" si="2"/>
        <v>0</v>
      </c>
      <c r="H24" s="15">
        <f t="shared" si="3"/>
        <v>1.3238888888888882</v>
      </c>
      <c r="I24"/>
      <c r="J24"/>
    </row>
    <row r="25" spans="1:13" ht="18.75" x14ac:dyDescent="0.15">
      <c r="A25" s="12">
        <f t="shared" ca="1" si="0"/>
        <v>46192.138734259301</v>
      </c>
      <c r="B25" s="7" t="s">
        <v>61</v>
      </c>
      <c r="C25" s="13">
        <v>0.13872685185185199</v>
      </c>
      <c r="D25" s="13" t="s">
        <v>62</v>
      </c>
      <c r="E25" s="13">
        <v>0.27703703703703703</v>
      </c>
      <c r="F25" s="14">
        <f t="shared" si="1"/>
        <v>3.3194444444444411</v>
      </c>
      <c r="G25" s="15">
        <f t="shared" si="2"/>
        <v>0</v>
      </c>
      <c r="H25" s="15">
        <f t="shared" si="3"/>
        <v>3.3194444444444411</v>
      </c>
      <c r="I25"/>
      <c r="J25"/>
    </row>
    <row r="26" spans="1:13" ht="18.75" x14ac:dyDescent="0.15">
      <c r="A26" s="12">
        <f t="shared" ca="1" si="0"/>
        <v>46192.277082986097</v>
      </c>
      <c r="B26" s="7" t="s">
        <v>64</v>
      </c>
      <c r="C26" s="13">
        <v>0.27708333333333302</v>
      </c>
      <c r="D26" s="13" t="s">
        <v>62</v>
      </c>
      <c r="E26" s="13">
        <v>0.305034722222222</v>
      </c>
      <c r="F26" s="14">
        <f t="shared" si="1"/>
        <v>0.67083333333333561</v>
      </c>
      <c r="G26" s="15">
        <f t="shared" si="2"/>
        <v>0</v>
      </c>
      <c r="H26" s="15">
        <f t="shared" si="3"/>
        <v>0.67083333333333561</v>
      </c>
      <c r="I26"/>
      <c r="J26"/>
    </row>
    <row r="27" spans="1:13" ht="18.75" x14ac:dyDescent="0.15">
      <c r="A27" s="12">
        <f t="shared" ca="1" si="0"/>
        <v>46195.951074189798</v>
      </c>
      <c r="B27" s="7" t="s">
        <v>64</v>
      </c>
      <c r="C27" s="13">
        <v>0.95106481481481497</v>
      </c>
      <c r="D27" s="13" t="s">
        <v>62</v>
      </c>
      <c r="E27" s="13">
        <v>0.13226851851851901</v>
      </c>
      <c r="F27" s="14">
        <f t="shared" si="1"/>
        <v>4.3488888888888972</v>
      </c>
      <c r="G27" s="15">
        <f t="shared" si="2"/>
        <v>1.1744444444444411</v>
      </c>
      <c r="H27" s="15">
        <f t="shared" si="3"/>
        <v>3.1744444444444562</v>
      </c>
      <c r="I27"/>
      <c r="J27"/>
    </row>
    <row r="28" spans="1:13" ht="18.75" x14ac:dyDescent="0.15">
      <c r="A28" s="12">
        <f t="shared" ca="1" si="0"/>
        <v>46198.359464120404</v>
      </c>
      <c r="B28" s="7" t="s">
        <v>64</v>
      </c>
      <c r="C28" s="13">
        <v>0.35945601851851799</v>
      </c>
      <c r="D28" s="13" t="s">
        <v>62</v>
      </c>
      <c r="E28" s="13">
        <v>0.53027777777777796</v>
      </c>
      <c r="F28" s="14">
        <f t="shared" si="1"/>
        <v>4.0997222222222387</v>
      </c>
      <c r="G28" s="15">
        <f t="shared" si="2"/>
        <v>4.0997222222222387</v>
      </c>
      <c r="H28" s="15">
        <f t="shared" si="3"/>
        <v>0</v>
      </c>
      <c r="I28"/>
      <c r="J28"/>
    </row>
    <row r="29" spans="1:13" ht="18.75" x14ac:dyDescent="0.15">
      <c r="A29" s="12">
        <f t="shared" ca="1" si="0"/>
        <v>46198.698487037</v>
      </c>
      <c r="B29" s="7" t="s">
        <v>69</v>
      </c>
      <c r="C29" s="13">
        <v>0.69848379629629598</v>
      </c>
      <c r="D29" s="13" t="s">
        <v>62</v>
      </c>
      <c r="E29" s="13">
        <v>0.78096064814814803</v>
      </c>
      <c r="F29" s="14">
        <f t="shared" si="1"/>
        <v>1.9794444444444492</v>
      </c>
      <c r="G29" s="15">
        <f t="shared" si="2"/>
        <v>1.9794444444444492</v>
      </c>
      <c r="H29" s="15">
        <f t="shared" si="3"/>
        <v>0</v>
      </c>
      <c r="I29"/>
      <c r="J29"/>
    </row>
    <row r="30" spans="1:13" ht="18.75" x14ac:dyDescent="0.15">
      <c r="A30" s="12">
        <f t="shared" ca="1" si="0"/>
        <v>46198.854620486098</v>
      </c>
      <c r="B30" s="7" t="s">
        <v>69</v>
      </c>
      <c r="C30" s="13">
        <v>0.85461805555555603</v>
      </c>
      <c r="D30" s="13" t="s">
        <v>62</v>
      </c>
      <c r="E30" s="13">
        <v>0.96068287037037003</v>
      </c>
      <c r="F30" s="14">
        <f t="shared" si="1"/>
        <v>2.545555555555536</v>
      </c>
      <c r="G30" s="15">
        <f t="shared" si="2"/>
        <v>2.545555555555536</v>
      </c>
      <c r="H30" s="15">
        <f t="shared" si="3"/>
        <v>0</v>
      </c>
      <c r="I30"/>
      <c r="J30"/>
    </row>
    <row r="31" spans="1:13" ht="18.75" x14ac:dyDescent="0.15">
      <c r="A31" s="12">
        <f t="shared" ca="1" si="0"/>
        <v>46199.3004194444</v>
      </c>
      <c r="B31" s="7" t="s">
        <v>64</v>
      </c>
      <c r="C31" s="13">
        <v>0.300416666666667</v>
      </c>
      <c r="D31" s="13" t="s">
        <v>62</v>
      </c>
      <c r="E31" s="13">
        <v>0.42569444444444399</v>
      </c>
      <c r="F31" s="14">
        <f t="shared" si="1"/>
        <v>3.0066666666666477</v>
      </c>
      <c r="G31" s="15">
        <f t="shared" si="2"/>
        <v>2.2166666666666641</v>
      </c>
      <c r="H31" s="15">
        <f t="shared" si="3"/>
        <v>0.7899999999999836</v>
      </c>
      <c r="I31"/>
      <c r="J31"/>
    </row>
    <row r="32" spans="1:13" ht="18.75" x14ac:dyDescent="0.15">
      <c r="A32" s="12">
        <f t="shared" ca="1" si="0"/>
        <v>46199.520575463001</v>
      </c>
      <c r="B32" s="7" t="s">
        <v>66</v>
      </c>
      <c r="C32" s="13">
        <v>0.52056712962963003</v>
      </c>
      <c r="D32" s="13" t="s">
        <v>62</v>
      </c>
      <c r="E32" s="13">
        <v>0.63342592592592595</v>
      </c>
      <c r="F32" s="14">
        <f t="shared" si="1"/>
        <v>2.708611111111102</v>
      </c>
      <c r="G32" s="15">
        <f t="shared" si="2"/>
        <v>2.708611111111102</v>
      </c>
      <c r="H32" s="15">
        <f t="shared" si="3"/>
        <v>0</v>
      </c>
      <c r="I32"/>
      <c r="J32"/>
    </row>
    <row r="33" spans="1:11" ht="18.75" x14ac:dyDescent="0.15">
      <c r="A33" s="12">
        <f t="shared" ca="1" si="0"/>
        <v>46199.7714291667</v>
      </c>
      <c r="B33" s="7" t="s">
        <v>69</v>
      </c>
      <c r="C33" s="13">
        <v>0.77142361111111102</v>
      </c>
      <c r="D33" s="13" t="s">
        <v>62</v>
      </c>
      <c r="E33" s="13">
        <v>0.86283564814814795</v>
      </c>
      <c r="F33" s="14">
        <f t="shared" si="1"/>
        <v>2.1938888888888863</v>
      </c>
      <c r="G33" s="15">
        <f t="shared" si="2"/>
        <v>2.1938888888888863</v>
      </c>
      <c r="H33" s="15">
        <f t="shared" si="3"/>
        <v>0</v>
      </c>
      <c r="I33"/>
      <c r="J33"/>
    </row>
    <row r="34" spans="1:11" ht="18.75" x14ac:dyDescent="0.15">
      <c r="A34" s="12">
        <f t="shared" ca="1" si="0"/>
        <v>46203.013521412002</v>
      </c>
      <c r="B34" s="7" t="s">
        <v>61</v>
      </c>
      <c r="C34" s="13">
        <v>1.3518518518518499E-2</v>
      </c>
      <c r="D34" s="13" t="s">
        <v>62</v>
      </c>
      <c r="E34" s="13">
        <v>0.14652777777777801</v>
      </c>
      <c r="F34" s="14">
        <f t="shared" si="1"/>
        <v>3.1922222222222278</v>
      </c>
      <c r="G34" s="15">
        <f t="shared" si="2"/>
        <v>0</v>
      </c>
      <c r="H34" s="15">
        <f t="shared" si="3"/>
        <v>3.1922222222222278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42"/>
  <sheetViews>
    <sheetView zoomScale="85" zoomScaleNormal="85" workbookViewId="0">
      <selection activeCell="AF46" sqref="AF46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46175.388279282401</v>
      </c>
      <c r="B3" s="7" t="s">
        <v>85</v>
      </c>
      <c r="C3" s="13">
        <v>0.388275462962963</v>
      </c>
      <c r="D3" s="13" t="s">
        <v>62</v>
      </c>
      <c r="E3" s="13">
        <v>0.48682870370370401</v>
      </c>
      <c r="F3" s="14">
        <f t="shared" ref="F3:F42" si="1">(IF(E3-C3&lt;0,"24:00"-C3+E3,E3-C3))*24</f>
        <v>2.3652777777777843</v>
      </c>
      <c r="G3" s="15">
        <f t="shared" ref="G3:G42" si="2">F3-H3</f>
        <v>2.3652777777777843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46176.8594459491</v>
      </c>
      <c r="B4" s="7" t="s">
        <v>85</v>
      </c>
      <c r="C4" s="13">
        <v>0.85944444444444401</v>
      </c>
      <c r="D4" s="13" t="s">
        <v>62</v>
      </c>
      <c r="E4" s="13">
        <v>0.89613425925925905</v>
      </c>
      <c r="F4" s="14">
        <f t="shared" si="1"/>
        <v>0.88055555555556086</v>
      </c>
      <c r="G4" s="15">
        <f t="shared" si="2"/>
        <v>0.88055555555556086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spans="1:16" ht="18.75" x14ac:dyDescent="0.25">
      <c r="A5" s="12">
        <f t="shared" ca="1" si="0"/>
        <v>46177.0388453704</v>
      </c>
      <c r="B5" s="7" t="s">
        <v>85</v>
      </c>
      <c r="C5" s="13">
        <v>3.8842592592592602E-2</v>
      </c>
      <c r="D5" s="13" t="s">
        <v>62</v>
      </c>
      <c r="E5" s="13">
        <v>8.7025462962962999E-2</v>
      </c>
      <c r="F5" s="14">
        <f t="shared" si="1"/>
        <v>1.1563888888888896</v>
      </c>
      <c r="G5" s="15">
        <f t="shared" si="2"/>
        <v>0</v>
      </c>
      <c r="H5" s="15">
        <f t="shared" si="3"/>
        <v>1.1563888888888896</v>
      </c>
      <c r="I5" s="23" t="s">
        <v>67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46177.449729282402</v>
      </c>
      <c r="B6" s="7" t="s">
        <v>85</v>
      </c>
      <c r="C6" s="13">
        <v>0.44972222222222202</v>
      </c>
      <c r="D6" s="13" t="s">
        <v>62</v>
      </c>
      <c r="E6" s="13">
        <v>0.50481481481481505</v>
      </c>
      <c r="F6" s="14">
        <f t="shared" si="1"/>
        <v>1.3222222222222326</v>
      </c>
      <c r="G6" s="15">
        <f t="shared" si="2"/>
        <v>1.3222222222222326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46180.3637564815</v>
      </c>
      <c r="B7" s="7" t="s">
        <v>85</v>
      </c>
      <c r="C7" s="13">
        <v>0.36375000000000002</v>
      </c>
      <c r="D7" s="13" t="s">
        <v>62</v>
      </c>
      <c r="E7" s="13">
        <v>0.47391203703703699</v>
      </c>
      <c r="F7" s="14">
        <f t="shared" si="1"/>
        <v>2.6438888888888874</v>
      </c>
      <c r="G7" s="15">
        <f t="shared" si="2"/>
        <v>2.6438888888888874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46180.890709953703</v>
      </c>
      <c r="B8" s="7" t="s">
        <v>85</v>
      </c>
      <c r="C8" s="13">
        <v>0.89070601851851805</v>
      </c>
      <c r="D8" s="13" t="s">
        <v>62</v>
      </c>
      <c r="E8" s="13">
        <v>0.97253472222222204</v>
      </c>
      <c r="F8" s="14">
        <f t="shared" si="1"/>
        <v>1.9638888888888957</v>
      </c>
      <c r="G8" s="15">
        <f t="shared" si="2"/>
        <v>1.9638888888888957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46183.432991203699</v>
      </c>
      <c r="B9" s="7" t="s">
        <v>85</v>
      </c>
      <c r="C9" s="13">
        <v>0.43298611111111102</v>
      </c>
      <c r="D9" s="13" t="s">
        <v>62</v>
      </c>
      <c r="E9" s="13">
        <v>0.51531249999999995</v>
      </c>
      <c r="F9" s="14">
        <f t="shared" si="1"/>
        <v>1.9758333333333344</v>
      </c>
      <c r="G9" s="15">
        <f t="shared" si="2"/>
        <v>1.9758333333333344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46183.638148611099</v>
      </c>
      <c r="B10" s="7" t="s">
        <v>85</v>
      </c>
      <c r="C10" s="13">
        <v>0.63814814814814802</v>
      </c>
      <c r="D10" s="13" t="s">
        <v>62</v>
      </c>
      <c r="E10" s="13">
        <v>0.71232638888888899</v>
      </c>
      <c r="F10" s="14">
        <f t="shared" si="1"/>
        <v>1.7802777777777834</v>
      </c>
      <c r="G10" s="15">
        <f t="shared" si="2"/>
        <v>1.7802777777777834</v>
      </c>
      <c r="H10" s="15">
        <f t="shared" si="3"/>
        <v>0</v>
      </c>
      <c r="I10" s="23" t="s">
        <v>74</v>
      </c>
      <c r="J10" s="24">
        <f>SUMIF(B:B,"综合协调席",F:F)</f>
        <v>38.715000000000032</v>
      </c>
      <c r="K10" s="25">
        <f>SUMIF(B:B,"综合协调席",G:G)</f>
        <v>37.558611111111141</v>
      </c>
      <c r="L10" s="25">
        <f>SUMIF(B:B,"综合协调席",H:H)</f>
        <v>1.1563888888888896</v>
      </c>
      <c r="M10" s="21"/>
    </row>
    <row r="11" spans="1:16" ht="18.75" x14ac:dyDescent="0.25">
      <c r="A11" s="12">
        <f t="shared" ca="1" si="0"/>
        <v>46188.378931712999</v>
      </c>
      <c r="B11" s="7" t="s">
        <v>85</v>
      </c>
      <c r="C11" s="13">
        <v>0.378923611111111</v>
      </c>
      <c r="D11" s="13" t="s">
        <v>62</v>
      </c>
      <c r="E11" s="13">
        <v>0.52291666666666703</v>
      </c>
      <c r="F11" s="14">
        <f t="shared" si="1"/>
        <v>3.4558333333333446</v>
      </c>
      <c r="G11" s="15">
        <f t="shared" si="2"/>
        <v>3.4558333333333446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46189.878188773102</v>
      </c>
      <c r="B12" s="7" t="s">
        <v>85</v>
      </c>
      <c r="C12" s="13">
        <v>0.87818287037037002</v>
      </c>
      <c r="D12" s="13" t="s">
        <v>62</v>
      </c>
      <c r="E12" s="13">
        <v>0.91200231481481497</v>
      </c>
      <c r="F12" s="14">
        <f t="shared" si="1"/>
        <v>0.81166666666667897</v>
      </c>
      <c r="G12" s="15">
        <f t="shared" si="2"/>
        <v>0.81166666666667897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46190.372293634297</v>
      </c>
      <c r="B13" s="7" t="s">
        <v>85</v>
      </c>
      <c r="C13" s="13">
        <v>0.37229166666666702</v>
      </c>
      <c r="D13" s="13" t="s">
        <v>62</v>
      </c>
      <c r="E13" s="13">
        <v>0.46252314814814799</v>
      </c>
      <c r="F13" s="14">
        <f t="shared" si="1"/>
        <v>2.1655555555555432</v>
      </c>
      <c r="G13" s="15">
        <f t="shared" si="2"/>
        <v>2.1655555555555432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46191.378531365699</v>
      </c>
      <c r="B14" s="7" t="s">
        <v>85</v>
      </c>
      <c r="C14" s="13">
        <v>0.37853009259259301</v>
      </c>
      <c r="D14" s="13" t="s">
        <v>62</v>
      </c>
      <c r="E14" s="13">
        <v>0.46386574074074099</v>
      </c>
      <c r="F14" s="14">
        <f t="shared" si="1"/>
        <v>2.0480555555555515</v>
      </c>
      <c r="G14" s="15">
        <f t="shared" si="2"/>
        <v>2.0480555555555515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46197.370777083299</v>
      </c>
      <c r="B15" s="7" t="s">
        <v>85</v>
      </c>
      <c r="C15" s="13">
        <v>0.37077546296296299</v>
      </c>
      <c r="D15" s="13" t="s">
        <v>62</v>
      </c>
      <c r="E15" s="13">
        <v>0.52003472222222202</v>
      </c>
      <c r="F15" s="14">
        <f t="shared" si="1"/>
        <v>3.5822222222222169</v>
      </c>
      <c r="G15" s="15">
        <f t="shared" si="2"/>
        <v>3.5822222222222169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46197.5538564815</v>
      </c>
      <c r="B16" s="7" t="s">
        <v>85</v>
      </c>
      <c r="C16" s="13">
        <v>0.55385416666666698</v>
      </c>
      <c r="D16" s="13" t="s">
        <v>62</v>
      </c>
      <c r="E16" s="13">
        <v>0.70090277777777799</v>
      </c>
      <c r="F16" s="14">
        <f t="shared" si="1"/>
        <v>3.5291666666666641</v>
      </c>
      <c r="G16" s="15">
        <f t="shared" si="2"/>
        <v>3.5291666666666641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46198.367767592601</v>
      </c>
      <c r="B17" s="7" t="s">
        <v>85</v>
      </c>
      <c r="C17" s="13">
        <v>0.367766203703704</v>
      </c>
      <c r="D17" s="13" t="s">
        <v>62</v>
      </c>
      <c r="E17" s="13">
        <v>0.46046296296296302</v>
      </c>
      <c r="F17" s="14">
        <f t="shared" si="1"/>
        <v>2.2247222222222165</v>
      </c>
      <c r="G17" s="15">
        <f t="shared" si="2"/>
        <v>2.2247222222222165</v>
      </c>
      <c r="H17" s="15">
        <f t="shared" si="3"/>
        <v>0</v>
      </c>
      <c r="I17" s="37" t="s">
        <v>79</v>
      </c>
      <c r="J17" s="38">
        <f>J4+J5+J6+J7+J10</f>
        <v>38.715000000000032</v>
      </c>
      <c r="K17" s="39">
        <f>K4+K5+K6+K7+K10</f>
        <v>37.558611111111141</v>
      </c>
      <c r="L17" s="40">
        <f>L4+L5+L6+L7+L10</f>
        <v>1.1563888888888896</v>
      </c>
      <c r="M17" s="41"/>
    </row>
    <row r="18" spans="1:13" ht="20.25" x14ac:dyDescent="0.25">
      <c r="A18" s="12">
        <f t="shared" ca="1" si="0"/>
        <v>46198.704670601903</v>
      </c>
      <c r="B18" s="7" t="s">
        <v>85</v>
      </c>
      <c r="C18" s="13">
        <v>0.70466435185185206</v>
      </c>
      <c r="D18" s="13" t="s">
        <v>62</v>
      </c>
      <c r="E18" s="13">
        <v>0.74988425925925895</v>
      </c>
      <c r="F18" s="14">
        <f t="shared" si="1"/>
        <v>1.0852777777777654</v>
      </c>
      <c r="G18" s="15">
        <f t="shared" si="2"/>
        <v>1.0852777777777654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46199.390447685197</v>
      </c>
      <c r="B19" s="7" t="s">
        <v>85</v>
      </c>
      <c r="C19" s="13">
        <v>0.39043981481481499</v>
      </c>
      <c r="D19" s="13" t="s">
        <v>62</v>
      </c>
      <c r="E19" s="13">
        <v>0.45215277777777801</v>
      </c>
      <c r="F19" s="14">
        <f t="shared" si="1"/>
        <v>1.4811111111111126</v>
      </c>
      <c r="G19" s="15">
        <f t="shared" si="2"/>
        <v>1.4811111111111126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46199.665211805601</v>
      </c>
      <c r="B20" s="7" t="s">
        <v>85</v>
      </c>
      <c r="C20" s="13">
        <v>0.66520833333333296</v>
      </c>
      <c r="D20" s="13" t="s">
        <v>62</v>
      </c>
      <c r="E20" s="13">
        <v>0.78447916666666695</v>
      </c>
      <c r="F20" s="14">
        <f t="shared" si="1"/>
        <v>2.8625000000000158</v>
      </c>
      <c r="G20" s="15">
        <f t="shared" si="2"/>
        <v>2.8625000000000158</v>
      </c>
      <c r="H20" s="15">
        <f t="shared" si="3"/>
        <v>0</v>
      </c>
      <c r="I20" s="42" t="s">
        <v>81</v>
      </c>
      <c r="J20" s="65">
        <f>J16+J17+J18+J19</f>
        <v>38.715000000000032</v>
      </c>
      <c r="K20" s="66"/>
      <c r="L20" s="67"/>
      <c r="M20" s="43"/>
    </row>
    <row r="21" spans="1:13" ht="20.25" x14ac:dyDescent="0.25">
      <c r="A21" s="12">
        <f t="shared" ca="1" si="0"/>
        <v>46200.456401157397</v>
      </c>
      <c r="B21" s="7" t="s">
        <v>85</v>
      </c>
      <c r="C21" s="13">
        <v>0.45640046296296299</v>
      </c>
      <c r="D21" s="13" t="s">
        <v>62</v>
      </c>
      <c r="E21" s="13">
        <v>0.51392361111111096</v>
      </c>
      <c r="F21" s="14">
        <f t="shared" si="1"/>
        <v>1.3805555555555511</v>
      </c>
      <c r="G21" s="15">
        <f t="shared" si="2"/>
        <v>1.3805555555555511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42"/>
  <sheetViews>
    <sheetView topLeftCell="D1" zoomScale="85" zoomScaleNormal="85" workbookViewId="0">
      <selection activeCell="I32" sqref="I32:N32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46175.803890972202</v>
      </c>
      <c r="B3" s="7" t="s">
        <v>85</v>
      </c>
      <c r="C3" s="13">
        <v>0.80388888888888899</v>
      </c>
      <c r="D3" s="13" t="s">
        <v>62</v>
      </c>
      <c r="E3" s="13">
        <v>0.85792824074074103</v>
      </c>
      <c r="F3" s="14">
        <f t="shared" ref="F3:F42" si="1">(IF(E3-C3&lt;0,"24:00"-C3+E3,E3-C3))*24</f>
        <v>1.2969444444444491</v>
      </c>
      <c r="G3" s="15">
        <f t="shared" ref="G3:G42" si="2">F3-H3</f>
        <v>1.2969444444444491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46176.423014930602</v>
      </c>
      <c r="B4" s="7" t="s">
        <v>85</v>
      </c>
      <c r="C4" s="13">
        <v>0.38898148148148098</v>
      </c>
      <c r="D4" s="13" t="s">
        <v>62</v>
      </c>
      <c r="E4" s="13">
        <v>0.53405092592592596</v>
      </c>
      <c r="F4" s="14">
        <f t="shared" si="1"/>
        <v>3.4816666666666793</v>
      </c>
      <c r="G4" s="15">
        <f t="shared" si="2"/>
        <v>3.4816666666666793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spans="1:16" ht="18.75" x14ac:dyDescent="0.25">
      <c r="A5" s="12">
        <f t="shared" ca="1" si="0"/>
        <v>46178.949296412</v>
      </c>
      <c r="B5" s="7" t="s">
        <v>85</v>
      </c>
      <c r="C5" s="13">
        <v>0.90762731481481496</v>
      </c>
      <c r="D5" s="13" t="s">
        <v>62</v>
      </c>
      <c r="E5" s="13">
        <v>0.98247685185185196</v>
      </c>
      <c r="F5" s="14">
        <f t="shared" si="1"/>
        <v>1.7963888888888881</v>
      </c>
      <c r="G5" s="15">
        <f t="shared" si="2"/>
        <v>1.7963888888888881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spans="1:16" ht="18.75" x14ac:dyDescent="0.25">
      <c r="A6" s="12">
        <f t="shared" ca="1" si="0"/>
        <v>46187.389647569398</v>
      </c>
      <c r="B6" s="7" t="s">
        <v>85</v>
      </c>
      <c r="C6" s="13">
        <v>0.38964120370370398</v>
      </c>
      <c r="D6" s="13" t="s">
        <v>62</v>
      </c>
      <c r="E6" s="13">
        <v>0.52024305555555606</v>
      </c>
      <c r="F6" s="14">
        <f t="shared" si="1"/>
        <v>3.1344444444444499</v>
      </c>
      <c r="G6" s="15">
        <f t="shared" si="2"/>
        <v>3.1344444444444499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46187.728699537001</v>
      </c>
      <c r="B7" s="7" t="s">
        <v>85</v>
      </c>
      <c r="C7" s="13">
        <v>0.645358796296296</v>
      </c>
      <c r="D7" s="13" t="s">
        <v>62</v>
      </c>
      <c r="E7" s="13">
        <v>0.77043981481481505</v>
      </c>
      <c r="F7" s="14">
        <f t="shared" si="1"/>
        <v>3.0019444444444572</v>
      </c>
      <c r="G7" s="15">
        <f t="shared" si="2"/>
        <v>3.0019444444444572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46195.664748842602</v>
      </c>
      <c r="B8" s="7" t="s">
        <v>85</v>
      </c>
      <c r="C8" s="13">
        <v>0.66474537037036996</v>
      </c>
      <c r="D8" s="13" t="s">
        <v>62</v>
      </c>
      <c r="E8" s="13">
        <v>0.85140046296296301</v>
      </c>
      <c r="F8" s="14">
        <f t="shared" si="1"/>
        <v>4.4797222222222333</v>
      </c>
      <c r="G8" s="15">
        <f t="shared" si="2"/>
        <v>4.4797222222222333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46196.397900925898</v>
      </c>
      <c r="B9" s="7" t="s">
        <v>85</v>
      </c>
      <c r="C9" s="13">
        <v>0.39789351851851901</v>
      </c>
      <c r="D9" s="13" t="s">
        <v>62</v>
      </c>
      <c r="E9" s="13">
        <v>0.53988425925925898</v>
      </c>
      <c r="F9" s="14">
        <f t="shared" si="1"/>
        <v>3.4077777777777594</v>
      </c>
      <c r="G9" s="15">
        <f t="shared" si="2"/>
        <v>3.4077777777777594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46196.581633564798</v>
      </c>
      <c r="B10" s="7" t="s">
        <v>85</v>
      </c>
      <c r="C10" s="13">
        <v>0.58163194444444399</v>
      </c>
      <c r="D10" s="13" t="s">
        <v>62</v>
      </c>
      <c r="E10" s="13">
        <v>0.66501157407407396</v>
      </c>
      <c r="F10" s="14">
        <f t="shared" si="1"/>
        <v>2.0011111111111193</v>
      </c>
      <c r="G10" s="15">
        <f t="shared" si="2"/>
        <v>2.0011111111111193</v>
      </c>
      <c r="H10" s="15">
        <f t="shared" si="3"/>
        <v>0</v>
      </c>
      <c r="I10" s="23" t="s">
        <v>74</v>
      </c>
      <c r="J10" s="24">
        <f>SUMIF(B:B,"综合协调席",F:F)</f>
        <v>31.072777777777777</v>
      </c>
      <c r="K10" s="25">
        <f>SUMIF(B:B,"综合协调席",G:G)</f>
        <v>31.072777777777777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46198.723371412001</v>
      </c>
      <c r="B11" s="7" t="s">
        <v>85</v>
      </c>
      <c r="C11" s="13">
        <v>0.708784722222222</v>
      </c>
      <c r="D11" s="13" t="s">
        <v>62</v>
      </c>
      <c r="E11" s="13">
        <v>0.74427083333333299</v>
      </c>
      <c r="F11" s="14">
        <f t="shared" si="1"/>
        <v>0.85166666666666391</v>
      </c>
      <c r="G11" s="15">
        <f t="shared" si="2"/>
        <v>0.85166666666666391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46199.687419675902</v>
      </c>
      <c r="B12" s="7" t="s">
        <v>85</v>
      </c>
      <c r="C12" s="13">
        <v>0.68741898148148195</v>
      </c>
      <c r="D12" s="13" t="s">
        <v>62</v>
      </c>
      <c r="E12" s="13">
        <v>0.74706018518518502</v>
      </c>
      <c r="F12" s="14">
        <f t="shared" si="1"/>
        <v>1.4313888888888737</v>
      </c>
      <c r="G12" s="15">
        <f t="shared" si="2"/>
        <v>1.4313888888888737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46202.6580650463</v>
      </c>
      <c r="B13" s="7" t="s">
        <v>85</v>
      </c>
      <c r="C13" s="13">
        <v>0.65809027777777795</v>
      </c>
      <c r="D13" s="13" t="s">
        <v>62</v>
      </c>
      <c r="E13" s="13">
        <v>0.749768518518518</v>
      </c>
      <c r="F13" s="14">
        <f t="shared" si="1"/>
        <v>2.2002777777777611</v>
      </c>
      <c r="G13" s="15">
        <f t="shared" si="2"/>
        <v>2.2002777777777611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46202.856649884299</v>
      </c>
      <c r="B14" s="7" t="s">
        <v>85</v>
      </c>
      <c r="C14" s="13">
        <v>0.85664351851851805</v>
      </c>
      <c r="D14" s="13" t="s">
        <v>62</v>
      </c>
      <c r="E14" s="13">
        <v>0.90958333333333297</v>
      </c>
      <c r="F14" s="14">
        <f t="shared" si="1"/>
        <v>1.2705555555555579</v>
      </c>
      <c r="G14" s="15">
        <f t="shared" si="2"/>
        <v>1.2705555555555579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46203.398828703699</v>
      </c>
      <c r="B15" s="7" t="s">
        <v>85</v>
      </c>
      <c r="C15" s="13">
        <v>0.384965277777778</v>
      </c>
      <c r="D15" s="13" t="s">
        <v>62</v>
      </c>
      <c r="E15" s="13">
        <v>0.49825231481481502</v>
      </c>
      <c r="F15" s="14">
        <f t="shared" si="1"/>
        <v>2.7188888888888885</v>
      </c>
      <c r="G15" s="15">
        <f t="shared" si="2"/>
        <v>2.7188888888888885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 t="str">
        <f t="shared" ca="1" si="0"/>
        <v/>
      </c>
      <c r="B16" s="7"/>
      <c r="C16" s="13"/>
      <c r="D16" s="13"/>
      <c r="E16" s="13"/>
      <c r="F16" s="14">
        <f t="shared" si="1"/>
        <v>0</v>
      </c>
      <c r="G16" s="15">
        <f t="shared" si="2"/>
        <v>0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 t="str">
        <f t="shared" ca="1" si="0"/>
        <v/>
      </c>
      <c r="B17" s="7"/>
      <c r="C17" s="13"/>
      <c r="D17" s="13"/>
      <c r="E17" s="13"/>
      <c r="F17" s="14">
        <f t="shared" si="1"/>
        <v>0</v>
      </c>
      <c r="G17" s="15">
        <f t="shared" si="2"/>
        <v>0</v>
      </c>
      <c r="H17" s="15">
        <f t="shared" si="3"/>
        <v>0</v>
      </c>
      <c r="I17" s="37" t="s">
        <v>79</v>
      </c>
      <c r="J17" s="38">
        <f>J4+J5+J6+J7+J10</f>
        <v>31.072777777777777</v>
      </c>
      <c r="K17" s="39">
        <f>K4+K5+K6+K7+K10</f>
        <v>31.072777777777777</v>
      </c>
      <c r="L17" s="40">
        <f>L4+L5+L6+L7+L10</f>
        <v>0</v>
      </c>
      <c r="M17" s="41"/>
    </row>
    <row r="18" spans="1:13" ht="20.25" x14ac:dyDescent="0.25">
      <c r="A18" s="12" t="str">
        <f t="shared" ca="1" si="0"/>
        <v/>
      </c>
      <c r="B18" s="7"/>
      <c r="C18" s="13"/>
      <c r="D18" s="13"/>
      <c r="E18" s="13"/>
      <c r="F18" s="14">
        <f t="shared" si="1"/>
        <v>0</v>
      </c>
      <c r="G18" s="15">
        <f t="shared" si="2"/>
        <v>0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 t="str">
        <f t="shared" ca="1" si="0"/>
        <v/>
      </c>
      <c r="B19" s="7"/>
      <c r="C19" s="13"/>
      <c r="D19" s="13"/>
      <c r="E19" s="13"/>
      <c r="F19" s="14">
        <f t="shared" si="1"/>
        <v>0</v>
      </c>
      <c r="G19" s="15">
        <f t="shared" si="2"/>
        <v>0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 t="str">
        <f t="shared" ca="1" si="0"/>
        <v/>
      </c>
      <c r="B20" s="7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2" t="s">
        <v>81</v>
      </c>
      <c r="J20" s="65">
        <f>J16+J17+J18+J19</f>
        <v>31.072777777777777</v>
      </c>
      <c r="K20" s="66"/>
      <c r="L20" s="67"/>
      <c r="M20" s="43"/>
    </row>
    <row r="21" spans="1:13" ht="20.25" x14ac:dyDescent="0.25">
      <c r="A21" s="12" t="str">
        <f t="shared" ca="1" si="0"/>
        <v/>
      </c>
      <c r="B21" s="7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42"/>
  <sheetViews>
    <sheetView topLeftCell="A7" zoomScale="85" zoomScaleNormal="85" workbookViewId="0">
      <selection activeCell="D28" sqref="D28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46174.353593865701</v>
      </c>
      <c r="B3" s="7" t="s">
        <v>61</v>
      </c>
      <c r="C3" s="13">
        <v>0.35358796296296302</v>
      </c>
      <c r="D3" s="13" t="s">
        <v>62</v>
      </c>
      <c r="E3" s="13">
        <v>0.52530092592592603</v>
      </c>
      <c r="F3" s="14">
        <f t="shared" ref="F3:F42" si="1">(IF(E3-C3&lt;0,"24:00"-C3+E3,E3-C3))*24</f>
        <v>4.1211111111111123</v>
      </c>
      <c r="G3" s="15">
        <f t="shared" ref="G3:G42" si="2">F3-H3</f>
        <v>4.1211111111111123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46174.687289351903</v>
      </c>
      <c r="B4" s="7" t="s">
        <v>64</v>
      </c>
      <c r="C4" s="13">
        <v>0.68728009259259304</v>
      </c>
      <c r="D4" s="13" t="s">
        <v>62</v>
      </c>
      <c r="E4" s="13">
        <v>0.77851851851851805</v>
      </c>
      <c r="F4" s="14">
        <f t="shared" si="1"/>
        <v>2.1897222222222004</v>
      </c>
      <c r="G4" s="15">
        <f t="shared" si="2"/>
        <v>2.1897222222222004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28.494166666666615</v>
      </c>
      <c r="K4" s="25">
        <f>SUMIF(B:B,"西塔台管制席",G:G)+SUMIF(B:B,"东塔台管制席",G:G)</f>
        <v>11.860277777777739</v>
      </c>
      <c r="L4" s="25">
        <f>SUMIF(B:B,"西塔台管制席",H:H)+SUMIF(B:B,"东塔台管制席",H:H)</f>
        <v>16.633888888888869</v>
      </c>
      <c r="M4" s="21"/>
    </row>
    <row r="5" spans="1:16" ht="18.75" x14ac:dyDescent="0.25">
      <c r="A5" s="12">
        <f t="shared" ca="1" si="0"/>
        <v>46174.854432638902</v>
      </c>
      <c r="B5" s="7" t="s">
        <v>64</v>
      </c>
      <c r="C5" s="13">
        <v>0.85447916666666701</v>
      </c>
      <c r="D5" s="13" t="s">
        <v>62</v>
      </c>
      <c r="E5" s="13">
        <v>0.95894675925925899</v>
      </c>
      <c r="F5" s="14">
        <f t="shared" si="1"/>
        <v>2.5072222222222074</v>
      </c>
      <c r="G5" s="15">
        <f t="shared" si="2"/>
        <v>2.5072222222222074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26.51305555555556</v>
      </c>
      <c r="K5" s="25">
        <f>SUMIF(B:B,"西塔台协调席",G:G)+SUMIF(B:B,"东塔台协调席",G:G)</f>
        <v>20.018055555555552</v>
      </c>
      <c r="L5" s="25">
        <f>SUMIF(B:B,"西塔台协调席",H:H)+SUMIF(B:B,"东塔台协调席",H:H)</f>
        <v>6.4950000000000063</v>
      </c>
      <c r="M5" s="21"/>
    </row>
    <row r="6" spans="1:16" ht="18.75" x14ac:dyDescent="0.25">
      <c r="A6" s="12">
        <f t="shared" ca="1" si="0"/>
        <v>46175.292980208302</v>
      </c>
      <c r="B6" s="7" t="s">
        <v>64</v>
      </c>
      <c r="C6" s="13">
        <v>0.29297453703703702</v>
      </c>
      <c r="D6" s="13" t="s">
        <v>62</v>
      </c>
      <c r="E6" s="13">
        <v>0.42797453703703697</v>
      </c>
      <c r="F6" s="14">
        <f t="shared" si="1"/>
        <v>3.2399999999999989</v>
      </c>
      <c r="G6" s="15">
        <f t="shared" si="2"/>
        <v>2.2713888888888958</v>
      </c>
      <c r="H6" s="15">
        <f t="shared" si="3"/>
        <v>0.9686111111111031</v>
      </c>
      <c r="I6" s="23" t="s">
        <v>68</v>
      </c>
      <c r="J6" s="24">
        <f>SUMIF(B:B,"放行席",F:F)</f>
        <v>1.9263888888888725</v>
      </c>
      <c r="K6" s="25">
        <f>SUMIF(B:B,"放行席",G:G)</f>
        <v>0</v>
      </c>
      <c r="L6" s="25">
        <f>SUMIF(B:B,"放行席",H:H)</f>
        <v>1.9263888888888725</v>
      </c>
      <c r="M6" s="21"/>
    </row>
    <row r="7" spans="1:16" ht="18.75" x14ac:dyDescent="0.25">
      <c r="A7" s="12">
        <f t="shared" ca="1" si="0"/>
        <v>46175.521487731501</v>
      </c>
      <c r="B7" s="7" t="s">
        <v>61</v>
      </c>
      <c r="C7" s="13">
        <v>0.52148148148148199</v>
      </c>
      <c r="D7" s="13" t="s">
        <v>62</v>
      </c>
      <c r="E7" s="13">
        <v>0.63398148148148104</v>
      </c>
      <c r="F7" s="14">
        <f t="shared" si="1"/>
        <v>2.6999999999999771</v>
      </c>
      <c r="G7" s="15">
        <f t="shared" si="2"/>
        <v>2.6999999999999771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46175.771414583302</v>
      </c>
      <c r="B8" s="7" t="s">
        <v>66</v>
      </c>
      <c r="C8" s="13">
        <v>0.77141203703703698</v>
      </c>
      <c r="D8" s="13" t="s">
        <v>62</v>
      </c>
      <c r="E8" s="13">
        <v>0.86228009259259297</v>
      </c>
      <c r="F8" s="14">
        <f t="shared" si="1"/>
        <v>2.1808333333333438</v>
      </c>
      <c r="G8" s="15">
        <f t="shared" si="2"/>
        <v>2.1808333333333438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46179.138716435198</v>
      </c>
      <c r="B9" s="7" t="s">
        <v>69</v>
      </c>
      <c r="C9" s="13">
        <v>0.13871527777777801</v>
      </c>
      <c r="D9" s="13" t="s">
        <v>62</v>
      </c>
      <c r="E9" s="13">
        <v>0.231678240740741</v>
      </c>
      <c r="F9" s="14">
        <f t="shared" si="1"/>
        <v>2.2311111111111117</v>
      </c>
      <c r="G9" s="15">
        <f t="shared" si="2"/>
        <v>0</v>
      </c>
      <c r="H9" s="15">
        <f t="shared" si="3"/>
        <v>2.2311111111111117</v>
      </c>
      <c r="I9" s="23" t="s">
        <v>73</v>
      </c>
      <c r="J9" s="24">
        <f>SUMIF(B:B,"航班调度席",F:F)</f>
        <v>15.169722222222219</v>
      </c>
      <c r="K9" s="25">
        <f>SUMIF(B:B,"航班调度席",G:G)</f>
        <v>15.169722222222219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46180.013148032398</v>
      </c>
      <c r="B10" s="7" t="s">
        <v>61</v>
      </c>
      <c r="C10" s="13">
        <v>1.31481481481481E-2</v>
      </c>
      <c r="D10" s="13" t="s">
        <v>62</v>
      </c>
      <c r="E10" s="13">
        <v>0.14396990740740701</v>
      </c>
      <c r="F10" s="14">
        <f t="shared" si="1"/>
        <v>3.1397222222222139</v>
      </c>
      <c r="G10" s="15">
        <f t="shared" si="2"/>
        <v>0</v>
      </c>
      <c r="H10" s="15">
        <f t="shared" si="3"/>
        <v>3.1397222222222139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46183.139020833303</v>
      </c>
      <c r="B11" s="7" t="s">
        <v>69</v>
      </c>
      <c r="C11" s="13">
        <v>0.13901620370370399</v>
      </c>
      <c r="D11" s="13" t="s">
        <v>62</v>
      </c>
      <c r="E11" s="13">
        <v>0.29979166666666701</v>
      </c>
      <c r="F11" s="14">
        <f t="shared" si="1"/>
        <v>3.8586111111111125</v>
      </c>
      <c r="G11" s="15">
        <f t="shared" si="2"/>
        <v>0</v>
      </c>
      <c r="H11" s="15">
        <f t="shared" si="3"/>
        <v>3.8586111111111125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46186.521322800902</v>
      </c>
      <c r="B12" s="7" t="s">
        <v>64</v>
      </c>
      <c r="C12" s="13">
        <v>0.521319444444444</v>
      </c>
      <c r="D12" s="13" t="s">
        <v>62</v>
      </c>
      <c r="E12" s="13">
        <v>0.69776620370370401</v>
      </c>
      <c r="F12" s="14">
        <f t="shared" si="1"/>
        <v>4.2347222222222403</v>
      </c>
      <c r="G12" s="15">
        <f t="shared" si="2"/>
        <v>4.2347222222222403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46186.771349421302</v>
      </c>
      <c r="B13" s="7" t="s">
        <v>69</v>
      </c>
      <c r="C13" s="13">
        <v>0.77134259259259297</v>
      </c>
      <c r="D13" s="13" t="s">
        <v>62</v>
      </c>
      <c r="E13" s="13">
        <v>0.861493055555556</v>
      </c>
      <c r="F13" s="14">
        <f t="shared" si="1"/>
        <v>2.1636111111111127</v>
      </c>
      <c r="G13" s="15">
        <f t="shared" si="2"/>
        <v>2.1636111111111127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46187.4183269676</v>
      </c>
      <c r="B14" s="7" t="s">
        <v>66</v>
      </c>
      <c r="C14" s="13">
        <v>0.41832175925925902</v>
      </c>
      <c r="D14" s="13" t="s">
        <v>62</v>
      </c>
      <c r="E14" s="13">
        <v>0.54403935185185204</v>
      </c>
      <c r="F14" s="14">
        <f t="shared" si="1"/>
        <v>3.0172222222222325</v>
      </c>
      <c r="G14" s="15">
        <f t="shared" si="2"/>
        <v>3.0172222222222325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46187.647497106504</v>
      </c>
      <c r="B15" s="7" t="s">
        <v>66</v>
      </c>
      <c r="C15" s="13">
        <v>0.64748842592592604</v>
      </c>
      <c r="D15" s="13" t="s">
        <v>62</v>
      </c>
      <c r="E15" s="13">
        <v>0.79819444444444398</v>
      </c>
      <c r="F15" s="14">
        <f t="shared" si="1"/>
        <v>3.6169444444444308</v>
      </c>
      <c r="G15" s="15">
        <f t="shared" si="2"/>
        <v>3.6169444444444308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46187.898388773101</v>
      </c>
      <c r="B16" s="7" t="s">
        <v>61</v>
      </c>
      <c r="C16" s="13">
        <v>0.89837962962963003</v>
      </c>
      <c r="D16" s="13" t="s">
        <v>62</v>
      </c>
      <c r="E16" s="13">
        <v>0.95840277777777805</v>
      </c>
      <c r="F16" s="14">
        <f t="shared" si="1"/>
        <v>1.4405555555555525</v>
      </c>
      <c r="G16" s="15">
        <f t="shared" si="2"/>
        <v>1.4405555555555525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46191.013432407402</v>
      </c>
      <c r="B17" s="7" t="s">
        <v>64</v>
      </c>
      <c r="C17" s="13">
        <v>1.34259259259259E-2</v>
      </c>
      <c r="D17" s="13" t="s">
        <v>62</v>
      </c>
      <c r="E17" s="13">
        <v>0.13996527777777801</v>
      </c>
      <c r="F17" s="14">
        <f t="shared" si="1"/>
        <v>3.0369444444444507</v>
      </c>
      <c r="G17" s="15">
        <f t="shared" si="2"/>
        <v>0</v>
      </c>
      <c r="H17" s="15">
        <f t="shared" si="3"/>
        <v>3.0369444444444507</v>
      </c>
      <c r="I17" s="37" t="s">
        <v>79</v>
      </c>
      <c r="J17" s="38">
        <f>J4+J5+J6+J7+J10</f>
        <v>56.933611111111048</v>
      </c>
      <c r="K17" s="39">
        <f>K4+K5+K6+K7+K10</f>
        <v>31.878333333333291</v>
      </c>
      <c r="L17" s="40">
        <f>L4+L5+L6+L7+L10</f>
        <v>25.055277777777746</v>
      </c>
      <c r="M17" s="41"/>
    </row>
    <row r="18" spans="1:13" ht="20.25" x14ac:dyDescent="0.25">
      <c r="A18" s="12">
        <f t="shared" ca="1" si="0"/>
        <v>46192.139529976797</v>
      </c>
      <c r="B18" s="7" t="s">
        <v>69</v>
      </c>
      <c r="C18" s="13">
        <v>0.139525462962963</v>
      </c>
      <c r="D18" s="13" t="s">
        <v>62</v>
      </c>
      <c r="E18" s="13">
        <v>0.30563657407407402</v>
      </c>
      <c r="F18" s="14">
        <f t="shared" si="1"/>
        <v>3.9866666666666646</v>
      </c>
      <c r="G18" s="15">
        <f t="shared" si="2"/>
        <v>0</v>
      </c>
      <c r="H18" s="15">
        <f t="shared" si="3"/>
        <v>3.9866666666666646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46195.134167824101</v>
      </c>
      <c r="B19" s="7" t="s">
        <v>83</v>
      </c>
      <c r="C19" s="13">
        <v>0.13416666666666699</v>
      </c>
      <c r="D19" s="13" t="s">
        <v>62</v>
      </c>
      <c r="E19" s="13">
        <v>0.21443287037037001</v>
      </c>
      <c r="F19" s="14">
        <f t="shared" si="1"/>
        <v>1.9263888888888725</v>
      </c>
      <c r="G19" s="15">
        <f t="shared" si="2"/>
        <v>0</v>
      </c>
      <c r="H19" s="15">
        <f t="shared" si="3"/>
        <v>1.9263888888888725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46195.9520388889</v>
      </c>
      <c r="B20" s="7" t="s">
        <v>69</v>
      </c>
      <c r="C20" s="13">
        <v>0.95203703703703701</v>
      </c>
      <c r="D20" s="13" t="s">
        <v>62</v>
      </c>
      <c r="E20" s="13">
        <v>0.11266203703703701</v>
      </c>
      <c r="F20" s="14">
        <f t="shared" si="1"/>
        <v>3.8549999999999995</v>
      </c>
      <c r="G20" s="15">
        <f t="shared" si="2"/>
        <v>1.1511111111111116</v>
      </c>
      <c r="H20" s="15">
        <f t="shared" si="3"/>
        <v>2.7038888888888879</v>
      </c>
      <c r="I20" s="42" t="s">
        <v>81</v>
      </c>
      <c r="J20" s="65">
        <f>J16+J17+J18+J19</f>
        <v>56.933611111111048</v>
      </c>
      <c r="K20" s="66"/>
      <c r="L20" s="67"/>
      <c r="M20" s="43"/>
    </row>
    <row r="21" spans="1:13" ht="20.25" x14ac:dyDescent="0.25">
      <c r="A21" s="12">
        <f t="shared" ca="1" si="0"/>
        <v>46198.367091203698</v>
      </c>
      <c r="B21" s="7" t="s">
        <v>84</v>
      </c>
      <c r="C21" s="13">
        <v>0.36708333333333298</v>
      </c>
      <c r="D21" s="13" t="s">
        <v>62</v>
      </c>
      <c r="E21" s="13">
        <v>0.51140046296296304</v>
      </c>
      <c r="F21" s="14">
        <f t="shared" si="1"/>
        <v>3.4636111111111214</v>
      </c>
      <c r="G21" s="15">
        <f t="shared" si="2"/>
        <v>3.4636111111111214</v>
      </c>
      <c r="H21" s="15">
        <f t="shared" si="3"/>
        <v>0</v>
      </c>
      <c r="I21" s="44" t="s">
        <v>4</v>
      </c>
      <c r="J21" s="45">
        <f>SUM(J8:J9)</f>
        <v>15.169722222222219</v>
      </c>
      <c r="K21" s="39">
        <f>SUM(K8:K9)</f>
        <v>15.169722222222219</v>
      </c>
      <c r="L21" s="40">
        <f>SUM(L8:L9)</f>
        <v>0</v>
      </c>
      <c r="M21" s="46"/>
    </row>
    <row r="22" spans="1:13" ht="18.75" x14ac:dyDescent="0.15">
      <c r="A22" s="12">
        <f t="shared" ca="1" si="0"/>
        <v>46198.585124537</v>
      </c>
      <c r="B22" s="7" t="s">
        <v>84</v>
      </c>
      <c r="C22" s="13">
        <v>0.58511574074074102</v>
      </c>
      <c r="D22" s="13" t="s">
        <v>62</v>
      </c>
      <c r="E22" s="13">
        <v>0.77861111111111103</v>
      </c>
      <c r="F22" s="14">
        <f t="shared" si="1"/>
        <v>4.6438888888888803</v>
      </c>
      <c r="G22" s="15">
        <f t="shared" si="2"/>
        <v>4.6438888888888803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46199.375504861098</v>
      </c>
      <c r="B23" s="7" t="s">
        <v>84</v>
      </c>
      <c r="C23" s="13">
        <v>0.375497685185185</v>
      </c>
      <c r="D23" s="13" t="s">
        <v>62</v>
      </c>
      <c r="E23" s="13">
        <v>0.49690972222222202</v>
      </c>
      <c r="F23" s="14">
        <f t="shared" si="1"/>
        <v>2.9138888888888883</v>
      </c>
      <c r="G23" s="15">
        <f t="shared" si="2"/>
        <v>2.9138888888888883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46199.522345949103</v>
      </c>
      <c r="B24" s="7" t="s">
        <v>84</v>
      </c>
      <c r="C24" s="13">
        <v>0.52233796296296298</v>
      </c>
      <c r="D24" s="13" t="s">
        <v>62</v>
      </c>
      <c r="E24" s="13">
        <v>0.57474537037036999</v>
      </c>
      <c r="F24" s="14">
        <f t="shared" si="1"/>
        <v>1.2577777777777683</v>
      </c>
      <c r="G24" s="15">
        <f t="shared" si="2"/>
        <v>1.2577777777777683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46199.630460763903</v>
      </c>
      <c r="B25" s="7" t="s">
        <v>84</v>
      </c>
      <c r="C25" s="13">
        <v>0.63045138888888896</v>
      </c>
      <c r="D25" s="13" t="s">
        <v>62</v>
      </c>
      <c r="E25" s="13">
        <v>0.75089120370370399</v>
      </c>
      <c r="F25" s="14">
        <f t="shared" si="1"/>
        <v>2.8905555555555607</v>
      </c>
      <c r="G25" s="15">
        <f t="shared" si="2"/>
        <v>2.8905555555555607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46199.762828125</v>
      </c>
      <c r="B26" s="7" t="s">
        <v>61</v>
      </c>
      <c r="C26" s="13">
        <v>0.75101851851851897</v>
      </c>
      <c r="D26" s="13" t="s">
        <v>62</v>
      </c>
      <c r="E26" s="13">
        <v>0.76284722222222201</v>
      </c>
      <c r="F26" s="14">
        <f t="shared" si="1"/>
        <v>0.28388888888887287</v>
      </c>
      <c r="G26" s="15">
        <f t="shared" si="2"/>
        <v>0.28388888888887287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46203.013724652803</v>
      </c>
      <c r="B27" s="7" t="s">
        <v>66</v>
      </c>
      <c r="C27" s="13">
        <v>1.37152777777778E-2</v>
      </c>
      <c r="D27" s="13" t="s">
        <v>62</v>
      </c>
      <c r="E27" s="13">
        <v>0.11744212962962999</v>
      </c>
      <c r="F27" s="14">
        <f t="shared" si="1"/>
        <v>2.4894444444444526</v>
      </c>
      <c r="G27" s="15">
        <f t="shared" si="2"/>
        <v>0</v>
      </c>
      <c r="H27" s="15">
        <f t="shared" si="3"/>
        <v>2.4894444444444526</v>
      </c>
      <c r="I27"/>
      <c r="J27"/>
    </row>
    <row r="28" spans="1:13" ht="18.75" x14ac:dyDescent="0.15">
      <c r="A28" s="12">
        <f t="shared" ca="1" si="0"/>
        <v>46203.117487268501</v>
      </c>
      <c r="B28" s="7" t="s">
        <v>69</v>
      </c>
      <c r="C28" s="13">
        <v>0.117476851851852</v>
      </c>
      <c r="D28" s="13" t="s">
        <v>62</v>
      </c>
      <c r="E28" s="13">
        <v>0.147222222222222</v>
      </c>
      <c r="F28" s="14">
        <f t="shared" si="1"/>
        <v>0.71388888888888014</v>
      </c>
      <c r="G28" s="15">
        <f t="shared" si="2"/>
        <v>0</v>
      </c>
      <c r="H28" s="15">
        <f t="shared" si="3"/>
        <v>0.71388888888888014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42"/>
  <sheetViews>
    <sheetView topLeftCell="A13" zoomScale="85" zoomScaleNormal="85" workbookViewId="0">
      <selection activeCell="D32" sqref="D32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46175.137288310201</v>
      </c>
      <c r="B3" s="7" t="s">
        <v>69</v>
      </c>
      <c r="C3" s="13">
        <v>0.13728009259259299</v>
      </c>
      <c r="D3" s="13" t="s">
        <v>62</v>
      </c>
      <c r="E3" s="13">
        <v>0.29849537037036999</v>
      </c>
      <c r="F3" s="14">
        <f t="shared" ref="F3:F42" si="1">(IF(E3-C3&lt;0,"24:00"-C3+E3,E3-C3))*24</f>
        <v>3.869166666666648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3.869166666666648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46176.015159143499</v>
      </c>
      <c r="B4" s="7" t="s">
        <v>64</v>
      </c>
      <c r="C4" s="13">
        <v>1.5150462962962999E-2</v>
      </c>
      <c r="D4" s="13" t="s">
        <v>62</v>
      </c>
      <c r="E4" s="13">
        <v>0.10232638888888899</v>
      </c>
      <c r="F4" s="14">
        <f t="shared" si="1"/>
        <v>2.0922222222222238</v>
      </c>
      <c r="G4" s="15">
        <f t="shared" si="2"/>
        <v>0</v>
      </c>
      <c r="H4" s="15">
        <f t="shared" si="3"/>
        <v>2.0922222222222238</v>
      </c>
      <c r="I4" s="23" t="s">
        <v>65</v>
      </c>
      <c r="J4" s="24">
        <f>SUMIF(B:B,"西塔台管制席",F:F)+SUMIF(B:B,"东塔台管制席",F:F)</f>
        <v>32.399999999999984</v>
      </c>
      <c r="K4" s="25">
        <f>SUMIF(B:B,"西塔台管制席",G:G)+SUMIF(B:B,"东塔台管制席",G:G)</f>
        <v>15.405833333333351</v>
      </c>
      <c r="L4" s="25">
        <f>SUMIF(B:B,"西塔台管制席",H:H)+SUMIF(B:B,"东塔台管制席",H:H)</f>
        <v>16.994166666666629</v>
      </c>
      <c r="M4" s="21"/>
    </row>
    <row r="5" spans="1:16" ht="18.75" x14ac:dyDescent="0.25">
      <c r="A5" s="12">
        <f t="shared" ca="1" si="0"/>
        <v>46176.102365740699</v>
      </c>
      <c r="B5" s="7" t="s">
        <v>61</v>
      </c>
      <c r="C5" s="13">
        <v>0.102361111111111</v>
      </c>
      <c r="D5" s="13" t="s">
        <v>62</v>
      </c>
      <c r="E5" s="13">
        <v>0.145416666666667</v>
      </c>
      <c r="F5" s="14">
        <f t="shared" si="1"/>
        <v>1.0333333333333439</v>
      </c>
      <c r="G5" s="15">
        <f t="shared" si="2"/>
        <v>0</v>
      </c>
      <c r="H5" s="15">
        <f t="shared" si="3"/>
        <v>1.0333333333333439</v>
      </c>
      <c r="I5" s="23" t="s">
        <v>67</v>
      </c>
      <c r="J5" s="24">
        <f>SUMIF(B:B,"西塔台协调席",F:F)+SUMIF(B:B,"东塔台协调席",F:F)</f>
        <v>22.878888888888888</v>
      </c>
      <c r="K5" s="25">
        <f>SUMIF(B:B,"西塔台协调席",G:G)+SUMIF(B:B,"东塔台协调席",G:G)</f>
        <v>17.759722222222226</v>
      </c>
      <c r="L5" s="25">
        <f>SUMIF(B:B,"西塔台协调席",H:H)+SUMIF(B:B,"东塔台协调席",H:H)</f>
        <v>5.1191666666666613</v>
      </c>
      <c r="M5" s="21"/>
    </row>
    <row r="6" spans="1:16" ht="18.75" x14ac:dyDescent="0.25">
      <c r="A6" s="12">
        <f t="shared" ca="1" si="0"/>
        <v>46178.355272106499</v>
      </c>
      <c r="B6" s="7" t="s">
        <v>69</v>
      </c>
      <c r="C6" s="13">
        <v>0.35526620370370399</v>
      </c>
      <c r="D6" s="13" t="s">
        <v>62</v>
      </c>
      <c r="E6" s="13">
        <v>0.51244212962962998</v>
      </c>
      <c r="F6" s="14">
        <f t="shared" si="1"/>
        <v>3.7722222222222239</v>
      </c>
      <c r="G6" s="15">
        <f t="shared" si="2"/>
        <v>3.7722222222222239</v>
      </c>
      <c r="H6" s="15">
        <f t="shared" si="3"/>
        <v>0</v>
      </c>
      <c r="I6" s="23" t="s">
        <v>68</v>
      </c>
      <c r="J6" s="24">
        <f>SUMIF(B:B,"放行席",F:F)</f>
        <v>2.1808333333333199</v>
      </c>
      <c r="K6" s="25">
        <f>SUMIF(B:B,"放行席",G:G)</f>
        <v>0</v>
      </c>
      <c r="L6" s="25">
        <f>SUMIF(B:B,"放行席",H:H)</f>
        <v>2.1808333333333199</v>
      </c>
      <c r="M6" s="21"/>
    </row>
    <row r="7" spans="1:16" ht="18.75" x14ac:dyDescent="0.25">
      <c r="A7" s="12">
        <f t="shared" ca="1" si="0"/>
        <v>46178.668404513897</v>
      </c>
      <c r="B7" s="7" t="s">
        <v>64</v>
      </c>
      <c r="C7" s="13">
        <v>0.66840277777777801</v>
      </c>
      <c r="D7" s="13" t="s">
        <v>62</v>
      </c>
      <c r="E7" s="13">
        <v>0.84045138888888904</v>
      </c>
      <c r="F7" s="14">
        <f t="shared" si="1"/>
        <v>4.1291666666666647</v>
      </c>
      <c r="G7" s="15">
        <f t="shared" si="2"/>
        <v>4.1291666666666647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46179.293153356499</v>
      </c>
      <c r="B8" s="7" t="s">
        <v>69</v>
      </c>
      <c r="C8" s="13">
        <v>0.29314814814814799</v>
      </c>
      <c r="D8" s="13" t="s">
        <v>62</v>
      </c>
      <c r="E8" s="13">
        <v>0.42270833333333302</v>
      </c>
      <c r="F8" s="14">
        <f t="shared" si="1"/>
        <v>3.1094444444444407</v>
      </c>
      <c r="G8" s="15">
        <f t="shared" si="2"/>
        <v>2.1450000000000009</v>
      </c>
      <c r="H8" s="15">
        <f t="shared" si="3"/>
        <v>0.96444444444443977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46179.500480555602</v>
      </c>
      <c r="B9" s="7" t="s">
        <v>64</v>
      </c>
      <c r="C9" s="13">
        <v>0.50047453703703704</v>
      </c>
      <c r="D9" s="13" t="s">
        <v>62</v>
      </c>
      <c r="E9" s="13">
        <v>0.58922453703703703</v>
      </c>
      <c r="F9" s="14">
        <f t="shared" si="1"/>
        <v>2.13</v>
      </c>
      <c r="G9" s="15">
        <f t="shared" si="2"/>
        <v>2.13</v>
      </c>
      <c r="H9" s="15">
        <f t="shared" si="3"/>
        <v>0</v>
      </c>
      <c r="I9" s="23" t="s">
        <v>73</v>
      </c>
      <c r="J9" s="24">
        <f>SUMIF(B:B,"航班调度席",F:F)</f>
        <v>11.694722222222232</v>
      </c>
      <c r="K9" s="25">
        <f>SUMIF(B:B,"航班调度席",G:G)</f>
        <v>11.694722222222232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46179.667550810198</v>
      </c>
      <c r="B10" s="7" t="s">
        <v>69</v>
      </c>
      <c r="C10" s="13">
        <v>0.66754629629629603</v>
      </c>
      <c r="D10" s="13" t="s">
        <v>62</v>
      </c>
      <c r="E10" s="13">
        <v>0.75912037037036995</v>
      </c>
      <c r="F10" s="14">
        <f t="shared" si="1"/>
        <v>2.1977777777777741</v>
      </c>
      <c r="G10" s="15">
        <f t="shared" si="2"/>
        <v>2.1977777777777741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46179.875821990703</v>
      </c>
      <c r="B11" s="7" t="s">
        <v>64</v>
      </c>
      <c r="C11" s="13">
        <v>0.87582175925925898</v>
      </c>
      <c r="D11" s="13" t="s">
        <v>62</v>
      </c>
      <c r="E11" s="13">
        <v>0.95690972222222204</v>
      </c>
      <c r="F11" s="14">
        <f t="shared" si="1"/>
        <v>1.9461111111111133</v>
      </c>
      <c r="G11" s="15">
        <f t="shared" si="2"/>
        <v>1.9461111111111133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46183.014558680603</v>
      </c>
      <c r="B12" s="7" t="s">
        <v>64</v>
      </c>
      <c r="C12" s="13">
        <v>1.4548611111111101E-2</v>
      </c>
      <c r="D12" s="13" t="s">
        <v>62</v>
      </c>
      <c r="E12" s="13">
        <v>0.116006944444444</v>
      </c>
      <c r="F12" s="14">
        <f t="shared" si="1"/>
        <v>2.4349999999999898</v>
      </c>
      <c r="G12" s="15">
        <f t="shared" si="2"/>
        <v>0</v>
      </c>
      <c r="H12" s="15">
        <f t="shared" si="3"/>
        <v>2.4349999999999898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46183.116038194399</v>
      </c>
      <c r="B13" s="7" t="s">
        <v>61</v>
      </c>
      <c r="C13" s="13">
        <v>0.116030092592593</v>
      </c>
      <c r="D13" s="13" t="s">
        <v>62</v>
      </c>
      <c r="E13" s="13">
        <v>0.145416666666667</v>
      </c>
      <c r="F13" s="14">
        <f t="shared" si="1"/>
        <v>0.70527777777777589</v>
      </c>
      <c r="G13" s="15">
        <f t="shared" si="2"/>
        <v>0</v>
      </c>
      <c r="H13" s="15">
        <f t="shared" si="3"/>
        <v>0.70527777777777589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46184.133222800898</v>
      </c>
      <c r="B14" s="7" t="s">
        <v>83</v>
      </c>
      <c r="C14" s="13">
        <v>0.133217592592593</v>
      </c>
      <c r="D14" s="13" t="s">
        <v>62</v>
      </c>
      <c r="E14" s="13">
        <v>0.22408564814814799</v>
      </c>
      <c r="F14" s="14">
        <f t="shared" si="1"/>
        <v>2.1808333333333199</v>
      </c>
      <c r="G14" s="15">
        <f t="shared" si="2"/>
        <v>0</v>
      </c>
      <c r="H14" s="15">
        <f t="shared" si="3"/>
        <v>2.1808333333333199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46187.138535879603</v>
      </c>
      <c r="B15" s="7" t="s">
        <v>69</v>
      </c>
      <c r="C15" s="13">
        <v>0.138530092592593</v>
      </c>
      <c r="D15" s="13" t="s">
        <v>62</v>
      </c>
      <c r="E15" s="13">
        <v>0.27354166666666702</v>
      </c>
      <c r="F15" s="14">
        <f t="shared" si="1"/>
        <v>3.2402777777777763</v>
      </c>
      <c r="G15" s="15">
        <f t="shared" si="2"/>
        <v>0</v>
      </c>
      <c r="H15" s="15">
        <f t="shared" si="3"/>
        <v>3.2402777777777763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46187.273616782397</v>
      </c>
      <c r="B16" s="7" t="s">
        <v>66</v>
      </c>
      <c r="C16" s="13">
        <v>0.27361111111111103</v>
      </c>
      <c r="D16" s="13" t="s">
        <v>62</v>
      </c>
      <c r="E16" s="13">
        <v>0.29827546296296298</v>
      </c>
      <c r="F16" s="14">
        <f t="shared" si="1"/>
        <v>0.59194444444444683</v>
      </c>
      <c r="G16" s="15">
        <f t="shared" si="2"/>
        <v>0</v>
      </c>
      <c r="H16" s="15">
        <f t="shared" si="3"/>
        <v>0.59194444444444683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46190.373776620399</v>
      </c>
      <c r="B17" s="7" t="s">
        <v>84</v>
      </c>
      <c r="C17" s="13">
        <v>0.37377314814814799</v>
      </c>
      <c r="D17" s="13" t="s">
        <v>62</v>
      </c>
      <c r="E17" s="13">
        <v>0.49777777777777799</v>
      </c>
      <c r="F17" s="14">
        <f t="shared" si="1"/>
        <v>2.9761111111111198</v>
      </c>
      <c r="G17" s="15">
        <f t="shared" si="2"/>
        <v>2.9761111111111198</v>
      </c>
      <c r="H17" s="15">
        <f t="shared" si="3"/>
        <v>0</v>
      </c>
      <c r="I17" s="37" t="s">
        <v>79</v>
      </c>
      <c r="J17" s="38">
        <f>J4+J5+J6+J7+J10</f>
        <v>57.45972222222219</v>
      </c>
      <c r="K17" s="39">
        <f>K4+K5+K6+K7+K10</f>
        <v>33.165555555555578</v>
      </c>
      <c r="L17" s="40">
        <f>L4+L5+L6+L7+L10</f>
        <v>24.294166666666612</v>
      </c>
      <c r="M17" s="41"/>
    </row>
    <row r="18" spans="1:13" ht="20.25" x14ac:dyDescent="0.25">
      <c r="A18" s="12">
        <f t="shared" ca="1" si="0"/>
        <v>46190.529984259301</v>
      </c>
      <c r="B18" s="7" t="s">
        <v>84</v>
      </c>
      <c r="C18" s="13">
        <v>0.52997685185185195</v>
      </c>
      <c r="D18" s="13" t="s">
        <v>62</v>
      </c>
      <c r="E18" s="13">
        <v>0.55765046296296295</v>
      </c>
      <c r="F18" s="14">
        <f t="shared" si="1"/>
        <v>0.66416666666666391</v>
      </c>
      <c r="G18" s="15">
        <f t="shared" si="2"/>
        <v>0.66416666666666391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46190.611147800897</v>
      </c>
      <c r="B19" s="7" t="s">
        <v>84</v>
      </c>
      <c r="C19" s="13">
        <v>0.61114583333333306</v>
      </c>
      <c r="D19" s="13" t="s">
        <v>62</v>
      </c>
      <c r="E19" s="13">
        <v>0.73059027777777796</v>
      </c>
      <c r="F19" s="14">
        <f t="shared" si="1"/>
        <v>2.8666666666666778</v>
      </c>
      <c r="G19" s="15">
        <f t="shared" si="2"/>
        <v>2.8666666666666778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46191.37415625</v>
      </c>
      <c r="B20" s="7" t="s">
        <v>84</v>
      </c>
      <c r="C20" s="13">
        <v>0.374155092592593</v>
      </c>
      <c r="D20" s="13" t="s">
        <v>62</v>
      </c>
      <c r="E20" s="13">
        <v>0.485451388888889</v>
      </c>
      <c r="F20" s="14">
        <f t="shared" si="1"/>
        <v>2.6711111111111041</v>
      </c>
      <c r="G20" s="15">
        <f t="shared" si="2"/>
        <v>2.6711111111111041</v>
      </c>
      <c r="H20" s="15">
        <f t="shared" si="3"/>
        <v>0</v>
      </c>
      <c r="I20" s="42" t="s">
        <v>81</v>
      </c>
      <c r="J20" s="65">
        <f>J16+J17+J18+J19</f>
        <v>57.45972222222219</v>
      </c>
      <c r="K20" s="66"/>
      <c r="L20" s="67"/>
      <c r="M20" s="43"/>
    </row>
    <row r="21" spans="1:13" ht="20.25" x14ac:dyDescent="0.25">
      <c r="A21" s="12">
        <f t="shared" ca="1" si="0"/>
        <v>46191.600984027798</v>
      </c>
      <c r="B21" s="7" t="s">
        <v>84</v>
      </c>
      <c r="C21" s="13">
        <v>0.60098379629629595</v>
      </c>
      <c r="D21" s="13" t="s">
        <v>62</v>
      </c>
      <c r="E21" s="13">
        <v>0.70584490740740702</v>
      </c>
      <c r="F21" s="14">
        <f t="shared" si="1"/>
        <v>2.5166666666666657</v>
      </c>
      <c r="G21" s="15">
        <f t="shared" si="2"/>
        <v>2.5166666666666657</v>
      </c>
      <c r="H21" s="15">
        <f t="shared" si="3"/>
        <v>0</v>
      </c>
      <c r="I21" s="44" t="s">
        <v>4</v>
      </c>
      <c r="J21" s="45">
        <f>SUM(J8:J9)</f>
        <v>11.694722222222232</v>
      </c>
      <c r="K21" s="39">
        <f>SUM(K8:K9)</f>
        <v>11.694722222222232</v>
      </c>
      <c r="L21" s="40">
        <f>SUM(L8:L9)</f>
        <v>0</v>
      </c>
      <c r="M21" s="46"/>
    </row>
    <row r="22" spans="1:13" ht="18.75" x14ac:dyDescent="0.15">
      <c r="A22" s="12">
        <f t="shared" ca="1" si="0"/>
        <v>46194.354392013898</v>
      </c>
      <c r="B22" s="7" t="s">
        <v>66</v>
      </c>
      <c r="C22" s="13">
        <v>0.35438657407407398</v>
      </c>
      <c r="D22" s="13" t="s">
        <v>62</v>
      </c>
      <c r="E22" s="13">
        <v>0.53326388888888898</v>
      </c>
      <c r="F22" s="14">
        <f t="shared" si="1"/>
        <v>4.2930555555555596</v>
      </c>
      <c r="G22" s="15">
        <f t="shared" si="2"/>
        <v>4.2930555555555596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46194.694987731498</v>
      </c>
      <c r="B23" s="7" t="s">
        <v>61</v>
      </c>
      <c r="C23" s="13">
        <v>0.69498842592592602</v>
      </c>
      <c r="D23" s="13" t="s">
        <v>62</v>
      </c>
      <c r="E23" s="13">
        <v>0.78331018518518503</v>
      </c>
      <c r="F23" s="14">
        <f t="shared" si="1"/>
        <v>2.1197222222222161</v>
      </c>
      <c r="G23" s="15">
        <f t="shared" si="2"/>
        <v>2.1197222222222161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46194.868771990703</v>
      </c>
      <c r="B24" s="7" t="s">
        <v>66</v>
      </c>
      <c r="C24" s="13">
        <v>0.86876157407407395</v>
      </c>
      <c r="D24" s="13" t="s">
        <v>62</v>
      </c>
      <c r="E24" s="13">
        <v>0.95755787037036999</v>
      </c>
      <c r="F24" s="14">
        <f t="shared" si="1"/>
        <v>2.131111111111105</v>
      </c>
      <c r="G24" s="15">
        <f t="shared" si="2"/>
        <v>2.131111111111105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46195.299948958302</v>
      </c>
      <c r="B25" s="7" t="s">
        <v>69</v>
      </c>
      <c r="C25" s="13">
        <v>0.29921296296296301</v>
      </c>
      <c r="D25" s="13" t="s">
        <v>62</v>
      </c>
      <c r="E25" s="13">
        <v>0.42173611111111098</v>
      </c>
      <c r="F25" s="14">
        <f t="shared" si="1"/>
        <v>2.9405555555555511</v>
      </c>
      <c r="G25" s="15">
        <f t="shared" si="2"/>
        <v>2.1216666666666719</v>
      </c>
      <c r="H25" s="15">
        <f t="shared" si="3"/>
        <v>0.81888888888887923</v>
      </c>
      <c r="I25"/>
      <c r="J25"/>
    </row>
    <row r="26" spans="1:13" ht="18.75" x14ac:dyDescent="0.15">
      <c r="A26" s="12">
        <f t="shared" ca="1" si="0"/>
        <v>46195.528899421297</v>
      </c>
      <c r="B26" s="7" t="s">
        <v>64</v>
      </c>
      <c r="C26" s="13">
        <v>0.52888888888888896</v>
      </c>
      <c r="D26" s="13" t="s">
        <v>62</v>
      </c>
      <c r="E26" s="13">
        <v>0.65931712962962996</v>
      </c>
      <c r="F26" s="14">
        <f t="shared" si="1"/>
        <v>3.1302777777777839</v>
      </c>
      <c r="G26" s="15">
        <f t="shared" si="2"/>
        <v>3.1302777777777839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46195.7791013889</v>
      </c>
      <c r="B27" s="7" t="s">
        <v>69</v>
      </c>
      <c r="C27" s="13">
        <v>0.779097222222222</v>
      </c>
      <c r="D27" s="13" t="s">
        <v>62</v>
      </c>
      <c r="E27" s="13">
        <v>0.85842592592592604</v>
      </c>
      <c r="F27" s="14">
        <f t="shared" si="1"/>
        <v>1.903888888888897</v>
      </c>
      <c r="G27" s="15">
        <f t="shared" si="2"/>
        <v>1.903888888888897</v>
      </c>
      <c r="H27" s="15">
        <f t="shared" si="3"/>
        <v>0</v>
      </c>
      <c r="I27"/>
      <c r="J27"/>
    </row>
    <row r="28" spans="1:13" ht="18.75" x14ac:dyDescent="0.15">
      <c r="A28" s="12">
        <f t="shared" ca="1" si="0"/>
        <v>46199.139786226799</v>
      </c>
      <c r="B28" s="7" t="s">
        <v>61</v>
      </c>
      <c r="C28" s="13">
        <v>0.139780092592593</v>
      </c>
      <c r="D28" s="13" t="s">
        <v>62</v>
      </c>
      <c r="E28" s="13">
        <v>0.305150462962963</v>
      </c>
      <c r="F28" s="14">
        <f t="shared" si="1"/>
        <v>3.96888888888888</v>
      </c>
      <c r="G28" s="15">
        <f t="shared" si="2"/>
        <v>0</v>
      </c>
      <c r="H28" s="15">
        <f t="shared" si="3"/>
        <v>3.96888888888888</v>
      </c>
      <c r="I28"/>
      <c r="J28"/>
    </row>
    <row r="29" spans="1:13" ht="18.75" x14ac:dyDescent="0.15">
      <c r="A29" s="12">
        <f t="shared" ca="1" si="0"/>
        <v>46199.952276967597</v>
      </c>
      <c r="B29" s="7" t="s">
        <v>69</v>
      </c>
      <c r="C29" s="13">
        <v>0.95226851851851801</v>
      </c>
      <c r="D29" s="13" t="s">
        <v>62</v>
      </c>
      <c r="E29" s="13">
        <v>9.9745370370370401E-2</v>
      </c>
      <c r="F29" s="14">
        <f t="shared" si="1"/>
        <v>3.5394444444444573</v>
      </c>
      <c r="G29" s="15">
        <f t="shared" si="2"/>
        <v>1.1455555555555677</v>
      </c>
      <c r="H29" s="15">
        <f t="shared" si="3"/>
        <v>2.3938888888888896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46182.5225565972</v>
      </c>
      <c r="B3" s="7" t="s">
        <v>66</v>
      </c>
      <c r="C3" s="13">
        <v>0.52254629629629601</v>
      </c>
      <c r="D3" s="13" t="s">
        <v>62</v>
      </c>
      <c r="E3" s="13">
        <v>0.65121527777777799</v>
      </c>
      <c r="F3" s="14">
        <f t="shared" ref="F3:F42" si="1">(IF(E3-C3&lt;0,"24:00"-C3+E3,E3-C3))*24</f>
        <v>3.0880555555555675</v>
      </c>
      <c r="G3" s="15">
        <f t="shared" ref="G3:G42" si="2">F3-H3</f>
        <v>3.0880555555555675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46182.731210069403</v>
      </c>
      <c r="B4" s="7" t="s">
        <v>66</v>
      </c>
      <c r="C4" s="13">
        <v>0.73120370370370402</v>
      </c>
      <c r="D4" s="13" t="s">
        <v>62</v>
      </c>
      <c r="E4" s="13">
        <v>0.86049768518518499</v>
      </c>
      <c r="F4" s="14">
        <f t="shared" si="1"/>
        <v>3.1030555555555432</v>
      </c>
      <c r="G4" s="15">
        <f t="shared" si="2"/>
        <v>3.1030555555555432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29.571111111111037</v>
      </c>
      <c r="K4" s="25">
        <f>SUMIF(B:B,"西塔台管制席",G:G)+SUMIF(B:B,"东塔台管制席",G:G)</f>
        <v>14.008055555555543</v>
      </c>
      <c r="L4" s="25">
        <f>SUMIF(B:B,"西塔台管制席",H:H)+SUMIF(B:B,"东塔台管制席",H:H)</f>
        <v>15.563055555555497</v>
      </c>
      <c r="M4" s="21"/>
    </row>
    <row r="5" spans="1:16" ht="18.75" x14ac:dyDescent="0.25">
      <c r="A5" s="12">
        <f t="shared" ca="1" si="0"/>
        <v>46183.410478240701</v>
      </c>
      <c r="B5" s="7" t="s">
        <v>69</v>
      </c>
      <c r="C5" s="13">
        <v>0.41047453703703701</v>
      </c>
      <c r="D5" s="13" t="s">
        <v>62</v>
      </c>
      <c r="E5" s="13">
        <v>0.52471064814814805</v>
      </c>
      <c r="F5" s="14">
        <f t="shared" si="1"/>
        <v>2.7416666666666649</v>
      </c>
      <c r="G5" s="15">
        <f t="shared" si="2"/>
        <v>2.7416666666666649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25.193333333333335</v>
      </c>
      <c r="K5" s="25">
        <f>SUMIF(B:B,"西塔台协调席",G:G)+SUMIF(B:B,"东塔台协调席",G:G)</f>
        <v>17.666944444444461</v>
      </c>
      <c r="L5" s="25">
        <f>SUMIF(B:B,"西塔台协调席",H:H)+SUMIF(B:B,"东塔台协调席",H:H)</f>
        <v>7.5263888888888708</v>
      </c>
      <c r="M5" s="21"/>
    </row>
    <row r="6" spans="1:16" ht="18.75" x14ac:dyDescent="0.25">
      <c r="A6" s="12">
        <f t="shared" ca="1" si="0"/>
        <v>46183.646980671299</v>
      </c>
      <c r="B6" s="7" t="s">
        <v>64</v>
      </c>
      <c r="C6" s="13">
        <v>0.645590277777778</v>
      </c>
      <c r="D6" s="13" t="s">
        <v>62</v>
      </c>
      <c r="E6" s="13">
        <v>0.77891203703703704</v>
      </c>
      <c r="F6" s="14">
        <f t="shared" si="1"/>
        <v>3.199722222222217</v>
      </c>
      <c r="G6" s="15">
        <f t="shared" si="2"/>
        <v>3.199722222222217</v>
      </c>
      <c r="H6" s="15">
        <f t="shared" si="3"/>
        <v>0</v>
      </c>
      <c r="I6" s="23" t="s">
        <v>68</v>
      </c>
      <c r="J6" s="24">
        <f>SUMIF(B:B,"放行席",F:F)</f>
        <v>2.2961111111111281</v>
      </c>
      <c r="K6" s="25">
        <f>SUMIF(B:B,"放行席",G:G)</f>
        <v>0</v>
      </c>
      <c r="L6" s="25">
        <f>SUMIF(B:B,"放行席",H:H)</f>
        <v>2.2961111111111281</v>
      </c>
      <c r="M6" s="21"/>
    </row>
    <row r="7" spans="1:16" ht="18.75" x14ac:dyDescent="0.25">
      <c r="A7" s="12">
        <f t="shared" ca="1" si="0"/>
        <v>46183.835293055599</v>
      </c>
      <c r="B7" s="7" t="s">
        <v>69</v>
      </c>
      <c r="C7" s="13">
        <v>0.83528935185185205</v>
      </c>
      <c r="D7" s="13" t="s">
        <v>62</v>
      </c>
      <c r="E7" s="13">
        <v>0.95658564814814795</v>
      </c>
      <c r="F7" s="14">
        <f t="shared" si="1"/>
        <v>2.9111111111111017</v>
      </c>
      <c r="G7" s="15">
        <f t="shared" si="2"/>
        <v>2.9111111111111017</v>
      </c>
      <c r="H7" s="15">
        <f t="shared" si="3"/>
        <v>0</v>
      </c>
      <c r="I7" s="23" t="s">
        <v>70</v>
      </c>
      <c r="J7" s="24">
        <f>SUMIF(B:B,"地面席",F:F)</f>
        <v>2.2463888888888879</v>
      </c>
      <c r="K7" s="25">
        <f>SUMIF(B:B,"地面席",G:G)</f>
        <v>0</v>
      </c>
      <c r="L7" s="25">
        <f>SUMIF(B:B,"地面席",H:H)</f>
        <v>2.2463888888888879</v>
      </c>
      <c r="M7" s="21"/>
    </row>
    <row r="8" spans="1:16" ht="18.75" x14ac:dyDescent="0.25">
      <c r="A8" s="12">
        <f t="shared" ca="1" si="0"/>
        <v>46184.293517361097</v>
      </c>
      <c r="B8" s="7" t="s">
        <v>64</v>
      </c>
      <c r="C8" s="13">
        <v>0.29350694444444397</v>
      </c>
      <c r="D8" s="13" t="s">
        <v>62</v>
      </c>
      <c r="E8" s="13">
        <v>0.36648148148148102</v>
      </c>
      <c r="F8" s="14">
        <f t="shared" si="1"/>
        <v>1.7513888888888891</v>
      </c>
      <c r="G8" s="15">
        <f t="shared" si="2"/>
        <v>0.79555555555555291</v>
      </c>
      <c r="H8" s="15">
        <f t="shared" si="3"/>
        <v>0.9558333333333362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46185.229587384303</v>
      </c>
      <c r="B9" s="7" t="s">
        <v>69</v>
      </c>
      <c r="C9" s="13">
        <v>0.13930555555555599</v>
      </c>
      <c r="D9" s="13" t="s">
        <v>62</v>
      </c>
      <c r="E9" s="13">
        <v>0.22988425925925901</v>
      </c>
      <c r="F9" s="14">
        <f t="shared" si="1"/>
        <v>2.1738888888888726</v>
      </c>
      <c r="G9" s="15">
        <f t="shared" si="2"/>
        <v>0</v>
      </c>
      <c r="H9" s="15">
        <f t="shared" si="3"/>
        <v>2.1738888888888726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46186.952721875001</v>
      </c>
      <c r="B10" s="7" t="s">
        <v>69</v>
      </c>
      <c r="C10" s="13">
        <v>0.95271990740740697</v>
      </c>
      <c r="D10" s="13" t="s">
        <v>62</v>
      </c>
      <c r="E10" s="13">
        <v>9.9895833333333295E-2</v>
      </c>
      <c r="F10" s="14">
        <f t="shared" si="1"/>
        <v>3.5322222222222317</v>
      </c>
      <c r="G10" s="15">
        <f t="shared" si="2"/>
        <v>1.1347222222222326</v>
      </c>
      <c r="H10" s="15">
        <f t="shared" si="3"/>
        <v>2.3974999999999991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46188.1381197917</v>
      </c>
      <c r="B11" s="7" t="s">
        <v>69</v>
      </c>
      <c r="C11" s="13">
        <v>0.13811342592592599</v>
      </c>
      <c r="D11" s="13" t="s">
        <v>62</v>
      </c>
      <c r="E11" s="13">
        <v>0.30096064814814799</v>
      </c>
      <c r="F11" s="14">
        <f t="shared" si="1"/>
        <v>3.9083333333333279</v>
      </c>
      <c r="G11" s="15">
        <f t="shared" si="2"/>
        <v>0</v>
      </c>
      <c r="H11" s="15">
        <f t="shared" si="3"/>
        <v>3.9083333333333279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46191.131482291697</v>
      </c>
      <c r="B12" s="7" t="s">
        <v>83</v>
      </c>
      <c r="C12" s="13">
        <v>0.13148148148148101</v>
      </c>
      <c r="D12" s="13" t="s">
        <v>62</v>
      </c>
      <c r="E12" s="13">
        <v>0.22715277777777801</v>
      </c>
      <c r="F12" s="14">
        <f t="shared" si="1"/>
        <v>2.2961111111111281</v>
      </c>
      <c r="G12" s="15">
        <f t="shared" si="2"/>
        <v>0</v>
      </c>
      <c r="H12" s="15">
        <f t="shared" si="3"/>
        <v>2.2961111111111281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46192.0116627315</v>
      </c>
      <c r="B13" s="7" t="s">
        <v>66</v>
      </c>
      <c r="C13" s="13">
        <v>1.1655092592592601E-2</v>
      </c>
      <c r="D13" s="13" t="s">
        <v>62</v>
      </c>
      <c r="E13" s="13">
        <v>0.116550925925926</v>
      </c>
      <c r="F13" s="14">
        <f t="shared" si="1"/>
        <v>2.5175000000000014</v>
      </c>
      <c r="G13" s="15">
        <f t="shared" si="2"/>
        <v>0</v>
      </c>
      <c r="H13" s="15">
        <f t="shared" si="3"/>
        <v>2.5175000000000014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46192.144427777799</v>
      </c>
      <c r="B14" s="7" t="s">
        <v>69</v>
      </c>
      <c r="C14" s="13">
        <v>0.117337962962963</v>
      </c>
      <c r="D14" s="13" t="s">
        <v>62</v>
      </c>
      <c r="E14" s="13">
        <v>0.14452546296296301</v>
      </c>
      <c r="F14" s="14">
        <f t="shared" si="1"/>
        <v>0.65250000000000008</v>
      </c>
      <c r="G14" s="15">
        <f t="shared" si="2"/>
        <v>0</v>
      </c>
      <c r="H14" s="15">
        <f t="shared" si="3"/>
        <v>0.65250000000000008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46195.0140342593</v>
      </c>
      <c r="B15" s="7" t="s">
        <v>69</v>
      </c>
      <c r="C15" s="13">
        <v>1.40277777777778E-2</v>
      </c>
      <c r="D15" s="13" t="s">
        <v>62</v>
      </c>
      <c r="E15" s="13">
        <v>0.108159722222222</v>
      </c>
      <c r="F15" s="14">
        <f t="shared" si="1"/>
        <v>2.259166666666661</v>
      </c>
      <c r="G15" s="15">
        <f t="shared" si="2"/>
        <v>0</v>
      </c>
      <c r="H15" s="15">
        <f t="shared" si="3"/>
        <v>2.259166666666661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46195.108210185201</v>
      </c>
      <c r="B16" s="7" t="s">
        <v>61</v>
      </c>
      <c r="C16" s="13">
        <v>0.10820601851851901</v>
      </c>
      <c r="D16" s="13" t="s">
        <v>62</v>
      </c>
      <c r="E16" s="13">
        <v>0.14615740740740699</v>
      </c>
      <c r="F16" s="14">
        <f t="shared" si="1"/>
        <v>0.91083333333331151</v>
      </c>
      <c r="G16" s="15">
        <f t="shared" si="2"/>
        <v>0</v>
      </c>
      <c r="H16" s="15">
        <f t="shared" si="3"/>
        <v>0.91083333333331151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46196.137864930599</v>
      </c>
      <c r="B17" s="7" t="s">
        <v>82</v>
      </c>
      <c r="C17" s="13">
        <v>0.13785879629629599</v>
      </c>
      <c r="D17" s="13" t="s">
        <v>62</v>
      </c>
      <c r="E17" s="13">
        <v>0.23145833333333299</v>
      </c>
      <c r="F17" s="14">
        <f t="shared" si="1"/>
        <v>2.2463888888888879</v>
      </c>
      <c r="G17" s="15">
        <f t="shared" si="2"/>
        <v>0</v>
      </c>
      <c r="H17" s="15">
        <f t="shared" si="3"/>
        <v>2.2463888888888879</v>
      </c>
      <c r="I17" s="37" t="s">
        <v>79</v>
      </c>
      <c r="J17" s="38">
        <f>J4+J5+J6+J7+J10</f>
        <v>59.30694444444439</v>
      </c>
      <c r="K17" s="39">
        <f>K4+K5+K6+K7+K10</f>
        <v>31.675000000000004</v>
      </c>
      <c r="L17" s="40">
        <f>L4+L5+L6+L7+L10</f>
        <v>27.631944444444382</v>
      </c>
      <c r="M17" s="41"/>
    </row>
    <row r="18" spans="1:13" ht="20.25" x14ac:dyDescent="0.25">
      <c r="A18" s="12">
        <f t="shared" ca="1" si="0"/>
        <v>46199.010920601897</v>
      </c>
      <c r="B18" s="7" t="s">
        <v>66</v>
      </c>
      <c r="C18" s="13">
        <v>1.0914351851851901E-2</v>
      </c>
      <c r="D18" s="13" t="s">
        <v>62</v>
      </c>
      <c r="E18" s="13">
        <v>9.7766203703703702E-2</v>
      </c>
      <c r="F18" s="14">
        <f t="shared" si="1"/>
        <v>2.0844444444444434</v>
      </c>
      <c r="G18" s="15">
        <f t="shared" si="2"/>
        <v>0</v>
      </c>
      <c r="H18" s="15">
        <f t="shared" si="3"/>
        <v>2.0844444444444434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46199.097807523103</v>
      </c>
      <c r="B19" s="7" t="s">
        <v>69</v>
      </c>
      <c r="C19" s="13">
        <v>9.7800925925925902E-2</v>
      </c>
      <c r="D19" s="13" t="s">
        <v>62</v>
      </c>
      <c r="E19" s="13">
        <v>0.146111111111111</v>
      </c>
      <c r="F19" s="14">
        <f t="shared" si="1"/>
        <v>1.1594444444444423</v>
      </c>
      <c r="G19" s="15">
        <f t="shared" si="2"/>
        <v>0</v>
      </c>
      <c r="H19" s="15">
        <f t="shared" si="3"/>
        <v>1.1594444444444423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46200.132805208297</v>
      </c>
      <c r="B20" s="7" t="s">
        <v>61</v>
      </c>
      <c r="C20" s="13">
        <v>0.13280092592592599</v>
      </c>
      <c r="D20" s="13" t="s">
        <v>62</v>
      </c>
      <c r="E20" s="13">
        <v>0.22035879629629601</v>
      </c>
      <c r="F20" s="14">
        <f t="shared" si="1"/>
        <v>2.1013888888888808</v>
      </c>
      <c r="G20" s="15">
        <f t="shared" si="2"/>
        <v>0</v>
      </c>
      <c r="H20" s="15">
        <f t="shared" si="3"/>
        <v>2.1013888888888808</v>
      </c>
      <c r="I20" s="42" t="s">
        <v>81</v>
      </c>
      <c r="J20" s="65">
        <f>J16+J17+J18+J19</f>
        <v>59.30694444444439</v>
      </c>
      <c r="K20" s="66"/>
      <c r="L20" s="67"/>
      <c r="M20" s="43"/>
    </row>
    <row r="21" spans="1:13" ht="20.25" x14ac:dyDescent="0.25">
      <c r="A21" s="12">
        <f t="shared" ca="1" si="0"/>
        <v>46200.226958217601</v>
      </c>
      <c r="B21" s="7" t="s">
        <v>64</v>
      </c>
      <c r="C21" s="13">
        <v>0.22695601851851899</v>
      </c>
      <c r="D21" s="13" t="s">
        <v>62</v>
      </c>
      <c r="E21" s="13">
        <v>0.30898148148148102</v>
      </c>
      <c r="F21" s="14">
        <f t="shared" si="1"/>
        <v>1.9686111111110889</v>
      </c>
      <c r="G21" s="15">
        <f t="shared" si="2"/>
        <v>0</v>
      </c>
      <c r="H21" s="15">
        <f t="shared" si="3"/>
        <v>1.9686111111110889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>
        <f t="shared" ca="1" si="0"/>
        <v>46202.501029629602</v>
      </c>
      <c r="B22" s="7" t="s">
        <v>69</v>
      </c>
      <c r="C22" s="13">
        <v>0.50103009259259301</v>
      </c>
      <c r="D22" s="13" t="s">
        <v>62</v>
      </c>
      <c r="E22" s="13">
        <v>0.55179398148148195</v>
      </c>
      <c r="F22" s="14">
        <f t="shared" si="1"/>
        <v>1.2183333333333346</v>
      </c>
      <c r="G22" s="15">
        <f t="shared" si="2"/>
        <v>1.2183333333333346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46202.557433564798</v>
      </c>
      <c r="B23" s="7" t="s">
        <v>69</v>
      </c>
      <c r="C23" s="13">
        <v>0.55743055555555598</v>
      </c>
      <c r="D23" s="13" t="s">
        <v>62</v>
      </c>
      <c r="E23" s="13">
        <v>0.67466435185185203</v>
      </c>
      <c r="F23" s="14">
        <f t="shared" si="1"/>
        <v>2.8136111111111051</v>
      </c>
      <c r="G23" s="15">
        <f t="shared" si="2"/>
        <v>2.8136111111111051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46202.813937268496</v>
      </c>
      <c r="B24" s="7" t="s">
        <v>64</v>
      </c>
      <c r="C24" s="13">
        <v>0.81393518518518504</v>
      </c>
      <c r="D24" s="13" t="s">
        <v>62</v>
      </c>
      <c r="E24" s="13">
        <v>0.95687500000000003</v>
      </c>
      <c r="F24" s="14">
        <f t="shared" si="1"/>
        <v>3.4305555555555598</v>
      </c>
      <c r="G24" s="15">
        <f t="shared" si="2"/>
        <v>3.4305555555555598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46203.374512731498</v>
      </c>
      <c r="B25" s="7" t="s">
        <v>69</v>
      </c>
      <c r="C25" s="13">
        <v>0.374502314814815</v>
      </c>
      <c r="D25" s="13" t="s">
        <v>62</v>
      </c>
      <c r="E25" s="13">
        <v>0.50736111111111104</v>
      </c>
      <c r="F25" s="14">
        <f t="shared" si="1"/>
        <v>3.1886111111111051</v>
      </c>
      <c r="G25" s="15">
        <f t="shared" si="2"/>
        <v>3.1886111111111051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46203.674922222199</v>
      </c>
      <c r="B26" s="7" t="s">
        <v>64</v>
      </c>
      <c r="C26" s="13">
        <v>0.674918981481481</v>
      </c>
      <c r="D26" s="13" t="s">
        <v>62</v>
      </c>
      <c r="E26" s="13">
        <v>0.84366898148148195</v>
      </c>
      <c r="F26" s="14">
        <f t="shared" si="1"/>
        <v>4.0500000000000229</v>
      </c>
      <c r="G26" s="15">
        <f t="shared" si="2"/>
        <v>4.0500000000000229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42"/>
  <sheetViews>
    <sheetView zoomScale="85" zoomScaleNormal="85" workbookViewId="0">
      <selection activeCell="E27" sqref="E27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46177.015201157403</v>
      </c>
      <c r="B3" s="7" t="s">
        <v>69</v>
      </c>
      <c r="C3" s="13">
        <v>1.51967592592593E-2</v>
      </c>
      <c r="D3" s="13" t="s">
        <v>62</v>
      </c>
      <c r="E3" s="13">
        <v>0.14384259259259299</v>
      </c>
      <c r="F3" s="14">
        <f t="shared" ref="F3:F42" si="1">(IF(E3-C3&lt;0,"24:00"-C3+E3,E3-C3))*24</f>
        <v>3.0875000000000083</v>
      </c>
      <c r="G3" s="15">
        <f t="shared" ref="G3:G42" si="2">F3-H3</f>
        <v>0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3.0875000000000083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46177.958851504598</v>
      </c>
      <c r="B4" s="7" t="s">
        <v>66</v>
      </c>
      <c r="C4" s="13">
        <v>0.95884259259259297</v>
      </c>
      <c r="D4" s="13" t="s">
        <v>62</v>
      </c>
      <c r="E4" s="13">
        <v>0.108865740740741</v>
      </c>
      <c r="F4" s="14">
        <f t="shared" si="1"/>
        <v>3.6005555555555531</v>
      </c>
      <c r="G4" s="15">
        <f t="shared" si="2"/>
        <v>0.98777777777776921</v>
      </c>
      <c r="H4" s="15">
        <f t="shared" si="3"/>
        <v>2.6127777777777839</v>
      </c>
      <c r="I4" s="23" t="s">
        <v>65</v>
      </c>
      <c r="J4" s="24">
        <f>SUMIF(B:B,"西塔台管制席",F:F)+SUMIF(B:B,"东塔台管制席",F:F)</f>
        <v>26.006111111111103</v>
      </c>
      <c r="K4" s="25">
        <f>SUMIF(B:B,"西塔台管制席",G:G)+SUMIF(B:B,"东塔台管制席",G:G)</f>
        <v>11.927777777777758</v>
      </c>
      <c r="L4" s="25">
        <f>SUMIF(B:B,"西塔台管制席",H:H)+SUMIF(B:B,"东塔台管制席",H:H)</f>
        <v>14.078333333333344</v>
      </c>
      <c r="M4" s="21"/>
    </row>
    <row r="5" spans="1:16" ht="18.75" x14ac:dyDescent="0.25">
      <c r="A5" s="12">
        <f t="shared" ca="1" si="0"/>
        <v>46181.140039583297</v>
      </c>
      <c r="B5" s="7" t="s">
        <v>69</v>
      </c>
      <c r="C5" s="13">
        <v>0.14003472222222199</v>
      </c>
      <c r="D5" s="13" t="s">
        <v>62</v>
      </c>
      <c r="E5" s="13">
        <v>0.22151620370370401</v>
      </c>
      <c r="F5" s="14">
        <f t="shared" si="1"/>
        <v>1.9555555555555684</v>
      </c>
      <c r="G5" s="15">
        <f t="shared" si="2"/>
        <v>0</v>
      </c>
      <c r="H5" s="15">
        <f t="shared" si="3"/>
        <v>1.9555555555555684</v>
      </c>
      <c r="I5" s="23" t="s">
        <v>67</v>
      </c>
      <c r="J5" s="24">
        <f>SUMIF(B:B,"西塔台协调席",F:F)+SUMIF(B:B,"东塔台协调席",F:F)</f>
        <v>17.85944444444441</v>
      </c>
      <c r="K5" s="25">
        <f>SUMIF(B:B,"西塔台协调席",G:G)+SUMIF(B:B,"东塔台协调席",G:G)</f>
        <v>10.039999999999969</v>
      </c>
      <c r="L5" s="25">
        <f>SUMIF(B:B,"西塔台协调席",H:H)+SUMIF(B:B,"东塔台协调席",H:H)</f>
        <v>7.819444444444442</v>
      </c>
      <c r="M5" s="21"/>
    </row>
    <row r="6" spans="1:16" ht="18.75" x14ac:dyDescent="0.25">
      <c r="A6" s="12">
        <f t="shared" ca="1" si="0"/>
        <v>46181.230474074102</v>
      </c>
      <c r="B6" s="7" t="s">
        <v>69</v>
      </c>
      <c r="C6" s="13">
        <v>0.23047453703703699</v>
      </c>
      <c r="D6" s="13" t="s">
        <v>62</v>
      </c>
      <c r="E6" s="13">
        <v>0.30609953703703702</v>
      </c>
      <c r="F6" s="14">
        <f t="shared" si="1"/>
        <v>1.8150000000000006</v>
      </c>
      <c r="G6" s="15">
        <f t="shared" si="2"/>
        <v>0</v>
      </c>
      <c r="H6" s="15">
        <f t="shared" si="3"/>
        <v>1.8150000000000006</v>
      </c>
      <c r="I6" s="23" t="s">
        <v>68</v>
      </c>
      <c r="J6" s="24">
        <f>SUMIF(B:B,"放行席",F:F)</f>
        <v>2.0233333333333445</v>
      </c>
      <c r="K6" s="25">
        <f>SUMIF(B:B,"放行席",G:G)</f>
        <v>0</v>
      </c>
      <c r="L6" s="25">
        <f>SUMIF(B:B,"放行席",H:H)</f>
        <v>2.0233333333333445</v>
      </c>
      <c r="M6" s="21"/>
    </row>
    <row r="7" spans="1:16" ht="18.75" x14ac:dyDescent="0.25">
      <c r="A7" s="12">
        <f t="shared" ca="1" si="0"/>
        <v>46182.1326946759</v>
      </c>
      <c r="B7" s="7" t="s">
        <v>83</v>
      </c>
      <c r="C7" s="13">
        <v>0.13268518518518499</v>
      </c>
      <c r="D7" s="13" t="s">
        <v>62</v>
      </c>
      <c r="E7" s="13">
        <v>0.21699074074074101</v>
      </c>
      <c r="F7" s="14">
        <f t="shared" si="1"/>
        <v>2.0233333333333445</v>
      </c>
      <c r="G7" s="15">
        <f t="shared" si="2"/>
        <v>0</v>
      </c>
      <c r="H7" s="15">
        <f t="shared" si="3"/>
        <v>2.0233333333333445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>
        <f t="shared" ca="1" si="0"/>
        <v>46184.376173148099</v>
      </c>
      <c r="B8" s="7" t="s">
        <v>84</v>
      </c>
      <c r="C8" s="13">
        <v>0.37616898148148098</v>
      </c>
      <c r="D8" s="13" t="s">
        <v>62</v>
      </c>
      <c r="E8" s="13">
        <v>0.47355324074074101</v>
      </c>
      <c r="F8" s="14">
        <f t="shared" si="1"/>
        <v>2.3372222222222407</v>
      </c>
      <c r="G8" s="15">
        <f t="shared" si="2"/>
        <v>2.3372222222222407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46184.510804398102</v>
      </c>
      <c r="B9" s="7" t="s">
        <v>69</v>
      </c>
      <c r="C9" s="13">
        <v>0.51090277777777804</v>
      </c>
      <c r="D9" s="13" t="s">
        <v>62</v>
      </c>
      <c r="E9" s="13">
        <v>0.57464120370370397</v>
      </c>
      <c r="F9" s="14">
        <f t="shared" si="1"/>
        <v>1.5297222222222224</v>
      </c>
      <c r="G9" s="15">
        <f t="shared" si="2"/>
        <v>1.5297222222222224</v>
      </c>
      <c r="H9" s="15">
        <f t="shared" si="3"/>
        <v>0</v>
      </c>
      <c r="I9" s="23" t="s">
        <v>73</v>
      </c>
      <c r="J9" s="24">
        <f>SUMIF(B:B,"航班调度席",F:F)</f>
        <v>17.751944444444451</v>
      </c>
      <c r="K9" s="25">
        <f>SUMIF(B:B,"航班调度席",G:G)</f>
        <v>17.751944444444451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46184.653717824098</v>
      </c>
      <c r="B10" s="7" t="s">
        <v>84</v>
      </c>
      <c r="C10" s="13">
        <v>0.65371527777777805</v>
      </c>
      <c r="D10" s="13" t="s">
        <v>62</v>
      </c>
      <c r="E10" s="13">
        <v>0.74032407407407397</v>
      </c>
      <c r="F10" s="14">
        <f t="shared" si="1"/>
        <v>2.0786111111111021</v>
      </c>
      <c r="G10" s="15">
        <f t="shared" si="2"/>
        <v>2.0786111111111021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46185.375482638898</v>
      </c>
      <c r="B11" s="7" t="s">
        <v>84</v>
      </c>
      <c r="C11" s="13">
        <v>0.37547453703703698</v>
      </c>
      <c r="D11" s="13" t="s">
        <v>62</v>
      </c>
      <c r="E11" s="13">
        <v>0.48393518518518502</v>
      </c>
      <c r="F11" s="14">
        <f t="shared" si="1"/>
        <v>2.603055555555553</v>
      </c>
      <c r="G11" s="15">
        <f t="shared" si="2"/>
        <v>2.603055555555553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46185.587661111102</v>
      </c>
      <c r="B12" s="7" t="s">
        <v>84</v>
      </c>
      <c r="C12" s="13">
        <v>0.58765046296296297</v>
      </c>
      <c r="D12" s="13" t="s">
        <v>62</v>
      </c>
      <c r="E12" s="13">
        <v>0.69258101851851805</v>
      </c>
      <c r="F12" s="14">
        <f t="shared" si="1"/>
        <v>2.518333333333322</v>
      </c>
      <c r="G12" s="15">
        <f t="shared" si="2"/>
        <v>2.518333333333322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46188.958271643503</v>
      </c>
      <c r="B13" s="7" t="s">
        <v>61</v>
      </c>
      <c r="C13" s="13">
        <v>0.95826388888888903</v>
      </c>
      <c r="D13" s="13" t="s">
        <v>62</v>
      </c>
      <c r="E13" s="13">
        <v>0.123078703703704</v>
      </c>
      <c r="F13" s="14">
        <f t="shared" si="1"/>
        <v>3.9555555555555593</v>
      </c>
      <c r="G13" s="15">
        <f t="shared" si="2"/>
        <v>1.0016666666666634</v>
      </c>
      <c r="H13" s="15">
        <f t="shared" si="3"/>
        <v>2.9538888888888959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46190.014981944398</v>
      </c>
      <c r="B14" s="7" t="s">
        <v>64</v>
      </c>
      <c r="C14" s="13">
        <v>1.4976851851851899E-2</v>
      </c>
      <c r="D14" s="13" t="s">
        <v>62</v>
      </c>
      <c r="E14" s="13">
        <v>0.131736111111111</v>
      </c>
      <c r="F14" s="14">
        <f t="shared" si="1"/>
        <v>2.8022222222222184</v>
      </c>
      <c r="G14" s="15">
        <f t="shared" si="2"/>
        <v>0</v>
      </c>
      <c r="H14" s="15">
        <f t="shared" si="3"/>
        <v>2.8022222222222184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46192.372764351901</v>
      </c>
      <c r="B15" s="7" t="s">
        <v>84</v>
      </c>
      <c r="C15" s="13">
        <v>0.37275462962963002</v>
      </c>
      <c r="D15" s="13" t="s">
        <v>62</v>
      </c>
      <c r="E15" s="13">
        <v>0.52057870370370396</v>
      </c>
      <c r="F15" s="14">
        <f t="shared" si="1"/>
        <v>3.5477777777777746</v>
      </c>
      <c r="G15" s="15">
        <f t="shared" si="2"/>
        <v>3.5477777777777746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46193.376631828702</v>
      </c>
      <c r="B16" s="7" t="s">
        <v>84</v>
      </c>
      <c r="C16" s="13">
        <v>0.37663194444444398</v>
      </c>
      <c r="D16" s="13" t="s">
        <v>62</v>
      </c>
      <c r="E16" s="13">
        <v>0.52732638888888905</v>
      </c>
      <c r="F16" s="14">
        <f t="shared" si="1"/>
        <v>3.6166666666666818</v>
      </c>
      <c r="G16" s="15">
        <f t="shared" si="2"/>
        <v>3.6166666666666818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46193.607945833297</v>
      </c>
      <c r="B17" s="7" t="s">
        <v>84</v>
      </c>
      <c r="C17" s="13">
        <v>0.60793981481481496</v>
      </c>
      <c r="D17" s="13" t="s">
        <v>62</v>
      </c>
      <c r="E17" s="13">
        <v>0.65170138888888896</v>
      </c>
      <c r="F17" s="14">
        <f t="shared" si="1"/>
        <v>1.0502777777777759</v>
      </c>
      <c r="G17" s="15">
        <f t="shared" si="2"/>
        <v>1.0502777777777759</v>
      </c>
      <c r="H17" s="15">
        <f t="shared" si="3"/>
        <v>0</v>
      </c>
      <c r="I17" s="37" t="s">
        <v>79</v>
      </c>
      <c r="J17" s="38">
        <f>J4+J5+J6+J7+J10</f>
        <v>45.888888888888864</v>
      </c>
      <c r="K17" s="39">
        <f>K4+K5+K6+K7+K10</f>
        <v>21.967777777777727</v>
      </c>
      <c r="L17" s="40">
        <f>L4+L5+L6+L7+L10</f>
        <v>23.921111111111131</v>
      </c>
      <c r="M17" s="41"/>
    </row>
    <row r="18" spans="1:13" ht="20.25" x14ac:dyDescent="0.25">
      <c r="A18" s="12">
        <f t="shared" ca="1" si="0"/>
        <v>46196.354762962997</v>
      </c>
      <c r="B18" s="7" t="s">
        <v>64</v>
      </c>
      <c r="C18" s="13">
        <v>0.354756944444444</v>
      </c>
      <c r="D18" s="13" t="s">
        <v>62</v>
      </c>
      <c r="E18" s="13">
        <v>0.512546296296296</v>
      </c>
      <c r="F18" s="14">
        <f t="shared" si="1"/>
        <v>3.786944444444448</v>
      </c>
      <c r="G18" s="15">
        <f t="shared" si="2"/>
        <v>3.786944444444448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46196.625928240697</v>
      </c>
      <c r="B19" s="7" t="s">
        <v>69</v>
      </c>
      <c r="C19" s="13">
        <v>0.625925925925926</v>
      </c>
      <c r="D19" s="13" t="s">
        <v>62</v>
      </c>
      <c r="E19" s="13">
        <v>0.75641203703703697</v>
      </c>
      <c r="F19" s="14">
        <f t="shared" si="1"/>
        <v>3.1316666666666633</v>
      </c>
      <c r="G19" s="15">
        <f t="shared" si="2"/>
        <v>3.1316666666666633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46196.875677199103</v>
      </c>
      <c r="B20" s="7" t="s">
        <v>64</v>
      </c>
      <c r="C20" s="13">
        <v>0.87575231481481497</v>
      </c>
      <c r="D20" s="13" t="s">
        <v>62</v>
      </c>
      <c r="E20" s="13">
        <v>0.95862268518518501</v>
      </c>
      <c r="F20" s="14">
        <f t="shared" si="1"/>
        <v>1.9888888888888809</v>
      </c>
      <c r="G20" s="15">
        <f t="shared" si="2"/>
        <v>1.9888888888888809</v>
      </c>
      <c r="H20" s="15">
        <f t="shared" si="3"/>
        <v>0</v>
      </c>
      <c r="I20" s="42" t="s">
        <v>81</v>
      </c>
      <c r="J20" s="65">
        <f>J16+J17+J18+J19</f>
        <v>45.888888888888864</v>
      </c>
      <c r="K20" s="66"/>
      <c r="L20" s="67"/>
      <c r="M20" s="43"/>
    </row>
    <row r="21" spans="1:13" ht="20.25" x14ac:dyDescent="0.25">
      <c r="A21" s="12">
        <f t="shared" ca="1" si="0"/>
        <v>46197.300098842599</v>
      </c>
      <c r="B21" s="7" t="s">
        <v>69</v>
      </c>
      <c r="C21" s="13">
        <v>0.30009259259259302</v>
      </c>
      <c r="D21" s="13" t="s">
        <v>62</v>
      </c>
      <c r="E21" s="13">
        <v>0.34410879629629598</v>
      </c>
      <c r="F21" s="14">
        <f t="shared" si="1"/>
        <v>1.0563888888888711</v>
      </c>
      <c r="G21" s="15">
        <f t="shared" si="2"/>
        <v>0.25861111111111201</v>
      </c>
      <c r="H21" s="15">
        <f t="shared" si="3"/>
        <v>0.79777777777775905</v>
      </c>
      <c r="I21" s="44" t="s">
        <v>4</v>
      </c>
      <c r="J21" s="45">
        <f>SUM(J8:J9)</f>
        <v>17.751944444444451</v>
      </c>
      <c r="K21" s="39">
        <f>SUM(K8:K9)</f>
        <v>17.751944444444451</v>
      </c>
      <c r="L21" s="40">
        <f>SUM(L8:L9)</f>
        <v>0</v>
      </c>
      <c r="M21" s="46"/>
    </row>
    <row r="22" spans="1:13" ht="18.75" x14ac:dyDescent="0.15">
      <c r="A22" s="12">
        <f t="shared" ca="1" si="0"/>
        <v>46197.351024768497</v>
      </c>
      <c r="B22" s="7" t="s">
        <v>69</v>
      </c>
      <c r="C22" s="13">
        <v>0.35101851851851901</v>
      </c>
      <c r="D22" s="13" t="s">
        <v>62</v>
      </c>
      <c r="E22" s="13">
        <v>0.463402777777778</v>
      </c>
      <c r="F22" s="14">
        <f t="shared" si="1"/>
        <v>2.6972222222222157</v>
      </c>
      <c r="G22" s="15">
        <f t="shared" si="2"/>
        <v>2.6972222222222157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46197.542317708299</v>
      </c>
      <c r="B23" s="7" t="s">
        <v>64</v>
      </c>
      <c r="C23" s="13">
        <v>0.54231481481481503</v>
      </c>
      <c r="D23" s="13" t="s">
        <v>62</v>
      </c>
      <c r="E23" s="13">
        <v>0.630694444444444</v>
      </c>
      <c r="F23" s="14">
        <f t="shared" si="1"/>
        <v>2.1211111111110954</v>
      </c>
      <c r="G23" s="15">
        <f t="shared" si="2"/>
        <v>2.1211111111110954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46197.843160879602</v>
      </c>
      <c r="B24" s="7" t="s">
        <v>69</v>
      </c>
      <c r="C24" s="13">
        <v>0.753576388888889</v>
      </c>
      <c r="D24" s="13" t="s">
        <v>62</v>
      </c>
      <c r="E24" s="13">
        <v>0.84335648148148101</v>
      </c>
      <c r="F24" s="14">
        <f t="shared" si="1"/>
        <v>2.1547222222222082</v>
      </c>
      <c r="G24" s="15">
        <f t="shared" si="2"/>
        <v>2.1547222222222082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46200.951918402803</v>
      </c>
      <c r="B25" s="7" t="s">
        <v>69</v>
      </c>
      <c r="C25" s="13">
        <v>0.95190972222222203</v>
      </c>
      <c r="D25" s="13" t="s">
        <v>62</v>
      </c>
      <c r="E25" s="13">
        <v>0.14452546296296301</v>
      </c>
      <c r="F25" s="14">
        <f t="shared" si="1"/>
        <v>4.6227777777777836</v>
      </c>
      <c r="G25" s="15">
        <f t="shared" si="2"/>
        <v>1.1541666666666712</v>
      </c>
      <c r="H25" s="15">
        <f t="shared" si="3"/>
        <v>3.4686111111111124</v>
      </c>
      <c r="I25"/>
      <c r="J25"/>
    </row>
    <row r="26" spans="1:13" ht="18.75" x14ac:dyDescent="0.15">
      <c r="A26" s="12">
        <f t="shared" ca="1" si="0"/>
        <v>46201.951871064797</v>
      </c>
      <c r="B26" s="7" t="s">
        <v>64</v>
      </c>
      <c r="C26" s="13">
        <v>0.95186342592592599</v>
      </c>
      <c r="D26" s="13" t="s">
        <v>62</v>
      </c>
      <c r="E26" s="13">
        <v>0.100185185185185</v>
      </c>
      <c r="F26" s="14">
        <f t="shared" si="1"/>
        <v>3.559722222222216</v>
      </c>
      <c r="G26" s="15">
        <f t="shared" si="2"/>
        <v>1.1552777777777758</v>
      </c>
      <c r="H26" s="15">
        <f t="shared" si="3"/>
        <v>2.4044444444444402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>
        <f t="shared" ref="A3:A42" ca="1" si="0">IF(B3="","",IF(A3="",NOW(),A3))</f>
        <v>46176.374781828701</v>
      </c>
      <c r="B3" s="7" t="s">
        <v>84</v>
      </c>
      <c r="C3" s="13">
        <v>0.37478009259259298</v>
      </c>
      <c r="D3" s="13" t="s">
        <v>62</v>
      </c>
      <c r="E3" s="13">
        <v>0.50210648148148196</v>
      </c>
      <c r="F3" s="14">
        <f t="shared" ref="F3:F42" si="1">(IF(E3-C3&lt;0,"24:00"-C3+E3,E3-C3))*24</f>
        <v>3.0558333333333354</v>
      </c>
      <c r="G3" s="15">
        <f t="shared" ref="G3:G42" si="2">F3-H3</f>
        <v>3.0558333333333354</v>
      </c>
      <c r="H3" s="15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>
        <f t="shared" ca="1" si="0"/>
        <v>46176.6259615741</v>
      </c>
      <c r="B4" s="7" t="s">
        <v>61</v>
      </c>
      <c r="C4" s="13">
        <v>0.625960648148148</v>
      </c>
      <c r="D4" s="13" t="s">
        <v>62</v>
      </c>
      <c r="E4" s="13">
        <v>0.75506944444444402</v>
      </c>
      <c r="F4" s="14">
        <f t="shared" si="1"/>
        <v>3.0986111111111043</v>
      </c>
      <c r="G4" s="15">
        <f t="shared" si="2"/>
        <v>3.0986111111111043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34.211666666666659</v>
      </c>
      <c r="K4" s="25">
        <f>SUMIF(B:B,"西塔台管制席",G:G)+SUMIF(B:B,"东塔台管制席",G:G)</f>
        <v>21.899166666666673</v>
      </c>
      <c r="L4" s="25">
        <f>SUMIF(B:B,"西塔台管制席",H:H)+SUMIF(B:B,"东塔台管制席",H:H)</f>
        <v>12.312499999999988</v>
      </c>
      <c r="M4" s="21"/>
    </row>
    <row r="5" spans="1:16" ht="18.75" x14ac:dyDescent="0.25">
      <c r="A5" s="12">
        <f t="shared" ca="1" si="0"/>
        <v>46177.013893171301</v>
      </c>
      <c r="B5" s="7" t="s">
        <v>66</v>
      </c>
      <c r="C5" s="13">
        <v>1.38888888888889E-2</v>
      </c>
      <c r="D5" s="13" t="s">
        <v>62</v>
      </c>
      <c r="E5" s="13">
        <v>0.12646990740740699</v>
      </c>
      <c r="F5" s="14">
        <f t="shared" si="1"/>
        <v>2.7019444444444343</v>
      </c>
      <c r="G5" s="15">
        <f t="shared" si="2"/>
        <v>0</v>
      </c>
      <c r="H5" s="15">
        <f t="shared" si="3"/>
        <v>2.7019444444444343</v>
      </c>
      <c r="I5" s="23" t="s">
        <v>67</v>
      </c>
      <c r="J5" s="24">
        <f>SUMIF(B:B,"西塔台协调席",F:F)+SUMIF(B:B,"东塔台协调席",F:F)</f>
        <v>23.46888888888887</v>
      </c>
      <c r="K5" s="25">
        <f>SUMIF(B:B,"西塔台协调席",G:G)+SUMIF(B:B,"东塔台协调席",G:G)</f>
        <v>16.783055555555546</v>
      </c>
      <c r="L5" s="25">
        <f>SUMIF(B:B,"西塔台协调席",H:H)+SUMIF(B:B,"东塔台协调席",H:H)</f>
        <v>6.6858333333333251</v>
      </c>
      <c r="M5" s="21"/>
    </row>
    <row r="6" spans="1:16" ht="18.75" x14ac:dyDescent="0.25">
      <c r="A6" s="12">
        <f t="shared" ca="1" si="0"/>
        <v>46177.458548726798</v>
      </c>
      <c r="B6" s="7" t="s">
        <v>69</v>
      </c>
      <c r="C6" s="13">
        <v>0.461319444444444</v>
      </c>
      <c r="D6" s="13" t="s">
        <v>62</v>
      </c>
      <c r="E6" s="13">
        <v>0.54895833333333299</v>
      </c>
      <c r="F6" s="14">
        <f t="shared" si="1"/>
        <v>2.1033333333333357</v>
      </c>
      <c r="G6" s="15">
        <f t="shared" si="2"/>
        <v>2.1033333333333357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>
        <f t="shared" ca="1" si="0"/>
        <v>46177.625800463</v>
      </c>
      <c r="B7" s="7" t="s">
        <v>84</v>
      </c>
      <c r="C7" s="13">
        <v>0.62579861111111101</v>
      </c>
      <c r="D7" s="13" t="s">
        <v>62</v>
      </c>
      <c r="E7" s="13">
        <v>0.75601851851851898</v>
      </c>
      <c r="F7" s="14">
        <f t="shared" si="1"/>
        <v>3.1252777777777911</v>
      </c>
      <c r="G7" s="15">
        <f t="shared" si="2"/>
        <v>3.1252777777777911</v>
      </c>
      <c r="H7" s="15">
        <f t="shared" si="3"/>
        <v>0</v>
      </c>
      <c r="I7" s="23" t="s">
        <v>70</v>
      </c>
      <c r="J7" s="24">
        <f>SUMIF(B:B,"地面席",F:F)</f>
        <v>2.119166666666664</v>
      </c>
      <c r="K7" s="25">
        <f>SUMIF(B:B,"地面席",G:G)</f>
        <v>0</v>
      </c>
      <c r="L7" s="25">
        <f>SUMIF(B:B,"地面席",H:H)</f>
        <v>2.119166666666664</v>
      </c>
      <c r="M7" s="21"/>
    </row>
    <row r="8" spans="1:16" ht="18.75" x14ac:dyDescent="0.25">
      <c r="A8" s="12">
        <f t="shared" ca="1" si="0"/>
        <v>46178.014091435201</v>
      </c>
      <c r="B8" s="7" t="s">
        <v>69</v>
      </c>
      <c r="C8" s="13">
        <v>1.40856481481482E-2</v>
      </c>
      <c r="D8" s="13" t="s">
        <v>62</v>
      </c>
      <c r="E8" s="13">
        <v>0.14621527777777801</v>
      </c>
      <c r="F8" s="14">
        <f t="shared" si="1"/>
        <v>3.1711111111111157</v>
      </c>
      <c r="G8" s="15">
        <f t="shared" si="2"/>
        <v>0</v>
      </c>
      <c r="H8" s="15">
        <f t="shared" si="3"/>
        <v>3.1711111111111157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>
        <f t="shared" ca="1" si="0"/>
        <v>46180.958379050899</v>
      </c>
      <c r="B9" s="7" t="s">
        <v>61</v>
      </c>
      <c r="C9" s="13">
        <v>0.95836805555555504</v>
      </c>
      <c r="D9" s="13" t="s">
        <v>62</v>
      </c>
      <c r="E9" s="13">
        <v>7.8877314814814803E-2</v>
      </c>
      <c r="F9" s="14">
        <f t="shared" si="1"/>
        <v>2.8922222222222342</v>
      </c>
      <c r="G9" s="15">
        <f t="shared" si="2"/>
        <v>0.99916666666667897</v>
      </c>
      <c r="H9" s="15">
        <f t="shared" si="3"/>
        <v>1.8930555555555553</v>
      </c>
      <c r="I9" s="23" t="s">
        <v>73</v>
      </c>
      <c r="J9" s="24">
        <f>SUMIF(B:B,"航班调度席",F:F)</f>
        <v>6.181111111111127</v>
      </c>
      <c r="K9" s="25">
        <f>SUMIF(B:B,"航班调度席",G:G)</f>
        <v>6.181111111111127</v>
      </c>
      <c r="L9" s="25">
        <f>SUMIF(B:B,"航班调度席",H:H)</f>
        <v>0</v>
      </c>
      <c r="M9" s="21"/>
    </row>
    <row r="10" spans="1:16" ht="18.75" x14ac:dyDescent="0.25">
      <c r="A10" s="12">
        <f t="shared" ca="1" si="0"/>
        <v>46188.505734953702</v>
      </c>
      <c r="B10" s="7" t="s">
        <v>61</v>
      </c>
      <c r="C10" s="13">
        <v>0.35989583333333303</v>
      </c>
      <c r="D10" s="13" t="s">
        <v>62</v>
      </c>
      <c r="E10" s="13">
        <v>0.50575231481481497</v>
      </c>
      <c r="F10" s="14">
        <f t="shared" si="1"/>
        <v>3.5005555555555667</v>
      </c>
      <c r="G10" s="15">
        <f t="shared" si="2"/>
        <v>3.5005555555555667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>
        <f t="shared" ca="1" si="0"/>
        <v>46188.646352661999</v>
      </c>
      <c r="B11" s="7" t="s">
        <v>66</v>
      </c>
      <c r="C11" s="13">
        <v>0.64634259259259297</v>
      </c>
      <c r="D11" s="13" t="s">
        <v>62</v>
      </c>
      <c r="E11" s="13">
        <v>0.76</v>
      </c>
      <c r="F11" s="14">
        <f t="shared" si="1"/>
        <v>2.727777777777769</v>
      </c>
      <c r="G11" s="15">
        <f t="shared" si="2"/>
        <v>2.727777777777769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>
        <f t="shared" ca="1" si="0"/>
        <v>46188.874192939802</v>
      </c>
      <c r="B12" s="7" t="s">
        <v>61</v>
      </c>
      <c r="C12" s="13">
        <v>0.87418981481481495</v>
      </c>
      <c r="D12" s="13" t="s">
        <v>62</v>
      </c>
      <c r="E12" s="13">
        <v>0.96392361111111102</v>
      </c>
      <c r="F12" s="14">
        <f t="shared" si="1"/>
        <v>2.1536111111111058</v>
      </c>
      <c r="G12" s="15">
        <f t="shared" si="2"/>
        <v>2.1536111111111058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>
        <f t="shared" ca="1" si="0"/>
        <v>46189.309440740697</v>
      </c>
      <c r="B13" s="7" t="s">
        <v>66</v>
      </c>
      <c r="C13" s="13">
        <v>0.30943287037036998</v>
      </c>
      <c r="D13" s="13" t="s">
        <v>62</v>
      </c>
      <c r="E13" s="13">
        <v>0.43701388888888898</v>
      </c>
      <c r="F13" s="14">
        <f t="shared" si="1"/>
        <v>3.0619444444444559</v>
      </c>
      <c r="G13" s="15">
        <f t="shared" si="2"/>
        <v>2.4883333333333439</v>
      </c>
      <c r="H13" s="15">
        <f t="shared" si="3"/>
        <v>0.57361111111111196</v>
      </c>
      <c r="I13" s="68" t="s">
        <v>77</v>
      </c>
      <c r="J13" s="69"/>
      <c r="K13" s="69"/>
      <c r="L13" s="69"/>
      <c r="M13" s="69"/>
    </row>
    <row r="14" spans="1:16" ht="18.75" x14ac:dyDescent="0.15">
      <c r="A14" s="12">
        <f t="shared" ca="1" si="0"/>
        <v>46189.514876851797</v>
      </c>
      <c r="B14" s="7" t="s">
        <v>66</v>
      </c>
      <c r="C14" s="13">
        <v>0.51487268518518503</v>
      </c>
      <c r="D14" s="13" t="s">
        <v>62</v>
      </c>
      <c r="E14" s="13">
        <v>0.63162037037037</v>
      </c>
      <c r="F14" s="14">
        <f t="shared" si="1"/>
        <v>2.8019444444444392</v>
      </c>
      <c r="G14" s="15">
        <f t="shared" si="2"/>
        <v>2.8019444444444392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>
        <f t="shared" ca="1" si="0"/>
        <v>46189.754196180598</v>
      </c>
      <c r="B15" s="7" t="s">
        <v>61</v>
      </c>
      <c r="C15" s="13">
        <v>0.75418981481481495</v>
      </c>
      <c r="D15" s="13" t="s">
        <v>62</v>
      </c>
      <c r="E15" s="13">
        <v>0.83856481481481504</v>
      </c>
      <c r="F15" s="14">
        <f t="shared" si="1"/>
        <v>2.0250000000000021</v>
      </c>
      <c r="G15" s="15">
        <f t="shared" si="2"/>
        <v>2.0250000000000021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>
        <f t="shared" ca="1" si="0"/>
        <v>46192.950883101897</v>
      </c>
      <c r="B16" s="7" t="s">
        <v>69</v>
      </c>
      <c r="C16" s="13">
        <v>0.95087962962963002</v>
      </c>
      <c r="D16" s="13" t="s">
        <v>62</v>
      </c>
      <c r="E16" s="13">
        <v>0.113634259259259</v>
      </c>
      <c r="F16" s="14">
        <f t="shared" si="1"/>
        <v>3.906111111111096</v>
      </c>
      <c r="G16" s="15">
        <f t="shared" si="2"/>
        <v>1.17888888888888</v>
      </c>
      <c r="H16" s="15">
        <f t="shared" si="3"/>
        <v>2.727222222222216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>
        <f t="shared" ca="1" si="0"/>
        <v>46194.013582638901</v>
      </c>
      <c r="B17" s="7" t="s">
        <v>66</v>
      </c>
      <c r="C17" s="13">
        <v>1.35763888888889E-2</v>
      </c>
      <c r="D17" s="13" t="s">
        <v>62</v>
      </c>
      <c r="E17" s="13">
        <v>8.4594907407407396E-2</v>
      </c>
      <c r="F17" s="14">
        <f t="shared" si="1"/>
        <v>1.704444444444444</v>
      </c>
      <c r="G17" s="15">
        <f t="shared" si="2"/>
        <v>0</v>
      </c>
      <c r="H17" s="15">
        <f t="shared" si="3"/>
        <v>1.704444444444444</v>
      </c>
      <c r="I17" s="37" t="s">
        <v>79</v>
      </c>
      <c r="J17" s="38">
        <f>J4+J5+J6+J7+J10</f>
        <v>59.799722222222194</v>
      </c>
      <c r="K17" s="39">
        <f>K4+K5+K6+K7+K10</f>
        <v>38.682222222222222</v>
      </c>
      <c r="L17" s="40">
        <f>L4+L5+L6+L7+L10</f>
        <v>21.117499999999978</v>
      </c>
      <c r="M17" s="41"/>
    </row>
    <row r="18" spans="1:13" ht="20.25" x14ac:dyDescent="0.25">
      <c r="A18" s="12">
        <f t="shared" ca="1" si="0"/>
        <v>46194.084659375003</v>
      </c>
      <c r="B18" s="7" t="s">
        <v>69</v>
      </c>
      <c r="C18" s="13">
        <v>8.4652777777777799E-2</v>
      </c>
      <c r="D18" s="13" t="s">
        <v>62</v>
      </c>
      <c r="E18" s="13">
        <v>0.144895833333333</v>
      </c>
      <c r="F18" s="14">
        <f t="shared" si="1"/>
        <v>1.4458333333333249</v>
      </c>
      <c r="G18" s="15">
        <f t="shared" si="2"/>
        <v>0</v>
      </c>
      <c r="H18" s="15">
        <f t="shared" si="3"/>
        <v>1.4458333333333249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>
        <f t="shared" ca="1" si="0"/>
        <v>46197.138730555598</v>
      </c>
      <c r="B19" s="7" t="s">
        <v>61</v>
      </c>
      <c r="C19" s="13">
        <v>0.13872685185185199</v>
      </c>
      <c r="D19" s="13" t="s">
        <v>62</v>
      </c>
      <c r="E19" s="13">
        <v>0.232025462962963</v>
      </c>
      <c r="F19" s="14">
        <f t="shared" si="1"/>
        <v>2.2391666666666641</v>
      </c>
      <c r="G19" s="15">
        <f t="shared" si="2"/>
        <v>0</v>
      </c>
      <c r="H19" s="15">
        <f t="shared" si="3"/>
        <v>2.2391666666666641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>
        <f t="shared" ca="1" si="0"/>
        <v>46197.233857060201</v>
      </c>
      <c r="B20" s="7" t="s">
        <v>64</v>
      </c>
      <c r="C20" s="13">
        <v>0.233854166666667</v>
      </c>
      <c r="D20" s="13" t="s">
        <v>62</v>
      </c>
      <c r="E20" s="13">
        <v>0.30493055555555598</v>
      </c>
      <c r="F20" s="14">
        <f t="shared" si="1"/>
        <v>1.7058333333333355</v>
      </c>
      <c r="G20" s="15">
        <f t="shared" si="2"/>
        <v>0</v>
      </c>
      <c r="H20" s="15">
        <f t="shared" si="3"/>
        <v>1.7058333333333355</v>
      </c>
      <c r="I20" s="42" t="s">
        <v>81</v>
      </c>
      <c r="J20" s="65">
        <f>J16+J17+J18+J19</f>
        <v>59.799722222222194</v>
      </c>
      <c r="K20" s="66"/>
      <c r="L20" s="67"/>
      <c r="M20" s="43"/>
    </row>
    <row r="21" spans="1:13" ht="20.25" x14ac:dyDescent="0.25">
      <c r="A21" s="12">
        <f t="shared" ca="1" si="0"/>
        <v>46198.138132754597</v>
      </c>
      <c r="B21" s="7" t="s">
        <v>82</v>
      </c>
      <c r="C21" s="13">
        <v>0.138125</v>
      </c>
      <c r="D21" s="13" t="s">
        <v>62</v>
      </c>
      <c r="E21" s="13">
        <v>0.22642361111111101</v>
      </c>
      <c r="F21" s="14">
        <f t="shared" si="1"/>
        <v>2.119166666666664</v>
      </c>
      <c r="G21" s="15">
        <f t="shared" si="2"/>
        <v>0</v>
      </c>
      <c r="H21" s="15">
        <f t="shared" si="3"/>
        <v>2.119166666666664</v>
      </c>
      <c r="I21" s="44" t="s">
        <v>4</v>
      </c>
      <c r="J21" s="45">
        <f>SUM(J8:J9)</f>
        <v>6.181111111111127</v>
      </c>
      <c r="K21" s="39">
        <f>SUM(K8:K9)</f>
        <v>6.181111111111127</v>
      </c>
      <c r="L21" s="40">
        <f>SUM(L8:L9)</f>
        <v>0</v>
      </c>
      <c r="M21" s="46"/>
    </row>
    <row r="22" spans="1:13" ht="18.75" x14ac:dyDescent="0.15">
      <c r="A22" s="12">
        <f t="shared" ca="1" si="0"/>
        <v>46200.500884027802</v>
      </c>
      <c r="B22" s="7" t="s">
        <v>64</v>
      </c>
      <c r="C22" s="13">
        <v>0.50087962962962995</v>
      </c>
      <c r="D22" s="13" t="s">
        <v>62</v>
      </c>
      <c r="E22" s="13">
        <v>0.64896990740740701</v>
      </c>
      <c r="F22" s="14">
        <f t="shared" si="1"/>
        <v>3.5541666666666494</v>
      </c>
      <c r="G22" s="15">
        <f t="shared" si="2"/>
        <v>3.5541666666666494</v>
      </c>
      <c r="H22" s="15">
        <f t="shared" si="3"/>
        <v>0</v>
      </c>
      <c r="I22"/>
      <c r="J22"/>
    </row>
    <row r="23" spans="1:13" ht="18.75" x14ac:dyDescent="0.15">
      <c r="A23" s="12">
        <f t="shared" ca="1" si="0"/>
        <v>46200.7538516204</v>
      </c>
      <c r="B23" s="7" t="s">
        <v>69</v>
      </c>
      <c r="C23" s="13">
        <v>0.75384259259259301</v>
      </c>
      <c r="D23" s="13" t="s">
        <v>62</v>
      </c>
      <c r="E23" s="13">
        <v>0.87937500000000002</v>
      </c>
      <c r="F23" s="14">
        <f t="shared" si="1"/>
        <v>3.0127777777777682</v>
      </c>
      <c r="G23" s="15">
        <f t="shared" si="2"/>
        <v>3.0127777777777682</v>
      </c>
      <c r="H23" s="15">
        <f t="shared" si="3"/>
        <v>0</v>
      </c>
      <c r="I23"/>
      <c r="J23"/>
    </row>
    <row r="24" spans="1:13" ht="18.75" x14ac:dyDescent="0.15">
      <c r="A24" s="12">
        <f t="shared" ca="1" si="0"/>
        <v>46201.416729976903</v>
      </c>
      <c r="B24" s="7" t="s">
        <v>64</v>
      </c>
      <c r="C24" s="13">
        <v>0.41672453703703699</v>
      </c>
      <c r="D24" s="13" t="s">
        <v>62</v>
      </c>
      <c r="E24" s="13">
        <v>0.51061342592592596</v>
      </c>
      <c r="F24" s="14">
        <f t="shared" si="1"/>
        <v>2.2533333333333352</v>
      </c>
      <c r="G24" s="15">
        <f t="shared" si="2"/>
        <v>2.2533333333333352</v>
      </c>
      <c r="H24" s="15">
        <f t="shared" si="3"/>
        <v>0</v>
      </c>
      <c r="I24"/>
      <c r="J24"/>
    </row>
    <row r="25" spans="1:13" ht="18.75" x14ac:dyDescent="0.15">
      <c r="A25" s="12">
        <f t="shared" ca="1" si="0"/>
        <v>46201.625172106498</v>
      </c>
      <c r="B25" s="7" t="s">
        <v>69</v>
      </c>
      <c r="C25" s="13">
        <v>0.62516203703703699</v>
      </c>
      <c r="D25" s="13" t="s">
        <v>62</v>
      </c>
      <c r="E25" s="13">
        <v>0.755428240740741</v>
      </c>
      <c r="F25" s="14">
        <f t="shared" si="1"/>
        <v>3.1263888888888962</v>
      </c>
      <c r="G25" s="15">
        <f t="shared" si="2"/>
        <v>3.1263888888888962</v>
      </c>
      <c r="H25" s="15">
        <f t="shared" si="3"/>
        <v>0</v>
      </c>
      <c r="I25"/>
      <c r="J25"/>
    </row>
    <row r="26" spans="1:13" ht="18.75" x14ac:dyDescent="0.15">
      <c r="A26" s="12">
        <f t="shared" ca="1" si="0"/>
        <v>46201.833491203703</v>
      </c>
      <c r="B26" s="7" t="s">
        <v>64</v>
      </c>
      <c r="C26" s="13">
        <v>0.83348379629629599</v>
      </c>
      <c r="D26" s="13" t="s">
        <v>62</v>
      </c>
      <c r="E26" s="13">
        <v>0.95671296296296304</v>
      </c>
      <c r="F26" s="14">
        <f t="shared" si="1"/>
        <v>2.9575000000000093</v>
      </c>
      <c r="G26" s="15">
        <f t="shared" si="2"/>
        <v>2.9575000000000093</v>
      </c>
      <c r="H26" s="15">
        <f t="shared" si="3"/>
        <v>0</v>
      </c>
      <c r="I26"/>
      <c r="J26"/>
    </row>
    <row r="27" spans="1:13" ht="18.75" x14ac:dyDescent="0.15">
      <c r="A27" s="12">
        <f t="shared" ca="1" si="0"/>
        <v>46202.298503009297</v>
      </c>
      <c r="B27" s="7" t="s">
        <v>69</v>
      </c>
      <c r="C27" s="13">
        <v>0.29849537037036999</v>
      </c>
      <c r="D27" s="13" t="s">
        <v>62</v>
      </c>
      <c r="E27" s="13">
        <v>0.36253472222222199</v>
      </c>
      <c r="F27" s="14">
        <f t="shared" si="1"/>
        <v>1.536944444444448</v>
      </c>
      <c r="G27" s="15">
        <f t="shared" si="2"/>
        <v>0.70083333333333631</v>
      </c>
      <c r="H27" s="15">
        <f t="shared" si="3"/>
        <v>0.83611111111111169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si="3"/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3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3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3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3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3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3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3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42"/>
  <sheetViews>
    <sheetView zoomScale="85" zoomScaleNormal="85" workbookViewId="0">
      <selection activeCell="J17" sqref="J17"/>
    </sheetView>
  </sheetViews>
  <sheetFormatPr defaultColWidth="9" defaultRowHeight="13.5" x14ac:dyDescent="0.15"/>
  <cols>
    <col min="1" max="1" width="14.875" style="3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4" customWidth="1"/>
    <col min="7" max="7" width="13.125" customWidth="1"/>
    <col min="8" max="8" width="14" style="5" customWidth="1"/>
    <col min="9" max="9" width="25.625" style="5" customWidth="1"/>
    <col min="10" max="10" width="15.5" style="6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8" t="s">
        <v>49</v>
      </c>
      <c r="B2" s="9" t="s">
        <v>50</v>
      </c>
      <c r="C2" s="9" t="s">
        <v>51</v>
      </c>
      <c r="D2" s="9" t="s">
        <v>52</v>
      </c>
      <c r="E2" s="9" t="s">
        <v>53</v>
      </c>
      <c r="F2" s="10" t="s">
        <v>54</v>
      </c>
      <c r="G2" s="9" t="s">
        <v>55</v>
      </c>
      <c r="H2" s="11" t="s">
        <v>56</v>
      </c>
      <c r="I2" s="16" t="s">
        <v>57</v>
      </c>
      <c r="J2" s="16" t="s">
        <v>58</v>
      </c>
      <c r="K2" s="16" t="s">
        <v>55</v>
      </c>
      <c r="L2" s="17" t="s">
        <v>59</v>
      </c>
      <c r="M2" s="16" t="s">
        <v>60</v>
      </c>
    </row>
    <row r="3" spans="1:16" ht="18.75" x14ac:dyDescent="0.25">
      <c r="A3" s="12" t="str">
        <f t="shared" ref="A3:A42" ca="1" si="0">IF(B3="","",IF(A3="",NOW(),A3))</f>
        <v/>
      </c>
      <c r="B3" s="7"/>
      <c r="C3" s="13"/>
      <c r="D3" s="13"/>
      <c r="E3" s="13"/>
      <c r="F3" s="14">
        <f t="shared" ref="F3:F42" si="1">(IF(E3-C3&lt;0,"24:00"-C3+E3,E3-C3))*24</f>
        <v>0</v>
      </c>
      <c r="G3" s="15">
        <f t="shared" ref="G3:G42" si="2">F3-H3</f>
        <v>0</v>
      </c>
      <c r="H3" s="15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8" t="s">
        <v>63</v>
      </c>
      <c r="J3" s="19">
        <f>SUMIF(B:B,"带班主任",F:F)</f>
        <v>0</v>
      </c>
      <c r="K3" s="20">
        <f>SUMIF(B:B,"带班主任",G:G)</f>
        <v>0</v>
      </c>
      <c r="L3" s="20">
        <f>SUMIF(B:B,"带班主任",H:H)</f>
        <v>0</v>
      </c>
      <c r="M3" s="21"/>
      <c r="N3" s="22">
        <v>0.99998842592592596</v>
      </c>
      <c r="O3" s="22">
        <v>0</v>
      </c>
      <c r="P3" s="22">
        <v>0.33333333333333298</v>
      </c>
    </row>
    <row r="4" spans="1:16" ht="18.75" x14ac:dyDescent="0.25">
      <c r="A4" s="12" t="str">
        <f t="shared" ca="1" si="0"/>
        <v/>
      </c>
      <c r="B4" s="7"/>
      <c r="C4" s="13"/>
      <c r="D4" s="13"/>
      <c r="E4" s="13"/>
      <c r="F4" s="14">
        <f t="shared" si="1"/>
        <v>0</v>
      </c>
      <c r="G4" s="15">
        <f t="shared" si="2"/>
        <v>0</v>
      </c>
      <c r="H4" s="15">
        <f t="shared" si="3"/>
        <v>0</v>
      </c>
      <c r="I4" s="23" t="s">
        <v>65</v>
      </c>
      <c r="J4" s="24">
        <f>SUMIF(B:B,"西塔台管制席",F:F)+SUMIF(B:B,"东塔台管制席",F:F)</f>
        <v>0</v>
      </c>
      <c r="K4" s="25">
        <f>SUMIF(B:B,"西塔台管制席",G:G)+SUMIF(B:B,"东塔台管制席",G:G)</f>
        <v>0</v>
      </c>
      <c r="L4" s="25">
        <f>SUMIF(B:B,"西塔台管制席",H:H)+SUMIF(B:B,"东塔台管制席",H:H)</f>
        <v>0</v>
      </c>
      <c r="M4" s="21"/>
    </row>
    <row r="5" spans="1:16" ht="18.75" x14ac:dyDescent="0.25">
      <c r="A5" s="12" t="str">
        <f t="shared" ca="1" si="0"/>
        <v/>
      </c>
      <c r="B5" s="7"/>
      <c r="C5" s="13"/>
      <c r="D5" s="13"/>
      <c r="E5" s="13"/>
      <c r="F5" s="14">
        <f t="shared" si="1"/>
        <v>0</v>
      </c>
      <c r="G5" s="15">
        <f t="shared" si="2"/>
        <v>0</v>
      </c>
      <c r="H5" s="15">
        <f t="shared" si="3"/>
        <v>0</v>
      </c>
      <c r="I5" s="23" t="s">
        <v>67</v>
      </c>
      <c r="J5" s="24">
        <f>SUMIF(B:B,"西塔台协调席",F:F)+SUMIF(B:B,"东塔台协调席",F:F)</f>
        <v>0</v>
      </c>
      <c r="K5" s="25">
        <f>SUMIF(B:B,"西塔台协调席",G:G)+SUMIF(B:B,"东塔台协调席",G:G)</f>
        <v>0</v>
      </c>
      <c r="L5" s="25">
        <f>SUMIF(B:B,"西塔台协调席",H:H)+SUMIF(B:B,"东塔台协调席",H:H)</f>
        <v>0</v>
      </c>
      <c r="M5" s="21"/>
    </row>
    <row r="6" spans="1:16" ht="18.75" x14ac:dyDescent="0.25">
      <c r="A6" s="12" t="str">
        <f t="shared" ca="1" si="0"/>
        <v/>
      </c>
      <c r="B6" s="7"/>
      <c r="C6" s="13"/>
      <c r="D6" s="13"/>
      <c r="E6" s="13"/>
      <c r="F6" s="14">
        <f t="shared" si="1"/>
        <v>0</v>
      </c>
      <c r="G6" s="15">
        <f t="shared" si="2"/>
        <v>0</v>
      </c>
      <c r="H6" s="15">
        <f t="shared" si="3"/>
        <v>0</v>
      </c>
      <c r="I6" s="23" t="s">
        <v>68</v>
      </c>
      <c r="J6" s="24">
        <f>SUMIF(B:B,"放行席",F:F)</f>
        <v>0</v>
      </c>
      <c r="K6" s="25">
        <f>SUMIF(B:B,"放行席",G:G)</f>
        <v>0</v>
      </c>
      <c r="L6" s="25">
        <f>SUMIF(B:B,"放行席",H:H)</f>
        <v>0</v>
      </c>
      <c r="M6" s="21"/>
    </row>
    <row r="7" spans="1:16" ht="18.75" x14ac:dyDescent="0.25">
      <c r="A7" s="12" t="str">
        <f t="shared" ca="1" si="0"/>
        <v/>
      </c>
      <c r="B7" s="7"/>
      <c r="C7" s="13"/>
      <c r="D7" s="13"/>
      <c r="E7" s="13"/>
      <c r="F7" s="14">
        <f t="shared" si="1"/>
        <v>0</v>
      </c>
      <c r="G7" s="15">
        <f t="shared" si="2"/>
        <v>0</v>
      </c>
      <c r="H7" s="15">
        <f t="shared" si="3"/>
        <v>0</v>
      </c>
      <c r="I7" s="23" t="s">
        <v>70</v>
      </c>
      <c r="J7" s="24">
        <f>SUMIF(B:B,"地面席",F:F)</f>
        <v>0</v>
      </c>
      <c r="K7" s="25">
        <f>SUMIF(B:B,"地面席",G:G)</f>
        <v>0</v>
      </c>
      <c r="L7" s="25">
        <f>SUMIF(B:B,"地面席",H:H)</f>
        <v>0</v>
      </c>
      <c r="M7" s="21"/>
    </row>
    <row r="8" spans="1:16" ht="18.75" x14ac:dyDescent="0.25">
      <c r="A8" s="12" t="str">
        <f t="shared" ca="1" si="0"/>
        <v/>
      </c>
      <c r="B8" s="7"/>
      <c r="C8" s="13"/>
      <c r="D8" s="13"/>
      <c r="E8" s="13"/>
      <c r="F8" s="14">
        <f t="shared" si="1"/>
        <v>0</v>
      </c>
      <c r="G8" s="15">
        <f t="shared" si="2"/>
        <v>0</v>
      </c>
      <c r="H8" s="15">
        <f t="shared" si="3"/>
        <v>0</v>
      </c>
      <c r="I8" s="23" t="s">
        <v>71</v>
      </c>
      <c r="J8" s="24">
        <f>SUMIF(B:B,"生产调度席",F:F)</f>
        <v>0</v>
      </c>
      <c r="K8" s="25">
        <f>SUMIF(B:B,"生产调度席",G:G)</f>
        <v>0</v>
      </c>
      <c r="L8" s="25">
        <f>SUMIF(B:B,"生产调度席",H:H)</f>
        <v>0</v>
      </c>
      <c r="M8" s="21"/>
    </row>
    <row r="9" spans="1:16" ht="18.75" x14ac:dyDescent="0.25">
      <c r="A9" s="12" t="str">
        <f t="shared" ca="1" si="0"/>
        <v/>
      </c>
      <c r="B9" s="7"/>
      <c r="C9" s="13"/>
      <c r="D9" s="13"/>
      <c r="E9" s="13"/>
      <c r="F9" s="14">
        <f t="shared" si="1"/>
        <v>0</v>
      </c>
      <c r="G9" s="15">
        <f t="shared" si="2"/>
        <v>0</v>
      </c>
      <c r="H9" s="15">
        <f t="shared" si="3"/>
        <v>0</v>
      </c>
      <c r="I9" s="23" t="s">
        <v>73</v>
      </c>
      <c r="J9" s="24">
        <f>SUMIF(B:B,"航班调度席",F:F)</f>
        <v>0</v>
      </c>
      <c r="K9" s="25">
        <f>SUMIF(B:B,"航班调度席",G:G)</f>
        <v>0</v>
      </c>
      <c r="L9" s="25">
        <f>SUMIF(B:B,"航班调度席",H:H)</f>
        <v>0</v>
      </c>
      <c r="M9" s="21"/>
    </row>
    <row r="10" spans="1:16" ht="18.75" x14ac:dyDescent="0.25">
      <c r="A10" s="12" t="str">
        <f t="shared" ca="1" si="0"/>
        <v/>
      </c>
      <c r="B10" s="7"/>
      <c r="C10" s="13"/>
      <c r="D10" s="13"/>
      <c r="E10" s="13"/>
      <c r="F10" s="14">
        <f t="shared" si="1"/>
        <v>0</v>
      </c>
      <c r="G10" s="15">
        <f t="shared" si="2"/>
        <v>0</v>
      </c>
      <c r="H10" s="15">
        <f t="shared" si="3"/>
        <v>0</v>
      </c>
      <c r="I10" s="23" t="s">
        <v>74</v>
      </c>
      <c r="J10" s="24">
        <f>SUMIF(B:B,"综合协调席",F:F)</f>
        <v>0</v>
      </c>
      <c r="K10" s="25">
        <f>SUMIF(B:B,"综合协调席",G:G)</f>
        <v>0</v>
      </c>
      <c r="L10" s="25">
        <f>SUMIF(B:B,"综合协调席",H:H)</f>
        <v>0</v>
      </c>
      <c r="M10" s="21"/>
    </row>
    <row r="11" spans="1:16" ht="18.75" x14ac:dyDescent="0.25">
      <c r="A11" s="12" t="str">
        <f t="shared" ca="1" si="0"/>
        <v/>
      </c>
      <c r="B11" s="7"/>
      <c r="C11" s="13"/>
      <c r="D11" s="13"/>
      <c r="E11" s="13"/>
      <c r="F11" s="14">
        <f t="shared" si="1"/>
        <v>0</v>
      </c>
      <c r="G11" s="15">
        <f t="shared" si="2"/>
        <v>0</v>
      </c>
      <c r="H11" s="15">
        <f t="shared" si="3"/>
        <v>0</v>
      </c>
      <c r="I11" s="26" t="s">
        <v>75</v>
      </c>
      <c r="J11" s="27">
        <f>SUMIF(B:B,"见习管制员",F:F)</f>
        <v>0</v>
      </c>
      <c r="K11" s="28">
        <f>SUMIF(B:B,"见习管制员",G:G)</f>
        <v>0</v>
      </c>
      <c r="L11" s="28">
        <f>SUMIF(B:B,"见习管制员",H:H)</f>
        <v>0</v>
      </c>
      <c r="M11" s="21"/>
    </row>
    <row r="12" spans="1:16" ht="18.75" x14ac:dyDescent="0.25">
      <c r="A12" s="12" t="str">
        <f t="shared" ca="1" si="0"/>
        <v/>
      </c>
      <c r="B12" s="7"/>
      <c r="C12" s="13"/>
      <c r="D12" s="13"/>
      <c r="E12" s="13"/>
      <c r="F12" s="14">
        <f t="shared" si="1"/>
        <v>0</v>
      </c>
      <c r="G12" s="15">
        <f t="shared" si="2"/>
        <v>0</v>
      </c>
      <c r="H12" s="15">
        <f t="shared" si="3"/>
        <v>0</v>
      </c>
      <c r="I12" s="29" t="s">
        <v>76</v>
      </c>
      <c r="J12" s="30">
        <f>SUMIF(B:B,"管制教员席",F:F)</f>
        <v>0</v>
      </c>
      <c r="K12" s="31">
        <f>SUMIF(B:B,"管制教员席",G:G)</f>
        <v>0</v>
      </c>
      <c r="L12" s="31">
        <f>SUMIF(B:B,"管制教员席",H:H)</f>
        <v>0</v>
      </c>
      <c r="M12" s="21"/>
    </row>
    <row r="13" spans="1:16" ht="18.75" x14ac:dyDescent="0.15">
      <c r="A13" s="12" t="str">
        <f t="shared" ca="1" si="0"/>
        <v/>
      </c>
      <c r="B13" s="7"/>
      <c r="C13" s="13"/>
      <c r="D13" s="13"/>
      <c r="E13" s="13"/>
      <c r="F13" s="14">
        <f t="shared" si="1"/>
        <v>0</v>
      </c>
      <c r="G13" s="15">
        <f t="shared" si="2"/>
        <v>0</v>
      </c>
      <c r="H13" s="15">
        <f t="shared" si="3"/>
        <v>0</v>
      </c>
      <c r="I13" s="68" t="s">
        <v>77</v>
      </c>
      <c r="J13" s="69"/>
      <c r="K13" s="69"/>
      <c r="L13" s="69"/>
      <c r="M13" s="69"/>
    </row>
    <row r="14" spans="1:16" ht="18.75" x14ac:dyDescent="0.15">
      <c r="A14" s="12" t="str">
        <f t="shared" ca="1" si="0"/>
        <v/>
      </c>
      <c r="B14" s="7"/>
      <c r="C14" s="13"/>
      <c r="D14" s="13"/>
      <c r="E14" s="13"/>
      <c r="F14" s="14">
        <f t="shared" si="1"/>
        <v>0</v>
      </c>
      <c r="G14" s="15">
        <f t="shared" si="2"/>
        <v>0</v>
      </c>
      <c r="H14" s="15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2" t="str">
        <f t="shared" ca="1" si="0"/>
        <v/>
      </c>
      <c r="B15" s="7"/>
      <c r="C15" s="13"/>
      <c r="D15" s="13"/>
      <c r="E15" s="13"/>
      <c r="F15" s="14">
        <f t="shared" si="1"/>
        <v>0</v>
      </c>
      <c r="G15" s="15">
        <f t="shared" si="2"/>
        <v>0</v>
      </c>
      <c r="H15" s="15">
        <f t="shared" si="3"/>
        <v>0</v>
      </c>
      <c r="I15" s="32" t="s">
        <v>78</v>
      </c>
      <c r="J15" s="33" t="s">
        <v>58</v>
      </c>
      <c r="K15" s="34" t="s">
        <v>55</v>
      </c>
      <c r="L15" s="35" t="s">
        <v>59</v>
      </c>
      <c r="M15" s="36" t="s">
        <v>60</v>
      </c>
    </row>
    <row r="16" spans="1:16" ht="20.25" x14ac:dyDescent="0.25">
      <c r="A16" s="12" t="str">
        <f t="shared" ca="1" si="0"/>
        <v/>
      </c>
      <c r="B16" s="7"/>
      <c r="C16" s="13"/>
      <c r="D16" s="13"/>
      <c r="E16" s="13"/>
      <c r="F16" s="14">
        <f t="shared" si="1"/>
        <v>0</v>
      </c>
      <c r="G16" s="15">
        <f t="shared" si="2"/>
        <v>0</v>
      </c>
      <c r="H16" s="15">
        <f t="shared" si="3"/>
        <v>0</v>
      </c>
      <c r="I16" s="37" t="s">
        <v>63</v>
      </c>
      <c r="J16" s="38">
        <f t="shared" ref="J16:L16" si="4">J3</f>
        <v>0</v>
      </c>
      <c r="K16" s="39">
        <f t="shared" si="4"/>
        <v>0</v>
      </c>
      <c r="L16" s="40">
        <f t="shared" si="4"/>
        <v>0</v>
      </c>
      <c r="M16" s="41"/>
    </row>
    <row r="17" spans="1:13" ht="20.25" x14ac:dyDescent="0.25">
      <c r="A17" s="12" t="str">
        <f t="shared" ca="1" si="0"/>
        <v/>
      </c>
      <c r="B17" s="7"/>
      <c r="C17" s="13"/>
      <c r="D17" s="13"/>
      <c r="E17" s="13"/>
      <c r="F17" s="14">
        <f t="shared" si="1"/>
        <v>0</v>
      </c>
      <c r="G17" s="15">
        <f t="shared" si="2"/>
        <v>0</v>
      </c>
      <c r="H17" s="15">
        <f t="shared" si="3"/>
        <v>0</v>
      </c>
      <c r="I17" s="37" t="s">
        <v>79</v>
      </c>
      <c r="J17" s="38">
        <f>J4+J5+J6+J7+J10</f>
        <v>0</v>
      </c>
      <c r="K17" s="39">
        <f>K4+K5+K6+K7+K10</f>
        <v>0</v>
      </c>
      <c r="L17" s="40">
        <f>L4+L5+L6+L7+L10</f>
        <v>0</v>
      </c>
      <c r="M17" s="41"/>
    </row>
    <row r="18" spans="1:13" ht="20.25" x14ac:dyDescent="0.25">
      <c r="A18" s="12" t="str">
        <f t="shared" ca="1" si="0"/>
        <v/>
      </c>
      <c r="B18" s="7"/>
      <c r="C18" s="13"/>
      <c r="D18" s="13"/>
      <c r="E18" s="13"/>
      <c r="F18" s="14">
        <f t="shared" si="1"/>
        <v>0</v>
      </c>
      <c r="G18" s="15">
        <f t="shared" si="2"/>
        <v>0</v>
      </c>
      <c r="H18" s="15">
        <f t="shared" si="3"/>
        <v>0</v>
      </c>
      <c r="I18" s="37" t="s">
        <v>75</v>
      </c>
      <c r="J18" s="38">
        <f t="shared" ref="J18:L18" si="5">J11</f>
        <v>0</v>
      </c>
      <c r="K18" s="39">
        <f t="shared" si="5"/>
        <v>0</v>
      </c>
      <c r="L18" s="40">
        <f t="shared" si="5"/>
        <v>0</v>
      </c>
      <c r="M18" s="41"/>
    </row>
    <row r="19" spans="1:13" ht="20.25" x14ac:dyDescent="0.25">
      <c r="A19" s="12" t="str">
        <f t="shared" ca="1" si="0"/>
        <v/>
      </c>
      <c r="B19" s="7"/>
      <c r="C19" s="13"/>
      <c r="D19" s="13"/>
      <c r="E19" s="13"/>
      <c r="F19" s="14">
        <f t="shared" si="1"/>
        <v>0</v>
      </c>
      <c r="G19" s="15">
        <f t="shared" si="2"/>
        <v>0</v>
      </c>
      <c r="H19" s="15">
        <f t="shared" si="3"/>
        <v>0</v>
      </c>
      <c r="I19" s="37" t="s">
        <v>80</v>
      </c>
      <c r="J19" s="38">
        <f t="shared" ref="J19:L19" si="6">J12</f>
        <v>0</v>
      </c>
      <c r="K19" s="39">
        <f t="shared" si="6"/>
        <v>0</v>
      </c>
      <c r="L19" s="40">
        <f t="shared" si="6"/>
        <v>0</v>
      </c>
      <c r="M19" s="41"/>
    </row>
    <row r="20" spans="1:13" ht="20.25" x14ac:dyDescent="0.15">
      <c r="A20" s="12" t="str">
        <f t="shared" ca="1" si="0"/>
        <v/>
      </c>
      <c r="B20" s="7"/>
      <c r="C20" s="13"/>
      <c r="D20" s="13"/>
      <c r="E20" s="13"/>
      <c r="F20" s="14">
        <f t="shared" si="1"/>
        <v>0</v>
      </c>
      <c r="G20" s="15">
        <f t="shared" si="2"/>
        <v>0</v>
      </c>
      <c r="H20" s="15">
        <f t="shared" si="3"/>
        <v>0</v>
      </c>
      <c r="I20" s="42" t="s">
        <v>81</v>
      </c>
      <c r="J20" s="65">
        <f>J16+J17+J18+J19</f>
        <v>0</v>
      </c>
      <c r="K20" s="66"/>
      <c r="L20" s="67"/>
      <c r="M20" s="43"/>
    </row>
    <row r="21" spans="1:13" ht="20.25" x14ac:dyDescent="0.25">
      <c r="A21" s="12" t="str">
        <f t="shared" ca="1" si="0"/>
        <v/>
      </c>
      <c r="B21" s="7"/>
      <c r="C21" s="13"/>
      <c r="D21" s="13"/>
      <c r="E21" s="13"/>
      <c r="F21" s="14">
        <f t="shared" si="1"/>
        <v>0</v>
      </c>
      <c r="G21" s="15">
        <f t="shared" si="2"/>
        <v>0</v>
      </c>
      <c r="H21" s="15">
        <f t="shared" si="3"/>
        <v>0</v>
      </c>
      <c r="I21" s="44" t="s">
        <v>4</v>
      </c>
      <c r="J21" s="45">
        <f>SUM(J8:J9)</f>
        <v>0</v>
      </c>
      <c r="K21" s="39">
        <f>SUM(K8:K9)</f>
        <v>0</v>
      </c>
      <c r="L21" s="40">
        <f>SUM(L8:L9)</f>
        <v>0</v>
      </c>
      <c r="M21" s="46"/>
    </row>
    <row r="22" spans="1:13" ht="18.75" x14ac:dyDescent="0.15">
      <c r="A22" s="12" t="str">
        <f t="shared" ca="1" si="0"/>
        <v/>
      </c>
      <c r="B22" s="7"/>
      <c r="C22" s="13"/>
      <c r="D22" s="13"/>
      <c r="E22" s="13"/>
      <c r="F22" s="14">
        <f t="shared" si="1"/>
        <v>0</v>
      </c>
      <c r="G22" s="15">
        <f t="shared" si="2"/>
        <v>0</v>
      </c>
      <c r="H22" s="15">
        <f t="shared" si="3"/>
        <v>0</v>
      </c>
      <c r="I22"/>
      <c r="J22"/>
    </row>
    <row r="23" spans="1:13" ht="18.75" x14ac:dyDescent="0.15">
      <c r="A23" s="12" t="str">
        <f t="shared" ca="1" si="0"/>
        <v/>
      </c>
      <c r="B23" s="7"/>
      <c r="C23" s="13"/>
      <c r="D23" s="13"/>
      <c r="E23" s="13"/>
      <c r="F23" s="14">
        <f t="shared" si="1"/>
        <v>0</v>
      </c>
      <c r="G23" s="15">
        <f t="shared" si="2"/>
        <v>0</v>
      </c>
      <c r="H23" s="15">
        <f t="shared" si="3"/>
        <v>0</v>
      </c>
      <c r="I23"/>
      <c r="J23"/>
    </row>
    <row r="24" spans="1:13" ht="18.75" x14ac:dyDescent="0.15">
      <c r="A24" s="12" t="str">
        <f t="shared" ca="1" si="0"/>
        <v/>
      </c>
      <c r="B24" s="7"/>
      <c r="C24" s="13"/>
      <c r="D24" s="13"/>
      <c r="E24" s="13"/>
      <c r="F24" s="14">
        <f t="shared" si="1"/>
        <v>0</v>
      </c>
      <c r="G24" s="15">
        <f t="shared" si="2"/>
        <v>0</v>
      </c>
      <c r="H24" s="15">
        <f t="shared" si="3"/>
        <v>0</v>
      </c>
      <c r="I24"/>
      <c r="J24"/>
    </row>
    <row r="25" spans="1:13" ht="18.75" x14ac:dyDescent="0.15">
      <c r="A25" s="12" t="str">
        <f t="shared" ca="1" si="0"/>
        <v/>
      </c>
      <c r="B25" s="7"/>
      <c r="C25" s="13"/>
      <c r="D25" s="13"/>
      <c r="E25" s="13"/>
      <c r="F25" s="14">
        <f t="shared" si="1"/>
        <v>0</v>
      </c>
      <c r="G25" s="15">
        <f t="shared" si="2"/>
        <v>0</v>
      </c>
      <c r="H25" s="15">
        <f t="shared" si="3"/>
        <v>0</v>
      </c>
      <c r="I25"/>
      <c r="J25"/>
    </row>
    <row r="26" spans="1:13" ht="18.75" x14ac:dyDescent="0.15">
      <c r="A26" s="12" t="str">
        <f t="shared" ca="1" si="0"/>
        <v/>
      </c>
      <c r="B26" s="7"/>
      <c r="C26" s="13"/>
      <c r="D26" s="13"/>
      <c r="E26" s="13"/>
      <c r="F26" s="14">
        <f t="shared" si="1"/>
        <v>0</v>
      </c>
      <c r="G26" s="15">
        <f t="shared" si="2"/>
        <v>0</v>
      </c>
      <c r="H26" s="15">
        <f t="shared" si="3"/>
        <v>0</v>
      </c>
      <c r="I26"/>
      <c r="J26"/>
    </row>
    <row r="27" spans="1:13" ht="18.75" x14ac:dyDescent="0.15">
      <c r="A27" s="12" t="str">
        <f t="shared" ca="1" si="0"/>
        <v/>
      </c>
      <c r="B27" s="7"/>
      <c r="C27" s="13"/>
      <c r="D27" s="13"/>
      <c r="E27" s="13"/>
      <c r="F27" s="14">
        <f t="shared" si="1"/>
        <v>0</v>
      </c>
      <c r="G27" s="15">
        <f t="shared" si="2"/>
        <v>0</v>
      </c>
      <c r="H27" s="15">
        <f t="shared" si="3"/>
        <v>0</v>
      </c>
      <c r="I27"/>
      <c r="J27"/>
    </row>
    <row r="28" spans="1:13" ht="18.75" x14ac:dyDescent="0.15">
      <c r="A28" s="12" t="str">
        <f t="shared" ca="1" si="0"/>
        <v/>
      </c>
      <c r="B28" s="7"/>
      <c r="C28" s="13"/>
      <c r="D28" s="13"/>
      <c r="E28" s="13"/>
      <c r="F28" s="14">
        <f t="shared" si="1"/>
        <v>0</v>
      </c>
      <c r="G28" s="15">
        <f t="shared" si="2"/>
        <v>0</v>
      </c>
      <c r="H28" s="15">
        <f t="shared" si="3"/>
        <v>0</v>
      </c>
      <c r="I28"/>
      <c r="J28"/>
    </row>
    <row r="29" spans="1:13" ht="18.75" x14ac:dyDescent="0.15">
      <c r="A29" s="12" t="str">
        <f t="shared" ca="1" si="0"/>
        <v/>
      </c>
      <c r="B29" s="7"/>
      <c r="C29" s="13"/>
      <c r="D29" s="13"/>
      <c r="E29" s="13"/>
      <c r="F29" s="14">
        <f t="shared" si="1"/>
        <v>0</v>
      </c>
      <c r="G29" s="15">
        <f t="shared" si="2"/>
        <v>0</v>
      </c>
      <c r="H29" s="15">
        <f t="shared" si="3"/>
        <v>0</v>
      </c>
      <c r="I29"/>
      <c r="J29"/>
    </row>
    <row r="30" spans="1:13" ht="18.75" x14ac:dyDescent="0.15">
      <c r="A30" s="12" t="str">
        <f t="shared" ca="1" si="0"/>
        <v/>
      </c>
      <c r="B30" s="7"/>
      <c r="C30" s="13"/>
      <c r="D30" s="13"/>
      <c r="E30" s="13"/>
      <c r="F30" s="14">
        <f t="shared" si="1"/>
        <v>0</v>
      </c>
      <c r="G30" s="15">
        <f t="shared" si="2"/>
        <v>0</v>
      </c>
      <c r="H30" s="15">
        <f t="shared" si="3"/>
        <v>0</v>
      </c>
      <c r="I30"/>
      <c r="J30"/>
    </row>
    <row r="31" spans="1:13" ht="18.75" x14ac:dyDescent="0.15">
      <c r="A31" s="12" t="str">
        <f t="shared" ca="1" si="0"/>
        <v/>
      </c>
      <c r="B31" s="7"/>
      <c r="C31" s="13"/>
      <c r="D31" s="13"/>
      <c r="E31" s="13"/>
      <c r="F31" s="14">
        <f t="shared" si="1"/>
        <v>0</v>
      </c>
      <c r="G31" s="15">
        <f t="shared" si="2"/>
        <v>0</v>
      </c>
      <c r="H31" s="15">
        <f t="shared" si="3"/>
        <v>0</v>
      </c>
      <c r="I31"/>
      <c r="J31"/>
    </row>
    <row r="32" spans="1:13" ht="18.75" x14ac:dyDescent="0.15">
      <c r="A32" s="12" t="str">
        <f t="shared" ca="1" si="0"/>
        <v/>
      </c>
      <c r="B32" s="7"/>
      <c r="C32" s="13"/>
      <c r="D32" s="13"/>
      <c r="E32" s="13"/>
      <c r="F32" s="14">
        <f t="shared" si="1"/>
        <v>0</v>
      </c>
      <c r="G32" s="15">
        <f t="shared" si="2"/>
        <v>0</v>
      </c>
      <c r="H32" s="15">
        <f t="shared" si="3"/>
        <v>0</v>
      </c>
      <c r="I32"/>
      <c r="J32"/>
    </row>
    <row r="33" spans="1:11" ht="18.75" x14ac:dyDescent="0.15">
      <c r="A33" s="12" t="str">
        <f t="shared" ca="1" si="0"/>
        <v/>
      </c>
      <c r="B33" s="7"/>
      <c r="C33" s="13"/>
      <c r="D33" s="13"/>
      <c r="E33" s="13"/>
      <c r="F33" s="14">
        <f t="shared" si="1"/>
        <v>0</v>
      </c>
      <c r="G33" s="15">
        <f t="shared" si="2"/>
        <v>0</v>
      </c>
      <c r="H33" s="15">
        <f t="shared" si="3"/>
        <v>0</v>
      </c>
      <c r="I33"/>
      <c r="J33"/>
    </row>
    <row r="34" spans="1:11" ht="18.75" x14ac:dyDescent="0.15">
      <c r="A34" s="12" t="str">
        <f t="shared" ca="1" si="0"/>
        <v/>
      </c>
      <c r="B34" s="7"/>
      <c r="C34" s="13"/>
      <c r="D34" s="13"/>
      <c r="E34" s="13"/>
      <c r="F34" s="14">
        <f t="shared" si="1"/>
        <v>0</v>
      </c>
      <c r="G34" s="15">
        <f t="shared" si="2"/>
        <v>0</v>
      </c>
      <c r="H34" s="15">
        <f t="shared" si="3"/>
        <v>0</v>
      </c>
      <c r="I34"/>
      <c r="J34"/>
    </row>
    <row r="35" spans="1:11" ht="18.75" x14ac:dyDescent="0.15">
      <c r="A35" s="12" t="str">
        <f t="shared" ca="1" si="0"/>
        <v/>
      </c>
      <c r="B35" s="7"/>
      <c r="C35" s="13"/>
      <c r="D35" s="13"/>
      <c r="E35" s="13"/>
      <c r="F35" s="14">
        <f t="shared" si="1"/>
        <v>0</v>
      </c>
      <c r="G35" s="15">
        <f t="shared" si="2"/>
        <v>0</v>
      </c>
      <c r="H35" s="15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2" t="str">
        <f t="shared" ca="1" si="0"/>
        <v/>
      </c>
      <c r="B36" s="7"/>
      <c r="C36" s="13"/>
      <c r="D36" s="13"/>
      <c r="E36" s="13"/>
      <c r="F36" s="14">
        <f t="shared" si="1"/>
        <v>0</v>
      </c>
      <c r="G36" s="15">
        <f t="shared" si="2"/>
        <v>0</v>
      </c>
      <c r="H36" s="15">
        <f t="shared" si="7"/>
        <v>0</v>
      </c>
      <c r="I36"/>
      <c r="J36"/>
    </row>
    <row r="37" spans="1:11" ht="18.75" x14ac:dyDescent="0.15">
      <c r="A37" s="12" t="str">
        <f t="shared" ca="1" si="0"/>
        <v/>
      </c>
      <c r="B37" s="7"/>
      <c r="C37" s="13"/>
      <c r="D37" s="13"/>
      <c r="E37" s="13"/>
      <c r="F37" s="14">
        <f t="shared" si="1"/>
        <v>0</v>
      </c>
      <c r="G37" s="15">
        <f t="shared" si="2"/>
        <v>0</v>
      </c>
      <c r="H37" s="15">
        <f t="shared" si="7"/>
        <v>0</v>
      </c>
      <c r="I37"/>
      <c r="J37"/>
    </row>
    <row r="38" spans="1:11" ht="18.75" x14ac:dyDescent="0.15">
      <c r="A38" s="12" t="str">
        <f t="shared" ca="1" si="0"/>
        <v/>
      </c>
      <c r="B38" s="7"/>
      <c r="C38" s="13"/>
      <c r="D38" s="13"/>
      <c r="E38" s="13"/>
      <c r="F38" s="14">
        <f t="shared" si="1"/>
        <v>0</v>
      </c>
      <c r="G38" s="15">
        <f t="shared" si="2"/>
        <v>0</v>
      </c>
      <c r="H38" s="15">
        <f t="shared" si="7"/>
        <v>0</v>
      </c>
      <c r="I38" s="47"/>
      <c r="J38" s="48"/>
      <c r="K38" s="13"/>
    </row>
    <row r="39" spans="1:11" ht="18.75" x14ac:dyDescent="0.15">
      <c r="A39" s="12" t="str">
        <f t="shared" ca="1" si="0"/>
        <v/>
      </c>
      <c r="B39" s="7"/>
      <c r="C39" s="13"/>
      <c r="D39" s="13"/>
      <c r="E39" s="13"/>
      <c r="F39" s="14">
        <f t="shared" si="1"/>
        <v>0</v>
      </c>
      <c r="G39" s="15">
        <f t="shared" si="2"/>
        <v>0</v>
      </c>
      <c r="H39" s="15">
        <f t="shared" si="7"/>
        <v>0</v>
      </c>
      <c r="I39" s="47"/>
      <c r="J39" s="48"/>
      <c r="K39" s="13"/>
    </row>
    <row r="40" spans="1:11" ht="18.75" x14ac:dyDescent="0.15">
      <c r="A40" s="12" t="str">
        <f t="shared" ca="1" si="0"/>
        <v/>
      </c>
      <c r="B40" s="7"/>
      <c r="C40" s="13"/>
      <c r="D40" s="13"/>
      <c r="E40" s="13"/>
      <c r="F40" s="14">
        <f t="shared" si="1"/>
        <v>0</v>
      </c>
      <c r="G40" s="15">
        <f t="shared" si="2"/>
        <v>0</v>
      </c>
      <c r="H40" s="15">
        <f t="shared" si="7"/>
        <v>0</v>
      </c>
      <c r="I40" s="47"/>
      <c r="J40" s="48"/>
      <c r="K40" s="13"/>
    </row>
    <row r="41" spans="1:11" ht="18.75" x14ac:dyDescent="0.15">
      <c r="A41" s="12" t="str">
        <f t="shared" ca="1" si="0"/>
        <v/>
      </c>
      <c r="B41" s="7"/>
      <c r="C41" s="13"/>
      <c r="D41" s="13"/>
      <c r="E41" s="13"/>
      <c r="F41" s="14">
        <f t="shared" si="1"/>
        <v>0</v>
      </c>
      <c r="G41" s="15">
        <f t="shared" si="2"/>
        <v>0</v>
      </c>
      <c r="H41" s="15">
        <f t="shared" si="7"/>
        <v>0</v>
      </c>
      <c r="I41" s="47"/>
      <c r="J41" s="48"/>
      <c r="K41" s="13"/>
    </row>
    <row r="42" spans="1:11" ht="18.75" x14ac:dyDescent="0.15">
      <c r="A42" s="12" t="str">
        <f t="shared" ca="1" si="0"/>
        <v/>
      </c>
      <c r="B42" s="7"/>
      <c r="C42" s="13"/>
      <c r="D42" s="13"/>
      <c r="E42" s="13"/>
      <c r="F42" s="14">
        <f t="shared" si="1"/>
        <v>0</v>
      </c>
      <c r="G42" s="15">
        <f t="shared" si="2"/>
        <v>0</v>
      </c>
      <c r="H42" s="15">
        <f t="shared" si="7"/>
        <v>0</v>
      </c>
      <c r="I42" s="47"/>
      <c r="J42" s="48"/>
      <c r="K42" s="13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1"/>
  <sheetViews>
    <sheetView workbookViewId="0">
      <selection activeCell="B1" sqref="B1"/>
    </sheetView>
  </sheetViews>
  <sheetFormatPr defaultColWidth="9" defaultRowHeight="13.5" x14ac:dyDescent="0.15"/>
  <sheetData>
    <row r="1" spans="1:2" x14ac:dyDescent="0.15">
      <c r="A1" t="s">
        <v>9</v>
      </c>
      <c r="B1" s="1">
        <f>温若春!J17</f>
        <v>25.528055555555561</v>
      </c>
    </row>
    <row r="2" spans="1:2" x14ac:dyDescent="0.15">
      <c r="A2" s="2" t="s">
        <v>11</v>
      </c>
      <c r="B2" s="1">
        <f>徐万友!J17</f>
        <v>21.090277777777729</v>
      </c>
    </row>
    <row r="3" spans="1:2" x14ac:dyDescent="0.15">
      <c r="A3" s="2" t="s">
        <v>15</v>
      </c>
      <c r="B3" s="1">
        <f>马莲花!J17</f>
        <v>27.593888888888902</v>
      </c>
    </row>
    <row r="4" spans="1:2" x14ac:dyDescent="0.15">
      <c r="A4" s="2" t="s">
        <v>25</v>
      </c>
      <c r="B4" s="1">
        <f>胡鑫!J17</f>
        <v>5.1502777777777684</v>
      </c>
    </row>
    <row r="5" spans="1:2" x14ac:dyDescent="0.15">
      <c r="A5" s="2" t="s">
        <v>29</v>
      </c>
      <c r="B5" s="1">
        <f>边昊!J17</f>
        <v>0</v>
      </c>
    </row>
    <row r="6" spans="1:2" x14ac:dyDescent="0.15">
      <c r="A6" s="2" t="s">
        <v>37</v>
      </c>
      <c r="B6" s="1">
        <f>金鼎!J17</f>
        <v>17.768611111111131</v>
      </c>
    </row>
    <row r="7" spans="1:2" x14ac:dyDescent="0.15">
      <c r="A7" s="2" t="s">
        <v>38</v>
      </c>
      <c r="B7" s="1">
        <f>董志华!J17</f>
        <v>5.8799999999999759</v>
      </c>
    </row>
    <row r="8" spans="1:2" x14ac:dyDescent="0.15">
      <c r="A8" s="2" t="s">
        <v>39</v>
      </c>
      <c r="B8" s="1">
        <f>姜文夫!J17</f>
        <v>0</v>
      </c>
    </row>
    <row r="9" spans="1:2" x14ac:dyDescent="0.15">
      <c r="A9" s="2" t="s">
        <v>40</v>
      </c>
      <c r="B9" s="1">
        <f>郭永杰!J17</f>
        <v>24.885000000000002</v>
      </c>
    </row>
    <row r="10" spans="1:2" x14ac:dyDescent="0.15">
      <c r="A10" s="2" t="s">
        <v>43</v>
      </c>
      <c r="B10" s="1">
        <f>吴疆!J17</f>
        <v>4.1280555555555605</v>
      </c>
    </row>
    <row r="11" spans="1:2" x14ac:dyDescent="0.15">
      <c r="B11" s="1"/>
    </row>
  </sheetData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42</vt:i4>
      </vt:variant>
    </vt:vector>
  </HeadingPairs>
  <TitlesOfParts>
    <vt:vector size="42" baseType="lpstr">
      <vt:lpstr>sheet1</vt:lpstr>
      <vt:lpstr>温若春</vt:lpstr>
      <vt:lpstr>明嘉</vt:lpstr>
      <vt:lpstr>徐万友</vt:lpstr>
      <vt:lpstr>耿若岩</vt:lpstr>
      <vt:lpstr>李明</vt:lpstr>
      <vt:lpstr>张虎</vt:lpstr>
      <vt:lpstr>马莲花</vt:lpstr>
      <vt:lpstr>刘国莲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王风瑞</vt:lpstr>
      <vt:lpstr>金鼎</vt:lpstr>
      <vt:lpstr>董志华</vt:lpstr>
      <vt:lpstr>姜文夫</vt:lpstr>
      <vt:lpstr>郭永杰</vt:lpstr>
      <vt:lpstr>吴疆</vt:lpstr>
      <vt:lpstr>朱永春</vt:lpstr>
      <vt:lpstr>刘琦</vt:lpstr>
      <vt:lpstr>巴富毅</vt:lpstr>
      <vt:lpstr>陈宏伟</vt:lpstr>
      <vt:lpstr>蒋露裕</vt:lpstr>
      <vt:lpstr>蓝宇航</vt:lpstr>
      <vt:lpstr>程卓</vt:lpstr>
      <vt:lpstr>郑文卓</vt:lpstr>
      <vt:lpstr>宋天霖</vt:lpstr>
      <vt:lpstr>带班席位小时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2026-07-18T17:18:22Z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2052-11.8.2.9067</vt:lpwstr>
  </property>
</Properties>
</file>