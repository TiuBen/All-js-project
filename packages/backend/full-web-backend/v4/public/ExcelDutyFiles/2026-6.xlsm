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backend\full-web-backend\v4\public\ExcelDutyFiles\"/>
    </mc:Choice>
  </mc:AlternateContent>
  <bookViews>
    <workbookView xWindow="-120" yWindow="-120" windowWidth="29040" windowHeight="15840" tabRatio="913" firstSheet="1" activeTab="15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姜文夫" sheetId="109" r:id="rId27"/>
    <sheet name="王风瑞" sheetId="106" r:id="rId28"/>
    <sheet name="金鼎" sheetId="107" r:id="rId29"/>
    <sheet name="董志华" sheetId="108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蓝宇航" sheetId="120" r:id="rId37"/>
    <sheet name="蒋露裕" sheetId="119" r:id="rId38"/>
    <sheet name="程卓" sheetId="121" r:id="rId39"/>
    <sheet name="Sheet5" sheetId="127" r:id="rId40"/>
    <sheet name="郑文卓" sheetId="122" r:id="rId41"/>
    <sheet name="王维华" sheetId="115" r:id="rId42"/>
    <sheet name="何飞" sheetId="116" r:id="rId43"/>
    <sheet name="宋天霖" sheetId="101" r:id="rId44"/>
    <sheet name="Sheet2" sheetId="124" r:id="rId45"/>
    <sheet name="Sheet3" sheetId="125" r:id="rId46"/>
    <sheet name="Sheet4" sheetId="126" r:id="rId47"/>
  </sheets>
  <definedNames>
    <definedName name="_xlnm._FilterDatabase" localSheetId="34" hidden="1">巴富毅!$A$2:$K$339</definedName>
    <definedName name="_xlnm._FilterDatabase" localSheetId="20" hidden="1">边昊!$A$2:$K$339</definedName>
    <definedName name="_xlnm._FilterDatabase" localSheetId="23" hidden="1">蔡昊霖!$A$2:$K$339</definedName>
    <definedName name="_xlnm._FilterDatabase" localSheetId="35" hidden="1">陈宏伟!$A$2:$K$339</definedName>
    <definedName name="_xlnm._FilterDatabase" localSheetId="38" hidden="1">程卓!$A$2:$K$339</definedName>
    <definedName name="_xlnm._FilterDatabase" localSheetId="17" hidden="1">邓心豪!$A$2:$K$339</definedName>
    <definedName name="_xlnm._FilterDatabase" localSheetId="29" hidden="1">董志华!$A$2:$K$339</definedName>
    <definedName name="_xlnm._FilterDatabase" localSheetId="9" hidden="1">杜涛!$A$2:$K$339</definedName>
    <definedName name="_xlnm._FilterDatabase" localSheetId="4" hidden="1">耿若岩!$A$2:$K$339</definedName>
    <definedName name="_xlnm._FilterDatabase" localSheetId="30" hidden="1">郭永杰!$A$2:$K$38</definedName>
    <definedName name="_xlnm._FilterDatabase" localSheetId="42" hidden="1">何飞!$A$2:$K$339</definedName>
    <definedName name="_xlnm._FilterDatabase" localSheetId="16" hidden="1">胡鑫!$A$2:$K$339</definedName>
    <definedName name="_xlnm._FilterDatabase" localSheetId="18" hidden="1">黄恩!$A$2:$K$339</definedName>
    <definedName name="_xlnm._FilterDatabase" localSheetId="26" hidden="1">姜文夫!$A$2:$K$339</definedName>
    <definedName name="_xlnm._FilterDatabase" localSheetId="37" hidden="1">蒋露裕!$A$2:$K$339</definedName>
    <definedName name="_xlnm._FilterDatabase" localSheetId="28" hidden="1">金鼎!$A$2:$K$339</definedName>
    <definedName name="_xlnm._FilterDatabase" localSheetId="36" hidden="1">蓝宇航!$A$2:$K$339</definedName>
    <definedName name="_xlnm._FilterDatabase" localSheetId="5" hidden="1">李明!$A$2:$K$339</definedName>
    <definedName name="_xlnm._FilterDatabase" localSheetId="11" hidden="1">李秋实!$A$2:$K$339</definedName>
    <definedName name="_xlnm._FilterDatabase" localSheetId="8" hidden="1">刘国莲!$A$2:$K$338</definedName>
    <definedName name="_xlnm._FilterDatabase" localSheetId="33" hidden="1">刘琦!$A$2:$K$339</definedName>
    <definedName name="_xlnm._FilterDatabase" localSheetId="7" hidden="1">马莲花!$A$2:$K$339</definedName>
    <definedName name="_xlnm._FilterDatabase" localSheetId="2" hidden="1">明嘉!$A$2:$K$339</definedName>
    <definedName name="_xlnm._FilterDatabase" localSheetId="22" hidden="1">潘伟生!$A$2:$K$339</definedName>
    <definedName name="_xlnm._FilterDatabase" localSheetId="15" hidden="1">沈宁!$A$2:$K$36</definedName>
    <definedName name="_xlnm._FilterDatabase" localSheetId="43" hidden="1">宋天霖!$A$2:$K$339</definedName>
    <definedName name="_xlnm._FilterDatabase" localSheetId="27" hidden="1">王风瑞!$A$2:$K$339</definedName>
    <definedName name="_xlnm._FilterDatabase" localSheetId="25" hidden="1">王建超!$A$2:$K$339</definedName>
    <definedName name="_xlnm._FilterDatabase" localSheetId="41" hidden="1">王维华!$A$2:$K$339</definedName>
    <definedName name="_xlnm._FilterDatabase" localSheetId="1" hidden="1">温若春!$A$2:$K$339</definedName>
    <definedName name="_xlnm._FilterDatabase" localSheetId="31" hidden="1">吴疆!$A$2:$K$339</definedName>
    <definedName name="_xlnm._FilterDatabase" localSheetId="3" hidden="1">徐万友!$A$2:$K$339</definedName>
    <definedName name="_xlnm._FilterDatabase" localSheetId="19" hidden="1">严亮!$A$2:$K$339</definedName>
    <definedName name="_xlnm._FilterDatabase" localSheetId="24" hidden="1">叶大鹏!$A$2:$K$339</definedName>
    <definedName name="_xlnm._FilterDatabase" localSheetId="13" hidden="1">詹泽彬!$A$2:$K$339</definedName>
    <definedName name="_xlnm._FilterDatabase" localSheetId="6" hidden="1">张虎!$A$2:$K$339</definedName>
    <definedName name="_xlnm._FilterDatabase" localSheetId="10" hidden="1">张文中!$A$2:$K$339</definedName>
    <definedName name="_xlnm._FilterDatabase" localSheetId="14" hidden="1">张笑延!$A$2:$K$339</definedName>
    <definedName name="_xlnm._FilterDatabase" localSheetId="21" hidden="1">张宗根!$A$2:$K$339</definedName>
    <definedName name="_xlnm._FilterDatabase" localSheetId="40" hidden="1">郑文卓!$A$2:$K$339</definedName>
    <definedName name="_xlnm._FilterDatabase" localSheetId="12" hidden="1">周岸!$A$2:$K$339</definedName>
    <definedName name="_xlnm._FilterDatabase" localSheetId="32" hidden="1">朱永春!$A$2:$K$339</definedName>
  </definedNames>
  <calcPr calcId="152511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88" l="1"/>
  <c r="F40" i="88" l="1"/>
  <c r="H40" i="88"/>
  <c r="G40" i="88" s="1"/>
  <c r="H160" i="122"/>
  <c r="F160" i="122"/>
  <c r="G160" i="122" s="1"/>
  <c r="A160" i="122"/>
  <c r="H159" i="122"/>
  <c r="F159" i="122"/>
  <c r="G159" i="122" s="1"/>
  <c r="A159" i="122"/>
  <c r="H158" i="122"/>
  <c r="F158" i="122"/>
  <c r="G158" i="122" s="1"/>
  <c r="A158" i="122"/>
  <c r="H157" i="122"/>
  <c r="F157" i="122"/>
  <c r="G157" i="122" s="1"/>
  <c r="A157" i="122"/>
  <c r="H156" i="122"/>
  <c r="F156" i="122"/>
  <c r="G156" i="122" s="1"/>
  <c r="A156" i="122"/>
  <c r="H155" i="122"/>
  <c r="F155" i="122"/>
  <c r="G155" i="122" s="1"/>
  <c r="A155" i="122"/>
  <c r="H154" i="122"/>
  <c r="F154" i="122"/>
  <c r="G154" i="122" s="1"/>
  <c r="A154" i="122"/>
  <c r="H153" i="122"/>
  <c r="F153" i="122"/>
  <c r="G153" i="122" s="1"/>
  <c r="A153" i="122"/>
  <c r="H152" i="122"/>
  <c r="F152" i="122"/>
  <c r="G152" i="122" s="1"/>
  <c r="A152" i="122"/>
  <c r="H151" i="122"/>
  <c r="F151" i="122"/>
  <c r="G151" i="122" s="1"/>
  <c r="A151" i="122"/>
  <c r="H150" i="122"/>
  <c r="F150" i="122"/>
  <c r="G150" i="122" s="1"/>
  <c r="A150" i="122"/>
  <c r="H149" i="122"/>
  <c r="F149" i="122"/>
  <c r="G149" i="122" s="1"/>
  <c r="A149" i="122"/>
  <c r="H148" i="122"/>
  <c r="F148" i="122"/>
  <c r="G148" i="122" s="1"/>
  <c r="A148" i="122"/>
  <c r="H147" i="122"/>
  <c r="F147" i="122"/>
  <c r="G147" i="122" s="1"/>
  <c r="A147" i="122"/>
  <c r="H146" i="122"/>
  <c r="F146" i="122"/>
  <c r="G146" i="122" s="1"/>
  <c r="A146" i="122"/>
  <c r="H145" i="122"/>
  <c r="F145" i="122"/>
  <c r="G145" i="122" s="1"/>
  <c r="A145" i="122"/>
  <c r="H144" i="122"/>
  <c r="F144" i="122"/>
  <c r="G144" i="122" s="1"/>
  <c r="A144" i="122"/>
  <c r="H143" i="122"/>
  <c r="F143" i="122"/>
  <c r="G143" i="122" s="1"/>
  <c r="A143" i="122"/>
  <c r="H142" i="122"/>
  <c r="F142" i="122"/>
  <c r="G142" i="122" s="1"/>
  <c r="A142" i="122"/>
  <c r="H141" i="122"/>
  <c r="F141" i="122"/>
  <c r="G141" i="122" s="1"/>
  <c r="A141" i="122"/>
  <c r="H140" i="122"/>
  <c r="F140" i="122"/>
  <c r="G140" i="122" s="1"/>
  <c r="A140" i="122"/>
  <c r="H139" i="122"/>
  <c r="F139" i="122"/>
  <c r="G139" i="122" s="1"/>
  <c r="A139" i="122"/>
  <c r="H138" i="122"/>
  <c r="F138" i="122"/>
  <c r="G138" i="122" s="1"/>
  <c r="A138" i="122"/>
  <c r="H137" i="122"/>
  <c r="F137" i="122"/>
  <c r="G137" i="122" s="1"/>
  <c r="A137" i="122"/>
  <c r="H136" i="122"/>
  <c r="F136" i="122"/>
  <c r="G136" i="122" s="1"/>
  <c r="A136" i="122"/>
  <c r="H135" i="122"/>
  <c r="F135" i="122"/>
  <c r="G135" i="122" s="1"/>
  <c r="A135" i="122"/>
  <c r="H134" i="122"/>
  <c r="F134" i="122"/>
  <c r="G134" i="122" s="1"/>
  <c r="A134" i="122"/>
  <c r="H133" i="122"/>
  <c r="F133" i="122"/>
  <c r="G133" i="122" s="1"/>
  <c r="A133" i="122"/>
  <c r="H132" i="122"/>
  <c r="F132" i="122"/>
  <c r="G132" i="122" s="1"/>
  <c r="A132" i="122"/>
  <c r="H131" i="122"/>
  <c r="F131" i="122"/>
  <c r="G131" i="122" s="1"/>
  <c r="A131" i="122"/>
  <c r="H130" i="122"/>
  <c r="F130" i="122"/>
  <c r="G130" i="122" s="1"/>
  <c r="A130" i="122"/>
  <c r="H129" i="122"/>
  <c r="F129" i="122"/>
  <c r="G129" i="122" s="1"/>
  <c r="A129" i="122"/>
  <c r="H128" i="122"/>
  <c r="F128" i="122"/>
  <c r="G128" i="122" s="1"/>
  <c r="A128" i="122"/>
  <c r="H127" i="122"/>
  <c r="F127" i="122"/>
  <c r="G127" i="122" s="1"/>
  <c r="A127" i="122"/>
  <c r="H126" i="122"/>
  <c r="F126" i="122"/>
  <c r="G126" i="122" s="1"/>
  <c r="A126" i="122"/>
  <c r="H125" i="122"/>
  <c r="F125" i="122"/>
  <c r="G125" i="122" s="1"/>
  <c r="A125" i="122"/>
  <c r="H124" i="122"/>
  <c r="F124" i="122"/>
  <c r="G124" i="122" s="1"/>
  <c r="A124" i="122"/>
  <c r="H123" i="122"/>
  <c r="F123" i="122"/>
  <c r="G123" i="122" s="1"/>
  <c r="A123" i="122"/>
  <c r="H122" i="122"/>
  <c r="F122" i="122"/>
  <c r="G122" i="122" s="1"/>
  <c r="A122" i="122"/>
  <c r="H121" i="122"/>
  <c r="F121" i="122"/>
  <c r="G121" i="122" s="1"/>
  <c r="A121" i="122"/>
  <c r="H120" i="122"/>
  <c r="F120" i="122"/>
  <c r="G120" i="122" s="1"/>
  <c r="A120" i="122"/>
  <c r="H119" i="122"/>
  <c r="F119" i="122"/>
  <c r="G119" i="122" s="1"/>
  <c r="A119" i="122"/>
  <c r="H118" i="122"/>
  <c r="F118" i="122"/>
  <c r="G118" i="122" s="1"/>
  <c r="A118" i="122"/>
  <c r="H117" i="122"/>
  <c r="F117" i="122"/>
  <c r="G117" i="122" s="1"/>
  <c r="A117" i="122"/>
  <c r="H116" i="122"/>
  <c r="F116" i="122"/>
  <c r="G116" i="122" s="1"/>
  <c r="A116" i="122"/>
  <c r="H115" i="122"/>
  <c r="F115" i="122"/>
  <c r="G115" i="122" s="1"/>
  <c r="A115" i="122"/>
  <c r="H114" i="122"/>
  <c r="F114" i="122"/>
  <c r="G114" i="122" s="1"/>
  <c r="A114" i="122"/>
  <c r="H113" i="122"/>
  <c r="F113" i="122"/>
  <c r="G113" i="122" s="1"/>
  <c r="A113" i="122"/>
  <c r="H112" i="122"/>
  <c r="F112" i="122"/>
  <c r="G112" i="122" s="1"/>
  <c r="A112" i="122"/>
  <c r="H111" i="122"/>
  <c r="F111" i="122"/>
  <c r="G111" i="122" s="1"/>
  <c r="A111" i="122"/>
  <c r="H110" i="122"/>
  <c r="F110" i="122"/>
  <c r="G110" i="122" s="1"/>
  <c r="A110" i="122"/>
  <c r="H109" i="122"/>
  <c r="F109" i="122"/>
  <c r="G109" i="122" s="1"/>
  <c r="A109" i="122"/>
  <c r="H108" i="122"/>
  <c r="F108" i="122"/>
  <c r="G108" i="122" s="1"/>
  <c r="A108" i="122"/>
  <c r="H107" i="122"/>
  <c r="F107" i="122"/>
  <c r="G107" i="122" s="1"/>
  <c r="A107" i="122"/>
  <c r="H106" i="122"/>
  <c r="F106" i="122"/>
  <c r="G106" i="122" s="1"/>
  <c r="A106" i="122"/>
  <c r="H105" i="122"/>
  <c r="F105" i="122"/>
  <c r="G105" i="122" s="1"/>
  <c r="A105" i="122"/>
  <c r="H104" i="122"/>
  <c r="F104" i="122"/>
  <c r="G104" i="122" s="1"/>
  <c r="A104" i="122"/>
  <c r="H103" i="122"/>
  <c r="F103" i="122"/>
  <c r="G103" i="122" s="1"/>
  <c r="A103" i="122"/>
  <c r="H102" i="122"/>
  <c r="F102" i="122"/>
  <c r="G102" i="122" s="1"/>
  <c r="A102" i="122"/>
  <c r="H101" i="122"/>
  <c r="F101" i="122"/>
  <c r="G101" i="122" s="1"/>
  <c r="A101" i="122"/>
  <c r="H100" i="122"/>
  <c r="F100" i="122"/>
  <c r="G100" i="122" s="1"/>
  <c r="A100" i="122"/>
  <c r="H99" i="122"/>
  <c r="F99" i="122"/>
  <c r="G99" i="122" s="1"/>
  <c r="A99" i="122"/>
  <c r="H98" i="122"/>
  <c r="F98" i="122"/>
  <c r="G98" i="122" s="1"/>
  <c r="A98" i="122"/>
  <c r="H97" i="122"/>
  <c r="F97" i="122"/>
  <c r="G97" i="122" s="1"/>
  <c r="A97" i="122"/>
  <c r="H96" i="122"/>
  <c r="F96" i="122"/>
  <c r="G96" i="122" s="1"/>
  <c r="A96" i="122"/>
  <c r="H95" i="122"/>
  <c r="F95" i="122"/>
  <c r="G95" i="122" s="1"/>
  <c r="A95" i="122"/>
  <c r="H94" i="122"/>
  <c r="F94" i="122"/>
  <c r="G94" i="122" s="1"/>
  <c r="A94" i="122"/>
  <c r="H93" i="122"/>
  <c r="F93" i="122"/>
  <c r="G93" i="122" s="1"/>
  <c r="A93" i="122"/>
  <c r="H92" i="122"/>
  <c r="F92" i="122"/>
  <c r="G92" i="122" s="1"/>
  <c r="A92" i="122"/>
  <c r="H91" i="122"/>
  <c r="F91" i="122"/>
  <c r="G91" i="122" s="1"/>
  <c r="A91" i="122"/>
  <c r="H90" i="122"/>
  <c r="F90" i="122"/>
  <c r="G90" i="122" s="1"/>
  <c r="A90" i="122"/>
  <c r="H89" i="122"/>
  <c r="F89" i="122"/>
  <c r="G89" i="122" s="1"/>
  <c r="A89" i="122"/>
  <c r="H88" i="122"/>
  <c r="F88" i="122"/>
  <c r="G88" i="122" s="1"/>
  <c r="A88" i="122"/>
  <c r="H87" i="122"/>
  <c r="F87" i="122"/>
  <c r="G87" i="122" s="1"/>
  <c r="A87" i="122"/>
  <c r="H86" i="122"/>
  <c r="F86" i="122"/>
  <c r="G86" i="122" s="1"/>
  <c r="A86" i="122"/>
  <c r="H85" i="122"/>
  <c r="F85" i="122"/>
  <c r="G85" i="122" s="1"/>
  <c r="A85" i="122"/>
  <c r="H84" i="122"/>
  <c r="F84" i="122"/>
  <c r="G84" i="122" s="1"/>
  <c r="A84" i="122"/>
  <c r="H83" i="122"/>
  <c r="F83" i="122"/>
  <c r="G83" i="122" s="1"/>
  <c r="A83" i="122"/>
  <c r="H82" i="122"/>
  <c r="F82" i="122"/>
  <c r="G82" i="122" s="1"/>
  <c r="A82" i="122"/>
  <c r="H81" i="122"/>
  <c r="F81" i="122"/>
  <c r="G81" i="122" s="1"/>
  <c r="A81" i="122"/>
  <c r="H80" i="122"/>
  <c r="F80" i="122"/>
  <c r="G80" i="122" s="1"/>
  <c r="A80" i="122"/>
  <c r="H79" i="122"/>
  <c r="F79" i="122"/>
  <c r="G79" i="122" s="1"/>
  <c r="A79" i="122"/>
  <c r="H78" i="122"/>
  <c r="F78" i="122"/>
  <c r="G78" i="122" s="1"/>
  <c r="A78" i="122"/>
  <c r="H77" i="122"/>
  <c r="F77" i="122"/>
  <c r="G77" i="122" s="1"/>
  <c r="A77" i="122"/>
  <c r="H76" i="122"/>
  <c r="F76" i="122"/>
  <c r="G76" i="122" s="1"/>
  <c r="A76" i="122"/>
  <c r="H75" i="122"/>
  <c r="F75" i="122"/>
  <c r="G75" i="122" s="1"/>
  <c r="A75" i="122"/>
  <c r="H74" i="122"/>
  <c r="F74" i="122"/>
  <c r="G74" i="122" s="1"/>
  <c r="A74" i="122"/>
  <c r="H73" i="122"/>
  <c r="F73" i="122"/>
  <c r="G73" i="122" s="1"/>
  <c r="A73" i="122"/>
  <c r="H72" i="122"/>
  <c r="F72" i="122"/>
  <c r="G72" i="122" s="1"/>
  <c r="A72" i="122"/>
  <c r="H71" i="122"/>
  <c r="F71" i="122"/>
  <c r="G71" i="122" s="1"/>
  <c r="A71" i="122"/>
  <c r="H70" i="122"/>
  <c r="F70" i="122"/>
  <c r="G70" i="122" s="1"/>
  <c r="A70" i="122"/>
  <c r="H69" i="122"/>
  <c r="F69" i="122"/>
  <c r="G69" i="122" s="1"/>
  <c r="A69" i="122"/>
  <c r="H68" i="122"/>
  <c r="F68" i="122"/>
  <c r="G68" i="122" s="1"/>
  <c r="A68" i="122"/>
  <c r="H67" i="122"/>
  <c r="F67" i="122"/>
  <c r="G67" i="122" s="1"/>
  <c r="A67" i="122"/>
  <c r="H66" i="122"/>
  <c r="F66" i="122"/>
  <c r="G66" i="122" s="1"/>
  <c r="A66" i="122"/>
  <c r="H65" i="122"/>
  <c r="F65" i="122"/>
  <c r="G65" i="122" s="1"/>
  <c r="A65" i="122"/>
  <c r="H64" i="122"/>
  <c r="F64" i="122"/>
  <c r="G64" i="122" s="1"/>
  <c r="A64" i="122"/>
  <c r="H63" i="122"/>
  <c r="F63" i="122"/>
  <c r="G63" i="122" s="1"/>
  <c r="A63" i="122"/>
  <c r="H62" i="122"/>
  <c r="F62" i="122"/>
  <c r="G62" i="122" s="1"/>
  <c r="A62" i="122"/>
  <c r="H61" i="122"/>
  <c r="F61" i="122"/>
  <c r="G61" i="122" s="1"/>
  <c r="A61" i="122"/>
  <c r="H60" i="122"/>
  <c r="F60" i="122"/>
  <c r="G60" i="122" s="1"/>
  <c r="A60" i="122"/>
  <c r="H59" i="122"/>
  <c r="F59" i="122"/>
  <c r="G59" i="122" s="1"/>
  <c r="A59" i="122"/>
  <c r="H58" i="122"/>
  <c r="F58" i="122"/>
  <c r="G58" i="122" s="1"/>
  <c r="A58" i="122"/>
  <c r="H57" i="122"/>
  <c r="F57" i="122"/>
  <c r="G57" i="122" s="1"/>
  <c r="A57" i="122"/>
  <c r="H56" i="122"/>
  <c r="F56" i="122"/>
  <c r="G56" i="122" s="1"/>
  <c r="A56" i="122"/>
  <c r="H55" i="122"/>
  <c r="F55" i="122"/>
  <c r="G55" i="122" s="1"/>
  <c r="A55" i="122"/>
  <c r="H54" i="122"/>
  <c r="F54" i="122"/>
  <c r="G54" i="122" s="1"/>
  <c r="A54" i="122"/>
  <c r="H53" i="122"/>
  <c r="F53" i="122"/>
  <c r="G53" i="122" s="1"/>
  <c r="A53" i="122"/>
  <c r="H52" i="122"/>
  <c r="F52" i="122"/>
  <c r="G52" i="122" s="1"/>
  <c r="A52" i="122"/>
  <c r="H51" i="122"/>
  <c r="F51" i="122"/>
  <c r="G51" i="122" s="1"/>
  <c r="A51" i="122"/>
  <c r="H50" i="122"/>
  <c r="F50" i="122"/>
  <c r="G50" i="122" s="1"/>
  <c r="A50" i="122"/>
  <c r="H49" i="122"/>
  <c r="F49" i="122"/>
  <c r="G49" i="122" s="1"/>
  <c r="A49" i="122"/>
  <c r="H48" i="122"/>
  <c r="F48" i="122"/>
  <c r="G48" i="122" s="1"/>
  <c r="A48" i="122"/>
  <c r="H47" i="122"/>
  <c r="F47" i="122"/>
  <c r="G47" i="122" s="1"/>
  <c r="A47" i="122"/>
  <c r="H46" i="122"/>
  <c r="F46" i="122"/>
  <c r="G46" i="122" s="1"/>
  <c r="A46" i="122"/>
  <c r="H45" i="122"/>
  <c r="F45" i="122"/>
  <c r="G45" i="122" s="1"/>
  <c r="A45" i="122"/>
  <c r="H44" i="122"/>
  <c r="F44" i="122"/>
  <c r="G44" i="122" s="1"/>
  <c r="A44" i="122"/>
  <c r="H43" i="122"/>
  <c r="F43" i="122"/>
  <c r="G43" i="122" s="1"/>
  <c r="A43" i="122"/>
  <c r="H42" i="122"/>
  <c r="F42" i="122"/>
  <c r="G42" i="122" s="1"/>
  <c r="A42" i="122"/>
  <c r="H41" i="122"/>
  <c r="F41" i="122"/>
  <c r="G41" i="122" s="1"/>
  <c r="A41" i="122"/>
  <c r="H40" i="122"/>
  <c r="F40" i="122"/>
  <c r="G40" i="122" s="1"/>
  <c r="A40" i="122"/>
  <c r="H39" i="122"/>
  <c r="F39" i="122"/>
  <c r="G39" i="122" s="1"/>
  <c r="A39" i="122"/>
  <c r="H38" i="122"/>
  <c r="F38" i="122"/>
  <c r="G38" i="122" s="1"/>
  <c r="A38" i="122"/>
  <c r="H37" i="122"/>
  <c r="F37" i="122"/>
  <c r="G37" i="122" s="1"/>
  <c r="A37" i="122"/>
  <c r="H36" i="122"/>
  <c r="F36" i="122"/>
  <c r="G36" i="122" s="1"/>
  <c r="A36" i="122"/>
  <c r="H35" i="122"/>
  <c r="F35" i="122"/>
  <c r="G35" i="122" s="1"/>
  <c r="A35" i="122"/>
  <c r="H34" i="122"/>
  <c r="F34" i="122"/>
  <c r="G34" i="122" s="1"/>
  <c r="A34" i="122"/>
  <c r="H33" i="122"/>
  <c r="F33" i="122"/>
  <c r="G33" i="122" s="1"/>
  <c r="A33" i="122"/>
  <c r="H32" i="122"/>
  <c r="F32" i="122"/>
  <c r="G32" i="122" s="1"/>
  <c r="A32" i="122"/>
  <c r="H31" i="122"/>
  <c r="F31" i="122"/>
  <c r="G31" i="122" s="1"/>
  <c r="A31" i="122"/>
  <c r="H30" i="122"/>
  <c r="F30" i="122"/>
  <c r="G30" i="122" s="1"/>
  <c r="A30" i="122"/>
  <c r="H29" i="122"/>
  <c r="F29" i="122"/>
  <c r="G29" i="122" s="1"/>
  <c r="A29" i="122"/>
  <c r="H28" i="122"/>
  <c r="F28" i="122"/>
  <c r="G28" i="122" s="1"/>
  <c r="A28" i="122"/>
  <c r="H27" i="122"/>
  <c r="F27" i="122"/>
  <c r="G27" i="122" s="1"/>
  <c r="A27" i="122"/>
  <c r="H26" i="122"/>
  <c r="F26" i="122"/>
  <c r="G26" i="122" s="1"/>
  <c r="A26" i="122"/>
  <c r="H25" i="122"/>
  <c r="F25" i="122"/>
  <c r="G25" i="122" s="1"/>
  <c r="A25" i="122"/>
  <c r="H24" i="122"/>
  <c r="F24" i="122"/>
  <c r="G24" i="122" s="1"/>
  <c r="A24" i="122"/>
  <c r="H23" i="122"/>
  <c r="F23" i="122"/>
  <c r="G23" i="122" s="1"/>
  <c r="A23" i="122"/>
  <c r="H22" i="122"/>
  <c r="F22" i="122"/>
  <c r="G22" i="122" s="1"/>
  <c r="H21" i="122"/>
  <c r="F21" i="122"/>
  <c r="G21" i="122" s="1"/>
  <c r="H20" i="122"/>
  <c r="F20" i="122"/>
  <c r="H19" i="122"/>
  <c r="F19" i="122"/>
  <c r="H18" i="122"/>
  <c r="F18" i="122"/>
  <c r="H17" i="122"/>
  <c r="F17" i="122"/>
  <c r="H16" i="122"/>
  <c r="F16" i="122"/>
  <c r="G16" i="122" s="1"/>
  <c r="H15" i="122"/>
  <c r="F15" i="122"/>
  <c r="H14" i="122"/>
  <c r="F14" i="122"/>
  <c r="H13" i="122"/>
  <c r="F13" i="122"/>
  <c r="G13" i="122" s="1"/>
  <c r="H12" i="122"/>
  <c r="F12" i="122"/>
  <c r="G12" i="122" s="1"/>
  <c r="H11" i="122"/>
  <c r="F11" i="122"/>
  <c r="H10" i="122"/>
  <c r="F10" i="122"/>
  <c r="G10" i="122" s="1"/>
  <c r="H9" i="122"/>
  <c r="F9" i="122"/>
  <c r="H8" i="122"/>
  <c r="F8" i="122"/>
  <c r="H7" i="122"/>
  <c r="F7" i="122"/>
  <c r="H6" i="122"/>
  <c r="F6" i="122"/>
  <c r="H5" i="122"/>
  <c r="F5" i="122"/>
  <c r="G5" i="122" s="1"/>
  <c r="H4" i="122"/>
  <c r="F4" i="122"/>
  <c r="H3" i="122"/>
  <c r="F3" i="122"/>
  <c r="G3" i="122" s="1"/>
  <c r="H160" i="121"/>
  <c r="F160" i="121"/>
  <c r="G160" i="121" s="1"/>
  <c r="A160" i="121"/>
  <c r="H159" i="121"/>
  <c r="G159" i="121" s="1"/>
  <c r="F159" i="121"/>
  <c r="A159" i="121"/>
  <c r="H158" i="121"/>
  <c r="F158" i="121"/>
  <c r="G158" i="121" s="1"/>
  <c r="A158" i="121"/>
  <c r="H157" i="121"/>
  <c r="G157" i="121" s="1"/>
  <c r="F157" i="121"/>
  <c r="A157" i="121"/>
  <c r="H156" i="121"/>
  <c r="F156" i="121"/>
  <c r="G156" i="121" s="1"/>
  <c r="A156" i="121"/>
  <c r="H155" i="121"/>
  <c r="G155" i="121" s="1"/>
  <c r="F155" i="121"/>
  <c r="A155" i="121"/>
  <c r="H154" i="121"/>
  <c r="F154" i="121"/>
  <c r="G154" i="121" s="1"/>
  <c r="A154" i="121"/>
  <c r="H153" i="121"/>
  <c r="G153" i="121" s="1"/>
  <c r="F153" i="121"/>
  <c r="A153" i="121"/>
  <c r="H152" i="121"/>
  <c r="F152" i="121"/>
  <c r="G152" i="121" s="1"/>
  <c r="A152" i="121"/>
  <c r="H151" i="121"/>
  <c r="G151" i="121" s="1"/>
  <c r="F151" i="121"/>
  <c r="A151" i="121"/>
  <c r="H150" i="121"/>
  <c r="F150" i="121"/>
  <c r="G150" i="121" s="1"/>
  <c r="A150" i="121"/>
  <c r="H149" i="121"/>
  <c r="G149" i="121" s="1"/>
  <c r="F149" i="121"/>
  <c r="A149" i="121"/>
  <c r="H148" i="121"/>
  <c r="F148" i="121"/>
  <c r="G148" i="121" s="1"/>
  <c r="A148" i="121"/>
  <c r="H147" i="121"/>
  <c r="G147" i="121" s="1"/>
  <c r="F147" i="121"/>
  <c r="A147" i="121"/>
  <c r="H146" i="121"/>
  <c r="F146" i="121"/>
  <c r="G146" i="121" s="1"/>
  <c r="A146" i="121"/>
  <c r="H145" i="121"/>
  <c r="G145" i="121" s="1"/>
  <c r="F145" i="121"/>
  <c r="A145" i="121"/>
  <c r="H144" i="121"/>
  <c r="F144" i="121"/>
  <c r="G144" i="121" s="1"/>
  <c r="A144" i="121"/>
  <c r="H143" i="121"/>
  <c r="G143" i="121" s="1"/>
  <c r="F143" i="121"/>
  <c r="A143" i="121"/>
  <c r="H142" i="121"/>
  <c r="F142" i="121"/>
  <c r="G142" i="121" s="1"/>
  <c r="A142" i="121"/>
  <c r="H141" i="121"/>
  <c r="G141" i="121" s="1"/>
  <c r="F141" i="121"/>
  <c r="A141" i="121"/>
  <c r="H140" i="121"/>
  <c r="F140" i="121"/>
  <c r="G140" i="121" s="1"/>
  <c r="A140" i="121"/>
  <c r="H139" i="121"/>
  <c r="G139" i="121" s="1"/>
  <c r="F139" i="121"/>
  <c r="A139" i="121"/>
  <c r="H138" i="121"/>
  <c r="F138" i="121"/>
  <c r="G138" i="121" s="1"/>
  <c r="A138" i="121"/>
  <c r="H137" i="121"/>
  <c r="G137" i="121" s="1"/>
  <c r="F137" i="121"/>
  <c r="A137" i="121"/>
  <c r="H136" i="121"/>
  <c r="F136" i="121"/>
  <c r="G136" i="121" s="1"/>
  <c r="A136" i="121"/>
  <c r="H135" i="121"/>
  <c r="G135" i="121" s="1"/>
  <c r="F135" i="121"/>
  <c r="A135" i="121"/>
  <c r="H134" i="121"/>
  <c r="F134" i="121"/>
  <c r="G134" i="121" s="1"/>
  <c r="A134" i="121"/>
  <c r="H133" i="121"/>
  <c r="G133" i="121" s="1"/>
  <c r="F133" i="121"/>
  <c r="A133" i="121"/>
  <c r="H132" i="121"/>
  <c r="F132" i="121"/>
  <c r="G132" i="121" s="1"/>
  <c r="A132" i="121"/>
  <c r="H131" i="121"/>
  <c r="G131" i="121" s="1"/>
  <c r="F131" i="121"/>
  <c r="A131" i="121"/>
  <c r="H130" i="121"/>
  <c r="F130" i="121"/>
  <c r="G130" i="121" s="1"/>
  <c r="A130" i="121"/>
  <c r="H129" i="121"/>
  <c r="G129" i="121" s="1"/>
  <c r="F129" i="121"/>
  <c r="A129" i="121"/>
  <c r="H128" i="121"/>
  <c r="F128" i="121"/>
  <c r="G128" i="121" s="1"/>
  <c r="A128" i="121"/>
  <c r="H127" i="121"/>
  <c r="G127" i="121" s="1"/>
  <c r="F127" i="121"/>
  <c r="A127" i="121"/>
  <c r="H126" i="121"/>
  <c r="F126" i="121"/>
  <c r="G126" i="121" s="1"/>
  <c r="A126" i="121"/>
  <c r="H125" i="121"/>
  <c r="G125" i="121" s="1"/>
  <c r="F125" i="121"/>
  <c r="A125" i="121"/>
  <c r="H124" i="121"/>
  <c r="F124" i="121"/>
  <c r="G124" i="121" s="1"/>
  <c r="A124" i="121"/>
  <c r="H123" i="121"/>
  <c r="G123" i="121" s="1"/>
  <c r="F123" i="121"/>
  <c r="A123" i="121"/>
  <c r="H122" i="121"/>
  <c r="F122" i="121"/>
  <c r="G122" i="121" s="1"/>
  <c r="A122" i="121"/>
  <c r="H121" i="121"/>
  <c r="G121" i="121" s="1"/>
  <c r="F121" i="121"/>
  <c r="A121" i="121"/>
  <c r="H120" i="121"/>
  <c r="F120" i="121"/>
  <c r="G120" i="121" s="1"/>
  <c r="A120" i="121"/>
  <c r="H119" i="121"/>
  <c r="G119" i="121" s="1"/>
  <c r="F119" i="121"/>
  <c r="A119" i="121"/>
  <c r="H118" i="121"/>
  <c r="F118" i="121"/>
  <c r="G118" i="121" s="1"/>
  <c r="A118" i="121"/>
  <c r="H117" i="121"/>
  <c r="G117" i="121" s="1"/>
  <c r="F117" i="121"/>
  <c r="A117" i="121"/>
  <c r="H116" i="121"/>
  <c r="F116" i="121"/>
  <c r="G116" i="121" s="1"/>
  <c r="A116" i="121"/>
  <c r="H115" i="121"/>
  <c r="G115" i="121" s="1"/>
  <c r="F115" i="121"/>
  <c r="A115" i="121"/>
  <c r="H114" i="121"/>
  <c r="F114" i="121"/>
  <c r="G114" i="121" s="1"/>
  <c r="A114" i="121"/>
  <c r="H113" i="121"/>
  <c r="G113" i="121" s="1"/>
  <c r="F113" i="121"/>
  <c r="A113" i="121"/>
  <c r="H112" i="121"/>
  <c r="F112" i="121"/>
  <c r="G112" i="121" s="1"/>
  <c r="A112" i="121"/>
  <c r="H111" i="121"/>
  <c r="G111" i="121" s="1"/>
  <c r="F111" i="121"/>
  <c r="A111" i="121"/>
  <c r="H110" i="121"/>
  <c r="F110" i="121"/>
  <c r="G110" i="121" s="1"/>
  <c r="A110" i="121"/>
  <c r="H109" i="121"/>
  <c r="G109" i="121" s="1"/>
  <c r="F109" i="121"/>
  <c r="A109" i="121"/>
  <c r="H108" i="121"/>
  <c r="F108" i="121"/>
  <c r="G108" i="121" s="1"/>
  <c r="A108" i="121"/>
  <c r="H107" i="121"/>
  <c r="G107" i="121" s="1"/>
  <c r="F107" i="121"/>
  <c r="A107" i="121"/>
  <c r="H106" i="121"/>
  <c r="F106" i="121"/>
  <c r="G106" i="121" s="1"/>
  <c r="A106" i="121"/>
  <c r="H105" i="121"/>
  <c r="G105" i="121" s="1"/>
  <c r="F105" i="121"/>
  <c r="A105" i="121"/>
  <c r="H104" i="121"/>
  <c r="F104" i="121"/>
  <c r="G104" i="121" s="1"/>
  <c r="A104" i="121"/>
  <c r="H103" i="121"/>
  <c r="G103" i="121" s="1"/>
  <c r="F103" i="121"/>
  <c r="A103" i="121"/>
  <c r="H102" i="121"/>
  <c r="F102" i="121"/>
  <c r="G102" i="121" s="1"/>
  <c r="A102" i="121"/>
  <c r="H101" i="121"/>
  <c r="G101" i="121" s="1"/>
  <c r="F101" i="121"/>
  <c r="A101" i="121"/>
  <c r="H100" i="121"/>
  <c r="F100" i="121"/>
  <c r="G100" i="121" s="1"/>
  <c r="A100" i="121"/>
  <c r="H99" i="121"/>
  <c r="G99" i="121" s="1"/>
  <c r="F99" i="121"/>
  <c r="A99" i="121"/>
  <c r="H98" i="121"/>
  <c r="F98" i="121"/>
  <c r="G98" i="121" s="1"/>
  <c r="A98" i="121"/>
  <c r="H97" i="121"/>
  <c r="G97" i="121" s="1"/>
  <c r="F97" i="121"/>
  <c r="A97" i="121"/>
  <c r="H96" i="121"/>
  <c r="F96" i="121"/>
  <c r="G96" i="121" s="1"/>
  <c r="A96" i="121"/>
  <c r="H95" i="121"/>
  <c r="G95" i="121" s="1"/>
  <c r="F95" i="121"/>
  <c r="A95" i="121"/>
  <c r="H94" i="121"/>
  <c r="F94" i="121"/>
  <c r="G94" i="121" s="1"/>
  <c r="A94" i="121"/>
  <c r="H93" i="121"/>
  <c r="G93" i="121" s="1"/>
  <c r="F93" i="121"/>
  <c r="A93" i="121"/>
  <c r="H92" i="121"/>
  <c r="F92" i="121"/>
  <c r="G92" i="121" s="1"/>
  <c r="A92" i="121"/>
  <c r="H91" i="121"/>
  <c r="G91" i="121" s="1"/>
  <c r="F91" i="121"/>
  <c r="A91" i="121"/>
  <c r="H90" i="121"/>
  <c r="F90" i="121"/>
  <c r="G90" i="121" s="1"/>
  <c r="A90" i="121"/>
  <c r="H89" i="121"/>
  <c r="G89" i="121" s="1"/>
  <c r="F89" i="121"/>
  <c r="A89" i="121"/>
  <c r="H88" i="121"/>
  <c r="F88" i="121"/>
  <c r="G88" i="121" s="1"/>
  <c r="A88" i="121"/>
  <c r="H87" i="121"/>
  <c r="G87" i="121" s="1"/>
  <c r="F87" i="121"/>
  <c r="A87" i="121"/>
  <c r="H86" i="121"/>
  <c r="F86" i="121"/>
  <c r="G86" i="121" s="1"/>
  <c r="A86" i="121"/>
  <c r="H85" i="121"/>
  <c r="G85" i="121" s="1"/>
  <c r="F85" i="121"/>
  <c r="A85" i="121"/>
  <c r="H84" i="121"/>
  <c r="F84" i="121"/>
  <c r="G84" i="121" s="1"/>
  <c r="A84" i="121"/>
  <c r="H83" i="121"/>
  <c r="G83" i="121" s="1"/>
  <c r="F83" i="121"/>
  <c r="A83" i="121"/>
  <c r="H82" i="121"/>
  <c r="F82" i="121"/>
  <c r="G82" i="121" s="1"/>
  <c r="A82" i="121"/>
  <c r="H81" i="121"/>
  <c r="G81" i="121" s="1"/>
  <c r="F81" i="121"/>
  <c r="A81" i="121"/>
  <c r="H80" i="121"/>
  <c r="F80" i="121"/>
  <c r="G80" i="121" s="1"/>
  <c r="A80" i="121"/>
  <c r="H79" i="121"/>
  <c r="G79" i="121" s="1"/>
  <c r="F79" i="121"/>
  <c r="A79" i="121"/>
  <c r="H78" i="121"/>
  <c r="F78" i="121"/>
  <c r="G78" i="121" s="1"/>
  <c r="A78" i="121"/>
  <c r="H77" i="121"/>
  <c r="G77" i="121" s="1"/>
  <c r="F77" i="121"/>
  <c r="A77" i="121"/>
  <c r="H76" i="121"/>
  <c r="F76" i="121"/>
  <c r="G76" i="121" s="1"/>
  <c r="A76" i="121"/>
  <c r="H75" i="121"/>
  <c r="G75" i="121" s="1"/>
  <c r="F75" i="121"/>
  <c r="A75" i="121"/>
  <c r="H74" i="121"/>
  <c r="F74" i="121"/>
  <c r="G74" i="121" s="1"/>
  <c r="A74" i="121"/>
  <c r="H73" i="121"/>
  <c r="G73" i="121" s="1"/>
  <c r="F73" i="121"/>
  <c r="A73" i="121"/>
  <c r="H72" i="121"/>
  <c r="F72" i="121"/>
  <c r="G72" i="121" s="1"/>
  <c r="A72" i="121"/>
  <c r="H71" i="121"/>
  <c r="G71" i="121" s="1"/>
  <c r="F71" i="121"/>
  <c r="A71" i="121"/>
  <c r="H70" i="121"/>
  <c r="F70" i="121"/>
  <c r="G70" i="121" s="1"/>
  <c r="A70" i="121"/>
  <c r="H69" i="121"/>
  <c r="G69" i="121" s="1"/>
  <c r="F69" i="121"/>
  <c r="A69" i="121"/>
  <c r="H68" i="121"/>
  <c r="F68" i="121"/>
  <c r="G68" i="121" s="1"/>
  <c r="A68" i="121"/>
  <c r="H67" i="121"/>
  <c r="G67" i="121" s="1"/>
  <c r="F67" i="121"/>
  <c r="A67" i="121"/>
  <c r="H66" i="121"/>
  <c r="F66" i="121"/>
  <c r="G66" i="121" s="1"/>
  <c r="A66" i="121"/>
  <c r="H65" i="121"/>
  <c r="G65" i="121" s="1"/>
  <c r="F65" i="121"/>
  <c r="A65" i="121"/>
  <c r="H64" i="121"/>
  <c r="F64" i="121"/>
  <c r="G64" i="121" s="1"/>
  <c r="A64" i="121"/>
  <c r="H63" i="121"/>
  <c r="G63" i="121" s="1"/>
  <c r="F63" i="121"/>
  <c r="A63" i="121"/>
  <c r="H62" i="121"/>
  <c r="F62" i="121"/>
  <c r="G62" i="121" s="1"/>
  <c r="A62" i="121"/>
  <c r="H61" i="121"/>
  <c r="G61" i="121" s="1"/>
  <c r="F61" i="121"/>
  <c r="A61" i="121"/>
  <c r="H60" i="121"/>
  <c r="F60" i="121"/>
  <c r="G60" i="121" s="1"/>
  <c r="A60" i="121"/>
  <c r="H59" i="121"/>
  <c r="G59" i="121" s="1"/>
  <c r="F59" i="121"/>
  <c r="A59" i="121"/>
  <c r="H58" i="121"/>
  <c r="F58" i="121"/>
  <c r="G58" i="121" s="1"/>
  <c r="A58" i="121"/>
  <c r="H57" i="121"/>
  <c r="G57" i="121" s="1"/>
  <c r="F57" i="121"/>
  <c r="A57" i="121"/>
  <c r="H56" i="121"/>
  <c r="F56" i="121"/>
  <c r="G56" i="121" s="1"/>
  <c r="A56" i="121"/>
  <c r="H55" i="121"/>
  <c r="G55" i="121" s="1"/>
  <c r="F55" i="121"/>
  <c r="A55" i="121"/>
  <c r="H54" i="121"/>
  <c r="F54" i="121"/>
  <c r="G54" i="121" s="1"/>
  <c r="A54" i="121"/>
  <c r="H53" i="121"/>
  <c r="G53" i="121" s="1"/>
  <c r="F53" i="121"/>
  <c r="A53" i="121"/>
  <c r="H52" i="121"/>
  <c r="F52" i="121"/>
  <c r="G52" i="121" s="1"/>
  <c r="A52" i="121"/>
  <c r="H51" i="121"/>
  <c r="G51" i="121" s="1"/>
  <c r="F51" i="121"/>
  <c r="A51" i="121"/>
  <c r="H50" i="121"/>
  <c r="F50" i="121"/>
  <c r="G50" i="121" s="1"/>
  <c r="A50" i="121"/>
  <c r="H49" i="121"/>
  <c r="G49" i="121" s="1"/>
  <c r="F49" i="121"/>
  <c r="A49" i="121"/>
  <c r="H48" i="121"/>
  <c r="F48" i="121"/>
  <c r="G48" i="121" s="1"/>
  <c r="A48" i="121"/>
  <c r="H47" i="121"/>
  <c r="G47" i="121" s="1"/>
  <c r="F47" i="121"/>
  <c r="A47" i="121"/>
  <c r="H46" i="121"/>
  <c r="F46" i="121"/>
  <c r="G46" i="121" s="1"/>
  <c r="A46" i="121"/>
  <c r="H45" i="121"/>
  <c r="G45" i="121" s="1"/>
  <c r="F45" i="121"/>
  <c r="A45" i="121"/>
  <c r="H44" i="121"/>
  <c r="F44" i="121"/>
  <c r="G44" i="121" s="1"/>
  <c r="A44" i="121"/>
  <c r="H43" i="121"/>
  <c r="G43" i="121" s="1"/>
  <c r="F43" i="121"/>
  <c r="A43" i="121"/>
  <c r="H42" i="121"/>
  <c r="F42" i="121"/>
  <c r="G42" i="121" s="1"/>
  <c r="A42" i="121"/>
  <c r="H41" i="121"/>
  <c r="G41" i="121" s="1"/>
  <c r="F41" i="121"/>
  <c r="A41" i="121"/>
  <c r="H40" i="121"/>
  <c r="F40" i="121"/>
  <c r="G40" i="121" s="1"/>
  <c r="A40" i="121"/>
  <c r="H39" i="121"/>
  <c r="G39" i="121" s="1"/>
  <c r="F39" i="121"/>
  <c r="A39" i="121"/>
  <c r="H38" i="121"/>
  <c r="F38" i="121"/>
  <c r="G38" i="121" s="1"/>
  <c r="A38" i="121"/>
  <c r="H37" i="121"/>
  <c r="G37" i="121" s="1"/>
  <c r="F37" i="121"/>
  <c r="A37" i="121"/>
  <c r="H36" i="121"/>
  <c r="F36" i="121"/>
  <c r="G36" i="121" s="1"/>
  <c r="A36" i="121"/>
  <c r="H35" i="121"/>
  <c r="G35" i="121" s="1"/>
  <c r="F35" i="121"/>
  <c r="A35" i="121"/>
  <c r="H34" i="121"/>
  <c r="F34" i="121"/>
  <c r="G34" i="121" s="1"/>
  <c r="A34" i="121"/>
  <c r="H33" i="121"/>
  <c r="G33" i="121" s="1"/>
  <c r="F33" i="121"/>
  <c r="A33" i="121"/>
  <c r="H32" i="121"/>
  <c r="F32" i="121"/>
  <c r="G32" i="121" s="1"/>
  <c r="A32" i="121"/>
  <c r="H31" i="121"/>
  <c r="G31" i="121" s="1"/>
  <c r="F31" i="121"/>
  <c r="A31" i="121"/>
  <c r="H30" i="121"/>
  <c r="F30" i="121"/>
  <c r="G30" i="121" s="1"/>
  <c r="A30" i="121"/>
  <c r="H29" i="121"/>
  <c r="G29" i="121" s="1"/>
  <c r="F29" i="121"/>
  <c r="A29" i="121"/>
  <c r="H28" i="121"/>
  <c r="F28" i="121"/>
  <c r="G28" i="121" s="1"/>
  <c r="A28" i="121"/>
  <c r="H27" i="121"/>
  <c r="F27" i="121"/>
  <c r="H26" i="121"/>
  <c r="F26" i="121"/>
  <c r="H25" i="121"/>
  <c r="F25" i="121"/>
  <c r="H24" i="121"/>
  <c r="F24" i="121"/>
  <c r="H23" i="121"/>
  <c r="G23" i="121" s="1"/>
  <c r="F23" i="121"/>
  <c r="H22" i="121"/>
  <c r="F22" i="121"/>
  <c r="H21" i="121"/>
  <c r="F21" i="121"/>
  <c r="H20" i="121"/>
  <c r="F20" i="121"/>
  <c r="H19" i="121"/>
  <c r="F19" i="121"/>
  <c r="H18" i="121"/>
  <c r="F18" i="121"/>
  <c r="H17" i="121"/>
  <c r="F17" i="121"/>
  <c r="H16" i="121"/>
  <c r="F16" i="121"/>
  <c r="G16" i="121" s="1"/>
  <c r="H15" i="121"/>
  <c r="G15" i="121" s="1"/>
  <c r="F15" i="121"/>
  <c r="H14" i="121"/>
  <c r="F14" i="121"/>
  <c r="H13" i="121"/>
  <c r="F13" i="121"/>
  <c r="H12" i="121"/>
  <c r="F12" i="121"/>
  <c r="G12" i="121" s="1"/>
  <c r="H11" i="121"/>
  <c r="F11" i="121"/>
  <c r="H10" i="121"/>
  <c r="F10" i="121"/>
  <c r="H9" i="121"/>
  <c r="F9" i="121"/>
  <c r="H8" i="121"/>
  <c r="F8" i="121"/>
  <c r="H7" i="121"/>
  <c r="F7" i="121"/>
  <c r="H6" i="121"/>
  <c r="F6" i="121"/>
  <c r="G6" i="121" s="1"/>
  <c r="H5" i="121"/>
  <c r="F5" i="121"/>
  <c r="H4" i="121"/>
  <c r="F4" i="121"/>
  <c r="H3" i="121"/>
  <c r="G3" i="121" s="1"/>
  <c r="F3" i="121"/>
  <c r="H160" i="120"/>
  <c r="F160" i="120"/>
  <c r="G160" i="120" s="1"/>
  <c r="A160" i="120"/>
  <c r="H159" i="120"/>
  <c r="G159" i="120"/>
  <c r="F159" i="120"/>
  <c r="A159" i="120"/>
  <c r="H158" i="120"/>
  <c r="F158" i="120"/>
  <c r="G158" i="120" s="1"/>
  <c r="A158" i="120"/>
  <c r="H157" i="120"/>
  <c r="G157" i="120"/>
  <c r="F157" i="120"/>
  <c r="A157" i="120"/>
  <c r="H156" i="120"/>
  <c r="F156" i="120"/>
  <c r="G156" i="120" s="1"/>
  <c r="A156" i="120"/>
  <c r="H155" i="120"/>
  <c r="G155" i="120"/>
  <c r="F155" i="120"/>
  <c r="A155" i="120"/>
  <c r="H154" i="120"/>
  <c r="F154" i="120"/>
  <c r="G154" i="120" s="1"/>
  <c r="A154" i="120"/>
  <c r="H153" i="120"/>
  <c r="G153" i="120"/>
  <c r="F153" i="120"/>
  <c r="A153" i="120"/>
  <c r="H152" i="120"/>
  <c r="F152" i="120"/>
  <c r="G152" i="120" s="1"/>
  <c r="A152" i="120"/>
  <c r="H151" i="120"/>
  <c r="G151" i="120"/>
  <c r="F151" i="120"/>
  <c r="A151" i="120"/>
  <c r="H150" i="120"/>
  <c r="F150" i="120"/>
  <c r="G150" i="120" s="1"/>
  <c r="A150" i="120"/>
  <c r="H149" i="120"/>
  <c r="G149" i="120"/>
  <c r="F149" i="120"/>
  <c r="A149" i="120"/>
  <c r="H148" i="120"/>
  <c r="F148" i="120"/>
  <c r="G148" i="120" s="1"/>
  <c r="A148" i="120"/>
  <c r="H147" i="120"/>
  <c r="G147" i="120"/>
  <c r="F147" i="120"/>
  <c r="A147" i="120"/>
  <c r="H146" i="120"/>
  <c r="F146" i="120"/>
  <c r="G146" i="120" s="1"/>
  <c r="A146" i="120"/>
  <c r="H145" i="120"/>
  <c r="G145" i="120"/>
  <c r="F145" i="120"/>
  <c r="A145" i="120"/>
  <c r="H144" i="120"/>
  <c r="F144" i="120"/>
  <c r="G144" i="120" s="1"/>
  <c r="A144" i="120"/>
  <c r="H143" i="120"/>
  <c r="G143" i="120"/>
  <c r="F143" i="120"/>
  <c r="A143" i="120"/>
  <c r="H142" i="120"/>
  <c r="F142" i="120"/>
  <c r="G142" i="120" s="1"/>
  <c r="A142" i="120"/>
  <c r="H141" i="120"/>
  <c r="G141" i="120"/>
  <c r="F141" i="120"/>
  <c r="A141" i="120"/>
  <c r="H140" i="120"/>
  <c r="F140" i="120"/>
  <c r="G140" i="120" s="1"/>
  <c r="A140" i="120"/>
  <c r="H139" i="120"/>
  <c r="G139" i="120"/>
  <c r="F139" i="120"/>
  <c r="A139" i="120"/>
  <c r="H138" i="120"/>
  <c r="F138" i="120"/>
  <c r="G138" i="120" s="1"/>
  <c r="A138" i="120"/>
  <c r="H137" i="120"/>
  <c r="G137" i="120"/>
  <c r="F137" i="120"/>
  <c r="A137" i="120"/>
  <c r="H136" i="120"/>
  <c r="F136" i="120"/>
  <c r="G136" i="120" s="1"/>
  <c r="A136" i="120"/>
  <c r="H135" i="120"/>
  <c r="G135" i="120"/>
  <c r="F135" i="120"/>
  <c r="A135" i="120"/>
  <c r="H134" i="120"/>
  <c r="F134" i="120"/>
  <c r="G134" i="120" s="1"/>
  <c r="A134" i="120"/>
  <c r="H133" i="120"/>
  <c r="G133" i="120"/>
  <c r="F133" i="120"/>
  <c r="A133" i="120"/>
  <c r="H132" i="120"/>
  <c r="F132" i="120"/>
  <c r="G132" i="120" s="1"/>
  <c r="A132" i="120"/>
  <c r="H131" i="120"/>
  <c r="G131" i="120"/>
  <c r="F131" i="120"/>
  <c r="A131" i="120"/>
  <c r="H130" i="120"/>
  <c r="F130" i="120"/>
  <c r="G130" i="120" s="1"/>
  <c r="A130" i="120"/>
  <c r="H129" i="120"/>
  <c r="G129" i="120"/>
  <c r="F129" i="120"/>
  <c r="A129" i="120"/>
  <c r="H128" i="120"/>
  <c r="F128" i="120"/>
  <c r="G128" i="120" s="1"/>
  <c r="A128" i="120"/>
  <c r="H127" i="120"/>
  <c r="G127" i="120"/>
  <c r="F127" i="120"/>
  <c r="A127" i="120"/>
  <c r="H126" i="120"/>
  <c r="F126" i="120"/>
  <c r="G126" i="120" s="1"/>
  <c r="A126" i="120"/>
  <c r="H125" i="120"/>
  <c r="G125" i="120"/>
  <c r="F125" i="120"/>
  <c r="A125" i="120"/>
  <c r="H124" i="120"/>
  <c r="F124" i="120"/>
  <c r="G124" i="120" s="1"/>
  <c r="A124" i="120"/>
  <c r="H123" i="120"/>
  <c r="G123" i="120"/>
  <c r="F123" i="120"/>
  <c r="A123" i="120"/>
  <c r="H122" i="120"/>
  <c r="F122" i="120"/>
  <c r="G122" i="120" s="1"/>
  <c r="A122" i="120"/>
  <c r="H121" i="120"/>
  <c r="G121" i="120"/>
  <c r="F121" i="120"/>
  <c r="A121" i="120"/>
  <c r="H120" i="120"/>
  <c r="F120" i="120"/>
  <c r="G120" i="120" s="1"/>
  <c r="A120" i="120"/>
  <c r="H119" i="120"/>
  <c r="G119" i="120"/>
  <c r="F119" i="120"/>
  <c r="A119" i="120"/>
  <c r="H118" i="120"/>
  <c r="F118" i="120"/>
  <c r="G118" i="120" s="1"/>
  <c r="A118" i="120"/>
  <c r="H117" i="120"/>
  <c r="G117" i="120"/>
  <c r="F117" i="120"/>
  <c r="A117" i="120"/>
  <c r="H116" i="120"/>
  <c r="F116" i="120"/>
  <c r="G116" i="120" s="1"/>
  <c r="A116" i="120"/>
  <c r="H115" i="120"/>
  <c r="G115" i="120"/>
  <c r="F115" i="120"/>
  <c r="A115" i="120"/>
  <c r="H114" i="120"/>
  <c r="F114" i="120"/>
  <c r="G114" i="120" s="1"/>
  <c r="A114" i="120"/>
  <c r="H113" i="120"/>
  <c r="G113" i="120"/>
  <c r="F113" i="120"/>
  <c r="A113" i="120"/>
  <c r="H112" i="120"/>
  <c r="F112" i="120"/>
  <c r="G112" i="120" s="1"/>
  <c r="A112" i="120"/>
  <c r="H111" i="120"/>
  <c r="G111" i="120"/>
  <c r="F111" i="120"/>
  <c r="A111" i="120"/>
  <c r="H110" i="120"/>
  <c r="F110" i="120"/>
  <c r="G110" i="120" s="1"/>
  <c r="A110" i="120"/>
  <c r="H109" i="120"/>
  <c r="G109" i="120"/>
  <c r="F109" i="120"/>
  <c r="A109" i="120"/>
  <c r="H108" i="120"/>
  <c r="F108" i="120"/>
  <c r="G108" i="120" s="1"/>
  <c r="A108" i="120"/>
  <c r="H107" i="120"/>
  <c r="G107" i="120"/>
  <c r="F107" i="120"/>
  <c r="A107" i="120"/>
  <c r="H106" i="120"/>
  <c r="F106" i="120"/>
  <c r="G106" i="120" s="1"/>
  <c r="A106" i="120"/>
  <c r="H105" i="120"/>
  <c r="G105" i="120"/>
  <c r="F105" i="120"/>
  <c r="A105" i="120"/>
  <c r="H104" i="120"/>
  <c r="F104" i="120"/>
  <c r="G104" i="120" s="1"/>
  <c r="A104" i="120"/>
  <c r="H103" i="120"/>
  <c r="G103" i="120"/>
  <c r="F103" i="120"/>
  <c r="A103" i="120"/>
  <c r="H102" i="120"/>
  <c r="F102" i="120"/>
  <c r="G102" i="120" s="1"/>
  <c r="A102" i="120"/>
  <c r="H101" i="120"/>
  <c r="G101" i="120"/>
  <c r="F101" i="120"/>
  <c r="A101" i="120"/>
  <c r="H100" i="120"/>
  <c r="F100" i="120"/>
  <c r="G100" i="120" s="1"/>
  <c r="A100" i="120"/>
  <c r="H99" i="120"/>
  <c r="G99" i="120"/>
  <c r="F99" i="120"/>
  <c r="A99" i="120"/>
  <c r="H98" i="120"/>
  <c r="F98" i="120"/>
  <c r="G98" i="120" s="1"/>
  <c r="A98" i="120"/>
  <c r="H97" i="120"/>
  <c r="G97" i="120"/>
  <c r="F97" i="120"/>
  <c r="A97" i="120"/>
  <c r="H96" i="120"/>
  <c r="F96" i="120"/>
  <c r="G96" i="120" s="1"/>
  <c r="A96" i="120"/>
  <c r="H95" i="120"/>
  <c r="G95" i="120"/>
  <c r="F95" i="120"/>
  <c r="A95" i="120"/>
  <c r="H94" i="120"/>
  <c r="F94" i="120"/>
  <c r="G94" i="120" s="1"/>
  <c r="A94" i="120"/>
  <c r="H93" i="120"/>
  <c r="G93" i="120"/>
  <c r="F93" i="120"/>
  <c r="A93" i="120"/>
  <c r="H92" i="120"/>
  <c r="F92" i="120"/>
  <c r="G92" i="120" s="1"/>
  <c r="A92" i="120"/>
  <c r="H91" i="120"/>
  <c r="G91" i="120"/>
  <c r="F91" i="120"/>
  <c r="A91" i="120"/>
  <c r="H90" i="120"/>
  <c r="F90" i="120"/>
  <c r="G90" i="120" s="1"/>
  <c r="A90" i="120"/>
  <c r="H89" i="120"/>
  <c r="G89" i="120"/>
  <c r="F89" i="120"/>
  <c r="A89" i="120"/>
  <c r="H88" i="120"/>
  <c r="F88" i="120"/>
  <c r="G88" i="120" s="1"/>
  <c r="A88" i="120"/>
  <c r="H87" i="120"/>
  <c r="G87" i="120"/>
  <c r="F87" i="120"/>
  <c r="A87" i="120"/>
  <c r="H86" i="120"/>
  <c r="F86" i="120"/>
  <c r="G86" i="120" s="1"/>
  <c r="A86" i="120"/>
  <c r="H85" i="120"/>
  <c r="G85" i="120"/>
  <c r="F85" i="120"/>
  <c r="A85" i="120"/>
  <c r="H84" i="120"/>
  <c r="F84" i="120"/>
  <c r="G84" i="120" s="1"/>
  <c r="A84" i="120"/>
  <c r="H83" i="120"/>
  <c r="G83" i="120"/>
  <c r="F83" i="120"/>
  <c r="A83" i="120"/>
  <c r="H82" i="120"/>
  <c r="F82" i="120"/>
  <c r="G82" i="120" s="1"/>
  <c r="A82" i="120"/>
  <c r="H81" i="120"/>
  <c r="G81" i="120"/>
  <c r="F81" i="120"/>
  <c r="A81" i="120"/>
  <c r="H80" i="120"/>
  <c r="F80" i="120"/>
  <c r="G80" i="120" s="1"/>
  <c r="A80" i="120"/>
  <c r="H79" i="120"/>
  <c r="G79" i="120"/>
  <c r="F79" i="120"/>
  <c r="A79" i="120"/>
  <c r="H78" i="120"/>
  <c r="F78" i="120"/>
  <c r="G78" i="120" s="1"/>
  <c r="A78" i="120"/>
  <c r="H77" i="120"/>
  <c r="G77" i="120" s="1"/>
  <c r="F77" i="120"/>
  <c r="A77" i="120"/>
  <c r="H76" i="120"/>
  <c r="F76" i="120"/>
  <c r="G76" i="120" s="1"/>
  <c r="A76" i="120"/>
  <c r="H75" i="120"/>
  <c r="G75" i="120" s="1"/>
  <c r="F75" i="120"/>
  <c r="A75" i="120"/>
  <c r="H74" i="120"/>
  <c r="F74" i="120"/>
  <c r="G74" i="120" s="1"/>
  <c r="A74" i="120"/>
  <c r="H73" i="120"/>
  <c r="G73" i="120" s="1"/>
  <c r="F73" i="120"/>
  <c r="A73" i="120"/>
  <c r="H72" i="120"/>
  <c r="F72" i="120"/>
  <c r="G72" i="120" s="1"/>
  <c r="A72" i="120"/>
  <c r="H71" i="120"/>
  <c r="G71" i="120" s="1"/>
  <c r="F71" i="120"/>
  <c r="A71" i="120"/>
  <c r="H70" i="120"/>
  <c r="F70" i="120"/>
  <c r="G70" i="120" s="1"/>
  <c r="A70" i="120"/>
  <c r="H69" i="120"/>
  <c r="G69" i="120" s="1"/>
  <c r="F69" i="120"/>
  <c r="A69" i="120"/>
  <c r="H68" i="120"/>
  <c r="F68" i="120"/>
  <c r="G68" i="120" s="1"/>
  <c r="A68" i="120"/>
  <c r="H67" i="120"/>
  <c r="G67" i="120" s="1"/>
  <c r="F67" i="120"/>
  <c r="A67" i="120"/>
  <c r="H66" i="120"/>
  <c r="F66" i="120"/>
  <c r="G66" i="120" s="1"/>
  <c r="A66" i="120"/>
  <c r="H65" i="120"/>
  <c r="G65" i="120" s="1"/>
  <c r="F65" i="120"/>
  <c r="A65" i="120"/>
  <c r="H64" i="120"/>
  <c r="F64" i="120"/>
  <c r="G64" i="120" s="1"/>
  <c r="A64" i="120"/>
  <c r="H63" i="120"/>
  <c r="G63" i="120" s="1"/>
  <c r="F63" i="120"/>
  <c r="A63" i="120"/>
  <c r="H62" i="120"/>
  <c r="F62" i="120"/>
  <c r="G62" i="120" s="1"/>
  <c r="A62" i="120"/>
  <c r="H61" i="120"/>
  <c r="G61" i="120" s="1"/>
  <c r="F61" i="120"/>
  <c r="A61" i="120"/>
  <c r="H60" i="120"/>
  <c r="F60" i="120"/>
  <c r="G60" i="120" s="1"/>
  <c r="A60" i="120"/>
  <c r="H59" i="120"/>
  <c r="G59" i="120" s="1"/>
  <c r="F59" i="120"/>
  <c r="A59" i="120"/>
  <c r="H58" i="120"/>
  <c r="F58" i="120"/>
  <c r="G58" i="120" s="1"/>
  <c r="A58" i="120"/>
  <c r="H57" i="120"/>
  <c r="G57" i="120" s="1"/>
  <c r="F57" i="120"/>
  <c r="A57" i="120"/>
  <c r="H56" i="120"/>
  <c r="F56" i="120"/>
  <c r="G56" i="120" s="1"/>
  <c r="A56" i="120"/>
  <c r="H55" i="120"/>
  <c r="G55" i="120" s="1"/>
  <c r="F55" i="120"/>
  <c r="A55" i="120"/>
  <c r="H54" i="120"/>
  <c r="F54" i="120"/>
  <c r="G54" i="120" s="1"/>
  <c r="A54" i="120"/>
  <c r="H53" i="120"/>
  <c r="G53" i="120" s="1"/>
  <c r="F53" i="120"/>
  <c r="A53" i="120"/>
  <c r="H52" i="120"/>
  <c r="F52" i="120"/>
  <c r="G52" i="120" s="1"/>
  <c r="A52" i="120"/>
  <c r="H51" i="120"/>
  <c r="G51" i="120" s="1"/>
  <c r="F51" i="120"/>
  <c r="A51" i="120"/>
  <c r="H50" i="120"/>
  <c r="F50" i="120"/>
  <c r="G50" i="120" s="1"/>
  <c r="A50" i="120"/>
  <c r="H49" i="120"/>
  <c r="G49" i="120" s="1"/>
  <c r="F49" i="120"/>
  <c r="A49" i="120"/>
  <c r="H48" i="120"/>
  <c r="F48" i="120"/>
  <c r="G48" i="120" s="1"/>
  <c r="A48" i="120"/>
  <c r="H47" i="120"/>
  <c r="G47" i="120" s="1"/>
  <c r="F47" i="120"/>
  <c r="A47" i="120"/>
  <c r="H46" i="120"/>
  <c r="F46" i="120"/>
  <c r="G46" i="120" s="1"/>
  <c r="A46" i="120"/>
  <c r="H45" i="120"/>
  <c r="G45" i="120" s="1"/>
  <c r="F45" i="120"/>
  <c r="A45" i="120"/>
  <c r="H44" i="120"/>
  <c r="F44" i="120"/>
  <c r="G44" i="120" s="1"/>
  <c r="A44" i="120"/>
  <c r="H43" i="120"/>
  <c r="G43" i="120" s="1"/>
  <c r="F43" i="120"/>
  <c r="A43" i="120"/>
  <c r="H42" i="120"/>
  <c r="F42" i="120"/>
  <c r="G42" i="120" s="1"/>
  <c r="A42" i="120"/>
  <c r="H41" i="120"/>
  <c r="G41" i="120" s="1"/>
  <c r="F41" i="120"/>
  <c r="A41" i="120"/>
  <c r="H40" i="120"/>
  <c r="F40" i="120"/>
  <c r="G40" i="120" s="1"/>
  <c r="A40" i="120"/>
  <c r="H39" i="120"/>
  <c r="G39" i="120" s="1"/>
  <c r="F39" i="120"/>
  <c r="A39" i="120"/>
  <c r="H38" i="120"/>
  <c r="F38" i="120"/>
  <c r="G38" i="120" s="1"/>
  <c r="A38" i="120"/>
  <c r="H37" i="120"/>
  <c r="G37" i="120" s="1"/>
  <c r="F37" i="120"/>
  <c r="A37" i="120"/>
  <c r="H36" i="120"/>
  <c r="F36" i="120"/>
  <c r="G36" i="120" s="1"/>
  <c r="A36" i="120"/>
  <c r="H35" i="120"/>
  <c r="G35" i="120" s="1"/>
  <c r="F35" i="120"/>
  <c r="A35" i="120"/>
  <c r="H34" i="120"/>
  <c r="F34" i="120"/>
  <c r="G34" i="120" s="1"/>
  <c r="A34" i="120"/>
  <c r="H33" i="120"/>
  <c r="G33" i="120" s="1"/>
  <c r="F33" i="120"/>
  <c r="A33" i="120"/>
  <c r="H32" i="120"/>
  <c r="F32" i="120"/>
  <c r="G32" i="120" s="1"/>
  <c r="A32" i="120"/>
  <c r="H31" i="120"/>
  <c r="G31" i="120" s="1"/>
  <c r="F31" i="120"/>
  <c r="A31" i="120"/>
  <c r="H30" i="120"/>
  <c r="F30" i="120"/>
  <c r="G30" i="120" s="1"/>
  <c r="A30" i="120"/>
  <c r="H29" i="120"/>
  <c r="G29" i="120" s="1"/>
  <c r="F29" i="120"/>
  <c r="A29" i="120"/>
  <c r="H28" i="120"/>
  <c r="F28" i="120"/>
  <c r="G28" i="120" s="1"/>
  <c r="A28" i="120"/>
  <c r="H27" i="120"/>
  <c r="F27" i="120"/>
  <c r="H26" i="120"/>
  <c r="F26" i="120"/>
  <c r="G26" i="120" s="1"/>
  <c r="H25" i="120"/>
  <c r="F25" i="120"/>
  <c r="H24" i="120"/>
  <c r="F24" i="120"/>
  <c r="H23" i="120"/>
  <c r="F23" i="120"/>
  <c r="H22" i="120"/>
  <c r="F22" i="120"/>
  <c r="G22" i="120" s="1"/>
  <c r="H21" i="120"/>
  <c r="F21" i="120"/>
  <c r="H20" i="120"/>
  <c r="F20" i="120"/>
  <c r="H19" i="120"/>
  <c r="F19" i="120"/>
  <c r="H18" i="120"/>
  <c r="F18" i="120"/>
  <c r="H17" i="120"/>
  <c r="F17" i="120"/>
  <c r="H16" i="120"/>
  <c r="F16" i="120"/>
  <c r="H15" i="120"/>
  <c r="F15" i="120"/>
  <c r="H14" i="120"/>
  <c r="F14" i="120"/>
  <c r="G14" i="120" s="1"/>
  <c r="H13" i="120"/>
  <c r="G13" i="120" s="1"/>
  <c r="F13" i="120"/>
  <c r="H12" i="120"/>
  <c r="F12" i="120"/>
  <c r="H11" i="120"/>
  <c r="G11" i="120" s="1"/>
  <c r="F11" i="120"/>
  <c r="H10" i="120"/>
  <c r="F10" i="120"/>
  <c r="H9" i="120"/>
  <c r="F9" i="120"/>
  <c r="H8" i="120"/>
  <c r="F8" i="120"/>
  <c r="H7" i="120"/>
  <c r="F7" i="120"/>
  <c r="H6" i="120"/>
  <c r="F6" i="120"/>
  <c r="G6" i="120" s="1"/>
  <c r="H5" i="120"/>
  <c r="F5" i="120"/>
  <c r="H4" i="120"/>
  <c r="F4" i="120"/>
  <c r="H3" i="120"/>
  <c r="F3" i="120"/>
  <c r="H160" i="119"/>
  <c r="F160" i="119"/>
  <c r="G160" i="119" s="1"/>
  <c r="A160" i="119"/>
  <c r="H159" i="119"/>
  <c r="G159" i="119" s="1"/>
  <c r="F159" i="119"/>
  <c r="A159" i="119"/>
  <c r="H158" i="119"/>
  <c r="F158" i="119"/>
  <c r="G158" i="119" s="1"/>
  <c r="A158" i="119"/>
  <c r="H157" i="119"/>
  <c r="G157" i="119" s="1"/>
  <c r="F157" i="119"/>
  <c r="A157" i="119"/>
  <c r="H156" i="119"/>
  <c r="F156" i="119"/>
  <c r="G156" i="119" s="1"/>
  <c r="A156" i="119"/>
  <c r="H155" i="119"/>
  <c r="G155" i="119" s="1"/>
  <c r="F155" i="119"/>
  <c r="A155" i="119"/>
  <c r="H154" i="119"/>
  <c r="F154" i="119"/>
  <c r="G154" i="119" s="1"/>
  <c r="A154" i="119"/>
  <c r="H153" i="119"/>
  <c r="G153" i="119" s="1"/>
  <c r="F153" i="119"/>
  <c r="A153" i="119"/>
  <c r="H152" i="119"/>
  <c r="F152" i="119"/>
  <c r="G152" i="119" s="1"/>
  <c r="A152" i="119"/>
  <c r="H151" i="119"/>
  <c r="G151" i="119" s="1"/>
  <c r="F151" i="119"/>
  <c r="A151" i="119"/>
  <c r="H150" i="119"/>
  <c r="F150" i="119"/>
  <c r="G150" i="119" s="1"/>
  <c r="A150" i="119"/>
  <c r="H149" i="119"/>
  <c r="G149" i="119" s="1"/>
  <c r="F149" i="119"/>
  <c r="A149" i="119"/>
  <c r="H148" i="119"/>
  <c r="F148" i="119"/>
  <c r="G148" i="119" s="1"/>
  <c r="A148" i="119"/>
  <c r="H147" i="119"/>
  <c r="G147" i="119" s="1"/>
  <c r="F147" i="119"/>
  <c r="A147" i="119"/>
  <c r="H146" i="119"/>
  <c r="F146" i="119"/>
  <c r="G146" i="119" s="1"/>
  <c r="A146" i="119"/>
  <c r="H145" i="119"/>
  <c r="G145" i="119" s="1"/>
  <c r="F145" i="119"/>
  <c r="A145" i="119"/>
  <c r="H144" i="119"/>
  <c r="F144" i="119"/>
  <c r="G144" i="119" s="1"/>
  <c r="A144" i="119"/>
  <c r="H143" i="119"/>
  <c r="G143" i="119" s="1"/>
  <c r="F143" i="119"/>
  <c r="A143" i="119"/>
  <c r="H142" i="119"/>
  <c r="F142" i="119"/>
  <c r="G142" i="119" s="1"/>
  <c r="A142" i="119"/>
  <c r="H141" i="119"/>
  <c r="G141" i="119" s="1"/>
  <c r="F141" i="119"/>
  <c r="A141" i="119"/>
  <c r="H140" i="119"/>
  <c r="F140" i="119"/>
  <c r="G140" i="119" s="1"/>
  <c r="A140" i="119"/>
  <c r="H139" i="119"/>
  <c r="G139" i="119" s="1"/>
  <c r="F139" i="119"/>
  <c r="A139" i="119"/>
  <c r="H138" i="119"/>
  <c r="F138" i="119"/>
  <c r="G138" i="119" s="1"/>
  <c r="A138" i="119"/>
  <c r="H137" i="119"/>
  <c r="G137" i="119" s="1"/>
  <c r="F137" i="119"/>
  <c r="A137" i="119"/>
  <c r="H136" i="119"/>
  <c r="F136" i="119"/>
  <c r="G136" i="119" s="1"/>
  <c r="A136" i="119"/>
  <c r="H135" i="119"/>
  <c r="G135" i="119" s="1"/>
  <c r="F135" i="119"/>
  <c r="A135" i="119"/>
  <c r="H134" i="119"/>
  <c r="F134" i="119"/>
  <c r="G134" i="119" s="1"/>
  <c r="A134" i="119"/>
  <c r="H133" i="119"/>
  <c r="G133" i="119" s="1"/>
  <c r="F133" i="119"/>
  <c r="A133" i="119"/>
  <c r="H132" i="119"/>
  <c r="F132" i="119"/>
  <c r="G132" i="119" s="1"/>
  <c r="A132" i="119"/>
  <c r="H131" i="119"/>
  <c r="G131" i="119" s="1"/>
  <c r="F131" i="119"/>
  <c r="A131" i="119"/>
  <c r="H130" i="119"/>
  <c r="F130" i="119"/>
  <c r="G130" i="119" s="1"/>
  <c r="A130" i="119"/>
  <c r="H129" i="119"/>
  <c r="G129" i="119" s="1"/>
  <c r="F129" i="119"/>
  <c r="A129" i="119"/>
  <c r="H128" i="119"/>
  <c r="F128" i="119"/>
  <c r="G128" i="119" s="1"/>
  <c r="A128" i="119"/>
  <c r="H127" i="119"/>
  <c r="G127" i="119" s="1"/>
  <c r="F127" i="119"/>
  <c r="A127" i="119"/>
  <c r="H126" i="119"/>
  <c r="F126" i="119"/>
  <c r="G126" i="119" s="1"/>
  <c r="A126" i="119"/>
  <c r="H125" i="119"/>
  <c r="G125" i="119" s="1"/>
  <c r="F125" i="119"/>
  <c r="A125" i="119"/>
  <c r="H124" i="119"/>
  <c r="F124" i="119"/>
  <c r="G124" i="119" s="1"/>
  <c r="A124" i="119"/>
  <c r="H123" i="119"/>
  <c r="G123" i="119" s="1"/>
  <c r="F123" i="119"/>
  <c r="A123" i="119"/>
  <c r="H122" i="119"/>
  <c r="F122" i="119"/>
  <c r="G122" i="119" s="1"/>
  <c r="A122" i="119"/>
  <c r="H121" i="119"/>
  <c r="G121" i="119" s="1"/>
  <c r="F121" i="119"/>
  <c r="A121" i="119"/>
  <c r="H120" i="119"/>
  <c r="F120" i="119"/>
  <c r="G120" i="119" s="1"/>
  <c r="A120" i="119"/>
  <c r="H119" i="119"/>
  <c r="G119" i="119" s="1"/>
  <c r="F119" i="119"/>
  <c r="A119" i="119"/>
  <c r="H118" i="119"/>
  <c r="F118" i="119"/>
  <c r="G118" i="119" s="1"/>
  <c r="A118" i="119"/>
  <c r="H117" i="119"/>
  <c r="G117" i="119" s="1"/>
  <c r="F117" i="119"/>
  <c r="A117" i="119"/>
  <c r="H116" i="119"/>
  <c r="F116" i="119"/>
  <c r="G116" i="119" s="1"/>
  <c r="A116" i="119"/>
  <c r="H115" i="119"/>
  <c r="G115" i="119" s="1"/>
  <c r="F115" i="119"/>
  <c r="A115" i="119"/>
  <c r="H114" i="119"/>
  <c r="F114" i="119"/>
  <c r="G114" i="119" s="1"/>
  <c r="A114" i="119"/>
  <c r="H113" i="119"/>
  <c r="G113" i="119" s="1"/>
  <c r="F113" i="119"/>
  <c r="A113" i="119"/>
  <c r="H112" i="119"/>
  <c r="F112" i="119"/>
  <c r="G112" i="119" s="1"/>
  <c r="A112" i="119"/>
  <c r="H111" i="119"/>
  <c r="G111" i="119" s="1"/>
  <c r="F111" i="119"/>
  <c r="A111" i="119"/>
  <c r="H110" i="119"/>
  <c r="F110" i="119"/>
  <c r="G110" i="119" s="1"/>
  <c r="A110" i="119"/>
  <c r="H109" i="119"/>
  <c r="G109" i="119" s="1"/>
  <c r="F109" i="119"/>
  <c r="A109" i="119"/>
  <c r="H108" i="119"/>
  <c r="F108" i="119"/>
  <c r="G108" i="119" s="1"/>
  <c r="A108" i="119"/>
  <c r="H107" i="119"/>
  <c r="G107" i="119" s="1"/>
  <c r="F107" i="119"/>
  <c r="A107" i="119"/>
  <c r="H106" i="119"/>
  <c r="F106" i="119"/>
  <c r="G106" i="119" s="1"/>
  <c r="A106" i="119"/>
  <c r="H105" i="119"/>
  <c r="G105" i="119" s="1"/>
  <c r="F105" i="119"/>
  <c r="A105" i="119"/>
  <c r="H104" i="119"/>
  <c r="F104" i="119"/>
  <c r="G104" i="119" s="1"/>
  <c r="A104" i="119"/>
  <c r="H103" i="119"/>
  <c r="G103" i="119" s="1"/>
  <c r="F103" i="119"/>
  <c r="A103" i="119"/>
  <c r="H102" i="119"/>
  <c r="F102" i="119"/>
  <c r="G102" i="119" s="1"/>
  <c r="A102" i="119"/>
  <c r="H101" i="119"/>
  <c r="G101" i="119" s="1"/>
  <c r="F101" i="119"/>
  <c r="A101" i="119"/>
  <c r="H100" i="119"/>
  <c r="F100" i="119"/>
  <c r="G100" i="119" s="1"/>
  <c r="A100" i="119"/>
  <c r="H99" i="119"/>
  <c r="G99" i="119" s="1"/>
  <c r="F99" i="119"/>
  <c r="A99" i="119"/>
  <c r="H98" i="119"/>
  <c r="F98" i="119"/>
  <c r="G98" i="119" s="1"/>
  <c r="A98" i="119"/>
  <c r="H97" i="119"/>
  <c r="G97" i="119" s="1"/>
  <c r="F97" i="119"/>
  <c r="A97" i="119"/>
  <c r="H96" i="119"/>
  <c r="F96" i="119"/>
  <c r="G96" i="119" s="1"/>
  <c r="A96" i="119"/>
  <c r="H95" i="119"/>
  <c r="G95" i="119" s="1"/>
  <c r="F95" i="119"/>
  <c r="A95" i="119"/>
  <c r="H94" i="119"/>
  <c r="F94" i="119"/>
  <c r="G94" i="119" s="1"/>
  <c r="A94" i="119"/>
  <c r="H93" i="119"/>
  <c r="G93" i="119" s="1"/>
  <c r="F93" i="119"/>
  <c r="A93" i="119"/>
  <c r="H92" i="119"/>
  <c r="F92" i="119"/>
  <c r="G92" i="119" s="1"/>
  <c r="A92" i="119"/>
  <c r="H91" i="119"/>
  <c r="G91" i="119" s="1"/>
  <c r="F91" i="119"/>
  <c r="A91" i="119"/>
  <c r="H90" i="119"/>
  <c r="F90" i="119"/>
  <c r="G90" i="119" s="1"/>
  <c r="A90" i="119"/>
  <c r="H89" i="119"/>
  <c r="G89" i="119" s="1"/>
  <c r="F89" i="119"/>
  <c r="A89" i="119"/>
  <c r="H88" i="119"/>
  <c r="F88" i="119"/>
  <c r="G88" i="119" s="1"/>
  <c r="A88" i="119"/>
  <c r="H87" i="119"/>
  <c r="G87" i="119" s="1"/>
  <c r="F87" i="119"/>
  <c r="A87" i="119"/>
  <c r="H86" i="119"/>
  <c r="F86" i="119"/>
  <c r="G86" i="119" s="1"/>
  <c r="A86" i="119"/>
  <c r="H85" i="119"/>
  <c r="G85" i="119" s="1"/>
  <c r="F85" i="119"/>
  <c r="A85" i="119"/>
  <c r="H84" i="119"/>
  <c r="F84" i="119"/>
  <c r="G84" i="119" s="1"/>
  <c r="A84" i="119"/>
  <c r="H83" i="119"/>
  <c r="G83" i="119" s="1"/>
  <c r="F83" i="119"/>
  <c r="A83" i="119"/>
  <c r="H82" i="119"/>
  <c r="F82" i="119"/>
  <c r="G82" i="119" s="1"/>
  <c r="A82" i="119"/>
  <c r="H81" i="119"/>
  <c r="G81" i="119" s="1"/>
  <c r="F81" i="119"/>
  <c r="A81" i="119"/>
  <c r="H80" i="119"/>
  <c r="F80" i="119"/>
  <c r="G80" i="119" s="1"/>
  <c r="A80" i="119"/>
  <c r="H79" i="119"/>
  <c r="G79" i="119" s="1"/>
  <c r="F79" i="119"/>
  <c r="A79" i="119"/>
  <c r="H78" i="119"/>
  <c r="F78" i="119"/>
  <c r="G78" i="119" s="1"/>
  <c r="A78" i="119"/>
  <c r="H77" i="119"/>
  <c r="G77" i="119" s="1"/>
  <c r="F77" i="119"/>
  <c r="A77" i="119"/>
  <c r="H76" i="119"/>
  <c r="F76" i="119"/>
  <c r="G76" i="119" s="1"/>
  <c r="A76" i="119"/>
  <c r="H75" i="119"/>
  <c r="G75" i="119" s="1"/>
  <c r="F75" i="119"/>
  <c r="A75" i="119"/>
  <c r="H74" i="119"/>
  <c r="F74" i="119"/>
  <c r="G74" i="119" s="1"/>
  <c r="A74" i="119"/>
  <c r="H73" i="119"/>
  <c r="G73" i="119" s="1"/>
  <c r="F73" i="119"/>
  <c r="A73" i="119"/>
  <c r="H72" i="119"/>
  <c r="F72" i="119"/>
  <c r="G72" i="119" s="1"/>
  <c r="A72" i="119"/>
  <c r="H71" i="119"/>
  <c r="G71" i="119" s="1"/>
  <c r="F71" i="119"/>
  <c r="A71" i="119"/>
  <c r="H70" i="119"/>
  <c r="F70" i="119"/>
  <c r="G70" i="119" s="1"/>
  <c r="A70" i="119"/>
  <c r="H69" i="119"/>
  <c r="G69" i="119" s="1"/>
  <c r="F69" i="119"/>
  <c r="A69" i="119"/>
  <c r="H68" i="119"/>
  <c r="F68" i="119"/>
  <c r="G68" i="119" s="1"/>
  <c r="A68" i="119"/>
  <c r="H67" i="119"/>
  <c r="G67" i="119" s="1"/>
  <c r="F67" i="119"/>
  <c r="A67" i="119"/>
  <c r="H66" i="119"/>
  <c r="F66" i="119"/>
  <c r="G66" i="119" s="1"/>
  <c r="A66" i="119"/>
  <c r="H65" i="119"/>
  <c r="G65" i="119" s="1"/>
  <c r="F65" i="119"/>
  <c r="A65" i="119"/>
  <c r="H64" i="119"/>
  <c r="F64" i="119"/>
  <c r="G64" i="119" s="1"/>
  <c r="A64" i="119"/>
  <c r="H63" i="119"/>
  <c r="G63" i="119" s="1"/>
  <c r="F63" i="119"/>
  <c r="A63" i="119"/>
  <c r="H62" i="119"/>
  <c r="F62" i="119"/>
  <c r="G62" i="119" s="1"/>
  <c r="A62" i="119"/>
  <c r="H61" i="119"/>
  <c r="G61" i="119" s="1"/>
  <c r="F61" i="119"/>
  <c r="A61" i="119"/>
  <c r="H60" i="119"/>
  <c r="F60" i="119"/>
  <c r="G60" i="119" s="1"/>
  <c r="A60" i="119"/>
  <c r="H59" i="119"/>
  <c r="G59" i="119" s="1"/>
  <c r="F59" i="119"/>
  <c r="A59" i="119"/>
  <c r="H58" i="119"/>
  <c r="F58" i="119"/>
  <c r="G58" i="119" s="1"/>
  <c r="A58" i="119"/>
  <c r="H57" i="119"/>
  <c r="G57" i="119" s="1"/>
  <c r="F57" i="119"/>
  <c r="A57" i="119"/>
  <c r="H56" i="119"/>
  <c r="F56" i="119"/>
  <c r="G56" i="119" s="1"/>
  <c r="A56" i="119"/>
  <c r="H55" i="119"/>
  <c r="G55" i="119" s="1"/>
  <c r="F55" i="119"/>
  <c r="A55" i="119"/>
  <c r="H54" i="119"/>
  <c r="F54" i="119"/>
  <c r="G54" i="119" s="1"/>
  <c r="A54" i="119"/>
  <c r="H53" i="119"/>
  <c r="G53" i="119" s="1"/>
  <c r="F53" i="119"/>
  <c r="A53" i="119"/>
  <c r="H52" i="119"/>
  <c r="F52" i="119"/>
  <c r="G52" i="119" s="1"/>
  <c r="A52" i="119"/>
  <c r="H51" i="119"/>
  <c r="G51" i="119" s="1"/>
  <c r="F51" i="119"/>
  <c r="A51" i="119"/>
  <c r="H50" i="119"/>
  <c r="F50" i="119"/>
  <c r="G50" i="119" s="1"/>
  <c r="A50" i="119"/>
  <c r="H49" i="119"/>
  <c r="G49" i="119" s="1"/>
  <c r="F49" i="119"/>
  <c r="A49" i="119"/>
  <c r="H48" i="119"/>
  <c r="F48" i="119"/>
  <c r="G48" i="119" s="1"/>
  <c r="A48" i="119"/>
  <c r="H47" i="119"/>
  <c r="G47" i="119" s="1"/>
  <c r="F47" i="119"/>
  <c r="A47" i="119"/>
  <c r="H46" i="119"/>
  <c r="F46" i="119"/>
  <c r="G46" i="119" s="1"/>
  <c r="A46" i="119"/>
  <c r="H45" i="119"/>
  <c r="G45" i="119" s="1"/>
  <c r="F45" i="119"/>
  <c r="A45" i="119"/>
  <c r="H44" i="119"/>
  <c r="F44" i="119"/>
  <c r="G44" i="119" s="1"/>
  <c r="A44" i="119"/>
  <c r="H43" i="119"/>
  <c r="G43" i="119" s="1"/>
  <c r="F43" i="119"/>
  <c r="A43" i="119"/>
  <c r="H42" i="119"/>
  <c r="F42" i="119"/>
  <c r="G42" i="119" s="1"/>
  <c r="A42" i="119"/>
  <c r="H41" i="119"/>
  <c r="G41" i="119" s="1"/>
  <c r="F41" i="119"/>
  <c r="A41" i="119"/>
  <c r="H40" i="119"/>
  <c r="F40" i="119"/>
  <c r="G40" i="119" s="1"/>
  <c r="A40" i="119"/>
  <c r="H39" i="119"/>
  <c r="G39" i="119" s="1"/>
  <c r="F39" i="119"/>
  <c r="A39" i="119"/>
  <c r="H38" i="119"/>
  <c r="F38" i="119"/>
  <c r="G38" i="119" s="1"/>
  <c r="A38" i="119"/>
  <c r="H37" i="119"/>
  <c r="G37" i="119" s="1"/>
  <c r="F37" i="119"/>
  <c r="A37" i="119"/>
  <c r="H36" i="119"/>
  <c r="F36" i="119"/>
  <c r="G36" i="119" s="1"/>
  <c r="A36" i="119"/>
  <c r="H35" i="119"/>
  <c r="G35" i="119" s="1"/>
  <c r="F35" i="119"/>
  <c r="A35" i="119"/>
  <c r="H34" i="119"/>
  <c r="F34" i="119"/>
  <c r="G34" i="119" s="1"/>
  <c r="A34" i="119"/>
  <c r="H33" i="119"/>
  <c r="G33" i="119" s="1"/>
  <c r="F33" i="119"/>
  <c r="A33" i="119"/>
  <c r="H32" i="119"/>
  <c r="F32" i="119"/>
  <c r="G32" i="119" s="1"/>
  <c r="A32" i="119"/>
  <c r="H31" i="119"/>
  <c r="G31" i="119" s="1"/>
  <c r="F31" i="119"/>
  <c r="A31" i="119"/>
  <c r="H30" i="119"/>
  <c r="F30" i="119"/>
  <c r="G30" i="119" s="1"/>
  <c r="A30" i="119"/>
  <c r="H29" i="119"/>
  <c r="G29" i="119" s="1"/>
  <c r="F29" i="119"/>
  <c r="A29" i="119"/>
  <c r="H28" i="119"/>
  <c r="F28" i="119"/>
  <c r="G28" i="119" s="1"/>
  <c r="A28" i="119"/>
  <c r="H27" i="119"/>
  <c r="F27" i="119"/>
  <c r="H26" i="119"/>
  <c r="F26" i="119"/>
  <c r="H25" i="119"/>
  <c r="F25" i="119"/>
  <c r="H24" i="119"/>
  <c r="F24" i="119"/>
  <c r="H23" i="119"/>
  <c r="F23" i="119"/>
  <c r="H22" i="119"/>
  <c r="F22" i="119"/>
  <c r="H21" i="119"/>
  <c r="F21" i="119"/>
  <c r="H20" i="119"/>
  <c r="F20" i="119"/>
  <c r="H19" i="119"/>
  <c r="G19" i="119" s="1"/>
  <c r="F19" i="119"/>
  <c r="H18" i="119"/>
  <c r="F18" i="119"/>
  <c r="H17" i="119"/>
  <c r="F17" i="119"/>
  <c r="H16" i="119"/>
  <c r="F16" i="119"/>
  <c r="H15" i="119"/>
  <c r="F15" i="119"/>
  <c r="H14" i="119"/>
  <c r="F14" i="119"/>
  <c r="H13" i="119"/>
  <c r="F13" i="119"/>
  <c r="H12" i="119"/>
  <c r="F12" i="119"/>
  <c r="H11" i="119"/>
  <c r="F11" i="119"/>
  <c r="H10" i="119"/>
  <c r="F10" i="119"/>
  <c r="H9" i="119"/>
  <c r="F9" i="119"/>
  <c r="H8" i="119"/>
  <c r="F8" i="119"/>
  <c r="H7" i="119"/>
  <c r="F7" i="119"/>
  <c r="H6" i="119"/>
  <c r="F6" i="119"/>
  <c r="H5" i="119"/>
  <c r="G5" i="119" s="1"/>
  <c r="F5" i="119"/>
  <c r="H4" i="119"/>
  <c r="F4" i="119"/>
  <c r="G4" i="119" s="1"/>
  <c r="H3" i="119"/>
  <c r="G3" i="119" s="1"/>
  <c r="F3" i="119"/>
  <c r="H160" i="118"/>
  <c r="F160" i="118"/>
  <c r="G160" i="118" s="1"/>
  <c r="A160" i="118"/>
  <c r="H159" i="118"/>
  <c r="F159" i="118"/>
  <c r="G159" i="118" s="1"/>
  <c r="A159" i="118"/>
  <c r="H158" i="118"/>
  <c r="G158" i="118"/>
  <c r="F158" i="118"/>
  <c r="A158" i="118"/>
  <c r="H157" i="118"/>
  <c r="F157" i="118"/>
  <c r="G157" i="118" s="1"/>
  <c r="A157" i="118"/>
  <c r="H156" i="118"/>
  <c r="F156" i="118"/>
  <c r="G156" i="118" s="1"/>
  <c r="A156" i="118"/>
  <c r="H155" i="118"/>
  <c r="F155" i="118"/>
  <c r="G155" i="118" s="1"/>
  <c r="A155" i="118"/>
  <c r="H154" i="118"/>
  <c r="G154" i="118"/>
  <c r="F154" i="118"/>
  <c r="A154" i="118"/>
  <c r="H153" i="118"/>
  <c r="F153" i="118"/>
  <c r="G153" i="118" s="1"/>
  <c r="A153" i="118"/>
  <c r="H152" i="118"/>
  <c r="F152" i="118"/>
  <c r="G152" i="118" s="1"/>
  <c r="A152" i="118"/>
  <c r="H151" i="118"/>
  <c r="F151" i="118"/>
  <c r="G151" i="118" s="1"/>
  <c r="A151" i="118"/>
  <c r="H150" i="118"/>
  <c r="G150" i="118"/>
  <c r="F150" i="118"/>
  <c r="A150" i="118"/>
  <c r="H149" i="118"/>
  <c r="F149" i="118"/>
  <c r="G149" i="118" s="1"/>
  <c r="A149" i="118"/>
  <c r="H148" i="118"/>
  <c r="F148" i="118"/>
  <c r="G148" i="118" s="1"/>
  <c r="A148" i="118"/>
  <c r="H147" i="118"/>
  <c r="F147" i="118"/>
  <c r="G147" i="118" s="1"/>
  <c r="A147" i="118"/>
  <c r="H146" i="118"/>
  <c r="G146" i="118"/>
  <c r="F146" i="118"/>
  <c r="A146" i="118"/>
  <c r="H145" i="118"/>
  <c r="F145" i="118"/>
  <c r="G145" i="118" s="1"/>
  <c r="A145" i="118"/>
  <c r="H144" i="118"/>
  <c r="F144" i="118"/>
  <c r="G144" i="118" s="1"/>
  <c r="A144" i="118"/>
  <c r="H143" i="118"/>
  <c r="F143" i="118"/>
  <c r="G143" i="118" s="1"/>
  <c r="A143" i="118"/>
  <c r="H142" i="118"/>
  <c r="G142" i="118"/>
  <c r="F142" i="118"/>
  <c r="A142" i="118"/>
  <c r="H141" i="118"/>
  <c r="F141" i="118"/>
  <c r="G141" i="118" s="1"/>
  <c r="A141" i="118"/>
  <c r="H140" i="118"/>
  <c r="F140" i="118"/>
  <c r="G140" i="118" s="1"/>
  <c r="A140" i="118"/>
  <c r="H139" i="118"/>
  <c r="F139" i="118"/>
  <c r="G139" i="118" s="1"/>
  <c r="A139" i="118"/>
  <c r="H138" i="118"/>
  <c r="G138" i="118"/>
  <c r="F138" i="118"/>
  <c r="A138" i="118"/>
  <c r="H137" i="118"/>
  <c r="F137" i="118"/>
  <c r="G137" i="118" s="1"/>
  <c r="A137" i="118"/>
  <c r="H136" i="118"/>
  <c r="F136" i="118"/>
  <c r="G136" i="118" s="1"/>
  <c r="A136" i="118"/>
  <c r="H135" i="118"/>
  <c r="F135" i="118"/>
  <c r="G135" i="118" s="1"/>
  <c r="A135" i="118"/>
  <c r="H134" i="118"/>
  <c r="G134" i="118"/>
  <c r="F134" i="118"/>
  <c r="A134" i="118"/>
  <c r="H133" i="118"/>
  <c r="F133" i="118"/>
  <c r="G133" i="118" s="1"/>
  <c r="A133" i="118"/>
  <c r="H132" i="118"/>
  <c r="F132" i="118"/>
  <c r="G132" i="118" s="1"/>
  <c r="A132" i="118"/>
  <c r="H131" i="118"/>
  <c r="F131" i="118"/>
  <c r="G131" i="118" s="1"/>
  <c r="A131" i="118"/>
  <c r="H130" i="118"/>
  <c r="G130" i="118"/>
  <c r="F130" i="118"/>
  <c r="A130" i="118"/>
  <c r="H129" i="118"/>
  <c r="F129" i="118"/>
  <c r="G129" i="118" s="1"/>
  <c r="A129" i="118"/>
  <c r="H128" i="118"/>
  <c r="F128" i="118"/>
  <c r="G128" i="118" s="1"/>
  <c r="A128" i="118"/>
  <c r="H127" i="118"/>
  <c r="F127" i="118"/>
  <c r="G127" i="118" s="1"/>
  <c r="A127" i="118"/>
  <c r="H126" i="118"/>
  <c r="G126" i="118"/>
  <c r="F126" i="118"/>
  <c r="A126" i="118"/>
  <c r="H125" i="118"/>
  <c r="F125" i="118"/>
  <c r="G125" i="118" s="1"/>
  <c r="A125" i="118"/>
  <c r="H124" i="118"/>
  <c r="F124" i="118"/>
  <c r="G124" i="118" s="1"/>
  <c r="A124" i="118"/>
  <c r="H123" i="118"/>
  <c r="F123" i="118"/>
  <c r="G123" i="118" s="1"/>
  <c r="A123" i="118"/>
  <c r="H122" i="118"/>
  <c r="G122" i="118" s="1"/>
  <c r="F122" i="118"/>
  <c r="A122" i="118"/>
  <c r="H121" i="118"/>
  <c r="F121" i="118"/>
  <c r="G121" i="118" s="1"/>
  <c r="A121" i="118"/>
  <c r="H120" i="118"/>
  <c r="F120" i="118"/>
  <c r="G120" i="118" s="1"/>
  <c r="A120" i="118"/>
  <c r="H119" i="118"/>
  <c r="F119" i="118"/>
  <c r="G119" i="118" s="1"/>
  <c r="A119" i="118"/>
  <c r="H118" i="118"/>
  <c r="G118" i="118" s="1"/>
  <c r="F118" i="118"/>
  <c r="A118" i="118"/>
  <c r="H117" i="118"/>
  <c r="F117" i="118"/>
  <c r="G117" i="118" s="1"/>
  <c r="A117" i="118"/>
  <c r="H116" i="118"/>
  <c r="F116" i="118"/>
  <c r="G116" i="118" s="1"/>
  <c r="A116" i="118"/>
  <c r="H115" i="118"/>
  <c r="F115" i="118"/>
  <c r="G115" i="118" s="1"/>
  <c r="A115" i="118"/>
  <c r="H114" i="118"/>
  <c r="F114" i="118"/>
  <c r="G114" i="118" s="1"/>
  <c r="A114" i="118"/>
  <c r="H113" i="118"/>
  <c r="F113" i="118"/>
  <c r="G113" i="118" s="1"/>
  <c r="A113" i="118"/>
  <c r="H112" i="118"/>
  <c r="F112" i="118"/>
  <c r="G112" i="118" s="1"/>
  <c r="A112" i="118"/>
  <c r="H111" i="118"/>
  <c r="F111" i="118"/>
  <c r="G111" i="118" s="1"/>
  <c r="A111" i="118"/>
  <c r="H110" i="118"/>
  <c r="F110" i="118"/>
  <c r="G110" i="118" s="1"/>
  <c r="A110" i="118"/>
  <c r="H109" i="118"/>
  <c r="F109" i="118"/>
  <c r="G109" i="118" s="1"/>
  <c r="A109" i="118"/>
  <c r="H108" i="118"/>
  <c r="F108" i="118"/>
  <c r="G108" i="118" s="1"/>
  <c r="A108" i="118"/>
  <c r="H107" i="118"/>
  <c r="F107" i="118"/>
  <c r="G107" i="118" s="1"/>
  <c r="A107" i="118"/>
  <c r="H106" i="118"/>
  <c r="F106" i="118"/>
  <c r="G106" i="118" s="1"/>
  <c r="A106" i="118"/>
  <c r="H105" i="118"/>
  <c r="F105" i="118"/>
  <c r="G105" i="118" s="1"/>
  <c r="A105" i="118"/>
  <c r="H104" i="118"/>
  <c r="F104" i="118"/>
  <c r="G104" i="118" s="1"/>
  <c r="A104" i="118"/>
  <c r="H103" i="118"/>
  <c r="F103" i="118"/>
  <c r="G103" i="118" s="1"/>
  <c r="A103" i="118"/>
  <c r="H102" i="118"/>
  <c r="F102" i="118"/>
  <c r="G102" i="118" s="1"/>
  <c r="A102" i="118"/>
  <c r="H101" i="118"/>
  <c r="F101" i="118"/>
  <c r="G101" i="118" s="1"/>
  <c r="A101" i="118"/>
  <c r="H100" i="118"/>
  <c r="F100" i="118"/>
  <c r="G100" i="118" s="1"/>
  <c r="A100" i="118"/>
  <c r="H99" i="118"/>
  <c r="F99" i="118"/>
  <c r="G99" i="118" s="1"/>
  <c r="A99" i="118"/>
  <c r="H98" i="118"/>
  <c r="F98" i="118"/>
  <c r="G98" i="118" s="1"/>
  <c r="A98" i="118"/>
  <c r="H97" i="118"/>
  <c r="F97" i="118"/>
  <c r="G97" i="118" s="1"/>
  <c r="A97" i="118"/>
  <c r="H96" i="118"/>
  <c r="F96" i="118"/>
  <c r="G96" i="118" s="1"/>
  <c r="A96" i="118"/>
  <c r="H95" i="118"/>
  <c r="F95" i="118"/>
  <c r="G95" i="118" s="1"/>
  <c r="A95" i="118"/>
  <c r="H94" i="118"/>
  <c r="F94" i="118"/>
  <c r="G94" i="118" s="1"/>
  <c r="A94" i="118"/>
  <c r="H93" i="118"/>
  <c r="F93" i="118"/>
  <c r="G93" i="118" s="1"/>
  <c r="A93" i="118"/>
  <c r="H92" i="118"/>
  <c r="F92" i="118"/>
  <c r="G92" i="118" s="1"/>
  <c r="A92" i="118"/>
  <c r="H91" i="118"/>
  <c r="F91" i="118"/>
  <c r="G91" i="118" s="1"/>
  <c r="A91" i="118"/>
  <c r="H90" i="118"/>
  <c r="F90" i="118"/>
  <c r="G90" i="118" s="1"/>
  <c r="A90" i="118"/>
  <c r="H89" i="118"/>
  <c r="F89" i="118"/>
  <c r="G89" i="118" s="1"/>
  <c r="A89" i="118"/>
  <c r="H88" i="118"/>
  <c r="F88" i="118"/>
  <c r="G88" i="118" s="1"/>
  <c r="A88" i="118"/>
  <c r="H87" i="118"/>
  <c r="F87" i="118"/>
  <c r="G87" i="118" s="1"/>
  <c r="A87" i="118"/>
  <c r="H86" i="118"/>
  <c r="F86" i="118"/>
  <c r="G86" i="118" s="1"/>
  <c r="A86" i="118"/>
  <c r="H85" i="118"/>
  <c r="F85" i="118"/>
  <c r="G85" i="118" s="1"/>
  <c r="A85" i="118"/>
  <c r="H84" i="118"/>
  <c r="F84" i="118"/>
  <c r="G84" i="118" s="1"/>
  <c r="A84" i="118"/>
  <c r="H83" i="118"/>
  <c r="F83" i="118"/>
  <c r="G83" i="118" s="1"/>
  <c r="A83" i="118"/>
  <c r="H82" i="118"/>
  <c r="F82" i="118"/>
  <c r="G82" i="118" s="1"/>
  <c r="A82" i="118"/>
  <c r="H81" i="118"/>
  <c r="F81" i="118"/>
  <c r="G81" i="118" s="1"/>
  <c r="A81" i="118"/>
  <c r="H80" i="118"/>
  <c r="F80" i="118"/>
  <c r="G80" i="118" s="1"/>
  <c r="A80" i="118"/>
  <c r="H79" i="118"/>
  <c r="F79" i="118"/>
  <c r="G79" i="118" s="1"/>
  <c r="A79" i="118"/>
  <c r="H78" i="118"/>
  <c r="F78" i="118"/>
  <c r="G78" i="118" s="1"/>
  <c r="A78" i="118"/>
  <c r="H77" i="118"/>
  <c r="F77" i="118"/>
  <c r="G77" i="118" s="1"/>
  <c r="A77" i="118"/>
  <c r="H76" i="118"/>
  <c r="F76" i="118"/>
  <c r="G76" i="118" s="1"/>
  <c r="A76" i="118"/>
  <c r="H75" i="118"/>
  <c r="F75" i="118"/>
  <c r="G75" i="118" s="1"/>
  <c r="A75" i="118"/>
  <c r="H74" i="118"/>
  <c r="F74" i="118"/>
  <c r="G74" i="118" s="1"/>
  <c r="A74" i="118"/>
  <c r="H73" i="118"/>
  <c r="F73" i="118"/>
  <c r="G73" i="118" s="1"/>
  <c r="A73" i="118"/>
  <c r="H72" i="118"/>
  <c r="F72" i="118"/>
  <c r="G72" i="118" s="1"/>
  <c r="A72" i="118"/>
  <c r="H71" i="118"/>
  <c r="F71" i="118"/>
  <c r="G71" i="118" s="1"/>
  <c r="A71" i="118"/>
  <c r="H70" i="118"/>
  <c r="F70" i="118"/>
  <c r="G70" i="118" s="1"/>
  <c r="A70" i="118"/>
  <c r="H69" i="118"/>
  <c r="F69" i="118"/>
  <c r="G69" i="118" s="1"/>
  <c r="A69" i="118"/>
  <c r="H68" i="118"/>
  <c r="F68" i="118"/>
  <c r="G68" i="118" s="1"/>
  <c r="A68" i="118"/>
  <c r="H67" i="118"/>
  <c r="F67" i="118"/>
  <c r="G67" i="118" s="1"/>
  <c r="A67" i="118"/>
  <c r="H66" i="118"/>
  <c r="F66" i="118"/>
  <c r="G66" i="118" s="1"/>
  <c r="A66" i="118"/>
  <c r="H65" i="118"/>
  <c r="F65" i="118"/>
  <c r="G65" i="118" s="1"/>
  <c r="A65" i="118"/>
  <c r="H64" i="118"/>
  <c r="F64" i="118"/>
  <c r="G64" i="118" s="1"/>
  <c r="A64" i="118"/>
  <c r="H63" i="118"/>
  <c r="F63" i="118"/>
  <c r="G63" i="118" s="1"/>
  <c r="A63" i="118"/>
  <c r="H62" i="118"/>
  <c r="F62" i="118"/>
  <c r="G62" i="118" s="1"/>
  <c r="A62" i="118"/>
  <c r="H61" i="118"/>
  <c r="F61" i="118"/>
  <c r="G61" i="118" s="1"/>
  <c r="A61" i="118"/>
  <c r="H60" i="118"/>
  <c r="F60" i="118"/>
  <c r="G60" i="118" s="1"/>
  <c r="A60" i="118"/>
  <c r="H59" i="118"/>
  <c r="F59" i="118"/>
  <c r="G59" i="118" s="1"/>
  <c r="A59" i="118"/>
  <c r="H58" i="118"/>
  <c r="F58" i="118"/>
  <c r="G58" i="118" s="1"/>
  <c r="A58" i="118"/>
  <c r="H57" i="118"/>
  <c r="F57" i="118"/>
  <c r="G57" i="118" s="1"/>
  <c r="A57" i="118"/>
  <c r="H56" i="118"/>
  <c r="F56" i="118"/>
  <c r="G56" i="118" s="1"/>
  <c r="A56" i="118"/>
  <c r="H55" i="118"/>
  <c r="F55" i="118"/>
  <c r="G55" i="118" s="1"/>
  <c r="A55" i="118"/>
  <c r="H54" i="118"/>
  <c r="F54" i="118"/>
  <c r="G54" i="118" s="1"/>
  <c r="A54" i="118"/>
  <c r="H53" i="118"/>
  <c r="F53" i="118"/>
  <c r="G53" i="118" s="1"/>
  <c r="A53" i="118"/>
  <c r="H52" i="118"/>
  <c r="F52" i="118"/>
  <c r="G52" i="118" s="1"/>
  <c r="A52" i="118"/>
  <c r="H51" i="118"/>
  <c r="F51" i="118"/>
  <c r="G51" i="118" s="1"/>
  <c r="A51" i="118"/>
  <c r="H50" i="118"/>
  <c r="F50" i="118"/>
  <c r="G50" i="118" s="1"/>
  <c r="A50" i="118"/>
  <c r="H49" i="118"/>
  <c r="F49" i="118"/>
  <c r="G49" i="118" s="1"/>
  <c r="A49" i="118"/>
  <c r="H48" i="118"/>
  <c r="F48" i="118"/>
  <c r="G48" i="118" s="1"/>
  <c r="A48" i="118"/>
  <c r="H47" i="118"/>
  <c r="F47" i="118"/>
  <c r="G47" i="118" s="1"/>
  <c r="A47" i="118"/>
  <c r="H46" i="118"/>
  <c r="F46" i="118"/>
  <c r="G46" i="118" s="1"/>
  <c r="A46" i="118"/>
  <c r="H45" i="118"/>
  <c r="F45" i="118"/>
  <c r="G45" i="118" s="1"/>
  <c r="A45" i="118"/>
  <c r="H44" i="118"/>
  <c r="F44" i="118"/>
  <c r="G44" i="118" s="1"/>
  <c r="A44" i="118"/>
  <c r="H43" i="118"/>
  <c r="F43" i="118"/>
  <c r="G43" i="118" s="1"/>
  <c r="A43" i="118"/>
  <c r="H42" i="118"/>
  <c r="F42" i="118"/>
  <c r="G42" i="118" s="1"/>
  <c r="A42" i="118"/>
  <c r="H41" i="118"/>
  <c r="F41" i="118"/>
  <c r="G41" i="118" s="1"/>
  <c r="A41" i="118"/>
  <c r="H40" i="118"/>
  <c r="F40" i="118"/>
  <c r="G40" i="118" s="1"/>
  <c r="A40" i="118"/>
  <c r="H39" i="118"/>
  <c r="F39" i="118"/>
  <c r="G39" i="118" s="1"/>
  <c r="A39" i="118"/>
  <c r="H38" i="118"/>
  <c r="F38" i="118"/>
  <c r="G38" i="118" s="1"/>
  <c r="A38" i="118"/>
  <c r="H37" i="118"/>
  <c r="F37" i="118"/>
  <c r="G37" i="118" s="1"/>
  <c r="A37" i="118"/>
  <c r="H36" i="118"/>
  <c r="F36" i="118"/>
  <c r="G36" i="118" s="1"/>
  <c r="A36" i="118"/>
  <c r="H35" i="118"/>
  <c r="F35" i="118"/>
  <c r="G35" i="118" s="1"/>
  <c r="A35" i="118"/>
  <c r="H34" i="118"/>
  <c r="F34" i="118"/>
  <c r="G34" i="118" s="1"/>
  <c r="A34" i="118"/>
  <c r="H33" i="118"/>
  <c r="F33" i="118"/>
  <c r="G33" i="118" s="1"/>
  <c r="A33" i="118"/>
  <c r="H32" i="118"/>
  <c r="F32" i="118"/>
  <c r="H31" i="118"/>
  <c r="F31" i="118"/>
  <c r="G31" i="118" s="1"/>
  <c r="H30" i="118"/>
  <c r="F30" i="118"/>
  <c r="G30" i="118" s="1"/>
  <c r="H29" i="118"/>
  <c r="F29" i="118"/>
  <c r="H28" i="118"/>
  <c r="F28" i="118"/>
  <c r="H27" i="118"/>
  <c r="F27" i="118"/>
  <c r="H26" i="118"/>
  <c r="F26" i="118"/>
  <c r="H25" i="118"/>
  <c r="F25" i="118"/>
  <c r="H24" i="118"/>
  <c r="F24" i="118"/>
  <c r="G24" i="118" s="1"/>
  <c r="H23" i="118"/>
  <c r="F23" i="118"/>
  <c r="H22" i="118"/>
  <c r="F22" i="118"/>
  <c r="H21" i="118"/>
  <c r="F21" i="118"/>
  <c r="G21" i="118" s="1"/>
  <c r="H20" i="118"/>
  <c r="F20" i="118"/>
  <c r="H19" i="118"/>
  <c r="F19" i="118"/>
  <c r="H18" i="118"/>
  <c r="F18" i="118"/>
  <c r="H17" i="118"/>
  <c r="F17" i="118"/>
  <c r="G17" i="118" s="1"/>
  <c r="H16" i="118"/>
  <c r="F16" i="118"/>
  <c r="G16" i="118" s="1"/>
  <c r="H15" i="118"/>
  <c r="F15" i="118"/>
  <c r="H14" i="118"/>
  <c r="F14" i="118"/>
  <c r="H13" i="118"/>
  <c r="F13" i="118"/>
  <c r="G13" i="118" s="1"/>
  <c r="H12" i="118"/>
  <c r="F12" i="118"/>
  <c r="H11" i="118"/>
  <c r="F11" i="118"/>
  <c r="H10" i="118"/>
  <c r="F10" i="118"/>
  <c r="H9" i="118"/>
  <c r="F9" i="118"/>
  <c r="H8" i="118"/>
  <c r="F8" i="118"/>
  <c r="H7" i="118"/>
  <c r="F7" i="118"/>
  <c r="H6" i="118"/>
  <c r="F6" i="118"/>
  <c r="H5" i="118"/>
  <c r="F5" i="118"/>
  <c r="H4" i="118"/>
  <c r="F4" i="118"/>
  <c r="G4" i="118" s="1"/>
  <c r="H3" i="118"/>
  <c r="F3" i="118"/>
  <c r="H160" i="114"/>
  <c r="F160" i="114"/>
  <c r="G160" i="114" s="1"/>
  <c r="A160" i="114"/>
  <c r="H159" i="114"/>
  <c r="F159" i="114"/>
  <c r="G159" i="114" s="1"/>
  <c r="A159" i="114"/>
  <c r="H158" i="114"/>
  <c r="F158" i="114"/>
  <c r="G158" i="114" s="1"/>
  <c r="A158" i="114"/>
  <c r="H157" i="114"/>
  <c r="G157" i="114"/>
  <c r="F157" i="114"/>
  <c r="A157" i="114"/>
  <c r="H156" i="114"/>
  <c r="F156" i="114"/>
  <c r="G156" i="114" s="1"/>
  <c r="A156" i="114"/>
  <c r="H155" i="114"/>
  <c r="F155" i="114"/>
  <c r="G155" i="114" s="1"/>
  <c r="A155" i="114"/>
  <c r="H154" i="114"/>
  <c r="F154" i="114"/>
  <c r="G154" i="114" s="1"/>
  <c r="A154" i="114"/>
  <c r="H153" i="114"/>
  <c r="G153" i="114"/>
  <c r="F153" i="114"/>
  <c r="A153" i="114"/>
  <c r="H152" i="114"/>
  <c r="F152" i="114"/>
  <c r="G152" i="114" s="1"/>
  <c r="A152" i="114"/>
  <c r="H151" i="114"/>
  <c r="F151" i="114"/>
  <c r="G151" i="114" s="1"/>
  <c r="A151" i="114"/>
  <c r="H150" i="114"/>
  <c r="F150" i="114"/>
  <c r="G150" i="114" s="1"/>
  <c r="A150" i="114"/>
  <c r="H149" i="114"/>
  <c r="G149" i="114"/>
  <c r="F149" i="114"/>
  <c r="A149" i="114"/>
  <c r="H148" i="114"/>
  <c r="F148" i="114"/>
  <c r="G148" i="114" s="1"/>
  <c r="A148" i="114"/>
  <c r="H147" i="114"/>
  <c r="F147" i="114"/>
  <c r="G147" i="114" s="1"/>
  <c r="A147" i="114"/>
  <c r="H146" i="114"/>
  <c r="F146" i="114"/>
  <c r="G146" i="114" s="1"/>
  <c r="A146" i="114"/>
  <c r="H145" i="114"/>
  <c r="G145" i="114"/>
  <c r="F145" i="114"/>
  <c r="A145" i="114"/>
  <c r="H144" i="114"/>
  <c r="F144" i="114"/>
  <c r="G144" i="114" s="1"/>
  <c r="A144" i="114"/>
  <c r="H143" i="114"/>
  <c r="F143" i="114"/>
  <c r="G143" i="114" s="1"/>
  <c r="A143" i="114"/>
  <c r="H142" i="114"/>
  <c r="F142" i="114"/>
  <c r="G142" i="114" s="1"/>
  <c r="A142" i="114"/>
  <c r="H141" i="114"/>
  <c r="G141" i="114"/>
  <c r="F141" i="114"/>
  <c r="A141" i="114"/>
  <c r="H140" i="114"/>
  <c r="F140" i="114"/>
  <c r="G140" i="114" s="1"/>
  <c r="A140" i="114"/>
  <c r="H139" i="114"/>
  <c r="F139" i="114"/>
  <c r="G139" i="114" s="1"/>
  <c r="A139" i="114"/>
  <c r="H138" i="114"/>
  <c r="F138" i="114"/>
  <c r="G138" i="114" s="1"/>
  <c r="A138" i="114"/>
  <c r="H137" i="114"/>
  <c r="G137" i="114"/>
  <c r="F137" i="114"/>
  <c r="A137" i="114"/>
  <c r="H136" i="114"/>
  <c r="F136" i="114"/>
  <c r="G136" i="114" s="1"/>
  <c r="A136" i="114"/>
  <c r="H135" i="114"/>
  <c r="F135" i="114"/>
  <c r="G135" i="114" s="1"/>
  <c r="A135" i="114"/>
  <c r="H134" i="114"/>
  <c r="F134" i="114"/>
  <c r="G134" i="114" s="1"/>
  <c r="A134" i="114"/>
  <c r="H133" i="114"/>
  <c r="G133" i="114"/>
  <c r="F133" i="114"/>
  <c r="A133" i="114"/>
  <c r="H132" i="114"/>
  <c r="F132" i="114"/>
  <c r="G132" i="114" s="1"/>
  <c r="A132" i="114"/>
  <c r="H131" i="114"/>
  <c r="F131" i="114"/>
  <c r="G131" i="114" s="1"/>
  <c r="A131" i="114"/>
  <c r="H130" i="114"/>
  <c r="F130" i="114"/>
  <c r="G130" i="114" s="1"/>
  <c r="A130" i="114"/>
  <c r="H129" i="114"/>
  <c r="G129" i="114"/>
  <c r="F129" i="114"/>
  <c r="A129" i="114"/>
  <c r="H128" i="114"/>
  <c r="F128" i="114"/>
  <c r="G128" i="114" s="1"/>
  <c r="A128" i="114"/>
  <c r="H127" i="114"/>
  <c r="F127" i="114"/>
  <c r="G127" i="114" s="1"/>
  <c r="A127" i="114"/>
  <c r="H126" i="114"/>
  <c r="F126" i="114"/>
  <c r="G126" i="114" s="1"/>
  <c r="A126" i="114"/>
  <c r="H125" i="114"/>
  <c r="G125" i="114"/>
  <c r="F125" i="114"/>
  <c r="A125" i="114"/>
  <c r="H124" i="114"/>
  <c r="F124" i="114"/>
  <c r="G124" i="114" s="1"/>
  <c r="A124" i="114"/>
  <c r="H123" i="114"/>
  <c r="F123" i="114"/>
  <c r="G123" i="114" s="1"/>
  <c r="A123" i="114"/>
  <c r="H122" i="114"/>
  <c r="F122" i="114"/>
  <c r="G122" i="114" s="1"/>
  <c r="A122" i="114"/>
  <c r="H121" i="114"/>
  <c r="G121" i="114"/>
  <c r="F121" i="114"/>
  <c r="A121" i="114"/>
  <c r="H120" i="114"/>
  <c r="F120" i="114"/>
  <c r="G120" i="114" s="1"/>
  <c r="A120" i="114"/>
  <c r="H119" i="114"/>
  <c r="F119" i="114"/>
  <c r="G119" i="114" s="1"/>
  <c r="A119" i="114"/>
  <c r="H118" i="114"/>
  <c r="F118" i="114"/>
  <c r="G118" i="114" s="1"/>
  <c r="A118" i="114"/>
  <c r="H117" i="114"/>
  <c r="G117" i="114"/>
  <c r="F117" i="114"/>
  <c r="A117" i="114"/>
  <c r="H116" i="114"/>
  <c r="F116" i="114"/>
  <c r="G116" i="114" s="1"/>
  <c r="A116" i="114"/>
  <c r="H115" i="114"/>
  <c r="F115" i="114"/>
  <c r="G115" i="114" s="1"/>
  <c r="A115" i="114"/>
  <c r="H114" i="114"/>
  <c r="F114" i="114"/>
  <c r="G114" i="114" s="1"/>
  <c r="A114" i="114"/>
  <c r="H113" i="114"/>
  <c r="G113" i="114"/>
  <c r="F113" i="114"/>
  <c r="A113" i="114"/>
  <c r="H112" i="114"/>
  <c r="F112" i="114"/>
  <c r="G112" i="114" s="1"/>
  <c r="A112" i="114"/>
  <c r="H111" i="114"/>
  <c r="F111" i="114"/>
  <c r="G111" i="114" s="1"/>
  <c r="A111" i="114"/>
  <c r="H110" i="114"/>
  <c r="F110" i="114"/>
  <c r="G110" i="114" s="1"/>
  <c r="A110" i="114"/>
  <c r="H109" i="114"/>
  <c r="G109" i="114"/>
  <c r="F109" i="114"/>
  <c r="A109" i="114"/>
  <c r="H108" i="114"/>
  <c r="F108" i="114"/>
  <c r="G108" i="114" s="1"/>
  <c r="A108" i="114"/>
  <c r="H107" i="114"/>
  <c r="F107" i="114"/>
  <c r="G107" i="114" s="1"/>
  <c r="A107" i="114"/>
  <c r="H106" i="114"/>
  <c r="F106" i="114"/>
  <c r="G106" i="114" s="1"/>
  <c r="A106" i="114"/>
  <c r="H105" i="114"/>
  <c r="G105" i="114"/>
  <c r="F105" i="114"/>
  <c r="A105" i="114"/>
  <c r="H104" i="114"/>
  <c r="F104" i="114"/>
  <c r="G104" i="114" s="1"/>
  <c r="A104" i="114"/>
  <c r="H103" i="114"/>
  <c r="F103" i="114"/>
  <c r="G103" i="114" s="1"/>
  <c r="A103" i="114"/>
  <c r="H102" i="114"/>
  <c r="F102" i="114"/>
  <c r="G102" i="114" s="1"/>
  <c r="A102" i="114"/>
  <c r="H101" i="114"/>
  <c r="G101" i="114"/>
  <c r="F101" i="114"/>
  <c r="A101" i="114"/>
  <c r="H100" i="114"/>
  <c r="F100" i="114"/>
  <c r="G100" i="114" s="1"/>
  <c r="A100" i="114"/>
  <c r="H99" i="114"/>
  <c r="F99" i="114"/>
  <c r="G99" i="114" s="1"/>
  <c r="A99" i="114"/>
  <c r="H98" i="114"/>
  <c r="F98" i="114"/>
  <c r="G98" i="114" s="1"/>
  <c r="A98" i="114"/>
  <c r="H97" i="114"/>
  <c r="G97" i="114"/>
  <c r="F97" i="114"/>
  <c r="A97" i="114"/>
  <c r="H96" i="114"/>
  <c r="F96" i="114"/>
  <c r="G96" i="114" s="1"/>
  <c r="A96" i="114"/>
  <c r="H95" i="114"/>
  <c r="F95" i="114"/>
  <c r="G95" i="114" s="1"/>
  <c r="A95" i="114"/>
  <c r="H94" i="114"/>
  <c r="F94" i="114"/>
  <c r="G94" i="114" s="1"/>
  <c r="A94" i="114"/>
  <c r="H93" i="114"/>
  <c r="G93" i="114"/>
  <c r="F93" i="114"/>
  <c r="A93" i="114"/>
  <c r="H92" i="114"/>
  <c r="F92" i="114"/>
  <c r="G92" i="114" s="1"/>
  <c r="A92" i="114"/>
  <c r="H91" i="114"/>
  <c r="F91" i="114"/>
  <c r="G91" i="114" s="1"/>
  <c r="A91" i="114"/>
  <c r="H90" i="114"/>
  <c r="F90" i="114"/>
  <c r="G90" i="114" s="1"/>
  <c r="A90" i="114"/>
  <c r="H89" i="114"/>
  <c r="G89" i="114"/>
  <c r="F89" i="114"/>
  <c r="A89" i="114"/>
  <c r="H88" i="114"/>
  <c r="F88" i="114"/>
  <c r="G88" i="114" s="1"/>
  <c r="A88" i="114"/>
  <c r="H87" i="114"/>
  <c r="F87" i="114"/>
  <c r="G87" i="114" s="1"/>
  <c r="A87" i="114"/>
  <c r="H86" i="114"/>
  <c r="F86" i="114"/>
  <c r="G86" i="114" s="1"/>
  <c r="A86" i="114"/>
  <c r="H85" i="114"/>
  <c r="G85" i="114"/>
  <c r="F85" i="114"/>
  <c r="A85" i="114"/>
  <c r="H84" i="114"/>
  <c r="F84" i="114"/>
  <c r="G84" i="114" s="1"/>
  <c r="A84" i="114"/>
  <c r="H83" i="114"/>
  <c r="F83" i="114"/>
  <c r="G83" i="114" s="1"/>
  <c r="A83" i="114"/>
  <c r="H82" i="114"/>
  <c r="F82" i="114"/>
  <c r="G82" i="114" s="1"/>
  <c r="A82" i="114"/>
  <c r="H81" i="114"/>
  <c r="G81" i="114"/>
  <c r="F81" i="114"/>
  <c r="A81" i="114"/>
  <c r="H80" i="114"/>
  <c r="F80" i="114"/>
  <c r="G80" i="114" s="1"/>
  <c r="A80" i="114"/>
  <c r="H79" i="114"/>
  <c r="F79" i="114"/>
  <c r="G79" i="114" s="1"/>
  <c r="A79" i="114"/>
  <c r="H78" i="114"/>
  <c r="F78" i="114"/>
  <c r="G78" i="114" s="1"/>
  <c r="A78" i="114"/>
  <c r="H77" i="114"/>
  <c r="G77" i="114"/>
  <c r="F77" i="114"/>
  <c r="A77" i="114"/>
  <c r="H76" i="114"/>
  <c r="F76" i="114"/>
  <c r="G76" i="114" s="1"/>
  <c r="A76" i="114"/>
  <c r="H75" i="114"/>
  <c r="F75" i="114"/>
  <c r="G75" i="114" s="1"/>
  <c r="A75" i="114"/>
  <c r="H74" i="114"/>
  <c r="F74" i="114"/>
  <c r="G74" i="114" s="1"/>
  <c r="A74" i="114"/>
  <c r="H73" i="114"/>
  <c r="G73" i="114"/>
  <c r="F73" i="114"/>
  <c r="A73" i="114"/>
  <c r="H72" i="114"/>
  <c r="F72" i="114"/>
  <c r="G72" i="114" s="1"/>
  <c r="A72" i="114"/>
  <c r="H71" i="114"/>
  <c r="F71" i="114"/>
  <c r="G71" i="114" s="1"/>
  <c r="A71" i="114"/>
  <c r="H70" i="114"/>
  <c r="F70" i="114"/>
  <c r="G70" i="114" s="1"/>
  <c r="A70" i="114"/>
  <c r="H69" i="114"/>
  <c r="G69" i="114"/>
  <c r="F69" i="114"/>
  <c r="A69" i="114"/>
  <c r="H68" i="114"/>
  <c r="F68" i="114"/>
  <c r="G68" i="114" s="1"/>
  <c r="A68" i="114"/>
  <c r="H67" i="114"/>
  <c r="F67" i="114"/>
  <c r="G67" i="114" s="1"/>
  <c r="A67" i="114"/>
  <c r="H66" i="114"/>
  <c r="F66" i="114"/>
  <c r="G66" i="114" s="1"/>
  <c r="A66" i="114"/>
  <c r="H65" i="114"/>
  <c r="G65" i="114"/>
  <c r="F65" i="114"/>
  <c r="A65" i="114"/>
  <c r="H64" i="114"/>
  <c r="F64" i="114"/>
  <c r="G64" i="114" s="1"/>
  <c r="A64" i="114"/>
  <c r="H63" i="114"/>
  <c r="F63" i="114"/>
  <c r="G63" i="114" s="1"/>
  <c r="A63" i="114"/>
  <c r="H62" i="114"/>
  <c r="F62" i="114"/>
  <c r="G62" i="114" s="1"/>
  <c r="A62" i="114"/>
  <c r="H61" i="114"/>
  <c r="G61" i="114"/>
  <c r="F61" i="114"/>
  <c r="A61" i="114"/>
  <c r="H60" i="114"/>
  <c r="F60" i="114"/>
  <c r="G60" i="114" s="1"/>
  <c r="A60" i="114"/>
  <c r="H59" i="114"/>
  <c r="F59" i="114"/>
  <c r="G59" i="114" s="1"/>
  <c r="A59" i="114"/>
  <c r="H58" i="114"/>
  <c r="F58" i="114"/>
  <c r="G58" i="114" s="1"/>
  <c r="A58" i="114"/>
  <c r="H57" i="114"/>
  <c r="G57" i="114"/>
  <c r="F57" i="114"/>
  <c r="A57" i="114"/>
  <c r="H56" i="114"/>
  <c r="F56" i="114"/>
  <c r="G56" i="114" s="1"/>
  <c r="A56" i="114"/>
  <c r="H55" i="114"/>
  <c r="F55" i="114"/>
  <c r="G55" i="114" s="1"/>
  <c r="A55" i="114"/>
  <c r="H54" i="114"/>
  <c r="F54" i="114"/>
  <c r="G54" i="114" s="1"/>
  <c r="A54" i="114"/>
  <c r="H53" i="114"/>
  <c r="G53" i="114"/>
  <c r="F53" i="114"/>
  <c r="A53" i="114"/>
  <c r="H52" i="114"/>
  <c r="F52" i="114"/>
  <c r="G52" i="114" s="1"/>
  <c r="A52" i="114"/>
  <c r="H51" i="114"/>
  <c r="F51" i="114"/>
  <c r="G51" i="114" s="1"/>
  <c r="A51" i="114"/>
  <c r="H50" i="114"/>
  <c r="F50" i="114"/>
  <c r="G50" i="114" s="1"/>
  <c r="A50" i="114"/>
  <c r="H49" i="114"/>
  <c r="G49" i="114"/>
  <c r="F49" i="114"/>
  <c r="A49" i="114"/>
  <c r="H48" i="114"/>
  <c r="F48" i="114"/>
  <c r="G48" i="114" s="1"/>
  <c r="A48" i="114"/>
  <c r="H47" i="114"/>
  <c r="F47" i="114"/>
  <c r="G47" i="114" s="1"/>
  <c r="A47" i="114"/>
  <c r="H46" i="114"/>
  <c r="F46" i="114"/>
  <c r="G46" i="114" s="1"/>
  <c r="A46" i="114"/>
  <c r="H45" i="114"/>
  <c r="G45" i="114"/>
  <c r="F45" i="114"/>
  <c r="A45" i="114"/>
  <c r="H44" i="114"/>
  <c r="F44" i="114"/>
  <c r="G44" i="114" s="1"/>
  <c r="A44" i="114"/>
  <c r="H43" i="114"/>
  <c r="F43" i="114"/>
  <c r="G43" i="114" s="1"/>
  <c r="A43" i="114"/>
  <c r="H42" i="114"/>
  <c r="F42" i="114"/>
  <c r="G42" i="114" s="1"/>
  <c r="A42" i="114"/>
  <c r="H41" i="114"/>
  <c r="G41" i="114"/>
  <c r="F41" i="114"/>
  <c r="A41" i="114"/>
  <c r="H40" i="114"/>
  <c r="F40" i="114"/>
  <c r="G40" i="114" s="1"/>
  <c r="A40" i="114"/>
  <c r="H39" i="114"/>
  <c r="F39" i="114"/>
  <c r="G39" i="114" s="1"/>
  <c r="A39" i="114"/>
  <c r="H38" i="114"/>
  <c r="F38" i="114"/>
  <c r="G38" i="114" s="1"/>
  <c r="A38" i="114"/>
  <c r="H37" i="114"/>
  <c r="G37" i="114"/>
  <c r="F37" i="114"/>
  <c r="A37" i="114"/>
  <c r="H36" i="114"/>
  <c r="F36" i="114"/>
  <c r="G36" i="114" s="1"/>
  <c r="A36" i="114"/>
  <c r="H35" i="114"/>
  <c r="F35" i="114"/>
  <c r="G35" i="114" s="1"/>
  <c r="A35" i="114"/>
  <c r="H34" i="114"/>
  <c r="F34" i="114"/>
  <c r="G34" i="114" s="1"/>
  <c r="A34" i="114"/>
  <c r="H33" i="114"/>
  <c r="G33" i="114"/>
  <c r="F33" i="114"/>
  <c r="A33" i="114"/>
  <c r="H32" i="114"/>
  <c r="F32" i="114"/>
  <c r="G32" i="114" s="1"/>
  <c r="A32" i="114"/>
  <c r="H31" i="114"/>
  <c r="F31" i="114"/>
  <c r="G31" i="114" s="1"/>
  <c r="A31" i="114"/>
  <c r="H30" i="114"/>
  <c r="F30" i="114"/>
  <c r="G30" i="114" s="1"/>
  <c r="A30" i="114"/>
  <c r="H29" i="114"/>
  <c r="G29" i="114"/>
  <c r="F29" i="114"/>
  <c r="A29" i="114"/>
  <c r="H28" i="114"/>
  <c r="F28" i="114"/>
  <c r="G28" i="114" s="1"/>
  <c r="A28" i="114"/>
  <c r="H27" i="114"/>
  <c r="F27" i="114"/>
  <c r="G27" i="114" s="1"/>
  <c r="A27" i="114"/>
  <c r="H26" i="114"/>
  <c r="F26" i="114"/>
  <c r="G26" i="114" s="1"/>
  <c r="A26" i="114"/>
  <c r="H25" i="114"/>
  <c r="G25" i="114"/>
  <c r="F25" i="114"/>
  <c r="A25" i="114"/>
  <c r="H24" i="114"/>
  <c r="F24" i="114"/>
  <c r="G24" i="114" s="1"/>
  <c r="A24" i="114"/>
  <c r="H23" i="114"/>
  <c r="F23" i="114"/>
  <c r="G23" i="114" s="1"/>
  <c r="A23" i="114"/>
  <c r="H22" i="114"/>
  <c r="F22" i="114"/>
  <c r="G22" i="114" s="1"/>
  <c r="A22" i="114"/>
  <c r="H21" i="114"/>
  <c r="G21" i="114"/>
  <c r="F21" i="114"/>
  <c r="A21" i="114"/>
  <c r="H20" i="114"/>
  <c r="F20" i="114"/>
  <c r="G20" i="114" s="1"/>
  <c r="A20" i="114"/>
  <c r="H19" i="114"/>
  <c r="F19" i="114"/>
  <c r="G19" i="114" s="1"/>
  <c r="A19" i="114"/>
  <c r="H18" i="114"/>
  <c r="F18" i="114"/>
  <c r="G18" i="114" s="1"/>
  <c r="A18" i="114"/>
  <c r="H17" i="114"/>
  <c r="G17" i="114"/>
  <c r="F17" i="114"/>
  <c r="A17" i="114"/>
  <c r="H16" i="114"/>
  <c r="F16" i="114"/>
  <c r="G16" i="114" s="1"/>
  <c r="A16" i="114"/>
  <c r="H15" i="114"/>
  <c r="F15" i="114"/>
  <c r="G15" i="114" s="1"/>
  <c r="A15" i="114"/>
  <c r="H14" i="114"/>
  <c r="F14" i="114"/>
  <c r="G14" i="114" s="1"/>
  <c r="A14" i="114"/>
  <c r="H13" i="114"/>
  <c r="G13" i="114"/>
  <c r="F13" i="114"/>
  <c r="A13" i="114"/>
  <c r="H12" i="114"/>
  <c r="F12" i="114"/>
  <c r="G12" i="114" s="1"/>
  <c r="A12" i="114"/>
  <c r="H11" i="114"/>
  <c r="F11" i="114"/>
  <c r="H10" i="114"/>
  <c r="F10" i="114"/>
  <c r="H9" i="114"/>
  <c r="F9" i="114"/>
  <c r="G9" i="114" s="1"/>
  <c r="H8" i="114"/>
  <c r="F8" i="114"/>
  <c r="H7" i="114"/>
  <c r="F7" i="114"/>
  <c r="H6" i="114"/>
  <c r="L9" i="114" s="1"/>
  <c r="F6" i="114"/>
  <c r="H5" i="114"/>
  <c r="F5" i="114"/>
  <c r="H4" i="114"/>
  <c r="F4" i="114"/>
  <c r="H3" i="114"/>
  <c r="F3" i="114"/>
  <c r="H160" i="112"/>
  <c r="F160" i="112"/>
  <c r="G160" i="112" s="1"/>
  <c r="A160" i="112"/>
  <c r="H159" i="112"/>
  <c r="G159" i="112" s="1"/>
  <c r="F159" i="112"/>
  <c r="A159" i="112"/>
  <c r="H158" i="112"/>
  <c r="F158" i="112"/>
  <c r="G158" i="112" s="1"/>
  <c r="A158" i="112"/>
  <c r="H157" i="112"/>
  <c r="G157" i="112" s="1"/>
  <c r="F157" i="112"/>
  <c r="A157" i="112"/>
  <c r="H156" i="112"/>
  <c r="F156" i="112"/>
  <c r="G156" i="112" s="1"/>
  <c r="A156" i="112"/>
  <c r="H155" i="112"/>
  <c r="G155" i="112" s="1"/>
  <c r="F155" i="112"/>
  <c r="A155" i="112"/>
  <c r="H154" i="112"/>
  <c r="F154" i="112"/>
  <c r="G154" i="112" s="1"/>
  <c r="A154" i="112"/>
  <c r="H153" i="112"/>
  <c r="G153" i="112" s="1"/>
  <c r="F153" i="112"/>
  <c r="A153" i="112"/>
  <c r="H152" i="112"/>
  <c r="F152" i="112"/>
  <c r="G152" i="112" s="1"/>
  <c r="A152" i="112"/>
  <c r="H151" i="112"/>
  <c r="G151" i="112" s="1"/>
  <c r="F151" i="112"/>
  <c r="A151" i="112"/>
  <c r="H150" i="112"/>
  <c r="F150" i="112"/>
  <c r="G150" i="112" s="1"/>
  <c r="A150" i="112"/>
  <c r="H149" i="112"/>
  <c r="G149" i="112" s="1"/>
  <c r="F149" i="112"/>
  <c r="A149" i="112"/>
  <c r="H148" i="112"/>
  <c r="F148" i="112"/>
  <c r="G148" i="112" s="1"/>
  <c r="A148" i="112"/>
  <c r="H147" i="112"/>
  <c r="G147" i="112" s="1"/>
  <c r="F147" i="112"/>
  <c r="A147" i="112"/>
  <c r="H146" i="112"/>
  <c r="F146" i="112"/>
  <c r="G146" i="112" s="1"/>
  <c r="A146" i="112"/>
  <c r="H145" i="112"/>
  <c r="G145" i="112" s="1"/>
  <c r="F145" i="112"/>
  <c r="A145" i="112"/>
  <c r="H144" i="112"/>
  <c r="F144" i="112"/>
  <c r="G144" i="112" s="1"/>
  <c r="A144" i="112"/>
  <c r="H143" i="112"/>
  <c r="G143" i="112" s="1"/>
  <c r="F143" i="112"/>
  <c r="A143" i="112"/>
  <c r="H142" i="112"/>
  <c r="F142" i="112"/>
  <c r="G142" i="112" s="1"/>
  <c r="A142" i="112"/>
  <c r="H141" i="112"/>
  <c r="G141" i="112" s="1"/>
  <c r="F141" i="112"/>
  <c r="A141" i="112"/>
  <c r="H140" i="112"/>
  <c r="F140" i="112"/>
  <c r="G140" i="112" s="1"/>
  <c r="A140" i="112"/>
  <c r="H139" i="112"/>
  <c r="G139" i="112" s="1"/>
  <c r="F139" i="112"/>
  <c r="A139" i="112"/>
  <c r="H138" i="112"/>
  <c r="F138" i="112"/>
  <c r="G138" i="112" s="1"/>
  <c r="A138" i="112"/>
  <c r="H137" i="112"/>
  <c r="G137" i="112" s="1"/>
  <c r="F137" i="112"/>
  <c r="A137" i="112"/>
  <c r="H136" i="112"/>
  <c r="F136" i="112"/>
  <c r="G136" i="112" s="1"/>
  <c r="A136" i="112"/>
  <c r="H135" i="112"/>
  <c r="G135" i="112" s="1"/>
  <c r="F135" i="112"/>
  <c r="A135" i="112"/>
  <c r="H134" i="112"/>
  <c r="F134" i="112"/>
  <c r="G134" i="112" s="1"/>
  <c r="A134" i="112"/>
  <c r="H133" i="112"/>
  <c r="G133" i="112" s="1"/>
  <c r="F133" i="112"/>
  <c r="A133" i="112"/>
  <c r="H132" i="112"/>
  <c r="F132" i="112"/>
  <c r="G132" i="112" s="1"/>
  <c r="A132" i="112"/>
  <c r="H131" i="112"/>
  <c r="G131" i="112" s="1"/>
  <c r="F131" i="112"/>
  <c r="A131" i="112"/>
  <c r="H130" i="112"/>
  <c r="F130" i="112"/>
  <c r="G130" i="112" s="1"/>
  <c r="A130" i="112"/>
  <c r="H129" i="112"/>
  <c r="G129" i="112" s="1"/>
  <c r="F129" i="112"/>
  <c r="A129" i="112"/>
  <c r="H128" i="112"/>
  <c r="F128" i="112"/>
  <c r="G128" i="112" s="1"/>
  <c r="A128" i="112"/>
  <c r="H127" i="112"/>
  <c r="G127" i="112" s="1"/>
  <c r="F127" i="112"/>
  <c r="A127" i="112"/>
  <c r="H126" i="112"/>
  <c r="F126" i="112"/>
  <c r="G126" i="112" s="1"/>
  <c r="A126" i="112"/>
  <c r="H125" i="112"/>
  <c r="G125" i="112" s="1"/>
  <c r="F125" i="112"/>
  <c r="A125" i="112"/>
  <c r="H124" i="112"/>
  <c r="F124" i="112"/>
  <c r="G124" i="112" s="1"/>
  <c r="A124" i="112"/>
  <c r="H123" i="112"/>
  <c r="G123" i="112" s="1"/>
  <c r="F123" i="112"/>
  <c r="A123" i="112"/>
  <c r="H122" i="112"/>
  <c r="F122" i="112"/>
  <c r="G122" i="112" s="1"/>
  <c r="A122" i="112"/>
  <c r="H121" i="112"/>
  <c r="G121" i="112" s="1"/>
  <c r="F121" i="112"/>
  <c r="A121" i="112"/>
  <c r="H120" i="112"/>
  <c r="F120" i="112"/>
  <c r="G120" i="112" s="1"/>
  <c r="A120" i="112"/>
  <c r="H119" i="112"/>
  <c r="G119" i="112" s="1"/>
  <c r="F119" i="112"/>
  <c r="A119" i="112"/>
  <c r="H118" i="112"/>
  <c r="F118" i="112"/>
  <c r="G118" i="112" s="1"/>
  <c r="A118" i="112"/>
  <c r="H117" i="112"/>
  <c r="G117" i="112" s="1"/>
  <c r="F117" i="112"/>
  <c r="A117" i="112"/>
  <c r="H116" i="112"/>
  <c r="F116" i="112"/>
  <c r="G116" i="112" s="1"/>
  <c r="A116" i="112"/>
  <c r="H115" i="112"/>
  <c r="G115" i="112" s="1"/>
  <c r="F115" i="112"/>
  <c r="A115" i="112"/>
  <c r="H114" i="112"/>
  <c r="F114" i="112"/>
  <c r="G114" i="112" s="1"/>
  <c r="A114" i="112"/>
  <c r="H113" i="112"/>
  <c r="G113" i="112" s="1"/>
  <c r="F113" i="112"/>
  <c r="A113" i="112"/>
  <c r="H112" i="112"/>
  <c r="F112" i="112"/>
  <c r="G112" i="112" s="1"/>
  <c r="A112" i="112"/>
  <c r="H111" i="112"/>
  <c r="G111" i="112" s="1"/>
  <c r="F111" i="112"/>
  <c r="A111" i="112"/>
  <c r="H110" i="112"/>
  <c r="F110" i="112"/>
  <c r="G110" i="112" s="1"/>
  <c r="A110" i="112"/>
  <c r="H109" i="112"/>
  <c r="G109" i="112" s="1"/>
  <c r="F109" i="112"/>
  <c r="A109" i="112"/>
  <c r="H108" i="112"/>
  <c r="F108" i="112"/>
  <c r="G108" i="112" s="1"/>
  <c r="A108" i="112"/>
  <c r="H107" i="112"/>
  <c r="G107" i="112" s="1"/>
  <c r="F107" i="112"/>
  <c r="A107" i="112"/>
  <c r="H106" i="112"/>
  <c r="F106" i="112"/>
  <c r="G106" i="112" s="1"/>
  <c r="A106" i="112"/>
  <c r="H105" i="112"/>
  <c r="G105" i="112" s="1"/>
  <c r="F105" i="112"/>
  <c r="A105" i="112"/>
  <c r="H104" i="112"/>
  <c r="F104" i="112"/>
  <c r="G104" i="112" s="1"/>
  <c r="A104" i="112"/>
  <c r="H103" i="112"/>
  <c r="G103" i="112" s="1"/>
  <c r="F103" i="112"/>
  <c r="A103" i="112"/>
  <c r="H102" i="112"/>
  <c r="F102" i="112"/>
  <c r="G102" i="112" s="1"/>
  <c r="A102" i="112"/>
  <c r="H101" i="112"/>
  <c r="G101" i="112" s="1"/>
  <c r="F101" i="112"/>
  <c r="A101" i="112"/>
  <c r="H100" i="112"/>
  <c r="F100" i="112"/>
  <c r="G100" i="112" s="1"/>
  <c r="A100" i="112"/>
  <c r="H99" i="112"/>
  <c r="G99" i="112" s="1"/>
  <c r="F99" i="112"/>
  <c r="A99" i="112"/>
  <c r="H98" i="112"/>
  <c r="F98" i="112"/>
  <c r="G98" i="112" s="1"/>
  <c r="A98" i="112"/>
  <c r="H97" i="112"/>
  <c r="G97" i="112" s="1"/>
  <c r="F97" i="112"/>
  <c r="A97" i="112"/>
  <c r="H96" i="112"/>
  <c r="F96" i="112"/>
  <c r="G96" i="112" s="1"/>
  <c r="A96" i="112"/>
  <c r="H95" i="112"/>
  <c r="G95" i="112" s="1"/>
  <c r="F95" i="112"/>
  <c r="A95" i="112"/>
  <c r="H94" i="112"/>
  <c r="F94" i="112"/>
  <c r="G94" i="112" s="1"/>
  <c r="A94" i="112"/>
  <c r="H93" i="112"/>
  <c r="G93" i="112" s="1"/>
  <c r="F93" i="112"/>
  <c r="A93" i="112"/>
  <c r="H92" i="112"/>
  <c r="F92" i="112"/>
  <c r="G92" i="112" s="1"/>
  <c r="A92" i="112"/>
  <c r="H91" i="112"/>
  <c r="G91" i="112" s="1"/>
  <c r="F91" i="112"/>
  <c r="A91" i="112"/>
  <c r="H90" i="112"/>
  <c r="F90" i="112"/>
  <c r="G90" i="112" s="1"/>
  <c r="A90" i="112"/>
  <c r="H89" i="112"/>
  <c r="G89" i="112" s="1"/>
  <c r="F89" i="112"/>
  <c r="A89" i="112"/>
  <c r="H88" i="112"/>
  <c r="F88" i="112"/>
  <c r="G88" i="112" s="1"/>
  <c r="A88" i="112"/>
  <c r="H87" i="112"/>
  <c r="G87" i="112" s="1"/>
  <c r="F87" i="112"/>
  <c r="A87" i="112"/>
  <c r="H86" i="112"/>
  <c r="F86" i="112"/>
  <c r="G86" i="112" s="1"/>
  <c r="A86" i="112"/>
  <c r="H85" i="112"/>
  <c r="G85" i="112" s="1"/>
  <c r="F85" i="112"/>
  <c r="A85" i="112"/>
  <c r="H84" i="112"/>
  <c r="F84" i="112"/>
  <c r="G84" i="112" s="1"/>
  <c r="A84" i="112"/>
  <c r="H83" i="112"/>
  <c r="G83" i="112" s="1"/>
  <c r="F83" i="112"/>
  <c r="A83" i="112"/>
  <c r="H82" i="112"/>
  <c r="F82" i="112"/>
  <c r="G82" i="112" s="1"/>
  <c r="A82" i="112"/>
  <c r="H81" i="112"/>
  <c r="G81" i="112" s="1"/>
  <c r="F81" i="112"/>
  <c r="A81" i="112"/>
  <c r="H80" i="112"/>
  <c r="F80" i="112"/>
  <c r="G80" i="112" s="1"/>
  <c r="A80" i="112"/>
  <c r="H79" i="112"/>
  <c r="G79" i="112" s="1"/>
  <c r="F79" i="112"/>
  <c r="A79" i="112"/>
  <c r="H78" i="112"/>
  <c r="F78" i="112"/>
  <c r="G78" i="112" s="1"/>
  <c r="A78" i="112"/>
  <c r="H77" i="112"/>
  <c r="G77" i="112" s="1"/>
  <c r="F77" i="112"/>
  <c r="A77" i="112"/>
  <c r="H76" i="112"/>
  <c r="F76" i="112"/>
  <c r="G76" i="112" s="1"/>
  <c r="A76" i="112"/>
  <c r="H75" i="112"/>
  <c r="G75" i="112" s="1"/>
  <c r="F75" i="112"/>
  <c r="A75" i="112"/>
  <c r="H74" i="112"/>
  <c r="F74" i="112"/>
  <c r="G74" i="112" s="1"/>
  <c r="A74" i="112"/>
  <c r="H73" i="112"/>
  <c r="G73" i="112" s="1"/>
  <c r="F73" i="112"/>
  <c r="A73" i="112"/>
  <c r="H72" i="112"/>
  <c r="F72" i="112"/>
  <c r="G72" i="112" s="1"/>
  <c r="A72" i="112"/>
  <c r="H71" i="112"/>
  <c r="G71" i="112" s="1"/>
  <c r="F71" i="112"/>
  <c r="A71" i="112"/>
  <c r="H70" i="112"/>
  <c r="F70" i="112"/>
  <c r="G70" i="112" s="1"/>
  <c r="A70" i="112"/>
  <c r="H69" i="112"/>
  <c r="G69" i="112" s="1"/>
  <c r="F69" i="112"/>
  <c r="A69" i="112"/>
  <c r="H68" i="112"/>
  <c r="F68" i="112"/>
  <c r="G68" i="112" s="1"/>
  <c r="A68" i="112"/>
  <c r="H67" i="112"/>
  <c r="G67" i="112" s="1"/>
  <c r="F67" i="112"/>
  <c r="A67" i="112"/>
  <c r="H66" i="112"/>
  <c r="F66" i="112"/>
  <c r="G66" i="112" s="1"/>
  <c r="A66" i="112"/>
  <c r="H65" i="112"/>
  <c r="G65" i="112" s="1"/>
  <c r="F65" i="112"/>
  <c r="A65" i="112"/>
  <c r="H64" i="112"/>
  <c r="F64" i="112"/>
  <c r="G64" i="112" s="1"/>
  <c r="A64" i="112"/>
  <c r="H63" i="112"/>
  <c r="G63" i="112" s="1"/>
  <c r="F63" i="112"/>
  <c r="A63" i="112"/>
  <c r="H62" i="112"/>
  <c r="F62" i="112"/>
  <c r="G62" i="112" s="1"/>
  <c r="A62" i="112"/>
  <c r="H61" i="112"/>
  <c r="G61" i="112" s="1"/>
  <c r="F61" i="112"/>
  <c r="A61" i="112"/>
  <c r="H60" i="112"/>
  <c r="F60" i="112"/>
  <c r="G60" i="112" s="1"/>
  <c r="A60" i="112"/>
  <c r="H59" i="112"/>
  <c r="G59" i="112" s="1"/>
  <c r="F59" i="112"/>
  <c r="A59" i="112"/>
  <c r="H58" i="112"/>
  <c r="F58" i="112"/>
  <c r="G58" i="112" s="1"/>
  <c r="A58" i="112"/>
  <c r="H57" i="112"/>
  <c r="G57" i="112" s="1"/>
  <c r="F57" i="112"/>
  <c r="A57" i="112"/>
  <c r="H56" i="112"/>
  <c r="F56" i="112"/>
  <c r="G56" i="112" s="1"/>
  <c r="A56" i="112"/>
  <c r="H55" i="112"/>
  <c r="F55" i="112"/>
  <c r="G55" i="112" s="1"/>
  <c r="A55" i="112"/>
  <c r="H54" i="112"/>
  <c r="F54" i="112"/>
  <c r="G54" i="112" s="1"/>
  <c r="A54" i="112"/>
  <c r="H53" i="112"/>
  <c r="G53" i="112" s="1"/>
  <c r="F53" i="112"/>
  <c r="A53" i="112"/>
  <c r="H52" i="112"/>
  <c r="F52" i="112"/>
  <c r="G52" i="112" s="1"/>
  <c r="A52" i="112"/>
  <c r="H51" i="112"/>
  <c r="F51" i="112"/>
  <c r="G51" i="112" s="1"/>
  <c r="A51" i="112"/>
  <c r="H50" i="112"/>
  <c r="F50" i="112"/>
  <c r="G50" i="112" s="1"/>
  <c r="A50" i="112"/>
  <c r="H49" i="112"/>
  <c r="G49" i="112" s="1"/>
  <c r="F49" i="112"/>
  <c r="A49" i="112"/>
  <c r="H48" i="112"/>
  <c r="F48" i="112"/>
  <c r="G48" i="112" s="1"/>
  <c r="A48" i="112"/>
  <c r="H47" i="112"/>
  <c r="F47" i="112"/>
  <c r="G47" i="112" s="1"/>
  <c r="A47" i="112"/>
  <c r="H46" i="112"/>
  <c r="F46" i="112"/>
  <c r="G46" i="112" s="1"/>
  <c r="A46" i="112"/>
  <c r="H45" i="112"/>
  <c r="G45" i="112" s="1"/>
  <c r="F45" i="112"/>
  <c r="A45" i="112"/>
  <c r="H44" i="112"/>
  <c r="F44" i="112"/>
  <c r="G44" i="112" s="1"/>
  <c r="A44" i="112"/>
  <c r="H43" i="112"/>
  <c r="F43" i="112"/>
  <c r="G43" i="112" s="1"/>
  <c r="A43" i="112"/>
  <c r="H42" i="112"/>
  <c r="F42" i="112"/>
  <c r="G42" i="112" s="1"/>
  <c r="A42" i="112"/>
  <c r="H41" i="112"/>
  <c r="G41" i="112" s="1"/>
  <c r="F41" i="112"/>
  <c r="A41" i="112"/>
  <c r="H40" i="112"/>
  <c r="F40" i="112"/>
  <c r="G40" i="112" s="1"/>
  <c r="A40" i="112"/>
  <c r="H39" i="112"/>
  <c r="F39" i="112"/>
  <c r="G39" i="112" s="1"/>
  <c r="A39" i="112"/>
  <c r="H38" i="112"/>
  <c r="F38" i="112"/>
  <c r="G38" i="112" s="1"/>
  <c r="A38" i="112"/>
  <c r="H37" i="112"/>
  <c r="G37" i="112" s="1"/>
  <c r="F37" i="112"/>
  <c r="A37" i="112"/>
  <c r="H36" i="112"/>
  <c r="F36" i="112"/>
  <c r="G36" i="112" s="1"/>
  <c r="A36" i="112"/>
  <c r="H35" i="112"/>
  <c r="F35" i="112"/>
  <c r="G35" i="112" s="1"/>
  <c r="A35" i="112"/>
  <c r="H34" i="112"/>
  <c r="F34" i="112"/>
  <c r="G34" i="112" s="1"/>
  <c r="A34" i="112"/>
  <c r="H33" i="112"/>
  <c r="G33" i="112" s="1"/>
  <c r="F33" i="112"/>
  <c r="A33" i="112"/>
  <c r="H32" i="112"/>
  <c r="F32" i="112"/>
  <c r="G32" i="112" s="1"/>
  <c r="A32" i="112"/>
  <c r="H31" i="112"/>
  <c r="F31" i="112"/>
  <c r="G31" i="112" s="1"/>
  <c r="A31" i="112"/>
  <c r="H30" i="112"/>
  <c r="F30" i="112"/>
  <c r="G30" i="112" s="1"/>
  <c r="A30" i="112"/>
  <c r="H29" i="112"/>
  <c r="G29" i="112" s="1"/>
  <c r="F29" i="112"/>
  <c r="A29" i="112"/>
  <c r="H28" i="112"/>
  <c r="F28" i="112"/>
  <c r="G28" i="112" s="1"/>
  <c r="A28" i="112"/>
  <c r="H27" i="112"/>
  <c r="F27" i="112"/>
  <c r="G27" i="112" s="1"/>
  <c r="A27" i="112"/>
  <c r="H26" i="112"/>
  <c r="F26" i="112"/>
  <c r="G26" i="112" s="1"/>
  <c r="A26" i="112"/>
  <c r="H25" i="112"/>
  <c r="G25" i="112" s="1"/>
  <c r="F25" i="112"/>
  <c r="A25" i="112"/>
  <c r="H24" i="112"/>
  <c r="F24" i="112"/>
  <c r="G24" i="112" s="1"/>
  <c r="A24" i="112"/>
  <c r="H23" i="112"/>
  <c r="F23" i="112"/>
  <c r="G23" i="112" s="1"/>
  <c r="A23" i="112"/>
  <c r="H22" i="112"/>
  <c r="F22" i="112"/>
  <c r="G22" i="112" s="1"/>
  <c r="A22" i="112"/>
  <c r="H21" i="112"/>
  <c r="G21" i="112" s="1"/>
  <c r="F21" i="112"/>
  <c r="A21" i="112"/>
  <c r="H20" i="112"/>
  <c r="F20" i="112"/>
  <c r="G20" i="112" s="1"/>
  <c r="A20" i="112"/>
  <c r="H19" i="112"/>
  <c r="F19" i="112"/>
  <c r="G19" i="112" s="1"/>
  <c r="A19" i="112"/>
  <c r="H18" i="112"/>
  <c r="F18" i="112"/>
  <c r="G18" i="112" s="1"/>
  <c r="A18" i="112"/>
  <c r="H17" i="112"/>
  <c r="G17" i="112" s="1"/>
  <c r="F17" i="112"/>
  <c r="A17" i="112"/>
  <c r="H16" i="112"/>
  <c r="F16" i="112"/>
  <c r="G16" i="112" s="1"/>
  <c r="A16" i="112"/>
  <c r="H15" i="112"/>
  <c r="F15" i="112"/>
  <c r="G15" i="112" s="1"/>
  <c r="A15" i="112"/>
  <c r="H14" i="112"/>
  <c r="F14" i="112"/>
  <c r="G14" i="112" s="1"/>
  <c r="A14" i="112"/>
  <c r="H13" i="112"/>
  <c r="F13" i="112"/>
  <c r="H12" i="112"/>
  <c r="F12" i="112"/>
  <c r="G12" i="112" s="1"/>
  <c r="H11" i="112"/>
  <c r="F11" i="112"/>
  <c r="H10" i="112"/>
  <c r="F10" i="112"/>
  <c r="H9" i="112"/>
  <c r="F9" i="112"/>
  <c r="H8" i="112"/>
  <c r="F8" i="112"/>
  <c r="H7" i="112"/>
  <c r="F7" i="112"/>
  <c r="G7" i="112" s="1"/>
  <c r="H6" i="112"/>
  <c r="F6" i="112"/>
  <c r="H5" i="112"/>
  <c r="F5" i="112"/>
  <c r="H4" i="112"/>
  <c r="F4" i="112"/>
  <c r="H3" i="112"/>
  <c r="F3" i="112"/>
  <c r="H160" i="111"/>
  <c r="F160" i="111"/>
  <c r="G160" i="111" s="1"/>
  <c r="A160" i="111"/>
  <c r="H159" i="111"/>
  <c r="F159" i="111"/>
  <c r="G159" i="111" s="1"/>
  <c r="A159" i="111"/>
  <c r="H158" i="111"/>
  <c r="F158" i="111"/>
  <c r="G158" i="111" s="1"/>
  <c r="A158" i="111"/>
  <c r="H157" i="111"/>
  <c r="G157" i="111"/>
  <c r="F157" i="111"/>
  <c r="A157" i="111"/>
  <c r="H156" i="111"/>
  <c r="F156" i="111"/>
  <c r="G156" i="111" s="1"/>
  <c r="A156" i="111"/>
  <c r="H155" i="111"/>
  <c r="F155" i="111"/>
  <c r="G155" i="111" s="1"/>
  <c r="A155" i="111"/>
  <c r="H154" i="111"/>
  <c r="F154" i="111"/>
  <c r="G154" i="111" s="1"/>
  <c r="A154" i="111"/>
  <c r="H153" i="111"/>
  <c r="G153" i="111"/>
  <c r="F153" i="111"/>
  <c r="A153" i="111"/>
  <c r="H152" i="111"/>
  <c r="F152" i="111"/>
  <c r="G152" i="111" s="1"/>
  <c r="A152" i="111"/>
  <c r="H151" i="111"/>
  <c r="F151" i="111"/>
  <c r="G151" i="111" s="1"/>
  <c r="A151" i="111"/>
  <c r="H150" i="111"/>
  <c r="F150" i="111"/>
  <c r="G150" i="111" s="1"/>
  <c r="A150" i="111"/>
  <c r="H149" i="111"/>
  <c r="G149" i="111"/>
  <c r="F149" i="111"/>
  <c r="A149" i="111"/>
  <c r="H148" i="111"/>
  <c r="F148" i="111"/>
  <c r="G148" i="111" s="1"/>
  <c r="A148" i="111"/>
  <c r="H147" i="111"/>
  <c r="F147" i="111"/>
  <c r="G147" i="111" s="1"/>
  <c r="A147" i="111"/>
  <c r="H146" i="111"/>
  <c r="F146" i="111"/>
  <c r="G146" i="111" s="1"/>
  <c r="A146" i="111"/>
  <c r="H145" i="111"/>
  <c r="G145" i="111"/>
  <c r="F145" i="111"/>
  <c r="A145" i="111"/>
  <c r="H144" i="111"/>
  <c r="F144" i="111"/>
  <c r="G144" i="111" s="1"/>
  <c r="A144" i="111"/>
  <c r="H143" i="111"/>
  <c r="F143" i="111"/>
  <c r="G143" i="111" s="1"/>
  <c r="A143" i="111"/>
  <c r="H142" i="111"/>
  <c r="F142" i="111"/>
  <c r="G142" i="111" s="1"/>
  <c r="A142" i="111"/>
  <c r="H141" i="111"/>
  <c r="G141" i="111"/>
  <c r="F141" i="111"/>
  <c r="A141" i="111"/>
  <c r="H140" i="111"/>
  <c r="F140" i="111"/>
  <c r="G140" i="111" s="1"/>
  <c r="A140" i="111"/>
  <c r="H139" i="111"/>
  <c r="F139" i="111"/>
  <c r="G139" i="111" s="1"/>
  <c r="A139" i="111"/>
  <c r="H138" i="111"/>
  <c r="F138" i="111"/>
  <c r="G138" i="111" s="1"/>
  <c r="A138" i="111"/>
  <c r="H137" i="111"/>
  <c r="G137" i="111"/>
  <c r="F137" i="111"/>
  <c r="A137" i="111"/>
  <c r="H136" i="111"/>
  <c r="F136" i="111"/>
  <c r="G136" i="111" s="1"/>
  <c r="A136" i="111"/>
  <c r="H135" i="111"/>
  <c r="F135" i="111"/>
  <c r="G135" i="111" s="1"/>
  <c r="A135" i="111"/>
  <c r="H134" i="111"/>
  <c r="F134" i="111"/>
  <c r="G134" i="111" s="1"/>
  <c r="A134" i="111"/>
  <c r="H133" i="111"/>
  <c r="G133" i="111"/>
  <c r="F133" i="111"/>
  <c r="A133" i="111"/>
  <c r="H132" i="111"/>
  <c r="F132" i="111"/>
  <c r="G132" i="111" s="1"/>
  <c r="A132" i="111"/>
  <c r="H131" i="111"/>
  <c r="F131" i="111"/>
  <c r="G131" i="111" s="1"/>
  <c r="A131" i="111"/>
  <c r="H130" i="111"/>
  <c r="F130" i="111"/>
  <c r="G130" i="111" s="1"/>
  <c r="A130" i="111"/>
  <c r="H129" i="111"/>
  <c r="G129" i="111"/>
  <c r="F129" i="111"/>
  <c r="A129" i="111"/>
  <c r="H128" i="111"/>
  <c r="F128" i="111"/>
  <c r="G128" i="111" s="1"/>
  <c r="A128" i="111"/>
  <c r="H127" i="111"/>
  <c r="F127" i="111"/>
  <c r="G127" i="111" s="1"/>
  <c r="A127" i="111"/>
  <c r="H126" i="111"/>
  <c r="F126" i="111"/>
  <c r="G126" i="111" s="1"/>
  <c r="A126" i="111"/>
  <c r="H125" i="111"/>
  <c r="G125" i="111"/>
  <c r="F125" i="111"/>
  <c r="A125" i="111"/>
  <c r="H124" i="111"/>
  <c r="F124" i="111"/>
  <c r="G124" i="111" s="1"/>
  <c r="A124" i="111"/>
  <c r="H123" i="111"/>
  <c r="F123" i="111"/>
  <c r="G123" i="111" s="1"/>
  <c r="A123" i="111"/>
  <c r="H122" i="111"/>
  <c r="F122" i="111"/>
  <c r="G122" i="111" s="1"/>
  <c r="A122" i="111"/>
  <c r="H121" i="111"/>
  <c r="G121" i="111"/>
  <c r="F121" i="111"/>
  <c r="A121" i="111"/>
  <c r="H120" i="111"/>
  <c r="F120" i="111"/>
  <c r="G120" i="111" s="1"/>
  <c r="A120" i="111"/>
  <c r="H119" i="111"/>
  <c r="F119" i="111"/>
  <c r="G119" i="111" s="1"/>
  <c r="A119" i="111"/>
  <c r="H118" i="111"/>
  <c r="F118" i="111"/>
  <c r="G118" i="111" s="1"/>
  <c r="A118" i="111"/>
  <c r="H117" i="111"/>
  <c r="G117" i="111"/>
  <c r="F117" i="111"/>
  <c r="A117" i="111"/>
  <c r="H116" i="111"/>
  <c r="F116" i="111"/>
  <c r="G116" i="111" s="1"/>
  <c r="A116" i="111"/>
  <c r="H115" i="111"/>
  <c r="F115" i="111"/>
  <c r="G115" i="111" s="1"/>
  <c r="A115" i="111"/>
  <c r="H114" i="111"/>
  <c r="F114" i="111"/>
  <c r="G114" i="111" s="1"/>
  <c r="A114" i="111"/>
  <c r="H113" i="111"/>
  <c r="G113" i="111"/>
  <c r="F113" i="111"/>
  <c r="A113" i="111"/>
  <c r="H112" i="111"/>
  <c r="F112" i="111"/>
  <c r="G112" i="111" s="1"/>
  <c r="A112" i="111"/>
  <c r="H111" i="111"/>
  <c r="F111" i="111"/>
  <c r="G111" i="111" s="1"/>
  <c r="A111" i="111"/>
  <c r="H110" i="111"/>
  <c r="F110" i="111"/>
  <c r="G110" i="111" s="1"/>
  <c r="A110" i="111"/>
  <c r="H109" i="111"/>
  <c r="G109" i="111"/>
  <c r="F109" i="111"/>
  <c r="A109" i="111"/>
  <c r="H108" i="111"/>
  <c r="F108" i="111"/>
  <c r="G108" i="111" s="1"/>
  <c r="A108" i="111"/>
  <c r="H107" i="111"/>
  <c r="F107" i="111"/>
  <c r="G107" i="111" s="1"/>
  <c r="A107" i="111"/>
  <c r="H106" i="111"/>
  <c r="F106" i="111"/>
  <c r="G106" i="111" s="1"/>
  <c r="A106" i="111"/>
  <c r="H105" i="111"/>
  <c r="G105" i="111"/>
  <c r="F105" i="111"/>
  <c r="A105" i="111"/>
  <c r="H104" i="111"/>
  <c r="F104" i="111"/>
  <c r="G104" i="111" s="1"/>
  <c r="A104" i="111"/>
  <c r="H103" i="111"/>
  <c r="F103" i="111"/>
  <c r="G103" i="111" s="1"/>
  <c r="A103" i="111"/>
  <c r="H102" i="111"/>
  <c r="F102" i="111"/>
  <c r="G102" i="111" s="1"/>
  <c r="A102" i="111"/>
  <c r="H101" i="111"/>
  <c r="G101" i="111"/>
  <c r="F101" i="111"/>
  <c r="A101" i="111"/>
  <c r="H100" i="111"/>
  <c r="F100" i="111"/>
  <c r="G100" i="111" s="1"/>
  <c r="A100" i="111"/>
  <c r="H99" i="111"/>
  <c r="F99" i="111"/>
  <c r="G99" i="111" s="1"/>
  <c r="A99" i="111"/>
  <c r="H98" i="111"/>
  <c r="F98" i="111"/>
  <c r="G98" i="111" s="1"/>
  <c r="A98" i="111"/>
  <c r="H97" i="111"/>
  <c r="G97" i="111"/>
  <c r="F97" i="111"/>
  <c r="A97" i="111"/>
  <c r="H96" i="111"/>
  <c r="F96" i="111"/>
  <c r="G96" i="111" s="1"/>
  <c r="A96" i="111"/>
  <c r="H95" i="111"/>
  <c r="F95" i="111"/>
  <c r="G95" i="111" s="1"/>
  <c r="A95" i="111"/>
  <c r="H94" i="111"/>
  <c r="F94" i="111"/>
  <c r="G94" i="111" s="1"/>
  <c r="A94" i="111"/>
  <c r="H93" i="111"/>
  <c r="G93" i="111"/>
  <c r="F93" i="111"/>
  <c r="A93" i="111"/>
  <c r="H92" i="111"/>
  <c r="F92" i="111"/>
  <c r="G92" i="111" s="1"/>
  <c r="A92" i="111"/>
  <c r="H91" i="111"/>
  <c r="F91" i="111"/>
  <c r="G91" i="111" s="1"/>
  <c r="A91" i="111"/>
  <c r="H90" i="111"/>
  <c r="F90" i="111"/>
  <c r="G90" i="111" s="1"/>
  <c r="A90" i="111"/>
  <c r="H89" i="111"/>
  <c r="G89" i="111"/>
  <c r="F89" i="111"/>
  <c r="A89" i="111"/>
  <c r="H88" i="111"/>
  <c r="F88" i="111"/>
  <c r="G88" i="111" s="1"/>
  <c r="A88" i="111"/>
  <c r="H87" i="111"/>
  <c r="F87" i="111"/>
  <c r="G87" i="111" s="1"/>
  <c r="A87" i="111"/>
  <c r="H86" i="111"/>
  <c r="F86" i="111"/>
  <c r="G86" i="111" s="1"/>
  <c r="A86" i="111"/>
  <c r="H85" i="111"/>
  <c r="G85" i="111"/>
  <c r="F85" i="111"/>
  <c r="A85" i="111"/>
  <c r="H84" i="111"/>
  <c r="F84" i="111"/>
  <c r="G84" i="111" s="1"/>
  <c r="A84" i="111"/>
  <c r="H83" i="111"/>
  <c r="F83" i="111"/>
  <c r="G83" i="111" s="1"/>
  <c r="A83" i="111"/>
  <c r="H82" i="111"/>
  <c r="F82" i="111"/>
  <c r="G82" i="111" s="1"/>
  <c r="A82" i="111"/>
  <c r="H81" i="111"/>
  <c r="G81" i="111"/>
  <c r="F81" i="111"/>
  <c r="A81" i="111"/>
  <c r="H80" i="111"/>
  <c r="F80" i="111"/>
  <c r="G80" i="111" s="1"/>
  <c r="A80" i="111"/>
  <c r="H79" i="111"/>
  <c r="F79" i="111"/>
  <c r="G79" i="111" s="1"/>
  <c r="A79" i="111"/>
  <c r="H78" i="111"/>
  <c r="F78" i="111"/>
  <c r="G78" i="111" s="1"/>
  <c r="A78" i="111"/>
  <c r="H77" i="111"/>
  <c r="G77" i="111"/>
  <c r="F77" i="111"/>
  <c r="A77" i="111"/>
  <c r="H76" i="111"/>
  <c r="F76" i="111"/>
  <c r="G76" i="111" s="1"/>
  <c r="A76" i="111"/>
  <c r="H75" i="111"/>
  <c r="F75" i="111"/>
  <c r="G75" i="111" s="1"/>
  <c r="A75" i="111"/>
  <c r="H74" i="111"/>
  <c r="F74" i="111"/>
  <c r="G74" i="111" s="1"/>
  <c r="A74" i="111"/>
  <c r="H73" i="111"/>
  <c r="G73" i="111"/>
  <c r="F73" i="111"/>
  <c r="A73" i="111"/>
  <c r="H72" i="111"/>
  <c r="F72" i="111"/>
  <c r="G72" i="111" s="1"/>
  <c r="A72" i="111"/>
  <c r="H71" i="111"/>
  <c r="F71" i="111"/>
  <c r="G71" i="111" s="1"/>
  <c r="A71" i="111"/>
  <c r="H70" i="111"/>
  <c r="F70" i="111"/>
  <c r="G70" i="111" s="1"/>
  <c r="A70" i="111"/>
  <c r="H69" i="111"/>
  <c r="G69" i="111"/>
  <c r="F69" i="111"/>
  <c r="A69" i="111"/>
  <c r="H68" i="111"/>
  <c r="F68" i="111"/>
  <c r="G68" i="111" s="1"/>
  <c r="A68" i="111"/>
  <c r="H67" i="111"/>
  <c r="F67" i="111"/>
  <c r="G67" i="111" s="1"/>
  <c r="A67" i="111"/>
  <c r="H66" i="111"/>
  <c r="F66" i="111"/>
  <c r="G66" i="111" s="1"/>
  <c r="A66" i="111"/>
  <c r="H65" i="111"/>
  <c r="G65" i="111"/>
  <c r="F65" i="111"/>
  <c r="A65" i="111"/>
  <c r="H64" i="111"/>
  <c r="F64" i="111"/>
  <c r="G64" i="111" s="1"/>
  <c r="A64" i="111"/>
  <c r="H63" i="111"/>
  <c r="F63" i="111"/>
  <c r="G63" i="111" s="1"/>
  <c r="A63" i="111"/>
  <c r="H62" i="111"/>
  <c r="F62" i="111"/>
  <c r="G62" i="111" s="1"/>
  <c r="A62" i="111"/>
  <c r="H61" i="111"/>
  <c r="G61" i="111"/>
  <c r="F61" i="111"/>
  <c r="A61" i="111"/>
  <c r="H60" i="111"/>
  <c r="F60" i="111"/>
  <c r="G60" i="111" s="1"/>
  <c r="A60" i="111"/>
  <c r="H59" i="111"/>
  <c r="F59" i="111"/>
  <c r="G59" i="111" s="1"/>
  <c r="A59" i="111"/>
  <c r="H58" i="111"/>
  <c r="F58" i="111"/>
  <c r="G58" i="111" s="1"/>
  <c r="A58" i="111"/>
  <c r="H57" i="111"/>
  <c r="G57" i="111"/>
  <c r="F57" i="111"/>
  <c r="A57" i="111"/>
  <c r="H56" i="111"/>
  <c r="F56" i="111"/>
  <c r="G56" i="111" s="1"/>
  <c r="A56" i="111"/>
  <c r="H55" i="111"/>
  <c r="F55" i="111"/>
  <c r="G55" i="111" s="1"/>
  <c r="A55" i="111"/>
  <c r="H54" i="111"/>
  <c r="F54" i="111"/>
  <c r="G54" i="111" s="1"/>
  <c r="A54" i="111"/>
  <c r="H53" i="111"/>
  <c r="G53" i="111"/>
  <c r="F53" i="111"/>
  <c r="A53" i="111"/>
  <c r="H52" i="111"/>
  <c r="F52" i="111"/>
  <c r="G52" i="111" s="1"/>
  <c r="A52" i="111"/>
  <c r="H51" i="111"/>
  <c r="F51" i="111"/>
  <c r="G51" i="111" s="1"/>
  <c r="A51" i="111"/>
  <c r="H50" i="111"/>
  <c r="F50" i="111"/>
  <c r="G50" i="111" s="1"/>
  <c r="A50" i="111"/>
  <c r="H49" i="111"/>
  <c r="G49" i="111"/>
  <c r="F49" i="111"/>
  <c r="A49" i="111"/>
  <c r="H48" i="111"/>
  <c r="F48" i="111"/>
  <c r="G48" i="111" s="1"/>
  <c r="A48" i="111"/>
  <c r="H47" i="111"/>
  <c r="F47" i="111"/>
  <c r="G47" i="111" s="1"/>
  <c r="A47" i="111"/>
  <c r="H46" i="111"/>
  <c r="F46" i="111"/>
  <c r="G46" i="111" s="1"/>
  <c r="A46" i="111"/>
  <c r="H45" i="111"/>
  <c r="G45" i="111"/>
  <c r="F45" i="111"/>
  <c r="A45" i="111"/>
  <c r="H44" i="111"/>
  <c r="F44" i="111"/>
  <c r="G44" i="111" s="1"/>
  <c r="A44" i="111"/>
  <c r="H43" i="111"/>
  <c r="F43" i="111"/>
  <c r="G43" i="111" s="1"/>
  <c r="A43" i="111"/>
  <c r="H42" i="111"/>
  <c r="F42" i="111"/>
  <c r="G42" i="111" s="1"/>
  <c r="A42" i="111"/>
  <c r="H41" i="111"/>
  <c r="G41" i="111"/>
  <c r="F41" i="11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G37" i="111"/>
  <c r="F37" i="11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G33" i="111"/>
  <c r="F33" i="111"/>
  <c r="A33" i="111"/>
  <c r="H32" i="111"/>
  <c r="F32" i="111"/>
  <c r="G32" i="111" s="1"/>
  <c r="A32" i="111"/>
  <c r="H31" i="111"/>
  <c r="F31" i="111"/>
  <c r="G31" i="111" s="1"/>
  <c r="A31" i="111"/>
  <c r="H30" i="111"/>
  <c r="F30" i="111"/>
  <c r="G30" i="111" s="1"/>
  <c r="A30" i="111"/>
  <c r="H29" i="111"/>
  <c r="G29" i="111"/>
  <c r="F29" i="111"/>
  <c r="A29" i="111"/>
  <c r="H28" i="111"/>
  <c r="F28" i="111"/>
  <c r="G28" i="111" s="1"/>
  <c r="A28" i="111"/>
  <c r="H27" i="111"/>
  <c r="F27" i="111"/>
  <c r="G27" i="111" s="1"/>
  <c r="A27" i="111"/>
  <c r="H26" i="111"/>
  <c r="F26" i="111"/>
  <c r="G26" i="111" s="1"/>
  <c r="A26" i="111"/>
  <c r="H25" i="111"/>
  <c r="F25" i="111"/>
  <c r="G25" i="111" s="1"/>
  <c r="H24" i="111"/>
  <c r="F24" i="111"/>
  <c r="H23" i="111"/>
  <c r="F23" i="111"/>
  <c r="H22" i="111"/>
  <c r="F22" i="111"/>
  <c r="H21" i="111"/>
  <c r="F21" i="111"/>
  <c r="H20" i="111"/>
  <c r="F20" i="111"/>
  <c r="G20" i="111" s="1"/>
  <c r="H19" i="111"/>
  <c r="F19" i="111"/>
  <c r="G19" i="111" s="1"/>
  <c r="H18" i="111"/>
  <c r="F18" i="111"/>
  <c r="H17" i="111"/>
  <c r="F17" i="111"/>
  <c r="H16" i="111"/>
  <c r="F16" i="111"/>
  <c r="H15" i="111"/>
  <c r="F15" i="111"/>
  <c r="G15" i="111" s="1"/>
  <c r="A15" i="111"/>
  <c r="H14" i="111"/>
  <c r="F14" i="111"/>
  <c r="H13" i="111"/>
  <c r="F13" i="111"/>
  <c r="G13" i="111" s="1"/>
  <c r="H12" i="111"/>
  <c r="F12" i="111"/>
  <c r="H11" i="111"/>
  <c r="F11" i="111"/>
  <c r="H10" i="111"/>
  <c r="F10" i="111"/>
  <c r="G10" i="111" s="1"/>
  <c r="H9" i="111"/>
  <c r="F9" i="111"/>
  <c r="H8" i="111"/>
  <c r="F8" i="111"/>
  <c r="H7" i="111"/>
  <c r="F7" i="111"/>
  <c r="H6" i="111"/>
  <c r="F6" i="111"/>
  <c r="H5" i="111"/>
  <c r="F5" i="111"/>
  <c r="H4" i="111"/>
  <c r="F4" i="111"/>
  <c r="H3" i="111"/>
  <c r="F3" i="111"/>
  <c r="H160" i="113"/>
  <c r="F160" i="113"/>
  <c r="G160" i="113" s="1"/>
  <c r="A160" i="113"/>
  <c r="H159" i="113"/>
  <c r="F159" i="113"/>
  <c r="G159" i="113" s="1"/>
  <c r="A159" i="113"/>
  <c r="H158" i="113"/>
  <c r="F158" i="113"/>
  <c r="G158" i="113" s="1"/>
  <c r="A158" i="113"/>
  <c r="H157" i="113"/>
  <c r="F157" i="113"/>
  <c r="G157" i="113" s="1"/>
  <c r="A157" i="113"/>
  <c r="H156" i="113"/>
  <c r="F156" i="113"/>
  <c r="G156" i="113" s="1"/>
  <c r="A156" i="113"/>
  <c r="H155" i="113"/>
  <c r="F155" i="113"/>
  <c r="G155" i="113" s="1"/>
  <c r="A155" i="113"/>
  <c r="H154" i="113"/>
  <c r="F154" i="113"/>
  <c r="G154" i="113" s="1"/>
  <c r="A154" i="113"/>
  <c r="H153" i="113"/>
  <c r="F153" i="113"/>
  <c r="G153" i="113" s="1"/>
  <c r="A153" i="113"/>
  <c r="H152" i="113"/>
  <c r="F152" i="113"/>
  <c r="G152" i="113" s="1"/>
  <c r="A152" i="113"/>
  <c r="H151" i="113"/>
  <c r="F151" i="113"/>
  <c r="G151" i="113" s="1"/>
  <c r="A151" i="113"/>
  <c r="H150" i="113"/>
  <c r="F150" i="113"/>
  <c r="G150" i="113" s="1"/>
  <c r="A150" i="113"/>
  <c r="H149" i="113"/>
  <c r="F149" i="113"/>
  <c r="G149" i="113" s="1"/>
  <c r="A149" i="113"/>
  <c r="H148" i="113"/>
  <c r="F148" i="113"/>
  <c r="G148" i="113" s="1"/>
  <c r="A148" i="113"/>
  <c r="H147" i="113"/>
  <c r="F147" i="113"/>
  <c r="G147" i="113" s="1"/>
  <c r="A147" i="113"/>
  <c r="H146" i="113"/>
  <c r="F146" i="113"/>
  <c r="G146" i="113" s="1"/>
  <c r="A146" i="113"/>
  <c r="H145" i="113"/>
  <c r="F145" i="113"/>
  <c r="G145" i="113" s="1"/>
  <c r="A145" i="113"/>
  <c r="H144" i="113"/>
  <c r="F144" i="113"/>
  <c r="G144" i="113" s="1"/>
  <c r="A144" i="113"/>
  <c r="H143" i="113"/>
  <c r="F143" i="113"/>
  <c r="G143" i="113" s="1"/>
  <c r="A143" i="113"/>
  <c r="H142" i="113"/>
  <c r="F142" i="113"/>
  <c r="G142" i="113" s="1"/>
  <c r="A142" i="113"/>
  <c r="H141" i="113"/>
  <c r="F141" i="113"/>
  <c r="G141" i="113" s="1"/>
  <c r="A141" i="113"/>
  <c r="H140" i="113"/>
  <c r="F140" i="113"/>
  <c r="G140" i="113" s="1"/>
  <c r="A140" i="113"/>
  <c r="H139" i="113"/>
  <c r="F139" i="113"/>
  <c r="G139" i="113" s="1"/>
  <c r="A139" i="113"/>
  <c r="H138" i="113"/>
  <c r="F138" i="113"/>
  <c r="G138" i="113" s="1"/>
  <c r="A138" i="113"/>
  <c r="H137" i="113"/>
  <c r="F137" i="113"/>
  <c r="G137" i="113" s="1"/>
  <c r="A137" i="113"/>
  <c r="H136" i="113"/>
  <c r="F136" i="113"/>
  <c r="G136" i="113" s="1"/>
  <c r="A136" i="113"/>
  <c r="H135" i="113"/>
  <c r="F135" i="113"/>
  <c r="G135" i="113" s="1"/>
  <c r="A135" i="113"/>
  <c r="H134" i="113"/>
  <c r="F134" i="113"/>
  <c r="G134" i="113" s="1"/>
  <c r="A134" i="113"/>
  <c r="H133" i="113"/>
  <c r="F133" i="113"/>
  <c r="G133" i="113" s="1"/>
  <c r="A133" i="113"/>
  <c r="H132" i="113"/>
  <c r="F132" i="113"/>
  <c r="G132" i="113" s="1"/>
  <c r="A132" i="113"/>
  <c r="H131" i="113"/>
  <c r="F131" i="113"/>
  <c r="G131" i="113" s="1"/>
  <c r="A131" i="113"/>
  <c r="H130" i="113"/>
  <c r="F130" i="113"/>
  <c r="G130" i="113" s="1"/>
  <c r="A130" i="113"/>
  <c r="H129" i="113"/>
  <c r="F129" i="113"/>
  <c r="G129" i="113" s="1"/>
  <c r="A129" i="113"/>
  <c r="H128" i="113"/>
  <c r="F128" i="113"/>
  <c r="G128" i="113" s="1"/>
  <c r="A128" i="113"/>
  <c r="H127" i="113"/>
  <c r="F127" i="113"/>
  <c r="G127" i="113" s="1"/>
  <c r="A127" i="113"/>
  <c r="H126" i="113"/>
  <c r="F126" i="113"/>
  <c r="G126" i="113" s="1"/>
  <c r="A126" i="113"/>
  <c r="H125" i="113"/>
  <c r="F125" i="113"/>
  <c r="G125" i="113" s="1"/>
  <c r="A125" i="113"/>
  <c r="H124" i="113"/>
  <c r="F124" i="113"/>
  <c r="G124" i="113" s="1"/>
  <c r="A124" i="113"/>
  <c r="H123" i="113"/>
  <c r="F123" i="113"/>
  <c r="G123" i="113" s="1"/>
  <c r="A123" i="113"/>
  <c r="H122" i="113"/>
  <c r="F122" i="113"/>
  <c r="G122" i="113" s="1"/>
  <c r="A122" i="113"/>
  <c r="H121" i="113"/>
  <c r="F121" i="113"/>
  <c r="G121" i="113" s="1"/>
  <c r="A121" i="113"/>
  <c r="H120" i="113"/>
  <c r="F120" i="113"/>
  <c r="G120" i="113" s="1"/>
  <c r="A120" i="113"/>
  <c r="H119" i="113"/>
  <c r="F119" i="113"/>
  <c r="G119" i="113" s="1"/>
  <c r="A119" i="113"/>
  <c r="H118" i="113"/>
  <c r="F118" i="113"/>
  <c r="G118" i="113" s="1"/>
  <c r="A118" i="113"/>
  <c r="H117" i="113"/>
  <c r="F117" i="113"/>
  <c r="G117" i="113" s="1"/>
  <c r="A117" i="113"/>
  <c r="H116" i="113"/>
  <c r="F116" i="113"/>
  <c r="G116" i="113" s="1"/>
  <c r="A116" i="113"/>
  <c r="H115" i="113"/>
  <c r="F115" i="113"/>
  <c r="G115" i="113" s="1"/>
  <c r="A115" i="113"/>
  <c r="H114" i="113"/>
  <c r="F114" i="113"/>
  <c r="G114" i="113" s="1"/>
  <c r="A114" i="113"/>
  <c r="H113" i="113"/>
  <c r="F113" i="113"/>
  <c r="G113" i="113" s="1"/>
  <c r="A113" i="113"/>
  <c r="H112" i="113"/>
  <c r="F112" i="113"/>
  <c r="G112" i="113" s="1"/>
  <c r="A112" i="113"/>
  <c r="H111" i="113"/>
  <c r="F111" i="113"/>
  <c r="G111" i="113" s="1"/>
  <c r="A111" i="113"/>
  <c r="H110" i="113"/>
  <c r="F110" i="113"/>
  <c r="G110" i="113" s="1"/>
  <c r="A110" i="113"/>
  <c r="H109" i="113"/>
  <c r="F109" i="113"/>
  <c r="G109" i="113" s="1"/>
  <c r="A109" i="113"/>
  <c r="H108" i="113"/>
  <c r="F108" i="113"/>
  <c r="G108" i="113" s="1"/>
  <c r="A108" i="113"/>
  <c r="H107" i="113"/>
  <c r="F107" i="113"/>
  <c r="G107" i="113" s="1"/>
  <c r="A107" i="113"/>
  <c r="H106" i="113"/>
  <c r="F106" i="113"/>
  <c r="G106" i="113" s="1"/>
  <c r="A106" i="113"/>
  <c r="H105" i="113"/>
  <c r="F105" i="113"/>
  <c r="G105" i="113" s="1"/>
  <c r="A105" i="113"/>
  <c r="H104" i="113"/>
  <c r="F104" i="113"/>
  <c r="G104" i="113" s="1"/>
  <c r="A104" i="113"/>
  <c r="H103" i="113"/>
  <c r="F103" i="113"/>
  <c r="G103" i="113" s="1"/>
  <c r="A103" i="113"/>
  <c r="H102" i="113"/>
  <c r="F102" i="113"/>
  <c r="G102" i="113" s="1"/>
  <c r="A102" i="113"/>
  <c r="H101" i="113"/>
  <c r="F101" i="113"/>
  <c r="G101" i="113" s="1"/>
  <c r="A101" i="113"/>
  <c r="H100" i="113"/>
  <c r="F100" i="113"/>
  <c r="G100" i="113" s="1"/>
  <c r="A100" i="113"/>
  <c r="H99" i="113"/>
  <c r="F99" i="113"/>
  <c r="G99" i="113" s="1"/>
  <c r="A99" i="113"/>
  <c r="H98" i="113"/>
  <c r="F98" i="113"/>
  <c r="G98" i="113" s="1"/>
  <c r="A98" i="113"/>
  <c r="H97" i="113"/>
  <c r="F97" i="113"/>
  <c r="G97" i="113" s="1"/>
  <c r="A97" i="113"/>
  <c r="H96" i="113"/>
  <c r="F96" i="113"/>
  <c r="G96" i="113" s="1"/>
  <c r="A96" i="113"/>
  <c r="H95" i="113"/>
  <c r="F95" i="113"/>
  <c r="G95" i="113" s="1"/>
  <c r="A95" i="113"/>
  <c r="H94" i="113"/>
  <c r="F94" i="113"/>
  <c r="G94" i="113" s="1"/>
  <c r="A94" i="113"/>
  <c r="H93" i="113"/>
  <c r="F93" i="113"/>
  <c r="G93" i="113" s="1"/>
  <c r="A93" i="113"/>
  <c r="H92" i="113"/>
  <c r="F92" i="113"/>
  <c r="G92" i="113" s="1"/>
  <c r="A92" i="113"/>
  <c r="H91" i="113"/>
  <c r="F91" i="113"/>
  <c r="G91" i="113" s="1"/>
  <c r="A91" i="113"/>
  <c r="H90" i="113"/>
  <c r="F90" i="113"/>
  <c r="G90" i="113" s="1"/>
  <c r="A90" i="113"/>
  <c r="H89" i="113"/>
  <c r="F89" i="113"/>
  <c r="G89" i="113" s="1"/>
  <c r="A89" i="113"/>
  <c r="H88" i="113"/>
  <c r="F88" i="113"/>
  <c r="G88" i="113" s="1"/>
  <c r="A88" i="113"/>
  <c r="H87" i="113"/>
  <c r="F87" i="113"/>
  <c r="G87" i="113" s="1"/>
  <c r="A87" i="113"/>
  <c r="H86" i="113"/>
  <c r="F86" i="113"/>
  <c r="G86" i="113" s="1"/>
  <c r="A86" i="113"/>
  <c r="H85" i="113"/>
  <c r="F85" i="113"/>
  <c r="G85" i="113" s="1"/>
  <c r="A85" i="113"/>
  <c r="H84" i="113"/>
  <c r="F84" i="113"/>
  <c r="G84" i="113" s="1"/>
  <c r="A84" i="113"/>
  <c r="H83" i="113"/>
  <c r="F83" i="113"/>
  <c r="G83" i="113" s="1"/>
  <c r="A83" i="113"/>
  <c r="H82" i="113"/>
  <c r="F82" i="113"/>
  <c r="G82" i="113" s="1"/>
  <c r="A82" i="113"/>
  <c r="H81" i="113"/>
  <c r="F81" i="113"/>
  <c r="G81" i="113" s="1"/>
  <c r="A81" i="113"/>
  <c r="H80" i="113"/>
  <c r="F80" i="113"/>
  <c r="G80" i="113" s="1"/>
  <c r="A80" i="113"/>
  <c r="H79" i="113"/>
  <c r="F79" i="113"/>
  <c r="G79" i="113" s="1"/>
  <c r="A79" i="113"/>
  <c r="H78" i="113"/>
  <c r="F78" i="113"/>
  <c r="G78" i="113" s="1"/>
  <c r="A78" i="113"/>
  <c r="H77" i="113"/>
  <c r="F77" i="113"/>
  <c r="G77" i="113" s="1"/>
  <c r="A77" i="113"/>
  <c r="H76" i="113"/>
  <c r="F76" i="113"/>
  <c r="G76" i="113" s="1"/>
  <c r="A76" i="113"/>
  <c r="H75" i="113"/>
  <c r="F75" i="113"/>
  <c r="G75" i="113" s="1"/>
  <c r="A75" i="113"/>
  <c r="H74" i="113"/>
  <c r="F74" i="113"/>
  <c r="G74" i="113" s="1"/>
  <c r="A74" i="113"/>
  <c r="H73" i="113"/>
  <c r="F73" i="113"/>
  <c r="G73" i="113" s="1"/>
  <c r="A73" i="113"/>
  <c r="H72" i="113"/>
  <c r="F72" i="113"/>
  <c r="G72" i="113" s="1"/>
  <c r="A72" i="113"/>
  <c r="H71" i="113"/>
  <c r="F71" i="113"/>
  <c r="G71" i="113" s="1"/>
  <c r="A71" i="113"/>
  <c r="H70" i="113"/>
  <c r="F70" i="113"/>
  <c r="G70" i="113" s="1"/>
  <c r="A70" i="113"/>
  <c r="H69" i="113"/>
  <c r="F69" i="113"/>
  <c r="G69" i="113" s="1"/>
  <c r="A69" i="113"/>
  <c r="H68" i="113"/>
  <c r="F68" i="113"/>
  <c r="G68" i="113" s="1"/>
  <c r="A68" i="113"/>
  <c r="H67" i="113"/>
  <c r="F67" i="113"/>
  <c r="G67" i="113" s="1"/>
  <c r="A67" i="113"/>
  <c r="H66" i="113"/>
  <c r="F66" i="113"/>
  <c r="G66" i="113" s="1"/>
  <c r="A66" i="113"/>
  <c r="H65" i="113"/>
  <c r="F65" i="113"/>
  <c r="G65" i="113" s="1"/>
  <c r="A65" i="113"/>
  <c r="H64" i="113"/>
  <c r="F64" i="113"/>
  <c r="G64" i="113" s="1"/>
  <c r="A64" i="113"/>
  <c r="H63" i="113"/>
  <c r="F63" i="113"/>
  <c r="G63" i="113" s="1"/>
  <c r="A63" i="113"/>
  <c r="H62" i="113"/>
  <c r="F62" i="113"/>
  <c r="G62" i="113" s="1"/>
  <c r="A62" i="113"/>
  <c r="H61" i="113"/>
  <c r="F61" i="113"/>
  <c r="G61" i="113" s="1"/>
  <c r="A61" i="113"/>
  <c r="H60" i="113"/>
  <c r="F60" i="113"/>
  <c r="G60" i="113" s="1"/>
  <c r="A60" i="113"/>
  <c r="H59" i="113"/>
  <c r="F59" i="113"/>
  <c r="G59" i="113" s="1"/>
  <c r="A59" i="113"/>
  <c r="H58" i="113"/>
  <c r="F58" i="113"/>
  <c r="G58" i="113" s="1"/>
  <c r="A58" i="113"/>
  <c r="H57" i="113"/>
  <c r="F57" i="113"/>
  <c r="G57" i="113" s="1"/>
  <c r="A57" i="113"/>
  <c r="H56" i="113"/>
  <c r="F56" i="113"/>
  <c r="G56" i="113" s="1"/>
  <c r="A56" i="113"/>
  <c r="H55" i="113"/>
  <c r="F55" i="113"/>
  <c r="G55" i="113" s="1"/>
  <c r="A55" i="113"/>
  <c r="H54" i="113"/>
  <c r="F54" i="113"/>
  <c r="G54" i="113" s="1"/>
  <c r="A54" i="113"/>
  <c r="H53" i="113"/>
  <c r="F53" i="113"/>
  <c r="G53" i="113" s="1"/>
  <c r="A53" i="113"/>
  <c r="H52" i="113"/>
  <c r="F52" i="113"/>
  <c r="G52" i="113" s="1"/>
  <c r="A52" i="113"/>
  <c r="H51" i="113"/>
  <c r="F51" i="113"/>
  <c r="G51" i="113" s="1"/>
  <c r="A51" i="113"/>
  <c r="H50" i="113"/>
  <c r="F50" i="113"/>
  <c r="G50" i="113" s="1"/>
  <c r="A50" i="113"/>
  <c r="H49" i="113"/>
  <c r="F49" i="113"/>
  <c r="G49" i="113" s="1"/>
  <c r="A49" i="113"/>
  <c r="H48" i="113"/>
  <c r="F48" i="113"/>
  <c r="G48" i="113" s="1"/>
  <c r="A48" i="113"/>
  <c r="H47" i="113"/>
  <c r="F47" i="113"/>
  <c r="G47" i="113" s="1"/>
  <c r="A47" i="113"/>
  <c r="H46" i="113"/>
  <c r="F46" i="113"/>
  <c r="G46" i="113" s="1"/>
  <c r="A46" i="113"/>
  <c r="H45" i="113"/>
  <c r="F45" i="113"/>
  <c r="G45" i="113" s="1"/>
  <c r="A45" i="113"/>
  <c r="H44" i="113"/>
  <c r="F44" i="113"/>
  <c r="G44" i="113" s="1"/>
  <c r="A44" i="113"/>
  <c r="H43" i="113"/>
  <c r="F43" i="113"/>
  <c r="G43" i="113" s="1"/>
  <c r="A43" i="113"/>
  <c r="H42" i="113"/>
  <c r="F42" i="113"/>
  <c r="G42" i="113" s="1"/>
  <c r="A42" i="113"/>
  <c r="H41" i="113"/>
  <c r="F41" i="113"/>
  <c r="G41" i="113" s="1"/>
  <c r="A41" i="113"/>
  <c r="H40" i="113"/>
  <c r="F40" i="113"/>
  <c r="G40" i="113" s="1"/>
  <c r="A40" i="113"/>
  <c r="H39" i="113"/>
  <c r="F39" i="113"/>
  <c r="G39" i="113" s="1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F34" i="113"/>
  <c r="G34" i="113" s="1"/>
  <c r="A34" i="113"/>
  <c r="H33" i="113"/>
  <c r="F33" i="113"/>
  <c r="G33" i="113" s="1"/>
  <c r="A33" i="113"/>
  <c r="H32" i="113"/>
  <c r="F32" i="113"/>
  <c r="G32" i="113" s="1"/>
  <c r="A32" i="113"/>
  <c r="H31" i="113"/>
  <c r="F31" i="113"/>
  <c r="G31" i="113" s="1"/>
  <c r="A31" i="113"/>
  <c r="H30" i="113"/>
  <c r="F30" i="113"/>
  <c r="G30" i="113" s="1"/>
  <c r="A30" i="113"/>
  <c r="H29" i="113"/>
  <c r="F29" i="113"/>
  <c r="G29" i="113" s="1"/>
  <c r="A29" i="113"/>
  <c r="H28" i="113"/>
  <c r="F28" i="113"/>
  <c r="G28" i="113" s="1"/>
  <c r="A28" i="113"/>
  <c r="H27" i="113"/>
  <c r="F27" i="113"/>
  <c r="G27" i="113" s="1"/>
  <c r="A27" i="113"/>
  <c r="H26" i="113"/>
  <c r="F26" i="113"/>
  <c r="G26" i="113" s="1"/>
  <c r="A26" i="113"/>
  <c r="H25" i="113"/>
  <c r="F25" i="113"/>
  <c r="G25" i="113" s="1"/>
  <c r="A25" i="113"/>
  <c r="H24" i="113"/>
  <c r="F24" i="113"/>
  <c r="G24" i="113" s="1"/>
  <c r="H23" i="113"/>
  <c r="F23" i="113"/>
  <c r="H22" i="113"/>
  <c r="F22" i="113"/>
  <c r="G22" i="113" s="1"/>
  <c r="H21" i="113"/>
  <c r="F21" i="113"/>
  <c r="H20" i="113"/>
  <c r="F20" i="113"/>
  <c r="H19" i="113"/>
  <c r="F19" i="113"/>
  <c r="H18" i="113"/>
  <c r="F18" i="113"/>
  <c r="H17" i="113"/>
  <c r="F17" i="113"/>
  <c r="H16" i="113"/>
  <c r="F16" i="113"/>
  <c r="H15" i="113"/>
  <c r="F15" i="113"/>
  <c r="G15" i="113" s="1"/>
  <c r="A15" i="113"/>
  <c r="H14" i="113"/>
  <c r="F14" i="113"/>
  <c r="G14" i="113" s="1"/>
  <c r="H13" i="113"/>
  <c r="F13" i="113"/>
  <c r="H12" i="113"/>
  <c r="F12" i="113"/>
  <c r="H11" i="113"/>
  <c r="F11" i="113"/>
  <c r="G11" i="113" s="1"/>
  <c r="H10" i="113"/>
  <c r="F10" i="113"/>
  <c r="H9" i="113"/>
  <c r="F9" i="113"/>
  <c r="H8" i="113"/>
  <c r="F8" i="113"/>
  <c r="H7" i="113"/>
  <c r="F7" i="113"/>
  <c r="H6" i="113"/>
  <c r="F6" i="113"/>
  <c r="G6" i="113" s="1"/>
  <c r="H5" i="113"/>
  <c r="F5" i="113"/>
  <c r="G5" i="113" s="1"/>
  <c r="H4" i="113"/>
  <c r="F4" i="113"/>
  <c r="H3" i="113"/>
  <c r="F3" i="113"/>
  <c r="H38" i="110"/>
  <c r="F38" i="110"/>
  <c r="A38" i="110"/>
  <c r="H37" i="110"/>
  <c r="F37" i="110"/>
  <c r="G37" i="110" s="1"/>
  <c r="A37" i="110"/>
  <c r="H36" i="110"/>
  <c r="F36" i="110"/>
  <c r="G36" i="110" s="1"/>
  <c r="A36" i="110"/>
  <c r="H35" i="110"/>
  <c r="F35" i="110"/>
  <c r="G35" i="110" s="1"/>
  <c r="A35" i="110"/>
  <c r="H34" i="110"/>
  <c r="F34" i="110"/>
  <c r="G34" i="110" s="1"/>
  <c r="A34" i="110"/>
  <c r="H33" i="110"/>
  <c r="F33" i="110"/>
  <c r="G33" i="110" s="1"/>
  <c r="A33" i="110"/>
  <c r="H32" i="110"/>
  <c r="F32" i="110"/>
  <c r="G32" i="110" s="1"/>
  <c r="A32" i="110"/>
  <c r="H31" i="110"/>
  <c r="F31" i="110"/>
  <c r="G31" i="110" s="1"/>
  <c r="A31" i="110"/>
  <c r="H30" i="110"/>
  <c r="F30" i="110"/>
  <c r="A30" i="110"/>
  <c r="H29" i="110"/>
  <c r="F29" i="110"/>
  <c r="A29" i="110"/>
  <c r="H28" i="110"/>
  <c r="F28" i="110"/>
  <c r="A28" i="110"/>
  <c r="H27" i="110"/>
  <c r="F27" i="110"/>
  <c r="G27" i="110" s="1"/>
  <c r="A27" i="110"/>
  <c r="H26" i="110"/>
  <c r="F26" i="110"/>
  <c r="G26" i="110" s="1"/>
  <c r="A26" i="110"/>
  <c r="H25" i="110"/>
  <c r="F25" i="110"/>
  <c r="G25" i="110" s="1"/>
  <c r="A25" i="110"/>
  <c r="H24" i="110"/>
  <c r="F24" i="110"/>
  <c r="A24" i="110"/>
  <c r="H23" i="110"/>
  <c r="F23" i="110"/>
  <c r="G23" i="110" s="1"/>
  <c r="A23" i="110"/>
  <c r="H22" i="110"/>
  <c r="F22" i="110"/>
  <c r="G22" i="110" s="1"/>
  <c r="A22" i="110"/>
  <c r="H21" i="110"/>
  <c r="F21" i="110"/>
  <c r="G21" i="110" s="1"/>
  <c r="H20" i="110"/>
  <c r="F20" i="110"/>
  <c r="H19" i="110"/>
  <c r="F19" i="110"/>
  <c r="H18" i="110"/>
  <c r="F18" i="110"/>
  <c r="H17" i="110"/>
  <c r="F17" i="110"/>
  <c r="H16" i="110"/>
  <c r="F16" i="110"/>
  <c r="H15" i="110"/>
  <c r="F15" i="110"/>
  <c r="G15" i="110" s="1"/>
  <c r="A15" i="110"/>
  <c r="H14" i="110"/>
  <c r="F14" i="110"/>
  <c r="H13" i="110"/>
  <c r="F13" i="110"/>
  <c r="H12" i="110"/>
  <c r="F12" i="110"/>
  <c r="H11" i="110"/>
  <c r="F11" i="110"/>
  <c r="H10" i="110"/>
  <c r="F10" i="110"/>
  <c r="H9" i="110"/>
  <c r="F9" i="110"/>
  <c r="H8" i="110"/>
  <c r="F8" i="110"/>
  <c r="H7" i="110"/>
  <c r="F7" i="110"/>
  <c r="H6" i="110"/>
  <c r="F6" i="110"/>
  <c r="G6" i="110" s="1"/>
  <c r="H5" i="110"/>
  <c r="F5" i="110"/>
  <c r="H4" i="110"/>
  <c r="F4" i="110"/>
  <c r="H3" i="110"/>
  <c r="F3" i="110"/>
  <c r="G3" i="110" s="1"/>
  <c r="H160" i="109"/>
  <c r="F160" i="109"/>
  <c r="G160" i="109" s="1"/>
  <c r="A160" i="109"/>
  <c r="H159" i="109"/>
  <c r="G159" i="109" s="1"/>
  <c r="F159" i="109"/>
  <c r="A159" i="109"/>
  <c r="H158" i="109"/>
  <c r="F158" i="109"/>
  <c r="G158" i="109" s="1"/>
  <c r="A158" i="109"/>
  <c r="H157" i="109"/>
  <c r="G157" i="109" s="1"/>
  <c r="F157" i="109"/>
  <c r="A157" i="109"/>
  <c r="H156" i="109"/>
  <c r="F156" i="109"/>
  <c r="G156" i="109" s="1"/>
  <c r="A156" i="109"/>
  <c r="H155" i="109"/>
  <c r="G155" i="109" s="1"/>
  <c r="F155" i="109"/>
  <c r="A155" i="109"/>
  <c r="H154" i="109"/>
  <c r="F154" i="109"/>
  <c r="G154" i="109" s="1"/>
  <c r="A154" i="109"/>
  <c r="H153" i="109"/>
  <c r="G153" i="109" s="1"/>
  <c r="F153" i="109"/>
  <c r="A153" i="109"/>
  <c r="H152" i="109"/>
  <c r="F152" i="109"/>
  <c r="G152" i="109" s="1"/>
  <c r="A152" i="109"/>
  <c r="H151" i="109"/>
  <c r="G151" i="109" s="1"/>
  <c r="F151" i="109"/>
  <c r="A151" i="109"/>
  <c r="H150" i="109"/>
  <c r="F150" i="109"/>
  <c r="G150" i="109" s="1"/>
  <c r="A150" i="109"/>
  <c r="H149" i="109"/>
  <c r="G149" i="109" s="1"/>
  <c r="F149" i="109"/>
  <c r="A149" i="109"/>
  <c r="H148" i="109"/>
  <c r="F148" i="109"/>
  <c r="G148" i="109" s="1"/>
  <c r="A148" i="109"/>
  <c r="H147" i="109"/>
  <c r="G147" i="109" s="1"/>
  <c r="F147" i="109"/>
  <c r="A147" i="109"/>
  <c r="H146" i="109"/>
  <c r="F146" i="109"/>
  <c r="G146" i="109" s="1"/>
  <c r="A146" i="109"/>
  <c r="H145" i="109"/>
  <c r="G145" i="109" s="1"/>
  <c r="F145" i="109"/>
  <c r="A145" i="109"/>
  <c r="H144" i="109"/>
  <c r="F144" i="109"/>
  <c r="G144" i="109" s="1"/>
  <c r="A144" i="109"/>
  <c r="H143" i="109"/>
  <c r="G143" i="109" s="1"/>
  <c r="F143" i="109"/>
  <c r="A143" i="109"/>
  <c r="H142" i="109"/>
  <c r="F142" i="109"/>
  <c r="G142" i="109" s="1"/>
  <c r="A142" i="109"/>
  <c r="H141" i="109"/>
  <c r="G141" i="109" s="1"/>
  <c r="F141" i="109"/>
  <c r="A141" i="109"/>
  <c r="H140" i="109"/>
  <c r="F140" i="109"/>
  <c r="G140" i="109" s="1"/>
  <c r="A140" i="109"/>
  <c r="H139" i="109"/>
  <c r="G139" i="109" s="1"/>
  <c r="F139" i="109"/>
  <c r="A139" i="109"/>
  <c r="H138" i="109"/>
  <c r="F138" i="109"/>
  <c r="G138" i="109" s="1"/>
  <c r="A138" i="109"/>
  <c r="H137" i="109"/>
  <c r="G137" i="109" s="1"/>
  <c r="F137" i="109"/>
  <c r="A137" i="109"/>
  <c r="H136" i="109"/>
  <c r="F136" i="109"/>
  <c r="G136" i="109" s="1"/>
  <c r="A136" i="109"/>
  <c r="H135" i="109"/>
  <c r="G135" i="109" s="1"/>
  <c r="F135" i="109"/>
  <c r="A135" i="109"/>
  <c r="H134" i="109"/>
  <c r="F134" i="109"/>
  <c r="G134" i="109" s="1"/>
  <c r="A134" i="109"/>
  <c r="H133" i="109"/>
  <c r="G133" i="109" s="1"/>
  <c r="F133" i="109"/>
  <c r="A133" i="109"/>
  <c r="H132" i="109"/>
  <c r="F132" i="109"/>
  <c r="G132" i="109" s="1"/>
  <c r="A132" i="109"/>
  <c r="H131" i="109"/>
  <c r="G131" i="109" s="1"/>
  <c r="F131" i="109"/>
  <c r="A131" i="109"/>
  <c r="H130" i="109"/>
  <c r="F130" i="109"/>
  <c r="G130" i="109" s="1"/>
  <c r="A130" i="109"/>
  <c r="H129" i="109"/>
  <c r="G129" i="109" s="1"/>
  <c r="F129" i="109"/>
  <c r="A129" i="109"/>
  <c r="H128" i="109"/>
  <c r="F128" i="109"/>
  <c r="G128" i="109" s="1"/>
  <c r="A128" i="109"/>
  <c r="H127" i="109"/>
  <c r="G127" i="109" s="1"/>
  <c r="F127" i="109"/>
  <c r="A127" i="109"/>
  <c r="H126" i="109"/>
  <c r="F126" i="109"/>
  <c r="G126" i="109" s="1"/>
  <c r="A126" i="109"/>
  <c r="H125" i="109"/>
  <c r="G125" i="109" s="1"/>
  <c r="F125" i="109"/>
  <c r="A125" i="109"/>
  <c r="H124" i="109"/>
  <c r="F124" i="109"/>
  <c r="G124" i="109" s="1"/>
  <c r="A124" i="109"/>
  <c r="H123" i="109"/>
  <c r="G123" i="109" s="1"/>
  <c r="F123" i="109"/>
  <c r="A123" i="109"/>
  <c r="H122" i="109"/>
  <c r="F122" i="109"/>
  <c r="G122" i="109" s="1"/>
  <c r="A122" i="109"/>
  <c r="H121" i="109"/>
  <c r="G121" i="109" s="1"/>
  <c r="F121" i="109"/>
  <c r="A121" i="109"/>
  <c r="H120" i="109"/>
  <c r="F120" i="109"/>
  <c r="G120" i="109" s="1"/>
  <c r="A120" i="109"/>
  <c r="H119" i="109"/>
  <c r="G119" i="109" s="1"/>
  <c r="F119" i="109"/>
  <c r="A119" i="109"/>
  <c r="H118" i="109"/>
  <c r="F118" i="109"/>
  <c r="G118" i="109" s="1"/>
  <c r="A118" i="109"/>
  <c r="H117" i="109"/>
  <c r="G117" i="109" s="1"/>
  <c r="F117" i="109"/>
  <c r="A117" i="109"/>
  <c r="H116" i="109"/>
  <c r="F116" i="109"/>
  <c r="G116" i="109" s="1"/>
  <c r="A116" i="109"/>
  <c r="H115" i="109"/>
  <c r="G115" i="109" s="1"/>
  <c r="F115" i="109"/>
  <c r="A115" i="109"/>
  <c r="H114" i="109"/>
  <c r="F114" i="109"/>
  <c r="G114" i="109" s="1"/>
  <c r="A114" i="109"/>
  <c r="H113" i="109"/>
  <c r="G113" i="109" s="1"/>
  <c r="F113" i="109"/>
  <c r="A113" i="109"/>
  <c r="H112" i="109"/>
  <c r="F112" i="109"/>
  <c r="G112" i="109" s="1"/>
  <c r="A112" i="109"/>
  <c r="H111" i="109"/>
  <c r="G111" i="109" s="1"/>
  <c r="F111" i="109"/>
  <c r="A111" i="109"/>
  <c r="H110" i="109"/>
  <c r="F110" i="109"/>
  <c r="G110" i="109" s="1"/>
  <c r="A110" i="109"/>
  <c r="H109" i="109"/>
  <c r="G109" i="109" s="1"/>
  <c r="F109" i="109"/>
  <c r="A109" i="109"/>
  <c r="H108" i="109"/>
  <c r="F108" i="109"/>
  <c r="G108" i="109" s="1"/>
  <c r="A108" i="109"/>
  <c r="H107" i="109"/>
  <c r="G107" i="109" s="1"/>
  <c r="F107" i="109"/>
  <c r="A107" i="109"/>
  <c r="H106" i="109"/>
  <c r="F106" i="109"/>
  <c r="G106" i="109" s="1"/>
  <c r="A106" i="109"/>
  <c r="H105" i="109"/>
  <c r="G105" i="109" s="1"/>
  <c r="F105" i="109"/>
  <c r="A105" i="109"/>
  <c r="H104" i="109"/>
  <c r="F104" i="109"/>
  <c r="G104" i="109" s="1"/>
  <c r="A104" i="109"/>
  <c r="H103" i="109"/>
  <c r="G103" i="109" s="1"/>
  <c r="F103" i="109"/>
  <c r="A103" i="109"/>
  <c r="H102" i="109"/>
  <c r="F102" i="109"/>
  <c r="G102" i="109" s="1"/>
  <c r="A102" i="109"/>
  <c r="H101" i="109"/>
  <c r="G101" i="109" s="1"/>
  <c r="F101" i="109"/>
  <c r="A101" i="109"/>
  <c r="H100" i="109"/>
  <c r="F100" i="109"/>
  <c r="G100" i="109" s="1"/>
  <c r="A100" i="109"/>
  <c r="H99" i="109"/>
  <c r="G99" i="109" s="1"/>
  <c r="F99" i="109"/>
  <c r="A99" i="109"/>
  <c r="H98" i="109"/>
  <c r="F98" i="109"/>
  <c r="G98" i="109" s="1"/>
  <c r="A98" i="109"/>
  <c r="H97" i="109"/>
  <c r="G97" i="109" s="1"/>
  <c r="F97" i="109"/>
  <c r="A97" i="109"/>
  <c r="H96" i="109"/>
  <c r="F96" i="109"/>
  <c r="G96" i="109" s="1"/>
  <c r="A96" i="109"/>
  <c r="H95" i="109"/>
  <c r="G95" i="109" s="1"/>
  <c r="F95" i="109"/>
  <c r="A95" i="109"/>
  <c r="H94" i="109"/>
  <c r="F94" i="109"/>
  <c r="G94" i="109" s="1"/>
  <c r="A94" i="109"/>
  <c r="H93" i="109"/>
  <c r="G93" i="109" s="1"/>
  <c r="F93" i="109"/>
  <c r="A93" i="109"/>
  <c r="H92" i="109"/>
  <c r="F92" i="109"/>
  <c r="G92" i="109" s="1"/>
  <c r="A92" i="109"/>
  <c r="H91" i="109"/>
  <c r="G91" i="109" s="1"/>
  <c r="F91" i="109"/>
  <c r="A91" i="109"/>
  <c r="H90" i="109"/>
  <c r="F90" i="109"/>
  <c r="G90" i="109" s="1"/>
  <c r="A90" i="109"/>
  <c r="H89" i="109"/>
  <c r="G89" i="109" s="1"/>
  <c r="F89" i="109"/>
  <c r="A89" i="109"/>
  <c r="H88" i="109"/>
  <c r="F88" i="109"/>
  <c r="G88" i="109" s="1"/>
  <c r="A88" i="109"/>
  <c r="H87" i="109"/>
  <c r="G87" i="109" s="1"/>
  <c r="F87" i="109"/>
  <c r="A87" i="109"/>
  <c r="H86" i="109"/>
  <c r="F86" i="109"/>
  <c r="G86" i="109" s="1"/>
  <c r="A86" i="109"/>
  <c r="H85" i="109"/>
  <c r="G85" i="109" s="1"/>
  <c r="F85" i="109"/>
  <c r="A85" i="109"/>
  <c r="H84" i="109"/>
  <c r="F84" i="109"/>
  <c r="G84" i="109" s="1"/>
  <c r="A84" i="109"/>
  <c r="H83" i="109"/>
  <c r="G83" i="109" s="1"/>
  <c r="F83" i="109"/>
  <c r="A83" i="109"/>
  <c r="H82" i="109"/>
  <c r="F82" i="109"/>
  <c r="G82" i="109" s="1"/>
  <c r="A82" i="109"/>
  <c r="H81" i="109"/>
  <c r="G81" i="109" s="1"/>
  <c r="F81" i="109"/>
  <c r="A81" i="109"/>
  <c r="H80" i="109"/>
  <c r="F80" i="109"/>
  <c r="G80" i="109" s="1"/>
  <c r="A80" i="109"/>
  <c r="H79" i="109"/>
  <c r="G79" i="109" s="1"/>
  <c r="F79" i="109"/>
  <c r="A79" i="109"/>
  <c r="H78" i="109"/>
  <c r="F78" i="109"/>
  <c r="G78" i="109" s="1"/>
  <c r="A78" i="109"/>
  <c r="H77" i="109"/>
  <c r="G77" i="109" s="1"/>
  <c r="F77" i="109"/>
  <c r="A77" i="109"/>
  <c r="H76" i="109"/>
  <c r="F76" i="109"/>
  <c r="G76" i="109" s="1"/>
  <c r="A76" i="109"/>
  <c r="H75" i="109"/>
  <c r="G75" i="109" s="1"/>
  <c r="F75" i="109"/>
  <c r="A75" i="109"/>
  <c r="H74" i="109"/>
  <c r="F74" i="109"/>
  <c r="G74" i="109" s="1"/>
  <c r="A74" i="109"/>
  <c r="H73" i="109"/>
  <c r="G73" i="109" s="1"/>
  <c r="F73" i="109"/>
  <c r="A73" i="109"/>
  <c r="H72" i="109"/>
  <c r="F72" i="109"/>
  <c r="G72" i="109" s="1"/>
  <c r="A72" i="109"/>
  <c r="H71" i="109"/>
  <c r="G71" i="109" s="1"/>
  <c r="F71" i="109"/>
  <c r="A71" i="109"/>
  <c r="H70" i="109"/>
  <c r="F70" i="109"/>
  <c r="G70" i="109" s="1"/>
  <c r="A70" i="109"/>
  <c r="H69" i="109"/>
  <c r="G69" i="109" s="1"/>
  <c r="F69" i="109"/>
  <c r="A69" i="109"/>
  <c r="H68" i="109"/>
  <c r="F68" i="109"/>
  <c r="G68" i="109" s="1"/>
  <c r="A68" i="109"/>
  <c r="H67" i="109"/>
  <c r="G67" i="109" s="1"/>
  <c r="F67" i="109"/>
  <c r="A67" i="109"/>
  <c r="H66" i="109"/>
  <c r="F66" i="109"/>
  <c r="G66" i="109" s="1"/>
  <c r="A66" i="109"/>
  <c r="H65" i="109"/>
  <c r="G65" i="109" s="1"/>
  <c r="F65" i="109"/>
  <c r="A65" i="109"/>
  <c r="H64" i="109"/>
  <c r="F64" i="109"/>
  <c r="G64" i="109" s="1"/>
  <c r="A64" i="109"/>
  <c r="H63" i="109"/>
  <c r="G63" i="109" s="1"/>
  <c r="F63" i="109"/>
  <c r="A63" i="109"/>
  <c r="H62" i="109"/>
  <c r="F62" i="109"/>
  <c r="G62" i="109" s="1"/>
  <c r="A62" i="109"/>
  <c r="H61" i="109"/>
  <c r="G61" i="109" s="1"/>
  <c r="F61" i="109"/>
  <c r="A61" i="109"/>
  <c r="H60" i="109"/>
  <c r="F60" i="109"/>
  <c r="G60" i="109" s="1"/>
  <c r="A60" i="109"/>
  <c r="H59" i="109"/>
  <c r="G59" i="109" s="1"/>
  <c r="F59" i="109"/>
  <c r="A59" i="109"/>
  <c r="H58" i="109"/>
  <c r="F58" i="109"/>
  <c r="G58" i="109" s="1"/>
  <c r="A58" i="109"/>
  <c r="H57" i="109"/>
  <c r="G57" i="109" s="1"/>
  <c r="F57" i="109"/>
  <c r="A57" i="109"/>
  <c r="H56" i="109"/>
  <c r="F56" i="109"/>
  <c r="G56" i="109" s="1"/>
  <c r="A56" i="109"/>
  <c r="H55" i="109"/>
  <c r="G55" i="109" s="1"/>
  <c r="F55" i="109"/>
  <c r="A55" i="109"/>
  <c r="H54" i="109"/>
  <c r="F54" i="109"/>
  <c r="G54" i="109" s="1"/>
  <c r="A54" i="109"/>
  <c r="H53" i="109"/>
  <c r="G53" i="109" s="1"/>
  <c r="F53" i="109"/>
  <c r="A53" i="109"/>
  <c r="H52" i="109"/>
  <c r="F52" i="109"/>
  <c r="G52" i="109" s="1"/>
  <c r="A52" i="109"/>
  <c r="H51" i="109"/>
  <c r="G51" i="109" s="1"/>
  <c r="F51" i="109"/>
  <c r="A51" i="109"/>
  <c r="H50" i="109"/>
  <c r="F50" i="109"/>
  <c r="G50" i="109" s="1"/>
  <c r="A50" i="109"/>
  <c r="H49" i="109"/>
  <c r="G49" i="109" s="1"/>
  <c r="F49" i="109"/>
  <c r="A49" i="109"/>
  <c r="H48" i="109"/>
  <c r="F48" i="109"/>
  <c r="G48" i="109" s="1"/>
  <c r="A48" i="109"/>
  <c r="H47" i="109"/>
  <c r="G47" i="109" s="1"/>
  <c r="F47" i="109"/>
  <c r="A47" i="109"/>
  <c r="H46" i="109"/>
  <c r="F46" i="109"/>
  <c r="G46" i="109" s="1"/>
  <c r="A46" i="109"/>
  <c r="H45" i="109"/>
  <c r="G45" i="109" s="1"/>
  <c r="F45" i="109"/>
  <c r="A45" i="109"/>
  <c r="H44" i="109"/>
  <c r="F44" i="109"/>
  <c r="G44" i="109" s="1"/>
  <c r="A44" i="109"/>
  <c r="H43" i="109"/>
  <c r="G43" i="109" s="1"/>
  <c r="F43" i="109"/>
  <c r="A43" i="109"/>
  <c r="H42" i="109"/>
  <c r="F42" i="109"/>
  <c r="G42" i="109" s="1"/>
  <c r="A42" i="109"/>
  <c r="H41" i="109"/>
  <c r="G41" i="109" s="1"/>
  <c r="F41" i="109"/>
  <c r="A41" i="109"/>
  <c r="H40" i="109"/>
  <c r="F40" i="109"/>
  <c r="G40" i="109" s="1"/>
  <c r="A40" i="109"/>
  <c r="H39" i="109"/>
  <c r="G39" i="109" s="1"/>
  <c r="F39" i="109"/>
  <c r="A39" i="109"/>
  <c r="H38" i="109"/>
  <c r="F38" i="109"/>
  <c r="G38" i="109" s="1"/>
  <c r="A38" i="109"/>
  <c r="H37" i="109"/>
  <c r="G37" i="109" s="1"/>
  <c r="F37" i="109"/>
  <c r="A37" i="109"/>
  <c r="H36" i="109"/>
  <c r="F36" i="109"/>
  <c r="G36" i="109" s="1"/>
  <c r="A36" i="109"/>
  <c r="H35" i="109"/>
  <c r="G35" i="109" s="1"/>
  <c r="F35" i="109"/>
  <c r="A35" i="109"/>
  <c r="H34" i="109"/>
  <c r="F34" i="109"/>
  <c r="G34" i="109" s="1"/>
  <c r="A34" i="109"/>
  <c r="H33" i="109"/>
  <c r="G33" i="109" s="1"/>
  <c r="F33" i="109"/>
  <c r="A33" i="109"/>
  <c r="H32" i="109"/>
  <c r="F32" i="109"/>
  <c r="G32" i="109" s="1"/>
  <c r="A32" i="109"/>
  <c r="H31" i="109"/>
  <c r="G31" i="109" s="1"/>
  <c r="F31" i="109"/>
  <c r="A31" i="109"/>
  <c r="H30" i="109"/>
  <c r="F30" i="109"/>
  <c r="G30" i="109" s="1"/>
  <c r="A30" i="109"/>
  <c r="H29" i="109"/>
  <c r="G29" i="109" s="1"/>
  <c r="F29" i="109"/>
  <c r="A29" i="109"/>
  <c r="H28" i="109"/>
  <c r="F28" i="109"/>
  <c r="G28" i="109" s="1"/>
  <c r="A28" i="109"/>
  <c r="H27" i="109"/>
  <c r="F27" i="109"/>
  <c r="H26" i="109"/>
  <c r="F26" i="109"/>
  <c r="G26" i="109" s="1"/>
  <c r="H25" i="109"/>
  <c r="F25" i="109"/>
  <c r="H24" i="109"/>
  <c r="F24" i="109"/>
  <c r="H23" i="109"/>
  <c r="F23" i="109"/>
  <c r="H22" i="109"/>
  <c r="F22" i="109"/>
  <c r="G22" i="109" s="1"/>
  <c r="H21" i="109"/>
  <c r="F21" i="109"/>
  <c r="H20" i="109"/>
  <c r="F20" i="109"/>
  <c r="H19" i="109"/>
  <c r="F19" i="109"/>
  <c r="H18" i="109"/>
  <c r="F18" i="109"/>
  <c r="H17" i="109"/>
  <c r="F17" i="109"/>
  <c r="H16" i="109"/>
  <c r="F16" i="109"/>
  <c r="G16" i="109" s="1"/>
  <c r="H15" i="109"/>
  <c r="F15" i="109"/>
  <c r="H14" i="109"/>
  <c r="F14" i="109"/>
  <c r="G14" i="109" s="1"/>
  <c r="H13" i="109"/>
  <c r="F13" i="109"/>
  <c r="H12" i="109"/>
  <c r="F12" i="109"/>
  <c r="H11" i="109"/>
  <c r="F11" i="109"/>
  <c r="H10" i="109"/>
  <c r="F10" i="109"/>
  <c r="H9" i="109"/>
  <c r="F9" i="109"/>
  <c r="H8" i="109"/>
  <c r="F8" i="109"/>
  <c r="G8" i="109" s="1"/>
  <c r="H7" i="109"/>
  <c r="F7" i="109"/>
  <c r="H6" i="109"/>
  <c r="F6" i="109"/>
  <c r="G6" i="109" s="1"/>
  <c r="H5" i="109"/>
  <c r="F5" i="109"/>
  <c r="H4" i="109"/>
  <c r="F4" i="109"/>
  <c r="H3" i="109"/>
  <c r="F3" i="109"/>
  <c r="H160" i="108"/>
  <c r="G160" i="108"/>
  <c r="F160" i="108"/>
  <c r="A160" i="108"/>
  <c r="H159" i="108"/>
  <c r="G159" i="108" s="1"/>
  <c r="F159" i="108"/>
  <c r="A159" i="108"/>
  <c r="H158" i="108"/>
  <c r="F158" i="108"/>
  <c r="G158" i="108" s="1"/>
  <c r="A158" i="108"/>
  <c r="H157" i="108"/>
  <c r="G157" i="108" s="1"/>
  <c r="F157" i="108"/>
  <c r="A157" i="108"/>
  <c r="H156" i="108"/>
  <c r="G156" i="108"/>
  <c r="F156" i="108"/>
  <c r="A156" i="108"/>
  <c r="H155" i="108"/>
  <c r="G155" i="108" s="1"/>
  <c r="F155" i="108"/>
  <c r="A155" i="108"/>
  <c r="H154" i="108"/>
  <c r="F154" i="108"/>
  <c r="G154" i="108" s="1"/>
  <c r="A154" i="108"/>
  <c r="H153" i="108"/>
  <c r="G153" i="108" s="1"/>
  <c r="F153" i="108"/>
  <c r="A153" i="108"/>
  <c r="H152" i="108"/>
  <c r="G152" i="108"/>
  <c r="F152" i="108"/>
  <c r="A152" i="108"/>
  <c r="H151" i="108"/>
  <c r="G151" i="108" s="1"/>
  <c r="F151" i="108"/>
  <c r="A151" i="108"/>
  <c r="H150" i="108"/>
  <c r="F150" i="108"/>
  <c r="G150" i="108" s="1"/>
  <c r="A150" i="108"/>
  <c r="H149" i="108"/>
  <c r="G149" i="108" s="1"/>
  <c r="F149" i="108"/>
  <c r="A149" i="108"/>
  <c r="H148" i="108"/>
  <c r="G148" i="108"/>
  <c r="F148" i="108"/>
  <c r="A148" i="108"/>
  <c r="H147" i="108"/>
  <c r="G147" i="108" s="1"/>
  <c r="F147" i="108"/>
  <c r="A147" i="108"/>
  <c r="H146" i="108"/>
  <c r="F146" i="108"/>
  <c r="G146" i="108" s="1"/>
  <c r="A146" i="108"/>
  <c r="H145" i="108"/>
  <c r="G145" i="108" s="1"/>
  <c r="F145" i="108"/>
  <c r="A145" i="108"/>
  <c r="H144" i="108"/>
  <c r="G144" i="108"/>
  <c r="F144" i="108"/>
  <c r="A144" i="108"/>
  <c r="H143" i="108"/>
  <c r="G143" i="108" s="1"/>
  <c r="F143" i="108"/>
  <c r="A143" i="108"/>
  <c r="H142" i="108"/>
  <c r="F142" i="108"/>
  <c r="G142" i="108" s="1"/>
  <c r="A142" i="108"/>
  <c r="H141" i="108"/>
  <c r="G141" i="108" s="1"/>
  <c r="F141" i="108"/>
  <c r="A141" i="108"/>
  <c r="H140" i="108"/>
  <c r="G140" i="108"/>
  <c r="F140" i="108"/>
  <c r="A140" i="108"/>
  <c r="H139" i="108"/>
  <c r="G139" i="108" s="1"/>
  <c r="F139" i="108"/>
  <c r="A139" i="108"/>
  <c r="H138" i="108"/>
  <c r="F138" i="108"/>
  <c r="G138" i="108" s="1"/>
  <c r="A138" i="108"/>
  <c r="H137" i="108"/>
  <c r="G137" i="108" s="1"/>
  <c r="F137" i="108"/>
  <c r="A137" i="108"/>
  <c r="H136" i="108"/>
  <c r="G136" i="108"/>
  <c r="F136" i="108"/>
  <c r="A136" i="108"/>
  <c r="H135" i="108"/>
  <c r="G135" i="108" s="1"/>
  <c r="F135" i="108"/>
  <c r="A135" i="108"/>
  <c r="H134" i="108"/>
  <c r="F134" i="108"/>
  <c r="G134" i="108" s="1"/>
  <c r="A134" i="108"/>
  <c r="H133" i="108"/>
  <c r="G133" i="108" s="1"/>
  <c r="F133" i="108"/>
  <c r="A133" i="108"/>
  <c r="H132" i="108"/>
  <c r="G132" i="108"/>
  <c r="F132" i="108"/>
  <c r="A132" i="108"/>
  <c r="H131" i="108"/>
  <c r="G131" i="108" s="1"/>
  <c r="F131" i="108"/>
  <c r="A131" i="108"/>
  <c r="H130" i="108"/>
  <c r="F130" i="108"/>
  <c r="G130" i="108" s="1"/>
  <c r="A130" i="108"/>
  <c r="H129" i="108"/>
  <c r="G129" i="108" s="1"/>
  <c r="F129" i="108"/>
  <c r="A129" i="108"/>
  <c r="H128" i="108"/>
  <c r="G128" i="108"/>
  <c r="F128" i="108"/>
  <c r="A128" i="108"/>
  <c r="H127" i="108"/>
  <c r="G127" i="108" s="1"/>
  <c r="F127" i="108"/>
  <c r="A127" i="108"/>
  <c r="H126" i="108"/>
  <c r="F126" i="108"/>
  <c r="G126" i="108" s="1"/>
  <c r="A126" i="108"/>
  <c r="H125" i="108"/>
  <c r="G125" i="108" s="1"/>
  <c r="F125" i="108"/>
  <c r="A125" i="108"/>
  <c r="H124" i="108"/>
  <c r="G124" i="108"/>
  <c r="F124" i="108"/>
  <c r="A124" i="108"/>
  <c r="H123" i="108"/>
  <c r="G123" i="108" s="1"/>
  <c r="F123" i="108"/>
  <c r="A123" i="108"/>
  <c r="H122" i="108"/>
  <c r="F122" i="108"/>
  <c r="G122" i="108" s="1"/>
  <c r="A122" i="108"/>
  <c r="H121" i="108"/>
  <c r="G121" i="108" s="1"/>
  <c r="F121" i="108"/>
  <c r="A121" i="108"/>
  <c r="H120" i="108"/>
  <c r="G120" i="108"/>
  <c r="F120" i="108"/>
  <c r="A120" i="108"/>
  <c r="H119" i="108"/>
  <c r="G119" i="108" s="1"/>
  <c r="F119" i="108"/>
  <c r="A119" i="108"/>
  <c r="H118" i="108"/>
  <c r="F118" i="108"/>
  <c r="G118" i="108" s="1"/>
  <c r="A118" i="108"/>
  <c r="H117" i="108"/>
  <c r="G117" i="108" s="1"/>
  <c r="F117" i="108"/>
  <c r="A117" i="108"/>
  <c r="H116" i="108"/>
  <c r="G116" i="108"/>
  <c r="F116" i="108"/>
  <c r="A116" i="108"/>
  <c r="H115" i="108"/>
  <c r="G115" i="108" s="1"/>
  <c r="F115" i="108"/>
  <c r="A115" i="108"/>
  <c r="H114" i="108"/>
  <c r="F114" i="108"/>
  <c r="G114" i="108" s="1"/>
  <c r="A114" i="108"/>
  <c r="H113" i="108"/>
  <c r="G113" i="108" s="1"/>
  <c r="F113" i="108"/>
  <c r="A113" i="108"/>
  <c r="H112" i="108"/>
  <c r="G112" i="108"/>
  <c r="F112" i="108"/>
  <c r="A112" i="108"/>
  <c r="H111" i="108"/>
  <c r="G111" i="108" s="1"/>
  <c r="F111" i="108"/>
  <c r="A111" i="108"/>
  <c r="H110" i="108"/>
  <c r="F110" i="108"/>
  <c r="G110" i="108" s="1"/>
  <c r="A110" i="108"/>
  <c r="H109" i="108"/>
  <c r="G109" i="108" s="1"/>
  <c r="F109" i="108"/>
  <c r="A109" i="108"/>
  <c r="H108" i="108"/>
  <c r="G108" i="108"/>
  <c r="F108" i="108"/>
  <c r="A108" i="108"/>
  <c r="H107" i="108"/>
  <c r="G107" i="108" s="1"/>
  <c r="F107" i="108"/>
  <c r="A107" i="108"/>
  <c r="H106" i="108"/>
  <c r="F106" i="108"/>
  <c r="G106" i="108" s="1"/>
  <c r="A106" i="108"/>
  <c r="H105" i="108"/>
  <c r="G105" i="108" s="1"/>
  <c r="F105" i="108"/>
  <c r="A105" i="108"/>
  <c r="H104" i="108"/>
  <c r="G104" i="108"/>
  <c r="F104" i="108"/>
  <c r="A104" i="108"/>
  <c r="H103" i="108"/>
  <c r="G103" i="108" s="1"/>
  <c r="F103" i="108"/>
  <c r="A103" i="108"/>
  <c r="H102" i="108"/>
  <c r="F102" i="108"/>
  <c r="G102" i="108" s="1"/>
  <c r="A102" i="108"/>
  <c r="H101" i="108"/>
  <c r="G101" i="108" s="1"/>
  <c r="F101" i="108"/>
  <c r="A101" i="108"/>
  <c r="H100" i="108"/>
  <c r="G100" i="108"/>
  <c r="F100" i="108"/>
  <c r="A100" i="108"/>
  <c r="H99" i="108"/>
  <c r="G99" i="108" s="1"/>
  <c r="F99" i="108"/>
  <c r="A99" i="108"/>
  <c r="H98" i="108"/>
  <c r="F98" i="108"/>
  <c r="G98" i="108" s="1"/>
  <c r="A98" i="108"/>
  <c r="H97" i="108"/>
  <c r="G97" i="108" s="1"/>
  <c r="F97" i="108"/>
  <c r="A97" i="108"/>
  <c r="H96" i="108"/>
  <c r="G96" i="108"/>
  <c r="F96" i="108"/>
  <c r="A96" i="108"/>
  <c r="H95" i="108"/>
  <c r="G95" i="108" s="1"/>
  <c r="F95" i="108"/>
  <c r="A95" i="108"/>
  <c r="H94" i="108"/>
  <c r="F94" i="108"/>
  <c r="G94" i="108" s="1"/>
  <c r="A94" i="108"/>
  <c r="H93" i="108"/>
  <c r="G93" i="108" s="1"/>
  <c r="F93" i="108"/>
  <c r="A93" i="108"/>
  <c r="H92" i="108"/>
  <c r="G92" i="108"/>
  <c r="F92" i="108"/>
  <c r="A92" i="108"/>
  <c r="H91" i="108"/>
  <c r="G91" i="108" s="1"/>
  <c r="F91" i="108"/>
  <c r="A91" i="108"/>
  <c r="H90" i="108"/>
  <c r="F90" i="108"/>
  <c r="G90" i="108" s="1"/>
  <c r="A90" i="108"/>
  <c r="H89" i="108"/>
  <c r="G89" i="108" s="1"/>
  <c r="F89" i="108"/>
  <c r="A89" i="108"/>
  <c r="H88" i="108"/>
  <c r="G88" i="108"/>
  <c r="F88" i="108"/>
  <c r="A88" i="108"/>
  <c r="H87" i="108"/>
  <c r="G87" i="108" s="1"/>
  <c r="F87" i="108"/>
  <c r="A87" i="108"/>
  <c r="H86" i="108"/>
  <c r="F86" i="108"/>
  <c r="G86" i="108" s="1"/>
  <c r="A86" i="108"/>
  <c r="H85" i="108"/>
  <c r="G85" i="108" s="1"/>
  <c r="F85" i="108"/>
  <c r="A85" i="108"/>
  <c r="H84" i="108"/>
  <c r="G84" i="108"/>
  <c r="F84" i="108"/>
  <c r="A84" i="108"/>
  <c r="H83" i="108"/>
  <c r="G83" i="108" s="1"/>
  <c r="F83" i="108"/>
  <c r="A83" i="108"/>
  <c r="H82" i="108"/>
  <c r="F82" i="108"/>
  <c r="G82" i="108" s="1"/>
  <c r="A82" i="108"/>
  <c r="H81" i="108"/>
  <c r="G81" i="108" s="1"/>
  <c r="F81" i="108"/>
  <c r="A81" i="108"/>
  <c r="H80" i="108"/>
  <c r="G80" i="108"/>
  <c r="F80" i="108"/>
  <c r="A80" i="108"/>
  <c r="H79" i="108"/>
  <c r="G79" i="108" s="1"/>
  <c r="F79" i="108"/>
  <c r="A79" i="108"/>
  <c r="H78" i="108"/>
  <c r="F78" i="108"/>
  <c r="G78" i="108" s="1"/>
  <c r="A78" i="108"/>
  <c r="H77" i="108"/>
  <c r="G77" i="108" s="1"/>
  <c r="F77" i="108"/>
  <c r="A77" i="108"/>
  <c r="H76" i="108"/>
  <c r="G76" i="108"/>
  <c r="F76" i="108"/>
  <c r="A76" i="108"/>
  <c r="H75" i="108"/>
  <c r="G75" i="108" s="1"/>
  <c r="F75" i="108"/>
  <c r="A75" i="108"/>
  <c r="H74" i="108"/>
  <c r="F74" i="108"/>
  <c r="G74" i="108" s="1"/>
  <c r="A74" i="108"/>
  <c r="H73" i="108"/>
  <c r="G73" i="108" s="1"/>
  <c r="F73" i="108"/>
  <c r="A73" i="108"/>
  <c r="H72" i="108"/>
  <c r="G72" i="108"/>
  <c r="F72" i="108"/>
  <c r="A72" i="108"/>
  <c r="H71" i="108"/>
  <c r="G71" i="108" s="1"/>
  <c r="F71" i="108"/>
  <c r="A71" i="108"/>
  <c r="H70" i="108"/>
  <c r="F70" i="108"/>
  <c r="G70" i="108" s="1"/>
  <c r="A70" i="108"/>
  <c r="H69" i="108"/>
  <c r="G69" i="108" s="1"/>
  <c r="F69" i="108"/>
  <c r="A69" i="108"/>
  <c r="H68" i="108"/>
  <c r="G68" i="108"/>
  <c r="F68" i="108"/>
  <c r="A68" i="108"/>
  <c r="H67" i="108"/>
  <c r="G67" i="108" s="1"/>
  <c r="F67" i="108"/>
  <c r="A67" i="108"/>
  <c r="H66" i="108"/>
  <c r="F66" i="108"/>
  <c r="G66" i="108" s="1"/>
  <c r="A66" i="108"/>
  <c r="H65" i="108"/>
  <c r="G65" i="108" s="1"/>
  <c r="F65" i="108"/>
  <c r="A65" i="108"/>
  <c r="H64" i="108"/>
  <c r="G64" i="108"/>
  <c r="F64" i="108"/>
  <c r="A64" i="108"/>
  <c r="H63" i="108"/>
  <c r="G63" i="108" s="1"/>
  <c r="F63" i="108"/>
  <c r="A63" i="108"/>
  <c r="H62" i="108"/>
  <c r="F62" i="108"/>
  <c r="G62" i="108" s="1"/>
  <c r="A62" i="108"/>
  <c r="H61" i="108"/>
  <c r="G61" i="108" s="1"/>
  <c r="F61" i="108"/>
  <c r="A61" i="108"/>
  <c r="H60" i="108"/>
  <c r="G60" i="108"/>
  <c r="F60" i="108"/>
  <c r="A60" i="108"/>
  <c r="H59" i="108"/>
  <c r="G59" i="108" s="1"/>
  <c r="F59" i="108"/>
  <c r="A59" i="108"/>
  <c r="H58" i="108"/>
  <c r="F58" i="108"/>
  <c r="G58" i="108" s="1"/>
  <c r="A58" i="108"/>
  <c r="H57" i="108"/>
  <c r="G57" i="108" s="1"/>
  <c r="F57" i="108"/>
  <c r="A57" i="108"/>
  <c r="H56" i="108"/>
  <c r="G56" i="108"/>
  <c r="F56" i="108"/>
  <c r="A56" i="108"/>
  <c r="H55" i="108"/>
  <c r="G55" i="108" s="1"/>
  <c r="F55" i="108"/>
  <c r="A55" i="108"/>
  <c r="H54" i="108"/>
  <c r="F54" i="108"/>
  <c r="G54" i="108" s="1"/>
  <c r="A54" i="108"/>
  <c r="H53" i="108"/>
  <c r="G53" i="108" s="1"/>
  <c r="F53" i="108"/>
  <c r="A53" i="108"/>
  <c r="H52" i="108"/>
  <c r="G52" i="108"/>
  <c r="F52" i="108"/>
  <c r="A52" i="108"/>
  <c r="H51" i="108"/>
  <c r="G51" i="108" s="1"/>
  <c r="F51" i="108"/>
  <c r="A51" i="108"/>
  <c r="H50" i="108"/>
  <c r="F50" i="108"/>
  <c r="G50" i="108" s="1"/>
  <c r="A50" i="108"/>
  <c r="H49" i="108"/>
  <c r="G49" i="108" s="1"/>
  <c r="F49" i="108"/>
  <c r="A49" i="108"/>
  <c r="H48" i="108"/>
  <c r="G48" i="108"/>
  <c r="F48" i="108"/>
  <c r="A48" i="108"/>
  <c r="H47" i="108"/>
  <c r="G47" i="108" s="1"/>
  <c r="F47" i="108"/>
  <c r="A47" i="108"/>
  <c r="H46" i="108"/>
  <c r="F46" i="108"/>
  <c r="G46" i="108" s="1"/>
  <c r="A46" i="108"/>
  <c r="H45" i="108"/>
  <c r="G45" i="108" s="1"/>
  <c r="F45" i="108"/>
  <c r="A45" i="108"/>
  <c r="H44" i="108"/>
  <c r="G44" i="108"/>
  <c r="F44" i="108"/>
  <c r="A44" i="108"/>
  <c r="H43" i="108"/>
  <c r="G43" i="108" s="1"/>
  <c r="F43" i="108"/>
  <c r="A43" i="108"/>
  <c r="H42" i="108"/>
  <c r="F42" i="108"/>
  <c r="G42" i="108" s="1"/>
  <c r="A42" i="108"/>
  <c r="H41" i="108"/>
  <c r="G41" i="108" s="1"/>
  <c r="F41" i="108"/>
  <c r="A41" i="108"/>
  <c r="H40" i="108"/>
  <c r="G40" i="108"/>
  <c r="F40" i="108"/>
  <c r="A40" i="108"/>
  <c r="H39" i="108"/>
  <c r="G39" i="108" s="1"/>
  <c r="F39" i="108"/>
  <c r="A39" i="108"/>
  <c r="H38" i="108"/>
  <c r="F38" i="108"/>
  <c r="G38" i="108" s="1"/>
  <c r="A38" i="108"/>
  <c r="H37" i="108"/>
  <c r="G37" i="108" s="1"/>
  <c r="F37" i="108"/>
  <c r="A37" i="108"/>
  <c r="H36" i="108"/>
  <c r="G36" i="108"/>
  <c r="F36" i="108"/>
  <c r="A36" i="108"/>
  <c r="H35" i="108"/>
  <c r="G35" i="108" s="1"/>
  <c r="F35" i="108"/>
  <c r="A35" i="108"/>
  <c r="H34" i="108"/>
  <c r="F34" i="108"/>
  <c r="G34" i="108" s="1"/>
  <c r="A34" i="108"/>
  <c r="H33" i="108"/>
  <c r="G33" i="108" s="1"/>
  <c r="F33" i="108"/>
  <c r="A33" i="108"/>
  <c r="H32" i="108"/>
  <c r="G32" i="108"/>
  <c r="F32" i="108"/>
  <c r="A32" i="108"/>
  <c r="H31" i="108"/>
  <c r="G31" i="108" s="1"/>
  <c r="F31" i="108"/>
  <c r="A31" i="108"/>
  <c r="H30" i="108"/>
  <c r="F30" i="108"/>
  <c r="G30" i="108" s="1"/>
  <c r="A30" i="108"/>
  <c r="H29" i="108"/>
  <c r="G29" i="108" s="1"/>
  <c r="F29" i="108"/>
  <c r="A29" i="108"/>
  <c r="H28" i="108"/>
  <c r="G28" i="108"/>
  <c r="F28" i="108"/>
  <c r="A28" i="108"/>
  <c r="H27" i="108"/>
  <c r="F27" i="108"/>
  <c r="H26" i="108"/>
  <c r="F26" i="108"/>
  <c r="H25" i="108"/>
  <c r="F25" i="108"/>
  <c r="H24" i="108"/>
  <c r="F24" i="108"/>
  <c r="G24" i="108" s="1"/>
  <c r="H23" i="108"/>
  <c r="F23" i="108"/>
  <c r="H22" i="108"/>
  <c r="F22" i="108"/>
  <c r="H21" i="108"/>
  <c r="G21" i="108" s="1"/>
  <c r="F21" i="108"/>
  <c r="H20" i="108"/>
  <c r="F20" i="108"/>
  <c r="H19" i="108"/>
  <c r="F19" i="108"/>
  <c r="H18" i="108"/>
  <c r="F18" i="108"/>
  <c r="H17" i="108"/>
  <c r="F17" i="108"/>
  <c r="H16" i="108"/>
  <c r="F16" i="108"/>
  <c r="H15" i="108"/>
  <c r="F15" i="108"/>
  <c r="H14" i="108"/>
  <c r="F14" i="108"/>
  <c r="H13" i="108"/>
  <c r="F13" i="108"/>
  <c r="H12" i="108"/>
  <c r="F12" i="108"/>
  <c r="H11" i="108"/>
  <c r="F11" i="108"/>
  <c r="H10" i="108"/>
  <c r="F10" i="108"/>
  <c r="H9" i="108"/>
  <c r="F9" i="108"/>
  <c r="H8" i="108"/>
  <c r="F8" i="108"/>
  <c r="H7" i="108"/>
  <c r="G7" i="108" s="1"/>
  <c r="F7" i="108"/>
  <c r="H6" i="108"/>
  <c r="F6" i="108"/>
  <c r="H5" i="108"/>
  <c r="F5" i="108"/>
  <c r="H4" i="108"/>
  <c r="F4" i="108"/>
  <c r="H3" i="108"/>
  <c r="F3" i="108"/>
  <c r="H160" i="107"/>
  <c r="F160" i="107"/>
  <c r="G160" i="107" s="1"/>
  <c r="A160" i="107"/>
  <c r="H159" i="107"/>
  <c r="G159" i="107"/>
  <c r="F159" i="107"/>
  <c r="A159" i="107"/>
  <c r="H158" i="107"/>
  <c r="F158" i="107"/>
  <c r="G158" i="107" s="1"/>
  <c r="A158" i="107"/>
  <c r="H157" i="107"/>
  <c r="G157" i="107"/>
  <c r="F157" i="107"/>
  <c r="A157" i="107"/>
  <c r="H156" i="107"/>
  <c r="F156" i="107"/>
  <c r="G156" i="107" s="1"/>
  <c r="A156" i="107"/>
  <c r="H155" i="107"/>
  <c r="G155" i="107"/>
  <c r="F155" i="107"/>
  <c r="A155" i="107"/>
  <c r="H154" i="107"/>
  <c r="F154" i="107"/>
  <c r="G154" i="107" s="1"/>
  <c r="A154" i="107"/>
  <c r="H153" i="107"/>
  <c r="G153" i="107"/>
  <c r="F153" i="107"/>
  <c r="A153" i="107"/>
  <c r="H152" i="107"/>
  <c r="F152" i="107"/>
  <c r="G152" i="107" s="1"/>
  <c r="A152" i="107"/>
  <c r="H151" i="107"/>
  <c r="G151" i="107"/>
  <c r="F151" i="107"/>
  <c r="A151" i="107"/>
  <c r="H150" i="107"/>
  <c r="F150" i="107"/>
  <c r="G150" i="107" s="1"/>
  <c r="A150" i="107"/>
  <c r="H149" i="107"/>
  <c r="G149" i="107"/>
  <c r="F149" i="107"/>
  <c r="A149" i="107"/>
  <c r="H148" i="107"/>
  <c r="F148" i="107"/>
  <c r="G148" i="107" s="1"/>
  <c r="A148" i="107"/>
  <c r="H147" i="107"/>
  <c r="G147" i="107"/>
  <c r="F147" i="107"/>
  <c r="A147" i="107"/>
  <c r="H146" i="107"/>
  <c r="F146" i="107"/>
  <c r="G146" i="107" s="1"/>
  <c r="A146" i="107"/>
  <c r="H145" i="107"/>
  <c r="G145" i="107"/>
  <c r="F145" i="107"/>
  <c r="A145" i="107"/>
  <c r="H144" i="107"/>
  <c r="F144" i="107"/>
  <c r="G144" i="107" s="1"/>
  <c r="A144" i="107"/>
  <c r="H143" i="107"/>
  <c r="G143" i="107"/>
  <c r="F143" i="107"/>
  <c r="A143" i="107"/>
  <c r="H142" i="107"/>
  <c r="F142" i="107"/>
  <c r="G142" i="107" s="1"/>
  <c r="A142" i="107"/>
  <c r="H141" i="107"/>
  <c r="G141" i="107"/>
  <c r="F141" i="107"/>
  <c r="A141" i="107"/>
  <c r="H140" i="107"/>
  <c r="F140" i="107"/>
  <c r="G140" i="107" s="1"/>
  <c r="A140" i="107"/>
  <c r="H139" i="107"/>
  <c r="G139" i="107"/>
  <c r="F139" i="107"/>
  <c r="A139" i="107"/>
  <c r="H138" i="107"/>
  <c r="F138" i="107"/>
  <c r="G138" i="107" s="1"/>
  <c r="A138" i="107"/>
  <c r="H137" i="107"/>
  <c r="G137" i="107"/>
  <c r="F137" i="107"/>
  <c r="A137" i="107"/>
  <c r="H136" i="107"/>
  <c r="F136" i="107"/>
  <c r="G136" i="107" s="1"/>
  <c r="A136" i="107"/>
  <c r="H135" i="107"/>
  <c r="G135" i="107"/>
  <c r="F135" i="107"/>
  <c r="A135" i="107"/>
  <c r="H134" i="107"/>
  <c r="F134" i="107"/>
  <c r="G134" i="107" s="1"/>
  <c r="A134" i="107"/>
  <c r="H133" i="107"/>
  <c r="G133" i="107"/>
  <c r="F133" i="107"/>
  <c r="A133" i="107"/>
  <c r="H132" i="107"/>
  <c r="F132" i="107"/>
  <c r="G132" i="107" s="1"/>
  <c r="A132" i="107"/>
  <c r="H131" i="107"/>
  <c r="G131" i="107"/>
  <c r="F131" i="107"/>
  <c r="A131" i="107"/>
  <c r="H130" i="107"/>
  <c r="F130" i="107"/>
  <c r="G130" i="107" s="1"/>
  <c r="A130" i="107"/>
  <c r="H129" i="107"/>
  <c r="G129" i="107"/>
  <c r="F129" i="107"/>
  <c r="A129" i="107"/>
  <c r="H128" i="107"/>
  <c r="F128" i="107"/>
  <c r="G128" i="107" s="1"/>
  <c r="A128" i="107"/>
  <c r="H127" i="107"/>
  <c r="G127" i="107"/>
  <c r="F127" i="107"/>
  <c r="A127" i="107"/>
  <c r="H126" i="107"/>
  <c r="F126" i="107"/>
  <c r="G126" i="107" s="1"/>
  <c r="A126" i="107"/>
  <c r="H125" i="107"/>
  <c r="G125" i="107"/>
  <c r="F125" i="107"/>
  <c r="A125" i="107"/>
  <c r="H124" i="107"/>
  <c r="F124" i="107"/>
  <c r="G124" i="107" s="1"/>
  <c r="A124" i="107"/>
  <c r="H123" i="107"/>
  <c r="G123" i="107"/>
  <c r="F123" i="107"/>
  <c r="A123" i="107"/>
  <c r="H122" i="107"/>
  <c r="F122" i="107"/>
  <c r="G122" i="107" s="1"/>
  <c r="A122" i="107"/>
  <c r="H121" i="107"/>
  <c r="G121" i="107"/>
  <c r="F121" i="107"/>
  <c r="A121" i="107"/>
  <c r="H120" i="107"/>
  <c r="F120" i="107"/>
  <c r="G120" i="107" s="1"/>
  <c r="A120" i="107"/>
  <c r="H119" i="107"/>
  <c r="G119" i="107"/>
  <c r="F119" i="107"/>
  <c r="A119" i="107"/>
  <c r="H118" i="107"/>
  <c r="F118" i="107"/>
  <c r="G118" i="107" s="1"/>
  <c r="A118" i="107"/>
  <c r="H117" i="107"/>
  <c r="G117" i="107"/>
  <c r="F117" i="107"/>
  <c r="A117" i="107"/>
  <c r="H116" i="107"/>
  <c r="F116" i="107"/>
  <c r="G116" i="107" s="1"/>
  <c r="A116" i="107"/>
  <c r="H115" i="107"/>
  <c r="G115" i="107"/>
  <c r="F115" i="107"/>
  <c r="A115" i="107"/>
  <c r="H114" i="107"/>
  <c r="F114" i="107"/>
  <c r="G114" i="107" s="1"/>
  <c r="A114" i="107"/>
  <c r="H113" i="107"/>
  <c r="G113" i="107"/>
  <c r="F113" i="107"/>
  <c r="A113" i="107"/>
  <c r="H112" i="107"/>
  <c r="F112" i="107"/>
  <c r="G112" i="107" s="1"/>
  <c r="A112" i="107"/>
  <c r="H111" i="107"/>
  <c r="G111" i="107"/>
  <c r="F111" i="107"/>
  <c r="A111" i="107"/>
  <c r="H110" i="107"/>
  <c r="F110" i="107"/>
  <c r="G110" i="107" s="1"/>
  <c r="A110" i="107"/>
  <c r="H109" i="107"/>
  <c r="G109" i="107"/>
  <c r="F109" i="107"/>
  <c r="A109" i="107"/>
  <c r="H108" i="107"/>
  <c r="F108" i="107"/>
  <c r="G108" i="107" s="1"/>
  <c r="A108" i="107"/>
  <c r="H107" i="107"/>
  <c r="G107" i="107"/>
  <c r="F107" i="107"/>
  <c r="A107" i="107"/>
  <c r="H106" i="107"/>
  <c r="F106" i="107"/>
  <c r="G106" i="107" s="1"/>
  <c r="A106" i="107"/>
  <c r="H105" i="107"/>
  <c r="G105" i="107"/>
  <c r="F105" i="107"/>
  <c r="A105" i="107"/>
  <c r="H104" i="107"/>
  <c r="F104" i="107"/>
  <c r="G104" i="107" s="1"/>
  <c r="A104" i="107"/>
  <c r="H103" i="107"/>
  <c r="G103" i="107"/>
  <c r="F103" i="107"/>
  <c r="A103" i="107"/>
  <c r="H102" i="107"/>
  <c r="F102" i="107"/>
  <c r="G102" i="107" s="1"/>
  <c r="A102" i="107"/>
  <c r="H101" i="107"/>
  <c r="G101" i="107"/>
  <c r="F101" i="107"/>
  <c r="A101" i="107"/>
  <c r="H100" i="107"/>
  <c r="F100" i="107"/>
  <c r="G100" i="107" s="1"/>
  <c r="A100" i="107"/>
  <c r="H99" i="107"/>
  <c r="G99" i="107"/>
  <c r="F99" i="107"/>
  <c r="A99" i="107"/>
  <c r="H98" i="107"/>
  <c r="F98" i="107"/>
  <c r="G98" i="107" s="1"/>
  <c r="A98" i="107"/>
  <c r="H97" i="107"/>
  <c r="G97" i="107"/>
  <c r="F97" i="107"/>
  <c r="A97" i="107"/>
  <c r="H96" i="107"/>
  <c r="F96" i="107"/>
  <c r="G96" i="107" s="1"/>
  <c r="A96" i="107"/>
  <c r="H95" i="107"/>
  <c r="G95" i="107"/>
  <c r="F95" i="107"/>
  <c r="A95" i="107"/>
  <c r="H94" i="107"/>
  <c r="F94" i="107"/>
  <c r="G94" i="107" s="1"/>
  <c r="A94" i="107"/>
  <c r="H93" i="107"/>
  <c r="G93" i="107" s="1"/>
  <c r="F93" i="107"/>
  <c r="A93" i="107"/>
  <c r="H92" i="107"/>
  <c r="F92" i="107"/>
  <c r="G92" i="107" s="1"/>
  <c r="A92" i="107"/>
  <c r="H91" i="107"/>
  <c r="G91" i="107" s="1"/>
  <c r="F91" i="107"/>
  <c r="A91" i="107"/>
  <c r="H90" i="107"/>
  <c r="F90" i="107"/>
  <c r="G90" i="107" s="1"/>
  <c r="A90" i="107"/>
  <c r="H89" i="107"/>
  <c r="G89" i="107" s="1"/>
  <c r="F89" i="107"/>
  <c r="A89" i="107"/>
  <c r="H88" i="107"/>
  <c r="F88" i="107"/>
  <c r="G88" i="107" s="1"/>
  <c r="A88" i="107"/>
  <c r="H87" i="107"/>
  <c r="G87" i="107" s="1"/>
  <c r="F87" i="107"/>
  <c r="A87" i="107"/>
  <c r="H86" i="107"/>
  <c r="F86" i="107"/>
  <c r="G86" i="107" s="1"/>
  <c r="A86" i="107"/>
  <c r="H85" i="107"/>
  <c r="G85" i="107" s="1"/>
  <c r="F85" i="107"/>
  <c r="A85" i="107"/>
  <c r="H84" i="107"/>
  <c r="F84" i="107"/>
  <c r="G84" i="107" s="1"/>
  <c r="A84" i="107"/>
  <c r="H83" i="107"/>
  <c r="G83" i="107" s="1"/>
  <c r="F83" i="107"/>
  <c r="A83" i="107"/>
  <c r="H82" i="107"/>
  <c r="F82" i="107"/>
  <c r="G82" i="107" s="1"/>
  <c r="A82" i="107"/>
  <c r="H81" i="107"/>
  <c r="G81" i="107" s="1"/>
  <c r="F81" i="107"/>
  <c r="A81" i="107"/>
  <c r="H80" i="107"/>
  <c r="F80" i="107"/>
  <c r="G80" i="107" s="1"/>
  <c r="A80" i="107"/>
  <c r="H79" i="107"/>
  <c r="G79" i="107" s="1"/>
  <c r="F79" i="107"/>
  <c r="A79" i="107"/>
  <c r="H78" i="107"/>
  <c r="F78" i="107"/>
  <c r="G78" i="107" s="1"/>
  <c r="A78" i="107"/>
  <c r="H77" i="107"/>
  <c r="G77" i="107" s="1"/>
  <c r="F77" i="107"/>
  <c r="A77" i="107"/>
  <c r="H76" i="107"/>
  <c r="F76" i="107"/>
  <c r="G76" i="107" s="1"/>
  <c r="A76" i="107"/>
  <c r="H75" i="107"/>
  <c r="G75" i="107" s="1"/>
  <c r="F75" i="107"/>
  <c r="A75" i="107"/>
  <c r="H74" i="107"/>
  <c r="F74" i="107"/>
  <c r="G74" i="107" s="1"/>
  <c r="A74" i="107"/>
  <c r="H73" i="107"/>
  <c r="G73" i="107" s="1"/>
  <c r="F73" i="107"/>
  <c r="A73" i="107"/>
  <c r="H72" i="107"/>
  <c r="F72" i="107"/>
  <c r="G72" i="107" s="1"/>
  <c r="A72" i="107"/>
  <c r="H71" i="107"/>
  <c r="G71" i="107" s="1"/>
  <c r="F71" i="107"/>
  <c r="A71" i="107"/>
  <c r="H70" i="107"/>
  <c r="F70" i="107"/>
  <c r="G70" i="107" s="1"/>
  <c r="A70" i="107"/>
  <c r="H69" i="107"/>
  <c r="G69" i="107" s="1"/>
  <c r="F69" i="107"/>
  <c r="A69" i="107"/>
  <c r="H68" i="107"/>
  <c r="F68" i="107"/>
  <c r="G68" i="107" s="1"/>
  <c r="A68" i="107"/>
  <c r="H67" i="107"/>
  <c r="G67" i="107" s="1"/>
  <c r="F67" i="107"/>
  <c r="A67" i="107"/>
  <c r="H66" i="107"/>
  <c r="F66" i="107"/>
  <c r="G66" i="107" s="1"/>
  <c r="A66" i="107"/>
  <c r="H65" i="107"/>
  <c r="G65" i="107" s="1"/>
  <c r="F65" i="107"/>
  <c r="A65" i="107"/>
  <c r="H64" i="107"/>
  <c r="F64" i="107"/>
  <c r="G64" i="107" s="1"/>
  <c r="A64" i="107"/>
  <c r="H63" i="107"/>
  <c r="G63" i="107" s="1"/>
  <c r="F63" i="107"/>
  <c r="A63" i="107"/>
  <c r="H62" i="107"/>
  <c r="F62" i="107"/>
  <c r="G62" i="107" s="1"/>
  <c r="A62" i="107"/>
  <c r="H61" i="107"/>
  <c r="G61" i="107" s="1"/>
  <c r="F61" i="107"/>
  <c r="A61" i="107"/>
  <c r="H60" i="107"/>
  <c r="F60" i="107"/>
  <c r="G60" i="107" s="1"/>
  <c r="A60" i="107"/>
  <c r="H59" i="107"/>
  <c r="G59" i="107" s="1"/>
  <c r="F59" i="107"/>
  <c r="A59" i="107"/>
  <c r="H58" i="107"/>
  <c r="F58" i="107"/>
  <c r="G58" i="107" s="1"/>
  <c r="A58" i="107"/>
  <c r="H57" i="107"/>
  <c r="G57" i="107" s="1"/>
  <c r="F57" i="107"/>
  <c r="A57" i="107"/>
  <c r="H56" i="107"/>
  <c r="F56" i="107"/>
  <c r="G56" i="107" s="1"/>
  <c r="A56" i="107"/>
  <c r="H55" i="107"/>
  <c r="G55" i="107" s="1"/>
  <c r="F55" i="107"/>
  <c r="A55" i="107"/>
  <c r="H54" i="107"/>
  <c r="F54" i="107"/>
  <c r="G54" i="107" s="1"/>
  <c r="A54" i="107"/>
  <c r="H53" i="107"/>
  <c r="G53" i="107" s="1"/>
  <c r="F53" i="107"/>
  <c r="A53" i="107"/>
  <c r="H52" i="107"/>
  <c r="F52" i="107"/>
  <c r="G52" i="107" s="1"/>
  <c r="A52" i="107"/>
  <c r="H51" i="107"/>
  <c r="G51" i="107" s="1"/>
  <c r="F51" i="107"/>
  <c r="A51" i="107"/>
  <c r="H50" i="107"/>
  <c r="F50" i="107"/>
  <c r="G50" i="107" s="1"/>
  <c r="A50" i="107"/>
  <c r="H49" i="107"/>
  <c r="G49" i="107" s="1"/>
  <c r="F49" i="107"/>
  <c r="A49" i="107"/>
  <c r="H48" i="107"/>
  <c r="F48" i="107"/>
  <c r="G48" i="107" s="1"/>
  <c r="A48" i="107"/>
  <c r="H47" i="107"/>
  <c r="G47" i="107" s="1"/>
  <c r="F47" i="107"/>
  <c r="A47" i="107"/>
  <c r="H46" i="107"/>
  <c r="F46" i="107"/>
  <c r="G46" i="107" s="1"/>
  <c r="A46" i="107"/>
  <c r="H45" i="107"/>
  <c r="G45" i="107" s="1"/>
  <c r="F45" i="107"/>
  <c r="A45" i="107"/>
  <c r="H44" i="107"/>
  <c r="F44" i="107"/>
  <c r="G44" i="107" s="1"/>
  <c r="A44" i="107"/>
  <c r="H43" i="107"/>
  <c r="G43" i="107" s="1"/>
  <c r="F43" i="107"/>
  <c r="A43" i="107"/>
  <c r="H42" i="107"/>
  <c r="F42" i="107"/>
  <c r="G42" i="107" s="1"/>
  <c r="A42" i="107"/>
  <c r="H41" i="107"/>
  <c r="F41" i="107"/>
  <c r="H40" i="107"/>
  <c r="F40" i="107"/>
  <c r="H39" i="107"/>
  <c r="F39" i="107"/>
  <c r="H38" i="107"/>
  <c r="F38" i="107"/>
  <c r="H37" i="107"/>
  <c r="F37" i="107"/>
  <c r="H36" i="107"/>
  <c r="F36" i="107"/>
  <c r="H35" i="107"/>
  <c r="F35" i="107"/>
  <c r="H34" i="107"/>
  <c r="F34" i="107"/>
  <c r="H33" i="107"/>
  <c r="F33" i="107"/>
  <c r="H32" i="107"/>
  <c r="F32" i="107"/>
  <c r="H31" i="107"/>
  <c r="F31" i="107"/>
  <c r="H30" i="107"/>
  <c r="F30" i="107"/>
  <c r="H29" i="107"/>
  <c r="F29" i="107"/>
  <c r="H28" i="107"/>
  <c r="F28" i="107"/>
  <c r="H27" i="107"/>
  <c r="F27" i="107"/>
  <c r="H26" i="107"/>
  <c r="F26" i="107"/>
  <c r="H25" i="107"/>
  <c r="F25" i="107"/>
  <c r="H24" i="107"/>
  <c r="F24" i="107"/>
  <c r="H23" i="107"/>
  <c r="F23" i="107"/>
  <c r="H22" i="107"/>
  <c r="F22" i="107"/>
  <c r="H21" i="107"/>
  <c r="F21" i="107"/>
  <c r="H20" i="107"/>
  <c r="F20" i="107"/>
  <c r="H19" i="107"/>
  <c r="F19" i="107"/>
  <c r="H18" i="107"/>
  <c r="F18" i="107"/>
  <c r="H17" i="107"/>
  <c r="F17" i="107"/>
  <c r="H16" i="107"/>
  <c r="F16" i="107"/>
  <c r="H15" i="107"/>
  <c r="F15" i="107"/>
  <c r="H14" i="107"/>
  <c r="F14" i="107"/>
  <c r="G14" i="107" s="1"/>
  <c r="H13" i="107"/>
  <c r="F13" i="107"/>
  <c r="H12" i="107"/>
  <c r="F12" i="107"/>
  <c r="H11" i="107"/>
  <c r="F11" i="107"/>
  <c r="H10" i="107"/>
  <c r="F10" i="107"/>
  <c r="H9" i="107"/>
  <c r="G9" i="107" s="1"/>
  <c r="F9" i="107"/>
  <c r="H8" i="107"/>
  <c r="F8" i="107"/>
  <c r="G8" i="107" s="1"/>
  <c r="H7" i="107"/>
  <c r="F7" i="107"/>
  <c r="H6" i="107"/>
  <c r="F6" i="107"/>
  <c r="H5" i="107"/>
  <c r="F5" i="107"/>
  <c r="H4" i="107"/>
  <c r="F4" i="107"/>
  <c r="G4" i="107" s="1"/>
  <c r="H3" i="107"/>
  <c r="F3" i="107"/>
  <c r="H160" i="106"/>
  <c r="F160" i="106"/>
  <c r="G160" i="106" s="1"/>
  <c r="A160" i="106"/>
  <c r="H159" i="106"/>
  <c r="F159" i="106"/>
  <c r="G159" i="106" s="1"/>
  <c r="A159" i="106"/>
  <c r="H158" i="106"/>
  <c r="F158" i="106"/>
  <c r="G158" i="106" s="1"/>
  <c r="A158" i="106"/>
  <c r="H157" i="106"/>
  <c r="F157" i="106"/>
  <c r="G157" i="106" s="1"/>
  <c r="A157" i="106"/>
  <c r="H156" i="106"/>
  <c r="F156" i="106"/>
  <c r="G156" i="106" s="1"/>
  <c r="A156" i="106"/>
  <c r="H155" i="106"/>
  <c r="F155" i="106"/>
  <c r="G155" i="106" s="1"/>
  <c r="A155" i="106"/>
  <c r="H154" i="106"/>
  <c r="F154" i="106"/>
  <c r="G154" i="106" s="1"/>
  <c r="A154" i="106"/>
  <c r="H153" i="106"/>
  <c r="F153" i="106"/>
  <c r="G153" i="106" s="1"/>
  <c r="A153" i="106"/>
  <c r="H152" i="106"/>
  <c r="F152" i="106"/>
  <c r="G152" i="106" s="1"/>
  <c r="A152" i="106"/>
  <c r="H151" i="106"/>
  <c r="F151" i="106"/>
  <c r="G151" i="106" s="1"/>
  <c r="A151" i="106"/>
  <c r="H150" i="106"/>
  <c r="F150" i="106"/>
  <c r="G150" i="106" s="1"/>
  <c r="A150" i="106"/>
  <c r="H149" i="106"/>
  <c r="F149" i="106"/>
  <c r="G149" i="106" s="1"/>
  <c r="A149" i="106"/>
  <c r="H148" i="106"/>
  <c r="F148" i="106"/>
  <c r="G148" i="106" s="1"/>
  <c r="A148" i="106"/>
  <c r="H147" i="106"/>
  <c r="F147" i="106"/>
  <c r="G147" i="106" s="1"/>
  <c r="A147" i="106"/>
  <c r="H146" i="106"/>
  <c r="F146" i="106"/>
  <c r="G146" i="106" s="1"/>
  <c r="A146" i="106"/>
  <c r="H145" i="106"/>
  <c r="F145" i="106"/>
  <c r="G145" i="106" s="1"/>
  <c r="A145" i="106"/>
  <c r="H144" i="106"/>
  <c r="F144" i="106"/>
  <c r="G144" i="106" s="1"/>
  <c r="A144" i="106"/>
  <c r="H143" i="106"/>
  <c r="F143" i="106"/>
  <c r="G143" i="106" s="1"/>
  <c r="A143" i="106"/>
  <c r="H142" i="106"/>
  <c r="F142" i="106"/>
  <c r="G142" i="106" s="1"/>
  <c r="A142" i="106"/>
  <c r="H141" i="106"/>
  <c r="F141" i="106"/>
  <c r="G141" i="106" s="1"/>
  <c r="A141" i="106"/>
  <c r="H140" i="106"/>
  <c r="F140" i="106"/>
  <c r="G140" i="106" s="1"/>
  <c r="A140" i="106"/>
  <c r="H139" i="106"/>
  <c r="F139" i="106"/>
  <c r="G139" i="106" s="1"/>
  <c r="A139" i="106"/>
  <c r="H138" i="106"/>
  <c r="F138" i="106"/>
  <c r="G138" i="106" s="1"/>
  <c r="A138" i="106"/>
  <c r="H137" i="106"/>
  <c r="F137" i="106"/>
  <c r="G137" i="106" s="1"/>
  <c r="A137" i="106"/>
  <c r="H136" i="106"/>
  <c r="F136" i="106"/>
  <c r="G136" i="106" s="1"/>
  <c r="A136" i="106"/>
  <c r="H135" i="106"/>
  <c r="F135" i="106"/>
  <c r="G135" i="106" s="1"/>
  <c r="A135" i="106"/>
  <c r="H134" i="106"/>
  <c r="F134" i="106"/>
  <c r="G134" i="106" s="1"/>
  <c r="A134" i="106"/>
  <c r="H133" i="106"/>
  <c r="F133" i="106"/>
  <c r="G133" i="106" s="1"/>
  <c r="A133" i="106"/>
  <c r="H132" i="106"/>
  <c r="F132" i="106"/>
  <c r="G132" i="106" s="1"/>
  <c r="A132" i="106"/>
  <c r="H131" i="106"/>
  <c r="F131" i="106"/>
  <c r="G131" i="106" s="1"/>
  <c r="A131" i="106"/>
  <c r="H130" i="106"/>
  <c r="F130" i="106"/>
  <c r="G130" i="106" s="1"/>
  <c r="A130" i="106"/>
  <c r="H129" i="106"/>
  <c r="F129" i="106"/>
  <c r="G129" i="106" s="1"/>
  <c r="A129" i="106"/>
  <c r="H128" i="106"/>
  <c r="F128" i="106"/>
  <c r="G128" i="106" s="1"/>
  <c r="A128" i="106"/>
  <c r="H127" i="106"/>
  <c r="F127" i="106"/>
  <c r="G127" i="106" s="1"/>
  <c r="A127" i="106"/>
  <c r="H126" i="106"/>
  <c r="F126" i="106"/>
  <c r="G126" i="106" s="1"/>
  <c r="A126" i="106"/>
  <c r="H125" i="106"/>
  <c r="F125" i="106"/>
  <c r="G125" i="106" s="1"/>
  <c r="A125" i="106"/>
  <c r="H124" i="106"/>
  <c r="F124" i="106"/>
  <c r="G124" i="106" s="1"/>
  <c r="A124" i="106"/>
  <c r="H123" i="106"/>
  <c r="F123" i="106"/>
  <c r="G123" i="106" s="1"/>
  <c r="A123" i="106"/>
  <c r="H122" i="106"/>
  <c r="F122" i="106"/>
  <c r="G122" i="106" s="1"/>
  <c r="A122" i="106"/>
  <c r="H121" i="106"/>
  <c r="F121" i="106"/>
  <c r="G121" i="106" s="1"/>
  <c r="A121" i="106"/>
  <c r="H120" i="106"/>
  <c r="F120" i="106"/>
  <c r="G120" i="106" s="1"/>
  <c r="A120" i="106"/>
  <c r="H119" i="106"/>
  <c r="F119" i="106"/>
  <c r="G119" i="106" s="1"/>
  <c r="A119" i="106"/>
  <c r="H118" i="106"/>
  <c r="F118" i="106"/>
  <c r="G118" i="106" s="1"/>
  <c r="A118" i="106"/>
  <c r="H117" i="106"/>
  <c r="F117" i="106"/>
  <c r="G117" i="106" s="1"/>
  <c r="A117" i="106"/>
  <c r="H116" i="106"/>
  <c r="F116" i="106"/>
  <c r="G116" i="106" s="1"/>
  <c r="A116" i="106"/>
  <c r="H115" i="106"/>
  <c r="F115" i="106"/>
  <c r="G115" i="106" s="1"/>
  <c r="A115" i="106"/>
  <c r="H114" i="106"/>
  <c r="F114" i="106"/>
  <c r="G114" i="106" s="1"/>
  <c r="A114" i="106"/>
  <c r="H113" i="106"/>
  <c r="F113" i="106"/>
  <c r="G113" i="106" s="1"/>
  <c r="A113" i="106"/>
  <c r="H112" i="106"/>
  <c r="F112" i="106"/>
  <c r="G112" i="106" s="1"/>
  <c r="A112" i="106"/>
  <c r="H111" i="106"/>
  <c r="F111" i="106"/>
  <c r="G111" i="106" s="1"/>
  <c r="A111" i="106"/>
  <c r="H110" i="106"/>
  <c r="F110" i="106"/>
  <c r="G110" i="106" s="1"/>
  <c r="A110" i="106"/>
  <c r="H109" i="106"/>
  <c r="F109" i="106"/>
  <c r="G109" i="106" s="1"/>
  <c r="A109" i="106"/>
  <c r="H108" i="106"/>
  <c r="F108" i="106"/>
  <c r="G108" i="106" s="1"/>
  <c r="A108" i="106"/>
  <c r="H107" i="106"/>
  <c r="F107" i="106"/>
  <c r="G107" i="106" s="1"/>
  <c r="A107" i="106"/>
  <c r="H106" i="106"/>
  <c r="F106" i="106"/>
  <c r="G106" i="106" s="1"/>
  <c r="A106" i="106"/>
  <c r="H105" i="106"/>
  <c r="F105" i="106"/>
  <c r="G105" i="106" s="1"/>
  <c r="A105" i="106"/>
  <c r="H104" i="106"/>
  <c r="F104" i="106"/>
  <c r="G104" i="106" s="1"/>
  <c r="A104" i="106"/>
  <c r="H103" i="106"/>
  <c r="F103" i="106"/>
  <c r="G103" i="106" s="1"/>
  <c r="A103" i="106"/>
  <c r="H102" i="106"/>
  <c r="F102" i="106"/>
  <c r="G102" i="106" s="1"/>
  <c r="A102" i="106"/>
  <c r="H101" i="106"/>
  <c r="F101" i="106"/>
  <c r="G101" i="106" s="1"/>
  <c r="A101" i="106"/>
  <c r="H100" i="106"/>
  <c r="F100" i="106"/>
  <c r="G100" i="106" s="1"/>
  <c r="A100" i="106"/>
  <c r="H99" i="106"/>
  <c r="F99" i="106"/>
  <c r="G99" i="106" s="1"/>
  <c r="A99" i="106"/>
  <c r="H98" i="106"/>
  <c r="F98" i="106"/>
  <c r="G98" i="106" s="1"/>
  <c r="A98" i="106"/>
  <c r="H97" i="106"/>
  <c r="F97" i="106"/>
  <c r="G97" i="106" s="1"/>
  <c r="A97" i="106"/>
  <c r="H96" i="106"/>
  <c r="F96" i="106"/>
  <c r="G96" i="106" s="1"/>
  <c r="A96" i="106"/>
  <c r="H95" i="106"/>
  <c r="F95" i="106"/>
  <c r="G95" i="106" s="1"/>
  <c r="A95" i="106"/>
  <c r="H94" i="106"/>
  <c r="F94" i="106"/>
  <c r="G94" i="106" s="1"/>
  <c r="A94" i="106"/>
  <c r="H93" i="106"/>
  <c r="F93" i="106"/>
  <c r="G93" i="106" s="1"/>
  <c r="A93" i="106"/>
  <c r="H92" i="106"/>
  <c r="F92" i="106"/>
  <c r="G92" i="106" s="1"/>
  <c r="A92" i="106"/>
  <c r="H91" i="106"/>
  <c r="F91" i="106"/>
  <c r="G91" i="106" s="1"/>
  <c r="A91" i="106"/>
  <c r="H90" i="106"/>
  <c r="F90" i="106"/>
  <c r="G90" i="106" s="1"/>
  <c r="A90" i="106"/>
  <c r="H89" i="106"/>
  <c r="F89" i="106"/>
  <c r="G89" i="106" s="1"/>
  <c r="A89" i="106"/>
  <c r="H88" i="106"/>
  <c r="F88" i="106"/>
  <c r="G88" i="106" s="1"/>
  <c r="A88" i="106"/>
  <c r="H87" i="106"/>
  <c r="F87" i="106"/>
  <c r="G87" i="106" s="1"/>
  <c r="A87" i="106"/>
  <c r="H86" i="106"/>
  <c r="F86" i="106"/>
  <c r="G86" i="106" s="1"/>
  <c r="A86" i="106"/>
  <c r="H85" i="106"/>
  <c r="F85" i="106"/>
  <c r="G85" i="106" s="1"/>
  <c r="A85" i="106"/>
  <c r="H84" i="106"/>
  <c r="F84" i="106"/>
  <c r="G84" i="106" s="1"/>
  <c r="A84" i="106"/>
  <c r="H83" i="106"/>
  <c r="F83" i="106"/>
  <c r="G83" i="106" s="1"/>
  <c r="A83" i="106"/>
  <c r="H82" i="106"/>
  <c r="F82" i="106"/>
  <c r="G82" i="106" s="1"/>
  <c r="A82" i="106"/>
  <c r="H81" i="106"/>
  <c r="F81" i="106"/>
  <c r="G81" i="106" s="1"/>
  <c r="A81" i="106"/>
  <c r="H80" i="106"/>
  <c r="F80" i="106"/>
  <c r="G80" i="106" s="1"/>
  <c r="A80" i="106"/>
  <c r="H79" i="106"/>
  <c r="F79" i="106"/>
  <c r="G79" i="106" s="1"/>
  <c r="A79" i="106"/>
  <c r="H78" i="106"/>
  <c r="F78" i="106"/>
  <c r="G78" i="106" s="1"/>
  <c r="A78" i="106"/>
  <c r="H77" i="106"/>
  <c r="F77" i="106"/>
  <c r="G77" i="106" s="1"/>
  <c r="A77" i="106"/>
  <c r="H76" i="106"/>
  <c r="F76" i="106"/>
  <c r="G76" i="106" s="1"/>
  <c r="A76" i="106"/>
  <c r="H75" i="106"/>
  <c r="F75" i="106"/>
  <c r="G75" i="106" s="1"/>
  <c r="A75" i="106"/>
  <c r="H74" i="106"/>
  <c r="F74" i="106"/>
  <c r="G74" i="106" s="1"/>
  <c r="A74" i="106"/>
  <c r="H73" i="106"/>
  <c r="F73" i="106"/>
  <c r="G73" i="106" s="1"/>
  <c r="A73" i="106"/>
  <c r="H72" i="106"/>
  <c r="F72" i="106"/>
  <c r="G72" i="106" s="1"/>
  <c r="A72" i="106"/>
  <c r="H71" i="106"/>
  <c r="F71" i="106"/>
  <c r="G71" i="106" s="1"/>
  <c r="A71" i="106"/>
  <c r="H70" i="106"/>
  <c r="F70" i="106"/>
  <c r="G70" i="106" s="1"/>
  <c r="A70" i="106"/>
  <c r="H69" i="106"/>
  <c r="F69" i="106"/>
  <c r="G69" i="106" s="1"/>
  <c r="A69" i="106"/>
  <c r="H68" i="106"/>
  <c r="F68" i="106"/>
  <c r="G68" i="106" s="1"/>
  <c r="A68" i="106"/>
  <c r="H67" i="106"/>
  <c r="F67" i="106"/>
  <c r="G67" i="106" s="1"/>
  <c r="A67" i="106"/>
  <c r="H66" i="106"/>
  <c r="F66" i="106"/>
  <c r="G66" i="106" s="1"/>
  <c r="A66" i="106"/>
  <c r="H65" i="106"/>
  <c r="F65" i="106"/>
  <c r="G65" i="106" s="1"/>
  <c r="A65" i="106"/>
  <c r="H64" i="106"/>
  <c r="F64" i="106"/>
  <c r="G64" i="106" s="1"/>
  <c r="A64" i="106"/>
  <c r="H63" i="106"/>
  <c r="F63" i="106"/>
  <c r="G63" i="106" s="1"/>
  <c r="A63" i="106"/>
  <c r="H62" i="106"/>
  <c r="F62" i="106"/>
  <c r="G62" i="106" s="1"/>
  <c r="A62" i="106"/>
  <c r="H61" i="106"/>
  <c r="F61" i="106"/>
  <c r="G61" i="106" s="1"/>
  <c r="A61" i="106"/>
  <c r="H60" i="106"/>
  <c r="F60" i="106"/>
  <c r="G60" i="106" s="1"/>
  <c r="A60" i="106"/>
  <c r="H59" i="106"/>
  <c r="F59" i="106"/>
  <c r="G59" i="106" s="1"/>
  <c r="A59" i="106"/>
  <c r="H58" i="106"/>
  <c r="F58" i="106"/>
  <c r="G58" i="106" s="1"/>
  <c r="A58" i="106"/>
  <c r="H57" i="106"/>
  <c r="F57" i="106"/>
  <c r="G57" i="106" s="1"/>
  <c r="A57" i="106"/>
  <c r="H56" i="106"/>
  <c r="F56" i="106"/>
  <c r="G56" i="106" s="1"/>
  <c r="A56" i="106"/>
  <c r="H55" i="106"/>
  <c r="F55" i="106"/>
  <c r="G55" i="106" s="1"/>
  <c r="A55" i="106"/>
  <c r="H54" i="106"/>
  <c r="F54" i="106"/>
  <c r="G54" i="106" s="1"/>
  <c r="A54" i="106"/>
  <c r="H53" i="106"/>
  <c r="F53" i="106"/>
  <c r="G53" i="106" s="1"/>
  <c r="A53" i="106"/>
  <c r="H52" i="106"/>
  <c r="F52" i="106"/>
  <c r="G52" i="106" s="1"/>
  <c r="A52" i="106"/>
  <c r="H51" i="106"/>
  <c r="F51" i="106"/>
  <c r="G51" i="106" s="1"/>
  <c r="A51" i="106"/>
  <c r="H50" i="106"/>
  <c r="F50" i="106"/>
  <c r="G50" i="106" s="1"/>
  <c r="A50" i="106"/>
  <c r="H49" i="106"/>
  <c r="F49" i="106"/>
  <c r="G49" i="106" s="1"/>
  <c r="A49" i="106"/>
  <c r="H48" i="106"/>
  <c r="F48" i="106"/>
  <c r="G48" i="106" s="1"/>
  <c r="A48" i="106"/>
  <c r="H47" i="106"/>
  <c r="F47" i="106"/>
  <c r="G47" i="106" s="1"/>
  <c r="A47" i="106"/>
  <c r="H46" i="106"/>
  <c r="F46" i="106"/>
  <c r="G46" i="106" s="1"/>
  <c r="A46" i="106"/>
  <c r="H45" i="106"/>
  <c r="F45" i="106"/>
  <c r="G45" i="106" s="1"/>
  <c r="A45" i="106"/>
  <c r="H44" i="106"/>
  <c r="F44" i="106"/>
  <c r="G44" i="106" s="1"/>
  <c r="A44" i="106"/>
  <c r="H43" i="106"/>
  <c r="F43" i="106"/>
  <c r="G43" i="106" s="1"/>
  <c r="A43" i="106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F39" i="106"/>
  <c r="G39" i="106" s="1"/>
  <c r="A39" i="106"/>
  <c r="H38" i="106"/>
  <c r="F38" i="106"/>
  <c r="G38" i="106" s="1"/>
  <c r="A38" i="106"/>
  <c r="H37" i="106"/>
  <c r="F37" i="106"/>
  <c r="G37" i="106" s="1"/>
  <c r="A37" i="106"/>
  <c r="H36" i="106"/>
  <c r="F36" i="106"/>
  <c r="G36" i="106" s="1"/>
  <c r="A36" i="106"/>
  <c r="H35" i="106"/>
  <c r="F35" i="106"/>
  <c r="G35" i="106" s="1"/>
  <c r="A35" i="106"/>
  <c r="H34" i="106"/>
  <c r="F34" i="106"/>
  <c r="G34" i="106" s="1"/>
  <c r="A34" i="106"/>
  <c r="H33" i="106"/>
  <c r="F33" i="106"/>
  <c r="G33" i="106" s="1"/>
  <c r="A33" i="106"/>
  <c r="H32" i="106"/>
  <c r="F32" i="106"/>
  <c r="G32" i="106" s="1"/>
  <c r="A32" i="106"/>
  <c r="H31" i="106"/>
  <c r="F31" i="106"/>
  <c r="G31" i="106" s="1"/>
  <c r="A31" i="106"/>
  <c r="H30" i="106"/>
  <c r="F30" i="106"/>
  <c r="G30" i="106" s="1"/>
  <c r="A30" i="106"/>
  <c r="H29" i="106"/>
  <c r="F29" i="106"/>
  <c r="G29" i="106" s="1"/>
  <c r="A29" i="106"/>
  <c r="H28" i="106"/>
  <c r="F28" i="106"/>
  <c r="G28" i="106" s="1"/>
  <c r="A28" i="106"/>
  <c r="H27" i="106"/>
  <c r="F27" i="106"/>
  <c r="G27" i="106" s="1"/>
  <c r="A27" i="106"/>
  <c r="H26" i="106"/>
  <c r="F26" i="106"/>
  <c r="G26" i="106" s="1"/>
  <c r="A26" i="106"/>
  <c r="H25" i="106"/>
  <c r="F25" i="106"/>
  <c r="G25" i="106" s="1"/>
  <c r="A25" i="106"/>
  <c r="H24" i="106"/>
  <c r="F24" i="106"/>
  <c r="G24" i="106" s="1"/>
  <c r="A24" i="106"/>
  <c r="H23" i="106"/>
  <c r="F23" i="106"/>
  <c r="H22" i="106"/>
  <c r="F22" i="106"/>
  <c r="H21" i="106"/>
  <c r="F21" i="106"/>
  <c r="H20" i="106"/>
  <c r="F20" i="106"/>
  <c r="H19" i="106"/>
  <c r="F19" i="106"/>
  <c r="H18" i="106"/>
  <c r="F18" i="106"/>
  <c r="H17" i="106"/>
  <c r="F17" i="106"/>
  <c r="H16" i="106"/>
  <c r="F16" i="106"/>
  <c r="H15" i="106"/>
  <c r="F15" i="106"/>
  <c r="H14" i="106"/>
  <c r="F14" i="106"/>
  <c r="H13" i="106"/>
  <c r="F13" i="106"/>
  <c r="H12" i="106"/>
  <c r="F12" i="106"/>
  <c r="H11" i="106"/>
  <c r="F11" i="106"/>
  <c r="H10" i="106"/>
  <c r="F10" i="106"/>
  <c r="H9" i="106"/>
  <c r="F9" i="106"/>
  <c r="H8" i="106"/>
  <c r="F8" i="106"/>
  <c r="H7" i="106"/>
  <c r="F7" i="106"/>
  <c r="H6" i="106"/>
  <c r="F6" i="106"/>
  <c r="H5" i="106"/>
  <c r="F5" i="106"/>
  <c r="G5" i="106" s="1"/>
  <c r="H4" i="106"/>
  <c r="F4" i="106"/>
  <c r="H3" i="106"/>
  <c r="F3" i="106"/>
  <c r="G3" i="106" s="1"/>
  <c r="H160" i="104"/>
  <c r="F160" i="104"/>
  <c r="G160" i="104" s="1"/>
  <c r="A160" i="104"/>
  <c r="H159" i="104"/>
  <c r="G159" i="104" s="1"/>
  <c r="F159" i="104"/>
  <c r="A159" i="104"/>
  <c r="H158" i="104"/>
  <c r="F158" i="104"/>
  <c r="G158" i="104" s="1"/>
  <c r="A158" i="104"/>
  <c r="H157" i="104"/>
  <c r="F157" i="104"/>
  <c r="G157" i="104" s="1"/>
  <c r="A157" i="104"/>
  <c r="H156" i="104"/>
  <c r="F156" i="104"/>
  <c r="G156" i="104" s="1"/>
  <c r="A156" i="104"/>
  <c r="H155" i="104"/>
  <c r="G155" i="104" s="1"/>
  <c r="F155" i="104"/>
  <c r="A155" i="104"/>
  <c r="H154" i="104"/>
  <c r="F154" i="104"/>
  <c r="G154" i="104" s="1"/>
  <c r="A154" i="104"/>
  <c r="H153" i="104"/>
  <c r="F153" i="104"/>
  <c r="G153" i="104" s="1"/>
  <c r="A153" i="104"/>
  <c r="H152" i="104"/>
  <c r="F152" i="104"/>
  <c r="G152" i="104" s="1"/>
  <c r="A152" i="104"/>
  <c r="H151" i="104"/>
  <c r="F151" i="104"/>
  <c r="G151" i="104" s="1"/>
  <c r="A151" i="104"/>
  <c r="H150" i="104"/>
  <c r="F150" i="104"/>
  <c r="G150" i="104" s="1"/>
  <c r="A150" i="104"/>
  <c r="H149" i="104"/>
  <c r="F149" i="104"/>
  <c r="G149" i="104" s="1"/>
  <c r="A149" i="104"/>
  <c r="H148" i="104"/>
  <c r="F148" i="104"/>
  <c r="G148" i="104" s="1"/>
  <c r="A148" i="104"/>
  <c r="H147" i="104"/>
  <c r="F147" i="104"/>
  <c r="G147" i="104" s="1"/>
  <c r="A147" i="104"/>
  <c r="H146" i="104"/>
  <c r="F146" i="104"/>
  <c r="G146" i="104" s="1"/>
  <c r="A146" i="104"/>
  <c r="H145" i="104"/>
  <c r="F145" i="104"/>
  <c r="G145" i="104" s="1"/>
  <c r="A145" i="104"/>
  <c r="H144" i="104"/>
  <c r="F144" i="104"/>
  <c r="G144" i="104" s="1"/>
  <c r="A144" i="104"/>
  <c r="H143" i="104"/>
  <c r="F143" i="104"/>
  <c r="G143" i="104" s="1"/>
  <c r="A143" i="104"/>
  <c r="H142" i="104"/>
  <c r="F142" i="104"/>
  <c r="G142" i="104" s="1"/>
  <c r="A142" i="104"/>
  <c r="H141" i="104"/>
  <c r="F141" i="104"/>
  <c r="G141" i="104" s="1"/>
  <c r="A141" i="104"/>
  <c r="H140" i="104"/>
  <c r="F140" i="104"/>
  <c r="G140" i="104" s="1"/>
  <c r="A140" i="104"/>
  <c r="H139" i="104"/>
  <c r="F139" i="104"/>
  <c r="G139" i="104" s="1"/>
  <c r="A139" i="104"/>
  <c r="H138" i="104"/>
  <c r="F138" i="104"/>
  <c r="G138" i="104" s="1"/>
  <c r="A138" i="104"/>
  <c r="H137" i="104"/>
  <c r="F137" i="104"/>
  <c r="G137" i="104" s="1"/>
  <c r="A137" i="104"/>
  <c r="H136" i="104"/>
  <c r="F136" i="104"/>
  <c r="G136" i="104" s="1"/>
  <c r="A136" i="104"/>
  <c r="H135" i="104"/>
  <c r="F135" i="104"/>
  <c r="G135" i="104" s="1"/>
  <c r="A135" i="104"/>
  <c r="H134" i="104"/>
  <c r="F134" i="104"/>
  <c r="G134" i="104" s="1"/>
  <c r="A134" i="104"/>
  <c r="H133" i="104"/>
  <c r="F133" i="104"/>
  <c r="G133" i="104" s="1"/>
  <c r="A133" i="104"/>
  <c r="H132" i="104"/>
  <c r="F132" i="104"/>
  <c r="G132" i="104" s="1"/>
  <c r="A132" i="104"/>
  <c r="H131" i="104"/>
  <c r="F131" i="104"/>
  <c r="G131" i="104" s="1"/>
  <c r="A131" i="104"/>
  <c r="H130" i="104"/>
  <c r="F130" i="104"/>
  <c r="G130" i="104" s="1"/>
  <c r="A130" i="104"/>
  <c r="H129" i="104"/>
  <c r="F129" i="104"/>
  <c r="G129" i="104" s="1"/>
  <c r="A129" i="104"/>
  <c r="H128" i="104"/>
  <c r="F128" i="104"/>
  <c r="G128" i="104" s="1"/>
  <c r="A128" i="104"/>
  <c r="H127" i="104"/>
  <c r="F127" i="104"/>
  <c r="G127" i="104" s="1"/>
  <c r="A127" i="104"/>
  <c r="H126" i="104"/>
  <c r="F126" i="104"/>
  <c r="G126" i="104" s="1"/>
  <c r="A126" i="104"/>
  <c r="H125" i="104"/>
  <c r="F125" i="104"/>
  <c r="G125" i="104" s="1"/>
  <c r="A125" i="104"/>
  <c r="H124" i="104"/>
  <c r="F124" i="104"/>
  <c r="G124" i="104" s="1"/>
  <c r="A124" i="104"/>
  <c r="H123" i="104"/>
  <c r="F123" i="104"/>
  <c r="G123" i="104" s="1"/>
  <c r="A123" i="104"/>
  <c r="H122" i="104"/>
  <c r="F122" i="104"/>
  <c r="G122" i="104" s="1"/>
  <c r="A122" i="104"/>
  <c r="H121" i="104"/>
  <c r="F121" i="104"/>
  <c r="G121" i="104" s="1"/>
  <c r="A121" i="104"/>
  <c r="H120" i="104"/>
  <c r="F120" i="104"/>
  <c r="G120" i="104" s="1"/>
  <c r="A120" i="104"/>
  <c r="H119" i="104"/>
  <c r="F119" i="104"/>
  <c r="G119" i="104" s="1"/>
  <c r="A119" i="104"/>
  <c r="H118" i="104"/>
  <c r="F118" i="104"/>
  <c r="G118" i="104" s="1"/>
  <c r="A118" i="104"/>
  <c r="H117" i="104"/>
  <c r="F117" i="104"/>
  <c r="G117" i="104" s="1"/>
  <c r="A117" i="104"/>
  <c r="H116" i="104"/>
  <c r="F116" i="104"/>
  <c r="G116" i="104" s="1"/>
  <c r="A116" i="104"/>
  <c r="H115" i="104"/>
  <c r="F115" i="104"/>
  <c r="G115" i="104" s="1"/>
  <c r="A115" i="104"/>
  <c r="H114" i="104"/>
  <c r="F114" i="104"/>
  <c r="G114" i="104" s="1"/>
  <c r="A114" i="104"/>
  <c r="H113" i="104"/>
  <c r="F113" i="104"/>
  <c r="G113" i="104" s="1"/>
  <c r="A113" i="104"/>
  <c r="H112" i="104"/>
  <c r="F112" i="104"/>
  <c r="G112" i="104" s="1"/>
  <c r="A112" i="104"/>
  <c r="H111" i="104"/>
  <c r="F111" i="104"/>
  <c r="G111" i="104" s="1"/>
  <c r="A111" i="104"/>
  <c r="H110" i="104"/>
  <c r="F110" i="104"/>
  <c r="G110" i="104" s="1"/>
  <c r="A110" i="104"/>
  <c r="H109" i="104"/>
  <c r="F109" i="104"/>
  <c r="G109" i="104" s="1"/>
  <c r="A109" i="104"/>
  <c r="H108" i="104"/>
  <c r="F108" i="104"/>
  <c r="G108" i="104" s="1"/>
  <c r="A108" i="104"/>
  <c r="H107" i="104"/>
  <c r="F107" i="104"/>
  <c r="G107" i="104" s="1"/>
  <c r="A107" i="104"/>
  <c r="H106" i="104"/>
  <c r="F106" i="104"/>
  <c r="G106" i="104" s="1"/>
  <c r="A106" i="104"/>
  <c r="H105" i="104"/>
  <c r="F105" i="104"/>
  <c r="G105" i="104" s="1"/>
  <c r="A105" i="104"/>
  <c r="H104" i="104"/>
  <c r="F104" i="104"/>
  <c r="G104" i="104" s="1"/>
  <c r="A104" i="104"/>
  <c r="H103" i="104"/>
  <c r="F103" i="104"/>
  <c r="G103" i="104" s="1"/>
  <c r="A103" i="104"/>
  <c r="H102" i="104"/>
  <c r="F102" i="104"/>
  <c r="G102" i="104" s="1"/>
  <c r="A102" i="104"/>
  <c r="H101" i="104"/>
  <c r="F101" i="104"/>
  <c r="G101" i="104" s="1"/>
  <c r="A101" i="104"/>
  <c r="H100" i="104"/>
  <c r="F100" i="104"/>
  <c r="G100" i="104" s="1"/>
  <c r="A100" i="104"/>
  <c r="H99" i="104"/>
  <c r="F99" i="104"/>
  <c r="G99" i="104" s="1"/>
  <c r="A99" i="104"/>
  <c r="H98" i="104"/>
  <c r="F98" i="104"/>
  <c r="G98" i="104" s="1"/>
  <c r="A98" i="104"/>
  <c r="H97" i="104"/>
  <c r="F97" i="104"/>
  <c r="G97" i="104" s="1"/>
  <c r="A97" i="104"/>
  <c r="H96" i="104"/>
  <c r="F96" i="104"/>
  <c r="G96" i="104" s="1"/>
  <c r="A96" i="104"/>
  <c r="H95" i="104"/>
  <c r="F95" i="104"/>
  <c r="G95" i="104" s="1"/>
  <c r="A95" i="104"/>
  <c r="H94" i="104"/>
  <c r="F94" i="104"/>
  <c r="G94" i="104" s="1"/>
  <c r="A94" i="104"/>
  <c r="H93" i="104"/>
  <c r="F93" i="104"/>
  <c r="G93" i="104" s="1"/>
  <c r="A93" i="104"/>
  <c r="H92" i="104"/>
  <c r="F92" i="104"/>
  <c r="G92" i="104" s="1"/>
  <c r="A92" i="104"/>
  <c r="H91" i="104"/>
  <c r="F91" i="104"/>
  <c r="G91" i="104" s="1"/>
  <c r="A91" i="104"/>
  <c r="H90" i="104"/>
  <c r="F90" i="104"/>
  <c r="G90" i="104" s="1"/>
  <c r="A90" i="104"/>
  <c r="H89" i="104"/>
  <c r="F89" i="104"/>
  <c r="G89" i="104" s="1"/>
  <c r="A89" i="104"/>
  <c r="H88" i="104"/>
  <c r="F88" i="104"/>
  <c r="G88" i="104" s="1"/>
  <c r="A88" i="104"/>
  <c r="H87" i="104"/>
  <c r="F87" i="104"/>
  <c r="G87" i="104" s="1"/>
  <c r="A87" i="104"/>
  <c r="H86" i="104"/>
  <c r="F86" i="104"/>
  <c r="G86" i="104" s="1"/>
  <c r="A86" i="104"/>
  <c r="H85" i="104"/>
  <c r="F85" i="104"/>
  <c r="G85" i="104" s="1"/>
  <c r="A85" i="104"/>
  <c r="H84" i="104"/>
  <c r="F84" i="104"/>
  <c r="G84" i="104" s="1"/>
  <c r="A84" i="104"/>
  <c r="H83" i="104"/>
  <c r="F83" i="104"/>
  <c r="G83" i="104" s="1"/>
  <c r="A83" i="104"/>
  <c r="H82" i="104"/>
  <c r="F82" i="104"/>
  <c r="G82" i="104" s="1"/>
  <c r="A82" i="104"/>
  <c r="H81" i="104"/>
  <c r="F81" i="104"/>
  <c r="G81" i="104" s="1"/>
  <c r="A81" i="104"/>
  <c r="H80" i="104"/>
  <c r="F80" i="104"/>
  <c r="G80" i="104" s="1"/>
  <c r="A80" i="104"/>
  <c r="H79" i="104"/>
  <c r="F79" i="104"/>
  <c r="G79" i="104" s="1"/>
  <c r="A79" i="104"/>
  <c r="H78" i="104"/>
  <c r="F78" i="104"/>
  <c r="G78" i="104" s="1"/>
  <c r="A78" i="104"/>
  <c r="H77" i="104"/>
  <c r="F77" i="104"/>
  <c r="G77" i="104" s="1"/>
  <c r="A77" i="104"/>
  <c r="H76" i="104"/>
  <c r="F76" i="104"/>
  <c r="G76" i="104" s="1"/>
  <c r="A76" i="104"/>
  <c r="H75" i="104"/>
  <c r="F75" i="104"/>
  <c r="G75" i="104" s="1"/>
  <c r="A75" i="104"/>
  <c r="H74" i="104"/>
  <c r="F74" i="104"/>
  <c r="G74" i="104" s="1"/>
  <c r="A74" i="104"/>
  <c r="H73" i="104"/>
  <c r="F73" i="104"/>
  <c r="G73" i="104" s="1"/>
  <c r="A73" i="104"/>
  <c r="H72" i="104"/>
  <c r="F72" i="104"/>
  <c r="G72" i="104" s="1"/>
  <c r="A72" i="104"/>
  <c r="H71" i="104"/>
  <c r="F71" i="104"/>
  <c r="G71" i="104" s="1"/>
  <c r="A71" i="104"/>
  <c r="H70" i="104"/>
  <c r="F70" i="104"/>
  <c r="G70" i="104" s="1"/>
  <c r="A70" i="104"/>
  <c r="H69" i="104"/>
  <c r="F69" i="104"/>
  <c r="G69" i="104" s="1"/>
  <c r="A69" i="104"/>
  <c r="H68" i="104"/>
  <c r="F68" i="104"/>
  <c r="G68" i="104" s="1"/>
  <c r="A68" i="104"/>
  <c r="H67" i="104"/>
  <c r="F67" i="104"/>
  <c r="G67" i="104" s="1"/>
  <c r="A67" i="104"/>
  <c r="H66" i="104"/>
  <c r="F66" i="104"/>
  <c r="G66" i="104" s="1"/>
  <c r="A66" i="104"/>
  <c r="H65" i="104"/>
  <c r="F65" i="104"/>
  <c r="G65" i="104" s="1"/>
  <c r="A65" i="104"/>
  <c r="H64" i="104"/>
  <c r="F64" i="104"/>
  <c r="G64" i="104" s="1"/>
  <c r="A64" i="104"/>
  <c r="H63" i="104"/>
  <c r="F63" i="104"/>
  <c r="G63" i="104" s="1"/>
  <c r="A63" i="104"/>
  <c r="H62" i="104"/>
  <c r="F62" i="104"/>
  <c r="G62" i="104" s="1"/>
  <c r="A62" i="104"/>
  <c r="H61" i="104"/>
  <c r="F61" i="104"/>
  <c r="G61" i="104" s="1"/>
  <c r="A61" i="104"/>
  <c r="H60" i="104"/>
  <c r="F60" i="104"/>
  <c r="G60" i="104" s="1"/>
  <c r="A60" i="104"/>
  <c r="H59" i="104"/>
  <c r="F59" i="104"/>
  <c r="G59" i="104" s="1"/>
  <c r="A59" i="104"/>
  <c r="H58" i="104"/>
  <c r="F58" i="104"/>
  <c r="G58" i="104" s="1"/>
  <c r="A58" i="104"/>
  <c r="H57" i="104"/>
  <c r="F57" i="104"/>
  <c r="G57" i="104" s="1"/>
  <c r="A57" i="104"/>
  <c r="H56" i="104"/>
  <c r="F56" i="104"/>
  <c r="G56" i="104" s="1"/>
  <c r="A56" i="104"/>
  <c r="H55" i="104"/>
  <c r="F55" i="104"/>
  <c r="G55" i="104" s="1"/>
  <c r="A55" i="104"/>
  <c r="H54" i="104"/>
  <c r="F54" i="104"/>
  <c r="G54" i="104" s="1"/>
  <c r="A54" i="104"/>
  <c r="H53" i="104"/>
  <c r="F53" i="104"/>
  <c r="G53" i="104" s="1"/>
  <c r="A53" i="104"/>
  <c r="H52" i="104"/>
  <c r="F52" i="104"/>
  <c r="G52" i="104" s="1"/>
  <c r="A52" i="104"/>
  <c r="H51" i="104"/>
  <c r="F51" i="104"/>
  <c r="G51" i="104" s="1"/>
  <c r="A51" i="104"/>
  <c r="H50" i="104"/>
  <c r="F50" i="104"/>
  <c r="G50" i="104" s="1"/>
  <c r="A50" i="104"/>
  <c r="H49" i="104"/>
  <c r="F49" i="104"/>
  <c r="G49" i="104" s="1"/>
  <c r="A49" i="104"/>
  <c r="H48" i="104"/>
  <c r="F48" i="104"/>
  <c r="G48" i="104" s="1"/>
  <c r="A48" i="104"/>
  <c r="H47" i="104"/>
  <c r="F47" i="104"/>
  <c r="G47" i="104" s="1"/>
  <c r="A47" i="104"/>
  <c r="H46" i="104"/>
  <c r="F46" i="104"/>
  <c r="G46" i="104" s="1"/>
  <c r="A46" i="104"/>
  <c r="H45" i="104"/>
  <c r="F45" i="104"/>
  <c r="G45" i="104" s="1"/>
  <c r="A45" i="104"/>
  <c r="H44" i="104"/>
  <c r="F44" i="104"/>
  <c r="G44" i="104" s="1"/>
  <c r="A44" i="104"/>
  <c r="H43" i="104"/>
  <c r="F43" i="104"/>
  <c r="G43" i="104" s="1"/>
  <c r="A43" i="104"/>
  <c r="H42" i="104"/>
  <c r="F42" i="104"/>
  <c r="G42" i="104" s="1"/>
  <c r="A42" i="104"/>
  <c r="H41" i="104"/>
  <c r="F41" i="104"/>
  <c r="G41" i="104" s="1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A38" i="104"/>
  <c r="H37" i="104"/>
  <c r="F37" i="104"/>
  <c r="G37" i="104" s="1"/>
  <c r="A37" i="104"/>
  <c r="H36" i="104"/>
  <c r="F36" i="104"/>
  <c r="G36" i="104" s="1"/>
  <c r="A36" i="104"/>
  <c r="H35" i="104"/>
  <c r="F35" i="104"/>
  <c r="G35" i="104" s="1"/>
  <c r="A35" i="104"/>
  <c r="H34" i="104"/>
  <c r="F34" i="104"/>
  <c r="G34" i="104" s="1"/>
  <c r="A34" i="104"/>
  <c r="H33" i="104"/>
  <c r="F33" i="104"/>
  <c r="G33" i="104" s="1"/>
  <c r="A33" i="104"/>
  <c r="H32" i="104"/>
  <c r="F32" i="104"/>
  <c r="G32" i="104" s="1"/>
  <c r="A32" i="104"/>
  <c r="H31" i="104"/>
  <c r="F31" i="104"/>
  <c r="G31" i="104" s="1"/>
  <c r="A31" i="104"/>
  <c r="H30" i="104"/>
  <c r="F30" i="104"/>
  <c r="G30" i="104" s="1"/>
  <c r="A30" i="104"/>
  <c r="H29" i="104"/>
  <c r="F29" i="104"/>
  <c r="G29" i="104" s="1"/>
  <c r="A29" i="104"/>
  <c r="H28" i="104"/>
  <c r="F28" i="104"/>
  <c r="G28" i="104" s="1"/>
  <c r="A28" i="104"/>
  <c r="H27" i="104"/>
  <c r="F27" i="104"/>
  <c r="G27" i="104" s="1"/>
  <c r="A27" i="104"/>
  <c r="H26" i="104"/>
  <c r="F26" i="104"/>
  <c r="G26" i="104" s="1"/>
  <c r="A26" i="104"/>
  <c r="H25" i="104"/>
  <c r="F25" i="104"/>
  <c r="G25" i="104" s="1"/>
  <c r="A25" i="104"/>
  <c r="H24" i="104"/>
  <c r="F24" i="104"/>
  <c r="H23" i="104"/>
  <c r="F23" i="104"/>
  <c r="H22" i="104"/>
  <c r="F22" i="104"/>
  <c r="H21" i="104"/>
  <c r="F21" i="104"/>
  <c r="H20" i="104"/>
  <c r="F20" i="104"/>
  <c r="H19" i="104"/>
  <c r="F19" i="104"/>
  <c r="H18" i="104"/>
  <c r="F18" i="104"/>
  <c r="G18" i="104" s="1"/>
  <c r="H17" i="104"/>
  <c r="F17" i="104"/>
  <c r="H16" i="104"/>
  <c r="F16" i="104"/>
  <c r="H15" i="104"/>
  <c r="F15" i="104"/>
  <c r="H14" i="104"/>
  <c r="F14" i="104"/>
  <c r="H13" i="104"/>
  <c r="F13" i="104"/>
  <c r="H12" i="104"/>
  <c r="F12" i="104"/>
  <c r="H11" i="104"/>
  <c r="F11" i="104"/>
  <c r="H10" i="104"/>
  <c r="F10" i="104"/>
  <c r="H9" i="104"/>
  <c r="F9" i="104"/>
  <c r="G9" i="104" s="1"/>
  <c r="H8" i="104"/>
  <c r="F8" i="104"/>
  <c r="H7" i="104"/>
  <c r="F7" i="104"/>
  <c r="H6" i="104"/>
  <c r="F6" i="104"/>
  <c r="H5" i="104"/>
  <c r="F5" i="104"/>
  <c r="H4" i="104"/>
  <c r="F4" i="104"/>
  <c r="H3" i="104"/>
  <c r="F3" i="104"/>
  <c r="H160" i="103"/>
  <c r="F160" i="103"/>
  <c r="G160" i="103" s="1"/>
  <c r="A160" i="103"/>
  <c r="H159" i="103"/>
  <c r="G159" i="103" s="1"/>
  <c r="F159" i="103"/>
  <c r="A159" i="103"/>
  <c r="H158" i="103"/>
  <c r="F158" i="103"/>
  <c r="G158" i="103" s="1"/>
  <c r="A158" i="103"/>
  <c r="H157" i="103"/>
  <c r="G157" i="103" s="1"/>
  <c r="F157" i="103"/>
  <c r="A157" i="103"/>
  <c r="H156" i="103"/>
  <c r="F156" i="103"/>
  <c r="G156" i="103" s="1"/>
  <c r="A156" i="103"/>
  <c r="H155" i="103"/>
  <c r="G155" i="103" s="1"/>
  <c r="F155" i="103"/>
  <c r="A155" i="103"/>
  <c r="H154" i="103"/>
  <c r="F154" i="103"/>
  <c r="G154" i="103" s="1"/>
  <c r="A154" i="103"/>
  <c r="H153" i="103"/>
  <c r="G153" i="103" s="1"/>
  <c r="F153" i="103"/>
  <c r="A153" i="103"/>
  <c r="H152" i="103"/>
  <c r="F152" i="103"/>
  <c r="G152" i="103" s="1"/>
  <c r="A152" i="103"/>
  <c r="H151" i="103"/>
  <c r="G151" i="103" s="1"/>
  <c r="F151" i="103"/>
  <c r="A151" i="103"/>
  <c r="H150" i="103"/>
  <c r="F150" i="103"/>
  <c r="G150" i="103" s="1"/>
  <c r="A150" i="103"/>
  <c r="H149" i="103"/>
  <c r="G149" i="103" s="1"/>
  <c r="F149" i="103"/>
  <c r="A149" i="103"/>
  <c r="H148" i="103"/>
  <c r="F148" i="103"/>
  <c r="G148" i="103" s="1"/>
  <c r="A148" i="103"/>
  <c r="H147" i="103"/>
  <c r="G147" i="103" s="1"/>
  <c r="F147" i="103"/>
  <c r="A147" i="103"/>
  <c r="H146" i="103"/>
  <c r="F146" i="103"/>
  <c r="G146" i="103" s="1"/>
  <c r="A146" i="103"/>
  <c r="H145" i="103"/>
  <c r="G145" i="103" s="1"/>
  <c r="F145" i="103"/>
  <c r="A145" i="103"/>
  <c r="H144" i="103"/>
  <c r="F144" i="103"/>
  <c r="G144" i="103" s="1"/>
  <c r="A144" i="103"/>
  <c r="H143" i="103"/>
  <c r="G143" i="103" s="1"/>
  <c r="F143" i="103"/>
  <c r="A143" i="103"/>
  <c r="H142" i="103"/>
  <c r="F142" i="103"/>
  <c r="G142" i="103" s="1"/>
  <c r="A142" i="103"/>
  <c r="H141" i="103"/>
  <c r="G141" i="103" s="1"/>
  <c r="F141" i="103"/>
  <c r="A141" i="103"/>
  <c r="H140" i="103"/>
  <c r="F140" i="103"/>
  <c r="G140" i="103" s="1"/>
  <c r="A140" i="103"/>
  <c r="H139" i="103"/>
  <c r="G139" i="103" s="1"/>
  <c r="F139" i="103"/>
  <c r="A139" i="103"/>
  <c r="H138" i="103"/>
  <c r="F138" i="103"/>
  <c r="G138" i="103" s="1"/>
  <c r="A138" i="103"/>
  <c r="H137" i="103"/>
  <c r="G137" i="103" s="1"/>
  <c r="F137" i="103"/>
  <c r="A137" i="103"/>
  <c r="H136" i="103"/>
  <c r="F136" i="103"/>
  <c r="G136" i="103" s="1"/>
  <c r="A136" i="103"/>
  <c r="H135" i="103"/>
  <c r="G135" i="103" s="1"/>
  <c r="F135" i="103"/>
  <c r="A135" i="103"/>
  <c r="H134" i="103"/>
  <c r="F134" i="103"/>
  <c r="G134" i="103" s="1"/>
  <c r="A134" i="103"/>
  <c r="H133" i="103"/>
  <c r="G133" i="103" s="1"/>
  <c r="F133" i="103"/>
  <c r="A133" i="103"/>
  <c r="H132" i="103"/>
  <c r="F132" i="103"/>
  <c r="G132" i="103" s="1"/>
  <c r="A132" i="103"/>
  <c r="H131" i="103"/>
  <c r="G131" i="103" s="1"/>
  <c r="F131" i="103"/>
  <c r="A131" i="103"/>
  <c r="H130" i="103"/>
  <c r="F130" i="103"/>
  <c r="G130" i="103" s="1"/>
  <c r="A130" i="103"/>
  <c r="H129" i="103"/>
  <c r="G129" i="103" s="1"/>
  <c r="F129" i="103"/>
  <c r="A129" i="103"/>
  <c r="H128" i="103"/>
  <c r="F128" i="103"/>
  <c r="G128" i="103" s="1"/>
  <c r="A128" i="103"/>
  <c r="H127" i="103"/>
  <c r="G127" i="103" s="1"/>
  <c r="F127" i="103"/>
  <c r="A127" i="103"/>
  <c r="H126" i="103"/>
  <c r="F126" i="103"/>
  <c r="G126" i="103" s="1"/>
  <c r="A126" i="103"/>
  <c r="H125" i="103"/>
  <c r="G125" i="103" s="1"/>
  <c r="F125" i="103"/>
  <c r="A125" i="103"/>
  <c r="H124" i="103"/>
  <c r="F124" i="103"/>
  <c r="G124" i="103" s="1"/>
  <c r="A124" i="103"/>
  <c r="H123" i="103"/>
  <c r="G123" i="103" s="1"/>
  <c r="F123" i="103"/>
  <c r="A123" i="103"/>
  <c r="H122" i="103"/>
  <c r="F122" i="103"/>
  <c r="G122" i="103" s="1"/>
  <c r="A122" i="103"/>
  <c r="H121" i="103"/>
  <c r="G121" i="103" s="1"/>
  <c r="F121" i="103"/>
  <c r="A121" i="103"/>
  <c r="H120" i="103"/>
  <c r="F120" i="103"/>
  <c r="G120" i="103" s="1"/>
  <c r="A120" i="103"/>
  <c r="H119" i="103"/>
  <c r="G119" i="103" s="1"/>
  <c r="F119" i="103"/>
  <c r="A119" i="103"/>
  <c r="H118" i="103"/>
  <c r="F118" i="103"/>
  <c r="G118" i="103" s="1"/>
  <c r="A118" i="103"/>
  <c r="H117" i="103"/>
  <c r="G117" i="103" s="1"/>
  <c r="F117" i="103"/>
  <c r="A117" i="103"/>
  <c r="H116" i="103"/>
  <c r="F116" i="103"/>
  <c r="G116" i="103" s="1"/>
  <c r="A116" i="103"/>
  <c r="H115" i="103"/>
  <c r="G115" i="103" s="1"/>
  <c r="F115" i="103"/>
  <c r="A115" i="103"/>
  <c r="H114" i="103"/>
  <c r="F114" i="103"/>
  <c r="G114" i="103" s="1"/>
  <c r="A114" i="103"/>
  <c r="H113" i="103"/>
  <c r="G113" i="103" s="1"/>
  <c r="F113" i="103"/>
  <c r="A113" i="103"/>
  <c r="H112" i="103"/>
  <c r="F112" i="103"/>
  <c r="G112" i="103" s="1"/>
  <c r="A112" i="103"/>
  <c r="H111" i="103"/>
  <c r="G111" i="103" s="1"/>
  <c r="F111" i="103"/>
  <c r="A111" i="103"/>
  <c r="H110" i="103"/>
  <c r="F110" i="103"/>
  <c r="G110" i="103" s="1"/>
  <c r="A110" i="103"/>
  <c r="H109" i="103"/>
  <c r="G109" i="103" s="1"/>
  <c r="F109" i="103"/>
  <c r="A109" i="103"/>
  <c r="H108" i="103"/>
  <c r="F108" i="103"/>
  <c r="G108" i="103" s="1"/>
  <c r="A108" i="103"/>
  <c r="H107" i="103"/>
  <c r="G107" i="103" s="1"/>
  <c r="F107" i="103"/>
  <c r="A107" i="103"/>
  <c r="H106" i="103"/>
  <c r="F106" i="103"/>
  <c r="G106" i="103" s="1"/>
  <c r="A106" i="103"/>
  <c r="H105" i="103"/>
  <c r="G105" i="103" s="1"/>
  <c r="F105" i="103"/>
  <c r="A105" i="103"/>
  <c r="H104" i="103"/>
  <c r="F104" i="103"/>
  <c r="G104" i="103" s="1"/>
  <c r="A104" i="103"/>
  <c r="H103" i="103"/>
  <c r="G103" i="103" s="1"/>
  <c r="F103" i="103"/>
  <c r="A103" i="103"/>
  <c r="H102" i="103"/>
  <c r="F102" i="103"/>
  <c r="G102" i="103" s="1"/>
  <c r="A102" i="103"/>
  <c r="H101" i="103"/>
  <c r="G101" i="103" s="1"/>
  <c r="F101" i="103"/>
  <c r="A101" i="103"/>
  <c r="H100" i="103"/>
  <c r="F100" i="103"/>
  <c r="G100" i="103" s="1"/>
  <c r="A100" i="103"/>
  <c r="H99" i="103"/>
  <c r="G99" i="103" s="1"/>
  <c r="F99" i="103"/>
  <c r="A99" i="103"/>
  <c r="H98" i="103"/>
  <c r="F98" i="103"/>
  <c r="G98" i="103" s="1"/>
  <c r="A98" i="103"/>
  <c r="H97" i="103"/>
  <c r="G97" i="103" s="1"/>
  <c r="F97" i="103"/>
  <c r="A97" i="103"/>
  <c r="H96" i="103"/>
  <c r="F96" i="103"/>
  <c r="G96" i="103" s="1"/>
  <c r="A96" i="103"/>
  <c r="H95" i="103"/>
  <c r="G95" i="103" s="1"/>
  <c r="F95" i="103"/>
  <c r="A95" i="103"/>
  <c r="H94" i="103"/>
  <c r="F94" i="103"/>
  <c r="G94" i="103" s="1"/>
  <c r="A94" i="103"/>
  <c r="H93" i="103"/>
  <c r="G93" i="103" s="1"/>
  <c r="F93" i="103"/>
  <c r="A93" i="103"/>
  <c r="H92" i="103"/>
  <c r="F92" i="103"/>
  <c r="G92" i="103" s="1"/>
  <c r="A92" i="103"/>
  <c r="H91" i="103"/>
  <c r="G91" i="103" s="1"/>
  <c r="F91" i="103"/>
  <c r="A91" i="103"/>
  <c r="H90" i="103"/>
  <c r="F90" i="103"/>
  <c r="G90" i="103" s="1"/>
  <c r="A90" i="103"/>
  <c r="H89" i="103"/>
  <c r="G89" i="103" s="1"/>
  <c r="F89" i="103"/>
  <c r="A89" i="103"/>
  <c r="H88" i="103"/>
  <c r="F88" i="103"/>
  <c r="G88" i="103" s="1"/>
  <c r="A88" i="103"/>
  <c r="H87" i="103"/>
  <c r="G87" i="103" s="1"/>
  <c r="F87" i="103"/>
  <c r="A87" i="103"/>
  <c r="H86" i="103"/>
  <c r="F86" i="103"/>
  <c r="G86" i="103" s="1"/>
  <c r="A86" i="103"/>
  <c r="H85" i="103"/>
  <c r="G85" i="103" s="1"/>
  <c r="F85" i="103"/>
  <c r="A85" i="103"/>
  <c r="H84" i="103"/>
  <c r="F84" i="103"/>
  <c r="G84" i="103" s="1"/>
  <c r="A84" i="103"/>
  <c r="H83" i="103"/>
  <c r="G83" i="103" s="1"/>
  <c r="F83" i="103"/>
  <c r="A83" i="103"/>
  <c r="H82" i="103"/>
  <c r="F82" i="103"/>
  <c r="G82" i="103" s="1"/>
  <c r="A82" i="103"/>
  <c r="H81" i="103"/>
  <c r="G81" i="103" s="1"/>
  <c r="F81" i="103"/>
  <c r="A81" i="103"/>
  <c r="H80" i="103"/>
  <c r="F80" i="103"/>
  <c r="G80" i="103" s="1"/>
  <c r="A80" i="103"/>
  <c r="H79" i="103"/>
  <c r="G79" i="103" s="1"/>
  <c r="F79" i="103"/>
  <c r="A79" i="103"/>
  <c r="H78" i="103"/>
  <c r="F78" i="103"/>
  <c r="G78" i="103" s="1"/>
  <c r="A78" i="103"/>
  <c r="H77" i="103"/>
  <c r="G77" i="103" s="1"/>
  <c r="F77" i="103"/>
  <c r="A77" i="103"/>
  <c r="H76" i="103"/>
  <c r="F76" i="103"/>
  <c r="G76" i="103" s="1"/>
  <c r="A76" i="103"/>
  <c r="H75" i="103"/>
  <c r="G75" i="103" s="1"/>
  <c r="F75" i="103"/>
  <c r="A75" i="103"/>
  <c r="H74" i="103"/>
  <c r="F74" i="103"/>
  <c r="G74" i="103" s="1"/>
  <c r="A74" i="103"/>
  <c r="H73" i="103"/>
  <c r="G73" i="103" s="1"/>
  <c r="F73" i="103"/>
  <c r="A73" i="103"/>
  <c r="H72" i="103"/>
  <c r="F72" i="103"/>
  <c r="G72" i="103" s="1"/>
  <c r="A72" i="103"/>
  <c r="H71" i="103"/>
  <c r="G71" i="103" s="1"/>
  <c r="F71" i="103"/>
  <c r="A71" i="103"/>
  <c r="H70" i="103"/>
  <c r="F70" i="103"/>
  <c r="G70" i="103" s="1"/>
  <c r="A70" i="103"/>
  <c r="H69" i="103"/>
  <c r="G69" i="103" s="1"/>
  <c r="F69" i="103"/>
  <c r="A69" i="103"/>
  <c r="H68" i="103"/>
  <c r="F68" i="103"/>
  <c r="G68" i="103" s="1"/>
  <c r="A68" i="103"/>
  <c r="H67" i="103"/>
  <c r="G67" i="103" s="1"/>
  <c r="F67" i="103"/>
  <c r="A67" i="103"/>
  <c r="H66" i="103"/>
  <c r="F66" i="103"/>
  <c r="G66" i="103" s="1"/>
  <c r="A66" i="103"/>
  <c r="H65" i="103"/>
  <c r="G65" i="103" s="1"/>
  <c r="F65" i="103"/>
  <c r="A65" i="103"/>
  <c r="H64" i="103"/>
  <c r="F64" i="103"/>
  <c r="G64" i="103" s="1"/>
  <c r="A64" i="103"/>
  <c r="H63" i="103"/>
  <c r="G63" i="103" s="1"/>
  <c r="F63" i="103"/>
  <c r="A63" i="103"/>
  <c r="H62" i="103"/>
  <c r="F62" i="103"/>
  <c r="G62" i="103" s="1"/>
  <c r="A62" i="103"/>
  <c r="H61" i="103"/>
  <c r="G61" i="103" s="1"/>
  <c r="F61" i="103"/>
  <c r="A61" i="103"/>
  <c r="H60" i="103"/>
  <c r="F60" i="103"/>
  <c r="G60" i="103" s="1"/>
  <c r="A60" i="103"/>
  <c r="H59" i="103"/>
  <c r="G59" i="103" s="1"/>
  <c r="F59" i="103"/>
  <c r="A59" i="103"/>
  <c r="H58" i="103"/>
  <c r="F58" i="103"/>
  <c r="G58" i="103" s="1"/>
  <c r="A58" i="103"/>
  <c r="H57" i="103"/>
  <c r="G57" i="103" s="1"/>
  <c r="F57" i="103"/>
  <c r="A57" i="103"/>
  <c r="H56" i="103"/>
  <c r="F56" i="103"/>
  <c r="G56" i="103" s="1"/>
  <c r="A56" i="103"/>
  <c r="H55" i="103"/>
  <c r="G55" i="103" s="1"/>
  <c r="F55" i="103"/>
  <c r="A55" i="103"/>
  <c r="H54" i="103"/>
  <c r="F54" i="103"/>
  <c r="G54" i="103" s="1"/>
  <c r="A54" i="103"/>
  <c r="H53" i="103"/>
  <c r="G53" i="103" s="1"/>
  <c r="F53" i="103"/>
  <c r="A53" i="103"/>
  <c r="H52" i="103"/>
  <c r="F52" i="103"/>
  <c r="G52" i="103" s="1"/>
  <c r="A52" i="103"/>
  <c r="H51" i="103"/>
  <c r="G51" i="103" s="1"/>
  <c r="F51" i="103"/>
  <c r="A51" i="103"/>
  <c r="H50" i="103"/>
  <c r="F50" i="103"/>
  <c r="G50" i="103" s="1"/>
  <c r="A50" i="103"/>
  <c r="H49" i="103"/>
  <c r="G49" i="103" s="1"/>
  <c r="F49" i="103"/>
  <c r="A49" i="103"/>
  <c r="H48" i="103"/>
  <c r="F48" i="103"/>
  <c r="G48" i="103" s="1"/>
  <c r="A48" i="103"/>
  <c r="H47" i="103"/>
  <c r="G47" i="103" s="1"/>
  <c r="F47" i="103"/>
  <c r="A47" i="103"/>
  <c r="H46" i="103"/>
  <c r="F46" i="103"/>
  <c r="G46" i="103" s="1"/>
  <c r="A46" i="103"/>
  <c r="H45" i="103"/>
  <c r="G45" i="103" s="1"/>
  <c r="F45" i="103"/>
  <c r="A45" i="103"/>
  <c r="H44" i="103"/>
  <c r="F44" i="103"/>
  <c r="G44" i="103" s="1"/>
  <c r="A44" i="103"/>
  <c r="H43" i="103"/>
  <c r="G43" i="103" s="1"/>
  <c r="F43" i="103"/>
  <c r="A43" i="103"/>
  <c r="H42" i="103"/>
  <c r="F42" i="103"/>
  <c r="G42" i="103" s="1"/>
  <c r="A42" i="103"/>
  <c r="H41" i="103"/>
  <c r="G41" i="103" s="1"/>
  <c r="F41" i="103"/>
  <c r="A41" i="103"/>
  <c r="H40" i="103"/>
  <c r="F40" i="103"/>
  <c r="G40" i="103" s="1"/>
  <c r="A40" i="103"/>
  <c r="H39" i="103"/>
  <c r="G39" i="103" s="1"/>
  <c r="F39" i="103"/>
  <c r="A39" i="103"/>
  <c r="H38" i="103"/>
  <c r="F38" i="103"/>
  <c r="G38" i="103" s="1"/>
  <c r="A38" i="103"/>
  <c r="H37" i="103"/>
  <c r="G37" i="103" s="1"/>
  <c r="F37" i="103"/>
  <c r="A37" i="103"/>
  <c r="H36" i="103"/>
  <c r="F36" i="103"/>
  <c r="G36" i="103" s="1"/>
  <c r="A36" i="103"/>
  <c r="H35" i="103"/>
  <c r="G35" i="103" s="1"/>
  <c r="F35" i="103"/>
  <c r="A35" i="103"/>
  <c r="H34" i="103"/>
  <c r="F34" i="103"/>
  <c r="G34" i="103" s="1"/>
  <c r="A34" i="103"/>
  <c r="H33" i="103"/>
  <c r="G33" i="103" s="1"/>
  <c r="F33" i="103"/>
  <c r="A33" i="103"/>
  <c r="H32" i="103"/>
  <c r="F32" i="103"/>
  <c r="G32" i="103" s="1"/>
  <c r="A32" i="103"/>
  <c r="H31" i="103"/>
  <c r="G31" i="103" s="1"/>
  <c r="F31" i="103"/>
  <c r="A31" i="103"/>
  <c r="H30" i="103"/>
  <c r="F30" i="103"/>
  <c r="G30" i="103" s="1"/>
  <c r="A30" i="103"/>
  <c r="H29" i="103"/>
  <c r="G29" i="103" s="1"/>
  <c r="F29" i="103"/>
  <c r="A29" i="103"/>
  <c r="H28" i="103"/>
  <c r="F28" i="103"/>
  <c r="G28" i="103" s="1"/>
  <c r="A28" i="103"/>
  <c r="H27" i="103"/>
  <c r="G27" i="103" s="1"/>
  <c r="F27" i="103"/>
  <c r="A27" i="103"/>
  <c r="H26" i="103"/>
  <c r="F26" i="103"/>
  <c r="G26" i="103" s="1"/>
  <c r="A26" i="103"/>
  <c r="H25" i="103"/>
  <c r="G25" i="103" s="1"/>
  <c r="F25" i="103"/>
  <c r="A25" i="103"/>
  <c r="H24" i="103"/>
  <c r="F24" i="103"/>
  <c r="G24" i="103" s="1"/>
  <c r="A24" i="103"/>
  <c r="H23" i="103"/>
  <c r="G23" i="103" s="1"/>
  <c r="F23" i="103"/>
  <c r="A23" i="103"/>
  <c r="H22" i="103"/>
  <c r="F22" i="103"/>
  <c r="G22" i="103" s="1"/>
  <c r="A22" i="103"/>
  <c r="H21" i="103"/>
  <c r="G21" i="103" s="1"/>
  <c r="F21" i="103"/>
  <c r="A21" i="103"/>
  <c r="H20" i="103"/>
  <c r="F20" i="103"/>
  <c r="H19" i="103"/>
  <c r="F19" i="103"/>
  <c r="H18" i="103"/>
  <c r="F18" i="103"/>
  <c r="H17" i="103"/>
  <c r="F17" i="103"/>
  <c r="H16" i="103"/>
  <c r="F16" i="103"/>
  <c r="H15" i="103"/>
  <c r="F15" i="103"/>
  <c r="H14" i="103"/>
  <c r="F14" i="103"/>
  <c r="H13" i="103"/>
  <c r="F13" i="103"/>
  <c r="H12" i="103"/>
  <c r="F12" i="103"/>
  <c r="H11" i="103"/>
  <c r="F11" i="103"/>
  <c r="H10" i="103"/>
  <c r="F10" i="103"/>
  <c r="H9" i="103"/>
  <c r="F9" i="103"/>
  <c r="H8" i="103"/>
  <c r="F8" i="103"/>
  <c r="H7" i="103"/>
  <c r="F7" i="103"/>
  <c r="H6" i="103"/>
  <c r="F6" i="103"/>
  <c r="H5" i="103"/>
  <c r="F5" i="103"/>
  <c r="H4" i="103"/>
  <c r="F4" i="103"/>
  <c r="G4" i="103" s="1"/>
  <c r="H3" i="103"/>
  <c r="F3" i="103"/>
  <c r="H160" i="102"/>
  <c r="F160" i="102"/>
  <c r="G160" i="102" s="1"/>
  <c r="A160" i="102"/>
  <c r="H159" i="102"/>
  <c r="G159" i="102" s="1"/>
  <c r="F159" i="102"/>
  <c r="A159" i="102"/>
  <c r="H158" i="102"/>
  <c r="F158" i="102"/>
  <c r="G158" i="102" s="1"/>
  <c r="A158" i="102"/>
  <c r="H157" i="102"/>
  <c r="G157" i="102" s="1"/>
  <c r="F157" i="102"/>
  <c r="A157" i="102"/>
  <c r="H156" i="102"/>
  <c r="F156" i="102"/>
  <c r="G156" i="102" s="1"/>
  <c r="A156" i="102"/>
  <c r="H155" i="102"/>
  <c r="G155" i="102" s="1"/>
  <c r="F155" i="102"/>
  <c r="A155" i="102"/>
  <c r="H154" i="102"/>
  <c r="F154" i="102"/>
  <c r="G154" i="102" s="1"/>
  <c r="A154" i="102"/>
  <c r="H153" i="102"/>
  <c r="G153" i="102" s="1"/>
  <c r="F153" i="102"/>
  <c r="A153" i="102"/>
  <c r="H152" i="102"/>
  <c r="F152" i="102"/>
  <c r="G152" i="102" s="1"/>
  <c r="A152" i="102"/>
  <c r="H151" i="102"/>
  <c r="G151" i="102" s="1"/>
  <c r="F151" i="102"/>
  <c r="A151" i="102"/>
  <c r="H150" i="102"/>
  <c r="F150" i="102"/>
  <c r="G150" i="102" s="1"/>
  <c r="A150" i="102"/>
  <c r="H149" i="102"/>
  <c r="G149" i="102" s="1"/>
  <c r="F149" i="102"/>
  <c r="A149" i="102"/>
  <c r="H148" i="102"/>
  <c r="F148" i="102"/>
  <c r="G148" i="102" s="1"/>
  <c r="A148" i="102"/>
  <c r="H147" i="102"/>
  <c r="G147" i="102" s="1"/>
  <c r="F147" i="102"/>
  <c r="A147" i="102"/>
  <c r="H146" i="102"/>
  <c r="F146" i="102"/>
  <c r="G146" i="102" s="1"/>
  <c r="A146" i="102"/>
  <c r="H145" i="102"/>
  <c r="G145" i="102" s="1"/>
  <c r="F145" i="102"/>
  <c r="A145" i="102"/>
  <c r="H144" i="102"/>
  <c r="F144" i="102"/>
  <c r="G144" i="102" s="1"/>
  <c r="A144" i="102"/>
  <c r="H143" i="102"/>
  <c r="G143" i="102" s="1"/>
  <c r="F143" i="102"/>
  <c r="A143" i="102"/>
  <c r="H142" i="102"/>
  <c r="F142" i="102"/>
  <c r="G142" i="102" s="1"/>
  <c r="A142" i="102"/>
  <c r="H141" i="102"/>
  <c r="G141" i="102" s="1"/>
  <c r="F141" i="102"/>
  <c r="A141" i="102"/>
  <c r="H140" i="102"/>
  <c r="F140" i="102"/>
  <c r="G140" i="102" s="1"/>
  <c r="A140" i="102"/>
  <c r="H139" i="102"/>
  <c r="G139" i="102" s="1"/>
  <c r="F139" i="102"/>
  <c r="A139" i="102"/>
  <c r="H138" i="102"/>
  <c r="F138" i="102"/>
  <c r="G138" i="102" s="1"/>
  <c r="A138" i="102"/>
  <c r="H137" i="102"/>
  <c r="G137" i="102" s="1"/>
  <c r="F137" i="102"/>
  <c r="A137" i="102"/>
  <c r="H136" i="102"/>
  <c r="F136" i="102"/>
  <c r="G136" i="102" s="1"/>
  <c r="A136" i="102"/>
  <c r="H135" i="102"/>
  <c r="G135" i="102" s="1"/>
  <c r="F135" i="102"/>
  <c r="A135" i="102"/>
  <c r="H134" i="102"/>
  <c r="F134" i="102"/>
  <c r="G134" i="102" s="1"/>
  <c r="A134" i="102"/>
  <c r="H133" i="102"/>
  <c r="G133" i="102" s="1"/>
  <c r="F133" i="102"/>
  <c r="A133" i="102"/>
  <c r="H132" i="102"/>
  <c r="F132" i="102"/>
  <c r="G132" i="102" s="1"/>
  <c r="A132" i="102"/>
  <c r="H131" i="102"/>
  <c r="G131" i="102" s="1"/>
  <c r="F131" i="102"/>
  <c r="A131" i="102"/>
  <c r="H130" i="102"/>
  <c r="F130" i="102"/>
  <c r="G130" i="102" s="1"/>
  <c r="A130" i="102"/>
  <c r="H129" i="102"/>
  <c r="G129" i="102" s="1"/>
  <c r="F129" i="102"/>
  <c r="A129" i="102"/>
  <c r="H128" i="102"/>
  <c r="F128" i="102"/>
  <c r="G128" i="102" s="1"/>
  <c r="A128" i="102"/>
  <c r="H127" i="102"/>
  <c r="G127" i="102" s="1"/>
  <c r="F127" i="102"/>
  <c r="A127" i="102"/>
  <c r="H126" i="102"/>
  <c r="F126" i="102"/>
  <c r="G126" i="102" s="1"/>
  <c r="A126" i="102"/>
  <c r="H125" i="102"/>
  <c r="G125" i="102" s="1"/>
  <c r="F125" i="102"/>
  <c r="A125" i="102"/>
  <c r="H124" i="102"/>
  <c r="F124" i="102"/>
  <c r="G124" i="102" s="1"/>
  <c r="A124" i="102"/>
  <c r="H123" i="102"/>
  <c r="G123" i="102" s="1"/>
  <c r="F123" i="102"/>
  <c r="A123" i="102"/>
  <c r="H122" i="102"/>
  <c r="F122" i="102"/>
  <c r="G122" i="102" s="1"/>
  <c r="A122" i="102"/>
  <c r="H121" i="102"/>
  <c r="G121" i="102" s="1"/>
  <c r="F121" i="102"/>
  <c r="A121" i="102"/>
  <c r="H120" i="102"/>
  <c r="F120" i="102"/>
  <c r="G120" i="102" s="1"/>
  <c r="A120" i="102"/>
  <c r="H119" i="102"/>
  <c r="G119" i="102" s="1"/>
  <c r="F119" i="102"/>
  <c r="A119" i="102"/>
  <c r="H118" i="102"/>
  <c r="F118" i="102"/>
  <c r="G118" i="102" s="1"/>
  <c r="A118" i="102"/>
  <c r="H117" i="102"/>
  <c r="G117" i="102" s="1"/>
  <c r="F117" i="102"/>
  <c r="A117" i="102"/>
  <c r="H116" i="102"/>
  <c r="F116" i="102"/>
  <c r="G116" i="102" s="1"/>
  <c r="A116" i="102"/>
  <c r="H115" i="102"/>
  <c r="G115" i="102" s="1"/>
  <c r="F115" i="102"/>
  <c r="A115" i="102"/>
  <c r="H114" i="102"/>
  <c r="F114" i="102"/>
  <c r="G114" i="102" s="1"/>
  <c r="A114" i="102"/>
  <c r="H113" i="102"/>
  <c r="G113" i="102" s="1"/>
  <c r="F113" i="102"/>
  <c r="A113" i="102"/>
  <c r="H112" i="102"/>
  <c r="F112" i="102"/>
  <c r="G112" i="102" s="1"/>
  <c r="A112" i="102"/>
  <c r="H111" i="102"/>
  <c r="G111" i="102" s="1"/>
  <c r="F111" i="102"/>
  <c r="A111" i="102"/>
  <c r="H110" i="102"/>
  <c r="F110" i="102"/>
  <c r="G110" i="102" s="1"/>
  <c r="A110" i="102"/>
  <c r="H109" i="102"/>
  <c r="G109" i="102" s="1"/>
  <c r="F109" i="102"/>
  <c r="A109" i="102"/>
  <c r="H108" i="102"/>
  <c r="F108" i="102"/>
  <c r="G108" i="102" s="1"/>
  <c r="A108" i="102"/>
  <c r="H107" i="102"/>
  <c r="G107" i="102" s="1"/>
  <c r="F107" i="102"/>
  <c r="A107" i="102"/>
  <c r="H106" i="102"/>
  <c r="F106" i="102"/>
  <c r="G106" i="102" s="1"/>
  <c r="A106" i="102"/>
  <c r="H105" i="102"/>
  <c r="G105" i="102" s="1"/>
  <c r="F105" i="102"/>
  <c r="A105" i="102"/>
  <c r="H104" i="102"/>
  <c r="F104" i="102"/>
  <c r="G104" i="102" s="1"/>
  <c r="A104" i="102"/>
  <c r="H103" i="102"/>
  <c r="G103" i="102" s="1"/>
  <c r="F103" i="102"/>
  <c r="A103" i="102"/>
  <c r="H102" i="102"/>
  <c r="F102" i="102"/>
  <c r="G102" i="102" s="1"/>
  <c r="A102" i="102"/>
  <c r="H101" i="102"/>
  <c r="G101" i="102" s="1"/>
  <c r="F101" i="102"/>
  <c r="A101" i="102"/>
  <c r="H100" i="102"/>
  <c r="F100" i="102"/>
  <c r="G100" i="102" s="1"/>
  <c r="A100" i="102"/>
  <c r="H99" i="102"/>
  <c r="G99" i="102" s="1"/>
  <c r="F99" i="102"/>
  <c r="A99" i="102"/>
  <c r="H98" i="102"/>
  <c r="F98" i="102"/>
  <c r="G98" i="102" s="1"/>
  <c r="A98" i="102"/>
  <c r="H97" i="102"/>
  <c r="G97" i="102" s="1"/>
  <c r="F97" i="102"/>
  <c r="A97" i="102"/>
  <c r="H96" i="102"/>
  <c r="F96" i="102"/>
  <c r="G96" i="102" s="1"/>
  <c r="A96" i="102"/>
  <c r="H95" i="102"/>
  <c r="G95" i="102" s="1"/>
  <c r="F95" i="102"/>
  <c r="A95" i="102"/>
  <c r="H94" i="102"/>
  <c r="F94" i="102"/>
  <c r="G94" i="102" s="1"/>
  <c r="A94" i="102"/>
  <c r="H93" i="102"/>
  <c r="G93" i="102" s="1"/>
  <c r="F93" i="102"/>
  <c r="A93" i="102"/>
  <c r="H92" i="102"/>
  <c r="F92" i="102"/>
  <c r="G92" i="102" s="1"/>
  <c r="A92" i="102"/>
  <c r="H91" i="102"/>
  <c r="G91" i="102" s="1"/>
  <c r="F91" i="102"/>
  <c r="A91" i="102"/>
  <c r="H90" i="102"/>
  <c r="F90" i="102"/>
  <c r="G90" i="102" s="1"/>
  <c r="A90" i="102"/>
  <c r="H89" i="102"/>
  <c r="G89" i="102" s="1"/>
  <c r="F89" i="102"/>
  <c r="A89" i="102"/>
  <c r="H88" i="102"/>
  <c r="F88" i="102"/>
  <c r="G88" i="102" s="1"/>
  <c r="A88" i="102"/>
  <c r="H87" i="102"/>
  <c r="G87" i="102" s="1"/>
  <c r="F87" i="102"/>
  <c r="A87" i="102"/>
  <c r="H86" i="102"/>
  <c r="F86" i="102"/>
  <c r="G86" i="102" s="1"/>
  <c r="A86" i="102"/>
  <c r="H85" i="102"/>
  <c r="G85" i="102" s="1"/>
  <c r="F85" i="102"/>
  <c r="A85" i="102"/>
  <c r="H84" i="102"/>
  <c r="F84" i="102"/>
  <c r="G84" i="102" s="1"/>
  <c r="A84" i="102"/>
  <c r="H83" i="102"/>
  <c r="G83" i="102" s="1"/>
  <c r="F83" i="102"/>
  <c r="A83" i="102"/>
  <c r="H82" i="102"/>
  <c r="F82" i="102"/>
  <c r="G82" i="102" s="1"/>
  <c r="A82" i="102"/>
  <c r="H81" i="102"/>
  <c r="G81" i="102" s="1"/>
  <c r="F81" i="102"/>
  <c r="A81" i="102"/>
  <c r="H80" i="102"/>
  <c r="F80" i="102"/>
  <c r="G80" i="102" s="1"/>
  <c r="A80" i="102"/>
  <c r="H79" i="102"/>
  <c r="G79" i="102" s="1"/>
  <c r="F79" i="102"/>
  <c r="A79" i="102"/>
  <c r="H78" i="102"/>
  <c r="F78" i="102"/>
  <c r="G78" i="102" s="1"/>
  <c r="A78" i="102"/>
  <c r="H77" i="102"/>
  <c r="G77" i="102" s="1"/>
  <c r="F77" i="102"/>
  <c r="A77" i="102"/>
  <c r="H76" i="102"/>
  <c r="F76" i="102"/>
  <c r="G76" i="102" s="1"/>
  <c r="A76" i="102"/>
  <c r="H75" i="102"/>
  <c r="G75" i="102" s="1"/>
  <c r="F75" i="102"/>
  <c r="A75" i="102"/>
  <c r="H74" i="102"/>
  <c r="F74" i="102"/>
  <c r="G74" i="102" s="1"/>
  <c r="A74" i="102"/>
  <c r="H73" i="102"/>
  <c r="G73" i="102" s="1"/>
  <c r="F73" i="102"/>
  <c r="A73" i="102"/>
  <c r="H72" i="102"/>
  <c r="F72" i="102"/>
  <c r="G72" i="102" s="1"/>
  <c r="A72" i="102"/>
  <c r="H71" i="102"/>
  <c r="G71" i="102" s="1"/>
  <c r="F71" i="102"/>
  <c r="A71" i="102"/>
  <c r="H70" i="102"/>
  <c r="F70" i="102"/>
  <c r="G70" i="102" s="1"/>
  <c r="A70" i="102"/>
  <c r="H69" i="102"/>
  <c r="G69" i="102" s="1"/>
  <c r="F69" i="102"/>
  <c r="A69" i="102"/>
  <c r="H68" i="102"/>
  <c r="F68" i="102"/>
  <c r="G68" i="102" s="1"/>
  <c r="A68" i="102"/>
  <c r="H67" i="102"/>
  <c r="G67" i="102" s="1"/>
  <c r="F67" i="102"/>
  <c r="A67" i="102"/>
  <c r="H66" i="102"/>
  <c r="F66" i="102"/>
  <c r="G66" i="102" s="1"/>
  <c r="A66" i="102"/>
  <c r="H65" i="102"/>
  <c r="G65" i="102" s="1"/>
  <c r="F65" i="102"/>
  <c r="A65" i="102"/>
  <c r="H64" i="102"/>
  <c r="F64" i="102"/>
  <c r="G64" i="102" s="1"/>
  <c r="A64" i="102"/>
  <c r="H63" i="102"/>
  <c r="G63" i="102" s="1"/>
  <c r="F63" i="102"/>
  <c r="A63" i="102"/>
  <c r="H62" i="102"/>
  <c r="F62" i="102"/>
  <c r="G62" i="102" s="1"/>
  <c r="A62" i="102"/>
  <c r="H61" i="102"/>
  <c r="G61" i="102" s="1"/>
  <c r="F61" i="102"/>
  <c r="A61" i="102"/>
  <c r="H60" i="102"/>
  <c r="F60" i="102"/>
  <c r="G60" i="102" s="1"/>
  <c r="A60" i="102"/>
  <c r="H59" i="102"/>
  <c r="G59" i="102" s="1"/>
  <c r="F59" i="102"/>
  <c r="A59" i="102"/>
  <c r="H58" i="102"/>
  <c r="F58" i="102"/>
  <c r="G58" i="102" s="1"/>
  <c r="A58" i="102"/>
  <c r="H57" i="102"/>
  <c r="G57" i="102" s="1"/>
  <c r="F57" i="102"/>
  <c r="A57" i="102"/>
  <c r="H56" i="102"/>
  <c r="F56" i="102"/>
  <c r="G56" i="102" s="1"/>
  <c r="A56" i="102"/>
  <c r="H55" i="102"/>
  <c r="G55" i="102" s="1"/>
  <c r="F55" i="102"/>
  <c r="A55" i="102"/>
  <c r="H54" i="102"/>
  <c r="F54" i="102"/>
  <c r="G54" i="102" s="1"/>
  <c r="A54" i="102"/>
  <c r="H53" i="102"/>
  <c r="G53" i="102" s="1"/>
  <c r="F53" i="102"/>
  <c r="A53" i="102"/>
  <c r="H52" i="102"/>
  <c r="F52" i="102"/>
  <c r="G52" i="102" s="1"/>
  <c r="A52" i="102"/>
  <c r="H51" i="102"/>
  <c r="G51" i="102" s="1"/>
  <c r="F51" i="102"/>
  <c r="A51" i="102"/>
  <c r="H50" i="102"/>
  <c r="F50" i="102"/>
  <c r="G50" i="102" s="1"/>
  <c r="A50" i="102"/>
  <c r="H49" i="102"/>
  <c r="G49" i="102" s="1"/>
  <c r="F49" i="102"/>
  <c r="A49" i="102"/>
  <c r="H48" i="102"/>
  <c r="F48" i="102"/>
  <c r="G48" i="102" s="1"/>
  <c r="A48" i="102"/>
  <c r="H47" i="102"/>
  <c r="G47" i="102" s="1"/>
  <c r="F47" i="102"/>
  <c r="A47" i="102"/>
  <c r="H46" i="102"/>
  <c r="F46" i="102"/>
  <c r="G46" i="102" s="1"/>
  <c r="A46" i="102"/>
  <c r="H45" i="102"/>
  <c r="G45" i="102" s="1"/>
  <c r="F45" i="102"/>
  <c r="A45" i="102"/>
  <c r="H44" i="102"/>
  <c r="F44" i="102"/>
  <c r="G44" i="102" s="1"/>
  <c r="A44" i="102"/>
  <c r="H43" i="102"/>
  <c r="G43" i="102" s="1"/>
  <c r="F43" i="102"/>
  <c r="A43" i="102"/>
  <c r="H42" i="102"/>
  <c r="F42" i="102"/>
  <c r="G42" i="102" s="1"/>
  <c r="A42" i="102"/>
  <c r="H41" i="102"/>
  <c r="G41" i="102" s="1"/>
  <c r="F41" i="102"/>
  <c r="A41" i="102"/>
  <c r="H40" i="102"/>
  <c r="F40" i="102"/>
  <c r="G40" i="102" s="1"/>
  <c r="A40" i="102"/>
  <c r="H39" i="102"/>
  <c r="G39" i="102" s="1"/>
  <c r="F39" i="102"/>
  <c r="A39" i="102"/>
  <c r="H38" i="102"/>
  <c r="F38" i="102"/>
  <c r="G38" i="102" s="1"/>
  <c r="A38" i="102"/>
  <c r="H37" i="102"/>
  <c r="G37" i="102" s="1"/>
  <c r="F37" i="102"/>
  <c r="A37" i="102"/>
  <c r="H36" i="102"/>
  <c r="F36" i="102"/>
  <c r="G36" i="102" s="1"/>
  <c r="A36" i="102"/>
  <c r="H35" i="102"/>
  <c r="G35" i="102" s="1"/>
  <c r="F35" i="102"/>
  <c r="A35" i="102"/>
  <c r="H34" i="102"/>
  <c r="F34" i="102"/>
  <c r="G34" i="102" s="1"/>
  <c r="A34" i="102"/>
  <c r="H33" i="102"/>
  <c r="G33" i="102" s="1"/>
  <c r="F33" i="102"/>
  <c r="A33" i="102"/>
  <c r="H32" i="102"/>
  <c r="F32" i="102"/>
  <c r="G32" i="102" s="1"/>
  <c r="A32" i="102"/>
  <c r="H31" i="102"/>
  <c r="G31" i="102" s="1"/>
  <c r="F31" i="102"/>
  <c r="A31" i="102"/>
  <c r="H30" i="102"/>
  <c r="F30" i="102"/>
  <c r="G30" i="102" s="1"/>
  <c r="A30" i="102"/>
  <c r="H29" i="102"/>
  <c r="G29" i="102" s="1"/>
  <c r="F29" i="102"/>
  <c r="A29" i="102"/>
  <c r="H28" i="102"/>
  <c r="F28" i="102"/>
  <c r="G28" i="102" s="1"/>
  <c r="A28" i="102"/>
  <c r="H27" i="102"/>
  <c r="G27" i="102" s="1"/>
  <c r="F27" i="102"/>
  <c r="A27" i="102"/>
  <c r="H26" i="102"/>
  <c r="F26" i="102"/>
  <c r="G26" i="102" s="1"/>
  <c r="A26" i="102"/>
  <c r="H25" i="102"/>
  <c r="G25" i="102" s="1"/>
  <c r="F25" i="102"/>
  <c r="A25" i="102"/>
  <c r="H24" i="102"/>
  <c r="F24" i="102"/>
  <c r="G24" i="102" s="1"/>
  <c r="A24" i="102"/>
  <c r="H23" i="102"/>
  <c r="G23" i="102" s="1"/>
  <c r="F23" i="102"/>
  <c r="A23" i="102"/>
  <c r="H22" i="102"/>
  <c r="F22" i="102"/>
  <c r="G22" i="102" s="1"/>
  <c r="A22" i="102"/>
  <c r="H21" i="102"/>
  <c r="G21" i="102" s="1"/>
  <c r="F21" i="102"/>
  <c r="A21" i="102"/>
  <c r="H20" i="102"/>
  <c r="F20" i="102"/>
  <c r="G20" i="102" s="1"/>
  <c r="A20" i="102"/>
  <c r="H19" i="102"/>
  <c r="F19" i="102"/>
  <c r="H18" i="102"/>
  <c r="F18" i="102"/>
  <c r="H17" i="102"/>
  <c r="F17" i="102"/>
  <c r="H16" i="102"/>
  <c r="F16" i="102"/>
  <c r="H15" i="102"/>
  <c r="F15" i="102"/>
  <c r="H14" i="102"/>
  <c r="F14" i="102"/>
  <c r="H13" i="102"/>
  <c r="F13" i="102"/>
  <c r="H12" i="102"/>
  <c r="F12" i="102"/>
  <c r="H11" i="102"/>
  <c r="F11" i="102"/>
  <c r="H10" i="102"/>
  <c r="F10" i="102"/>
  <c r="H9" i="102"/>
  <c r="F9" i="102"/>
  <c r="H8" i="102"/>
  <c r="F8" i="102"/>
  <c r="H7" i="102"/>
  <c r="F7" i="102"/>
  <c r="H6" i="102"/>
  <c r="F6" i="102"/>
  <c r="H5" i="102"/>
  <c r="F5" i="102"/>
  <c r="H4" i="102"/>
  <c r="F4" i="102"/>
  <c r="H3" i="102"/>
  <c r="F3" i="102"/>
  <c r="H160" i="105"/>
  <c r="F160" i="105"/>
  <c r="G160" i="105" s="1"/>
  <c r="A160" i="105"/>
  <c r="H159" i="105"/>
  <c r="G159" i="105" s="1"/>
  <c r="F159" i="105"/>
  <c r="A159" i="105"/>
  <c r="H158" i="105"/>
  <c r="F158" i="105"/>
  <c r="A158" i="105"/>
  <c r="H157" i="105"/>
  <c r="G157" i="105" s="1"/>
  <c r="F157" i="105"/>
  <c r="A157" i="105"/>
  <c r="H156" i="105"/>
  <c r="F156" i="105"/>
  <c r="A156" i="105"/>
  <c r="H155" i="105"/>
  <c r="F155" i="105"/>
  <c r="A155" i="105"/>
  <c r="H154" i="105"/>
  <c r="F154" i="105"/>
  <c r="G154" i="105" s="1"/>
  <c r="A154" i="105"/>
  <c r="H153" i="105"/>
  <c r="F153" i="105"/>
  <c r="A153" i="105"/>
  <c r="H152" i="105"/>
  <c r="F152" i="105"/>
  <c r="G152" i="105" s="1"/>
  <c r="A152" i="105"/>
  <c r="H151" i="105"/>
  <c r="F151" i="105"/>
  <c r="A151" i="105"/>
  <c r="H150" i="105"/>
  <c r="F150" i="105"/>
  <c r="G150" i="105" s="1"/>
  <c r="A150" i="105"/>
  <c r="H149" i="105"/>
  <c r="G149" i="105" s="1"/>
  <c r="F149" i="105"/>
  <c r="A149" i="105"/>
  <c r="H148" i="105"/>
  <c r="F148" i="105"/>
  <c r="G148" i="105" s="1"/>
  <c r="A148" i="105"/>
  <c r="H147" i="105"/>
  <c r="G147" i="105" s="1"/>
  <c r="F147" i="105"/>
  <c r="A147" i="105"/>
  <c r="H146" i="105"/>
  <c r="F146" i="105"/>
  <c r="G146" i="105" s="1"/>
  <c r="A146" i="105"/>
  <c r="H145" i="105"/>
  <c r="G145" i="105" s="1"/>
  <c r="F145" i="105"/>
  <c r="A145" i="105"/>
  <c r="H144" i="105"/>
  <c r="F144" i="105"/>
  <c r="G144" i="105" s="1"/>
  <c r="A144" i="105"/>
  <c r="H143" i="105"/>
  <c r="G143" i="105" s="1"/>
  <c r="F143" i="105"/>
  <c r="A143" i="105"/>
  <c r="H142" i="105"/>
  <c r="F142" i="105"/>
  <c r="G142" i="105" s="1"/>
  <c r="A142" i="105"/>
  <c r="H141" i="105"/>
  <c r="G141" i="105" s="1"/>
  <c r="F141" i="105"/>
  <c r="A141" i="105"/>
  <c r="H140" i="105"/>
  <c r="F140" i="105"/>
  <c r="G140" i="105" s="1"/>
  <c r="A140" i="105"/>
  <c r="H139" i="105"/>
  <c r="G139" i="105" s="1"/>
  <c r="F139" i="105"/>
  <c r="A139" i="105"/>
  <c r="H138" i="105"/>
  <c r="F138" i="105"/>
  <c r="G138" i="105" s="1"/>
  <c r="A138" i="105"/>
  <c r="H137" i="105"/>
  <c r="G137" i="105" s="1"/>
  <c r="F137" i="105"/>
  <c r="A137" i="105"/>
  <c r="H136" i="105"/>
  <c r="F136" i="105"/>
  <c r="G136" i="105" s="1"/>
  <c r="A136" i="105"/>
  <c r="H135" i="105"/>
  <c r="G135" i="105" s="1"/>
  <c r="F135" i="105"/>
  <c r="A135" i="105"/>
  <c r="H134" i="105"/>
  <c r="F134" i="105"/>
  <c r="G134" i="105" s="1"/>
  <c r="A134" i="105"/>
  <c r="H133" i="105"/>
  <c r="G133" i="105" s="1"/>
  <c r="F133" i="105"/>
  <c r="A133" i="105"/>
  <c r="H132" i="105"/>
  <c r="F132" i="105"/>
  <c r="G132" i="105" s="1"/>
  <c r="A132" i="105"/>
  <c r="H131" i="105"/>
  <c r="G131" i="105" s="1"/>
  <c r="F131" i="105"/>
  <c r="A131" i="105"/>
  <c r="H130" i="105"/>
  <c r="F130" i="105"/>
  <c r="G130" i="105" s="1"/>
  <c r="A130" i="105"/>
  <c r="H129" i="105"/>
  <c r="G129" i="105" s="1"/>
  <c r="F129" i="105"/>
  <c r="A129" i="105"/>
  <c r="H128" i="105"/>
  <c r="F128" i="105"/>
  <c r="G128" i="105" s="1"/>
  <c r="A128" i="105"/>
  <c r="H127" i="105"/>
  <c r="G127" i="105" s="1"/>
  <c r="F127" i="105"/>
  <c r="A127" i="105"/>
  <c r="H126" i="105"/>
  <c r="F126" i="105"/>
  <c r="G126" i="105" s="1"/>
  <c r="A126" i="105"/>
  <c r="H125" i="105"/>
  <c r="G125" i="105" s="1"/>
  <c r="F125" i="105"/>
  <c r="A125" i="105"/>
  <c r="H124" i="105"/>
  <c r="F124" i="105"/>
  <c r="G124" i="105" s="1"/>
  <c r="A124" i="105"/>
  <c r="H123" i="105"/>
  <c r="G123" i="105" s="1"/>
  <c r="F123" i="105"/>
  <c r="A123" i="105"/>
  <c r="H122" i="105"/>
  <c r="F122" i="105"/>
  <c r="G122" i="105" s="1"/>
  <c r="A122" i="105"/>
  <c r="H121" i="105"/>
  <c r="G121" i="105" s="1"/>
  <c r="F121" i="105"/>
  <c r="A121" i="105"/>
  <c r="H120" i="105"/>
  <c r="F120" i="105"/>
  <c r="G120" i="105" s="1"/>
  <c r="A120" i="105"/>
  <c r="H119" i="105"/>
  <c r="G119" i="105" s="1"/>
  <c r="F119" i="105"/>
  <c r="A119" i="105"/>
  <c r="H118" i="105"/>
  <c r="F118" i="105"/>
  <c r="G118" i="105" s="1"/>
  <c r="A118" i="105"/>
  <c r="H117" i="105"/>
  <c r="G117" i="105" s="1"/>
  <c r="F117" i="105"/>
  <c r="A117" i="105"/>
  <c r="H116" i="105"/>
  <c r="F116" i="105"/>
  <c r="G116" i="105" s="1"/>
  <c r="A116" i="105"/>
  <c r="H115" i="105"/>
  <c r="G115" i="105" s="1"/>
  <c r="F115" i="105"/>
  <c r="A115" i="105"/>
  <c r="H114" i="105"/>
  <c r="F114" i="105"/>
  <c r="G114" i="105" s="1"/>
  <c r="A114" i="105"/>
  <c r="H113" i="105"/>
  <c r="G113" i="105" s="1"/>
  <c r="F113" i="105"/>
  <c r="A113" i="105"/>
  <c r="H112" i="105"/>
  <c r="F112" i="105"/>
  <c r="G112" i="105" s="1"/>
  <c r="A112" i="105"/>
  <c r="H111" i="105"/>
  <c r="G111" i="105" s="1"/>
  <c r="F111" i="105"/>
  <c r="A111" i="105"/>
  <c r="H110" i="105"/>
  <c r="F110" i="105"/>
  <c r="G110" i="105" s="1"/>
  <c r="A110" i="105"/>
  <c r="H109" i="105"/>
  <c r="G109" i="105" s="1"/>
  <c r="F109" i="105"/>
  <c r="A109" i="105"/>
  <c r="H108" i="105"/>
  <c r="F108" i="105"/>
  <c r="G108" i="105" s="1"/>
  <c r="A108" i="105"/>
  <c r="H107" i="105"/>
  <c r="G107" i="105" s="1"/>
  <c r="F107" i="105"/>
  <c r="A107" i="105"/>
  <c r="H106" i="105"/>
  <c r="F106" i="105"/>
  <c r="G106" i="105" s="1"/>
  <c r="A106" i="105"/>
  <c r="H105" i="105"/>
  <c r="G105" i="105" s="1"/>
  <c r="F105" i="105"/>
  <c r="A105" i="105"/>
  <c r="H104" i="105"/>
  <c r="F104" i="105"/>
  <c r="G104" i="105" s="1"/>
  <c r="A104" i="105"/>
  <c r="H103" i="105"/>
  <c r="G103" i="105" s="1"/>
  <c r="F103" i="105"/>
  <c r="A103" i="105"/>
  <c r="H102" i="105"/>
  <c r="F102" i="105"/>
  <c r="G102" i="105" s="1"/>
  <c r="A102" i="105"/>
  <c r="H101" i="105"/>
  <c r="G101" i="105" s="1"/>
  <c r="F101" i="105"/>
  <c r="A101" i="105"/>
  <c r="H100" i="105"/>
  <c r="F100" i="105"/>
  <c r="G100" i="105" s="1"/>
  <c r="A100" i="105"/>
  <c r="H99" i="105"/>
  <c r="G99" i="105" s="1"/>
  <c r="F99" i="105"/>
  <c r="A99" i="105"/>
  <c r="H98" i="105"/>
  <c r="F98" i="105"/>
  <c r="G98" i="105" s="1"/>
  <c r="A98" i="105"/>
  <c r="H97" i="105"/>
  <c r="G97" i="105" s="1"/>
  <c r="F97" i="105"/>
  <c r="A97" i="105"/>
  <c r="H96" i="105"/>
  <c r="F96" i="105"/>
  <c r="G96" i="105" s="1"/>
  <c r="A96" i="105"/>
  <c r="H95" i="105"/>
  <c r="G95" i="105" s="1"/>
  <c r="F95" i="105"/>
  <c r="A95" i="105"/>
  <c r="H94" i="105"/>
  <c r="F94" i="105"/>
  <c r="G94" i="105" s="1"/>
  <c r="A94" i="105"/>
  <c r="H93" i="105"/>
  <c r="G93" i="105" s="1"/>
  <c r="F93" i="105"/>
  <c r="A93" i="105"/>
  <c r="H92" i="105"/>
  <c r="F92" i="105"/>
  <c r="G92" i="105" s="1"/>
  <c r="A92" i="105"/>
  <c r="H91" i="105"/>
  <c r="G91" i="105" s="1"/>
  <c r="F91" i="105"/>
  <c r="A91" i="105"/>
  <c r="H90" i="105"/>
  <c r="F90" i="105"/>
  <c r="G90" i="105" s="1"/>
  <c r="A90" i="105"/>
  <c r="H89" i="105"/>
  <c r="G89" i="105" s="1"/>
  <c r="F89" i="105"/>
  <c r="A89" i="105"/>
  <c r="H88" i="105"/>
  <c r="F88" i="105"/>
  <c r="G88" i="105" s="1"/>
  <c r="A88" i="105"/>
  <c r="H87" i="105"/>
  <c r="G87" i="105" s="1"/>
  <c r="F87" i="105"/>
  <c r="A87" i="105"/>
  <c r="H86" i="105"/>
  <c r="F86" i="105"/>
  <c r="G86" i="105" s="1"/>
  <c r="A86" i="105"/>
  <c r="H85" i="105"/>
  <c r="G85" i="105" s="1"/>
  <c r="F85" i="105"/>
  <c r="A85" i="105"/>
  <c r="H84" i="105"/>
  <c r="F84" i="105"/>
  <c r="G84" i="105" s="1"/>
  <c r="A84" i="105"/>
  <c r="H83" i="105"/>
  <c r="G83" i="105" s="1"/>
  <c r="F83" i="105"/>
  <c r="A83" i="105"/>
  <c r="H82" i="105"/>
  <c r="F82" i="105"/>
  <c r="G82" i="105" s="1"/>
  <c r="A82" i="105"/>
  <c r="H81" i="105"/>
  <c r="G81" i="105" s="1"/>
  <c r="F81" i="105"/>
  <c r="A81" i="105"/>
  <c r="H80" i="105"/>
  <c r="F80" i="105"/>
  <c r="G80" i="105" s="1"/>
  <c r="A80" i="105"/>
  <c r="H79" i="105"/>
  <c r="G79" i="105" s="1"/>
  <c r="F79" i="105"/>
  <c r="A79" i="105"/>
  <c r="H78" i="105"/>
  <c r="F78" i="105"/>
  <c r="G78" i="105" s="1"/>
  <c r="A78" i="105"/>
  <c r="H77" i="105"/>
  <c r="G77" i="105" s="1"/>
  <c r="F77" i="105"/>
  <c r="A77" i="105"/>
  <c r="H76" i="105"/>
  <c r="F76" i="105"/>
  <c r="G76" i="105" s="1"/>
  <c r="A76" i="105"/>
  <c r="H75" i="105"/>
  <c r="G75" i="105" s="1"/>
  <c r="F75" i="105"/>
  <c r="A75" i="105"/>
  <c r="H74" i="105"/>
  <c r="F74" i="105"/>
  <c r="G74" i="105" s="1"/>
  <c r="A74" i="105"/>
  <c r="H73" i="105"/>
  <c r="G73" i="105" s="1"/>
  <c r="F73" i="105"/>
  <c r="A73" i="105"/>
  <c r="H72" i="105"/>
  <c r="F72" i="105"/>
  <c r="G72" i="105" s="1"/>
  <c r="A72" i="105"/>
  <c r="H71" i="105"/>
  <c r="G71" i="105" s="1"/>
  <c r="F71" i="105"/>
  <c r="A71" i="105"/>
  <c r="H70" i="105"/>
  <c r="F70" i="105"/>
  <c r="G70" i="105" s="1"/>
  <c r="A70" i="105"/>
  <c r="H69" i="105"/>
  <c r="G69" i="105" s="1"/>
  <c r="F69" i="105"/>
  <c r="A69" i="105"/>
  <c r="H68" i="105"/>
  <c r="F68" i="105"/>
  <c r="G68" i="105" s="1"/>
  <c r="A68" i="105"/>
  <c r="H67" i="105"/>
  <c r="G67" i="105" s="1"/>
  <c r="F67" i="105"/>
  <c r="A67" i="105"/>
  <c r="H66" i="105"/>
  <c r="F66" i="105"/>
  <c r="A66" i="105"/>
  <c r="H65" i="105"/>
  <c r="G65" i="105" s="1"/>
  <c r="F65" i="105"/>
  <c r="A65" i="105"/>
  <c r="H64" i="105"/>
  <c r="F64" i="105"/>
  <c r="A64" i="105"/>
  <c r="H63" i="105"/>
  <c r="G63" i="105" s="1"/>
  <c r="F63" i="105"/>
  <c r="A63" i="105"/>
  <c r="H62" i="105"/>
  <c r="F62" i="105"/>
  <c r="A62" i="105"/>
  <c r="H3" i="105"/>
  <c r="F3" i="105"/>
  <c r="H60" i="105"/>
  <c r="F60" i="105"/>
  <c r="A60" i="105"/>
  <c r="H59" i="105"/>
  <c r="F59" i="105"/>
  <c r="A59" i="105"/>
  <c r="H58" i="105"/>
  <c r="F58" i="105"/>
  <c r="A58" i="105"/>
  <c r="H57" i="105"/>
  <c r="F57" i="105"/>
  <c r="A57" i="105"/>
  <c r="H56" i="105"/>
  <c r="F56" i="105"/>
  <c r="A56" i="105"/>
  <c r="H55" i="105"/>
  <c r="F55" i="105"/>
  <c r="A55" i="105"/>
  <c r="H54" i="105"/>
  <c r="F54" i="105"/>
  <c r="A54" i="105"/>
  <c r="H53" i="105"/>
  <c r="F53" i="105"/>
  <c r="A53" i="105"/>
  <c r="H52" i="105"/>
  <c r="F52" i="105"/>
  <c r="A52" i="105"/>
  <c r="H51" i="105"/>
  <c r="F51" i="105"/>
  <c r="A51" i="105"/>
  <c r="H50" i="105"/>
  <c r="F50" i="105"/>
  <c r="A50" i="105"/>
  <c r="H49" i="105"/>
  <c r="F49" i="105"/>
  <c r="A49" i="105"/>
  <c r="H48" i="105"/>
  <c r="F48" i="105"/>
  <c r="A48" i="105"/>
  <c r="H47" i="105"/>
  <c r="F47" i="105"/>
  <c r="A47" i="105"/>
  <c r="H46" i="105"/>
  <c r="F46" i="105"/>
  <c r="A46" i="105"/>
  <c r="H45" i="105"/>
  <c r="F45" i="105"/>
  <c r="A45" i="105"/>
  <c r="H44" i="105"/>
  <c r="F44" i="105"/>
  <c r="A44" i="105"/>
  <c r="H43" i="105"/>
  <c r="F43" i="105"/>
  <c r="A43" i="105"/>
  <c r="H42" i="105"/>
  <c r="F42" i="105"/>
  <c r="A42" i="105"/>
  <c r="H41" i="105"/>
  <c r="F41" i="105"/>
  <c r="A41" i="105"/>
  <c r="H40" i="105"/>
  <c r="F40" i="105"/>
  <c r="A40" i="105"/>
  <c r="H39" i="105"/>
  <c r="G39" i="105" s="1"/>
  <c r="F39" i="105"/>
  <c r="A39" i="105"/>
  <c r="H38" i="105"/>
  <c r="F38" i="105"/>
  <c r="A38" i="105"/>
  <c r="H37" i="105"/>
  <c r="F37" i="105"/>
  <c r="A37" i="105"/>
  <c r="H36" i="105"/>
  <c r="F36" i="105"/>
  <c r="A36" i="105"/>
  <c r="H35" i="105"/>
  <c r="F35" i="105"/>
  <c r="A35" i="105"/>
  <c r="H34" i="105"/>
  <c r="F34" i="105"/>
  <c r="A34" i="105"/>
  <c r="H33" i="105"/>
  <c r="F33" i="105"/>
  <c r="A33" i="105"/>
  <c r="H32" i="105"/>
  <c r="F32" i="105"/>
  <c r="A32" i="105"/>
  <c r="H31" i="105"/>
  <c r="F31" i="105"/>
  <c r="A31" i="105"/>
  <c r="H30" i="105"/>
  <c r="F30" i="105"/>
  <c r="A30" i="105"/>
  <c r="H29" i="105"/>
  <c r="F29" i="105"/>
  <c r="A29" i="105"/>
  <c r="H28" i="105"/>
  <c r="F28" i="105"/>
  <c r="A28" i="105"/>
  <c r="H27" i="105"/>
  <c r="G27" i="105" s="1"/>
  <c r="F27" i="105"/>
  <c r="A27" i="105"/>
  <c r="H26" i="105"/>
  <c r="F26" i="105"/>
  <c r="A26" i="105"/>
  <c r="H25" i="105"/>
  <c r="F25" i="105"/>
  <c r="A25" i="105"/>
  <c r="H24" i="105"/>
  <c r="F24" i="105"/>
  <c r="A24" i="105"/>
  <c r="H23" i="105"/>
  <c r="G23" i="105" s="1"/>
  <c r="F23" i="105"/>
  <c r="A23" i="105"/>
  <c r="H22" i="105"/>
  <c r="F22" i="105"/>
  <c r="G22" i="105" s="1"/>
  <c r="A22" i="105"/>
  <c r="H21" i="105"/>
  <c r="F21" i="105"/>
  <c r="H20" i="105"/>
  <c r="F20" i="105"/>
  <c r="H19" i="105"/>
  <c r="F19" i="105"/>
  <c r="H18" i="105"/>
  <c r="F18" i="105"/>
  <c r="H17" i="105"/>
  <c r="F17" i="105"/>
  <c r="H16" i="105"/>
  <c r="F16" i="105"/>
  <c r="H15" i="105"/>
  <c r="F15" i="105"/>
  <c r="H14" i="105"/>
  <c r="F14" i="105"/>
  <c r="H13" i="105"/>
  <c r="F13" i="105"/>
  <c r="H12" i="105"/>
  <c r="F12" i="105"/>
  <c r="H11" i="105"/>
  <c r="F11" i="105"/>
  <c r="H10" i="105"/>
  <c r="F10" i="105"/>
  <c r="H9" i="105"/>
  <c r="F9" i="105"/>
  <c r="H8" i="105"/>
  <c r="F8" i="105"/>
  <c r="H7" i="105"/>
  <c r="G7" i="105" s="1"/>
  <c r="F7" i="105"/>
  <c r="H6" i="105"/>
  <c r="F6" i="105"/>
  <c r="H5" i="105"/>
  <c r="F5" i="105"/>
  <c r="H4" i="105"/>
  <c r="F4" i="105"/>
  <c r="H160" i="100"/>
  <c r="F160" i="100"/>
  <c r="G160" i="100" s="1"/>
  <c r="A160" i="100"/>
  <c r="H159" i="100"/>
  <c r="F159" i="100"/>
  <c r="G159" i="100" s="1"/>
  <c r="A159" i="100"/>
  <c r="H158" i="100"/>
  <c r="F158" i="100"/>
  <c r="G158" i="100" s="1"/>
  <c r="A158" i="100"/>
  <c r="H157" i="100"/>
  <c r="F157" i="100"/>
  <c r="G157" i="100" s="1"/>
  <c r="A157" i="100"/>
  <c r="H156" i="100"/>
  <c r="F156" i="100"/>
  <c r="G156" i="100" s="1"/>
  <c r="A156" i="100"/>
  <c r="H155" i="100"/>
  <c r="F155" i="100"/>
  <c r="G155" i="100" s="1"/>
  <c r="A155" i="100"/>
  <c r="H154" i="100"/>
  <c r="F154" i="100"/>
  <c r="G154" i="100" s="1"/>
  <c r="A154" i="100"/>
  <c r="H153" i="100"/>
  <c r="F153" i="100"/>
  <c r="G153" i="100" s="1"/>
  <c r="A153" i="100"/>
  <c r="H152" i="100"/>
  <c r="F152" i="100"/>
  <c r="G152" i="100" s="1"/>
  <c r="A152" i="100"/>
  <c r="H151" i="100"/>
  <c r="F151" i="100"/>
  <c r="G151" i="100" s="1"/>
  <c r="A151" i="100"/>
  <c r="H150" i="100"/>
  <c r="F150" i="100"/>
  <c r="G150" i="100" s="1"/>
  <c r="A150" i="100"/>
  <c r="H149" i="100"/>
  <c r="F149" i="100"/>
  <c r="G149" i="100" s="1"/>
  <c r="A149" i="100"/>
  <c r="H148" i="100"/>
  <c r="F148" i="100"/>
  <c r="G148" i="100" s="1"/>
  <c r="A148" i="100"/>
  <c r="H147" i="100"/>
  <c r="F147" i="100"/>
  <c r="G147" i="100" s="1"/>
  <c r="A147" i="100"/>
  <c r="H146" i="100"/>
  <c r="F146" i="100"/>
  <c r="G146" i="100" s="1"/>
  <c r="A146" i="100"/>
  <c r="H145" i="100"/>
  <c r="F145" i="100"/>
  <c r="G145" i="100" s="1"/>
  <c r="A145" i="100"/>
  <c r="H144" i="100"/>
  <c r="F144" i="100"/>
  <c r="G144" i="100" s="1"/>
  <c r="A144" i="100"/>
  <c r="H143" i="100"/>
  <c r="F143" i="100"/>
  <c r="G143" i="100" s="1"/>
  <c r="A143" i="100"/>
  <c r="H142" i="100"/>
  <c r="F142" i="100"/>
  <c r="G142" i="100" s="1"/>
  <c r="A142" i="100"/>
  <c r="H141" i="100"/>
  <c r="F141" i="100"/>
  <c r="G141" i="100" s="1"/>
  <c r="A141" i="100"/>
  <c r="H140" i="100"/>
  <c r="F140" i="100"/>
  <c r="G140" i="100" s="1"/>
  <c r="A140" i="100"/>
  <c r="H139" i="100"/>
  <c r="F139" i="100"/>
  <c r="G139" i="100" s="1"/>
  <c r="A139" i="100"/>
  <c r="H138" i="100"/>
  <c r="F138" i="100"/>
  <c r="G138" i="100" s="1"/>
  <c r="A138" i="100"/>
  <c r="H137" i="100"/>
  <c r="F137" i="100"/>
  <c r="G137" i="100" s="1"/>
  <c r="A137" i="100"/>
  <c r="H136" i="100"/>
  <c r="F136" i="100"/>
  <c r="G136" i="100" s="1"/>
  <c r="A136" i="100"/>
  <c r="H135" i="100"/>
  <c r="F135" i="100"/>
  <c r="G135" i="100" s="1"/>
  <c r="A135" i="100"/>
  <c r="H134" i="100"/>
  <c r="F134" i="100"/>
  <c r="G134" i="100" s="1"/>
  <c r="A134" i="100"/>
  <c r="H133" i="100"/>
  <c r="F133" i="100"/>
  <c r="G133" i="100" s="1"/>
  <c r="A133" i="100"/>
  <c r="H132" i="100"/>
  <c r="F132" i="100"/>
  <c r="G132" i="100" s="1"/>
  <c r="A132" i="100"/>
  <c r="H131" i="100"/>
  <c r="F131" i="100"/>
  <c r="G131" i="100" s="1"/>
  <c r="A131" i="100"/>
  <c r="H130" i="100"/>
  <c r="F130" i="100"/>
  <c r="G130" i="100" s="1"/>
  <c r="A130" i="100"/>
  <c r="H129" i="100"/>
  <c r="F129" i="100"/>
  <c r="G129" i="100" s="1"/>
  <c r="A129" i="100"/>
  <c r="H128" i="100"/>
  <c r="F128" i="100"/>
  <c r="G128" i="100" s="1"/>
  <c r="A128" i="100"/>
  <c r="H127" i="100"/>
  <c r="F127" i="100"/>
  <c r="G127" i="100" s="1"/>
  <c r="A127" i="100"/>
  <c r="H126" i="100"/>
  <c r="F126" i="100"/>
  <c r="G126" i="100" s="1"/>
  <c r="A126" i="100"/>
  <c r="H125" i="100"/>
  <c r="F125" i="100"/>
  <c r="G125" i="100" s="1"/>
  <c r="A125" i="100"/>
  <c r="H124" i="100"/>
  <c r="F124" i="100"/>
  <c r="G124" i="100" s="1"/>
  <c r="A124" i="100"/>
  <c r="H123" i="100"/>
  <c r="F123" i="100"/>
  <c r="G123" i="100" s="1"/>
  <c r="A123" i="100"/>
  <c r="H122" i="100"/>
  <c r="F122" i="100"/>
  <c r="G122" i="100" s="1"/>
  <c r="A122" i="100"/>
  <c r="H121" i="100"/>
  <c r="F121" i="100"/>
  <c r="G121" i="100" s="1"/>
  <c r="A121" i="100"/>
  <c r="H120" i="100"/>
  <c r="F120" i="100"/>
  <c r="G120" i="100" s="1"/>
  <c r="A120" i="100"/>
  <c r="H119" i="100"/>
  <c r="F119" i="100"/>
  <c r="G119" i="100" s="1"/>
  <c r="A119" i="100"/>
  <c r="H118" i="100"/>
  <c r="F118" i="100"/>
  <c r="G118" i="100" s="1"/>
  <c r="A118" i="100"/>
  <c r="H117" i="100"/>
  <c r="F117" i="100"/>
  <c r="G117" i="100" s="1"/>
  <c r="A117" i="100"/>
  <c r="H116" i="100"/>
  <c r="F116" i="100"/>
  <c r="G116" i="100" s="1"/>
  <c r="A116" i="100"/>
  <c r="H115" i="100"/>
  <c r="F115" i="100"/>
  <c r="G115" i="100" s="1"/>
  <c r="A115" i="100"/>
  <c r="H114" i="100"/>
  <c r="F114" i="100"/>
  <c r="G114" i="100" s="1"/>
  <c r="A114" i="100"/>
  <c r="H113" i="100"/>
  <c r="F113" i="100"/>
  <c r="G113" i="100" s="1"/>
  <c r="A113" i="100"/>
  <c r="H112" i="100"/>
  <c r="F112" i="100"/>
  <c r="G112" i="100" s="1"/>
  <c r="A112" i="100"/>
  <c r="H111" i="100"/>
  <c r="F111" i="100"/>
  <c r="G111" i="100" s="1"/>
  <c r="A111" i="100"/>
  <c r="H110" i="100"/>
  <c r="F110" i="100"/>
  <c r="G110" i="100" s="1"/>
  <c r="A110" i="100"/>
  <c r="H109" i="100"/>
  <c r="F109" i="100"/>
  <c r="G109" i="100" s="1"/>
  <c r="A109" i="100"/>
  <c r="H108" i="100"/>
  <c r="F108" i="100"/>
  <c r="G108" i="100" s="1"/>
  <c r="A108" i="100"/>
  <c r="H107" i="100"/>
  <c r="F107" i="100"/>
  <c r="G107" i="100" s="1"/>
  <c r="A107" i="100"/>
  <c r="H106" i="100"/>
  <c r="F106" i="100"/>
  <c r="G106" i="100" s="1"/>
  <c r="A106" i="100"/>
  <c r="H105" i="100"/>
  <c r="F105" i="100"/>
  <c r="G105" i="100" s="1"/>
  <c r="A105" i="100"/>
  <c r="H104" i="100"/>
  <c r="F104" i="100"/>
  <c r="G104" i="100" s="1"/>
  <c r="A104" i="100"/>
  <c r="H103" i="100"/>
  <c r="F103" i="100"/>
  <c r="G103" i="100" s="1"/>
  <c r="A103" i="100"/>
  <c r="H102" i="100"/>
  <c r="F102" i="100"/>
  <c r="G102" i="100" s="1"/>
  <c r="A102" i="100"/>
  <c r="H101" i="100"/>
  <c r="F101" i="100"/>
  <c r="G101" i="100" s="1"/>
  <c r="A101" i="100"/>
  <c r="H100" i="100"/>
  <c r="F100" i="100"/>
  <c r="G100" i="100" s="1"/>
  <c r="A100" i="100"/>
  <c r="H99" i="100"/>
  <c r="F99" i="100"/>
  <c r="G99" i="100" s="1"/>
  <c r="A99" i="100"/>
  <c r="H98" i="100"/>
  <c r="F98" i="100"/>
  <c r="G98" i="100" s="1"/>
  <c r="A98" i="100"/>
  <c r="H97" i="100"/>
  <c r="F97" i="100"/>
  <c r="G97" i="100" s="1"/>
  <c r="A97" i="100"/>
  <c r="H96" i="100"/>
  <c r="F96" i="100"/>
  <c r="G96" i="100" s="1"/>
  <c r="A96" i="100"/>
  <c r="H95" i="100"/>
  <c r="F95" i="100"/>
  <c r="G95" i="100" s="1"/>
  <c r="A95" i="100"/>
  <c r="H94" i="100"/>
  <c r="F94" i="100"/>
  <c r="G94" i="100" s="1"/>
  <c r="A94" i="100"/>
  <c r="H93" i="100"/>
  <c r="F93" i="100"/>
  <c r="G93" i="100" s="1"/>
  <c r="A93" i="100"/>
  <c r="H92" i="100"/>
  <c r="F92" i="100"/>
  <c r="G92" i="100" s="1"/>
  <c r="A92" i="100"/>
  <c r="H91" i="100"/>
  <c r="F91" i="100"/>
  <c r="G91" i="100" s="1"/>
  <c r="A91" i="100"/>
  <c r="H90" i="100"/>
  <c r="F90" i="100"/>
  <c r="G90" i="100" s="1"/>
  <c r="A90" i="100"/>
  <c r="H89" i="100"/>
  <c r="F89" i="100"/>
  <c r="G89" i="100" s="1"/>
  <c r="A89" i="100"/>
  <c r="H88" i="100"/>
  <c r="F88" i="100"/>
  <c r="G88" i="100" s="1"/>
  <c r="A88" i="100"/>
  <c r="H87" i="100"/>
  <c r="F87" i="100"/>
  <c r="G87" i="100" s="1"/>
  <c r="A87" i="100"/>
  <c r="H86" i="100"/>
  <c r="F86" i="100"/>
  <c r="G86" i="100" s="1"/>
  <c r="A86" i="100"/>
  <c r="H85" i="100"/>
  <c r="F85" i="100"/>
  <c r="G85" i="100" s="1"/>
  <c r="A85" i="100"/>
  <c r="H84" i="100"/>
  <c r="F84" i="100"/>
  <c r="G84" i="100" s="1"/>
  <c r="A84" i="100"/>
  <c r="H83" i="100"/>
  <c r="F83" i="100"/>
  <c r="G83" i="100" s="1"/>
  <c r="A83" i="100"/>
  <c r="H82" i="100"/>
  <c r="F82" i="100"/>
  <c r="G82" i="100" s="1"/>
  <c r="A82" i="100"/>
  <c r="H81" i="100"/>
  <c r="F81" i="100"/>
  <c r="G81" i="100" s="1"/>
  <c r="A81" i="100"/>
  <c r="H80" i="100"/>
  <c r="F80" i="100"/>
  <c r="G80" i="100" s="1"/>
  <c r="A80" i="100"/>
  <c r="H79" i="100"/>
  <c r="F79" i="100"/>
  <c r="G79" i="100" s="1"/>
  <c r="A79" i="100"/>
  <c r="H78" i="100"/>
  <c r="F78" i="100"/>
  <c r="G78" i="100" s="1"/>
  <c r="A78" i="100"/>
  <c r="H77" i="100"/>
  <c r="F77" i="100"/>
  <c r="G77" i="100" s="1"/>
  <c r="A77" i="100"/>
  <c r="H76" i="100"/>
  <c r="F76" i="100"/>
  <c r="G76" i="100" s="1"/>
  <c r="A76" i="100"/>
  <c r="H75" i="100"/>
  <c r="F75" i="100"/>
  <c r="G75" i="100" s="1"/>
  <c r="A75" i="100"/>
  <c r="H74" i="100"/>
  <c r="F74" i="100"/>
  <c r="G74" i="100" s="1"/>
  <c r="A74" i="100"/>
  <c r="H73" i="100"/>
  <c r="F73" i="100"/>
  <c r="G73" i="100" s="1"/>
  <c r="A73" i="100"/>
  <c r="H72" i="100"/>
  <c r="F72" i="100"/>
  <c r="G72" i="100" s="1"/>
  <c r="A72" i="100"/>
  <c r="H71" i="100"/>
  <c r="F71" i="100"/>
  <c r="G71" i="100" s="1"/>
  <c r="A71" i="100"/>
  <c r="H70" i="100"/>
  <c r="F70" i="100"/>
  <c r="G70" i="100" s="1"/>
  <c r="A70" i="100"/>
  <c r="H69" i="100"/>
  <c r="F69" i="100"/>
  <c r="G69" i="100" s="1"/>
  <c r="A69" i="100"/>
  <c r="H68" i="100"/>
  <c r="F68" i="100"/>
  <c r="G68" i="100" s="1"/>
  <c r="A68" i="100"/>
  <c r="H67" i="100"/>
  <c r="F67" i="100"/>
  <c r="G67" i="100" s="1"/>
  <c r="A67" i="100"/>
  <c r="H66" i="100"/>
  <c r="F66" i="100"/>
  <c r="G66" i="100" s="1"/>
  <c r="A66" i="100"/>
  <c r="H65" i="100"/>
  <c r="F65" i="100"/>
  <c r="G65" i="100" s="1"/>
  <c r="A65" i="100"/>
  <c r="H64" i="100"/>
  <c r="F64" i="100"/>
  <c r="G64" i="100" s="1"/>
  <c r="A64" i="100"/>
  <c r="H63" i="100"/>
  <c r="F63" i="100"/>
  <c r="G63" i="100" s="1"/>
  <c r="A63" i="100"/>
  <c r="H62" i="100"/>
  <c r="F62" i="100"/>
  <c r="G62" i="100" s="1"/>
  <c r="A62" i="100"/>
  <c r="H61" i="100"/>
  <c r="F61" i="100"/>
  <c r="G61" i="100" s="1"/>
  <c r="A61" i="100"/>
  <c r="H60" i="100"/>
  <c r="F60" i="100"/>
  <c r="G60" i="100" s="1"/>
  <c r="A60" i="100"/>
  <c r="H59" i="100"/>
  <c r="F59" i="100"/>
  <c r="G59" i="100" s="1"/>
  <c r="A59" i="100"/>
  <c r="H58" i="100"/>
  <c r="F58" i="100"/>
  <c r="G58" i="100" s="1"/>
  <c r="A58" i="100"/>
  <c r="H57" i="100"/>
  <c r="F57" i="100"/>
  <c r="G57" i="100" s="1"/>
  <c r="A57" i="100"/>
  <c r="H56" i="100"/>
  <c r="F56" i="100"/>
  <c r="G56" i="100" s="1"/>
  <c r="A56" i="100"/>
  <c r="H55" i="100"/>
  <c r="F55" i="100"/>
  <c r="G55" i="100" s="1"/>
  <c r="A55" i="100"/>
  <c r="H54" i="100"/>
  <c r="F54" i="100"/>
  <c r="G54" i="100" s="1"/>
  <c r="A54" i="100"/>
  <c r="H53" i="100"/>
  <c r="F53" i="100"/>
  <c r="G53" i="100" s="1"/>
  <c r="A53" i="100"/>
  <c r="H52" i="100"/>
  <c r="F52" i="100"/>
  <c r="G52" i="100" s="1"/>
  <c r="A52" i="100"/>
  <c r="H51" i="100"/>
  <c r="F51" i="100"/>
  <c r="G51" i="100" s="1"/>
  <c r="A51" i="100"/>
  <c r="H50" i="100"/>
  <c r="F50" i="100"/>
  <c r="G50" i="100" s="1"/>
  <c r="A50" i="100"/>
  <c r="H49" i="100"/>
  <c r="F49" i="100"/>
  <c r="G49" i="100" s="1"/>
  <c r="A49" i="100"/>
  <c r="H48" i="100"/>
  <c r="F48" i="100"/>
  <c r="G48" i="100" s="1"/>
  <c r="A48" i="100"/>
  <c r="H47" i="100"/>
  <c r="F47" i="100"/>
  <c r="G47" i="100" s="1"/>
  <c r="A47" i="100"/>
  <c r="H46" i="100"/>
  <c r="F46" i="100"/>
  <c r="G46" i="100" s="1"/>
  <c r="A46" i="100"/>
  <c r="H45" i="100"/>
  <c r="F45" i="100"/>
  <c r="G45" i="100" s="1"/>
  <c r="A45" i="100"/>
  <c r="H44" i="100"/>
  <c r="F44" i="100"/>
  <c r="G44" i="100" s="1"/>
  <c r="A44" i="100"/>
  <c r="H43" i="100"/>
  <c r="F43" i="100"/>
  <c r="G43" i="100" s="1"/>
  <c r="A43" i="100"/>
  <c r="H42" i="100"/>
  <c r="F42" i="100"/>
  <c r="G42" i="100" s="1"/>
  <c r="A42" i="100"/>
  <c r="H41" i="100"/>
  <c r="F41" i="100"/>
  <c r="G41" i="100" s="1"/>
  <c r="A41" i="100"/>
  <c r="H40" i="100"/>
  <c r="F40" i="100"/>
  <c r="G40" i="100" s="1"/>
  <c r="A40" i="100"/>
  <c r="H39" i="100"/>
  <c r="F39" i="100"/>
  <c r="G39" i="100" s="1"/>
  <c r="A39" i="100"/>
  <c r="H38" i="100"/>
  <c r="F38" i="100"/>
  <c r="G38" i="100" s="1"/>
  <c r="A38" i="100"/>
  <c r="H37" i="100"/>
  <c r="F37" i="100"/>
  <c r="G37" i="100" s="1"/>
  <c r="A37" i="100"/>
  <c r="H36" i="100"/>
  <c r="F36" i="100"/>
  <c r="G36" i="100" s="1"/>
  <c r="A36" i="100"/>
  <c r="H35" i="100"/>
  <c r="F35" i="100"/>
  <c r="G35" i="100" s="1"/>
  <c r="A35" i="100"/>
  <c r="H34" i="100"/>
  <c r="F34" i="100"/>
  <c r="G34" i="100" s="1"/>
  <c r="A34" i="100"/>
  <c r="H33" i="100"/>
  <c r="F33" i="100"/>
  <c r="G33" i="100" s="1"/>
  <c r="A33" i="100"/>
  <c r="H32" i="100"/>
  <c r="F32" i="100"/>
  <c r="G32" i="100" s="1"/>
  <c r="A32" i="100"/>
  <c r="H31" i="100"/>
  <c r="F31" i="100"/>
  <c r="G31" i="100" s="1"/>
  <c r="A31" i="100"/>
  <c r="H30" i="100"/>
  <c r="F30" i="100"/>
  <c r="G30" i="100" s="1"/>
  <c r="A30" i="100"/>
  <c r="H29" i="100"/>
  <c r="F29" i="100"/>
  <c r="G29" i="100" s="1"/>
  <c r="A29" i="100"/>
  <c r="H28" i="100"/>
  <c r="F28" i="100"/>
  <c r="G28" i="100" s="1"/>
  <c r="A28" i="100"/>
  <c r="H27" i="100"/>
  <c r="F27" i="100"/>
  <c r="G27" i="100" s="1"/>
  <c r="H26" i="100"/>
  <c r="F26" i="100"/>
  <c r="H25" i="100"/>
  <c r="F25" i="100"/>
  <c r="H24" i="100"/>
  <c r="F24" i="100"/>
  <c r="H23" i="100"/>
  <c r="F23" i="100"/>
  <c r="H22" i="100"/>
  <c r="F22" i="100"/>
  <c r="H21" i="100"/>
  <c r="F21" i="100"/>
  <c r="G21" i="100" s="1"/>
  <c r="H20" i="100"/>
  <c r="F20" i="100"/>
  <c r="H19" i="100"/>
  <c r="F19" i="100"/>
  <c r="H18" i="100"/>
  <c r="F18" i="100"/>
  <c r="G18" i="100" s="1"/>
  <c r="H17" i="100"/>
  <c r="F17" i="100"/>
  <c r="H16" i="100"/>
  <c r="F16" i="100"/>
  <c r="H15" i="100"/>
  <c r="F15" i="100"/>
  <c r="H14" i="100"/>
  <c r="F14" i="100"/>
  <c r="H13" i="100"/>
  <c r="F13" i="100"/>
  <c r="G13" i="100" s="1"/>
  <c r="H12" i="100"/>
  <c r="F12" i="100"/>
  <c r="H11" i="100"/>
  <c r="F11" i="100"/>
  <c r="H10" i="100"/>
  <c r="F10" i="100"/>
  <c r="H9" i="100"/>
  <c r="F9" i="100"/>
  <c r="H8" i="100"/>
  <c r="F8" i="100"/>
  <c r="H7" i="100"/>
  <c r="F7" i="100"/>
  <c r="H6" i="100"/>
  <c r="F6" i="100"/>
  <c r="H5" i="100"/>
  <c r="F5" i="100"/>
  <c r="H4" i="100"/>
  <c r="F4" i="100"/>
  <c r="G4" i="100" s="1"/>
  <c r="H3" i="100"/>
  <c r="F3" i="100"/>
  <c r="H160" i="99"/>
  <c r="F160" i="99"/>
  <c r="G160" i="99" s="1"/>
  <c r="A160" i="99"/>
  <c r="H159" i="99"/>
  <c r="F159" i="99"/>
  <c r="G159" i="99" s="1"/>
  <c r="A159" i="99"/>
  <c r="H158" i="99"/>
  <c r="F158" i="99"/>
  <c r="G158" i="99" s="1"/>
  <c r="A158" i="99"/>
  <c r="H157" i="99"/>
  <c r="G157" i="99"/>
  <c r="F157" i="99"/>
  <c r="A157" i="99"/>
  <c r="H156" i="99"/>
  <c r="F156" i="99"/>
  <c r="G156" i="99" s="1"/>
  <c r="A156" i="99"/>
  <c r="H155" i="99"/>
  <c r="F155" i="99"/>
  <c r="G155" i="99" s="1"/>
  <c r="A155" i="99"/>
  <c r="H154" i="99"/>
  <c r="F154" i="99"/>
  <c r="G154" i="99" s="1"/>
  <c r="A154" i="99"/>
  <c r="H153" i="99"/>
  <c r="G153" i="99"/>
  <c r="F153" i="99"/>
  <c r="A153" i="99"/>
  <c r="H152" i="99"/>
  <c r="F152" i="99"/>
  <c r="G152" i="99" s="1"/>
  <c r="A152" i="99"/>
  <c r="H151" i="99"/>
  <c r="F151" i="99"/>
  <c r="G151" i="99" s="1"/>
  <c r="A151" i="99"/>
  <c r="H150" i="99"/>
  <c r="F150" i="99"/>
  <c r="G150" i="99" s="1"/>
  <c r="A150" i="99"/>
  <c r="H149" i="99"/>
  <c r="G149" i="99"/>
  <c r="F149" i="99"/>
  <c r="A149" i="99"/>
  <c r="H148" i="99"/>
  <c r="F148" i="99"/>
  <c r="G148" i="99" s="1"/>
  <c r="A148" i="99"/>
  <c r="H147" i="99"/>
  <c r="F147" i="99"/>
  <c r="G147" i="99" s="1"/>
  <c r="A147" i="99"/>
  <c r="H146" i="99"/>
  <c r="F146" i="99"/>
  <c r="G146" i="99" s="1"/>
  <c r="A146" i="99"/>
  <c r="H145" i="99"/>
  <c r="G145" i="99"/>
  <c r="F145" i="99"/>
  <c r="A145" i="99"/>
  <c r="H144" i="99"/>
  <c r="F144" i="99"/>
  <c r="G144" i="99" s="1"/>
  <c r="A144" i="99"/>
  <c r="H143" i="99"/>
  <c r="F143" i="99"/>
  <c r="G143" i="99" s="1"/>
  <c r="A143" i="99"/>
  <c r="H142" i="99"/>
  <c r="F142" i="99"/>
  <c r="G142" i="99" s="1"/>
  <c r="A142" i="99"/>
  <c r="H141" i="99"/>
  <c r="G141" i="99"/>
  <c r="F141" i="99"/>
  <c r="A141" i="99"/>
  <c r="H140" i="99"/>
  <c r="F140" i="99"/>
  <c r="G140" i="99" s="1"/>
  <c r="A140" i="99"/>
  <c r="H139" i="99"/>
  <c r="F139" i="99"/>
  <c r="G139" i="99" s="1"/>
  <c r="A139" i="99"/>
  <c r="H138" i="99"/>
  <c r="F138" i="99"/>
  <c r="G138" i="99" s="1"/>
  <c r="A138" i="99"/>
  <c r="H137" i="99"/>
  <c r="G137" i="99"/>
  <c r="F137" i="99"/>
  <c r="A137" i="99"/>
  <c r="H136" i="99"/>
  <c r="F136" i="99"/>
  <c r="G136" i="99" s="1"/>
  <c r="A136" i="99"/>
  <c r="H135" i="99"/>
  <c r="F135" i="99"/>
  <c r="G135" i="99" s="1"/>
  <c r="A135" i="99"/>
  <c r="H134" i="99"/>
  <c r="F134" i="99"/>
  <c r="G134" i="99" s="1"/>
  <c r="A134" i="99"/>
  <c r="H133" i="99"/>
  <c r="G133" i="99"/>
  <c r="F133" i="99"/>
  <c r="A133" i="99"/>
  <c r="H132" i="99"/>
  <c r="F132" i="99"/>
  <c r="G132" i="99" s="1"/>
  <c r="A132" i="99"/>
  <c r="H131" i="99"/>
  <c r="F131" i="99"/>
  <c r="G131" i="99" s="1"/>
  <c r="A131" i="99"/>
  <c r="H130" i="99"/>
  <c r="F130" i="99"/>
  <c r="G130" i="99" s="1"/>
  <c r="A130" i="99"/>
  <c r="H129" i="99"/>
  <c r="G129" i="99"/>
  <c r="F129" i="99"/>
  <c r="A129" i="99"/>
  <c r="H128" i="99"/>
  <c r="F128" i="99"/>
  <c r="G128" i="99" s="1"/>
  <c r="A128" i="99"/>
  <c r="H127" i="99"/>
  <c r="F127" i="99"/>
  <c r="G127" i="99" s="1"/>
  <c r="A127" i="99"/>
  <c r="H126" i="99"/>
  <c r="F126" i="99"/>
  <c r="G126" i="99" s="1"/>
  <c r="A126" i="99"/>
  <c r="H125" i="99"/>
  <c r="G125" i="99"/>
  <c r="F125" i="99"/>
  <c r="A125" i="99"/>
  <c r="H124" i="99"/>
  <c r="F124" i="99"/>
  <c r="G124" i="99" s="1"/>
  <c r="A124" i="99"/>
  <c r="H123" i="99"/>
  <c r="F123" i="99"/>
  <c r="G123" i="99" s="1"/>
  <c r="A123" i="99"/>
  <c r="H122" i="99"/>
  <c r="F122" i="99"/>
  <c r="G122" i="99" s="1"/>
  <c r="A122" i="99"/>
  <c r="H121" i="99"/>
  <c r="G121" i="99"/>
  <c r="F121" i="99"/>
  <c r="A121" i="99"/>
  <c r="H120" i="99"/>
  <c r="F120" i="99"/>
  <c r="G120" i="99" s="1"/>
  <c r="A120" i="99"/>
  <c r="H119" i="99"/>
  <c r="F119" i="99"/>
  <c r="G119" i="99" s="1"/>
  <c r="A119" i="99"/>
  <c r="H118" i="99"/>
  <c r="F118" i="99"/>
  <c r="G118" i="99" s="1"/>
  <c r="A118" i="99"/>
  <c r="H117" i="99"/>
  <c r="G117" i="99"/>
  <c r="F117" i="99"/>
  <c r="A117" i="99"/>
  <c r="H116" i="99"/>
  <c r="F116" i="99"/>
  <c r="G116" i="99" s="1"/>
  <c r="A116" i="99"/>
  <c r="H115" i="99"/>
  <c r="F115" i="99"/>
  <c r="G115" i="99" s="1"/>
  <c r="A115" i="99"/>
  <c r="H114" i="99"/>
  <c r="F114" i="99"/>
  <c r="G114" i="99" s="1"/>
  <c r="A114" i="99"/>
  <c r="H113" i="99"/>
  <c r="G113" i="99"/>
  <c r="F113" i="99"/>
  <c r="A113" i="99"/>
  <c r="H112" i="99"/>
  <c r="F112" i="99"/>
  <c r="G112" i="99" s="1"/>
  <c r="A112" i="99"/>
  <c r="H111" i="99"/>
  <c r="F111" i="99"/>
  <c r="G111" i="99" s="1"/>
  <c r="A111" i="99"/>
  <c r="H110" i="99"/>
  <c r="F110" i="99"/>
  <c r="G110" i="99" s="1"/>
  <c r="A110" i="99"/>
  <c r="H109" i="99"/>
  <c r="G109" i="99"/>
  <c r="F109" i="99"/>
  <c r="A109" i="99"/>
  <c r="H108" i="99"/>
  <c r="F108" i="99"/>
  <c r="G108" i="99" s="1"/>
  <c r="A108" i="99"/>
  <c r="H107" i="99"/>
  <c r="F107" i="99"/>
  <c r="G107" i="99" s="1"/>
  <c r="A107" i="99"/>
  <c r="H106" i="99"/>
  <c r="F106" i="99"/>
  <c r="G106" i="99" s="1"/>
  <c r="A106" i="99"/>
  <c r="H105" i="99"/>
  <c r="G105" i="99"/>
  <c r="F105" i="99"/>
  <c r="A105" i="99"/>
  <c r="H104" i="99"/>
  <c r="F104" i="99"/>
  <c r="G104" i="99" s="1"/>
  <c r="A104" i="99"/>
  <c r="H103" i="99"/>
  <c r="F103" i="99"/>
  <c r="G103" i="99" s="1"/>
  <c r="A103" i="99"/>
  <c r="H102" i="99"/>
  <c r="F102" i="99"/>
  <c r="G102" i="99" s="1"/>
  <c r="A102" i="99"/>
  <c r="H101" i="99"/>
  <c r="G101" i="99"/>
  <c r="F101" i="99"/>
  <c r="A101" i="99"/>
  <c r="H100" i="99"/>
  <c r="F100" i="99"/>
  <c r="G100" i="99" s="1"/>
  <c r="A100" i="99"/>
  <c r="H99" i="99"/>
  <c r="F99" i="99"/>
  <c r="G99" i="99" s="1"/>
  <c r="A99" i="99"/>
  <c r="H98" i="99"/>
  <c r="F98" i="99"/>
  <c r="G98" i="99" s="1"/>
  <c r="A98" i="99"/>
  <c r="H97" i="99"/>
  <c r="G97" i="99"/>
  <c r="F97" i="99"/>
  <c r="A97" i="99"/>
  <c r="H96" i="99"/>
  <c r="F96" i="99"/>
  <c r="G96" i="99" s="1"/>
  <c r="A96" i="99"/>
  <c r="H95" i="99"/>
  <c r="F95" i="99"/>
  <c r="G95" i="99" s="1"/>
  <c r="A95" i="99"/>
  <c r="H94" i="99"/>
  <c r="F94" i="99"/>
  <c r="G94" i="99" s="1"/>
  <c r="A94" i="99"/>
  <c r="H93" i="99"/>
  <c r="G93" i="99"/>
  <c r="F93" i="99"/>
  <c r="A93" i="99"/>
  <c r="H92" i="99"/>
  <c r="F92" i="99"/>
  <c r="G92" i="99" s="1"/>
  <c r="A92" i="99"/>
  <c r="H91" i="99"/>
  <c r="F91" i="99"/>
  <c r="G91" i="99" s="1"/>
  <c r="A91" i="99"/>
  <c r="H90" i="99"/>
  <c r="F90" i="99"/>
  <c r="G90" i="99" s="1"/>
  <c r="A90" i="99"/>
  <c r="H89" i="99"/>
  <c r="G89" i="99"/>
  <c r="F89" i="99"/>
  <c r="A89" i="99"/>
  <c r="H88" i="99"/>
  <c r="F88" i="99"/>
  <c r="G88" i="99" s="1"/>
  <c r="A88" i="99"/>
  <c r="H87" i="99"/>
  <c r="F87" i="99"/>
  <c r="G87" i="99" s="1"/>
  <c r="A87" i="99"/>
  <c r="H86" i="99"/>
  <c r="F86" i="99"/>
  <c r="G86" i="99" s="1"/>
  <c r="A86" i="99"/>
  <c r="H85" i="99"/>
  <c r="G85" i="99"/>
  <c r="F85" i="99"/>
  <c r="A85" i="99"/>
  <c r="H84" i="99"/>
  <c r="F84" i="99"/>
  <c r="G84" i="99" s="1"/>
  <c r="A84" i="99"/>
  <c r="H83" i="99"/>
  <c r="F83" i="99"/>
  <c r="G83" i="99" s="1"/>
  <c r="A83" i="99"/>
  <c r="H82" i="99"/>
  <c r="F82" i="99"/>
  <c r="G82" i="99" s="1"/>
  <c r="A82" i="99"/>
  <c r="H81" i="99"/>
  <c r="G81" i="99"/>
  <c r="F81" i="99"/>
  <c r="A81" i="99"/>
  <c r="H80" i="99"/>
  <c r="F80" i="99"/>
  <c r="G80" i="99" s="1"/>
  <c r="A80" i="99"/>
  <c r="H79" i="99"/>
  <c r="F79" i="99"/>
  <c r="G79" i="99" s="1"/>
  <c r="A79" i="99"/>
  <c r="H78" i="99"/>
  <c r="F78" i="99"/>
  <c r="G78" i="99" s="1"/>
  <c r="A78" i="99"/>
  <c r="H77" i="99"/>
  <c r="G77" i="99"/>
  <c r="F77" i="99"/>
  <c r="A77" i="99"/>
  <c r="H76" i="99"/>
  <c r="F76" i="99"/>
  <c r="G76" i="99" s="1"/>
  <c r="A76" i="99"/>
  <c r="H75" i="99"/>
  <c r="F75" i="99"/>
  <c r="G75" i="99" s="1"/>
  <c r="A75" i="99"/>
  <c r="H74" i="99"/>
  <c r="F74" i="99"/>
  <c r="G74" i="99" s="1"/>
  <c r="A74" i="99"/>
  <c r="H73" i="99"/>
  <c r="G73" i="99"/>
  <c r="F73" i="99"/>
  <c r="A73" i="99"/>
  <c r="H72" i="99"/>
  <c r="F72" i="99"/>
  <c r="G72" i="99" s="1"/>
  <c r="A72" i="99"/>
  <c r="H71" i="99"/>
  <c r="F71" i="99"/>
  <c r="G71" i="99" s="1"/>
  <c r="A71" i="99"/>
  <c r="H70" i="99"/>
  <c r="F70" i="99"/>
  <c r="G70" i="99" s="1"/>
  <c r="A70" i="99"/>
  <c r="H69" i="99"/>
  <c r="G69" i="99"/>
  <c r="F69" i="99"/>
  <c r="A69" i="99"/>
  <c r="H68" i="99"/>
  <c r="F68" i="99"/>
  <c r="G68" i="99" s="1"/>
  <c r="A68" i="99"/>
  <c r="H67" i="99"/>
  <c r="F67" i="99"/>
  <c r="G67" i="99" s="1"/>
  <c r="A67" i="99"/>
  <c r="H66" i="99"/>
  <c r="F66" i="99"/>
  <c r="G66" i="99" s="1"/>
  <c r="A66" i="99"/>
  <c r="H65" i="99"/>
  <c r="G65" i="99"/>
  <c r="F65" i="99"/>
  <c r="A65" i="99"/>
  <c r="H64" i="99"/>
  <c r="F64" i="99"/>
  <c r="G64" i="99" s="1"/>
  <c r="A64" i="99"/>
  <c r="H63" i="99"/>
  <c r="F63" i="99"/>
  <c r="G63" i="99" s="1"/>
  <c r="A63" i="99"/>
  <c r="H62" i="99"/>
  <c r="F62" i="99"/>
  <c r="G62" i="99" s="1"/>
  <c r="A62" i="99"/>
  <c r="H61" i="99"/>
  <c r="G61" i="99"/>
  <c r="F61" i="99"/>
  <c r="A61" i="99"/>
  <c r="H60" i="99"/>
  <c r="F60" i="99"/>
  <c r="G60" i="99" s="1"/>
  <c r="A60" i="99"/>
  <c r="H59" i="99"/>
  <c r="F59" i="99"/>
  <c r="G59" i="99" s="1"/>
  <c r="A59" i="99"/>
  <c r="H58" i="99"/>
  <c r="F58" i="99"/>
  <c r="G58" i="99" s="1"/>
  <c r="A58" i="99"/>
  <c r="H57" i="99"/>
  <c r="G57" i="99"/>
  <c r="F57" i="99"/>
  <c r="A57" i="99"/>
  <c r="H56" i="99"/>
  <c r="F56" i="99"/>
  <c r="G56" i="99" s="1"/>
  <c r="A56" i="99"/>
  <c r="H55" i="99"/>
  <c r="F55" i="99"/>
  <c r="G55" i="99" s="1"/>
  <c r="A55" i="99"/>
  <c r="H54" i="99"/>
  <c r="F54" i="99"/>
  <c r="G54" i="99" s="1"/>
  <c r="A54" i="99"/>
  <c r="H53" i="99"/>
  <c r="G53" i="99"/>
  <c r="F53" i="99"/>
  <c r="A53" i="99"/>
  <c r="H52" i="99"/>
  <c r="F52" i="99"/>
  <c r="G52" i="99" s="1"/>
  <c r="A52" i="99"/>
  <c r="H51" i="99"/>
  <c r="F51" i="99"/>
  <c r="G51" i="99" s="1"/>
  <c r="A51" i="99"/>
  <c r="H50" i="99"/>
  <c r="F50" i="99"/>
  <c r="G50" i="99" s="1"/>
  <c r="A50" i="99"/>
  <c r="H49" i="99"/>
  <c r="G49" i="99"/>
  <c r="F49" i="99"/>
  <c r="A49" i="99"/>
  <c r="H48" i="99"/>
  <c r="F48" i="99"/>
  <c r="G48" i="99" s="1"/>
  <c r="A48" i="99"/>
  <c r="H47" i="99"/>
  <c r="F47" i="99"/>
  <c r="G47" i="99" s="1"/>
  <c r="A47" i="99"/>
  <c r="H46" i="99"/>
  <c r="F46" i="99"/>
  <c r="G46" i="99" s="1"/>
  <c r="A46" i="99"/>
  <c r="H45" i="99"/>
  <c r="G45" i="99"/>
  <c r="F45" i="99"/>
  <c r="A45" i="99"/>
  <c r="H44" i="99"/>
  <c r="F44" i="99"/>
  <c r="G44" i="99" s="1"/>
  <c r="A44" i="99"/>
  <c r="H43" i="99"/>
  <c r="F43" i="99"/>
  <c r="G43" i="99" s="1"/>
  <c r="A43" i="99"/>
  <c r="H42" i="99"/>
  <c r="F42" i="99"/>
  <c r="G42" i="99" s="1"/>
  <c r="A42" i="99"/>
  <c r="H41" i="99"/>
  <c r="G41" i="99"/>
  <c r="F41" i="99"/>
  <c r="A41" i="99"/>
  <c r="H40" i="99"/>
  <c r="F40" i="99"/>
  <c r="G40" i="99" s="1"/>
  <c r="A40" i="99"/>
  <c r="H39" i="99"/>
  <c r="F39" i="99"/>
  <c r="G39" i="99" s="1"/>
  <c r="A39" i="99"/>
  <c r="H38" i="99"/>
  <c r="F38" i="99"/>
  <c r="G38" i="99" s="1"/>
  <c r="A38" i="99"/>
  <c r="H37" i="99"/>
  <c r="G37" i="99"/>
  <c r="F37" i="99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G33" i="99"/>
  <c r="F33" i="99"/>
  <c r="A33" i="99"/>
  <c r="H32" i="99"/>
  <c r="F32" i="99"/>
  <c r="G32" i="99" s="1"/>
  <c r="A32" i="99"/>
  <c r="H31" i="99"/>
  <c r="F31" i="99"/>
  <c r="G31" i="99" s="1"/>
  <c r="A31" i="99"/>
  <c r="H30" i="99"/>
  <c r="F30" i="99"/>
  <c r="G30" i="99" s="1"/>
  <c r="A30" i="99"/>
  <c r="H29" i="99"/>
  <c r="G29" i="99"/>
  <c r="F29" i="99"/>
  <c r="A29" i="99"/>
  <c r="H28" i="99"/>
  <c r="F28" i="99"/>
  <c r="G28" i="99" s="1"/>
  <c r="A28" i="99"/>
  <c r="H27" i="99"/>
  <c r="F27" i="99"/>
  <c r="G27" i="99" s="1"/>
  <c r="A27" i="99"/>
  <c r="H26" i="99"/>
  <c r="F26" i="99"/>
  <c r="G26" i="99" s="1"/>
  <c r="A26" i="99"/>
  <c r="H25" i="99"/>
  <c r="G25" i="99"/>
  <c r="F25" i="99"/>
  <c r="A25" i="99"/>
  <c r="H24" i="99"/>
  <c r="F24" i="99"/>
  <c r="G24" i="99" s="1"/>
  <c r="A24" i="99"/>
  <c r="H23" i="99"/>
  <c r="F23" i="99"/>
  <c r="G23" i="99" s="1"/>
  <c r="A23" i="99"/>
  <c r="H22" i="99"/>
  <c r="F22" i="99"/>
  <c r="G22" i="99" s="1"/>
  <c r="A22" i="99"/>
  <c r="H21" i="99"/>
  <c r="G21" i="99"/>
  <c r="F21" i="99"/>
  <c r="A21" i="99"/>
  <c r="H20" i="99"/>
  <c r="F20" i="99"/>
  <c r="H19" i="99"/>
  <c r="F19" i="99"/>
  <c r="G19" i="99" s="1"/>
  <c r="H18" i="99"/>
  <c r="F18" i="99"/>
  <c r="H17" i="99"/>
  <c r="F17" i="99"/>
  <c r="H16" i="99"/>
  <c r="F16" i="99"/>
  <c r="G16" i="99" s="1"/>
  <c r="H15" i="99"/>
  <c r="F15" i="99"/>
  <c r="H14" i="99"/>
  <c r="F14" i="99"/>
  <c r="H13" i="99"/>
  <c r="F13" i="99"/>
  <c r="H12" i="99"/>
  <c r="F12" i="99"/>
  <c r="G12" i="99" s="1"/>
  <c r="H11" i="99"/>
  <c r="F11" i="99"/>
  <c r="G11" i="99" s="1"/>
  <c r="H10" i="99"/>
  <c r="F10" i="99"/>
  <c r="H9" i="99"/>
  <c r="F9" i="99"/>
  <c r="G9" i="99" s="1"/>
  <c r="H8" i="99"/>
  <c r="F8" i="99"/>
  <c r="H7" i="99"/>
  <c r="F7" i="99"/>
  <c r="H6" i="99"/>
  <c r="F6" i="99"/>
  <c r="H5" i="99"/>
  <c r="F5" i="99"/>
  <c r="G5" i="99" s="1"/>
  <c r="H4" i="99"/>
  <c r="F4" i="99"/>
  <c r="H3" i="99"/>
  <c r="F3" i="99"/>
  <c r="H160" i="98"/>
  <c r="F160" i="98"/>
  <c r="G160" i="98" s="1"/>
  <c r="A160" i="98"/>
  <c r="H159" i="98"/>
  <c r="F159" i="98"/>
  <c r="G159" i="98" s="1"/>
  <c r="A159" i="98"/>
  <c r="H158" i="98"/>
  <c r="F158" i="98"/>
  <c r="G158" i="98" s="1"/>
  <c r="A158" i="98"/>
  <c r="H157" i="98"/>
  <c r="F157" i="98"/>
  <c r="G157" i="98" s="1"/>
  <c r="A157" i="98"/>
  <c r="H156" i="98"/>
  <c r="F156" i="98"/>
  <c r="G156" i="98" s="1"/>
  <c r="A156" i="98"/>
  <c r="H155" i="98"/>
  <c r="F155" i="98"/>
  <c r="G155" i="98" s="1"/>
  <c r="A155" i="98"/>
  <c r="H154" i="98"/>
  <c r="F154" i="98"/>
  <c r="G154" i="98" s="1"/>
  <c r="A154" i="98"/>
  <c r="H153" i="98"/>
  <c r="F153" i="98"/>
  <c r="G153" i="98" s="1"/>
  <c r="A153" i="98"/>
  <c r="H152" i="98"/>
  <c r="F152" i="98"/>
  <c r="G152" i="98" s="1"/>
  <c r="A152" i="98"/>
  <c r="H151" i="98"/>
  <c r="F151" i="98"/>
  <c r="G151" i="98" s="1"/>
  <c r="A151" i="98"/>
  <c r="H150" i="98"/>
  <c r="F150" i="98"/>
  <c r="G150" i="98" s="1"/>
  <c r="A150" i="98"/>
  <c r="H149" i="98"/>
  <c r="F149" i="98"/>
  <c r="G149" i="98" s="1"/>
  <c r="A149" i="98"/>
  <c r="H148" i="98"/>
  <c r="F148" i="98"/>
  <c r="G148" i="98" s="1"/>
  <c r="A148" i="98"/>
  <c r="H147" i="98"/>
  <c r="F147" i="98"/>
  <c r="G147" i="98" s="1"/>
  <c r="A147" i="98"/>
  <c r="H146" i="98"/>
  <c r="F146" i="98"/>
  <c r="G146" i="98" s="1"/>
  <c r="A146" i="98"/>
  <c r="H145" i="98"/>
  <c r="F145" i="98"/>
  <c r="G145" i="98" s="1"/>
  <c r="A145" i="98"/>
  <c r="H144" i="98"/>
  <c r="F144" i="98"/>
  <c r="G144" i="98" s="1"/>
  <c r="A144" i="98"/>
  <c r="H143" i="98"/>
  <c r="F143" i="98"/>
  <c r="G143" i="98" s="1"/>
  <c r="A143" i="98"/>
  <c r="H142" i="98"/>
  <c r="F142" i="98"/>
  <c r="G142" i="98" s="1"/>
  <c r="A142" i="98"/>
  <c r="H141" i="98"/>
  <c r="F141" i="98"/>
  <c r="G141" i="98" s="1"/>
  <c r="A141" i="98"/>
  <c r="H140" i="98"/>
  <c r="F140" i="98"/>
  <c r="G140" i="98" s="1"/>
  <c r="A140" i="98"/>
  <c r="H139" i="98"/>
  <c r="F139" i="98"/>
  <c r="G139" i="98" s="1"/>
  <c r="A139" i="98"/>
  <c r="H138" i="98"/>
  <c r="F138" i="98"/>
  <c r="G138" i="98" s="1"/>
  <c r="A138" i="98"/>
  <c r="H137" i="98"/>
  <c r="F137" i="98"/>
  <c r="G137" i="98" s="1"/>
  <c r="A137" i="98"/>
  <c r="H136" i="98"/>
  <c r="F136" i="98"/>
  <c r="G136" i="98" s="1"/>
  <c r="A136" i="98"/>
  <c r="H135" i="98"/>
  <c r="F135" i="98"/>
  <c r="G135" i="98" s="1"/>
  <c r="A135" i="98"/>
  <c r="H134" i="98"/>
  <c r="F134" i="98"/>
  <c r="G134" i="98" s="1"/>
  <c r="A134" i="98"/>
  <c r="H133" i="98"/>
  <c r="F133" i="98"/>
  <c r="G133" i="98" s="1"/>
  <c r="A133" i="98"/>
  <c r="H132" i="98"/>
  <c r="F132" i="98"/>
  <c r="G132" i="98" s="1"/>
  <c r="A132" i="98"/>
  <c r="H131" i="98"/>
  <c r="F131" i="98"/>
  <c r="G131" i="98" s="1"/>
  <c r="A131" i="98"/>
  <c r="H130" i="98"/>
  <c r="F130" i="98"/>
  <c r="G130" i="98" s="1"/>
  <c r="A130" i="98"/>
  <c r="H129" i="98"/>
  <c r="F129" i="98"/>
  <c r="G129" i="98" s="1"/>
  <c r="A129" i="98"/>
  <c r="H128" i="98"/>
  <c r="F128" i="98"/>
  <c r="G128" i="98" s="1"/>
  <c r="A128" i="98"/>
  <c r="H127" i="98"/>
  <c r="F127" i="98"/>
  <c r="G127" i="98" s="1"/>
  <c r="A127" i="98"/>
  <c r="H126" i="98"/>
  <c r="F126" i="98"/>
  <c r="G126" i="98" s="1"/>
  <c r="A126" i="98"/>
  <c r="H125" i="98"/>
  <c r="F125" i="98"/>
  <c r="G125" i="98" s="1"/>
  <c r="A125" i="98"/>
  <c r="H124" i="98"/>
  <c r="F124" i="98"/>
  <c r="G124" i="98" s="1"/>
  <c r="A124" i="98"/>
  <c r="H123" i="98"/>
  <c r="F123" i="98"/>
  <c r="G123" i="98" s="1"/>
  <c r="A123" i="98"/>
  <c r="H122" i="98"/>
  <c r="F122" i="98"/>
  <c r="G122" i="98" s="1"/>
  <c r="A122" i="98"/>
  <c r="H121" i="98"/>
  <c r="F121" i="98"/>
  <c r="G121" i="98" s="1"/>
  <c r="A121" i="98"/>
  <c r="H120" i="98"/>
  <c r="F120" i="98"/>
  <c r="G120" i="98" s="1"/>
  <c r="A120" i="98"/>
  <c r="H119" i="98"/>
  <c r="F119" i="98"/>
  <c r="G119" i="98" s="1"/>
  <c r="A119" i="98"/>
  <c r="H118" i="98"/>
  <c r="F118" i="98"/>
  <c r="G118" i="98" s="1"/>
  <c r="A118" i="98"/>
  <c r="H117" i="98"/>
  <c r="F117" i="98"/>
  <c r="G117" i="98" s="1"/>
  <c r="A117" i="98"/>
  <c r="H116" i="98"/>
  <c r="F116" i="98"/>
  <c r="G116" i="98" s="1"/>
  <c r="A116" i="98"/>
  <c r="H115" i="98"/>
  <c r="F115" i="98"/>
  <c r="G115" i="98" s="1"/>
  <c r="A115" i="98"/>
  <c r="H114" i="98"/>
  <c r="F114" i="98"/>
  <c r="G114" i="98" s="1"/>
  <c r="A114" i="98"/>
  <c r="H113" i="98"/>
  <c r="F113" i="98"/>
  <c r="G113" i="98" s="1"/>
  <c r="A113" i="98"/>
  <c r="H112" i="98"/>
  <c r="F112" i="98"/>
  <c r="G112" i="98" s="1"/>
  <c r="A112" i="98"/>
  <c r="H111" i="98"/>
  <c r="F111" i="98"/>
  <c r="G111" i="98" s="1"/>
  <c r="A111" i="98"/>
  <c r="H110" i="98"/>
  <c r="F110" i="98"/>
  <c r="G110" i="98" s="1"/>
  <c r="A110" i="98"/>
  <c r="H109" i="98"/>
  <c r="F109" i="98"/>
  <c r="G109" i="98" s="1"/>
  <c r="A109" i="98"/>
  <c r="H108" i="98"/>
  <c r="F108" i="98"/>
  <c r="G108" i="98" s="1"/>
  <c r="A108" i="98"/>
  <c r="H107" i="98"/>
  <c r="F107" i="98"/>
  <c r="G107" i="98" s="1"/>
  <c r="A107" i="98"/>
  <c r="H106" i="98"/>
  <c r="F106" i="98"/>
  <c r="G106" i="98" s="1"/>
  <c r="A106" i="98"/>
  <c r="H105" i="98"/>
  <c r="F105" i="98"/>
  <c r="G105" i="98" s="1"/>
  <c r="A105" i="98"/>
  <c r="H104" i="98"/>
  <c r="F104" i="98"/>
  <c r="G104" i="98" s="1"/>
  <c r="A104" i="98"/>
  <c r="H103" i="98"/>
  <c r="F103" i="98"/>
  <c r="G103" i="98" s="1"/>
  <c r="A103" i="98"/>
  <c r="H102" i="98"/>
  <c r="F102" i="98"/>
  <c r="G102" i="98" s="1"/>
  <c r="A102" i="98"/>
  <c r="H101" i="98"/>
  <c r="F101" i="98"/>
  <c r="G101" i="98" s="1"/>
  <c r="A101" i="98"/>
  <c r="H100" i="98"/>
  <c r="F100" i="98"/>
  <c r="G100" i="98" s="1"/>
  <c r="A100" i="98"/>
  <c r="H99" i="98"/>
  <c r="F99" i="98"/>
  <c r="G99" i="98" s="1"/>
  <c r="A99" i="98"/>
  <c r="H98" i="98"/>
  <c r="F98" i="98"/>
  <c r="G98" i="98" s="1"/>
  <c r="A98" i="98"/>
  <c r="H97" i="98"/>
  <c r="F97" i="98"/>
  <c r="G97" i="98" s="1"/>
  <c r="A97" i="98"/>
  <c r="H96" i="98"/>
  <c r="F96" i="98"/>
  <c r="G96" i="98" s="1"/>
  <c r="A96" i="98"/>
  <c r="H95" i="98"/>
  <c r="F95" i="98"/>
  <c r="G95" i="98" s="1"/>
  <c r="A95" i="98"/>
  <c r="H94" i="98"/>
  <c r="F94" i="98"/>
  <c r="G94" i="98" s="1"/>
  <c r="A94" i="98"/>
  <c r="H93" i="98"/>
  <c r="F93" i="98"/>
  <c r="G93" i="98" s="1"/>
  <c r="A93" i="98"/>
  <c r="H92" i="98"/>
  <c r="F92" i="98"/>
  <c r="G92" i="98" s="1"/>
  <c r="A92" i="98"/>
  <c r="H91" i="98"/>
  <c r="F91" i="98"/>
  <c r="G91" i="98" s="1"/>
  <c r="A91" i="98"/>
  <c r="H90" i="98"/>
  <c r="F90" i="98"/>
  <c r="G90" i="98" s="1"/>
  <c r="A90" i="98"/>
  <c r="H89" i="98"/>
  <c r="F89" i="98"/>
  <c r="G89" i="98" s="1"/>
  <c r="A89" i="98"/>
  <c r="H88" i="98"/>
  <c r="F88" i="98"/>
  <c r="G88" i="98" s="1"/>
  <c r="A88" i="98"/>
  <c r="H87" i="98"/>
  <c r="F87" i="98"/>
  <c r="G87" i="98" s="1"/>
  <c r="A87" i="98"/>
  <c r="H86" i="98"/>
  <c r="F86" i="98"/>
  <c r="G86" i="98" s="1"/>
  <c r="A86" i="98"/>
  <c r="H85" i="98"/>
  <c r="F85" i="98"/>
  <c r="G85" i="98" s="1"/>
  <c r="A85" i="98"/>
  <c r="H84" i="98"/>
  <c r="F84" i="98"/>
  <c r="G84" i="98" s="1"/>
  <c r="A84" i="98"/>
  <c r="H83" i="98"/>
  <c r="F83" i="98"/>
  <c r="G83" i="98" s="1"/>
  <c r="A83" i="98"/>
  <c r="H82" i="98"/>
  <c r="F82" i="98"/>
  <c r="G82" i="98" s="1"/>
  <c r="A82" i="98"/>
  <c r="H81" i="98"/>
  <c r="F81" i="98"/>
  <c r="G81" i="98" s="1"/>
  <c r="A81" i="98"/>
  <c r="H80" i="98"/>
  <c r="F80" i="98"/>
  <c r="G80" i="98" s="1"/>
  <c r="A80" i="98"/>
  <c r="H79" i="98"/>
  <c r="F79" i="98"/>
  <c r="G79" i="98" s="1"/>
  <c r="A79" i="98"/>
  <c r="H78" i="98"/>
  <c r="F78" i="98"/>
  <c r="G78" i="98" s="1"/>
  <c r="A78" i="98"/>
  <c r="H77" i="98"/>
  <c r="F77" i="98"/>
  <c r="G77" i="98" s="1"/>
  <c r="A77" i="98"/>
  <c r="H76" i="98"/>
  <c r="F76" i="98"/>
  <c r="G76" i="98" s="1"/>
  <c r="A76" i="98"/>
  <c r="H75" i="98"/>
  <c r="F75" i="98"/>
  <c r="G75" i="98" s="1"/>
  <c r="A75" i="98"/>
  <c r="H74" i="98"/>
  <c r="F74" i="98"/>
  <c r="G74" i="98" s="1"/>
  <c r="A74" i="98"/>
  <c r="H73" i="98"/>
  <c r="F73" i="98"/>
  <c r="G73" i="98" s="1"/>
  <c r="A73" i="98"/>
  <c r="H72" i="98"/>
  <c r="F72" i="98"/>
  <c r="G72" i="98" s="1"/>
  <c r="A72" i="98"/>
  <c r="H71" i="98"/>
  <c r="F71" i="98"/>
  <c r="G71" i="98" s="1"/>
  <c r="A71" i="98"/>
  <c r="H70" i="98"/>
  <c r="F70" i="98"/>
  <c r="G70" i="98" s="1"/>
  <c r="A70" i="98"/>
  <c r="H69" i="98"/>
  <c r="F69" i="98"/>
  <c r="G69" i="98" s="1"/>
  <c r="A69" i="98"/>
  <c r="H68" i="98"/>
  <c r="F68" i="98"/>
  <c r="G68" i="98" s="1"/>
  <c r="A68" i="98"/>
  <c r="H67" i="98"/>
  <c r="F67" i="98"/>
  <c r="G67" i="98" s="1"/>
  <c r="A67" i="98"/>
  <c r="H66" i="98"/>
  <c r="F66" i="98"/>
  <c r="G66" i="98" s="1"/>
  <c r="A66" i="98"/>
  <c r="H65" i="98"/>
  <c r="F65" i="98"/>
  <c r="G65" i="98" s="1"/>
  <c r="A65" i="98"/>
  <c r="H64" i="98"/>
  <c r="F64" i="98"/>
  <c r="G64" i="98" s="1"/>
  <c r="A64" i="98"/>
  <c r="H63" i="98"/>
  <c r="F63" i="98"/>
  <c r="G63" i="98" s="1"/>
  <c r="A63" i="98"/>
  <c r="H62" i="98"/>
  <c r="F62" i="98"/>
  <c r="G62" i="98" s="1"/>
  <c r="A62" i="98"/>
  <c r="H61" i="98"/>
  <c r="F61" i="98"/>
  <c r="G61" i="98" s="1"/>
  <c r="A61" i="98"/>
  <c r="H60" i="98"/>
  <c r="F60" i="98"/>
  <c r="G60" i="98" s="1"/>
  <c r="A60" i="98"/>
  <c r="H59" i="98"/>
  <c r="F59" i="98"/>
  <c r="G59" i="98" s="1"/>
  <c r="A59" i="98"/>
  <c r="H58" i="98"/>
  <c r="F58" i="98"/>
  <c r="G58" i="98" s="1"/>
  <c r="A58" i="98"/>
  <c r="H57" i="98"/>
  <c r="F57" i="98"/>
  <c r="G57" i="98" s="1"/>
  <c r="A57" i="98"/>
  <c r="H56" i="98"/>
  <c r="F56" i="98"/>
  <c r="G56" i="98" s="1"/>
  <c r="A56" i="98"/>
  <c r="H55" i="98"/>
  <c r="F55" i="98"/>
  <c r="G55" i="98" s="1"/>
  <c r="A55" i="98"/>
  <c r="H54" i="98"/>
  <c r="F54" i="98"/>
  <c r="G54" i="98" s="1"/>
  <c r="A54" i="98"/>
  <c r="H53" i="98"/>
  <c r="F53" i="98"/>
  <c r="G53" i="98" s="1"/>
  <c r="A53" i="98"/>
  <c r="H52" i="98"/>
  <c r="F52" i="98"/>
  <c r="G52" i="98" s="1"/>
  <c r="A52" i="98"/>
  <c r="H51" i="98"/>
  <c r="F51" i="98"/>
  <c r="G51" i="98" s="1"/>
  <c r="A51" i="98"/>
  <c r="H50" i="98"/>
  <c r="F50" i="98"/>
  <c r="G50" i="98" s="1"/>
  <c r="A50" i="98"/>
  <c r="H49" i="98"/>
  <c r="F49" i="98"/>
  <c r="G49" i="98" s="1"/>
  <c r="A49" i="98"/>
  <c r="H48" i="98"/>
  <c r="F48" i="98"/>
  <c r="G48" i="98" s="1"/>
  <c r="A48" i="98"/>
  <c r="H47" i="98"/>
  <c r="F47" i="98"/>
  <c r="G47" i="98" s="1"/>
  <c r="A47" i="98"/>
  <c r="H46" i="98"/>
  <c r="F46" i="98"/>
  <c r="G46" i="98" s="1"/>
  <c r="A46" i="98"/>
  <c r="H45" i="98"/>
  <c r="F45" i="98"/>
  <c r="G45" i="98" s="1"/>
  <c r="A45" i="98"/>
  <c r="H44" i="98"/>
  <c r="F44" i="98"/>
  <c r="G44" i="98" s="1"/>
  <c r="A44" i="98"/>
  <c r="H43" i="98"/>
  <c r="F43" i="98"/>
  <c r="G43" i="98" s="1"/>
  <c r="A43" i="98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F36" i="98"/>
  <c r="G36" i="98" s="1"/>
  <c r="A36" i="98"/>
  <c r="H35" i="98"/>
  <c r="F35" i="98"/>
  <c r="G35" i="98" s="1"/>
  <c r="A35" i="98"/>
  <c r="H34" i="98"/>
  <c r="F34" i="98"/>
  <c r="G34" i="98" s="1"/>
  <c r="A34" i="98"/>
  <c r="H33" i="98"/>
  <c r="F33" i="98"/>
  <c r="G33" i="98" s="1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A30" i="98"/>
  <c r="H29" i="98"/>
  <c r="F29" i="98"/>
  <c r="G29" i="98" s="1"/>
  <c r="A29" i="98"/>
  <c r="H28" i="98"/>
  <c r="F28" i="98"/>
  <c r="G28" i="98" s="1"/>
  <c r="A28" i="98"/>
  <c r="H27" i="98"/>
  <c r="F27" i="98"/>
  <c r="G27" i="98" s="1"/>
  <c r="A27" i="98"/>
  <c r="H26" i="98"/>
  <c r="F26" i="98"/>
  <c r="G26" i="98" s="1"/>
  <c r="A26" i="98"/>
  <c r="H25" i="98"/>
  <c r="F25" i="98"/>
  <c r="G25" i="98" s="1"/>
  <c r="A25" i="98"/>
  <c r="H24" i="98"/>
  <c r="F24" i="98"/>
  <c r="G24" i="98" s="1"/>
  <c r="A24" i="98"/>
  <c r="H23" i="98"/>
  <c r="F23" i="98"/>
  <c r="G23" i="98" s="1"/>
  <c r="A23" i="98"/>
  <c r="H22" i="98"/>
  <c r="F22" i="98"/>
  <c r="G22" i="98" s="1"/>
  <c r="A22" i="98"/>
  <c r="H21" i="98"/>
  <c r="F21" i="98"/>
  <c r="G21" i="98" s="1"/>
  <c r="A21" i="98"/>
  <c r="H20" i="98"/>
  <c r="F20" i="98"/>
  <c r="G20" i="98" s="1"/>
  <c r="A20" i="98"/>
  <c r="H19" i="98"/>
  <c r="F19" i="98"/>
  <c r="G19" i="98" s="1"/>
  <c r="A19" i="98"/>
  <c r="H18" i="98"/>
  <c r="F18" i="98"/>
  <c r="G18" i="98" s="1"/>
  <c r="A18" i="98"/>
  <c r="H17" i="98"/>
  <c r="F17" i="98"/>
  <c r="G17" i="98" s="1"/>
  <c r="A17" i="98"/>
  <c r="H16" i="98"/>
  <c r="F16" i="98"/>
  <c r="G16" i="98" s="1"/>
  <c r="A16" i="98"/>
  <c r="H15" i="98"/>
  <c r="F15" i="98"/>
  <c r="G15" i="98" s="1"/>
  <c r="A15" i="98"/>
  <c r="H14" i="98"/>
  <c r="F14" i="98"/>
  <c r="G14" i="98" s="1"/>
  <c r="A14" i="98"/>
  <c r="H13" i="98"/>
  <c r="F13" i="98"/>
  <c r="G13" i="98" s="1"/>
  <c r="A13" i="98"/>
  <c r="H12" i="98"/>
  <c r="F12" i="98"/>
  <c r="H11" i="98"/>
  <c r="F11" i="98"/>
  <c r="G11" i="98" s="1"/>
  <c r="H10" i="98"/>
  <c r="F10" i="98"/>
  <c r="H9" i="98"/>
  <c r="F9" i="98"/>
  <c r="H8" i="98"/>
  <c r="F8" i="98"/>
  <c r="H7" i="98"/>
  <c r="F7" i="98"/>
  <c r="H6" i="98"/>
  <c r="F6" i="98"/>
  <c r="H5" i="98"/>
  <c r="F5" i="98"/>
  <c r="G5" i="98" s="1"/>
  <c r="H4" i="98"/>
  <c r="F4" i="98"/>
  <c r="H3" i="98"/>
  <c r="F3" i="98"/>
  <c r="H160" i="97"/>
  <c r="F160" i="97"/>
  <c r="G160" i="97" s="1"/>
  <c r="A160" i="97"/>
  <c r="H159" i="97"/>
  <c r="F159" i="97"/>
  <c r="G159" i="97" s="1"/>
  <c r="A159" i="97"/>
  <c r="H158" i="97"/>
  <c r="G158" i="97"/>
  <c r="F158" i="97"/>
  <c r="A158" i="97"/>
  <c r="H157" i="97"/>
  <c r="G157" i="97" s="1"/>
  <c r="F157" i="97"/>
  <c r="A157" i="97"/>
  <c r="H156" i="97"/>
  <c r="F156" i="97"/>
  <c r="G156" i="97" s="1"/>
  <c r="A156" i="97"/>
  <c r="H155" i="97"/>
  <c r="F155" i="97"/>
  <c r="G155" i="97" s="1"/>
  <c r="A155" i="97"/>
  <c r="H154" i="97"/>
  <c r="G154" i="97"/>
  <c r="F154" i="97"/>
  <c r="A154" i="97"/>
  <c r="H153" i="97"/>
  <c r="G153" i="97" s="1"/>
  <c r="F153" i="97"/>
  <c r="A153" i="97"/>
  <c r="H152" i="97"/>
  <c r="F152" i="97"/>
  <c r="G152" i="97" s="1"/>
  <c r="A152" i="97"/>
  <c r="H151" i="97"/>
  <c r="F151" i="97"/>
  <c r="G151" i="97" s="1"/>
  <c r="A151" i="97"/>
  <c r="H150" i="97"/>
  <c r="G150" i="97"/>
  <c r="F150" i="97"/>
  <c r="A150" i="97"/>
  <c r="H149" i="97"/>
  <c r="G149" i="97" s="1"/>
  <c r="F149" i="97"/>
  <c r="A149" i="97"/>
  <c r="H148" i="97"/>
  <c r="F148" i="97"/>
  <c r="G148" i="97" s="1"/>
  <c r="A148" i="97"/>
  <c r="H147" i="97"/>
  <c r="F147" i="97"/>
  <c r="G147" i="97" s="1"/>
  <c r="A147" i="97"/>
  <c r="H146" i="97"/>
  <c r="G146" i="97"/>
  <c r="F146" i="97"/>
  <c r="A146" i="97"/>
  <c r="H145" i="97"/>
  <c r="G145" i="97" s="1"/>
  <c r="F145" i="97"/>
  <c r="A145" i="97"/>
  <c r="H144" i="97"/>
  <c r="F144" i="97"/>
  <c r="G144" i="97" s="1"/>
  <c r="A144" i="97"/>
  <c r="H143" i="97"/>
  <c r="F143" i="97"/>
  <c r="G143" i="97" s="1"/>
  <c r="A143" i="97"/>
  <c r="H142" i="97"/>
  <c r="G142" i="97"/>
  <c r="F142" i="97"/>
  <c r="A142" i="97"/>
  <c r="H141" i="97"/>
  <c r="G141" i="97" s="1"/>
  <c r="F141" i="97"/>
  <c r="A141" i="97"/>
  <c r="H140" i="97"/>
  <c r="F140" i="97"/>
  <c r="G140" i="97" s="1"/>
  <c r="A140" i="97"/>
  <c r="H139" i="97"/>
  <c r="F139" i="97"/>
  <c r="G139" i="97" s="1"/>
  <c r="A139" i="97"/>
  <c r="H138" i="97"/>
  <c r="G138" i="97"/>
  <c r="F138" i="97"/>
  <c r="A138" i="97"/>
  <c r="H137" i="97"/>
  <c r="G137" i="97" s="1"/>
  <c r="F137" i="97"/>
  <c r="A137" i="97"/>
  <c r="H136" i="97"/>
  <c r="F136" i="97"/>
  <c r="G136" i="97" s="1"/>
  <c r="A136" i="97"/>
  <c r="H135" i="97"/>
  <c r="F135" i="97"/>
  <c r="G135" i="97" s="1"/>
  <c r="A135" i="97"/>
  <c r="H134" i="97"/>
  <c r="G134" i="97"/>
  <c r="F134" i="97"/>
  <c r="A134" i="97"/>
  <c r="H133" i="97"/>
  <c r="G133" i="97" s="1"/>
  <c r="F133" i="97"/>
  <c r="A133" i="97"/>
  <c r="H132" i="97"/>
  <c r="F132" i="97"/>
  <c r="G132" i="97" s="1"/>
  <c r="A132" i="97"/>
  <c r="H131" i="97"/>
  <c r="F131" i="97"/>
  <c r="G131" i="97" s="1"/>
  <c r="A131" i="97"/>
  <c r="H130" i="97"/>
  <c r="G130" i="97"/>
  <c r="F130" i="97"/>
  <c r="A130" i="97"/>
  <c r="H129" i="97"/>
  <c r="G129" i="97" s="1"/>
  <c r="F129" i="97"/>
  <c r="A129" i="97"/>
  <c r="H128" i="97"/>
  <c r="F128" i="97"/>
  <c r="G128" i="97" s="1"/>
  <c r="A128" i="97"/>
  <c r="H127" i="97"/>
  <c r="F127" i="97"/>
  <c r="G127" i="97" s="1"/>
  <c r="A127" i="97"/>
  <c r="H126" i="97"/>
  <c r="G126" i="97"/>
  <c r="F126" i="97"/>
  <c r="A126" i="97"/>
  <c r="H125" i="97"/>
  <c r="G125" i="97" s="1"/>
  <c r="F125" i="97"/>
  <c r="A125" i="97"/>
  <c r="H124" i="97"/>
  <c r="F124" i="97"/>
  <c r="G124" i="97" s="1"/>
  <c r="A124" i="97"/>
  <c r="H123" i="97"/>
  <c r="F123" i="97"/>
  <c r="G123" i="97" s="1"/>
  <c r="A123" i="97"/>
  <c r="H122" i="97"/>
  <c r="G122" i="97"/>
  <c r="F122" i="97"/>
  <c r="A122" i="97"/>
  <c r="H121" i="97"/>
  <c r="G121" i="97" s="1"/>
  <c r="F121" i="97"/>
  <c r="A121" i="97"/>
  <c r="H120" i="97"/>
  <c r="F120" i="97"/>
  <c r="G120" i="97" s="1"/>
  <c r="A120" i="97"/>
  <c r="H119" i="97"/>
  <c r="F119" i="97"/>
  <c r="G119" i="97" s="1"/>
  <c r="A119" i="97"/>
  <c r="H118" i="97"/>
  <c r="G118" i="97"/>
  <c r="F118" i="97"/>
  <c r="A118" i="97"/>
  <c r="H117" i="97"/>
  <c r="G117" i="97" s="1"/>
  <c r="F117" i="97"/>
  <c r="A117" i="97"/>
  <c r="H116" i="97"/>
  <c r="F116" i="97"/>
  <c r="G116" i="97" s="1"/>
  <c r="A116" i="97"/>
  <c r="H115" i="97"/>
  <c r="F115" i="97"/>
  <c r="G115" i="97" s="1"/>
  <c r="A115" i="97"/>
  <c r="H114" i="97"/>
  <c r="G114" i="97"/>
  <c r="F114" i="97"/>
  <c r="A114" i="97"/>
  <c r="H113" i="97"/>
  <c r="G113" i="97" s="1"/>
  <c r="F113" i="97"/>
  <c r="A113" i="97"/>
  <c r="H112" i="97"/>
  <c r="F112" i="97"/>
  <c r="G112" i="97" s="1"/>
  <c r="A112" i="97"/>
  <c r="H111" i="97"/>
  <c r="F111" i="97"/>
  <c r="G111" i="97" s="1"/>
  <c r="A111" i="97"/>
  <c r="H110" i="97"/>
  <c r="G110" i="97"/>
  <c r="F110" i="97"/>
  <c r="A110" i="97"/>
  <c r="H109" i="97"/>
  <c r="G109" i="97" s="1"/>
  <c r="F109" i="97"/>
  <c r="A109" i="97"/>
  <c r="H108" i="97"/>
  <c r="F108" i="97"/>
  <c r="G108" i="97" s="1"/>
  <c r="A108" i="97"/>
  <c r="H107" i="97"/>
  <c r="F107" i="97"/>
  <c r="G107" i="97" s="1"/>
  <c r="A107" i="97"/>
  <c r="H106" i="97"/>
  <c r="G106" i="97"/>
  <c r="F106" i="97"/>
  <c r="A106" i="97"/>
  <c r="H105" i="97"/>
  <c r="G105" i="97" s="1"/>
  <c r="F105" i="97"/>
  <c r="A105" i="97"/>
  <c r="H104" i="97"/>
  <c r="F104" i="97"/>
  <c r="G104" i="97" s="1"/>
  <c r="A104" i="97"/>
  <c r="H103" i="97"/>
  <c r="F103" i="97"/>
  <c r="G103" i="97" s="1"/>
  <c r="A103" i="97"/>
  <c r="H102" i="97"/>
  <c r="G102" i="97"/>
  <c r="F102" i="97"/>
  <c r="A102" i="97"/>
  <c r="H101" i="97"/>
  <c r="G101" i="97" s="1"/>
  <c r="F101" i="97"/>
  <c r="A101" i="97"/>
  <c r="H100" i="97"/>
  <c r="F100" i="97"/>
  <c r="G100" i="97" s="1"/>
  <c r="A100" i="97"/>
  <c r="H99" i="97"/>
  <c r="F99" i="97"/>
  <c r="G99" i="97" s="1"/>
  <c r="A99" i="97"/>
  <c r="H98" i="97"/>
  <c r="G98" i="97"/>
  <c r="F98" i="97"/>
  <c r="A98" i="97"/>
  <c r="H97" i="97"/>
  <c r="G97" i="97" s="1"/>
  <c r="F97" i="97"/>
  <c r="A97" i="97"/>
  <c r="H96" i="97"/>
  <c r="F96" i="97"/>
  <c r="G96" i="97" s="1"/>
  <c r="A96" i="97"/>
  <c r="H95" i="97"/>
  <c r="F95" i="97"/>
  <c r="G95" i="97" s="1"/>
  <c r="A95" i="97"/>
  <c r="H94" i="97"/>
  <c r="G94" i="97"/>
  <c r="F94" i="97"/>
  <c r="A94" i="97"/>
  <c r="H93" i="97"/>
  <c r="G93" i="97" s="1"/>
  <c r="F93" i="97"/>
  <c r="A93" i="97"/>
  <c r="H92" i="97"/>
  <c r="F92" i="97"/>
  <c r="G92" i="97" s="1"/>
  <c r="A92" i="97"/>
  <c r="H91" i="97"/>
  <c r="F91" i="97"/>
  <c r="G91" i="97" s="1"/>
  <c r="A91" i="97"/>
  <c r="H90" i="97"/>
  <c r="G90" i="97"/>
  <c r="F90" i="97"/>
  <c r="A90" i="97"/>
  <c r="H89" i="97"/>
  <c r="G89" i="97" s="1"/>
  <c r="F89" i="97"/>
  <c r="A89" i="97"/>
  <c r="H88" i="97"/>
  <c r="F88" i="97"/>
  <c r="G88" i="97" s="1"/>
  <c r="A88" i="97"/>
  <c r="H87" i="97"/>
  <c r="F87" i="97"/>
  <c r="G87" i="97" s="1"/>
  <c r="A87" i="97"/>
  <c r="H86" i="97"/>
  <c r="G86" i="97"/>
  <c r="F86" i="97"/>
  <c r="A86" i="97"/>
  <c r="H85" i="97"/>
  <c r="G85" i="97" s="1"/>
  <c r="F85" i="97"/>
  <c r="A85" i="97"/>
  <c r="H84" i="97"/>
  <c r="F84" i="97"/>
  <c r="G84" i="97" s="1"/>
  <c r="A84" i="97"/>
  <c r="H83" i="97"/>
  <c r="F83" i="97"/>
  <c r="G83" i="97" s="1"/>
  <c r="A83" i="97"/>
  <c r="H82" i="97"/>
  <c r="G82" i="97"/>
  <c r="F82" i="97"/>
  <c r="A82" i="97"/>
  <c r="H81" i="97"/>
  <c r="G81" i="97" s="1"/>
  <c r="F81" i="97"/>
  <c r="A81" i="97"/>
  <c r="H80" i="97"/>
  <c r="F80" i="97"/>
  <c r="G80" i="97" s="1"/>
  <c r="A80" i="97"/>
  <c r="H79" i="97"/>
  <c r="F79" i="97"/>
  <c r="G79" i="97" s="1"/>
  <c r="A79" i="97"/>
  <c r="H78" i="97"/>
  <c r="G78" i="97"/>
  <c r="F78" i="97"/>
  <c r="A78" i="97"/>
  <c r="H77" i="97"/>
  <c r="G77" i="97" s="1"/>
  <c r="F77" i="97"/>
  <c r="A77" i="97"/>
  <c r="H76" i="97"/>
  <c r="F76" i="97"/>
  <c r="G76" i="97" s="1"/>
  <c r="A76" i="97"/>
  <c r="H75" i="97"/>
  <c r="F75" i="97"/>
  <c r="G75" i="97" s="1"/>
  <c r="A75" i="97"/>
  <c r="H74" i="97"/>
  <c r="G74" i="97"/>
  <c r="F74" i="97"/>
  <c r="A74" i="97"/>
  <c r="H73" i="97"/>
  <c r="G73" i="97" s="1"/>
  <c r="F73" i="97"/>
  <c r="A73" i="97"/>
  <c r="H72" i="97"/>
  <c r="F72" i="97"/>
  <c r="G72" i="97" s="1"/>
  <c r="A72" i="97"/>
  <c r="H71" i="97"/>
  <c r="F71" i="97"/>
  <c r="G71" i="97" s="1"/>
  <c r="A71" i="97"/>
  <c r="H70" i="97"/>
  <c r="G70" i="97"/>
  <c r="F70" i="97"/>
  <c r="A70" i="97"/>
  <c r="H69" i="97"/>
  <c r="G69" i="97" s="1"/>
  <c r="F69" i="97"/>
  <c r="A69" i="97"/>
  <c r="H68" i="97"/>
  <c r="F68" i="97"/>
  <c r="G68" i="97" s="1"/>
  <c r="A68" i="97"/>
  <c r="H67" i="97"/>
  <c r="F67" i="97"/>
  <c r="G67" i="97" s="1"/>
  <c r="A67" i="97"/>
  <c r="H66" i="97"/>
  <c r="G66" i="97"/>
  <c r="F66" i="97"/>
  <c r="A66" i="97"/>
  <c r="H65" i="97"/>
  <c r="G65" i="97" s="1"/>
  <c r="F65" i="97"/>
  <c r="A65" i="97"/>
  <c r="H64" i="97"/>
  <c r="F64" i="97"/>
  <c r="G64" i="97" s="1"/>
  <c r="A64" i="97"/>
  <c r="H63" i="97"/>
  <c r="F63" i="97"/>
  <c r="G63" i="97" s="1"/>
  <c r="A63" i="97"/>
  <c r="H62" i="97"/>
  <c r="G62" i="97"/>
  <c r="F62" i="97"/>
  <c r="A62" i="97"/>
  <c r="H61" i="97"/>
  <c r="G61" i="97" s="1"/>
  <c r="F61" i="97"/>
  <c r="A61" i="97"/>
  <c r="H60" i="97"/>
  <c r="F60" i="97"/>
  <c r="G60" i="97" s="1"/>
  <c r="A60" i="97"/>
  <c r="H59" i="97"/>
  <c r="F59" i="97"/>
  <c r="G59" i="97" s="1"/>
  <c r="A59" i="97"/>
  <c r="H58" i="97"/>
  <c r="G58" i="97"/>
  <c r="F58" i="97"/>
  <c r="A58" i="97"/>
  <c r="H57" i="97"/>
  <c r="G57" i="97" s="1"/>
  <c r="F57" i="97"/>
  <c r="A57" i="97"/>
  <c r="H56" i="97"/>
  <c r="F56" i="97"/>
  <c r="G56" i="97" s="1"/>
  <c r="A56" i="97"/>
  <c r="H55" i="97"/>
  <c r="F55" i="97"/>
  <c r="G55" i="97" s="1"/>
  <c r="A55" i="97"/>
  <c r="H54" i="97"/>
  <c r="G54" i="97"/>
  <c r="F54" i="97"/>
  <c r="A54" i="97"/>
  <c r="H53" i="97"/>
  <c r="G53" i="97" s="1"/>
  <c r="F53" i="97"/>
  <c r="A53" i="97"/>
  <c r="H52" i="97"/>
  <c r="F52" i="97"/>
  <c r="G52" i="97" s="1"/>
  <c r="A52" i="97"/>
  <c r="H51" i="97"/>
  <c r="F51" i="97"/>
  <c r="G51" i="97" s="1"/>
  <c r="A51" i="97"/>
  <c r="H50" i="97"/>
  <c r="G50" i="97"/>
  <c r="F50" i="97"/>
  <c r="A50" i="97"/>
  <c r="H49" i="97"/>
  <c r="G49" i="97" s="1"/>
  <c r="F49" i="97"/>
  <c r="A49" i="97"/>
  <c r="H48" i="97"/>
  <c r="F48" i="97"/>
  <c r="G48" i="97" s="1"/>
  <c r="A48" i="97"/>
  <c r="H47" i="97"/>
  <c r="F47" i="97"/>
  <c r="G47" i="97" s="1"/>
  <c r="A47" i="97"/>
  <c r="H46" i="97"/>
  <c r="G46" i="97"/>
  <c r="F46" i="97"/>
  <c r="A46" i="97"/>
  <c r="H45" i="97"/>
  <c r="G45" i="97" s="1"/>
  <c r="F45" i="97"/>
  <c r="A45" i="97"/>
  <c r="H44" i="97"/>
  <c r="F44" i="97"/>
  <c r="G44" i="97" s="1"/>
  <c r="A44" i="97"/>
  <c r="H43" i="97"/>
  <c r="F43" i="97"/>
  <c r="G43" i="97" s="1"/>
  <c r="A43" i="97"/>
  <c r="H42" i="97"/>
  <c r="G42" i="97"/>
  <c r="F42" i="97"/>
  <c r="A42" i="97"/>
  <c r="H41" i="97"/>
  <c r="G41" i="97" s="1"/>
  <c r="F41" i="97"/>
  <c r="A41" i="97"/>
  <c r="H40" i="97"/>
  <c r="F40" i="97"/>
  <c r="G40" i="97" s="1"/>
  <c r="A40" i="97"/>
  <c r="H39" i="97"/>
  <c r="F39" i="97"/>
  <c r="G39" i="97" s="1"/>
  <c r="A39" i="97"/>
  <c r="H38" i="97"/>
  <c r="G38" i="97"/>
  <c r="F38" i="97"/>
  <c r="A38" i="97"/>
  <c r="H37" i="97"/>
  <c r="G37" i="97" s="1"/>
  <c r="F37" i="97"/>
  <c r="A37" i="97"/>
  <c r="H36" i="97"/>
  <c r="F36" i="97"/>
  <c r="G36" i="97" s="1"/>
  <c r="A36" i="97"/>
  <c r="H35" i="97"/>
  <c r="F35" i="97"/>
  <c r="G35" i="97" s="1"/>
  <c r="A35" i="97"/>
  <c r="H34" i="97"/>
  <c r="G34" i="97"/>
  <c r="F34" i="97"/>
  <c r="A34" i="97"/>
  <c r="H33" i="97"/>
  <c r="G33" i="97" s="1"/>
  <c r="F33" i="97"/>
  <c r="A33" i="97"/>
  <c r="H32" i="97"/>
  <c r="F32" i="97"/>
  <c r="G32" i="97" s="1"/>
  <c r="A32" i="97"/>
  <c r="H31" i="97"/>
  <c r="F31" i="97"/>
  <c r="G31" i="97" s="1"/>
  <c r="A31" i="97"/>
  <c r="H30" i="97"/>
  <c r="G30" i="97"/>
  <c r="F30" i="97"/>
  <c r="A30" i="97"/>
  <c r="H29" i="97"/>
  <c r="G29" i="97" s="1"/>
  <c r="F29" i="97"/>
  <c r="A29" i="97"/>
  <c r="H28" i="97"/>
  <c r="F28" i="97"/>
  <c r="G28" i="97" s="1"/>
  <c r="H27" i="97"/>
  <c r="F27" i="97"/>
  <c r="G27" i="97" s="1"/>
  <c r="H26" i="97"/>
  <c r="F26" i="97"/>
  <c r="H25" i="97"/>
  <c r="F25" i="97"/>
  <c r="H24" i="97"/>
  <c r="F24" i="97"/>
  <c r="H23" i="97"/>
  <c r="F23" i="97"/>
  <c r="H22" i="97"/>
  <c r="F22" i="97"/>
  <c r="H21" i="97"/>
  <c r="F21" i="97"/>
  <c r="H20" i="97"/>
  <c r="F20" i="97"/>
  <c r="H19" i="97"/>
  <c r="F19" i="97"/>
  <c r="H18" i="97"/>
  <c r="F18" i="97"/>
  <c r="H17" i="97"/>
  <c r="F17" i="97"/>
  <c r="H16" i="97"/>
  <c r="F16" i="97"/>
  <c r="H15" i="97"/>
  <c r="F15" i="97"/>
  <c r="H14" i="97"/>
  <c r="F14" i="97"/>
  <c r="G14" i="97" s="1"/>
  <c r="H13" i="97"/>
  <c r="F13" i="97"/>
  <c r="H12" i="97"/>
  <c r="F12" i="97"/>
  <c r="H11" i="97"/>
  <c r="F11" i="97"/>
  <c r="H10" i="97"/>
  <c r="F10" i="97"/>
  <c r="H9" i="97"/>
  <c r="F9" i="97"/>
  <c r="H8" i="97"/>
  <c r="F8" i="97"/>
  <c r="H7" i="97"/>
  <c r="F7" i="97"/>
  <c r="H6" i="97"/>
  <c r="F6" i="97"/>
  <c r="H5" i="97"/>
  <c r="F5" i="97"/>
  <c r="H4" i="97"/>
  <c r="F4" i="97"/>
  <c r="H3" i="97"/>
  <c r="F3" i="97"/>
  <c r="H160" i="96"/>
  <c r="F160" i="96"/>
  <c r="G160" i="96" s="1"/>
  <c r="A160" i="96"/>
  <c r="H159" i="96"/>
  <c r="G159" i="96"/>
  <c r="F159" i="96"/>
  <c r="A159" i="96"/>
  <c r="H158" i="96"/>
  <c r="F158" i="96"/>
  <c r="G158" i="96" s="1"/>
  <c r="A158" i="96"/>
  <c r="H157" i="96"/>
  <c r="G157" i="96"/>
  <c r="F157" i="96"/>
  <c r="A157" i="96"/>
  <c r="H156" i="96"/>
  <c r="F156" i="96"/>
  <c r="G156" i="96" s="1"/>
  <c r="A156" i="96"/>
  <c r="H155" i="96"/>
  <c r="G155" i="96"/>
  <c r="F155" i="96"/>
  <c r="A155" i="96"/>
  <c r="H154" i="96"/>
  <c r="F154" i="96"/>
  <c r="G154" i="96" s="1"/>
  <c r="A154" i="96"/>
  <c r="H153" i="96"/>
  <c r="G153" i="96"/>
  <c r="F153" i="96"/>
  <c r="A153" i="96"/>
  <c r="H152" i="96"/>
  <c r="F152" i="96"/>
  <c r="G152" i="96" s="1"/>
  <c r="A152" i="96"/>
  <c r="H151" i="96"/>
  <c r="G151" i="96"/>
  <c r="F151" i="96"/>
  <c r="A151" i="96"/>
  <c r="H150" i="96"/>
  <c r="F150" i="96"/>
  <c r="G150" i="96" s="1"/>
  <c r="A150" i="96"/>
  <c r="H149" i="96"/>
  <c r="G149" i="96"/>
  <c r="F149" i="96"/>
  <c r="A149" i="96"/>
  <c r="H148" i="96"/>
  <c r="F148" i="96"/>
  <c r="G148" i="96" s="1"/>
  <c r="A148" i="96"/>
  <c r="H147" i="96"/>
  <c r="G147" i="96"/>
  <c r="F147" i="96"/>
  <c r="A147" i="96"/>
  <c r="H146" i="96"/>
  <c r="F146" i="96"/>
  <c r="G146" i="96" s="1"/>
  <c r="A146" i="96"/>
  <c r="H145" i="96"/>
  <c r="G145" i="96"/>
  <c r="F145" i="96"/>
  <c r="A145" i="96"/>
  <c r="H144" i="96"/>
  <c r="F144" i="96"/>
  <c r="G144" i="96" s="1"/>
  <c r="A144" i="96"/>
  <c r="H143" i="96"/>
  <c r="G143" i="96"/>
  <c r="F143" i="96"/>
  <c r="A143" i="96"/>
  <c r="H142" i="96"/>
  <c r="F142" i="96"/>
  <c r="G142" i="96" s="1"/>
  <c r="A142" i="96"/>
  <c r="H141" i="96"/>
  <c r="G141" i="96"/>
  <c r="F141" i="96"/>
  <c r="A141" i="96"/>
  <c r="H140" i="96"/>
  <c r="F140" i="96"/>
  <c r="G140" i="96" s="1"/>
  <c r="A140" i="96"/>
  <c r="H139" i="96"/>
  <c r="G139" i="96"/>
  <c r="F139" i="96"/>
  <c r="A139" i="96"/>
  <c r="H138" i="96"/>
  <c r="F138" i="96"/>
  <c r="G138" i="96" s="1"/>
  <c r="A138" i="96"/>
  <c r="H137" i="96"/>
  <c r="G137" i="96"/>
  <c r="F137" i="96"/>
  <c r="A137" i="96"/>
  <c r="H136" i="96"/>
  <c r="F136" i="96"/>
  <c r="G136" i="96" s="1"/>
  <c r="A136" i="96"/>
  <c r="H135" i="96"/>
  <c r="G135" i="96"/>
  <c r="F135" i="96"/>
  <c r="A135" i="96"/>
  <c r="H134" i="96"/>
  <c r="F134" i="96"/>
  <c r="G134" i="96" s="1"/>
  <c r="A134" i="96"/>
  <c r="H133" i="96"/>
  <c r="G133" i="96"/>
  <c r="F133" i="96"/>
  <c r="A133" i="96"/>
  <c r="H132" i="96"/>
  <c r="F132" i="96"/>
  <c r="G132" i="96" s="1"/>
  <c r="A132" i="96"/>
  <c r="H131" i="96"/>
  <c r="G131" i="96"/>
  <c r="F131" i="96"/>
  <c r="A131" i="96"/>
  <c r="H130" i="96"/>
  <c r="F130" i="96"/>
  <c r="G130" i="96" s="1"/>
  <c r="A130" i="96"/>
  <c r="H129" i="96"/>
  <c r="G129" i="96"/>
  <c r="F129" i="96"/>
  <c r="A129" i="96"/>
  <c r="H128" i="96"/>
  <c r="F128" i="96"/>
  <c r="G128" i="96" s="1"/>
  <c r="A128" i="96"/>
  <c r="H127" i="96"/>
  <c r="G127" i="96"/>
  <c r="F127" i="96"/>
  <c r="A127" i="96"/>
  <c r="H126" i="96"/>
  <c r="F126" i="96"/>
  <c r="G126" i="96" s="1"/>
  <c r="A126" i="96"/>
  <c r="H125" i="96"/>
  <c r="G125" i="96"/>
  <c r="F125" i="96"/>
  <c r="A125" i="96"/>
  <c r="H124" i="96"/>
  <c r="F124" i="96"/>
  <c r="G124" i="96" s="1"/>
  <c r="A124" i="96"/>
  <c r="H123" i="96"/>
  <c r="G123" i="96"/>
  <c r="F123" i="96"/>
  <c r="A123" i="96"/>
  <c r="H122" i="96"/>
  <c r="F122" i="96"/>
  <c r="G122" i="96" s="1"/>
  <c r="A122" i="96"/>
  <c r="H121" i="96"/>
  <c r="G121" i="96"/>
  <c r="F121" i="96"/>
  <c r="A121" i="96"/>
  <c r="H120" i="96"/>
  <c r="F120" i="96"/>
  <c r="G120" i="96" s="1"/>
  <c r="A120" i="96"/>
  <c r="H119" i="96"/>
  <c r="G119" i="96"/>
  <c r="F119" i="96"/>
  <c r="A119" i="96"/>
  <c r="H118" i="96"/>
  <c r="F118" i="96"/>
  <c r="G118" i="96" s="1"/>
  <c r="A118" i="96"/>
  <c r="H117" i="96"/>
  <c r="G117" i="96"/>
  <c r="F117" i="96"/>
  <c r="A117" i="96"/>
  <c r="H116" i="96"/>
  <c r="F116" i="96"/>
  <c r="G116" i="96" s="1"/>
  <c r="A116" i="96"/>
  <c r="H115" i="96"/>
  <c r="G115" i="96"/>
  <c r="F115" i="96"/>
  <c r="A115" i="96"/>
  <c r="H114" i="96"/>
  <c r="F114" i="96"/>
  <c r="G114" i="96" s="1"/>
  <c r="A114" i="96"/>
  <c r="H113" i="96"/>
  <c r="G113" i="96"/>
  <c r="F113" i="96"/>
  <c r="A113" i="96"/>
  <c r="H112" i="96"/>
  <c r="F112" i="96"/>
  <c r="G112" i="96" s="1"/>
  <c r="A112" i="96"/>
  <c r="H111" i="96"/>
  <c r="G111" i="96"/>
  <c r="F111" i="96"/>
  <c r="A111" i="96"/>
  <c r="H110" i="96"/>
  <c r="F110" i="96"/>
  <c r="G110" i="96" s="1"/>
  <c r="A110" i="96"/>
  <c r="H109" i="96"/>
  <c r="G109" i="96"/>
  <c r="F109" i="96"/>
  <c r="A109" i="96"/>
  <c r="H108" i="96"/>
  <c r="F108" i="96"/>
  <c r="G108" i="96" s="1"/>
  <c r="A108" i="96"/>
  <c r="H107" i="96"/>
  <c r="G107" i="96"/>
  <c r="F107" i="96"/>
  <c r="A107" i="96"/>
  <c r="H106" i="96"/>
  <c r="F106" i="96"/>
  <c r="G106" i="96" s="1"/>
  <c r="A106" i="96"/>
  <c r="H105" i="96"/>
  <c r="G105" i="96"/>
  <c r="F105" i="96"/>
  <c r="A105" i="96"/>
  <c r="H104" i="96"/>
  <c r="F104" i="96"/>
  <c r="G104" i="96" s="1"/>
  <c r="A104" i="96"/>
  <c r="H103" i="96"/>
  <c r="G103" i="96"/>
  <c r="F103" i="96"/>
  <c r="A103" i="96"/>
  <c r="H102" i="96"/>
  <c r="F102" i="96"/>
  <c r="G102" i="96" s="1"/>
  <c r="A102" i="96"/>
  <c r="H101" i="96"/>
  <c r="G101" i="96"/>
  <c r="F101" i="96"/>
  <c r="A101" i="96"/>
  <c r="H100" i="96"/>
  <c r="F100" i="96"/>
  <c r="G100" i="96" s="1"/>
  <c r="A100" i="96"/>
  <c r="H99" i="96"/>
  <c r="G99" i="96"/>
  <c r="F99" i="96"/>
  <c r="A99" i="96"/>
  <c r="H98" i="96"/>
  <c r="F98" i="96"/>
  <c r="G98" i="96" s="1"/>
  <c r="A98" i="96"/>
  <c r="H97" i="96"/>
  <c r="G97" i="96"/>
  <c r="F97" i="96"/>
  <c r="A97" i="96"/>
  <c r="H96" i="96"/>
  <c r="F96" i="96"/>
  <c r="G96" i="96" s="1"/>
  <c r="A96" i="96"/>
  <c r="H95" i="96"/>
  <c r="G95" i="96"/>
  <c r="F95" i="96"/>
  <c r="A95" i="96"/>
  <c r="H94" i="96"/>
  <c r="F94" i="96"/>
  <c r="G94" i="96" s="1"/>
  <c r="A94" i="96"/>
  <c r="H93" i="96"/>
  <c r="G93" i="96"/>
  <c r="F93" i="96"/>
  <c r="A93" i="96"/>
  <c r="H92" i="96"/>
  <c r="F92" i="96"/>
  <c r="G92" i="96" s="1"/>
  <c r="A92" i="96"/>
  <c r="H91" i="96"/>
  <c r="G91" i="96"/>
  <c r="F91" i="96"/>
  <c r="A91" i="96"/>
  <c r="H90" i="96"/>
  <c r="F90" i="96"/>
  <c r="G90" i="96" s="1"/>
  <c r="A90" i="96"/>
  <c r="H89" i="96"/>
  <c r="G89" i="96"/>
  <c r="F89" i="96"/>
  <c r="A89" i="96"/>
  <c r="H88" i="96"/>
  <c r="F88" i="96"/>
  <c r="G88" i="96" s="1"/>
  <c r="A88" i="96"/>
  <c r="H87" i="96"/>
  <c r="G87" i="96"/>
  <c r="F87" i="96"/>
  <c r="A87" i="96"/>
  <c r="H86" i="96"/>
  <c r="F86" i="96"/>
  <c r="G86" i="96" s="1"/>
  <c r="A86" i="96"/>
  <c r="H85" i="96"/>
  <c r="G85" i="96"/>
  <c r="F85" i="96"/>
  <c r="A85" i="96"/>
  <c r="H84" i="96"/>
  <c r="F84" i="96"/>
  <c r="G84" i="96" s="1"/>
  <c r="A84" i="96"/>
  <c r="H83" i="96"/>
  <c r="G83" i="96"/>
  <c r="F83" i="96"/>
  <c r="A83" i="96"/>
  <c r="H82" i="96"/>
  <c r="F82" i="96"/>
  <c r="G82" i="96" s="1"/>
  <c r="A82" i="96"/>
  <c r="H81" i="96"/>
  <c r="G81" i="96"/>
  <c r="F81" i="96"/>
  <c r="A81" i="96"/>
  <c r="H80" i="96"/>
  <c r="F80" i="96"/>
  <c r="G80" i="96" s="1"/>
  <c r="A80" i="96"/>
  <c r="H79" i="96"/>
  <c r="G79" i="96"/>
  <c r="F79" i="96"/>
  <c r="A79" i="96"/>
  <c r="H78" i="96"/>
  <c r="F78" i="96"/>
  <c r="G78" i="96" s="1"/>
  <c r="A78" i="96"/>
  <c r="H77" i="96"/>
  <c r="G77" i="96"/>
  <c r="F77" i="96"/>
  <c r="A77" i="96"/>
  <c r="H76" i="96"/>
  <c r="F76" i="96"/>
  <c r="G76" i="96" s="1"/>
  <c r="A76" i="96"/>
  <c r="H75" i="96"/>
  <c r="G75" i="96"/>
  <c r="F75" i="96"/>
  <c r="A75" i="96"/>
  <c r="H74" i="96"/>
  <c r="F74" i="96"/>
  <c r="G74" i="96" s="1"/>
  <c r="A74" i="96"/>
  <c r="H73" i="96"/>
  <c r="G73" i="96"/>
  <c r="F73" i="96"/>
  <c r="A73" i="96"/>
  <c r="H72" i="96"/>
  <c r="F72" i="96"/>
  <c r="G72" i="96" s="1"/>
  <c r="A72" i="96"/>
  <c r="H71" i="96"/>
  <c r="G71" i="96"/>
  <c r="F71" i="96"/>
  <c r="A71" i="96"/>
  <c r="H70" i="96"/>
  <c r="F70" i="96"/>
  <c r="G70" i="96" s="1"/>
  <c r="A70" i="96"/>
  <c r="H69" i="96"/>
  <c r="G69" i="96"/>
  <c r="F69" i="96"/>
  <c r="A69" i="96"/>
  <c r="H68" i="96"/>
  <c r="F68" i="96"/>
  <c r="G68" i="96" s="1"/>
  <c r="A68" i="96"/>
  <c r="H67" i="96"/>
  <c r="G67" i="96" s="1"/>
  <c r="F67" i="96"/>
  <c r="A67" i="96"/>
  <c r="H66" i="96"/>
  <c r="F66" i="96"/>
  <c r="G66" i="96" s="1"/>
  <c r="A66" i="96"/>
  <c r="H65" i="96"/>
  <c r="G65" i="96" s="1"/>
  <c r="F65" i="96"/>
  <c r="A65" i="96"/>
  <c r="H64" i="96"/>
  <c r="F64" i="96"/>
  <c r="G64" i="96" s="1"/>
  <c r="A64" i="96"/>
  <c r="H63" i="96"/>
  <c r="G63" i="96" s="1"/>
  <c r="F63" i="96"/>
  <c r="A63" i="96"/>
  <c r="H62" i="96"/>
  <c r="F62" i="96"/>
  <c r="G62" i="96" s="1"/>
  <c r="A62" i="96"/>
  <c r="H61" i="96"/>
  <c r="G61" i="96" s="1"/>
  <c r="F61" i="96"/>
  <c r="A61" i="96"/>
  <c r="H60" i="96"/>
  <c r="F60" i="96"/>
  <c r="G60" i="96" s="1"/>
  <c r="A60" i="96"/>
  <c r="H59" i="96"/>
  <c r="G59" i="96" s="1"/>
  <c r="F59" i="96"/>
  <c r="A59" i="96"/>
  <c r="H58" i="96"/>
  <c r="F58" i="96"/>
  <c r="G58" i="96" s="1"/>
  <c r="A58" i="96"/>
  <c r="H57" i="96"/>
  <c r="G57" i="96" s="1"/>
  <c r="F57" i="96"/>
  <c r="A57" i="96"/>
  <c r="H56" i="96"/>
  <c r="F56" i="96"/>
  <c r="G56" i="96" s="1"/>
  <c r="A56" i="96"/>
  <c r="H55" i="96"/>
  <c r="G55" i="96" s="1"/>
  <c r="F55" i="96"/>
  <c r="A55" i="96"/>
  <c r="H54" i="96"/>
  <c r="F54" i="96"/>
  <c r="G54" i="96" s="1"/>
  <c r="A54" i="96"/>
  <c r="H53" i="96"/>
  <c r="G53" i="96" s="1"/>
  <c r="F53" i="96"/>
  <c r="A53" i="96"/>
  <c r="H52" i="96"/>
  <c r="F52" i="96"/>
  <c r="G52" i="96" s="1"/>
  <c r="A52" i="96"/>
  <c r="H51" i="96"/>
  <c r="G51" i="96" s="1"/>
  <c r="F51" i="96"/>
  <c r="A51" i="96"/>
  <c r="H50" i="96"/>
  <c r="F50" i="96"/>
  <c r="G50" i="96" s="1"/>
  <c r="A50" i="96"/>
  <c r="H49" i="96"/>
  <c r="G49" i="96" s="1"/>
  <c r="F49" i="96"/>
  <c r="A49" i="96"/>
  <c r="H48" i="96"/>
  <c r="F48" i="96"/>
  <c r="G48" i="96" s="1"/>
  <c r="A48" i="96"/>
  <c r="H47" i="96"/>
  <c r="G47" i="96" s="1"/>
  <c r="F47" i="96"/>
  <c r="A47" i="96"/>
  <c r="H46" i="96"/>
  <c r="F46" i="96"/>
  <c r="G46" i="96" s="1"/>
  <c r="A46" i="96"/>
  <c r="H45" i="96"/>
  <c r="G45" i="96" s="1"/>
  <c r="F45" i="96"/>
  <c r="A45" i="96"/>
  <c r="H44" i="96"/>
  <c r="F44" i="96"/>
  <c r="G44" i="96" s="1"/>
  <c r="A44" i="96"/>
  <c r="H43" i="96"/>
  <c r="G43" i="96" s="1"/>
  <c r="F43" i="96"/>
  <c r="A43" i="96"/>
  <c r="H42" i="96"/>
  <c r="F42" i="96"/>
  <c r="G42" i="96" s="1"/>
  <c r="A42" i="96"/>
  <c r="H41" i="96"/>
  <c r="G41" i="96" s="1"/>
  <c r="F41" i="96"/>
  <c r="A41" i="96"/>
  <c r="H40" i="96"/>
  <c r="F40" i="96"/>
  <c r="G40" i="96" s="1"/>
  <c r="A40" i="96"/>
  <c r="H39" i="96"/>
  <c r="G39" i="96" s="1"/>
  <c r="F39" i="96"/>
  <c r="A39" i="96"/>
  <c r="H38" i="96"/>
  <c r="F38" i="96"/>
  <c r="G38" i="96" s="1"/>
  <c r="A38" i="96"/>
  <c r="H37" i="96"/>
  <c r="G37" i="96" s="1"/>
  <c r="F37" i="96"/>
  <c r="A37" i="96"/>
  <c r="H36" i="96"/>
  <c r="F36" i="96"/>
  <c r="G36" i="96" s="1"/>
  <c r="A36" i="96"/>
  <c r="H35" i="96"/>
  <c r="G35" i="96" s="1"/>
  <c r="F35" i="96"/>
  <c r="A35" i="96"/>
  <c r="H34" i="96"/>
  <c r="F34" i="96"/>
  <c r="G34" i="96" s="1"/>
  <c r="A34" i="96"/>
  <c r="H33" i="96"/>
  <c r="G33" i="96" s="1"/>
  <c r="F33" i="96"/>
  <c r="A33" i="96"/>
  <c r="H32" i="96"/>
  <c r="F32" i="96"/>
  <c r="G32" i="96" s="1"/>
  <c r="A32" i="96"/>
  <c r="H31" i="96"/>
  <c r="G31" i="96" s="1"/>
  <c r="F31" i="96"/>
  <c r="A31" i="96"/>
  <c r="H30" i="96"/>
  <c r="F30" i="96"/>
  <c r="G30" i="96" s="1"/>
  <c r="A30" i="96"/>
  <c r="H29" i="96"/>
  <c r="G29" i="96" s="1"/>
  <c r="F29" i="96"/>
  <c r="A29" i="96"/>
  <c r="H28" i="96"/>
  <c r="F28" i="96"/>
  <c r="G28" i="96" s="1"/>
  <c r="A28" i="96"/>
  <c r="H27" i="96"/>
  <c r="F27" i="96"/>
  <c r="H26" i="96"/>
  <c r="F26" i="96"/>
  <c r="H25" i="96"/>
  <c r="F25" i="96"/>
  <c r="H24" i="96"/>
  <c r="F24" i="96"/>
  <c r="G24" i="96" s="1"/>
  <c r="H23" i="96"/>
  <c r="F23" i="96"/>
  <c r="H22" i="96"/>
  <c r="F22" i="96"/>
  <c r="H21" i="96"/>
  <c r="F21" i="96"/>
  <c r="H20" i="96"/>
  <c r="F20" i="96"/>
  <c r="H19" i="96"/>
  <c r="F19" i="96"/>
  <c r="H18" i="96"/>
  <c r="F18" i="96"/>
  <c r="G18" i="96" s="1"/>
  <c r="H17" i="96"/>
  <c r="F17" i="96"/>
  <c r="H16" i="96"/>
  <c r="F16" i="96"/>
  <c r="H15" i="96"/>
  <c r="F15" i="96"/>
  <c r="H14" i="96"/>
  <c r="F14" i="96"/>
  <c r="H13" i="96"/>
  <c r="F13" i="96"/>
  <c r="H12" i="96"/>
  <c r="F12" i="96"/>
  <c r="H11" i="96"/>
  <c r="G11" i="96" s="1"/>
  <c r="F11" i="96"/>
  <c r="H10" i="96"/>
  <c r="F10" i="96"/>
  <c r="H9" i="96"/>
  <c r="F9" i="96"/>
  <c r="H8" i="96"/>
  <c r="F8" i="96"/>
  <c r="H7" i="96"/>
  <c r="F7" i="96"/>
  <c r="H6" i="96"/>
  <c r="F6" i="96"/>
  <c r="H5" i="96"/>
  <c r="F5" i="96"/>
  <c r="H4" i="96"/>
  <c r="F4" i="96"/>
  <c r="H3" i="96"/>
  <c r="F3" i="96"/>
  <c r="H160" i="95"/>
  <c r="F160" i="95"/>
  <c r="G160" i="95" s="1"/>
  <c r="A160" i="95"/>
  <c r="H159" i="95"/>
  <c r="F159" i="95"/>
  <c r="G159" i="95" s="1"/>
  <c r="A159" i="95"/>
  <c r="H158" i="95"/>
  <c r="F158" i="95"/>
  <c r="G158" i="95" s="1"/>
  <c r="A158" i="95"/>
  <c r="H157" i="95"/>
  <c r="G157" i="95"/>
  <c r="F157" i="95"/>
  <c r="A157" i="95"/>
  <c r="H156" i="95"/>
  <c r="F156" i="95"/>
  <c r="G156" i="95" s="1"/>
  <c r="A156" i="95"/>
  <c r="H155" i="95"/>
  <c r="F155" i="95"/>
  <c r="G155" i="95" s="1"/>
  <c r="A155" i="95"/>
  <c r="H154" i="95"/>
  <c r="F154" i="95"/>
  <c r="G154" i="95" s="1"/>
  <c r="A154" i="95"/>
  <c r="H153" i="95"/>
  <c r="G153" i="95"/>
  <c r="F153" i="95"/>
  <c r="A153" i="95"/>
  <c r="H152" i="95"/>
  <c r="F152" i="95"/>
  <c r="G152" i="95" s="1"/>
  <c r="A152" i="95"/>
  <c r="H151" i="95"/>
  <c r="F151" i="95"/>
  <c r="G151" i="95" s="1"/>
  <c r="A151" i="95"/>
  <c r="H150" i="95"/>
  <c r="F150" i="95"/>
  <c r="G150" i="95" s="1"/>
  <c r="A150" i="95"/>
  <c r="H149" i="95"/>
  <c r="G149" i="95"/>
  <c r="F149" i="95"/>
  <c r="A149" i="95"/>
  <c r="H148" i="95"/>
  <c r="F148" i="95"/>
  <c r="G148" i="95" s="1"/>
  <c r="A148" i="95"/>
  <c r="H147" i="95"/>
  <c r="F147" i="95"/>
  <c r="G147" i="95" s="1"/>
  <c r="A147" i="95"/>
  <c r="H146" i="95"/>
  <c r="F146" i="95"/>
  <c r="G146" i="95" s="1"/>
  <c r="A146" i="95"/>
  <c r="H145" i="95"/>
  <c r="G145" i="95"/>
  <c r="F145" i="95"/>
  <c r="A145" i="95"/>
  <c r="H144" i="95"/>
  <c r="F144" i="95"/>
  <c r="G144" i="95" s="1"/>
  <c r="A144" i="95"/>
  <c r="H143" i="95"/>
  <c r="F143" i="95"/>
  <c r="G143" i="95" s="1"/>
  <c r="A143" i="95"/>
  <c r="H142" i="95"/>
  <c r="F142" i="95"/>
  <c r="G142" i="95" s="1"/>
  <c r="A142" i="95"/>
  <c r="H141" i="95"/>
  <c r="G141" i="95"/>
  <c r="F141" i="95"/>
  <c r="A141" i="95"/>
  <c r="H140" i="95"/>
  <c r="F140" i="95"/>
  <c r="G140" i="95" s="1"/>
  <c r="A140" i="95"/>
  <c r="H139" i="95"/>
  <c r="F139" i="95"/>
  <c r="G139" i="95" s="1"/>
  <c r="A139" i="95"/>
  <c r="H138" i="95"/>
  <c r="F138" i="95"/>
  <c r="G138" i="95" s="1"/>
  <c r="A138" i="95"/>
  <c r="H137" i="95"/>
  <c r="G137" i="95"/>
  <c r="F137" i="95"/>
  <c r="A137" i="95"/>
  <c r="H136" i="95"/>
  <c r="F136" i="95"/>
  <c r="G136" i="95" s="1"/>
  <c r="A136" i="95"/>
  <c r="H135" i="95"/>
  <c r="F135" i="95"/>
  <c r="G135" i="95" s="1"/>
  <c r="A135" i="95"/>
  <c r="H134" i="95"/>
  <c r="F134" i="95"/>
  <c r="G134" i="95" s="1"/>
  <c r="A134" i="95"/>
  <c r="H133" i="95"/>
  <c r="G133" i="95"/>
  <c r="F133" i="95"/>
  <c r="A133" i="95"/>
  <c r="H132" i="95"/>
  <c r="F132" i="95"/>
  <c r="G132" i="95" s="1"/>
  <c r="A132" i="95"/>
  <c r="H131" i="95"/>
  <c r="F131" i="95"/>
  <c r="G131" i="95" s="1"/>
  <c r="A131" i="95"/>
  <c r="H130" i="95"/>
  <c r="F130" i="95"/>
  <c r="G130" i="95" s="1"/>
  <c r="A130" i="95"/>
  <c r="H129" i="95"/>
  <c r="G129" i="95"/>
  <c r="F129" i="95"/>
  <c r="A129" i="95"/>
  <c r="H128" i="95"/>
  <c r="F128" i="95"/>
  <c r="G128" i="95" s="1"/>
  <c r="A128" i="95"/>
  <c r="H127" i="95"/>
  <c r="F127" i="95"/>
  <c r="G127" i="95" s="1"/>
  <c r="A127" i="95"/>
  <c r="H126" i="95"/>
  <c r="F126" i="95"/>
  <c r="G126" i="95" s="1"/>
  <c r="A126" i="95"/>
  <c r="H125" i="95"/>
  <c r="G125" i="95"/>
  <c r="F125" i="95"/>
  <c r="A125" i="95"/>
  <c r="H124" i="95"/>
  <c r="F124" i="95"/>
  <c r="G124" i="95" s="1"/>
  <c r="A124" i="95"/>
  <c r="H123" i="95"/>
  <c r="F123" i="95"/>
  <c r="G123" i="95" s="1"/>
  <c r="A123" i="95"/>
  <c r="H122" i="95"/>
  <c r="F122" i="95"/>
  <c r="G122" i="95" s="1"/>
  <c r="A122" i="95"/>
  <c r="H121" i="95"/>
  <c r="G121" i="95"/>
  <c r="F121" i="95"/>
  <c r="A121" i="95"/>
  <c r="H120" i="95"/>
  <c r="F120" i="95"/>
  <c r="G120" i="95" s="1"/>
  <c r="A120" i="95"/>
  <c r="H119" i="95"/>
  <c r="F119" i="95"/>
  <c r="G119" i="95" s="1"/>
  <c r="A119" i="95"/>
  <c r="H118" i="95"/>
  <c r="F118" i="95"/>
  <c r="G118" i="95" s="1"/>
  <c r="A118" i="95"/>
  <c r="H117" i="95"/>
  <c r="G117" i="95"/>
  <c r="F117" i="95"/>
  <c r="A117" i="95"/>
  <c r="H116" i="95"/>
  <c r="F116" i="95"/>
  <c r="G116" i="95" s="1"/>
  <c r="A116" i="95"/>
  <c r="H115" i="95"/>
  <c r="F115" i="95"/>
  <c r="G115" i="95" s="1"/>
  <c r="A115" i="95"/>
  <c r="H114" i="95"/>
  <c r="F114" i="95"/>
  <c r="G114" i="95" s="1"/>
  <c r="A114" i="95"/>
  <c r="H113" i="95"/>
  <c r="G113" i="95"/>
  <c r="F113" i="95"/>
  <c r="A113" i="95"/>
  <c r="H112" i="95"/>
  <c r="F112" i="95"/>
  <c r="G112" i="95" s="1"/>
  <c r="A112" i="95"/>
  <c r="H111" i="95"/>
  <c r="F111" i="95"/>
  <c r="G111" i="95" s="1"/>
  <c r="A111" i="95"/>
  <c r="H110" i="95"/>
  <c r="F110" i="95"/>
  <c r="G110" i="95" s="1"/>
  <c r="A110" i="95"/>
  <c r="H109" i="95"/>
  <c r="G109" i="95"/>
  <c r="F109" i="95"/>
  <c r="A109" i="95"/>
  <c r="H108" i="95"/>
  <c r="F108" i="95"/>
  <c r="G108" i="95" s="1"/>
  <c r="A108" i="95"/>
  <c r="H107" i="95"/>
  <c r="F107" i="95"/>
  <c r="G107" i="95" s="1"/>
  <c r="A107" i="95"/>
  <c r="H106" i="95"/>
  <c r="F106" i="95"/>
  <c r="G106" i="95" s="1"/>
  <c r="A106" i="95"/>
  <c r="H105" i="95"/>
  <c r="G105" i="95"/>
  <c r="F105" i="95"/>
  <c r="A105" i="95"/>
  <c r="H104" i="95"/>
  <c r="F104" i="95"/>
  <c r="G104" i="95" s="1"/>
  <c r="A104" i="95"/>
  <c r="H103" i="95"/>
  <c r="F103" i="95"/>
  <c r="G103" i="95" s="1"/>
  <c r="A103" i="95"/>
  <c r="H102" i="95"/>
  <c r="F102" i="95"/>
  <c r="G102" i="95" s="1"/>
  <c r="A102" i="95"/>
  <c r="H101" i="95"/>
  <c r="G101" i="95"/>
  <c r="F101" i="95"/>
  <c r="A101" i="95"/>
  <c r="H100" i="95"/>
  <c r="F100" i="95"/>
  <c r="G100" i="95" s="1"/>
  <c r="A100" i="95"/>
  <c r="H99" i="95"/>
  <c r="F99" i="95"/>
  <c r="G99" i="95" s="1"/>
  <c r="A99" i="95"/>
  <c r="H98" i="95"/>
  <c r="F98" i="95"/>
  <c r="G98" i="95" s="1"/>
  <c r="A98" i="95"/>
  <c r="H97" i="95"/>
  <c r="G97" i="95"/>
  <c r="F97" i="95"/>
  <c r="A97" i="95"/>
  <c r="H96" i="95"/>
  <c r="F96" i="95"/>
  <c r="G96" i="95" s="1"/>
  <c r="A96" i="95"/>
  <c r="H95" i="95"/>
  <c r="F95" i="95"/>
  <c r="G95" i="95" s="1"/>
  <c r="A95" i="95"/>
  <c r="H94" i="95"/>
  <c r="F94" i="95"/>
  <c r="G94" i="95" s="1"/>
  <c r="A94" i="95"/>
  <c r="H93" i="95"/>
  <c r="G93" i="95"/>
  <c r="F93" i="95"/>
  <c r="A93" i="95"/>
  <c r="H92" i="95"/>
  <c r="F92" i="95"/>
  <c r="G92" i="95" s="1"/>
  <c r="A92" i="95"/>
  <c r="H91" i="95"/>
  <c r="F91" i="95"/>
  <c r="G91" i="95" s="1"/>
  <c r="A91" i="95"/>
  <c r="H90" i="95"/>
  <c r="F90" i="95"/>
  <c r="G90" i="95" s="1"/>
  <c r="A90" i="95"/>
  <c r="H89" i="95"/>
  <c r="G89" i="95"/>
  <c r="F89" i="95"/>
  <c r="A89" i="95"/>
  <c r="H88" i="95"/>
  <c r="F88" i="95"/>
  <c r="G88" i="95" s="1"/>
  <c r="A88" i="95"/>
  <c r="H87" i="95"/>
  <c r="F87" i="95"/>
  <c r="G87" i="95" s="1"/>
  <c r="A87" i="95"/>
  <c r="H86" i="95"/>
  <c r="F86" i="95"/>
  <c r="G86" i="95" s="1"/>
  <c r="A86" i="95"/>
  <c r="H85" i="95"/>
  <c r="G85" i="95"/>
  <c r="F85" i="95"/>
  <c r="A85" i="95"/>
  <c r="H84" i="95"/>
  <c r="F84" i="95"/>
  <c r="G84" i="95" s="1"/>
  <c r="A84" i="95"/>
  <c r="H83" i="95"/>
  <c r="F83" i="95"/>
  <c r="G83" i="95" s="1"/>
  <c r="A83" i="95"/>
  <c r="H82" i="95"/>
  <c r="F82" i="95"/>
  <c r="G82" i="95" s="1"/>
  <c r="A82" i="95"/>
  <c r="H81" i="95"/>
  <c r="G81" i="95"/>
  <c r="F81" i="95"/>
  <c r="A81" i="95"/>
  <c r="H80" i="95"/>
  <c r="F80" i="95"/>
  <c r="G80" i="95" s="1"/>
  <c r="A80" i="95"/>
  <c r="H79" i="95"/>
  <c r="F79" i="95"/>
  <c r="G79" i="95" s="1"/>
  <c r="A79" i="95"/>
  <c r="H78" i="95"/>
  <c r="F78" i="95"/>
  <c r="G78" i="95" s="1"/>
  <c r="A78" i="95"/>
  <c r="H77" i="95"/>
  <c r="G77" i="95"/>
  <c r="F77" i="95"/>
  <c r="A77" i="95"/>
  <c r="H76" i="95"/>
  <c r="F76" i="95"/>
  <c r="G76" i="95" s="1"/>
  <c r="A76" i="95"/>
  <c r="H75" i="95"/>
  <c r="F75" i="95"/>
  <c r="G75" i="95" s="1"/>
  <c r="A75" i="95"/>
  <c r="H74" i="95"/>
  <c r="F74" i="95"/>
  <c r="G74" i="95" s="1"/>
  <c r="A74" i="95"/>
  <c r="H73" i="95"/>
  <c r="G73" i="95"/>
  <c r="F73" i="95"/>
  <c r="A73" i="95"/>
  <c r="H72" i="95"/>
  <c r="F72" i="95"/>
  <c r="G72" i="95" s="1"/>
  <c r="A72" i="95"/>
  <c r="H71" i="95"/>
  <c r="F71" i="95"/>
  <c r="G71" i="95" s="1"/>
  <c r="A71" i="95"/>
  <c r="H70" i="95"/>
  <c r="F70" i="95"/>
  <c r="G70" i="95" s="1"/>
  <c r="A70" i="95"/>
  <c r="H69" i="95"/>
  <c r="G69" i="95"/>
  <c r="F69" i="95"/>
  <c r="A69" i="95"/>
  <c r="H68" i="95"/>
  <c r="F68" i="95"/>
  <c r="G68" i="95" s="1"/>
  <c r="A68" i="95"/>
  <c r="H67" i="95"/>
  <c r="F67" i="95"/>
  <c r="G67" i="95" s="1"/>
  <c r="A67" i="95"/>
  <c r="H66" i="95"/>
  <c r="F66" i="95"/>
  <c r="G66" i="95" s="1"/>
  <c r="A66" i="95"/>
  <c r="H65" i="95"/>
  <c r="G65" i="95"/>
  <c r="F65" i="95"/>
  <c r="A65" i="95"/>
  <c r="H64" i="95"/>
  <c r="F64" i="95"/>
  <c r="G64" i="95" s="1"/>
  <c r="A64" i="95"/>
  <c r="H63" i="95"/>
  <c r="F63" i="95"/>
  <c r="G63" i="95" s="1"/>
  <c r="A63" i="95"/>
  <c r="H62" i="95"/>
  <c r="F62" i="95"/>
  <c r="G62" i="95" s="1"/>
  <c r="A62" i="95"/>
  <c r="H61" i="95"/>
  <c r="G61" i="95"/>
  <c r="F61" i="95"/>
  <c r="A61" i="95"/>
  <c r="H60" i="95"/>
  <c r="F60" i="95"/>
  <c r="G60" i="95" s="1"/>
  <c r="A60" i="95"/>
  <c r="H59" i="95"/>
  <c r="F59" i="95"/>
  <c r="G59" i="95" s="1"/>
  <c r="A59" i="95"/>
  <c r="H58" i="95"/>
  <c r="F58" i="95"/>
  <c r="G58" i="95" s="1"/>
  <c r="A58" i="95"/>
  <c r="H57" i="95"/>
  <c r="G57" i="95"/>
  <c r="F57" i="95"/>
  <c r="A57" i="95"/>
  <c r="H56" i="95"/>
  <c r="F56" i="95"/>
  <c r="G56" i="95" s="1"/>
  <c r="A56" i="95"/>
  <c r="H55" i="95"/>
  <c r="F55" i="95"/>
  <c r="G55" i="95" s="1"/>
  <c r="A55" i="95"/>
  <c r="H54" i="95"/>
  <c r="F54" i="95"/>
  <c r="G54" i="95" s="1"/>
  <c r="A54" i="95"/>
  <c r="H53" i="95"/>
  <c r="G53" i="95"/>
  <c r="F53" i="95"/>
  <c r="A53" i="95"/>
  <c r="H52" i="95"/>
  <c r="F52" i="95"/>
  <c r="G52" i="95" s="1"/>
  <c r="A52" i="95"/>
  <c r="H51" i="95"/>
  <c r="F51" i="95"/>
  <c r="G51" i="95" s="1"/>
  <c r="A51" i="95"/>
  <c r="H50" i="95"/>
  <c r="F50" i="95"/>
  <c r="G50" i="95" s="1"/>
  <c r="A50" i="95"/>
  <c r="H49" i="95"/>
  <c r="G49" i="95"/>
  <c r="F49" i="95"/>
  <c r="A49" i="95"/>
  <c r="H48" i="95"/>
  <c r="F48" i="95"/>
  <c r="G48" i="95" s="1"/>
  <c r="A48" i="95"/>
  <c r="H47" i="95"/>
  <c r="F47" i="95"/>
  <c r="G47" i="95" s="1"/>
  <c r="A47" i="95"/>
  <c r="H46" i="95"/>
  <c r="F46" i="95"/>
  <c r="G46" i="95" s="1"/>
  <c r="A46" i="95"/>
  <c r="H45" i="95"/>
  <c r="G45" i="95"/>
  <c r="F45" i="95"/>
  <c r="A45" i="95"/>
  <c r="H44" i="95"/>
  <c r="F44" i="95"/>
  <c r="G44" i="95" s="1"/>
  <c r="A44" i="95"/>
  <c r="H43" i="95"/>
  <c r="F43" i="95"/>
  <c r="G43" i="95" s="1"/>
  <c r="A43" i="95"/>
  <c r="H42" i="95"/>
  <c r="F42" i="95"/>
  <c r="G42" i="95" s="1"/>
  <c r="A42" i="95"/>
  <c r="H41" i="95"/>
  <c r="G41" i="95"/>
  <c r="F41" i="95"/>
  <c r="A41" i="95"/>
  <c r="H40" i="95"/>
  <c r="F40" i="95"/>
  <c r="G40" i="95" s="1"/>
  <c r="A40" i="95"/>
  <c r="H39" i="95"/>
  <c r="F39" i="95"/>
  <c r="G39" i="95" s="1"/>
  <c r="A39" i="95"/>
  <c r="H38" i="95"/>
  <c r="F38" i="95"/>
  <c r="G38" i="95" s="1"/>
  <c r="A38" i="95"/>
  <c r="H37" i="95"/>
  <c r="G37" i="95"/>
  <c r="F37" i="95"/>
  <c r="A37" i="95"/>
  <c r="H36" i="95"/>
  <c r="F36" i="95"/>
  <c r="G36" i="95" s="1"/>
  <c r="A36" i="95"/>
  <c r="H35" i="95"/>
  <c r="F35" i="95"/>
  <c r="G35" i="95" s="1"/>
  <c r="A35" i="95"/>
  <c r="H34" i="95"/>
  <c r="F34" i="95"/>
  <c r="G34" i="95" s="1"/>
  <c r="A34" i="95"/>
  <c r="H33" i="95"/>
  <c r="G33" i="95"/>
  <c r="F33" i="95"/>
  <c r="A33" i="95"/>
  <c r="H32" i="95"/>
  <c r="F32" i="95"/>
  <c r="G32" i="95" s="1"/>
  <c r="A32" i="95"/>
  <c r="H31" i="95"/>
  <c r="F31" i="95"/>
  <c r="G31" i="95" s="1"/>
  <c r="A31" i="95"/>
  <c r="H30" i="95"/>
  <c r="F30" i="95"/>
  <c r="G30" i="95" s="1"/>
  <c r="A30" i="95"/>
  <c r="H29" i="95"/>
  <c r="G29" i="95"/>
  <c r="F29" i="95"/>
  <c r="A29" i="95"/>
  <c r="H28" i="95"/>
  <c r="F28" i="95"/>
  <c r="G28" i="95" s="1"/>
  <c r="A28" i="95"/>
  <c r="H27" i="95"/>
  <c r="F27" i="95"/>
  <c r="H26" i="95"/>
  <c r="F26" i="95"/>
  <c r="H25" i="95"/>
  <c r="F25" i="95"/>
  <c r="G25" i="95" s="1"/>
  <c r="H24" i="95"/>
  <c r="F24" i="95"/>
  <c r="H23" i="95"/>
  <c r="F23" i="95"/>
  <c r="H22" i="95"/>
  <c r="F22" i="95"/>
  <c r="H21" i="95"/>
  <c r="F21" i="95"/>
  <c r="H20" i="95"/>
  <c r="F20" i="95"/>
  <c r="H19" i="95"/>
  <c r="F19" i="95"/>
  <c r="H18" i="95"/>
  <c r="F18" i="95"/>
  <c r="H17" i="95"/>
  <c r="F17" i="95"/>
  <c r="H16" i="95"/>
  <c r="F16" i="95"/>
  <c r="H15" i="95"/>
  <c r="F15" i="95"/>
  <c r="G15" i="95" s="1"/>
  <c r="H14" i="95"/>
  <c r="F14" i="95"/>
  <c r="G14" i="95" s="1"/>
  <c r="H13" i="95"/>
  <c r="F13" i="95"/>
  <c r="H12" i="95"/>
  <c r="F12" i="95"/>
  <c r="G12" i="95" s="1"/>
  <c r="H11" i="95"/>
  <c r="F11" i="95"/>
  <c r="H10" i="95"/>
  <c r="F10" i="95"/>
  <c r="H9" i="95"/>
  <c r="F9" i="95"/>
  <c r="H8" i="95"/>
  <c r="F8" i="95"/>
  <c r="H7" i="95"/>
  <c r="F7" i="95"/>
  <c r="H6" i="95"/>
  <c r="F6" i="95"/>
  <c r="H5" i="95"/>
  <c r="F5" i="95"/>
  <c r="H4" i="95"/>
  <c r="F4" i="95"/>
  <c r="H3" i="95"/>
  <c r="F3" i="95"/>
  <c r="H36" i="94"/>
  <c r="F36" i="94"/>
  <c r="A36" i="94"/>
  <c r="H35" i="94"/>
  <c r="F35" i="94"/>
  <c r="A35" i="94"/>
  <c r="H34" i="94"/>
  <c r="F34" i="94"/>
  <c r="A34" i="94"/>
  <c r="H33" i="94"/>
  <c r="F33" i="94"/>
  <c r="A33" i="94"/>
  <c r="H32" i="94"/>
  <c r="F32" i="94"/>
  <c r="G32" i="94" s="1"/>
  <c r="A32" i="94"/>
  <c r="H31" i="94"/>
  <c r="F31" i="94"/>
  <c r="A31" i="94"/>
  <c r="H30" i="94"/>
  <c r="F30" i="94"/>
  <c r="G30" i="94" s="1"/>
  <c r="A30" i="94"/>
  <c r="H29" i="94"/>
  <c r="F29" i="94"/>
  <c r="A29" i="94"/>
  <c r="H28" i="94"/>
  <c r="F28" i="94"/>
  <c r="G28" i="94" s="1"/>
  <c r="A28" i="94"/>
  <c r="H27" i="94"/>
  <c r="F27" i="94"/>
  <c r="H26" i="94"/>
  <c r="F26" i="94"/>
  <c r="H25" i="94"/>
  <c r="F25" i="94"/>
  <c r="H24" i="94"/>
  <c r="F24" i="94"/>
  <c r="H23" i="94"/>
  <c r="F23" i="94"/>
  <c r="H22" i="94"/>
  <c r="F22" i="94"/>
  <c r="G22" i="94" s="1"/>
  <c r="H21" i="94"/>
  <c r="F21" i="94"/>
  <c r="H20" i="94"/>
  <c r="F20" i="94"/>
  <c r="G20" i="94" s="1"/>
  <c r="H19" i="94"/>
  <c r="F19" i="94"/>
  <c r="H18" i="94"/>
  <c r="F18" i="94"/>
  <c r="H17" i="94"/>
  <c r="F17" i="94"/>
  <c r="H16" i="94"/>
  <c r="F16" i="94"/>
  <c r="H15" i="94"/>
  <c r="F15" i="94"/>
  <c r="H14" i="94"/>
  <c r="F14" i="94"/>
  <c r="H13" i="94"/>
  <c r="F13" i="94"/>
  <c r="H12" i="94"/>
  <c r="F12" i="94"/>
  <c r="H11" i="94"/>
  <c r="F11" i="94"/>
  <c r="H10" i="94"/>
  <c r="F10" i="94"/>
  <c r="H9" i="94"/>
  <c r="G9" i="94" s="1"/>
  <c r="F9" i="94"/>
  <c r="H8" i="94"/>
  <c r="F8" i="94"/>
  <c r="H7" i="94"/>
  <c r="F7" i="94"/>
  <c r="H6" i="94"/>
  <c r="F6" i="94"/>
  <c r="H5" i="94"/>
  <c r="F5" i="94"/>
  <c r="H4" i="94"/>
  <c r="F4" i="94"/>
  <c r="H3" i="94"/>
  <c r="F3" i="94"/>
  <c r="H160" i="93"/>
  <c r="F160" i="93"/>
  <c r="G160" i="93" s="1"/>
  <c r="A160" i="93"/>
  <c r="H159" i="93"/>
  <c r="G159" i="93" s="1"/>
  <c r="F159" i="93"/>
  <c r="A159" i="93"/>
  <c r="H158" i="93"/>
  <c r="F158" i="93"/>
  <c r="G158" i="93" s="1"/>
  <c r="A158" i="93"/>
  <c r="H157" i="93"/>
  <c r="G157" i="93" s="1"/>
  <c r="F157" i="93"/>
  <c r="A157" i="93"/>
  <c r="H156" i="93"/>
  <c r="F156" i="93"/>
  <c r="G156" i="93" s="1"/>
  <c r="A156" i="93"/>
  <c r="H155" i="93"/>
  <c r="G155" i="93" s="1"/>
  <c r="F155" i="93"/>
  <c r="A155" i="93"/>
  <c r="H154" i="93"/>
  <c r="F154" i="93"/>
  <c r="G154" i="93" s="1"/>
  <c r="A154" i="93"/>
  <c r="H153" i="93"/>
  <c r="G153" i="93" s="1"/>
  <c r="F153" i="93"/>
  <c r="A153" i="93"/>
  <c r="H152" i="93"/>
  <c r="F152" i="93"/>
  <c r="G152" i="93" s="1"/>
  <c r="A152" i="93"/>
  <c r="H151" i="93"/>
  <c r="G151" i="93" s="1"/>
  <c r="F151" i="93"/>
  <c r="A151" i="93"/>
  <c r="H150" i="93"/>
  <c r="F150" i="93"/>
  <c r="G150" i="93" s="1"/>
  <c r="A150" i="93"/>
  <c r="H149" i="93"/>
  <c r="G149" i="93" s="1"/>
  <c r="F149" i="93"/>
  <c r="A149" i="93"/>
  <c r="H148" i="93"/>
  <c r="F148" i="93"/>
  <c r="G148" i="93" s="1"/>
  <c r="A148" i="93"/>
  <c r="H147" i="93"/>
  <c r="G147" i="93" s="1"/>
  <c r="F147" i="93"/>
  <c r="A147" i="93"/>
  <c r="H146" i="93"/>
  <c r="F146" i="93"/>
  <c r="G146" i="93" s="1"/>
  <c r="A146" i="93"/>
  <c r="H145" i="93"/>
  <c r="G145" i="93" s="1"/>
  <c r="F145" i="93"/>
  <c r="A145" i="93"/>
  <c r="H144" i="93"/>
  <c r="F144" i="93"/>
  <c r="G144" i="93" s="1"/>
  <c r="A144" i="93"/>
  <c r="H143" i="93"/>
  <c r="G143" i="93" s="1"/>
  <c r="F143" i="93"/>
  <c r="A143" i="93"/>
  <c r="H142" i="93"/>
  <c r="F142" i="93"/>
  <c r="G142" i="93" s="1"/>
  <c r="A142" i="93"/>
  <c r="H141" i="93"/>
  <c r="G141" i="93" s="1"/>
  <c r="F141" i="93"/>
  <c r="A141" i="93"/>
  <c r="H140" i="93"/>
  <c r="F140" i="93"/>
  <c r="G140" i="93" s="1"/>
  <c r="A140" i="93"/>
  <c r="H139" i="93"/>
  <c r="G139" i="93" s="1"/>
  <c r="F139" i="93"/>
  <c r="A139" i="93"/>
  <c r="H138" i="93"/>
  <c r="F138" i="93"/>
  <c r="G138" i="93" s="1"/>
  <c r="A138" i="93"/>
  <c r="H137" i="93"/>
  <c r="G137" i="93" s="1"/>
  <c r="F137" i="93"/>
  <c r="A137" i="93"/>
  <c r="H136" i="93"/>
  <c r="F136" i="93"/>
  <c r="G136" i="93" s="1"/>
  <c r="A136" i="93"/>
  <c r="H135" i="93"/>
  <c r="G135" i="93" s="1"/>
  <c r="F135" i="93"/>
  <c r="A135" i="93"/>
  <c r="H134" i="93"/>
  <c r="F134" i="93"/>
  <c r="G134" i="93" s="1"/>
  <c r="A134" i="93"/>
  <c r="H133" i="93"/>
  <c r="G133" i="93" s="1"/>
  <c r="F133" i="93"/>
  <c r="A133" i="93"/>
  <c r="H132" i="93"/>
  <c r="F132" i="93"/>
  <c r="G132" i="93" s="1"/>
  <c r="A132" i="93"/>
  <c r="H131" i="93"/>
  <c r="G131" i="93" s="1"/>
  <c r="F131" i="93"/>
  <c r="A131" i="93"/>
  <c r="H130" i="93"/>
  <c r="F130" i="93"/>
  <c r="G130" i="93" s="1"/>
  <c r="A130" i="93"/>
  <c r="H129" i="93"/>
  <c r="G129" i="93" s="1"/>
  <c r="F129" i="93"/>
  <c r="A129" i="93"/>
  <c r="H128" i="93"/>
  <c r="F128" i="93"/>
  <c r="G128" i="93" s="1"/>
  <c r="A128" i="93"/>
  <c r="H127" i="93"/>
  <c r="G127" i="93" s="1"/>
  <c r="F127" i="93"/>
  <c r="A127" i="93"/>
  <c r="H126" i="93"/>
  <c r="F126" i="93"/>
  <c r="G126" i="93" s="1"/>
  <c r="A126" i="93"/>
  <c r="H125" i="93"/>
  <c r="G125" i="93" s="1"/>
  <c r="F125" i="93"/>
  <c r="A125" i="93"/>
  <c r="H124" i="93"/>
  <c r="F124" i="93"/>
  <c r="G124" i="93" s="1"/>
  <c r="A124" i="93"/>
  <c r="H123" i="93"/>
  <c r="G123" i="93" s="1"/>
  <c r="F123" i="93"/>
  <c r="A123" i="93"/>
  <c r="H122" i="93"/>
  <c r="F122" i="93"/>
  <c r="G122" i="93" s="1"/>
  <c r="A122" i="93"/>
  <c r="H121" i="93"/>
  <c r="G121" i="93" s="1"/>
  <c r="F121" i="93"/>
  <c r="A121" i="93"/>
  <c r="H120" i="93"/>
  <c r="F120" i="93"/>
  <c r="G120" i="93" s="1"/>
  <c r="A120" i="93"/>
  <c r="H119" i="93"/>
  <c r="G119" i="93" s="1"/>
  <c r="F119" i="93"/>
  <c r="A119" i="93"/>
  <c r="H118" i="93"/>
  <c r="F118" i="93"/>
  <c r="G118" i="93" s="1"/>
  <c r="A118" i="93"/>
  <c r="H117" i="93"/>
  <c r="G117" i="93" s="1"/>
  <c r="F117" i="93"/>
  <c r="A117" i="93"/>
  <c r="H116" i="93"/>
  <c r="F116" i="93"/>
  <c r="G116" i="93" s="1"/>
  <c r="A116" i="93"/>
  <c r="H115" i="93"/>
  <c r="G115" i="93" s="1"/>
  <c r="F115" i="93"/>
  <c r="A115" i="93"/>
  <c r="H114" i="93"/>
  <c r="F114" i="93"/>
  <c r="G114" i="93" s="1"/>
  <c r="A114" i="93"/>
  <c r="H113" i="93"/>
  <c r="G113" i="93" s="1"/>
  <c r="F113" i="93"/>
  <c r="A113" i="93"/>
  <c r="H112" i="93"/>
  <c r="F112" i="93"/>
  <c r="G112" i="93" s="1"/>
  <c r="A112" i="93"/>
  <c r="H111" i="93"/>
  <c r="G111" i="93" s="1"/>
  <c r="F111" i="93"/>
  <c r="A111" i="93"/>
  <c r="H110" i="93"/>
  <c r="F110" i="93"/>
  <c r="G110" i="93" s="1"/>
  <c r="A110" i="93"/>
  <c r="H109" i="93"/>
  <c r="G109" i="93" s="1"/>
  <c r="F109" i="93"/>
  <c r="A109" i="93"/>
  <c r="H108" i="93"/>
  <c r="F108" i="93"/>
  <c r="G108" i="93" s="1"/>
  <c r="A108" i="93"/>
  <c r="H107" i="93"/>
  <c r="G107" i="93" s="1"/>
  <c r="F107" i="93"/>
  <c r="A107" i="93"/>
  <c r="H106" i="93"/>
  <c r="F106" i="93"/>
  <c r="G106" i="93" s="1"/>
  <c r="A106" i="93"/>
  <c r="H105" i="93"/>
  <c r="G105" i="93" s="1"/>
  <c r="F105" i="93"/>
  <c r="A105" i="93"/>
  <c r="H104" i="93"/>
  <c r="F104" i="93"/>
  <c r="G104" i="93" s="1"/>
  <c r="A104" i="93"/>
  <c r="H103" i="93"/>
  <c r="G103" i="93" s="1"/>
  <c r="F103" i="93"/>
  <c r="A103" i="93"/>
  <c r="H102" i="93"/>
  <c r="F102" i="93"/>
  <c r="G102" i="93" s="1"/>
  <c r="A102" i="93"/>
  <c r="H101" i="93"/>
  <c r="G101" i="93" s="1"/>
  <c r="F101" i="93"/>
  <c r="A101" i="93"/>
  <c r="H100" i="93"/>
  <c r="F100" i="93"/>
  <c r="G100" i="93" s="1"/>
  <c r="A100" i="93"/>
  <c r="H99" i="93"/>
  <c r="G99" i="93" s="1"/>
  <c r="F99" i="93"/>
  <c r="A99" i="93"/>
  <c r="H98" i="93"/>
  <c r="F98" i="93"/>
  <c r="G98" i="93" s="1"/>
  <c r="A98" i="93"/>
  <c r="H97" i="93"/>
  <c r="G97" i="93" s="1"/>
  <c r="F97" i="93"/>
  <c r="A97" i="93"/>
  <c r="H96" i="93"/>
  <c r="F96" i="93"/>
  <c r="G96" i="93" s="1"/>
  <c r="A96" i="93"/>
  <c r="H95" i="93"/>
  <c r="G95" i="93" s="1"/>
  <c r="F95" i="93"/>
  <c r="A95" i="93"/>
  <c r="H94" i="93"/>
  <c r="F94" i="93"/>
  <c r="G94" i="93" s="1"/>
  <c r="A94" i="93"/>
  <c r="H93" i="93"/>
  <c r="G93" i="93" s="1"/>
  <c r="F93" i="93"/>
  <c r="A93" i="93"/>
  <c r="H92" i="93"/>
  <c r="F92" i="93"/>
  <c r="G92" i="93" s="1"/>
  <c r="A92" i="93"/>
  <c r="H91" i="93"/>
  <c r="G91" i="93" s="1"/>
  <c r="F91" i="93"/>
  <c r="A91" i="93"/>
  <c r="H90" i="93"/>
  <c r="F90" i="93"/>
  <c r="G90" i="93" s="1"/>
  <c r="A90" i="93"/>
  <c r="H89" i="93"/>
  <c r="G89" i="93" s="1"/>
  <c r="F89" i="93"/>
  <c r="A89" i="93"/>
  <c r="H88" i="93"/>
  <c r="F88" i="93"/>
  <c r="G88" i="93" s="1"/>
  <c r="A88" i="93"/>
  <c r="H87" i="93"/>
  <c r="G87" i="93" s="1"/>
  <c r="F87" i="93"/>
  <c r="A87" i="93"/>
  <c r="H86" i="93"/>
  <c r="F86" i="93"/>
  <c r="G86" i="93" s="1"/>
  <c r="A86" i="93"/>
  <c r="H85" i="93"/>
  <c r="G85" i="93" s="1"/>
  <c r="F85" i="93"/>
  <c r="A85" i="93"/>
  <c r="H84" i="93"/>
  <c r="F84" i="93"/>
  <c r="G84" i="93" s="1"/>
  <c r="A84" i="93"/>
  <c r="H83" i="93"/>
  <c r="G83" i="93" s="1"/>
  <c r="F83" i="93"/>
  <c r="A83" i="93"/>
  <c r="H82" i="93"/>
  <c r="F82" i="93"/>
  <c r="G82" i="93" s="1"/>
  <c r="A82" i="93"/>
  <c r="H81" i="93"/>
  <c r="G81" i="93" s="1"/>
  <c r="F81" i="93"/>
  <c r="A81" i="93"/>
  <c r="H80" i="93"/>
  <c r="F80" i="93"/>
  <c r="G80" i="93" s="1"/>
  <c r="A80" i="93"/>
  <c r="H79" i="93"/>
  <c r="G79" i="93" s="1"/>
  <c r="F79" i="93"/>
  <c r="A79" i="93"/>
  <c r="H78" i="93"/>
  <c r="F78" i="93"/>
  <c r="G78" i="93" s="1"/>
  <c r="A78" i="93"/>
  <c r="H77" i="93"/>
  <c r="G77" i="93" s="1"/>
  <c r="F77" i="93"/>
  <c r="A77" i="93"/>
  <c r="H76" i="93"/>
  <c r="F76" i="93"/>
  <c r="G76" i="93" s="1"/>
  <c r="A76" i="93"/>
  <c r="H75" i="93"/>
  <c r="G75" i="93" s="1"/>
  <c r="F75" i="93"/>
  <c r="A75" i="93"/>
  <c r="H74" i="93"/>
  <c r="F74" i="93"/>
  <c r="G74" i="93" s="1"/>
  <c r="A74" i="93"/>
  <c r="H73" i="93"/>
  <c r="G73" i="93" s="1"/>
  <c r="F73" i="93"/>
  <c r="A73" i="93"/>
  <c r="H72" i="93"/>
  <c r="F72" i="93"/>
  <c r="G72" i="93" s="1"/>
  <c r="A72" i="93"/>
  <c r="H71" i="93"/>
  <c r="G71" i="93" s="1"/>
  <c r="F71" i="93"/>
  <c r="A71" i="93"/>
  <c r="H70" i="93"/>
  <c r="F70" i="93"/>
  <c r="G70" i="93" s="1"/>
  <c r="A70" i="93"/>
  <c r="H69" i="93"/>
  <c r="G69" i="93" s="1"/>
  <c r="F69" i="93"/>
  <c r="A69" i="93"/>
  <c r="H68" i="93"/>
  <c r="F68" i="93"/>
  <c r="G68" i="93" s="1"/>
  <c r="A68" i="93"/>
  <c r="H67" i="93"/>
  <c r="G67" i="93" s="1"/>
  <c r="F67" i="93"/>
  <c r="A67" i="93"/>
  <c r="H66" i="93"/>
  <c r="F66" i="93"/>
  <c r="G66" i="93" s="1"/>
  <c r="A66" i="93"/>
  <c r="H65" i="93"/>
  <c r="G65" i="93" s="1"/>
  <c r="F65" i="93"/>
  <c r="A65" i="93"/>
  <c r="H64" i="93"/>
  <c r="F64" i="93"/>
  <c r="G64" i="93" s="1"/>
  <c r="A64" i="93"/>
  <c r="H63" i="93"/>
  <c r="G63" i="93" s="1"/>
  <c r="F63" i="93"/>
  <c r="A63" i="93"/>
  <c r="H62" i="93"/>
  <c r="F62" i="93"/>
  <c r="G62" i="93" s="1"/>
  <c r="A62" i="93"/>
  <c r="H61" i="93"/>
  <c r="G61" i="93" s="1"/>
  <c r="F61" i="93"/>
  <c r="A61" i="93"/>
  <c r="H60" i="93"/>
  <c r="F60" i="93"/>
  <c r="G60" i="93" s="1"/>
  <c r="A60" i="93"/>
  <c r="H59" i="93"/>
  <c r="G59" i="93" s="1"/>
  <c r="F59" i="93"/>
  <c r="A59" i="93"/>
  <c r="H58" i="93"/>
  <c r="F58" i="93"/>
  <c r="G58" i="93" s="1"/>
  <c r="A58" i="93"/>
  <c r="H57" i="93"/>
  <c r="G57" i="93" s="1"/>
  <c r="F57" i="93"/>
  <c r="A57" i="93"/>
  <c r="H56" i="93"/>
  <c r="F56" i="93"/>
  <c r="G56" i="93" s="1"/>
  <c r="A56" i="93"/>
  <c r="H55" i="93"/>
  <c r="G55" i="93" s="1"/>
  <c r="F55" i="93"/>
  <c r="A55" i="93"/>
  <c r="H54" i="93"/>
  <c r="F54" i="93"/>
  <c r="G54" i="93" s="1"/>
  <c r="A54" i="93"/>
  <c r="H53" i="93"/>
  <c r="G53" i="93" s="1"/>
  <c r="F53" i="93"/>
  <c r="A53" i="93"/>
  <c r="H52" i="93"/>
  <c r="F52" i="93"/>
  <c r="G52" i="93" s="1"/>
  <c r="A52" i="93"/>
  <c r="H51" i="93"/>
  <c r="G51" i="93" s="1"/>
  <c r="F51" i="93"/>
  <c r="A51" i="93"/>
  <c r="H50" i="93"/>
  <c r="F50" i="93"/>
  <c r="G50" i="93" s="1"/>
  <c r="A50" i="93"/>
  <c r="H49" i="93"/>
  <c r="G49" i="93" s="1"/>
  <c r="F49" i="93"/>
  <c r="A49" i="93"/>
  <c r="H48" i="93"/>
  <c r="F48" i="93"/>
  <c r="G48" i="93" s="1"/>
  <c r="A48" i="93"/>
  <c r="H47" i="93"/>
  <c r="G47" i="93" s="1"/>
  <c r="F47" i="93"/>
  <c r="A47" i="93"/>
  <c r="H46" i="93"/>
  <c r="F46" i="93"/>
  <c r="G46" i="93" s="1"/>
  <c r="A46" i="93"/>
  <c r="H45" i="93"/>
  <c r="G45" i="93" s="1"/>
  <c r="F45" i="93"/>
  <c r="A45" i="93"/>
  <c r="H44" i="93"/>
  <c r="F44" i="93"/>
  <c r="G44" i="93" s="1"/>
  <c r="A44" i="93"/>
  <c r="H43" i="93"/>
  <c r="G43" i="93" s="1"/>
  <c r="F43" i="93"/>
  <c r="A43" i="93"/>
  <c r="H42" i="93"/>
  <c r="F42" i="93"/>
  <c r="G42" i="93" s="1"/>
  <c r="A42" i="93"/>
  <c r="H41" i="93"/>
  <c r="G41" i="93" s="1"/>
  <c r="F41" i="93"/>
  <c r="A41" i="93"/>
  <c r="H40" i="93"/>
  <c r="F40" i="93"/>
  <c r="G40" i="93" s="1"/>
  <c r="A40" i="93"/>
  <c r="H39" i="93"/>
  <c r="G39" i="93" s="1"/>
  <c r="F39" i="93"/>
  <c r="A39" i="93"/>
  <c r="H38" i="93"/>
  <c r="F38" i="93"/>
  <c r="G38" i="93" s="1"/>
  <c r="A38" i="93"/>
  <c r="H37" i="93"/>
  <c r="G37" i="93" s="1"/>
  <c r="F37" i="93"/>
  <c r="A37" i="93"/>
  <c r="H36" i="93"/>
  <c r="F36" i="93"/>
  <c r="G36" i="93" s="1"/>
  <c r="A36" i="93"/>
  <c r="H35" i="93"/>
  <c r="G35" i="93" s="1"/>
  <c r="F35" i="93"/>
  <c r="A35" i="93"/>
  <c r="H34" i="93"/>
  <c r="F34" i="93"/>
  <c r="G34" i="93" s="1"/>
  <c r="A34" i="93"/>
  <c r="H33" i="93"/>
  <c r="G33" i="93" s="1"/>
  <c r="F33" i="93"/>
  <c r="A33" i="93"/>
  <c r="H32" i="93"/>
  <c r="F32" i="93"/>
  <c r="G32" i="93" s="1"/>
  <c r="A32" i="93"/>
  <c r="H31" i="93"/>
  <c r="G31" i="93" s="1"/>
  <c r="F31" i="93"/>
  <c r="A31" i="93"/>
  <c r="H30" i="93"/>
  <c r="F30" i="93"/>
  <c r="G30" i="93" s="1"/>
  <c r="A30" i="93"/>
  <c r="H29" i="93"/>
  <c r="G29" i="93" s="1"/>
  <c r="F29" i="93"/>
  <c r="A29" i="93"/>
  <c r="H28" i="93"/>
  <c r="F28" i="93"/>
  <c r="H27" i="93"/>
  <c r="F27" i="93"/>
  <c r="H26" i="93"/>
  <c r="F26" i="93"/>
  <c r="H25" i="93"/>
  <c r="F25" i="93"/>
  <c r="H24" i="93"/>
  <c r="F24" i="93"/>
  <c r="H23" i="93"/>
  <c r="F23" i="93"/>
  <c r="H22" i="93"/>
  <c r="F22" i="93"/>
  <c r="H21" i="93"/>
  <c r="F21" i="93"/>
  <c r="H20" i="93"/>
  <c r="F20" i="93"/>
  <c r="H19" i="93"/>
  <c r="F19" i="93"/>
  <c r="H18" i="93"/>
  <c r="F18" i="93"/>
  <c r="H17" i="93"/>
  <c r="F17" i="93"/>
  <c r="H16" i="93"/>
  <c r="F16" i="93"/>
  <c r="H15" i="93"/>
  <c r="F15" i="93"/>
  <c r="H14" i="93"/>
  <c r="F14" i="93"/>
  <c r="H13" i="93"/>
  <c r="G13" i="93" s="1"/>
  <c r="F13" i="93"/>
  <c r="H12" i="93"/>
  <c r="F12" i="93"/>
  <c r="H11" i="93"/>
  <c r="F11" i="93"/>
  <c r="H10" i="93"/>
  <c r="F10" i="93"/>
  <c r="H9" i="93"/>
  <c r="F9" i="93"/>
  <c r="H8" i="93"/>
  <c r="F8" i="93"/>
  <c r="H7" i="93"/>
  <c r="F7" i="93"/>
  <c r="H6" i="93"/>
  <c r="F6" i="93"/>
  <c r="H5" i="93"/>
  <c r="F5" i="93"/>
  <c r="H4" i="93"/>
  <c r="F4" i="93"/>
  <c r="H3" i="93"/>
  <c r="F3" i="93"/>
  <c r="H160" i="92"/>
  <c r="F160" i="92"/>
  <c r="G160" i="92" s="1"/>
  <c r="A160" i="92"/>
  <c r="H159" i="92"/>
  <c r="G159" i="92"/>
  <c r="F159" i="92"/>
  <c r="A159" i="92"/>
  <c r="H158" i="92"/>
  <c r="F158" i="92"/>
  <c r="G158" i="92" s="1"/>
  <c r="A158" i="92"/>
  <c r="H157" i="92"/>
  <c r="G157" i="92"/>
  <c r="F157" i="92"/>
  <c r="A157" i="92"/>
  <c r="H156" i="92"/>
  <c r="F156" i="92"/>
  <c r="G156" i="92" s="1"/>
  <c r="A156" i="92"/>
  <c r="H155" i="92"/>
  <c r="G155" i="92"/>
  <c r="F155" i="92"/>
  <c r="A155" i="92"/>
  <c r="H154" i="92"/>
  <c r="F154" i="92"/>
  <c r="G154" i="92" s="1"/>
  <c r="A154" i="92"/>
  <c r="H153" i="92"/>
  <c r="G153" i="92"/>
  <c r="F153" i="92"/>
  <c r="A153" i="92"/>
  <c r="H152" i="92"/>
  <c r="F152" i="92"/>
  <c r="G152" i="92" s="1"/>
  <c r="A152" i="92"/>
  <c r="H151" i="92"/>
  <c r="G151" i="92"/>
  <c r="F151" i="92"/>
  <c r="A151" i="92"/>
  <c r="H150" i="92"/>
  <c r="F150" i="92"/>
  <c r="G150" i="92" s="1"/>
  <c r="A150" i="92"/>
  <c r="H149" i="92"/>
  <c r="G149" i="92"/>
  <c r="F149" i="92"/>
  <c r="A149" i="92"/>
  <c r="H148" i="92"/>
  <c r="F148" i="92"/>
  <c r="G148" i="92" s="1"/>
  <c r="A148" i="92"/>
  <c r="H147" i="92"/>
  <c r="G147" i="92"/>
  <c r="F147" i="92"/>
  <c r="A147" i="92"/>
  <c r="H146" i="92"/>
  <c r="F146" i="92"/>
  <c r="G146" i="92" s="1"/>
  <c r="A146" i="92"/>
  <c r="H145" i="92"/>
  <c r="G145" i="92"/>
  <c r="F145" i="92"/>
  <c r="A145" i="92"/>
  <c r="H144" i="92"/>
  <c r="F144" i="92"/>
  <c r="G144" i="92" s="1"/>
  <c r="A144" i="92"/>
  <c r="H143" i="92"/>
  <c r="G143" i="92"/>
  <c r="F143" i="92"/>
  <c r="A143" i="92"/>
  <c r="H142" i="92"/>
  <c r="F142" i="92"/>
  <c r="G142" i="92" s="1"/>
  <c r="A142" i="92"/>
  <c r="H141" i="92"/>
  <c r="G141" i="92"/>
  <c r="F141" i="92"/>
  <c r="A141" i="92"/>
  <c r="H140" i="92"/>
  <c r="F140" i="92"/>
  <c r="G140" i="92" s="1"/>
  <c r="A140" i="92"/>
  <c r="H139" i="92"/>
  <c r="G139" i="92"/>
  <c r="F139" i="92"/>
  <c r="A139" i="92"/>
  <c r="H138" i="92"/>
  <c r="F138" i="92"/>
  <c r="G138" i="92" s="1"/>
  <c r="A138" i="92"/>
  <c r="H137" i="92"/>
  <c r="G137" i="92"/>
  <c r="F137" i="92"/>
  <c r="A137" i="92"/>
  <c r="H136" i="92"/>
  <c r="F136" i="92"/>
  <c r="G136" i="92" s="1"/>
  <c r="A136" i="92"/>
  <c r="H135" i="92"/>
  <c r="G135" i="92"/>
  <c r="F135" i="92"/>
  <c r="A135" i="92"/>
  <c r="H134" i="92"/>
  <c r="F134" i="92"/>
  <c r="G134" i="92" s="1"/>
  <c r="A134" i="92"/>
  <c r="H133" i="92"/>
  <c r="G133" i="92"/>
  <c r="F133" i="92"/>
  <c r="A133" i="92"/>
  <c r="H132" i="92"/>
  <c r="F132" i="92"/>
  <c r="G132" i="92" s="1"/>
  <c r="A132" i="92"/>
  <c r="H131" i="92"/>
  <c r="G131" i="92"/>
  <c r="F131" i="92"/>
  <c r="A131" i="92"/>
  <c r="H130" i="92"/>
  <c r="F130" i="92"/>
  <c r="G130" i="92" s="1"/>
  <c r="A130" i="92"/>
  <c r="H129" i="92"/>
  <c r="G129" i="92"/>
  <c r="F129" i="92"/>
  <c r="A129" i="92"/>
  <c r="H128" i="92"/>
  <c r="F128" i="92"/>
  <c r="G128" i="92" s="1"/>
  <c r="A128" i="92"/>
  <c r="H127" i="92"/>
  <c r="G127" i="92"/>
  <c r="F127" i="92"/>
  <c r="A127" i="92"/>
  <c r="H126" i="92"/>
  <c r="F126" i="92"/>
  <c r="G126" i="92" s="1"/>
  <c r="A126" i="92"/>
  <c r="H125" i="92"/>
  <c r="G125" i="92" s="1"/>
  <c r="F125" i="92"/>
  <c r="A125" i="92"/>
  <c r="H124" i="92"/>
  <c r="F124" i="92"/>
  <c r="G124" i="92" s="1"/>
  <c r="A124" i="92"/>
  <c r="H123" i="92"/>
  <c r="G123" i="92"/>
  <c r="F123" i="92"/>
  <c r="A123" i="92"/>
  <c r="H122" i="92"/>
  <c r="F122" i="92"/>
  <c r="G122" i="92" s="1"/>
  <c r="A122" i="92"/>
  <c r="H121" i="92"/>
  <c r="G121" i="92" s="1"/>
  <c r="F121" i="92"/>
  <c r="A121" i="92"/>
  <c r="H120" i="92"/>
  <c r="F120" i="92"/>
  <c r="G120" i="92" s="1"/>
  <c r="A120" i="92"/>
  <c r="H119" i="92"/>
  <c r="G119" i="92"/>
  <c r="F119" i="92"/>
  <c r="A119" i="92"/>
  <c r="H118" i="92"/>
  <c r="F118" i="92"/>
  <c r="G118" i="92" s="1"/>
  <c r="A118" i="92"/>
  <c r="H117" i="92"/>
  <c r="G117" i="92" s="1"/>
  <c r="F117" i="92"/>
  <c r="A117" i="92"/>
  <c r="H116" i="92"/>
  <c r="F116" i="92"/>
  <c r="G116" i="92" s="1"/>
  <c r="A116" i="92"/>
  <c r="H115" i="92"/>
  <c r="G115" i="92"/>
  <c r="F115" i="92"/>
  <c r="A115" i="92"/>
  <c r="H114" i="92"/>
  <c r="F114" i="92"/>
  <c r="G114" i="92" s="1"/>
  <c r="A114" i="92"/>
  <c r="H113" i="92"/>
  <c r="G113" i="92" s="1"/>
  <c r="F113" i="92"/>
  <c r="A113" i="92"/>
  <c r="H112" i="92"/>
  <c r="F112" i="92"/>
  <c r="G112" i="92" s="1"/>
  <c r="A112" i="92"/>
  <c r="H111" i="92"/>
  <c r="G111" i="92"/>
  <c r="F111" i="92"/>
  <c r="A111" i="92"/>
  <c r="H110" i="92"/>
  <c r="F110" i="92"/>
  <c r="G110" i="92" s="1"/>
  <c r="A110" i="92"/>
  <c r="H109" i="92"/>
  <c r="G109" i="92" s="1"/>
  <c r="F109" i="92"/>
  <c r="A109" i="92"/>
  <c r="H108" i="92"/>
  <c r="F108" i="92"/>
  <c r="G108" i="92" s="1"/>
  <c r="A108" i="92"/>
  <c r="H107" i="92"/>
  <c r="G107" i="92" s="1"/>
  <c r="F107" i="92"/>
  <c r="A107" i="92"/>
  <c r="H106" i="92"/>
  <c r="F106" i="92"/>
  <c r="G106" i="92" s="1"/>
  <c r="A106" i="92"/>
  <c r="H105" i="92"/>
  <c r="G105" i="92" s="1"/>
  <c r="F105" i="92"/>
  <c r="A105" i="92"/>
  <c r="H104" i="92"/>
  <c r="F104" i="92"/>
  <c r="G104" i="92" s="1"/>
  <c r="A104" i="92"/>
  <c r="H103" i="92"/>
  <c r="G103" i="92" s="1"/>
  <c r="F103" i="92"/>
  <c r="A103" i="92"/>
  <c r="H102" i="92"/>
  <c r="F102" i="92"/>
  <c r="G102" i="92" s="1"/>
  <c r="A102" i="92"/>
  <c r="H101" i="92"/>
  <c r="G101" i="92" s="1"/>
  <c r="F101" i="92"/>
  <c r="A101" i="92"/>
  <c r="H100" i="92"/>
  <c r="F100" i="92"/>
  <c r="G100" i="92" s="1"/>
  <c r="A100" i="92"/>
  <c r="H99" i="92"/>
  <c r="G99" i="92" s="1"/>
  <c r="F99" i="92"/>
  <c r="A99" i="92"/>
  <c r="H98" i="92"/>
  <c r="F98" i="92"/>
  <c r="G98" i="92" s="1"/>
  <c r="A98" i="92"/>
  <c r="H97" i="92"/>
  <c r="G97" i="92" s="1"/>
  <c r="F97" i="92"/>
  <c r="A97" i="92"/>
  <c r="H96" i="92"/>
  <c r="F96" i="92"/>
  <c r="G96" i="92" s="1"/>
  <c r="A96" i="92"/>
  <c r="H95" i="92"/>
  <c r="G95" i="92" s="1"/>
  <c r="F95" i="92"/>
  <c r="A95" i="92"/>
  <c r="H94" i="92"/>
  <c r="F94" i="92"/>
  <c r="G94" i="92" s="1"/>
  <c r="A94" i="92"/>
  <c r="H93" i="92"/>
  <c r="G93" i="92" s="1"/>
  <c r="F93" i="92"/>
  <c r="A93" i="92"/>
  <c r="H92" i="92"/>
  <c r="F92" i="92"/>
  <c r="G92" i="92" s="1"/>
  <c r="A92" i="92"/>
  <c r="H91" i="92"/>
  <c r="G91" i="92" s="1"/>
  <c r="F91" i="92"/>
  <c r="A91" i="92"/>
  <c r="H90" i="92"/>
  <c r="F90" i="92"/>
  <c r="G90" i="92" s="1"/>
  <c r="A90" i="92"/>
  <c r="H89" i="92"/>
  <c r="G89" i="92" s="1"/>
  <c r="F89" i="92"/>
  <c r="A89" i="92"/>
  <c r="H88" i="92"/>
  <c r="F88" i="92"/>
  <c r="G88" i="92" s="1"/>
  <c r="A88" i="92"/>
  <c r="H87" i="92"/>
  <c r="G87" i="92" s="1"/>
  <c r="F87" i="92"/>
  <c r="A87" i="92"/>
  <c r="H86" i="92"/>
  <c r="F86" i="92"/>
  <c r="G86" i="92" s="1"/>
  <c r="A86" i="92"/>
  <c r="H85" i="92"/>
  <c r="G85" i="92" s="1"/>
  <c r="F85" i="92"/>
  <c r="A85" i="92"/>
  <c r="H84" i="92"/>
  <c r="F84" i="92"/>
  <c r="G84" i="92" s="1"/>
  <c r="A84" i="92"/>
  <c r="H83" i="92"/>
  <c r="G83" i="92" s="1"/>
  <c r="F83" i="92"/>
  <c r="A83" i="92"/>
  <c r="H82" i="92"/>
  <c r="F82" i="92"/>
  <c r="G82" i="92" s="1"/>
  <c r="A82" i="92"/>
  <c r="H81" i="92"/>
  <c r="G81" i="92" s="1"/>
  <c r="F81" i="92"/>
  <c r="A81" i="92"/>
  <c r="H80" i="92"/>
  <c r="F80" i="92"/>
  <c r="G80" i="92" s="1"/>
  <c r="A80" i="92"/>
  <c r="H79" i="92"/>
  <c r="G79" i="92" s="1"/>
  <c r="F79" i="92"/>
  <c r="A79" i="92"/>
  <c r="H78" i="92"/>
  <c r="F78" i="92"/>
  <c r="G78" i="92" s="1"/>
  <c r="A78" i="92"/>
  <c r="H77" i="92"/>
  <c r="G77" i="92" s="1"/>
  <c r="F77" i="92"/>
  <c r="A77" i="92"/>
  <c r="H76" i="92"/>
  <c r="F76" i="92"/>
  <c r="G76" i="92" s="1"/>
  <c r="A76" i="92"/>
  <c r="H75" i="92"/>
  <c r="G75" i="92" s="1"/>
  <c r="F75" i="92"/>
  <c r="A75" i="92"/>
  <c r="H74" i="92"/>
  <c r="F74" i="92"/>
  <c r="G74" i="92" s="1"/>
  <c r="A74" i="92"/>
  <c r="H73" i="92"/>
  <c r="G73" i="92" s="1"/>
  <c r="F73" i="92"/>
  <c r="A73" i="92"/>
  <c r="H72" i="92"/>
  <c r="F72" i="92"/>
  <c r="G72" i="92" s="1"/>
  <c r="A72" i="92"/>
  <c r="H71" i="92"/>
  <c r="G71" i="92" s="1"/>
  <c r="F71" i="92"/>
  <c r="A71" i="92"/>
  <c r="H70" i="92"/>
  <c r="F70" i="92"/>
  <c r="G70" i="92" s="1"/>
  <c r="A70" i="92"/>
  <c r="H69" i="92"/>
  <c r="G69" i="92" s="1"/>
  <c r="F69" i="92"/>
  <c r="A69" i="92"/>
  <c r="H68" i="92"/>
  <c r="F68" i="92"/>
  <c r="G68" i="92" s="1"/>
  <c r="A68" i="92"/>
  <c r="H67" i="92"/>
  <c r="G67" i="92" s="1"/>
  <c r="F67" i="92"/>
  <c r="A67" i="92"/>
  <c r="H66" i="92"/>
  <c r="F66" i="92"/>
  <c r="G66" i="92" s="1"/>
  <c r="A66" i="92"/>
  <c r="H65" i="92"/>
  <c r="G65" i="92" s="1"/>
  <c r="F65" i="92"/>
  <c r="A65" i="92"/>
  <c r="H64" i="92"/>
  <c r="F64" i="92"/>
  <c r="G64" i="92" s="1"/>
  <c r="A64" i="92"/>
  <c r="H63" i="92"/>
  <c r="G63" i="92" s="1"/>
  <c r="F63" i="92"/>
  <c r="A63" i="92"/>
  <c r="H62" i="92"/>
  <c r="F62" i="92"/>
  <c r="G62" i="92" s="1"/>
  <c r="A62" i="92"/>
  <c r="H61" i="92"/>
  <c r="G61" i="92" s="1"/>
  <c r="F61" i="92"/>
  <c r="A61" i="92"/>
  <c r="H60" i="92"/>
  <c r="F60" i="92"/>
  <c r="G60" i="92" s="1"/>
  <c r="A60" i="92"/>
  <c r="H59" i="92"/>
  <c r="G59" i="92" s="1"/>
  <c r="F59" i="92"/>
  <c r="A59" i="92"/>
  <c r="H58" i="92"/>
  <c r="F58" i="92"/>
  <c r="G58" i="92" s="1"/>
  <c r="A58" i="92"/>
  <c r="H57" i="92"/>
  <c r="G57" i="92" s="1"/>
  <c r="F57" i="92"/>
  <c r="A57" i="92"/>
  <c r="H56" i="92"/>
  <c r="F56" i="92"/>
  <c r="G56" i="92" s="1"/>
  <c r="A56" i="92"/>
  <c r="H55" i="92"/>
  <c r="G55" i="92" s="1"/>
  <c r="F55" i="92"/>
  <c r="A55" i="92"/>
  <c r="H54" i="92"/>
  <c r="F54" i="92"/>
  <c r="G54" i="92" s="1"/>
  <c r="A54" i="92"/>
  <c r="H53" i="92"/>
  <c r="G53" i="92" s="1"/>
  <c r="F53" i="92"/>
  <c r="A53" i="92"/>
  <c r="H52" i="92"/>
  <c r="F52" i="92"/>
  <c r="G52" i="92" s="1"/>
  <c r="A52" i="92"/>
  <c r="H51" i="92"/>
  <c r="G51" i="92" s="1"/>
  <c r="F51" i="92"/>
  <c r="A51" i="92"/>
  <c r="H50" i="92"/>
  <c r="F50" i="92"/>
  <c r="G50" i="92" s="1"/>
  <c r="A50" i="92"/>
  <c r="H49" i="92"/>
  <c r="G49" i="92" s="1"/>
  <c r="F49" i="92"/>
  <c r="A49" i="92"/>
  <c r="H48" i="92"/>
  <c r="F48" i="92"/>
  <c r="G48" i="92" s="1"/>
  <c r="A48" i="92"/>
  <c r="H47" i="92"/>
  <c r="G47" i="92" s="1"/>
  <c r="F47" i="92"/>
  <c r="A47" i="92"/>
  <c r="H46" i="92"/>
  <c r="F46" i="92"/>
  <c r="G46" i="92" s="1"/>
  <c r="A46" i="92"/>
  <c r="H45" i="92"/>
  <c r="G45" i="92" s="1"/>
  <c r="F45" i="92"/>
  <c r="A45" i="92"/>
  <c r="H44" i="92"/>
  <c r="F44" i="92"/>
  <c r="G44" i="92" s="1"/>
  <c r="A44" i="92"/>
  <c r="H43" i="92"/>
  <c r="G43" i="92" s="1"/>
  <c r="F43" i="92"/>
  <c r="A43" i="92"/>
  <c r="H42" i="92"/>
  <c r="F42" i="92"/>
  <c r="G42" i="92" s="1"/>
  <c r="A42" i="92"/>
  <c r="H41" i="92"/>
  <c r="G41" i="92" s="1"/>
  <c r="F41" i="92"/>
  <c r="A41" i="92"/>
  <c r="H40" i="92"/>
  <c r="F40" i="92"/>
  <c r="G40" i="92" s="1"/>
  <c r="A40" i="92"/>
  <c r="H39" i="92"/>
  <c r="G39" i="92" s="1"/>
  <c r="F39" i="92"/>
  <c r="A39" i="92"/>
  <c r="H38" i="92"/>
  <c r="F38" i="92"/>
  <c r="G38" i="92" s="1"/>
  <c r="A38" i="92"/>
  <c r="H37" i="92"/>
  <c r="G37" i="92" s="1"/>
  <c r="F37" i="92"/>
  <c r="A37" i="92"/>
  <c r="H36" i="92"/>
  <c r="F36" i="92"/>
  <c r="G36" i="92" s="1"/>
  <c r="A36" i="92"/>
  <c r="H35" i="92"/>
  <c r="G35" i="92" s="1"/>
  <c r="F35" i="92"/>
  <c r="A35" i="92"/>
  <c r="H34" i="92"/>
  <c r="F34" i="92"/>
  <c r="G34" i="92" s="1"/>
  <c r="A34" i="92"/>
  <c r="H33" i="92"/>
  <c r="G33" i="92" s="1"/>
  <c r="F33" i="92"/>
  <c r="A33" i="92"/>
  <c r="H32" i="92"/>
  <c r="F32" i="92"/>
  <c r="G32" i="92" s="1"/>
  <c r="A32" i="92"/>
  <c r="H31" i="92"/>
  <c r="G31" i="92" s="1"/>
  <c r="F31" i="92"/>
  <c r="A31" i="92"/>
  <c r="H30" i="92"/>
  <c r="F30" i="92"/>
  <c r="G30" i="92" s="1"/>
  <c r="A30" i="92"/>
  <c r="H29" i="92"/>
  <c r="G29" i="92" s="1"/>
  <c r="F29" i="92"/>
  <c r="A29" i="92"/>
  <c r="H28" i="92"/>
  <c r="F28" i="92"/>
  <c r="G28" i="92" s="1"/>
  <c r="A28" i="92"/>
  <c r="H27" i="92"/>
  <c r="G27" i="92" s="1"/>
  <c r="F27" i="92"/>
  <c r="A27" i="92"/>
  <c r="H26" i="92"/>
  <c r="F26" i="92"/>
  <c r="H25" i="92"/>
  <c r="F25" i="92"/>
  <c r="H24" i="92"/>
  <c r="F24" i="92"/>
  <c r="G24" i="92" s="1"/>
  <c r="H23" i="92"/>
  <c r="F23" i="92"/>
  <c r="H22" i="92"/>
  <c r="F22" i="92"/>
  <c r="H21" i="92"/>
  <c r="F21" i="92"/>
  <c r="H20" i="92"/>
  <c r="F20" i="92"/>
  <c r="H19" i="92"/>
  <c r="F19" i="92"/>
  <c r="H18" i="92"/>
  <c r="F18" i="92"/>
  <c r="H17" i="92"/>
  <c r="F17" i="92"/>
  <c r="H16" i="92"/>
  <c r="F16" i="92"/>
  <c r="H15" i="92"/>
  <c r="F15" i="92"/>
  <c r="H14" i="92"/>
  <c r="F14" i="92"/>
  <c r="H13" i="92"/>
  <c r="F13" i="92"/>
  <c r="H12" i="92"/>
  <c r="F12" i="92"/>
  <c r="H11" i="92"/>
  <c r="F11" i="92"/>
  <c r="H10" i="92"/>
  <c r="F10" i="92"/>
  <c r="H9" i="92"/>
  <c r="F9" i="92"/>
  <c r="H8" i="92"/>
  <c r="F8" i="92"/>
  <c r="H7" i="92"/>
  <c r="F7" i="92"/>
  <c r="H6" i="92"/>
  <c r="F6" i="92"/>
  <c r="H5" i="92"/>
  <c r="F5" i="92"/>
  <c r="H4" i="92"/>
  <c r="F4" i="92"/>
  <c r="H3" i="92"/>
  <c r="F3" i="92"/>
  <c r="H160" i="91"/>
  <c r="F160" i="91"/>
  <c r="G160" i="91" s="1"/>
  <c r="A160" i="91"/>
  <c r="H159" i="91"/>
  <c r="F159" i="91"/>
  <c r="G159" i="91" s="1"/>
  <c r="A159" i="91"/>
  <c r="H158" i="91"/>
  <c r="F158" i="91"/>
  <c r="G158" i="91" s="1"/>
  <c r="A158" i="91"/>
  <c r="H157" i="91"/>
  <c r="G157" i="91"/>
  <c r="F157" i="91"/>
  <c r="A157" i="91"/>
  <c r="H156" i="91"/>
  <c r="F156" i="91"/>
  <c r="G156" i="91" s="1"/>
  <c r="A156" i="91"/>
  <c r="H155" i="91"/>
  <c r="F155" i="91"/>
  <c r="G155" i="91" s="1"/>
  <c r="A155" i="91"/>
  <c r="H154" i="91"/>
  <c r="F154" i="91"/>
  <c r="G154" i="91" s="1"/>
  <c r="A154" i="91"/>
  <c r="H153" i="91"/>
  <c r="G153" i="91"/>
  <c r="F153" i="91"/>
  <c r="A153" i="91"/>
  <c r="H152" i="91"/>
  <c r="F152" i="91"/>
  <c r="G152" i="91" s="1"/>
  <c r="A152" i="91"/>
  <c r="H151" i="91"/>
  <c r="F151" i="91"/>
  <c r="G151" i="91" s="1"/>
  <c r="A151" i="91"/>
  <c r="H150" i="91"/>
  <c r="F150" i="91"/>
  <c r="G150" i="91" s="1"/>
  <c r="A150" i="91"/>
  <c r="H149" i="91"/>
  <c r="G149" i="91"/>
  <c r="F149" i="91"/>
  <c r="A149" i="91"/>
  <c r="H148" i="91"/>
  <c r="F148" i="91"/>
  <c r="G148" i="91" s="1"/>
  <c r="A148" i="91"/>
  <c r="H147" i="91"/>
  <c r="F147" i="91"/>
  <c r="G147" i="91" s="1"/>
  <c r="A147" i="91"/>
  <c r="H146" i="91"/>
  <c r="F146" i="91"/>
  <c r="G146" i="91" s="1"/>
  <c r="A146" i="91"/>
  <c r="H145" i="91"/>
  <c r="G145" i="91"/>
  <c r="F145" i="91"/>
  <c r="A145" i="91"/>
  <c r="H144" i="91"/>
  <c r="F144" i="91"/>
  <c r="G144" i="91" s="1"/>
  <c r="A144" i="91"/>
  <c r="H143" i="91"/>
  <c r="F143" i="91"/>
  <c r="G143" i="91" s="1"/>
  <c r="A143" i="91"/>
  <c r="H142" i="91"/>
  <c r="F142" i="91"/>
  <c r="G142" i="91" s="1"/>
  <c r="A142" i="91"/>
  <c r="H141" i="91"/>
  <c r="G141" i="91"/>
  <c r="F141" i="91"/>
  <c r="A141" i="91"/>
  <c r="H140" i="91"/>
  <c r="F140" i="91"/>
  <c r="G140" i="91" s="1"/>
  <c r="A140" i="91"/>
  <c r="H139" i="91"/>
  <c r="F139" i="91"/>
  <c r="G139" i="91" s="1"/>
  <c r="A139" i="91"/>
  <c r="H138" i="91"/>
  <c r="F138" i="91"/>
  <c r="G138" i="91" s="1"/>
  <c r="A138" i="91"/>
  <c r="H137" i="91"/>
  <c r="G137" i="91"/>
  <c r="F137" i="91"/>
  <c r="A137" i="91"/>
  <c r="H136" i="91"/>
  <c r="F136" i="91"/>
  <c r="G136" i="91" s="1"/>
  <c r="A136" i="91"/>
  <c r="H135" i="91"/>
  <c r="F135" i="91"/>
  <c r="G135" i="91" s="1"/>
  <c r="A135" i="91"/>
  <c r="H134" i="91"/>
  <c r="F134" i="91"/>
  <c r="G134" i="91" s="1"/>
  <c r="A134" i="91"/>
  <c r="H133" i="91"/>
  <c r="G133" i="91"/>
  <c r="F133" i="91"/>
  <c r="A133" i="91"/>
  <c r="H132" i="91"/>
  <c r="F132" i="91"/>
  <c r="G132" i="91" s="1"/>
  <c r="A132" i="91"/>
  <c r="H131" i="91"/>
  <c r="F131" i="91"/>
  <c r="G131" i="91" s="1"/>
  <c r="A131" i="91"/>
  <c r="H130" i="91"/>
  <c r="F130" i="91"/>
  <c r="G130" i="91" s="1"/>
  <c r="A130" i="91"/>
  <c r="H129" i="91"/>
  <c r="G129" i="91"/>
  <c r="F129" i="91"/>
  <c r="A129" i="91"/>
  <c r="H128" i="91"/>
  <c r="F128" i="91"/>
  <c r="G128" i="91" s="1"/>
  <c r="A128" i="91"/>
  <c r="H127" i="91"/>
  <c r="F127" i="91"/>
  <c r="G127" i="91" s="1"/>
  <c r="A127" i="91"/>
  <c r="H126" i="91"/>
  <c r="F126" i="91"/>
  <c r="G126" i="91" s="1"/>
  <c r="A126" i="91"/>
  <c r="H125" i="91"/>
  <c r="G125" i="91"/>
  <c r="F125" i="91"/>
  <c r="A125" i="91"/>
  <c r="H124" i="91"/>
  <c r="F124" i="91"/>
  <c r="G124" i="91" s="1"/>
  <c r="A124" i="91"/>
  <c r="H123" i="91"/>
  <c r="F123" i="91"/>
  <c r="G123" i="91" s="1"/>
  <c r="A123" i="91"/>
  <c r="H122" i="91"/>
  <c r="F122" i="91"/>
  <c r="G122" i="91" s="1"/>
  <c r="A122" i="91"/>
  <c r="H121" i="91"/>
  <c r="G121" i="91"/>
  <c r="F121" i="91"/>
  <c r="A121" i="91"/>
  <c r="H120" i="91"/>
  <c r="F120" i="91"/>
  <c r="G120" i="91" s="1"/>
  <c r="A120" i="91"/>
  <c r="H119" i="91"/>
  <c r="F119" i="91"/>
  <c r="G119" i="91" s="1"/>
  <c r="A119" i="91"/>
  <c r="H118" i="91"/>
  <c r="F118" i="91"/>
  <c r="G118" i="91" s="1"/>
  <c r="A118" i="91"/>
  <c r="H117" i="91"/>
  <c r="G117" i="91"/>
  <c r="F117" i="91"/>
  <c r="A117" i="91"/>
  <c r="H116" i="91"/>
  <c r="F116" i="91"/>
  <c r="G116" i="91" s="1"/>
  <c r="A116" i="91"/>
  <c r="H115" i="91"/>
  <c r="F115" i="91"/>
  <c r="G115" i="91" s="1"/>
  <c r="A115" i="91"/>
  <c r="H114" i="91"/>
  <c r="F114" i="91"/>
  <c r="G114" i="91" s="1"/>
  <c r="A114" i="91"/>
  <c r="H113" i="91"/>
  <c r="G113" i="91"/>
  <c r="F113" i="91"/>
  <c r="A113" i="91"/>
  <c r="H112" i="91"/>
  <c r="F112" i="91"/>
  <c r="G112" i="91" s="1"/>
  <c r="A112" i="91"/>
  <c r="H111" i="91"/>
  <c r="F111" i="91"/>
  <c r="G111" i="91" s="1"/>
  <c r="A111" i="91"/>
  <c r="H110" i="91"/>
  <c r="F110" i="91"/>
  <c r="G110" i="91" s="1"/>
  <c r="A110" i="91"/>
  <c r="H109" i="91"/>
  <c r="G109" i="91"/>
  <c r="F109" i="91"/>
  <c r="A109" i="91"/>
  <c r="H108" i="91"/>
  <c r="F108" i="91"/>
  <c r="G108" i="91" s="1"/>
  <c r="A108" i="91"/>
  <c r="H107" i="91"/>
  <c r="F107" i="91"/>
  <c r="G107" i="91" s="1"/>
  <c r="A107" i="91"/>
  <c r="H106" i="91"/>
  <c r="F106" i="91"/>
  <c r="G106" i="91" s="1"/>
  <c r="A106" i="91"/>
  <c r="H105" i="91"/>
  <c r="G105" i="91"/>
  <c r="F105" i="91"/>
  <c r="A105" i="91"/>
  <c r="H104" i="91"/>
  <c r="F104" i="91"/>
  <c r="G104" i="91" s="1"/>
  <c r="A104" i="91"/>
  <c r="H103" i="91"/>
  <c r="F103" i="91"/>
  <c r="G103" i="91" s="1"/>
  <c r="A103" i="91"/>
  <c r="H102" i="91"/>
  <c r="F102" i="91"/>
  <c r="G102" i="91" s="1"/>
  <c r="A102" i="91"/>
  <c r="H101" i="91"/>
  <c r="G101" i="91"/>
  <c r="F101" i="91"/>
  <c r="A101" i="91"/>
  <c r="H100" i="91"/>
  <c r="F100" i="91"/>
  <c r="G100" i="91" s="1"/>
  <c r="A100" i="91"/>
  <c r="H99" i="91"/>
  <c r="F99" i="91"/>
  <c r="G99" i="91" s="1"/>
  <c r="A99" i="91"/>
  <c r="H98" i="91"/>
  <c r="F98" i="91"/>
  <c r="G98" i="91" s="1"/>
  <c r="A98" i="91"/>
  <c r="H97" i="91"/>
  <c r="G97" i="91"/>
  <c r="F97" i="91"/>
  <c r="A97" i="91"/>
  <c r="H96" i="91"/>
  <c r="F96" i="91"/>
  <c r="G96" i="91" s="1"/>
  <c r="A96" i="91"/>
  <c r="H95" i="91"/>
  <c r="F95" i="91"/>
  <c r="G95" i="91" s="1"/>
  <c r="A95" i="91"/>
  <c r="H94" i="91"/>
  <c r="F94" i="91"/>
  <c r="G94" i="91" s="1"/>
  <c r="A94" i="91"/>
  <c r="H93" i="91"/>
  <c r="G93" i="91"/>
  <c r="F93" i="91"/>
  <c r="A93" i="91"/>
  <c r="H92" i="91"/>
  <c r="F92" i="91"/>
  <c r="G92" i="91" s="1"/>
  <c r="A92" i="91"/>
  <c r="H91" i="91"/>
  <c r="F91" i="91"/>
  <c r="G91" i="91" s="1"/>
  <c r="A91" i="91"/>
  <c r="H90" i="91"/>
  <c r="F90" i="91"/>
  <c r="G90" i="91" s="1"/>
  <c r="A90" i="91"/>
  <c r="H89" i="91"/>
  <c r="G89" i="91"/>
  <c r="F89" i="91"/>
  <c r="A89" i="91"/>
  <c r="H88" i="91"/>
  <c r="F88" i="91"/>
  <c r="G88" i="91" s="1"/>
  <c r="A88" i="91"/>
  <c r="H87" i="91"/>
  <c r="F87" i="91"/>
  <c r="G87" i="91" s="1"/>
  <c r="A87" i="91"/>
  <c r="H86" i="91"/>
  <c r="F86" i="91"/>
  <c r="G86" i="91" s="1"/>
  <c r="A86" i="91"/>
  <c r="H85" i="91"/>
  <c r="G85" i="91"/>
  <c r="F85" i="91"/>
  <c r="A85" i="91"/>
  <c r="H84" i="91"/>
  <c r="F84" i="91"/>
  <c r="G84" i="91" s="1"/>
  <c r="A84" i="91"/>
  <c r="H83" i="91"/>
  <c r="F83" i="91"/>
  <c r="G83" i="91" s="1"/>
  <c r="A83" i="91"/>
  <c r="H82" i="91"/>
  <c r="F82" i="91"/>
  <c r="G82" i="91" s="1"/>
  <c r="A82" i="91"/>
  <c r="H81" i="91"/>
  <c r="G81" i="91"/>
  <c r="F81" i="91"/>
  <c r="A81" i="91"/>
  <c r="H80" i="91"/>
  <c r="F80" i="91"/>
  <c r="G80" i="91" s="1"/>
  <c r="A80" i="91"/>
  <c r="H79" i="91"/>
  <c r="F79" i="91"/>
  <c r="G79" i="91" s="1"/>
  <c r="A79" i="91"/>
  <c r="H78" i="91"/>
  <c r="F78" i="91"/>
  <c r="G78" i="91" s="1"/>
  <c r="A78" i="91"/>
  <c r="H77" i="91"/>
  <c r="G77" i="91"/>
  <c r="F77" i="91"/>
  <c r="A77" i="91"/>
  <c r="H76" i="91"/>
  <c r="F76" i="91"/>
  <c r="G76" i="91" s="1"/>
  <c r="A76" i="91"/>
  <c r="H75" i="91"/>
  <c r="F75" i="91"/>
  <c r="G75" i="91" s="1"/>
  <c r="A75" i="91"/>
  <c r="H74" i="91"/>
  <c r="F74" i="91"/>
  <c r="G74" i="91" s="1"/>
  <c r="A74" i="91"/>
  <c r="H73" i="91"/>
  <c r="G73" i="91"/>
  <c r="F73" i="91"/>
  <c r="A73" i="91"/>
  <c r="H72" i="91"/>
  <c r="F72" i="91"/>
  <c r="G72" i="91" s="1"/>
  <c r="A72" i="91"/>
  <c r="H71" i="91"/>
  <c r="F71" i="91"/>
  <c r="G71" i="91" s="1"/>
  <c r="A71" i="91"/>
  <c r="H70" i="91"/>
  <c r="F70" i="91"/>
  <c r="G70" i="91" s="1"/>
  <c r="A70" i="91"/>
  <c r="H69" i="91"/>
  <c r="G69" i="91"/>
  <c r="F69" i="91"/>
  <c r="A69" i="91"/>
  <c r="H68" i="91"/>
  <c r="F68" i="91"/>
  <c r="G68" i="91" s="1"/>
  <c r="A68" i="91"/>
  <c r="H67" i="91"/>
  <c r="F67" i="91"/>
  <c r="G67" i="91" s="1"/>
  <c r="A67" i="91"/>
  <c r="H66" i="91"/>
  <c r="F66" i="91"/>
  <c r="G66" i="91" s="1"/>
  <c r="A66" i="91"/>
  <c r="H65" i="91"/>
  <c r="G65" i="91"/>
  <c r="F65" i="91"/>
  <c r="A65" i="91"/>
  <c r="H64" i="91"/>
  <c r="F64" i="91"/>
  <c r="G64" i="91" s="1"/>
  <c r="A64" i="91"/>
  <c r="H63" i="91"/>
  <c r="F63" i="91"/>
  <c r="G63" i="91" s="1"/>
  <c r="A63" i="91"/>
  <c r="H62" i="91"/>
  <c r="F62" i="91"/>
  <c r="G62" i="91" s="1"/>
  <c r="A62" i="91"/>
  <c r="H61" i="91"/>
  <c r="G61" i="91"/>
  <c r="F61" i="91"/>
  <c r="A61" i="91"/>
  <c r="H60" i="91"/>
  <c r="F60" i="91"/>
  <c r="G60" i="91" s="1"/>
  <c r="A60" i="91"/>
  <c r="H59" i="91"/>
  <c r="F59" i="91"/>
  <c r="G59" i="91" s="1"/>
  <c r="A59" i="91"/>
  <c r="H58" i="91"/>
  <c r="F58" i="91"/>
  <c r="G58" i="91" s="1"/>
  <c r="A58" i="91"/>
  <c r="H57" i="91"/>
  <c r="G57" i="91"/>
  <c r="F57" i="91"/>
  <c r="A57" i="91"/>
  <c r="H56" i="91"/>
  <c r="F56" i="91"/>
  <c r="G56" i="91" s="1"/>
  <c r="A56" i="91"/>
  <c r="H55" i="91"/>
  <c r="F55" i="91"/>
  <c r="G55" i="91" s="1"/>
  <c r="A55" i="91"/>
  <c r="H54" i="91"/>
  <c r="F54" i="91"/>
  <c r="G54" i="91" s="1"/>
  <c r="A54" i="91"/>
  <c r="H53" i="91"/>
  <c r="G53" i="91"/>
  <c r="F53" i="91"/>
  <c r="A53" i="91"/>
  <c r="H52" i="91"/>
  <c r="F52" i="91"/>
  <c r="G52" i="91" s="1"/>
  <c r="A52" i="91"/>
  <c r="H51" i="91"/>
  <c r="F51" i="91"/>
  <c r="G51" i="91" s="1"/>
  <c r="A51" i="91"/>
  <c r="H50" i="91"/>
  <c r="F50" i="91"/>
  <c r="G50" i="91" s="1"/>
  <c r="A50" i="91"/>
  <c r="H49" i="91"/>
  <c r="G49" i="91"/>
  <c r="F49" i="91"/>
  <c r="A49" i="91"/>
  <c r="H48" i="91"/>
  <c r="F48" i="91"/>
  <c r="G48" i="91" s="1"/>
  <c r="A48" i="91"/>
  <c r="H47" i="91"/>
  <c r="F47" i="91"/>
  <c r="G47" i="91" s="1"/>
  <c r="A47" i="91"/>
  <c r="H46" i="91"/>
  <c r="F46" i="91"/>
  <c r="G46" i="91" s="1"/>
  <c r="A46" i="91"/>
  <c r="H45" i="91"/>
  <c r="G45" i="91"/>
  <c r="F45" i="91"/>
  <c r="A45" i="91"/>
  <c r="H44" i="91"/>
  <c r="F44" i="91"/>
  <c r="G44" i="91" s="1"/>
  <c r="A44" i="91"/>
  <c r="H43" i="91"/>
  <c r="F43" i="91"/>
  <c r="G43" i="91" s="1"/>
  <c r="A43" i="91"/>
  <c r="H42" i="91"/>
  <c r="F42" i="91"/>
  <c r="G42" i="91" s="1"/>
  <c r="A42" i="91"/>
  <c r="H41" i="91"/>
  <c r="G41" i="91"/>
  <c r="F41" i="91"/>
  <c r="A41" i="91"/>
  <c r="H40" i="91"/>
  <c r="F40" i="91"/>
  <c r="G40" i="91" s="1"/>
  <c r="A40" i="91"/>
  <c r="H39" i="91"/>
  <c r="F39" i="91"/>
  <c r="G39" i="91" s="1"/>
  <c r="A39" i="91"/>
  <c r="H38" i="91"/>
  <c r="F38" i="91"/>
  <c r="G38" i="91" s="1"/>
  <c r="A38" i="91"/>
  <c r="H37" i="91"/>
  <c r="G37" i="91"/>
  <c r="F37" i="91"/>
  <c r="A37" i="91"/>
  <c r="H36" i="91"/>
  <c r="F36" i="91"/>
  <c r="G36" i="91" s="1"/>
  <c r="A36" i="91"/>
  <c r="H35" i="91"/>
  <c r="F35" i="91"/>
  <c r="G35" i="91" s="1"/>
  <c r="A35" i="91"/>
  <c r="H34" i="91"/>
  <c r="F34" i="91"/>
  <c r="G34" i="91" s="1"/>
  <c r="A34" i="91"/>
  <c r="H33" i="91"/>
  <c r="G33" i="91"/>
  <c r="F33" i="91"/>
  <c r="A33" i="91"/>
  <c r="H32" i="91"/>
  <c r="F32" i="91"/>
  <c r="G32" i="91" s="1"/>
  <c r="A32" i="91"/>
  <c r="H31" i="91"/>
  <c r="F31" i="91"/>
  <c r="G31" i="91" s="1"/>
  <c r="A31" i="91"/>
  <c r="H30" i="91"/>
  <c r="F30" i="91"/>
  <c r="G30" i="91" s="1"/>
  <c r="A30" i="91"/>
  <c r="H29" i="91"/>
  <c r="G29" i="91"/>
  <c r="F29" i="91"/>
  <c r="A29" i="91"/>
  <c r="H28" i="91"/>
  <c r="F28" i="91"/>
  <c r="G28" i="91" s="1"/>
  <c r="A28" i="91"/>
  <c r="H27" i="91"/>
  <c r="F27" i="91"/>
  <c r="G27" i="91" s="1"/>
  <c r="A27" i="91"/>
  <c r="H26" i="91"/>
  <c r="F26" i="91"/>
  <c r="G26" i="91" s="1"/>
  <c r="A26" i="91"/>
  <c r="H25" i="91"/>
  <c r="G25" i="91"/>
  <c r="F25" i="91"/>
  <c r="A25" i="91"/>
  <c r="H24" i="91"/>
  <c r="F24" i="91"/>
  <c r="H23" i="91"/>
  <c r="F23" i="91"/>
  <c r="G23" i="91" s="1"/>
  <c r="H22" i="91"/>
  <c r="F22" i="91"/>
  <c r="H21" i="91"/>
  <c r="F21" i="91"/>
  <c r="H20" i="91"/>
  <c r="F20" i="91"/>
  <c r="H19" i="91"/>
  <c r="F19" i="91"/>
  <c r="H18" i="91"/>
  <c r="F18" i="91"/>
  <c r="G18" i="91" s="1"/>
  <c r="H17" i="91"/>
  <c r="F17" i="91"/>
  <c r="G17" i="91" s="1"/>
  <c r="H16" i="91"/>
  <c r="F16" i="91"/>
  <c r="G16" i="91" s="1"/>
  <c r="H15" i="91"/>
  <c r="F15" i="91"/>
  <c r="H14" i="91"/>
  <c r="F14" i="91"/>
  <c r="G14" i="91" s="1"/>
  <c r="H13" i="91"/>
  <c r="F13" i="91"/>
  <c r="H12" i="91"/>
  <c r="F12" i="91"/>
  <c r="H11" i="91"/>
  <c r="F11" i="91"/>
  <c r="G11" i="91" s="1"/>
  <c r="H10" i="91"/>
  <c r="F10" i="91"/>
  <c r="H9" i="91"/>
  <c r="F9" i="91"/>
  <c r="G9" i="91" s="1"/>
  <c r="H8" i="91"/>
  <c r="F8" i="91"/>
  <c r="H7" i="91"/>
  <c r="F7" i="91"/>
  <c r="H6" i="91"/>
  <c r="F6" i="91"/>
  <c r="H5" i="91"/>
  <c r="F5" i="91"/>
  <c r="H4" i="91"/>
  <c r="F4" i="91"/>
  <c r="H3" i="91"/>
  <c r="F3" i="91"/>
  <c r="G3" i="91" s="1"/>
  <c r="H160" i="90"/>
  <c r="G160" i="90"/>
  <c r="F160" i="90"/>
  <c r="A160" i="90"/>
  <c r="H159" i="90"/>
  <c r="G159" i="90" s="1"/>
  <c r="F159" i="90"/>
  <c r="A159" i="90"/>
  <c r="H158" i="90"/>
  <c r="F158" i="90"/>
  <c r="G158" i="90" s="1"/>
  <c r="A158" i="90"/>
  <c r="H157" i="90"/>
  <c r="G157" i="90" s="1"/>
  <c r="F157" i="90"/>
  <c r="A157" i="90"/>
  <c r="H156" i="90"/>
  <c r="G156" i="90"/>
  <c r="F156" i="90"/>
  <c r="A156" i="90"/>
  <c r="H155" i="90"/>
  <c r="G155" i="90" s="1"/>
  <c r="F155" i="90"/>
  <c r="A155" i="90"/>
  <c r="H154" i="90"/>
  <c r="F154" i="90"/>
  <c r="G154" i="90" s="1"/>
  <c r="A154" i="90"/>
  <c r="H153" i="90"/>
  <c r="G153" i="90" s="1"/>
  <c r="F153" i="90"/>
  <c r="A153" i="90"/>
  <c r="H152" i="90"/>
  <c r="G152" i="90"/>
  <c r="F152" i="90"/>
  <c r="A152" i="90"/>
  <c r="H151" i="90"/>
  <c r="G151" i="90" s="1"/>
  <c r="F151" i="90"/>
  <c r="A151" i="90"/>
  <c r="H150" i="90"/>
  <c r="F150" i="90"/>
  <c r="G150" i="90" s="1"/>
  <c r="A150" i="90"/>
  <c r="H149" i="90"/>
  <c r="G149" i="90" s="1"/>
  <c r="F149" i="90"/>
  <c r="A149" i="90"/>
  <c r="H148" i="90"/>
  <c r="G148" i="90"/>
  <c r="F148" i="90"/>
  <c r="A148" i="90"/>
  <c r="H147" i="90"/>
  <c r="G147" i="90" s="1"/>
  <c r="F147" i="90"/>
  <c r="A147" i="90"/>
  <c r="H146" i="90"/>
  <c r="F146" i="90"/>
  <c r="G146" i="90" s="1"/>
  <c r="A146" i="90"/>
  <c r="H145" i="90"/>
  <c r="G145" i="90" s="1"/>
  <c r="F145" i="90"/>
  <c r="A145" i="90"/>
  <c r="H144" i="90"/>
  <c r="G144" i="90"/>
  <c r="F144" i="90"/>
  <c r="A144" i="90"/>
  <c r="H143" i="90"/>
  <c r="G143" i="90" s="1"/>
  <c r="F143" i="90"/>
  <c r="A143" i="90"/>
  <c r="H142" i="90"/>
  <c r="F142" i="90"/>
  <c r="G142" i="90" s="1"/>
  <c r="A142" i="90"/>
  <c r="H141" i="90"/>
  <c r="G141" i="90" s="1"/>
  <c r="F141" i="90"/>
  <c r="A141" i="90"/>
  <c r="H140" i="90"/>
  <c r="G140" i="90"/>
  <c r="F140" i="90"/>
  <c r="A140" i="90"/>
  <c r="H139" i="90"/>
  <c r="G139" i="90" s="1"/>
  <c r="F139" i="90"/>
  <c r="A139" i="90"/>
  <c r="H138" i="90"/>
  <c r="F138" i="90"/>
  <c r="G138" i="90" s="1"/>
  <c r="A138" i="90"/>
  <c r="H137" i="90"/>
  <c r="G137" i="90" s="1"/>
  <c r="F137" i="90"/>
  <c r="A137" i="90"/>
  <c r="H136" i="90"/>
  <c r="G136" i="90"/>
  <c r="F136" i="90"/>
  <c r="A136" i="90"/>
  <c r="H135" i="90"/>
  <c r="G135" i="90" s="1"/>
  <c r="F135" i="90"/>
  <c r="A135" i="90"/>
  <c r="H134" i="90"/>
  <c r="F134" i="90"/>
  <c r="G134" i="90" s="1"/>
  <c r="A134" i="90"/>
  <c r="H133" i="90"/>
  <c r="G133" i="90" s="1"/>
  <c r="F133" i="90"/>
  <c r="A133" i="90"/>
  <c r="H132" i="90"/>
  <c r="G132" i="90"/>
  <c r="F132" i="90"/>
  <c r="A132" i="90"/>
  <c r="H131" i="90"/>
  <c r="G131" i="90" s="1"/>
  <c r="F131" i="90"/>
  <c r="A131" i="90"/>
  <c r="H130" i="90"/>
  <c r="F130" i="90"/>
  <c r="G130" i="90" s="1"/>
  <c r="A130" i="90"/>
  <c r="H129" i="90"/>
  <c r="G129" i="90" s="1"/>
  <c r="F129" i="90"/>
  <c r="A129" i="90"/>
  <c r="H128" i="90"/>
  <c r="G128" i="90"/>
  <c r="F128" i="90"/>
  <c r="A128" i="90"/>
  <c r="H127" i="90"/>
  <c r="G127" i="90" s="1"/>
  <c r="F127" i="90"/>
  <c r="A127" i="90"/>
  <c r="H126" i="90"/>
  <c r="F126" i="90"/>
  <c r="G126" i="90" s="1"/>
  <c r="A126" i="90"/>
  <c r="H125" i="90"/>
  <c r="G125" i="90" s="1"/>
  <c r="F125" i="90"/>
  <c r="A125" i="90"/>
  <c r="H124" i="90"/>
  <c r="G124" i="90" s="1"/>
  <c r="F124" i="90"/>
  <c r="A124" i="90"/>
  <c r="H123" i="90"/>
  <c r="G123" i="90" s="1"/>
  <c r="F123" i="90"/>
  <c r="A123" i="90"/>
  <c r="H122" i="90"/>
  <c r="F122" i="90"/>
  <c r="G122" i="90" s="1"/>
  <c r="A122" i="90"/>
  <c r="H121" i="90"/>
  <c r="G121" i="90" s="1"/>
  <c r="F121" i="90"/>
  <c r="A121" i="90"/>
  <c r="H120" i="90"/>
  <c r="G120" i="90" s="1"/>
  <c r="F120" i="90"/>
  <c r="A120" i="90"/>
  <c r="H119" i="90"/>
  <c r="G119" i="90" s="1"/>
  <c r="F119" i="90"/>
  <c r="A119" i="90"/>
  <c r="H118" i="90"/>
  <c r="F118" i="90"/>
  <c r="G118" i="90" s="1"/>
  <c r="A118" i="90"/>
  <c r="H117" i="90"/>
  <c r="G117" i="90" s="1"/>
  <c r="F117" i="90"/>
  <c r="A117" i="90"/>
  <c r="H116" i="90"/>
  <c r="G116" i="90" s="1"/>
  <c r="F116" i="90"/>
  <c r="A116" i="90"/>
  <c r="H115" i="90"/>
  <c r="G115" i="90" s="1"/>
  <c r="F115" i="90"/>
  <c r="A115" i="90"/>
  <c r="H114" i="90"/>
  <c r="F114" i="90"/>
  <c r="G114" i="90" s="1"/>
  <c r="A114" i="90"/>
  <c r="H113" i="90"/>
  <c r="G113" i="90" s="1"/>
  <c r="F113" i="90"/>
  <c r="A113" i="90"/>
  <c r="H112" i="90"/>
  <c r="G112" i="90" s="1"/>
  <c r="F112" i="90"/>
  <c r="A112" i="90"/>
  <c r="H111" i="90"/>
  <c r="G111" i="90" s="1"/>
  <c r="F111" i="90"/>
  <c r="A111" i="90"/>
  <c r="H110" i="90"/>
  <c r="F110" i="90"/>
  <c r="G110" i="90" s="1"/>
  <c r="A110" i="90"/>
  <c r="H109" i="90"/>
  <c r="G109" i="90" s="1"/>
  <c r="F109" i="90"/>
  <c r="A109" i="90"/>
  <c r="H108" i="90"/>
  <c r="G108" i="90" s="1"/>
  <c r="F108" i="90"/>
  <c r="A108" i="90"/>
  <c r="H107" i="90"/>
  <c r="G107" i="90" s="1"/>
  <c r="F107" i="90"/>
  <c r="A107" i="90"/>
  <c r="H106" i="90"/>
  <c r="F106" i="90"/>
  <c r="G106" i="90" s="1"/>
  <c r="A106" i="90"/>
  <c r="H105" i="90"/>
  <c r="G105" i="90" s="1"/>
  <c r="F105" i="90"/>
  <c r="A105" i="90"/>
  <c r="H104" i="90"/>
  <c r="G104" i="90" s="1"/>
  <c r="F104" i="90"/>
  <c r="A104" i="90"/>
  <c r="H103" i="90"/>
  <c r="G103" i="90" s="1"/>
  <c r="F103" i="90"/>
  <c r="A103" i="90"/>
  <c r="H102" i="90"/>
  <c r="F102" i="90"/>
  <c r="G102" i="90" s="1"/>
  <c r="A102" i="90"/>
  <c r="H101" i="90"/>
  <c r="G101" i="90" s="1"/>
  <c r="F101" i="90"/>
  <c r="A101" i="90"/>
  <c r="H100" i="90"/>
  <c r="F100" i="90"/>
  <c r="G100" i="90" s="1"/>
  <c r="A100" i="90"/>
  <c r="H99" i="90"/>
  <c r="G99" i="90" s="1"/>
  <c r="F99" i="90"/>
  <c r="A99" i="90"/>
  <c r="H98" i="90"/>
  <c r="F98" i="90"/>
  <c r="G98" i="90" s="1"/>
  <c r="A98" i="90"/>
  <c r="H97" i="90"/>
  <c r="G97" i="90" s="1"/>
  <c r="F97" i="90"/>
  <c r="A97" i="90"/>
  <c r="H96" i="90"/>
  <c r="F96" i="90"/>
  <c r="G96" i="90" s="1"/>
  <c r="A96" i="90"/>
  <c r="H95" i="90"/>
  <c r="G95" i="90" s="1"/>
  <c r="F95" i="90"/>
  <c r="A95" i="90"/>
  <c r="H94" i="90"/>
  <c r="F94" i="90"/>
  <c r="G94" i="90" s="1"/>
  <c r="A94" i="90"/>
  <c r="H93" i="90"/>
  <c r="G93" i="90" s="1"/>
  <c r="F93" i="90"/>
  <c r="A93" i="90"/>
  <c r="H92" i="90"/>
  <c r="F92" i="90"/>
  <c r="G92" i="90" s="1"/>
  <c r="A92" i="90"/>
  <c r="H91" i="90"/>
  <c r="G91" i="90" s="1"/>
  <c r="F91" i="90"/>
  <c r="A91" i="90"/>
  <c r="H90" i="90"/>
  <c r="F90" i="90"/>
  <c r="G90" i="90" s="1"/>
  <c r="A90" i="90"/>
  <c r="H89" i="90"/>
  <c r="G89" i="90" s="1"/>
  <c r="F89" i="90"/>
  <c r="A89" i="90"/>
  <c r="H88" i="90"/>
  <c r="F88" i="90"/>
  <c r="G88" i="90" s="1"/>
  <c r="A88" i="90"/>
  <c r="H87" i="90"/>
  <c r="G87" i="90" s="1"/>
  <c r="F87" i="90"/>
  <c r="A87" i="90"/>
  <c r="H86" i="90"/>
  <c r="F86" i="90"/>
  <c r="G86" i="90" s="1"/>
  <c r="A86" i="90"/>
  <c r="H85" i="90"/>
  <c r="G85" i="90" s="1"/>
  <c r="F85" i="90"/>
  <c r="A85" i="90"/>
  <c r="H84" i="90"/>
  <c r="F84" i="90"/>
  <c r="G84" i="90" s="1"/>
  <c r="A84" i="90"/>
  <c r="H83" i="90"/>
  <c r="G83" i="90" s="1"/>
  <c r="F83" i="90"/>
  <c r="A83" i="90"/>
  <c r="H82" i="90"/>
  <c r="F82" i="90"/>
  <c r="G82" i="90" s="1"/>
  <c r="A82" i="90"/>
  <c r="H81" i="90"/>
  <c r="G81" i="90" s="1"/>
  <c r="F81" i="90"/>
  <c r="A81" i="90"/>
  <c r="H80" i="90"/>
  <c r="F80" i="90"/>
  <c r="G80" i="90" s="1"/>
  <c r="A80" i="90"/>
  <c r="H79" i="90"/>
  <c r="G79" i="90" s="1"/>
  <c r="F79" i="90"/>
  <c r="A79" i="90"/>
  <c r="H78" i="90"/>
  <c r="F78" i="90"/>
  <c r="G78" i="90" s="1"/>
  <c r="A78" i="90"/>
  <c r="H77" i="90"/>
  <c r="G77" i="90" s="1"/>
  <c r="F77" i="90"/>
  <c r="A77" i="90"/>
  <c r="H76" i="90"/>
  <c r="F76" i="90"/>
  <c r="G76" i="90" s="1"/>
  <c r="A76" i="90"/>
  <c r="H75" i="90"/>
  <c r="G75" i="90" s="1"/>
  <c r="F75" i="90"/>
  <c r="A75" i="90"/>
  <c r="H74" i="90"/>
  <c r="F74" i="90"/>
  <c r="G74" i="90" s="1"/>
  <c r="A74" i="90"/>
  <c r="H73" i="90"/>
  <c r="G73" i="90" s="1"/>
  <c r="F73" i="90"/>
  <c r="A73" i="90"/>
  <c r="H72" i="90"/>
  <c r="F72" i="90"/>
  <c r="G72" i="90" s="1"/>
  <c r="A72" i="90"/>
  <c r="H71" i="90"/>
  <c r="G71" i="90" s="1"/>
  <c r="F71" i="90"/>
  <c r="A71" i="90"/>
  <c r="H70" i="90"/>
  <c r="F70" i="90"/>
  <c r="G70" i="90" s="1"/>
  <c r="A70" i="90"/>
  <c r="H69" i="90"/>
  <c r="G69" i="90" s="1"/>
  <c r="F69" i="90"/>
  <c r="A69" i="90"/>
  <c r="H68" i="90"/>
  <c r="F68" i="90"/>
  <c r="G68" i="90" s="1"/>
  <c r="A68" i="90"/>
  <c r="H67" i="90"/>
  <c r="G67" i="90" s="1"/>
  <c r="F67" i="90"/>
  <c r="A67" i="90"/>
  <c r="H66" i="90"/>
  <c r="F66" i="90"/>
  <c r="G66" i="90" s="1"/>
  <c r="A66" i="90"/>
  <c r="H65" i="90"/>
  <c r="G65" i="90" s="1"/>
  <c r="F65" i="90"/>
  <c r="A65" i="90"/>
  <c r="H64" i="90"/>
  <c r="F64" i="90"/>
  <c r="G64" i="90" s="1"/>
  <c r="A64" i="90"/>
  <c r="H63" i="90"/>
  <c r="G63" i="90" s="1"/>
  <c r="F63" i="90"/>
  <c r="A63" i="90"/>
  <c r="H62" i="90"/>
  <c r="F62" i="90"/>
  <c r="G62" i="90" s="1"/>
  <c r="A62" i="90"/>
  <c r="H61" i="90"/>
  <c r="G61" i="90" s="1"/>
  <c r="F61" i="90"/>
  <c r="A61" i="90"/>
  <c r="H60" i="90"/>
  <c r="F60" i="90"/>
  <c r="G60" i="90" s="1"/>
  <c r="A60" i="90"/>
  <c r="H59" i="90"/>
  <c r="G59" i="90" s="1"/>
  <c r="F59" i="90"/>
  <c r="A59" i="90"/>
  <c r="H58" i="90"/>
  <c r="F58" i="90"/>
  <c r="G58" i="90" s="1"/>
  <c r="A58" i="90"/>
  <c r="H57" i="90"/>
  <c r="G57" i="90" s="1"/>
  <c r="F57" i="90"/>
  <c r="A57" i="90"/>
  <c r="H56" i="90"/>
  <c r="F56" i="90"/>
  <c r="G56" i="90" s="1"/>
  <c r="A56" i="90"/>
  <c r="H55" i="90"/>
  <c r="G55" i="90" s="1"/>
  <c r="F55" i="90"/>
  <c r="A55" i="90"/>
  <c r="H54" i="90"/>
  <c r="F54" i="90"/>
  <c r="G54" i="90" s="1"/>
  <c r="A54" i="90"/>
  <c r="H53" i="90"/>
  <c r="G53" i="90" s="1"/>
  <c r="F53" i="90"/>
  <c r="A53" i="90"/>
  <c r="H52" i="90"/>
  <c r="F52" i="90"/>
  <c r="G52" i="90" s="1"/>
  <c r="A52" i="90"/>
  <c r="H51" i="90"/>
  <c r="G51" i="90" s="1"/>
  <c r="F51" i="90"/>
  <c r="A51" i="90"/>
  <c r="H50" i="90"/>
  <c r="F50" i="90"/>
  <c r="G50" i="90" s="1"/>
  <c r="A50" i="90"/>
  <c r="H49" i="90"/>
  <c r="G49" i="90" s="1"/>
  <c r="F49" i="90"/>
  <c r="A49" i="90"/>
  <c r="H48" i="90"/>
  <c r="F48" i="90"/>
  <c r="G48" i="90" s="1"/>
  <c r="A48" i="90"/>
  <c r="H47" i="90"/>
  <c r="G47" i="90" s="1"/>
  <c r="F47" i="90"/>
  <c r="A47" i="90"/>
  <c r="H46" i="90"/>
  <c r="F46" i="90"/>
  <c r="G46" i="90" s="1"/>
  <c r="A46" i="90"/>
  <c r="H45" i="90"/>
  <c r="G45" i="90" s="1"/>
  <c r="F45" i="90"/>
  <c r="A45" i="90"/>
  <c r="H44" i="90"/>
  <c r="F44" i="90"/>
  <c r="G44" i="90" s="1"/>
  <c r="A44" i="90"/>
  <c r="H43" i="90"/>
  <c r="G43" i="90" s="1"/>
  <c r="F43" i="90"/>
  <c r="A43" i="90"/>
  <c r="H42" i="90"/>
  <c r="F42" i="90"/>
  <c r="G42" i="90" s="1"/>
  <c r="A42" i="90"/>
  <c r="H41" i="90"/>
  <c r="G41" i="90" s="1"/>
  <c r="F41" i="90"/>
  <c r="A41" i="90"/>
  <c r="H40" i="90"/>
  <c r="F40" i="90"/>
  <c r="G40" i="90" s="1"/>
  <c r="A40" i="90"/>
  <c r="H39" i="90"/>
  <c r="G39" i="90" s="1"/>
  <c r="F39" i="90"/>
  <c r="A39" i="90"/>
  <c r="H38" i="90"/>
  <c r="F38" i="90"/>
  <c r="G38" i="90" s="1"/>
  <c r="A38" i="90"/>
  <c r="H37" i="90"/>
  <c r="G37" i="90" s="1"/>
  <c r="F37" i="90"/>
  <c r="A37" i="90"/>
  <c r="H36" i="90"/>
  <c r="F36" i="90"/>
  <c r="G36" i="90" s="1"/>
  <c r="A36" i="90"/>
  <c r="H35" i="90"/>
  <c r="G35" i="90" s="1"/>
  <c r="F35" i="90"/>
  <c r="A35" i="90"/>
  <c r="H34" i="90"/>
  <c r="F34" i="90"/>
  <c r="G34" i="90" s="1"/>
  <c r="A34" i="90"/>
  <c r="H33" i="90"/>
  <c r="G33" i="90" s="1"/>
  <c r="F33" i="90"/>
  <c r="A33" i="90"/>
  <c r="H32" i="90"/>
  <c r="F32" i="90"/>
  <c r="G32" i="90" s="1"/>
  <c r="A32" i="90"/>
  <c r="H31" i="90"/>
  <c r="G31" i="90" s="1"/>
  <c r="F31" i="90"/>
  <c r="A31" i="90"/>
  <c r="H30" i="90"/>
  <c r="F30" i="90"/>
  <c r="G30" i="90" s="1"/>
  <c r="A30" i="90"/>
  <c r="H29" i="90"/>
  <c r="G29" i="90" s="1"/>
  <c r="F29" i="90"/>
  <c r="A29" i="90"/>
  <c r="H28" i="90"/>
  <c r="F28" i="90"/>
  <c r="G28" i="90" s="1"/>
  <c r="A28" i="90"/>
  <c r="H27" i="90"/>
  <c r="G27" i="90" s="1"/>
  <c r="F27" i="90"/>
  <c r="A27" i="90"/>
  <c r="H26" i="90"/>
  <c r="F26" i="90"/>
  <c r="G26" i="90" s="1"/>
  <c r="A26" i="90"/>
  <c r="H25" i="90"/>
  <c r="G25" i="90" s="1"/>
  <c r="F25" i="90"/>
  <c r="A25" i="90"/>
  <c r="H24" i="90"/>
  <c r="F24" i="90"/>
  <c r="G24" i="90" s="1"/>
  <c r="A24" i="90"/>
  <c r="H23" i="90"/>
  <c r="G23" i="90" s="1"/>
  <c r="F23" i="90"/>
  <c r="A23" i="90"/>
  <c r="H22" i="90"/>
  <c r="F22" i="90"/>
  <c r="G22" i="90" s="1"/>
  <c r="A22" i="90"/>
  <c r="H21" i="90"/>
  <c r="G21" i="90" s="1"/>
  <c r="F21" i="90"/>
  <c r="A21" i="90"/>
  <c r="H20" i="90"/>
  <c r="F20" i="90"/>
  <c r="G20" i="90" s="1"/>
  <c r="A20" i="90"/>
  <c r="H19" i="90"/>
  <c r="F19" i="90"/>
  <c r="H18" i="90"/>
  <c r="F18" i="90"/>
  <c r="H17" i="90"/>
  <c r="F17" i="90"/>
  <c r="H16" i="90"/>
  <c r="F16" i="90"/>
  <c r="H15" i="90"/>
  <c r="F15" i="90"/>
  <c r="H14" i="90"/>
  <c r="F14" i="90"/>
  <c r="H13" i="90"/>
  <c r="F13" i="90"/>
  <c r="H12" i="90"/>
  <c r="F12" i="90"/>
  <c r="H11" i="90"/>
  <c r="F11" i="90"/>
  <c r="H10" i="90"/>
  <c r="F10" i="90"/>
  <c r="G10" i="90" s="1"/>
  <c r="H9" i="90"/>
  <c r="F9" i="90"/>
  <c r="H8" i="90"/>
  <c r="F8" i="90"/>
  <c r="H7" i="90"/>
  <c r="F7" i="90"/>
  <c r="H6" i="90"/>
  <c r="F6" i="90"/>
  <c r="H5" i="90"/>
  <c r="F5" i="90"/>
  <c r="H4" i="90"/>
  <c r="F4" i="90"/>
  <c r="H3" i="90"/>
  <c r="F3" i="90"/>
  <c r="H160" i="89"/>
  <c r="F160" i="89"/>
  <c r="G160" i="89" s="1"/>
  <c r="A160" i="89"/>
  <c r="H159" i="89"/>
  <c r="G159" i="89" s="1"/>
  <c r="F159" i="89"/>
  <c r="A159" i="89"/>
  <c r="H158" i="89"/>
  <c r="F158" i="89"/>
  <c r="G158" i="89" s="1"/>
  <c r="A158" i="89"/>
  <c r="H157" i="89"/>
  <c r="F157" i="89"/>
  <c r="G157" i="89" s="1"/>
  <c r="A157" i="89"/>
  <c r="H156" i="89"/>
  <c r="F156" i="89"/>
  <c r="G156" i="89" s="1"/>
  <c r="A156" i="89"/>
  <c r="H155" i="89"/>
  <c r="G155" i="89" s="1"/>
  <c r="F155" i="89"/>
  <c r="A155" i="89"/>
  <c r="H154" i="89"/>
  <c r="F154" i="89"/>
  <c r="G154" i="89" s="1"/>
  <c r="A154" i="89"/>
  <c r="H153" i="89"/>
  <c r="F153" i="89"/>
  <c r="G153" i="89" s="1"/>
  <c r="A153" i="89"/>
  <c r="H152" i="89"/>
  <c r="F152" i="89"/>
  <c r="G152" i="89" s="1"/>
  <c r="A152" i="89"/>
  <c r="H151" i="89"/>
  <c r="G151" i="89" s="1"/>
  <c r="F151" i="89"/>
  <c r="A151" i="89"/>
  <c r="H150" i="89"/>
  <c r="F150" i="89"/>
  <c r="G150" i="89" s="1"/>
  <c r="A150" i="89"/>
  <c r="H149" i="89"/>
  <c r="F149" i="89"/>
  <c r="G149" i="89" s="1"/>
  <c r="A149" i="89"/>
  <c r="H148" i="89"/>
  <c r="F148" i="89"/>
  <c r="G148" i="89" s="1"/>
  <c r="A148" i="89"/>
  <c r="H147" i="89"/>
  <c r="G147" i="89" s="1"/>
  <c r="F147" i="89"/>
  <c r="A147" i="89"/>
  <c r="H146" i="89"/>
  <c r="F146" i="89"/>
  <c r="G146" i="89" s="1"/>
  <c r="A146" i="89"/>
  <c r="H145" i="89"/>
  <c r="F145" i="89"/>
  <c r="G145" i="89" s="1"/>
  <c r="A145" i="89"/>
  <c r="H144" i="89"/>
  <c r="F144" i="89"/>
  <c r="G144" i="89" s="1"/>
  <c r="A144" i="89"/>
  <c r="H143" i="89"/>
  <c r="G143" i="89" s="1"/>
  <c r="F143" i="89"/>
  <c r="A143" i="89"/>
  <c r="H142" i="89"/>
  <c r="F142" i="89"/>
  <c r="G142" i="89" s="1"/>
  <c r="A142" i="89"/>
  <c r="H141" i="89"/>
  <c r="F141" i="89"/>
  <c r="G141" i="89" s="1"/>
  <c r="A141" i="89"/>
  <c r="H140" i="89"/>
  <c r="F140" i="89"/>
  <c r="G140" i="89" s="1"/>
  <c r="A140" i="89"/>
  <c r="H139" i="89"/>
  <c r="G139" i="89" s="1"/>
  <c r="F139" i="89"/>
  <c r="A139" i="89"/>
  <c r="H138" i="89"/>
  <c r="F138" i="89"/>
  <c r="G138" i="89" s="1"/>
  <c r="A138" i="89"/>
  <c r="H137" i="89"/>
  <c r="F137" i="89"/>
  <c r="G137" i="89" s="1"/>
  <c r="A137" i="89"/>
  <c r="H136" i="89"/>
  <c r="F136" i="89"/>
  <c r="G136" i="89" s="1"/>
  <c r="A136" i="89"/>
  <c r="H135" i="89"/>
  <c r="G135" i="89" s="1"/>
  <c r="F135" i="89"/>
  <c r="A135" i="89"/>
  <c r="H134" i="89"/>
  <c r="F134" i="89"/>
  <c r="G134" i="89" s="1"/>
  <c r="A134" i="89"/>
  <c r="H133" i="89"/>
  <c r="F133" i="89"/>
  <c r="G133" i="89" s="1"/>
  <c r="A133" i="89"/>
  <c r="H132" i="89"/>
  <c r="F132" i="89"/>
  <c r="G132" i="89" s="1"/>
  <c r="A132" i="89"/>
  <c r="H131" i="89"/>
  <c r="G131" i="89" s="1"/>
  <c r="F131" i="89"/>
  <c r="A131" i="89"/>
  <c r="H130" i="89"/>
  <c r="F130" i="89"/>
  <c r="G130" i="89" s="1"/>
  <c r="A130" i="89"/>
  <c r="H129" i="89"/>
  <c r="F129" i="89"/>
  <c r="G129" i="89" s="1"/>
  <c r="A129" i="89"/>
  <c r="H128" i="89"/>
  <c r="F128" i="89"/>
  <c r="G128" i="89" s="1"/>
  <c r="A128" i="89"/>
  <c r="H127" i="89"/>
  <c r="G127" i="89" s="1"/>
  <c r="F127" i="89"/>
  <c r="A127" i="89"/>
  <c r="H126" i="89"/>
  <c r="F126" i="89"/>
  <c r="G126" i="89" s="1"/>
  <c r="A126" i="89"/>
  <c r="H125" i="89"/>
  <c r="F125" i="89"/>
  <c r="G125" i="89" s="1"/>
  <c r="A125" i="89"/>
  <c r="H124" i="89"/>
  <c r="F124" i="89"/>
  <c r="G124" i="89" s="1"/>
  <c r="A124" i="89"/>
  <c r="H123" i="89"/>
  <c r="G123" i="89" s="1"/>
  <c r="F123" i="89"/>
  <c r="A123" i="89"/>
  <c r="H122" i="89"/>
  <c r="F122" i="89"/>
  <c r="G122" i="89" s="1"/>
  <c r="A122" i="89"/>
  <c r="H121" i="89"/>
  <c r="F121" i="89"/>
  <c r="G121" i="89" s="1"/>
  <c r="A121" i="89"/>
  <c r="H120" i="89"/>
  <c r="F120" i="89"/>
  <c r="G120" i="89" s="1"/>
  <c r="A120" i="89"/>
  <c r="H119" i="89"/>
  <c r="G119" i="89" s="1"/>
  <c r="F119" i="89"/>
  <c r="A119" i="89"/>
  <c r="H118" i="89"/>
  <c r="F118" i="89"/>
  <c r="G118" i="89" s="1"/>
  <c r="A118" i="89"/>
  <c r="H117" i="89"/>
  <c r="F117" i="89"/>
  <c r="G117" i="89" s="1"/>
  <c r="A117" i="89"/>
  <c r="H116" i="89"/>
  <c r="F116" i="89"/>
  <c r="G116" i="89" s="1"/>
  <c r="A116" i="89"/>
  <c r="H115" i="89"/>
  <c r="G115" i="89" s="1"/>
  <c r="F115" i="89"/>
  <c r="A115" i="89"/>
  <c r="H114" i="89"/>
  <c r="F114" i="89"/>
  <c r="G114" i="89" s="1"/>
  <c r="A114" i="89"/>
  <c r="H113" i="89"/>
  <c r="F113" i="89"/>
  <c r="G113" i="89" s="1"/>
  <c r="A113" i="89"/>
  <c r="H112" i="89"/>
  <c r="F112" i="89"/>
  <c r="G112" i="89" s="1"/>
  <c r="A112" i="89"/>
  <c r="H111" i="89"/>
  <c r="G111" i="89" s="1"/>
  <c r="F111" i="89"/>
  <c r="A111" i="89"/>
  <c r="H110" i="89"/>
  <c r="F110" i="89"/>
  <c r="G110" i="89" s="1"/>
  <c r="A110" i="89"/>
  <c r="H109" i="89"/>
  <c r="F109" i="89"/>
  <c r="G109" i="89" s="1"/>
  <c r="A109" i="89"/>
  <c r="H108" i="89"/>
  <c r="F108" i="89"/>
  <c r="G108" i="89" s="1"/>
  <c r="A108" i="89"/>
  <c r="H107" i="89"/>
  <c r="G107" i="89" s="1"/>
  <c r="F107" i="89"/>
  <c r="A107" i="89"/>
  <c r="H106" i="89"/>
  <c r="F106" i="89"/>
  <c r="G106" i="89" s="1"/>
  <c r="A106" i="89"/>
  <c r="H105" i="89"/>
  <c r="F105" i="89"/>
  <c r="G105" i="89" s="1"/>
  <c r="A105" i="89"/>
  <c r="H104" i="89"/>
  <c r="F104" i="89"/>
  <c r="G104" i="89" s="1"/>
  <c r="A104" i="89"/>
  <c r="H103" i="89"/>
  <c r="G103" i="89" s="1"/>
  <c r="F103" i="89"/>
  <c r="A103" i="89"/>
  <c r="H102" i="89"/>
  <c r="F102" i="89"/>
  <c r="G102" i="89" s="1"/>
  <c r="A102" i="89"/>
  <c r="H101" i="89"/>
  <c r="F101" i="89"/>
  <c r="G101" i="89" s="1"/>
  <c r="A101" i="89"/>
  <c r="H100" i="89"/>
  <c r="F100" i="89"/>
  <c r="G100" i="89" s="1"/>
  <c r="A100" i="89"/>
  <c r="H99" i="89"/>
  <c r="G99" i="89" s="1"/>
  <c r="F99" i="89"/>
  <c r="A99" i="89"/>
  <c r="H98" i="89"/>
  <c r="F98" i="89"/>
  <c r="G98" i="89" s="1"/>
  <c r="A98" i="89"/>
  <c r="H97" i="89"/>
  <c r="F97" i="89"/>
  <c r="G97" i="89" s="1"/>
  <c r="A97" i="89"/>
  <c r="H96" i="89"/>
  <c r="F96" i="89"/>
  <c r="G96" i="89" s="1"/>
  <c r="A96" i="89"/>
  <c r="H95" i="89"/>
  <c r="G95" i="89" s="1"/>
  <c r="F95" i="89"/>
  <c r="A95" i="89"/>
  <c r="H94" i="89"/>
  <c r="F94" i="89"/>
  <c r="G94" i="89" s="1"/>
  <c r="A94" i="89"/>
  <c r="H93" i="89"/>
  <c r="F93" i="89"/>
  <c r="G93" i="89" s="1"/>
  <c r="A93" i="89"/>
  <c r="H92" i="89"/>
  <c r="F92" i="89"/>
  <c r="G92" i="89" s="1"/>
  <c r="A92" i="89"/>
  <c r="H91" i="89"/>
  <c r="G91" i="89" s="1"/>
  <c r="F91" i="89"/>
  <c r="A91" i="89"/>
  <c r="H90" i="89"/>
  <c r="F90" i="89"/>
  <c r="G90" i="89" s="1"/>
  <c r="A90" i="89"/>
  <c r="H89" i="89"/>
  <c r="F89" i="89"/>
  <c r="G89" i="89" s="1"/>
  <c r="A89" i="89"/>
  <c r="H88" i="89"/>
  <c r="F88" i="89"/>
  <c r="G88" i="89" s="1"/>
  <c r="A88" i="89"/>
  <c r="H87" i="89"/>
  <c r="G87" i="89" s="1"/>
  <c r="F87" i="89"/>
  <c r="A87" i="89"/>
  <c r="H86" i="89"/>
  <c r="F86" i="89"/>
  <c r="G86" i="89" s="1"/>
  <c r="A86" i="89"/>
  <c r="H85" i="89"/>
  <c r="F85" i="89"/>
  <c r="G85" i="89" s="1"/>
  <c r="A85" i="89"/>
  <c r="H84" i="89"/>
  <c r="F84" i="89"/>
  <c r="G84" i="89" s="1"/>
  <c r="A84" i="89"/>
  <c r="H83" i="89"/>
  <c r="G83" i="89" s="1"/>
  <c r="F83" i="89"/>
  <c r="A83" i="89"/>
  <c r="H82" i="89"/>
  <c r="F82" i="89"/>
  <c r="G82" i="89" s="1"/>
  <c r="A82" i="89"/>
  <c r="H81" i="89"/>
  <c r="F81" i="89"/>
  <c r="G81" i="89" s="1"/>
  <c r="A81" i="89"/>
  <c r="H80" i="89"/>
  <c r="F80" i="89"/>
  <c r="G80" i="89" s="1"/>
  <c r="A80" i="89"/>
  <c r="H79" i="89"/>
  <c r="G79" i="89" s="1"/>
  <c r="F79" i="89"/>
  <c r="A79" i="89"/>
  <c r="H78" i="89"/>
  <c r="F78" i="89"/>
  <c r="G78" i="89" s="1"/>
  <c r="A78" i="89"/>
  <c r="H77" i="89"/>
  <c r="F77" i="89"/>
  <c r="G77" i="89" s="1"/>
  <c r="A77" i="89"/>
  <c r="H76" i="89"/>
  <c r="F76" i="89"/>
  <c r="G76" i="89" s="1"/>
  <c r="A76" i="89"/>
  <c r="H75" i="89"/>
  <c r="G75" i="89" s="1"/>
  <c r="F75" i="89"/>
  <c r="A75" i="89"/>
  <c r="H74" i="89"/>
  <c r="F74" i="89"/>
  <c r="G74" i="89" s="1"/>
  <c r="A74" i="89"/>
  <c r="H73" i="89"/>
  <c r="F73" i="89"/>
  <c r="G73" i="89" s="1"/>
  <c r="A73" i="89"/>
  <c r="H72" i="89"/>
  <c r="F72" i="89"/>
  <c r="G72" i="89" s="1"/>
  <c r="A72" i="89"/>
  <c r="H71" i="89"/>
  <c r="G71" i="89" s="1"/>
  <c r="F71" i="89"/>
  <c r="A71" i="89"/>
  <c r="H70" i="89"/>
  <c r="F70" i="89"/>
  <c r="G70" i="89" s="1"/>
  <c r="A70" i="89"/>
  <c r="H69" i="89"/>
  <c r="F69" i="89"/>
  <c r="G69" i="89" s="1"/>
  <c r="A69" i="89"/>
  <c r="H68" i="89"/>
  <c r="F68" i="89"/>
  <c r="G68" i="89" s="1"/>
  <c r="A68" i="89"/>
  <c r="H67" i="89"/>
  <c r="G67" i="89" s="1"/>
  <c r="F67" i="89"/>
  <c r="A67" i="89"/>
  <c r="H66" i="89"/>
  <c r="F66" i="89"/>
  <c r="G66" i="89" s="1"/>
  <c r="A66" i="89"/>
  <c r="H65" i="89"/>
  <c r="F65" i="89"/>
  <c r="G65" i="89" s="1"/>
  <c r="A65" i="89"/>
  <c r="H64" i="89"/>
  <c r="F64" i="89"/>
  <c r="G64" i="89" s="1"/>
  <c r="A64" i="89"/>
  <c r="H63" i="89"/>
  <c r="G63" i="89" s="1"/>
  <c r="F63" i="89"/>
  <c r="A63" i="89"/>
  <c r="H62" i="89"/>
  <c r="F62" i="89"/>
  <c r="G62" i="89" s="1"/>
  <c r="A62" i="89"/>
  <c r="H61" i="89"/>
  <c r="F61" i="89"/>
  <c r="G61" i="89" s="1"/>
  <c r="A61" i="89"/>
  <c r="H60" i="89"/>
  <c r="F60" i="89"/>
  <c r="G60" i="89" s="1"/>
  <c r="A60" i="89"/>
  <c r="H59" i="89"/>
  <c r="G59" i="89" s="1"/>
  <c r="F59" i="89"/>
  <c r="A59" i="89"/>
  <c r="H58" i="89"/>
  <c r="F58" i="89"/>
  <c r="G58" i="89" s="1"/>
  <c r="A58" i="89"/>
  <c r="H57" i="89"/>
  <c r="F57" i="89"/>
  <c r="G57" i="89" s="1"/>
  <c r="A57" i="89"/>
  <c r="H56" i="89"/>
  <c r="F56" i="89"/>
  <c r="G56" i="89" s="1"/>
  <c r="A56" i="89"/>
  <c r="H55" i="89"/>
  <c r="G55" i="89" s="1"/>
  <c r="F55" i="89"/>
  <c r="A55" i="89"/>
  <c r="H54" i="89"/>
  <c r="F54" i="89"/>
  <c r="G54" i="89" s="1"/>
  <c r="A54" i="89"/>
  <c r="H53" i="89"/>
  <c r="F53" i="89"/>
  <c r="G53" i="89" s="1"/>
  <c r="A53" i="89"/>
  <c r="H52" i="89"/>
  <c r="F52" i="89"/>
  <c r="G52" i="89" s="1"/>
  <c r="A52" i="89"/>
  <c r="H51" i="89"/>
  <c r="G51" i="89" s="1"/>
  <c r="F51" i="89"/>
  <c r="A51" i="89"/>
  <c r="H50" i="89"/>
  <c r="F50" i="89"/>
  <c r="G50" i="89" s="1"/>
  <c r="A50" i="89"/>
  <c r="H49" i="89"/>
  <c r="F49" i="89"/>
  <c r="G49" i="89" s="1"/>
  <c r="A49" i="89"/>
  <c r="H48" i="89"/>
  <c r="F48" i="89"/>
  <c r="G48" i="89" s="1"/>
  <c r="A48" i="89"/>
  <c r="H47" i="89"/>
  <c r="G47" i="89" s="1"/>
  <c r="F47" i="89"/>
  <c r="A47" i="89"/>
  <c r="H46" i="89"/>
  <c r="F46" i="89"/>
  <c r="G46" i="89" s="1"/>
  <c r="A46" i="89"/>
  <c r="H45" i="89"/>
  <c r="F45" i="89"/>
  <c r="G45" i="89" s="1"/>
  <c r="A45" i="89"/>
  <c r="H44" i="89"/>
  <c r="F44" i="89"/>
  <c r="G44" i="89" s="1"/>
  <c r="A44" i="89"/>
  <c r="H43" i="89"/>
  <c r="G43" i="89" s="1"/>
  <c r="F43" i="89"/>
  <c r="A43" i="89"/>
  <c r="H42" i="89"/>
  <c r="F42" i="89"/>
  <c r="G42" i="89" s="1"/>
  <c r="A42" i="89"/>
  <c r="H41" i="89"/>
  <c r="F41" i="89"/>
  <c r="G41" i="89" s="1"/>
  <c r="A41" i="89"/>
  <c r="H40" i="89"/>
  <c r="F40" i="89"/>
  <c r="G40" i="89" s="1"/>
  <c r="A40" i="89"/>
  <c r="H39" i="89"/>
  <c r="G39" i="89" s="1"/>
  <c r="F39" i="89"/>
  <c r="A39" i="89"/>
  <c r="H38" i="89"/>
  <c r="F38" i="89"/>
  <c r="G38" i="89" s="1"/>
  <c r="A38" i="89"/>
  <c r="H37" i="89"/>
  <c r="F37" i="89"/>
  <c r="G37" i="89" s="1"/>
  <c r="A37" i="89"/>
  <c r="H36" i="89"/>
  <c r="F36" i="89"/>
  <c r="G36" i="89" s="1"/>
  <c r="A36" i="89"/>
  <c r="H35" i="89"/>
  <c r="G35" i="89" s="1"/>
  <c r="F35" i="89"/>
  <c r="A35" i="89"/>
  <c r="H34" i="89"/>
  <c r="F34" i="89"/>
  <c r="G34" i="89" s="1"/>
  <c r="A34" i="89"/>
  <c r="H33" i="89"/>
  <c r="F33" i="89"/>
  <c r="G33" i="89" s="1"/>
  <c r="A33" i="89"/>
  <c r="H32" i="89"/>
  <c r="F32" i="89"/>
  <c r="G32" i="89" s="1"/>
  <c r="A32" i="89"/>
  <c r="H31" i="89"/>
  <c r="G31" i="89" s="1"/>
  <c r="F31" i="89"/>
  <c r="A31" i="89"/>
  <c r="H30" i="89"/>
  <c r="F30" i="89"/>
  <c r="G30" i="89" s="1"/>
  <c r="A30" i="89"/>
  <c r="H29" i="89"/>
  <c r="F29" i="89"/>
  <c r="H28" i="89"/>
  <c r="F28" i="89"/>
  <c r="H27" i="89"/>
  <c r="F27" i="89"/>
  <c r="H26" i="89"/>
  <c r="F26" i="89"/>
  <c r="H25" i="89"/>
  <c r="F25" i="89"/>
  <c r="H24" i="89"/>
  <c r="F24" i="89"/>
  <c r="H23" i="89"/>
  <c r="F23" i="89"/>
  <c r="H22" i="89"/>
  <c r="F22" i="89"/>
  <c r="H21" i="89"/>
  <c r="F21" i="89"/>
  <c r="H20" i="89"/>
  <c r="F20" i="89"/>
  <c r="H19" i="89"/>
  <c r="F19" i="89"/>
  <c r="H18" i="89"/>
  <c r="F18" i="89"/>
  <c r="H17" i="89"/>
  <c r="F17" i="89"/>
  <c r="H16" i="89"/>
  <c r="F16" i="89"/>
  <c r="H15" i="89"/>
  <c r="F15" i="89"/>
  <c r="H14" i="89"/>
  <c r="F14" i="89"/>
  <c r="H13" i="89"/>
  <c r="F13" i="89"/>
  <c r="H12" i="89"/>
  <c r="F12" i="89"/>
  <c r="H11" i="89"/>
  <c r="F11" i="89"/>
  <c r="H10" i="89"/>
  <c r="F10" i="89"/>
  <c r="H9" i="89"/>
  <c r="F9" i="89"/>
  <c r="H8" i="89"/>
  <c r="F8" i="89"/>
  <c r="H7" i="89"/>
  <c r="G7" i="89" s="1"/>
  <c r="F7" i="89"/>
  <c r="H6" i="89"/>
  <c r="F6" i="89"/>
  <c r="H5" i="89"/>
  <c r="F5" i="89"/>
  <c r="G5" i="89" s="1"/>
  <c r="H4" i="89"/>
  <c r="F4" i="89"/>
  <c r="H3" i="89"/>
  <c r="F3" i="89"/>
  <c r="H160" i="88"/>
  <c r="F160" i="88"/>
  <c r="G160" i="88" s="1"/>
  <c r="A160" i="88"/>
  <c r="H159" i="88"/>
  <c r="G159" i="88"/>
  <c r="F159" i="88"/>
  <c r="A159" i="88"/>
  <c r="H158" i="88"/>
  <c r="F158" i="88"/>
  <c r="G158" i="88" s="1"/>
  <c r="A158" i="88"/>
  <c r="H157" i="88"/>
  <c r="G157" i="88"/>
  <c r="F157" i="88"/>
  <c r="A157" i="88"/>
  <c r="H156" i="88"/>
  <c r="F156" i="88"/>
  <c r="G156" i="88" s="1"/>
  <c r="A156" i="88"/>
  <c r="H155" i="88"/>
  <c r="G155" i="88"/>
  <c r="F155" i="88"/>
  <c r="A155" i="88"/>
  <c r="H154" i="88"/>
  <c r="F154" i="88"/>
  <c r="G154" i="88" s="1"/>
  <c r="A154" i="88"/>
  <c r="H153" i="88"/>
  <c r="G153" i="88"/>
  <c r="F153" i="88"/>
  <c r="A153" i="88"/>
  <c r="H152" i="88"/>
  <c r="F152" i="88"/>
  <c r="G152" i="88" s="1"/>
  <c r="A152" i="88"/>
  <c r="H151" i="88"/>
  <c r="G151" i="88"/>
  <c r="F151" i="88"/>
  <c r="A151" i="88"/>
  <c r="H150" i="88"/>
  <c r="F150" i="88"/>
  <c r="G150" i="88" s="1"/>
  <c r="A150" i="88"/>
  <c r="H149" i="88"/>
  <c r="G149" i="88"/>
  <c r="F149" i="88"/>
  <c r="A149" i="88"/>
  <c r="H148" i="88"/>
  <c r="F148" i="88"/>
  <c r="G148" i="88" s="1"/>
  <c r="A148" i="88"/>
  <c r="H147" i="88"/>
  <c r="G147" i="88"/>
  <c r="F147" i="88"/>
  <c r="A147" i="88"/>
  <c r="H146" i="88"/>
  <c r="F146" i="88"/>
  <c r="G146" i="88" s="1"/>
  <c r="A146" i="88"/>
  <c r="H145" i="88"/>
  <c r="G145" i="88"/>
  <c r="F145" i="88"/>
  <c r="A145" i="88"/>
  <c r="H144" i="88"/>
  <c r="F144" i="88"/>
  <c r="G144" i="88" s="1"/>
  <c r="A144" i="88"/>
  <c r="H143" i="88"/>
  <c r="G143" i="88"/>
  <c r="F143" i="88"/>
  <c r="A143" i="88"/>
  <c r="H142" i="88"/>
  <c r="F142" i="88"/>
  <c r="G142" i="88" s="1"/>
  <c r="A142" i="88"/>
  <c r="H141" i="88"/>
  <c r="G141" i="88"/>
  <c r="F141" i="88"/>
  <c r="A141" i="88"/>
  <c r="H140" i="88"/>
  <c r="F140" i="88"/>
  <c r="G140" i="88" s="1"/>
  <c r="A140" i="88"/>
  <c r="H139" i="88"/>
  <c r="G139" i="88"/>
  <c r="F139" i="88"/>
  <c r="A139" i="88"/>
  <c r="H138" i="88"/>
  <c r="F138" i="88"/>
  <c r="G138" i="88" s="1"/>
  <c r="A138" i="88"/>
  <c r="H137" i="88"/>
  <c r="G137" i="88"/>
  <c r="F137" i="88"/>
  <c r="A137" i="88"/>
  <c r="H136" i="88"/>
  <c r="F136" i="88"/>
  <c r="G136" i="88" s="1"/>
  <c r="A136" i="88"/>
  <c r="H135" i="88"/>
  <c r="G135" i="88"/>
  <c r="F135" i="88"/>
  <c r="A135" i="88"/>
  <c r="H134" i="88"/>
  <c r="F134" i="88"/>
  <c r="G134" i="88" s="1"/>
  <c r="A134" i="88"/>
  <c r="H133" i="88"/>
  <c r="G133" i="88"/>
  <c r="F133" i="88"/>
  <c r="A133" i="88"/>
  <c r="H132" i="88"/>
  <c r="F132" i="88"/>
  <c r="G132" i="88" s="1"/>
  <c r="A132" i="88"/>
  <c r="H131" i="88"/>
  <c r="G131" i="88"/>
  <c r="F131" i="88"/>
  <c r="A131" i="88"/>
  <c r="H130" i="88"/>
  <c r="F130" i="88"/>
  <c r="G130" i="88" s="1"/>
  <c r="A130" i="88"/>
  <c r="H129" i="88"/>
  <c r="G129" i="88"/>
  <c r="F129" i="88"/>
  <c r="A129" i="88"/>
  <c r="H128" i="88"/>
  <c r="F128" i="88"/>
  <c r="G128" i="88" s="1"/>
  <c r="A128" i="88"/>
  <c r="H127" i="88"/>
  <c r="G127" i="88"/>
  <c r="F127" i="88"/>
  <c r="A127" i="88"/>
  <c r="H126" i="88"/>
  <c r="F126" i="88"/>
  <c r="G126" i="88" s="1"/>
  <c r="A126" i="88"/>
  <c r="H125" i="88"/>
  <c r="G125" i="88"/>
  <c r="F125" i="88"/>
  <c r="A125" i="88"/>
  <c r="H124" i="88"/>
  <c r="F124" i="88"/>
  <c r="G124" i="88" s="1"/>
  <c r="A124" i="88"/>
  <c r="H123" i="88"/>
  <c r="G123" i="88"/>
  <c r="F123" i="88"/>
  <c r="A123" i="88"/>
  <c r="H122" i="88"/>
  <c r="F122" i="88"/>
  <c r="G122" i="88" s="1"/>
  <c r="A122" i="88"/>
  <c r="H121" i="88"/>
  <c r="G121" i="88"/>
  <c r="F121" i="88"/>
  <c r="A121" i="88"/>
  <c r="H120" i="88"/>
  <c r="F120" i="88"/>
  <c r="G120" i="88" s="1"/>
  <c r="A120" i="88"/>
  <c r="H119" i="88"/>
  <c r="G119" i="88"/>
  <c r="F119" i="88"/>
  <c r="A119" i="88"/>
  <c r="H118" i="88"/>
  <c r="F118" i="88"/>
  <c r="G118" i="88" s="1"/>
  <c r="A118" i="88"/>
  <c r="H117" i="88"/>
  <c r="G117" i="88"/>
  <c r="F117" i="88"/>
  <c r="A117" i="88"/>
  <c r="H116" i="88"/>
  <c r="F116" i="88"/>
  <c r="G116" i="88" s="1"/>
  <c r="A116" i="88"/>
  <c r="H115" i="88"/>
  <c r="G115" i="88"/>
  <c r="F115" i="88"/>
  <c r="A115" i="88"/>
  <c r="H114" i="88"/>
  <c r="F114" i="88"/>
  <c r="G114" i="88" s="1"/>
  <c r="A114" i="88"/>
  <c r="H113" i="88"/>
  <c r="G113" i="88"/>
  <c r="F113" i="88"/>
  <c r="A113" i="88"/>
  <c r="H112" i="88"/>
  <c r="F112" i="88"/>
  <c r="G112" i="88" s="1"/>
  <c r="A112" i="88"/>
  <c r="H111" i="88"/>
  <c r="G111" i="88"/>
  <c r="F111" i="88"/>
  <c r="A111" i="88"/>
  <c r="H110" i="88"/>
  <c r="F110" i="88"/>
  <c r="G110" i="88" s="1"/>
  <c r="A110" i="88"/>
  <c r="H109" i="88"/>
  <c r="G109" i="88"/>
  <c r="F109" i="88"/>
  <c r="A109" i="88"/>
  <c r="H108" i="88"/>
  <c r="F108" i="88"/>
  <c r="G108" i="88" s="1"/>
  <c r="A108" i="88"/>
  <c r="H107" i="88"/>
  <c r="G107" i="88"/>
  <c r="F107" i="88"/>
  <c r="A107" i="88"/>
  <c r="H106" i="88"/>
  <c r="F106" i="88"/>
  <c r="G106" i="88" s="1"/>
  <c r="A106" i="88"/>
  <c r="H105" i="88"/>
  <c r="G105" i="88"/>
  <c r="F105" i="88"/>
  <c r="A105" i="88"/>
  <c r="H104" i="88"/>
  <c r="F104" i="88"/>
  <c r="G104" i="88" s="1"/>
  <c r="A104" i="88"/>
  <c r="H103" i="88"/>
  <c r="G103" i="88"/>
  <c r="F103" i="88"/>
  <c r="A103" i="88"/>
  <c r="H102" i="88"/>
  <c r="F102" i="88"/>
  <c r="G102" i="88" s="1"/>
  <c r="A102" i="88"/>
  <c r="H101" i="88"/>
  <c r="G101" i="88"/>
  <c r="F101" i="88"/>
  <c r="A101" i="88"/>
  <c r="H100" i="88"/>
  <c r="F100" i="88"/>
  <c r="G100" i="88" s="1"/>
  <c r="A100" i="88"/>
  <c r="H99" i="88"/>
  <c r="G99" i="88"/>
  <c r="F99" i="88"/>
  <c r="A99" i="88"/>
  <c r="H98" i="88"/>
  <c r="F98" i="88"/>
  <c r="G98" i="88" s="1"/>
  <c r="A98" i="88"/>
  <c r="H97" i="88"/>
  <c r="G97" i="88"/>
  <c r="F97" i="88"/>
  <c r="A97" i="88"/>
  <c r="H96" i="88"/>
  <c r="F96" i="88"/>
  <c r="G96" i="88" s="1"/>
  <c r="A96" i="88"/>
  <c r="H95" i="88"/>
  <c r="G95" i="88"/>
  <c r="F95" i="88"/>
  <c r="A95" i="88"/>
  <c r="H94" i="88"/>
  <c r="F94" i="88"/>
  <c r="G94" i="88" s="1"/>
  <c r="A94" i="88"/>
  <c r="H93" i="88"/>
  <c r="G93" i="88"/>
  <c r="F93" i="88"/>
  <c r="A93" i="88"/>
  <c r="H92" i="88"/>
  <c r="F92" i="88"/>
  <c r="G92" i="88" s="1"/>
  <c r="A92" i="88"/>
  <c r="H91" i="88"/>
  <c r="G91" i="88"/>
  <c r="F91" i="88"/>
  <c r="A91" i="88"/>
  <c r="H90" i="88"/>
  <c r="F90" i="88"/>
  <c r="G90" i="88" s="1"/>
  <c r="A90" i="88"/>
  <c r="H89" i="88"/>
  <c r="G89" i="88"/>
  <c r="F89" i="88"/>
  <c r="A89" i="88"/>
  <c r="H88" i="88"/>
  <c r="F88" i="88"/>
  <c r="G88" i="88" s="1"/>
  <c r="A88" i="88"/>
  <c r="H87" i="88"/>
  <c r="G87" i="88"/>
  <c r="F87" i="88"/>
  <c r="A87" i="88"/>
  <c r="H86" i="88"/>
  <c r="F86" i="88"/>
  <c r="G86" i="88" s="1"/>
  <c r="A86" i="88"/>
  <c r="H85" i="88"/>
  <c r="G85" i="88"/>
  <c r="F85" i="88"/>
  <c r="A85" i="88"/>
  <c r="H84" i="88"/>
  <c r="F84" i="88"/>
  <c r="G84" i="88" s="1"/>
  <c r="A84" i="88"/>
  <c r="H83" i="88"/>
  <c r="G83" i="88"/>
  <c r="F83" i="88"/>
  <c r="A83" i="88"/>
  <c r="H82" i="88"/>
  <c r="F82" i="88"/>
  <c r="G82" i="88" s="1"/>
  <c r="A82" i="88"/>
  <c r="H81" i="88"/>
  <c r="G81" i="88"/>
  <c r="F81" i="88"/>
  <c r="A81" i="88"/>
  <c r="H80" i="88"/>
  <c r="F80" i="88"/>
  <c r="G80" i="88" s="1"/>
  <c r="A80" i="88"/>
  <c r="H79" i="88"/>
  <c r="G79" i="88"/>
  <c r="F79" i="88"/>
  <c r="A79" i="88"/>
  <c r="H78" i="88"/>
  <c r="F78" i="88"/>
  <c r="G78" i="88" s="1"/>
  <c r="A78" i="88"/>
  <c r="H77" i="88"/>
  <c r="G77" i="88"/>
  <c r="F77" i="88"/>
  <c r="A77" i="88"/>
  <c r="H76" i="88"/>
  <c r="F76" i="88"/>
  <c r="G76" i="88" s="1"/>
  <c r="A76" i="88"/>
  <c r="H75" i="88"/>
  <c r="G75" i="88"/>
  <c r="F75" i="88"/>
  <c r="A75" i="88"/>
  <c r="H74" i="88"/>
  <c r="F74" i="88"/>
  <c r="G74" i="88" s="1"/>
  <c r="A74" i="88"/>
  <c r="H73" i="88"/>
  <c r="G73" i="88"/>
  <c r="F73" i="88"/>
  <c r="A73" i="88"/>
  <c r="H72" i="88"/>
  <c r="F72" i="88"/>
  <c r="G72" i="88" s="1"/>
  <c r="A72" i="88"/>
  <c r="H71" i="88"/>
  <c r="G71" i="88"/>
  <c r="F71" i="88"/>
  <c r="A71" i="88"/>
  <c r="H70" i="88"/>
  <c r="F70" i="88"/>
  <c r="G70" i="88" s="1"/>
  <c r="A70" i="88"/>
  <c r="H69" i="88"/>
  <c r="G69" i="88"/>
  <c r="F69" i="88"/>
  <c r="A69" i="88"/>
  <c r="H68" i="88"/>
  <c r="F68" i="88"/>
  <c r="G68" i="88" s="1"/>
  <c r="A68" i="88"/>
  <c r="H67" i="88"/>
  <c r="G67" i="88"/>
  <c r="F67" i="88"/>
  <c r="A67" i="88"/>
  <c r="H66" i="88"/>
  <c r="F66" i="88"/>
  <c r="G66" i="88" s="1"/>
  <c r="A66" i="88"/>
  <c r="H65" i="88"/>
  <c r="G65" i="88"/>
  <c r="F65" i="88"/>
  <c r="A65" i="88"/>
  <c r="H64" i="88"/>
  <c r="F64" i="88"/>
  <c r="G64" i="88" s="1"/>
  <c r="A64" i="88"/>
  <c r="H63" i="88"/>
  <c r="G63" i="88"/>
  <c r="F63" i="88"/>
  <c r="A63" i="88"/>
  <c r="H62" i="88"/>
  <c r="F62" i="88"/>
  <c r="G62" i="88" s="1"/>
  <c r="A62" i="88"/>
  <c r="H61" i="88"/>
  <c r="G61" i="88"/>
  <c r="F61" i="88"/>
  <c r="A61" i="88"/>
  <c r="H60" i="88"/>
  <c r="F60" i="88"/>
  <c r="G60" i="88" s="1"/>
  <c r="A60" i="88"/>
  <c r="H59" i="88"/>
  <c r="G59" i="88"/>
  <c r="F59" i="88"/>
  <c r="A59" i="88"/>
  <c r="H58" i="88"/>
  <c r="F58" i="88"/>
  <c r="G58" i="88" s="1"/>
  <c r="A58" i="88"/>
  <c r="H57" i="88"/>
  <c r="G57" i="88"/>
  <c r="F57" i="88"/>
  <c r="A57" i="88"/>
  <c r="H56" i="88"/>
  <c r="F56" i="88"/>
  <c r="G56" i="88" s="1"/>
  <c r="A56" i="88"/>
  <c r="H55" i="88"/>
  <c r="G55" i="88"/>
  <c r="F55" i="88"/>
  <c r="A55" i="88"/>
  <c r="H54" i="88"/>
  <c r="F54" i="88"/>
  <c r="G54" i="88" s="1"/>
  <c r="A54" i="88"/>
  <c r="H53" i="88"/>
  <c r="G53" i="88"/>
  <c r="F53" i="88"/>
  <c r="A53" i="88"/>
  <c r="H52" i="88"/>
  <c r="F52" i="88"/>
  <c r="G52" i="88" s="1"/>
  <c r="A52" i="88"/>
  <c r="H51" i="88"/>
  <c r="G51" i="88"/>
  <c r="F51" i="88"/>
  <c r="A51" i="88"/>
  <c r="H50" i="88"/>
  <c r="F50" i="88"/>
  <c r="G50" i="88" s="1"/>
  <c r="A50" i="88"/>
  <c r="H49" i="88"/>
  <c r="G49" i="88"/>
  <c r="F49" i="88"/>
  <c r="A49" i="88"/>
  <c r="H48" i="88"/>
  <c r="F48" i="88"/>
  <c r="G48" i="88" s="1"/>
  <c r="A48" i="88"/>
  <c r="H47" i="88"/>
  <c r="G47" i="88"/>
  <c r="F47" i="88"/>
  <c r="A47" i="88"/>
  <c r="H46" i="88"/>
  <c r="F46" i="88"/>
  <c r="G46" i="88" s="1"/>
  <c r="A46" i="88"/>
  <c r="H45" i="88"/>
  <c r="G45" i="88"/>
  <c r="F45" i="88"/>
  <c r="A45" i="88"/>
  <c r="H44" i="88"/>
  <c r="F44" i="88"/>
  <c r="G44" i="88" s="1"/>
  <c r="A44" i="88"/>
  <c r="H43" i="88"/>
  <c r="G43" i="88"/>
  <c r="F43" i="88"/>
  <c r="A43" i="88"/>
  <c r="H42" i="88"/>
  <c r="F42" i="88"/>
  <c r="G42" i="88" s="1"/>
  <c r="A42" i="88"/>
  <c r="H41" i="88"/>
  <c r="G41" i="88"/>
  <c r="F41" i="88"/>
  <c r="A41" i="88"/>
  <c r="H39" i="88"/>
  <c r="G39" i="88"/>
  <c r="F39" i="88"/>
  <c r="A39" i="88"/>
  <c r="H38" i="88"/>
  <c r="F38" i="88"/>
  <c r="G38" i="88" s="1"/>
  <c r="A38" i="88"/>
  <c r="H37" i="88"/>
  <c r="G37" i="88"/>
  <c r="F37" i="88"/>
  <c r="A37" i="88"/>
  <c r="H36" i="88"/>
  <c r="F36" i="88"/>
  <c r="G36" i="88" s="1"/>
  <c r="A36" i="88"/>
  <c r="H35" i="88"/>
  <c r="G35" i="88"/>
  <c r="F35" i="88"/>
  <c r="A35" i="88"/>
  <c r="H34" i="88"/>
  <c r="F34" i="88"/>
  <c r="G34" i="88" s="1"/>
  <c r="A34" i="88"/>
  <c r="H33" i="88"/>
  <c r="G33" i="88"/>
  <c r="F33" i="88"/>
  <c r="A33" i="88"/>
  <c r="H32" i="88"/>
  <c r="F32" i="88"/>
  <c r="G32" i="88" s="1"/>
  <c r="A32" i="88"/>
  <c r="H31" i="88"/>
  <c r="G31" i="88"/>
  <c r="F31" i="88"/>
  <c r="A31" i="88"/>
  <c r="H30" i="88"/>
  <c r="F30" i="88"/>
  <c r="G30" i="88" s="1"/>
  <c r="A30" i="88"/>
  <c r="H29" i="88"/>
  <c r="G29" i="88"/>
  <c r="F29" i="88"/>
  <c r="A29" i="88"/>
  <c r="H28" i="88"/>
  <c r="F28" i="88"/>
  <c r="G28" i="88" s="1"/>
  <c r="A28" i="88"/>
  <c r="H27" i="88"/>
  <c r="G27" i="88"/>
  <c r="F27" i="88"/>
  <c r="A27" i="88"/>
  <c r="H26" i="88"/>
  <c r="F26" i="88"/>
  <c r="G26" i="88" s="1"/>
  <c r="A26" i="88"/>
  <c r="H25" i="88"/>
  <c r="F25" i="88"/>
  <c r="H24" i="88"/>
  <c r="F24" i="88"/>
  <c r="H23" i="88"/>
  <c r="F23" i="88"/>
  <c r="H22" i="88"/>
  <c r="F22" i="88"/>
  <c r="H21" i="88"/>
  <c r="F21" i="88"/>
  <c r="H20" i="88"/>
  <c r="F20" i="88"/>
  <c r="G20" i="88" s="1"/>
  <c r="H19" i="88"/>
  <c r="F19" i="88"/>
  <c r="H18" i="88"/>
  <c r="F18" i="88"/>
  <c r="H17" i="88"/>
  <c r="F17" i="88"/>
  <c r="H16" i="88"/>
  <c r="F16" i="88"/>
  <c r="H15" i="88"/>
  <c r="F15" i="88"/>
  <c r="H14" i="88"/>
  <c r="F14" i="88"/>
  <c r="H13" i="88"/>
  <c r="F13" i="88"/>
  <c r="H12" i="88"/>
  <c r="F12" i="88"/>
  <c r="H11" i="88"/>
  <c r="H10" i="88"/>
  <c r="F10" i="88"/>
  <c r="H9" i="88"/>
  <c r="F9" i="88"/>
  <c r="H8" i="88"/>
  <c r="F8" i="88"/>
  <c r="G8" i="88" s="1"/>
  <c r="H7" i="88"/>
  <c r="F7" i="88"/>
  <c r="H6" i="88"/>
  <c r="F6" i="88"/>
  <c r="H5" i="88"/>
  <c r="F5" i="88"/>
  <c r="G5" i="88" s="1"/>
  <c r="H4" i="88"/>
  <c r="F4" i="88"/>
  <c r="H3" i="88"/>
  <c r="F3" i="88"/>
  <c r="H160" i="87"/>
  <c r="F160" i="87"/>
  <c r="G160" i="87" s="1"/>
  <c r="A160" i="87"/>
  <c r="H159" i="87"/>
  <c r="G159" i="87" s="1"/>
  <c r="F159" i="87"/>
  <c r="A159" i="87"/>
  <c r="H158" i="87"/>
  <c r="F158" i="87"/>
  <c r="G158" i="87" s="1"/>
  <c r="A158" i="87"/>
  <c r="H157" i="87"/>
  <c r="G157" i="87" s="1"/>
  <c r="F157" i="87"/>
  <c r="A157" i="87"/>
  <c r="H156" i="87"/>
  <c r="F156" i="87"/>
  <c r="G156" i="87" s="1"/>
  <c r="A156" i="87"/>
  <c r="H155" i="87"/>
  <c r="G155" i="87" s="1"/>
  <c r="F155" i="87"/>
  <c r="A155" i="87"/>
  <c r="H154" i="87"/>
  <c r="F154" i="87"/>
  <c r="G154" i="87" s="1"/>
  <c r="A154" i="87"/>
  <c r="H153" i="87"/>
  <c r="G153" i="87" s="1"/>
  <c r="F153" i="87"/>
  <c r="A153" i="87"/>
  <c r="H152" i="87"/>
  <c r="F152" i="87"/>
  <c r="G152" i="87" s="1"/>
  <c r="A152" i="87"/>
  <c r="H151" i="87"/>
  <c r="G151" i="87" s="1"/>
  <c r="F151" i="87"/>
  <c r="A151" i="87"/>
  <c r="H150" i="87"/>
  <c r="F150" i="87"/>
  <c r="G150" i="87" s="1"/>
  <c r="A150" i="87"/>
  <c r="H149" i="87"/>
  <c r="G149" i="87" s="1"/>
  <c r="F149" i="87"/>
  <c r="A149" i="87"/>
  <c r="H148" i="87"/>
  <c r="F148" i="87"/>
  <c r="G148" i="87" s="1"/>
  <c r="A148" i="87"/>
  <c r="H147" i="87"/>
  <c r="G147" i="87" s="1"/>
  <c r="F147" i="87"/>
  <c r="A147" i="87"/>
  <c r="H146" i="87"/>
  <c r="F146" i="87"/>
  <c r="G146" i="87" s="1"/>
  <c r="A146" i="87"/>
  <c r="H145" i="87"/>
  <c r="G145" i="87" s="1"/>
  <c r="F145" i="87"/>
  <c r="A145" i="87"/>
  <c r="H144" i="87"/>
  <c r="F144" i="87"/>
  <c r="G144" i="87" s="1"/>
  <c r="A144" i="87"/>
  <c r="H143" i="87"/>
  <c r="G143" i="87" s="1"/>
  <c r="F143" i="87"/>
  <c r="A143" i="87"/>
  <c r="H142" i="87"/>
  <c r="F142" i="87"/>
  <c r="G142" i="87" s="1"/>
  <c r="A142" i="87"/>
  <c r="H141" i="87"/>
  <c r="G141" i="87" s="1"/>
  <c r="F141" i="87"/>
  <c r="A141" i="87"/>
  <c r="H140" i="87"/>
  <c r="F140" i="87"/>
  <c r="G140" i="87" s="1"/>
  <c r="A140" i="87"/>
  <c r="H139" i="87"/>
  <c r="G139" i="87" s="1"/>
  <c r="F139" i="87"/>
  <c r="A139" i="87"/>
  <c r="H138" i="87"/>
  <c r="F138" i="87"/>
  <c r="G138" i="87" s="1"/>
  <c r="A138" i="87"/>
  <c r="H137" i="87"/>
  <c r="G137" i="87" s="1"/>
  <c r="F137" i="87"/>
  <c r="A137" i="87"/>
  <c r="H136" i="87"/>
  <c r="F136" i="87"/>
  <c r="G136" i="87" s="1"/>
  <c r="A136" i="87"/>
  <c r="H135" i="87"/>
  <c r="G135" i="87" s="1"/>
  <c r="F135" i="87"/>
  <c r="A135" i="87"/>
  <c r="H134" i="87"/>
  <c r="F134" i="87"/>
  <c r="G134" i="87" s="1"/>
  <c r="A134" i="87"/>
  <c r="H133" i="87"/>
  <c r="G133" i="87" s="1"/>
  <c r="F133" i="87"/>
  <c r="A133" i="87"/>
  <c r="H132" i="87"/>
  <c r="F132" i="87"/>
  <c r="G132" i="87" s="1"/>
  <c r="A132" i="87"/>
  <c r="H131" i="87"/>
  <c r="G131" i="87" s="1"/>
  <c r="F131" i="87"/>
  <c r="A131" i="87"/>
  <c r="H130" i="87"/>
  <c r="F130" i="87"/>
  <c r="G130" i="87" s="1"/>
  <c r="A130" i="87"/>
  <c r="H129" i="87"/>
  <c r="G129" i="87" s="1"/>
  <c r="F129" i="87"/>
  <c r="A129" i="87"/>
  <c r="H128" i="87"/>
  <c r="F128" i="87"/>
  <c r="G128" i="87" s="1"/>
  <c r="A128" i="87"/>
  <c r="H127" i="87"/>
  <c r="G127" i="87" s="1"/>
  <c r="F127" i="87"/>
  <c r="A127" i="87"/>
  <c r="H126" i="87"/>
  <c r="F126" i="87"/>
  <c r="G126" i="87" s="1"/>
  <c r="A126" i="87"/>
  <c r="H125" i="87"/>
  <c r="G125" i="87" s="1"/>
  <c r="F125" i="87"/>
  <c r="A125" i="87"/>
  <c r="H124" i="87"/>
  <c r="F124" i="87"/>
  <c r="G124" i="87" s="1"/>
  <c r="A124" i="87"/>
  <c r="H123" i="87"/>
  <c r="G123" i="87" s="1"/>
  <c r="F123" i="87"/>
  <c r="A123" i="87"/>
  <c r="H122" i="87"/>
  <c r="F122" i="87"/>
  <c r="G122" i="87" s="1"/>
  <c r="A122" i="87"/>
  <c r="H121" i="87"/>
  <c r="G121" i="87" s="1"/>
  <c r="F121" i="87"/>
  <c r="A121" i="87"/>
  <c r="H120" i="87"/>
  <c r="F120" i="87"/>
  <c r="G120" i="87" s="1"/>
  <c r="A120" i="87"/>
  <c r="H119" i="87"/>
  <c r="G119" i="87" s="1"/>
  <c r="F119" i="87"/>
  <c r="A119" i="87"/>
  <c r="H118" i="87"/>
  <c r="F118" i="87"/>
  <c r="G118" i="87" s="1"/>
  <c r="A118" i="87"/>
  <c r="H117" i="87"/>
  <c r="G117" i="87" s="1"/>
  <c r="F117" i="87"/>
  <c r="A117" i="87"/>
  <c r="H116" i="87"/>
  <c r="F116" i="87"/>
  <c r="G116" i="87" s="1"/>
  <c r="A116" i="87"/>
  <c r="H115" i="87"/>
  <c r="G115" i="87" s="1"/>
  <c r="F115" i="87"/>
  <c r="A115" i="87"/>
  <c r="H114" i="87"/>
  <c r="F114" i="87"/>
  <c r="G114" i="87" s="1"/>
  <c r="A114" i="87"/>
  <c r="H113" i="87"/>
  <c r="G113" i="87" s="1"/>
  <c r="F113" i="87"/>
  <c r="A113" i="87"/>
  <c r="H112" i="87"/>
  <c r="F112" i="87"/>
  <c r="G112" i="87" s="1"/>
  <c r="A112" i="87"/>
  <c r="H111" i="87"/>
  <c r="G111" i="87" s="1"/>
  <c r="F111" i="87"/>
  <c r="A111" i="87"/>
  <c r="H110" i="87"/>
  <c r="F110" i="87"/>
  <c r="G110" i="87" s="1"/>
  <c r="A110" i="87"/>
  <c r="H109" i="87"/>
  <c r="G109" i="87" s="1"/>
  <c r="F109" i="87"/>
  <c r="A109" i="87"/>
  <c r="H108" i="87"/>
  <c r="F108" i="87"/>
  <c r="G108" i="87" s="1"/>
  <c r="A108" i="87"/>
  <c r="H107" i="87"/>
  <c r="G107" i="87" s="1"/>
  <c r="F107" i="87"/>
  <c r="A107" i="87"/>
  <c r="H106" i="87"/>
  <c r="F106" i="87"/>
  <c r="G106" i="87" s="1"/>
  <c r="A106" i="87"/>
  <c r="H105" i="87"/>
  <c r="G105" i="87" s="1"/>
  <c r="F105" i="87"/>
  <c r="A105" i="87"/>
  <c r="H104" i="87"/>
  <c r="F104" i="87"/>
  <c r="G104" i="87" s="1"/>
  <c r="A104" i="87"/>
  <c r="H103" i="87"/>
  <c r="G103" i="87" s="1"/>
  <c r="F103" i="87"/>
  <c r="A103" i="87"/>
  <c r="H102" i="87"/>
  <c r="F102" i="87"/>
  <c r="G102" i="87" s="1"/>
  <c r="A102" i="87"/>
  <c r="H101" i="87"/>
  <c r="G101" i="87" s="1"/>
  <c r="F101" i="87"/>
  <c r="A101" i="87"/>
  <c r="H100" i="87"/>
  <c r="F100" i="87"/>
  <c r="G100" i="87" s="1"/>
  <c r="A100" i="87"/>
  <c r="H99" i="87"/>
  <c r="G99" i="87" s="1"/>
  <c r="F99" i="87"/>
  <c r="A99" i="87"/>
  <c r="H98" i="87"/>
  <c r="F98" i="87"/>
  <c r="G98" i="87" s="1"/>
  <c r="A98" i="87"/>
  <c r="H97" i="87"/>
  <c r="G97" i="87" s="1"/>
  <c r="F97" i="87"/>
  <c r="A97" i="87"/>
  <c r="H96" i="87"/>
  <c r="F96" i="87"/>
  <c r="G96" i="87" s="1"/>
  <c r="A96" i="87"/>
  <c r="H95" i="87"/>
  <c r="G95" i="87" s="1"/>
  <c r="F95" i="87"/>
  <c r="A95" i="87"/>
  <c r="H94" i="87"/>
  <c r="F94" i="87"/>
  <c r="G94" i="87" s="1"/>
  <c r="A94" i="87"/>
  <c r="H93" i="87"/>
  <c r="G93" i="87" s="1"/>
  <c r="F93" i="87"/>
  <c r="A93" i="87"/>
  <c r="H92" i="87"/>
  <c r="F92" i="87"/>
  <c r="G92" i="87" s="1"/>
  <c r="A92" i="87"/>
  <c r="H91" i="87"/>
  <c r="G91" i="87" s="1"/>
  <c r="F91" i="87"/>
  <c r="A91" i="87"/>
  <c r="H90" i="87"/>
  <c r="F90" i="87"/>
  <c r="G90" i="87" s="1"/>
  <c r="A90" i="87"/>
  <c r="H89" i="87"/>
  <c r="G89" i="87" s="1"/>
  <c r="F89" i="87"/>
  <c r="A89" i="87"/>
  <c r="H88" i="87"/>
  <c r="F88" i="87"/>
  <c r="G88" i="87" s="1"/>
  <c r="A88" i="87"/>
  <c r="H87" i="87"/>
  <c r="G87" i="87" s="1"/>
  <c r="F87" i="87"/>
  <c r="A87" i="87"/>
  <c r="H86" i="87"/>
  <c r="F86" i="87"/>
  <c r="G86" i="87" s="1"/>
  <c r="A86" i="87"/>
  <c r="H85" i="87"/>
  <c r="G85" i="87" s="1"/>
  <c r="F85" i="87"/>
  <c r="A85" i="87"/>
  <c r="H84" i="87"/>
  <c r="F84" i="87"/>
  <c r="G84" i="87" s="1"/>
  <c r="A84" i="87"/>
  <c r="H83" i="87"/>
  <c r="G83" i="87" s="1"/>
  <c r="F83" i="87"/>
  <c r="A83" i="87"/>
  <c r="H82" i="87"/>
  <c r="F82" i="87"/>
  <c r="G82" i="87" s="1"/>
  <c r="A82" i="87"/>
  <c r="H81" i="87"/>
  <c r="G81" i="87" s="1"/>
  <c r="F81" i="87"/>
  <c r="A81" i="87"/>
  <c r="H80" i="87"/>
  <c r="F80" i="87"/>
  <c r="G80" i="87" s="1"/>
  <c r="A80" i="87"/>
  <c r="H79" i="87"/>
  <c r="G79" i="87" s="1"/>
  <c r="F79" i="87"/>
  <c r="A79" i="87"/>
  <c r="H78" i="87"/>
  <c r="F78" i="87"/>
  <c r="G78" i="87" s="1"/>
  <c r="A78" i="87"/>
  <c r="H77" i="87"/>
  <c r="G77" i="87" s="1"/>
  <c r="F77" i="87"/>
  <c r="A77" i="87"/>
  <c r="H76" i="87"/>
  <c r="F76" i="87"/>
  <c r="G76" i="87" s="1"/>
  <c r="A76" i="87"/>
  <c r="H75" i="87"/>
  <c r="G75" i="87" s="1"/>
  <c r="F75" i="87"/>
  <c r="A75" i="87"/>
  <c r="H74" i="87"/>
  <c r="F74" i="87"/>
  <c r="G74" i="87" s="1"/>
  <c r="A74" i="87"/>
  <c r="H73" i="87"/>
  <c r="G73" i="87" s="1"/>
  <c r="F73" i="87"/>
  <c r="A73" i="87"/>
  <c r="H72" i="87"/>
  <c r="F72" i="87"/>
  <c r="G72" i="87" s="1"/>
  <c r="A72" i="87"/>
  <c r="H71" i="87"/>
  <c r="G71" i="87" s="1"/>
  <c r="F71" i="87"/>
  <c r="A71" i="87"/>
  <c r="H70" i="87"/>
  <c r="F70" i="87"/>
  <c r="G70" i="87" s="1"/>
  <c r="A70" i="87"/>
  <c r="H69" i="87"/>
  <c r="G69" i="87" s="1"/>
  <c r="F69" i="87"/>
  <c r="A69" i="87"/>
  <c r="H68" i="87"/>
  <c r="F68" i="87"/>
  <c r="G68" i="87" s="1"/>
  <c r="A68" i="87"/>
  <c r="H67" i="87"/>
  <c r="G67" i="87" s="1"/>
  <c r="F67" i="87"/>
  <c r="A67" i="87"/>
  <c r="H66" i="87"/>
  <c r="F66" i="87"/>
  <c r="G66" i="87" s="1"/>
  <c r="A66" i="87"/>
  <c r="H65" i="87"/>
  <c r="G65" i="87" s="1"/>
  <c r="F65" i="87"/>
  <c r="A65" i="87"/>
  <c r="H64" i="87"/>
  <c r="F64" i="87"/>
  <c r="G64" i="87" s="1"/>
  <c r="A64" i="87"/>
  <c r="H63" i="87"/>
  <c r="G63" i="87" s="1"/>
  <c r="F63" i="87"/>
  <c r="A63" i="87"/>
  <c r="H62" i="87"/>
  <c r="F62" i="87"/>
  <c r="G62" i="87" s="1"/>
  <c r="A62" i="87"/>
  <c r="H61" i="87"/>
  <c r="G61" i="87" s="1"/>
  <c r="F61" i="87"/>
  <c r="A61" i="87"/>
  <c r="H60" i="87"/>
  <c r="F60" i="87"/>
  <c r="G60" i="87" s="1"/>
  <c r="A60" i="87"/>
  <c r="H59" i="87"/>
  <c r="G59" i="87" s="1"/>
  <c r="F59" i="87"/>
  <c r="A59" i="87"/>
  <c r="H58" i="87"/>
  <c r="F58" i="87"/>
  <c r="G58" i="87" s="1"/>
  <c r="A58" i="87"/>
  <c r="H57" i="87"/>
  <c r="G57" i="87" s="1"/>
  <c r="F57" i="87"/>
  <c r="A57" i="87"/>
  <c r="H56" i="87"/>
  <c r="F56" i="87"/>
  <c r="G56" i="87" s="1"/>
  <c r="A56" i="87"/>
  <c r="H55" i="87"/>
  <c r="F55" i="87"/>
  <c r="G55" i="87" s="1"/>
  <c r="A55" i="87"/>
  <c r="H54" i="87"/>
  <c r="F54" i="87"/>
  <c r="G54" i="87" s="1"/>
  <c r="A54" i="87"/>
  <c r="H53" i="87"/>
  <c r="G53" i="87" s="1"/>
  <c r="F53" i="87"/>
  <c r="A53" i="87"/>
  <c r="H52" i="87"/>
  <c r="F52" i="87"/>
  <c r="G52" i="87" s="1"/>
  <c r="A52" i="87"/>
  <c r="H51" i="87"/>
  <c r="F51" i="87"/>
  <c r="G51" i="87" s="1"/>
  <c r="A51" i="87"/>
  <c r="H50" i="87"/>
  <c r="F50" i="87"/>
  <c r="G50" i="87" s="1"/>
  <c r="A50" i="87"/>
  <c r="H49" i="87"/>
  <c r="G49" i="87" s="1"/>
  <c r="F49" i="87"/>
  <c r="A49" i="87"/>
  <c r="H48" i="87"/>
  <c r="F48" i="87"/>
  <c r="G48" i="87" s="1"/>
  <c r="A48" i="87"/>
  <c r="H47" i="87"/>
  <c r="F47" i="87"/>
  <c r="G47" i="87" s="1"/>
  <c r="A47" i="87"/>
  <c r="H46" i="87"/>
  <c r="F46" i="87"/>
  <c r="G46" i="87" s="1"/>
  <c r="A46" i="87"/>
  <c r="H45" i="87"/>
  <c r="G45" i="87" s="1"/>
  <c r="F45" i="87"/>
  <c r="A45" i="87"/>
  <c r="H44" i="87"/>
  <c r="F44" i="87"/>
  <c r="G44" i="87" s="1"/>
  <c r="A44" i="87"/>
  <c r="H43" i="87"/>
  <c r="F43" i="87"/>
  <c r="G43" i="87" s="1"/>
  <c r="A43" i="87"/>
  <c r="H42" i="87"/>
  <c r="F42" i="87"/>
  <c r="G42" i="87" s="1"/>
  <c r="A42" i="87"/>
  <c r="H41" i="87"/>
  <c r="G41" i="87" s="1"/>
  <c r="F41" i="87"/>
  <c r="A41" i="87"/>
  <c r="H40" i="87"/>
  <c r="F40" i="87"/>
  <c r="G40" i="87" s="1"/>
  <c r="A40" i="87"/>
  <c r="H39" i="87"/>
  <c r="F39" i="87"/>
  <c r="G39" i="87" s="1"/>
  <c r="A39" i="87"/>
  <c r="H38" i="87"/>
  <c r="F38" i="87"/>
  <c r="G38" i="87" s="1"/>
  <c r="A38" i="87"/>
  <c r="H37" i="87"/>
  <c r="G37" i="87" s="1"/>
  <c r="F37" i="87"/>
  <c r="A37" i="87"/>
  <c r="H36" i="87"/>
  <c r="F36" i="87"/>
  <c r="G36" i="87" s="1"/>
  <c r="A36" i="87"/>
  <c r="H35" i="87"/>
  <c r="F35" i="87"/>
  <c r="G35" i="87" s="1"/>
  <c r="A35" i="87"/>
  <c r="H34" i="87"/>
  <c r="F34" i="87"/>
  <c r="G34" i="87" s="1"/>
  <c r="A34" i="87"/>
  <c r="H33" i="87"/>
  <c r="G33" i="87" s="1"/>
  <c r="F33" i="87"/>
  <c r="A33" i="87"/>
  <c r="H32" i="87"/>
  <c r="F32" i="87"/>
  <c r="G32" i="87" s="1"/>
  <c r="A32" i="87"/>
  <c r="H31" i="87"/>
  <c r="F31" i="87"/>
  <c r="G31" i="87" s="1"/>
  <c r="A31" i="87"/>
  <c r="H30" i="87"/>
  <c r="F30" i="87"/>
  <c r="G30" i="87" s="1"/>
  <c r="A30" i="87"/>
  <c r="H29" i="87"/>
  <c r="G29" i="87" s="1"/>
  <c r="F29" i="87"/>
  <c r="A29" i="87"/>
  <c r="H28" i="87"/>
  <c r="F28" i="87"/>
  <c r="G28" i="87" s="1"/>
  <c r="A28" i="87"/>
  <c r="H27" i="87"/>
  <c r="F27" i="87"/>
  <c r="G27" i="87" s="1"/>
  <c r="A27" i="87"/>
  <c r="H26" i="87"/>
  <c r="F26" i="87"/>
  <c r="G26" i="87" s="1"/>
  <c r="A26" i="87"/>
  <c r="H25" i="87"/>
  <c r="G25" i="87" s="1"/>
  <c r="F25" i="87"/>
  <c r="A25" i="87"/>
  <c r="H24" i="87"/>
  <c r="F24" i="87"/>
  <c r="G24" i="87" s="1"/>
  <c r="A24" i="87"/>
  <c r="H23" i="87"/>
  <c r="F23" i="87"/>
  <c r="G23" i="87" s="1"/>
  <c r="A23" i="87"/>
  <c r="H22" i="87"/>
  <c r="F22" i="87"/>
  <c r="G22" i="87" s="1"/>
  <c r="A22" i="87"/>
  <c r="H21" i="87"/>
  <c r="G21" i="87" s="1"/>
  <c r="F21" i="87"/>
  <c r="A21" i="87"/>
  <c r="H20" i="87"/>
  <c r="F20" i="87"/>
  <c r="G20" i="87" s="1"/>
  <c r="A20" i="87"/>
  <c r="H19" i="87"/>
  <c r="F19" i="87"/>
  <c r="G19" i="87" s="1"/>
  <c r="A19" i="87"/>
  <c r="H18" i="87"/>
  <c r="F18" i="87"/>
  <c r="H17" i="87"/>
  <c r="F17" i="87"/>
  <c r="H16" i="87"/>
  <c r="F16" i="87"/>
  <c r="G16" i="87" s="1"/>
  <c r="H15" i="87"/>
  <c r="F15" i="87"/>
  <c r="H14" i="87"/>
  <c r="F14" i="87"/>
  <c r="H13" i="87"/>
  <c r="F13" i="87"/>
  <c r="H12" i="87"/>
  <c r="F12" i="87"/>
  <c r="H11" i="87"/>
  <c r="F11" i="87"/>
  <c r="H10" i="87"/>
  <c r="F10" i="87"/>
  <c r="H9" i="87"/>
  <c r="F9" i="87"/>
  <c r="H8" i="87"/>
  <c r="F8" i="87"/>
  <c r="H7" i="87"/>
  <c r="F7" i="87"/>
  <c r="H6" i="87"/>
  <c r="F6" i="87"/>
  <c r="H5" i="87"/>
  <c r="F5" i="87"/>
  <c r="H4" i="87"/>
  <c r="F4" i="87"/>
  <c r="H3" i="87"/>
  <c r="F3" i="87"/>
  <c r="H160" i="86"/>
  <c r="F160" i="86"/>
  <c r="G160" i="86" s="1"/>
  <c r="A160" i="86"/>
  <c r="H159" i="86"/>
  <c r="F159" i="86"/>
  <c r="G159" i="86" s="1"/>
  <c r="A159" i="86"/>
  <c r="H158" i="86"/>
  <c r="F158" i="86"/>
  <c r="G158" i="86" s="1"/>
  <c r="A158" i="86"/>
  <c r="H157" i="86"/>
  <c r="G157" i="86" s="1"/>
  <c r="F157" i="86"/>
  <c r="A157" i="86"/>
  <c r="H156" i="86"/>
  <c r="F156" i="86"/>
  <c r="G156" i="86" s="1"/>
  <c r="A156" i="86"/>
  <c r="H155" i="86"/>
  <c r="F155" i="86"/>
  <c r="G155" i="86" s="1"/>
  <c r="A155" i="86"/>
  <c r="H154" i="86"/>
  <c r="F154" i="86"/>
  <c r="G154" i="86" s="1"/>
  <c r="A154" i="86"/>
  <c r="H153" i="86"/>
  <c r="G153" i="86" s="1"/>
  <c r="F153" i="86"/>
  <c r="A153" i="86"/>
  <c r="H152" i="86"/>
  <c r="F152" i="86"/>
  <c r="G152" i="86" s="1"/>
  <c r="A152" i="86"/>
  <c r="H151" i="86"/>
  <c r="F151" i="86"/>
  <c r="G151" i="86" s="1"/>
  <c r="A151" i="86"/>
  <c r="H150" i="86"/>
  <c r="F150" i="86"/>
  <c r="G150" i="86" s="1"/>
  <c r="A150" i="86"/>
  <c r="H149" i="86"/>
  <c r="G149" i="86" s="1"/>
  <c r="F149" i="86"/>
  <c r="A149" i="86"/>
  <c r="H148" i="86"/>
  <c r="F148" i="86"/>
  <c r="G148" i="86" s="1"/>
  <c r="A148" i="86"/>
  <c r="H147" i="86"/>
  <c r="F147" i="86"/>
  <c r="G147" i="86" s="1"/>
  <c r="A147" i="86"/>
  <c r="H146" i="86"/>
  <c r="F146" i="86"/>
  <c r="G146" i="86" s="1"/>
  <c r="A146" i="86"/>
  <c r="H145" i="86"/>
  <c r="G145" i="86" s="1"/>
  <c r="F145" i="86"/>
  <c r="A145" i="86"/>
  <c r="H144" i="86"/>
  <c r="F144" i="86"/>
  <c r="G144" i="86" s="1"/>
  <c r="A144" i="86"/>
  <c r="H143" i="86"/>
  <c r="F143" i="86"/>
  <c r="G143" i="86" s="1"/>
  <c r="A143" i="86"/>
  <c r="H142" i="86"/>
  <c r="F142" i="86"/>
  <c r="G142" i="86" s="1"/>
  <c r="A142" i="86"/>
  <c r="H141" i="86"/>
  <c r="G141" i="86" s="1"/>
  <c r="F141" i="86"/>
  <c r="A141" i="86"/>
  <c r="H140" i="86"/>
  <c r="F140" i="86"/>
  <c r="G140" i="86" s="1"/>
  <c r="A140" i="86"/>
  <c r="H139" i="86"/>
  <c r="F139" i="86"/>
  <c r="G139" i="86" s="1"/>
  <c r="A139" i="86"/>
  <c r="H138" i="86"/>
  <c r="F138" i="86"/>
  <c r="G138" i="86" s="1"/>
  <c r="A138" i="86"/>
  <c r="H137" i="86"/>
  <c r="G137" i="86" s="1"/>
  <c r="F137" i="86"/>
  <c r="A137" i="86"/>
  <c r="H136" i="86"/>
  <c r="F136" i="86"/>
  <c r="G136" i="86" s="1"/>
  <c r="A136" i="86"/>
  <c r="H135" i="86"/>
  <c r="F135" i="86"/>
  <c r="G135" i="86" s="1"/>
  <c r="A135" i="86"/>
  <c r="H134" i="86"/>
  <c r="F134" i="86"/>
  <c r="G134" i="86" s="1"/>
  <c r="A134" i="86"/>
  <c r="H133" i="86"/>
  <c r="G133" i="86" s="1"/>
  <c r="F133" i="86"/>
  <c r="A133" i="86"/>
  <c r="H132" i="86"/>
  <c r="F132" i="86"/>
  <c r="G132" i="86" s="1"/>
  <c r="A132" i="86"/>
  <c r="H131" i="86"/>
  <c r="F131" i="86"/>
  <c r="G131" i="86" s="1"/>
  <c r="A131" i="86"/>
  <c r="H130" i="86"/>
  <c r="F130" i="86"/>
  <c r="G130" i="86" s="1"/>
  <c r="A130" i="86"/>
  <c r="H129" i="86"/>
  <c r="G129" i="86" s="1"/>
  <c r="F129" i="86"/>
  <c r="A129" i="86"/>
  <c r="H128" i="86"/>
  <c r="F128" i="86"/>
  <c r="G128" i="86" s="1"/>
  <c r="A128" i="86"/>
  <c r="H127" i="86"/>
  <c r="F127" i="86"/>
  <c r="G127" i="86" s="1"/>
  <c r="A127" i="86"/>
  <c r="H126" i="86"/>
  <c r="F126" i="86"/>
  <c r="G126" i="86" s="1"/>
  <c r="A126" i="86"/>
  <c r="H125" i="86"/>
  <c r="G125" i="86" s="1"/>
  <c r="F125" i="86"/>
  <c r="A125" i="86"/>
  <c r="H124" i="86"/>
  <c r="F124" i="86"/>
  <c r="G124" i="86" s="1"/>
  <c r="A124" i="86"/>
  <c r="H123" i="86"/>
  <c r="F123" i="86"/>
  <c r="G123" i="86" s="1"/>
  <c r="A123" i="86"/>
  <c r="H122" i="86"/>
  <c r="F122" i="86"/>
  <c r="G122" i="86" s="1"/>
  <c r="A122" i="86"/>
  <c r="H121" i="86"/>
  <c r="G121" i="86" s="1"/>
  <c r="F121" i="86"/>
  <c r="A121" i="86"/>
  <c r="H120" i="86"/>
  <c r="F120" i="86"/>
  <c r="G120" i="86" s="1"/>
  <c r="A120" i="86"/>
  <c r="H119" i="86"/>
  <c r="F119" i="86"/>
  <c r="G119" i="86" s="1"/>
  <c r="A119" i="86"/>
  <c r="H118" i="86"/>
  <c r="F118" i="86"/>
  <c r="G118" i="86" s="1"/>
  <c r="A118" i="86"/>
  <c r="H117" i="86"/>
  <c r="G117" i="86" s="1"/>
  <c r="F117" i="86"/>
  <c r="A117" i="86"/>
  <c r="H116" i="86"/>
  <c r="F116" i="86"/>
  <c r="G116" i="86" s="1"/>
  <c r="A116" i="86"/>
  <c r="H115" i="86"/>
  <c r="F115" i="86"/>
  <c r="G115" i="86" s="1"/>
  <c r="A115" i="86"/>
  <c r="H114" i="86"/>
  <c r="F114" i="86"/>
  <c r="G114" i="86" s="1"/>
  <c r="A114" i="86"/>
  <c r="H113" i="86"/>
  <c r="G113" i="86" s="1"/>
  <c r="F113" i="86"/>
  <c r="A113" i="86"/>
  <c r="H112" i="86"/>
  <c r="F112" i="86"/>
  <c r="G112" i="86" s="1"/>
  <c r="A112" i="86"/>
  <c r="H111" i="86"/>
  <c r="F111" i="86"/>
  <c r="G111" i="86" s="1"/>
  <c r="A111" i="86"/>
  <c r="H110" i="86"/>
  <c r="F110" i="86"/>
  <c r="G110" i="86" s="1"/>
  <c r="A110" i="86"/>
  <c r="H109" i="86"/>
  <c r="G109" i="86" s="1"/>
  <c r="F109" i="86"/>
  <c r="A109" i="86"/>
  <c r="H108" i="86"/>
  <c r="F108" i="86"/>
  <c r="G108" i="86" s="1"/>
  <c r="A108" i="86"/>
  <c r="H107" i="86"/>
  <c r="F107" i="86"/>
  <c r="G107" i="86" s="1"/>
  <c r="A107" i="86"/>
  <c r="H106" i="86"/>
  <c r="F106" i="86"/>
  <c r="G106" i="86" s="1"/>
  <c r="A106" i="86"/>
  <c r="H105" i="86"/>
  <c r="G105" i="86" s="1"/>
  <c r="F105" i="86"/>
  <c r="A105" i="86"/>
  <c r="H104" i="86"/>
  <c r="F104" i="86"/>
  <c r="G104" i="86" s="1"/>
  <c r="A104" i="86"/>
  <c r="H103" i="86"/>
  <c r="F103" i="86"/>
  <c r="G103" i="86" s="1"/>
  <c r="A103" i="86"/>
  <c r="H102" i="86"/>
  <c r="F102" i="86"/>
  <c r="G102" i="86" s="1"/>
  <c r="A102" i="86"/>
  <c r="H101" i="86"/>
  <c r="G101" i="86" s="1"/>
  <c r="F101" i="86"/>
  <c r="A101" i="86"/>
  <c r="H100" i="86"/>
  <c r="F100" i="86"/>
  <c r="G100" i="86" s="1"/>
  <c r="A100" i="86"/>
  <c r="H99" i="86"/>
  <c r="F99" i="86"/>
  <c r="G99" i="86" s="1"/>
  <c r="A99" i="86"/>
  <c r="H98" i="86"/>
  <c r="F98" i="86"/>
  <c r="G98" i="86" s="1"/>
  <c r="A98" i="86"/>
  <c r="H97" i="86"/>
  <c r="G97" i="86" s="1"/>
  <c r="F97" i="86"/>
  <c r="A97" i="86"/>
  <c r="H96" i="86"/>
  <c r="F96" i="86"/>
  <c r="G96" i="86" s="1"/>
  <c r="A96" i="86"/>
  <c r="H95" i="86"/>
  <c r="F95" i="86"/>
  <c r="G95" i="86" s="1"/>
  <c r="A95" i="86"/>
  <c r="H94" i="86"/>
  <c r="F94" i="86"/>
  <c r="G94" i="86" s="1"/>
  <c r="A94" i="86"/>
  <c r="H93" i="86"/>
  <c r="G93" i="86" s="1"/>
  <c r="F93" i="86"/>
  <c r="A93" i="86"/>
  <c r="H92" i="86"/>
  <c r="F92" i="86"/>
  <c r="G92" i="86" s="1"/>
  <c r="A92" i="86"/>
  <c r="H91" i="86"/>
  <c r="F91" i="86"/>
  <c r="G91" i="86" s="1"/>
  <c r="A91" i="86"/>
  <c r="H90" i="86"/>
  <c r="F90" i="86"/>
  <c r="G90" i="86" s="1"/>
  <c r="A90" i="86"/>
  <c r="H89" i="86"/>
  <c r="G89" i="86" s="1"/>
  <c r="F89" i="86"/>
  <c r="A89" i="86"/>
  <c r="H88" i="86"/>
  <c r="F88" i="86"/>
  <c r="G88" i="86" s="1"/>
  <c r="A88" i="86"/>
  <c r="H87" i="86"/>
  <c r="F87" i="86"/>
  <c r="G87" i="86" s="1"/>
  <c r="A87" i="86"/>
  <c r="H86" i="86"/>
  <c r="F86" i="86"/>
  <c r="G86" i="86" s="1"/>
  <c r="A86" i="86"/>
  <c r="H85" i="86"/>
  <c r="G85" i="86" s="1"/>
  <c r="F85" i="86"/>
  <c r="A85" i="86"/>
  <c r="H84" i="86"/>
  <c r="F84" i="86"/>
  <c r="G84" i="86" s="1"/>
  <c r="A84" i="86"/>
  <c r="H83" i="86"/>
  <c r="F83" i="86"/>
  <c r="G83" i="86" s="1"/>
  <c r="A83" i="86"/>
  <c r="H82" i="86"/>
  <c r="F82" i="86"/>
  <c r="G82" i="86" s="1"/>
  <c r="A82" i="86"/>
  <c r="H81" i="86"/>
  <c r="G81" i="86" s="1"/>
  <c r="F81" i="86"/>
  <c r="A81" i="86"/>
  <c r="H80" i="86"/>
  <c r="F80" i="86"/>
  <c r="G80" i="86" s="1"/>
  <c r="A80" i="86"/>
  <c r="H79" i="86"/>
  <c r="F79" i="86"/>
  <c r="G79" i="86" s="1"/>
  <c r="A79" i="86"/>
  <c r="H78" i="86"/>
  <c r="F78" i="86"/>
  <c r="G78" i="86" s="1"/>
  <c r="A78" i="86"/>
  <c r="H77" i="86"/>
  <c r="G77" i="86" s="1"/>
  <c r="F77" i="86"/>
  <c r="A77" i="86"/>
  <c r="H76" i="86"/>
  <c r="F76" i="86"/>
  <c r="G76" i="86" s="1"/>
  <c r="A76" i="86"/>
  <c r="H75" i="86"/>
  <c r="F75" i="86"/>
  <c r="G75" i="86" s="1"/>
  <c r="A75" i="86"/>
  <c r="H74" i="86"/>
  <c r="F74" i="86"/>
  <c r="G74" i="86" s="1"/>
  <c r="A74" i="86"/>
  <c r="H73" i="86"/>
  <c r="G73" i="86" s="1"/>
  <c r="F73" i="86"/>
  <c r="A73" i="86"/>
  <c r="H72" i="86"/>
  <c r="F72" i="86"/>
  <c r="G72" i="86" s="1"/>
  <c r="A72" i="86"/>
  <c r="H71" i="86"/>
  <c r="F71" i="86"/>
  <c r="G71" i="86" s="1"/>
  <c r="A71" i="86"/>
  <c r="H70" i="86"/>
  <c r="F70" i="86"/>
  <c r="G70" i="86" s="1"/>
  <c r="A70" i="86"/>
  <c r="H69" i="86"/>
  <c r="G69" i="86" s="1"/>
  <c r="F69" i="86"/>
  <c r="A69" i="86"/>
  <c r="H68" i="86"/>
  <c r="F68" i="86"/>
  <c r="G68" i="86" s="1"/>
  <c r="A68" i="86"/>
  <c r="H67" i="86"/>
  <c r="F67" i="86"/>
  <c r="G67" i="86" s="1"/>
  <c r="A67" i="86"/>
  <c r="H66" i="86"/>
  <c r="F66" i="86"/>
  <c r="G66" i="86" s="1"/>
  <c r="A66" i="86"/>
  <c r="H65" i="86"/>
  <c r="G65" i="86" s="1"/>
  <c r="F65" i="86"/>
  <c r="A65" i="86"/>
  <c r="H64" i="86"/>
  <c r="F64" i="86"/>
  <c r="G64" i="86" s="1"/>
  <c r="A64" i="86"/>
  <c r="H63" i="86"/>
  <c r="F63" i="86"/>
  <c r="G63" i="86" s="1"/>
  <c r="A63" i="86"/>
  <c r="H62" i="86"/>
  <c r="F62" i="86"/>
  <c r="G62" i="86" s="1"/>
  <c r="A62" i="86"/>
  <c r="H61" i="86"/>
  <c r="G61" i="86" s="1"/>
  <c r="F61" i="86"/>
  <c r="A61" i="86"/>
  <c r="H60" i="86"/>
  <c r="F60" i="86"/>
  <c r="G60" i="86" s="1"/>
  <c r="A60" i="86"/>
  <c r="H59" i="86"/>
  <c r="F59" i="86"/>
  <c r="G59" i="86" s="1"/>
  <c r="A59" i="86"/>
  <c r="H58" i="86"/>
  <c r="F58" i="86"/>
  <c r="G58" i="86" s="1"/>
  <c r="A58" i="86"/>
  <c r="H57" i="86"/>
  <c r="G57" i="86" s="1"/>
  <c r="F57" i="86"/>
  <c r="A57" i="86"/>
  <c r="H56" i="86"/>
  <c r="F56" i="86"/>
  <c r="G56" i="86" s="1"/>
  <c r="A56" i="86"/>
  <c r="H55" i="86"/>
  <c r="F55" i="86"/>
  <c r="G55" i="86" s="1"/>
  <c r="A55" i="86"/>
  <c r="H54" i="86"/>
  <c r="F54" i="86"/>
  <c r="G54" i="86" s="1"/>
  <c r="A54" i="86"/>
  <c r="H53" i="86"/>
  <c r="G53" i="86" s="1"/>
  <c r="F53" i="86"/>
  <c r="A53" i="86"/>
  <c r="H52" i="86"/>
  <c r="F52" i="86"/>
  <c r="G52" i="86" s="1"/>
  <c r="A52" i="86"/>
  <c r="H51" i="86"/>
  <c r="F51" i="86"/>
  <c r="G51" i="86" s="1"/>
  <c r="A51" i="86"/>
  <c r="H50" i="86"/>
  <c r="F50" i="86"/>
  <c r="G50" i="86" s="1"/>
  <c r="A50" i="86"/>
  <c r="H49" i="86"/>
  <c r="G49" i="86" s="1"/>
  <c r="F49" i="86"/>
  <c r="A49" i="86"/>
  <c r="H48" i="86"/>
  <c r="F48" i="86"/>
  <c r="G48" i="86" s="1"/>
  <c r="A48" i="86"/>
  <c r="H47" i="86"/>
  <c r="F47" i="86"/>
  <c r="G47" i="86" s="1"/>
  <c r="A47" i="86"/>
  <c r="H46" i="86"/>
  <c r="F46" i="86"/>
  <c r="G46" i="86" s="1"/>
  <c r="A46" i="86"/>
  <c r="H45" i="86"/>
  <c r="G45" i="86" s="1"/>
  <c r="F45" i="86"/>
  <c r="A45" i="86"/>
  <c r="H44" i="86"/>
  <c r="F44" i="86"/>
  <c r="G44" i="86" s="1"/>
  <c r="A44" i="86"/>
  <c r="H43" i="86"/>
  <c r="F43" i="86"/>
  <c r="G43" i="86" s="1"/>
  <c r="A43" i="86"/>
  <c r="H42" i="86"/>
  <c r="F42" i="86"/>
  <c r="G42" i="86" s="1"/>
  <c r="A42" i="86"/>
  <c r="H41" i="86"/>
  <c r="G41" i="86" s="1"/>
  <c r="F41" i="86"/>
  <c r="A41" i="86"/>
  <c r="H40" i="86"/>
  <c r="F40" i="86"/>
  <c r="G40" i="86" s="1"/>
  <c r="A40" i="86"/>
  <c r="H39" i="86"/>
  <c r="F39" i="86"/>
  <c r="G39" i="86" s="1"/>
  <c r="A39" i="86"/>
  <c r="H38" i="86"/>
  <c r="F38" i="86"/>
  <c r="G38" i="86" s="1"/>
  <c r="A38" i="86"/>
  <c r="H37" i="86"/>
  <c r="G37" i="86" s="1"/>
  <c r="F37" i="86"/>
  <c r="A37" i="86"/>
  <c r="H36" i="86"/>
  <c r="F36" i="86"/>
  <c r="G36" i="86" s="1"/>
  <c r="A36" i="86"/>
  <c r="H35" i="86"/>
  <c r="F35" i="86"/>
  <c r="G35" i="86" s="1"/>
  <c r="A35" i="86"/>
  <c r="H34" i="86"/>
  <c r="F34" i="86"/>
  <c r="G34" i="86" s="1"/>
  <c r="A34" i="86"/>
  <c r="H33" i="86"/>
  <c r="G33" i="86" s="1"/>
  <c r="F33" i="86"/>
  <c r="A33" i="86"/>
  <c r="H32" i="86"/>
  <c r="F32" i="86"/>
  <c r="H31" i="86"/>
  <c r="F31" i="86"/>
  <c r="H30" i="86"/>
  <c r="F30" i="86"/>
  <c r="G30" i="86" s="1"/>
  <c r="H29" i="86"/>
  <c r="F29" i="86"/>
  <c r="H28" i="86"/>
  <c r="F28" i="86"/>
  <c r="H27" i="86"/>
  <c r="F27" i="86"/>
  <c r="H26" i="86"/>
  <c r="F26" i="86"/>
  <c r="G26" i="86" s="1"/>
  <c r="H25" i="86"/>
  <c r="F25" i="86"/>
  <c r="H24" i="86"/>
  <c r="F24" i="86"/>
  <c r="H23" i="86"/>
  <c r="F23" i="86"/>
  <c r="H22" i="86"/>
  <c r="F22" i="86"/>
  <c r="H21" i="86"/>
  <c r="F21" i="86"/>
  <c r="H20" i="86"/>
  <c r="F20" i="86"/>
  <c r="H19" i="86"/>
  <c r="F19" i="86"/>
  <c r="H18" i="86"/>
  <c r="F18" i="86"/>
  <c r="H17" i="86"/>
  <c r="F17" i="86"/>
  <c r="H16" i="86"/>
  <c r="F16" i="86"/>
  <c r="G16" i="86" s="1"/>
  <c r="H15" i="86"/>
  <c r="F15" i="86"/>
  <c r="H14" i="86"/>
  <c r="F14" i="86"/>
  <c r="H13" i="86"/>
  <c r="F13" i="86"/>
  <c r="H12" i="86"/>
  <c r="F12" i="86"/>
  <c r="H11" i="86"/>
  <c r="F11" i="86"/>
  <c r="G11" i="86" s="1"/>
  <c r="H10" i="86"/>
  <c r="F10" i="86"/>
  <c r="H9" i="86"/>
  <c r="F9" i="86"/>
  <c r="H8" i="86"/>
  <c r="F8" i="86"/>
  <c r="H7" i="86"/>
  <c r="F7" i="86"/>
  <c r="H6" i="86"/>
  <c r="F6" i="86"/>
  <c r="H5" i="86"/>
  <c r="F5" i="86"/>
  <c r="H4" i="86"/>
  <c r="F4" i="86"/>
  <c r="H3" i="86"/>
  <c r="F3" i="86"/>
  <c r="H160" i="85"/>
  <c r="G160" i="85"/>
  <c r="F160" i="85"/>
  <c r="A160" i="85"/>
  <c r="H159" i="85"/>
  <c r="F159" i="85"/>
  <c r="G159" i="85" s="1"/>
  <c r="A159" i="85"/>
  <c r="H158" i="85"/>
  <c r="F158" i="85"/>
  <c r="G158" i="85" s="1"/>
  <c r="A158" i="85"/>
  <c r="H157" i="85"/>
  <c r="G157" i="85"/>
  <c r="F157" i="85"/>
  <c r="A157" i="85"/>
  <c r="H156" i="85"/>
  <c r="G156" i="85"/>
  <c r="F156" i="85"/>
  <c r="A156" i="85"/>
  <c r="H155" i="85"/>
  <c r="F155" i="85"/>
  <c r="G155" i="85" s="1"/>
  <c r="A155" i="85"/>
  <c r="H154" i="85"/>
  <c r="F154" i="85"/>
  <c r="G154" i="85" s="1"/>
  <c r="A154" i="85"/>
  <c r="H153" i="85"/>
  <c r="G153" i="85"/>
  <c r="F153" i="85"/>
  <c r="A153" i="85"/>
  <c r="H152" i="85"/>
  <c r="G152" i="85"/>
  <c r="F152" i="85"/>
  <c r="A152" i="85"/>
  <c r="H151" i="85"/>
  <c r="F151" i="85"/>
  <c r="G151" i="85" s="1"/>
  <c r="A151" i="85"/>
  <c r="H150" i="85"/>
  <c r="F150" i="85"/>
  <c r="G150" i="85" s="1"/>
  <c r="A150" i="85"/>
  <c r="H149" i="85"/>
  <c r="G149" i="85"/>
  <c r="F149" i="85"/>
  <c r="A149" i="85"/>
  <c r="H148" i="85"/>
  <c r="G148" i="85"/>
  <c r="F148" i="85"/>
  <c r="A148" i="85"/>
  <c r="H147" i="85"/>
  <c r="F147" i="85"/>
  <c r="G147" i="85" s="1"/>
  <c r="A147" i="85"/>
  <c r="H146" i="85"/>
  <c r="F146" i="85"/>
  <c r="G146" i="85" s="1"/>
  <c r="A146" i="85"/>
  <c r="H145" i="85"/>
  <c r="G145" i="85"/>
  <c r="F145" i="85"/>
  <c r="A145" i="85"/>
  <c r="H144" i="85"/>
  <c r="G144" i="85"/>
  <c r="F144" i="85"/>
  <c r="A144" i="85"/>
  <c r="H143" i="85"/>
  <c r="F143" i="85"/>
  <c r="G143" i="85" s="1"/>
  <c r="A143" i="85"/>
  <c r="H142" i="85"/>
  <c r="F142" i="85"/>
  <c r="G142" i="85" s="1"/>
  <c r="A142" i="85"/>
  <c r="H141" i="85"/>
  <c r="G141" i="85"/>
  <c r="F141" i="85"/>
  <c r="A141" i="85"/>
  <c r="H140" i="85"/>
  <c r="G140" i="85"/>
  <c r="F140" i="85"/>
  <c r="A140" i="85"/>
  <c r="H139" i="85"/>
  <c r="F139" i="85"/>
  <c r="G139" i="85" s="1"/>
  <c r="A139" i="85"/>
  <c r="H138" i="85"/>
  <c r="F138" i="85"/>
  <c r="G138" i="85" s="1"/>
  <c r="A138" i="85"/>
  <c r="H137" i="85"/>
  <c r="G137" i="85"/>
  <c r="F137" i="85"/>
  <c r="A137" i="85"/>
  <c r="H136" i="85"/>
  <c r="G136" i="85"/>
  <c r="F136" i="85"/>
  <c r="A136" i="85"/>
  <c r="H135" i="85"/>
  <c r="F135" i="85"/>
  <c r="G135" i="85" s="1"/>
  <c r="A135" i="85"/>
  <c r="H134" i="85"/>
  <c r="F134" i="85"/>
  <c r="G134" i="85" s="1"/>
  <c r="A134" i="85"/>
  <c r="H133" i="85"/>
  <c r="G133" i="85"/>
  <c r="F133" i="85"/>
  <c r="A133" i="85"/>
  <c r="H132" i="85"/>
  <c r="G132" i="85"/>
  <c r="F132" i="85"/>
  <c r="A132" i="85"/>
  <c r="H131" i="85"/>
  <c r="F131" i="85"/>
  <c r="G131" i="85" s="1"/>
  <c r="A131" i="85"/>
  <c r="H130" i="85"/>
  <c r="F130" i="85"/>
  <c r="G130" i="85" s="1"/>
  <c r="A130" i="85"/>
  <c r="H129" i="85"/>
  <c r="G129" i="85"/>
  <c r="F129" i="85"/>
  <c r="A129" i="85"/>
  <c r="H128" i="85"/>
  <c r="G128" i="85"/>
  <c r="F128" i="85"/>
  <c r="A128" i="85"/>
  <c r="H127" i="85"/>
  <c r="F127" i="85"/>
  <c r="G127" i="85" s="1"/>
  <c r="A127" i="85"/>
  <c r="H126" i="85"/>
  <c r="F126" i="85"/>
  <c r="G126" i="85" s="1"/>
  <c r="A126" i="85"/>
  <c r="H125" i="85"/>
  <c r="G125" i="85"/>
  <c r="F125" i="85"/>
  <c r="A125" i="85"/>
  <c r="H124" i="85"/>
  <c r="G124" i="85"/>
  <c r="F124" i="85"/>
  <c r="A124" i="85"/>
  <c r="H123" i="85"/>
  <c r="F123" i="85"/>
  <c r="G123" i="85" s="1"/>
  <c r="A123" i="85"/>
  <c r="H122" i="85"/>
  <c r="F122" i="85"/>
  <c r="G122" i="85" s="1"/>
  <c r="A122" i="85"/>
  <c r="H121" i="85"/>
  <c r="G121" i="85"/>
  <c r="F121" i="85"/>
  <c r="A121" i="85"/>
  <c r="H120" i="85"/>
  <c r="G120" i="85"/>
  <c r="F120" i="85"/>
  <c r="A120" i="85"/>
  <c r="H119" i="85"/>
  <c r="F119" i="85"/>
  <c r="G119" i="85" s="1"/>
  <c r="A119" i="85"/>
  <c r="H118" i="85"/>
  <c r="F118" i="85"/>
  <c r="G118" i="85" s="1"/>
  <c r="A118" i="85"/>
  <c r="H117" i="85"/>
  <c r="G117" i="85"/>
  <c r="F117" i="85"/>
  <c r="A117" i="85"/>
  <c r="H116" i="85"/>
  <c r="G116" i="85"/>
  <c r="F116" i="85"/>
  <c r="A116" i="85"/>
  <c r="H115" i="85"/>
  <c r="F115" i="85"/>
  <c r="G115" i="85" s="1"/>
  <c r="A115" i="85"/>
  <c r="H114" i="85"/>
  <c r="F114" i="85"/>
  <c r="G114" i="85" s="1"/>
  <c r="A114" i="85"/>
  <c r="H113" i="85"/>
  <c r="G113" i="85"/>
  <c r="F113" i="85"/>
  <c r="A113" i="85"/>
  <c r="H112" i="85"/>
  <c r="G112" i="85"/>
  <c r="F112" i="85"/>
  <c r="A112" i="85"/>
  <c r="H111" i="85"/>
  <c r="F111" i="85"/>
  <c r="G111" i="85" s="1"/>
  <c r="A111" i="85"/>
  <c r="H110" i="85"/>
  <c r="F110" i="85"/>
  <c r="G110" i="85" s="1"/>
  <c r="A110" i="85"/>
  <c r="H109" i="85"/>
  <c r="G109" i="85"/>
  <c r="F109" i="85"/>
  <c r="A109" i="85"/>
  <c r="H108" i="85"/>
  <c r="G108" i="85"/>
  <c r="F108" i="85"/>
  <c r="A108" i="85"/>
  <c r="H107" i="85"/>
  <c r="F107" i="85"/>
  <c r="G107" i="85" s="1"/>
  <c r="A107" i="85"/>
  <c r="H106" i="85"/>
  <c r="F106" i="85"/>
  <c r="G106" i="85" s="1"/>
  <c r="A106" i="85"/>
  <c r="H105" i="85"/>
  <c r="G105" i="85"/>
  <c r="F105" i="85"/>
  <c r="A105" i="85"/>
  <c r="H104" i="85"/>
  <c r="G104" i="85"/>
  <c r="F104" i="85"/>
  <c r="A104" i="85"/>
  <c r="H103" i="85"/>
  <c r="F103" i="85"/>
  <c r="G103" i="85" s="1"/>
  <c r="A103" i="85"/>
  <c r="H102" i="85"/>
  <c r="F102" i="85"/>
  <c r="G102" i="85" s="1"/>
  <c r="A102" i="85"/>
  <c r="H101" i="85"/>
  <c r="G101" i="85"/>
  <c r="F101" i="85"/>
  <c r="A101" i="85"/>
  <c r="H100" i="85"/>
  <c r="G100" i="85"/>
  <c r="F100" i="85"/>
  <c r="A100" i="85"/>
  <c r="H99" i="85"/>
  <c r="F99" i="85"/>
  <c r="G99" i="85" s="1"/>
  <c r="A99" i="85"/>
  <c r="H98" i="85"/>
  <c r="F98" i="85"/>
  <c r="G98" i="85" s="1"/>
  <c r="A98" i="85"/>
  <c r="H97" i="85"/>
  <c r="G97" i="85"/>
  <c r="F97" i="85"/>
  <c r="A97" i="85"/>
  <c r="H96" i="85"/>
  <c r="G96" i="85"/>
  <c r="F96" i="85"/>
  <c r="A96" i="85"/>
  <c r="H95" i="85"/>
  <c r="F95" i="85"/>
  <c r="G95" i="85" s="1"/>
  <c r="A95" i="85"/>
  <c r="H94" i="85"/>
  <c r="F94" i="85"/>
  <c r="G94" i="85" s="1"/>
  <c r="A94" i="85"/>
  <c r="H93" i="85"/>
  <c r="G93" i="85"/>
  <c r="F93" i="85"/>
  <c r="A93" i="85"/>
  <c r="H92" i="85"/>
  <c r="G92" i="85"/>
  <c r="F92" i="85"/>
  <c r="A92" i="85"/>
  <c r="H91" i="85"/>
  <c r="F91" i="85"/>
  <c r="G91" i="85" s="1"/>
  <c r="A91" i="85"/>
  <c r="H90" i="85"/>
  <c r="F90" i="85"/>
  <c r="G90" i="85" s="1"/>
  <c r="A90" i="85"/>
  <c r="H89" i="85"/>
  <c r="G89" i="85"/>
  <c r="F89" i="85"/>
  <c r="A89" i="85"/>
  <c r="H88" i="85"/>
  <c r="G88" i="85"/>
  <c r="F88" i="85"/>
  <c r="A88" i="85"/>
  <c r="H87" i="85"/>
  <c r="F87" i="85"/>
  <c r="G87" i="85" s="1"/>
  <c r="A87" i="85"/>
  <c r="H86" i="85"/>
  <c r="F86" i="85"/>
  <c r="G86" i="85" s="1"/>
  <c r="A86" i="85"/>
  <c r="H85" i="85"/>
  <c r="G85" i="85"/>
  <c r="F85" i="85"/>
  <c r="A85" i="85"/>
  <c r="H84" i="85"/>
  <c r="G84" i="85"/>
  <c r="F84" i="85"/>
  <c r="A84" i="85"/>
  <c r="H83" i="85"/>
  <c r="F83" i="85"/>
  <c r="G83" i="85" s="1"/>
  <c r="A83" i="85"/>
  <c r="H82" i="85"/>
  <c r="F82" i="85"/>
  <c r="G82" i="85" s="1"/>
  <c r="A82" i="85"/>
  <c r="H81" i="85"/>
  <c r="G81" i="85"/>
  <c r="F81" i="85"/>
  <c r="A81" i="85"/>
  <c r="H80" i="85"/>
  <c r="G80" i="85"/>
  <c r="F80" i="85"/>
  <c r="A80" i="85"/>
  <c r="H79" i="85"/>
  <c r="F79" i="85"/>
  <c r="G79" i="85" s="1"/>
  <c r="A79" i="85"/>
  <c r="H78" i="85"/>
  <c r="F78" i="85"/>
  <c r="G78" i="85" s="1"/>
  <c r="A78" i="85"/>
  <c r="H77" i="85"/>
  <c r="G77" i="85"/>
  <c r="F77" i="85"/>
  <c r="A77" i="85"/>
  <c r="H76" i="85"/>
  <c r="G76" i="85"/>
  <c r="F76" i="85"/>
  <c r="A76" i="85"/>
  <c r="H75" i="85"/>
  <c r="F75" i="85"/>
  <c r="G75" i="85" s="1"/>
  <c r="A75" i="85"/>
  <c r="H74" i="85"/>
  <c r="F74" i="85"/>
  <c r="G74" i="85" s="1"/>
  <c r="A74" i="85"/>
  <c r="H73" i="85"/>
  <c r="G73" i="85"/>
  <c r="F73" i="85"/>
  <c r="A73" i="85"/>
  <c r="H72" i="85"/>
  <c r="G72" i="85"/>
  <c r="F72" i="85"/>
  <c r="A72" i="85"/>
  <c r="H71" i="85"/>
  <c r="F71" i="85"/>
  <c r="G71" i="85" s="1"/>
  <c r="A71" i="85"/>
  <c r="H70" i="85"/>
  <c r="F70" i="85"/>
  <c r="G70" i="85" s="1"/>
  <c r="A70" i="85"/>
  <c r="H69" i="85"/>
  <c r="G69" i="85"/>
  <c r="F69" i="85"/>
  <c r="A69" i="85"/>
  <c r="H68" i="85"/>
  <c r="G68" i="85"/>
  <c r="F68" i="85"/>
  <c r="A68" i="85"/>
  <c r="H67" i="85"/>
  <c r="F67" i="85"/>
  <c r="G67" i="85" s="1"/>
  <c r="A67" i="85"/>
  <c r="H66" i="85"/>
  <c r="F66" i="85"/>
  <c r="G66" i="85" s="1"/>
  <c r="A66" i="85"/>
  <c r="H65" i="85"/>
  <c r="G65" i="85"/>
  <c r="F65" i="85"/>
  <c r="A65" i="85"/>
  <c r="H64" i="85"/>
  <c r="G64" i="85"/>
  <c r="F64" i="85"/>
  <c r="A64" i="85"/>
  <c r="H63" i="85"/>
  <c r="F63" i="85"/>
  <c r="G63" i="85" s="1"/>
  <c r="A63" i="85"/>
  <c r="H62" i="85"/>
  <c r="F62" i="85"/>
  <c r="G62" i="85" s="1"/>
  <c r="A62" i="85"/>
  <c r="H61" i="85"/>
  <c r="G61" i="85"/>
  <c r="F61" i="85"/>
  <c r="A61" i="85"/>
  <c r="H60" i="85"/>
  <c r="G60" i="85"/>
  <c r="F60" i="85"/>
  <c r="A60" i="85"/>
  <c r="H59" i="85"/>
  <c r="F59" i="85"/>
  <c r="G59" i="85" s="1"/>
  <c r="A59" i="85"/>
  <c r="H58" i="85"/>
  <c r="F58" i="85"/>
  <c r="G58" i="85" s="1"/>
  <c r="A58" i="85"/>
  <c r="H57" i="85"/>
  <c r="G57" i="85"/>
  <c r="F57" i="85"/>
  <c r="A57" i="85"/>
  <c r="H56" i="85"/>
  <c r="G56" i="85"/>
  <c r="F56" i="85"/>
  <c r="A56" i="85"/>
  <c r="H55" i="85"/>
  <c r="F55" i="85"/>
  <c r="G55" i="85" s="1"/>
  <c r="A55" i="85"/>
  <c r="H54" i="85"/>
  <c r="F54" i="85"/>
  <c r="G54" i="85" s="1"/>
  <c r="A54" i="85"/>
  <c r="H53" i="85"/>
  <c r="G53" i="85"/>
  <c r="F53" i="85"/>
  <c r="A53" i="85"/>
  <c r="H52" i="85"/>
  <c r="G52" i="85"/>
  <c r="F52" i="85"/>
  <c r="A52" i="85"/>
  <c r="H51" i="85"/>
  <c r="F51" i="85"/>
  <c r="G51" i="85" s="1"/>
  <c r="A51" i="85"/>
  <c r="H50" i="85"/>
  <c r="F50" i="85"/>
  <c r="G50" i="85" s="1"/>
  <c r="A50" i="85"/>
  <c r="H49" i="85"/>
  <c r="G49" i="85"/>
  <c r="F49" i="85"/>
  <c r="A49" i="85"/>
  <c r="H48" i="85"/>
  <c r="G48" i="85"/>
  <c r="F48" i="85"/>
  <c r="A48" i="85"/>
  <c r="H47" i="85"/>
  <c r="F47" i="85"/>
  <c r="G47" i="85" s="1"/>
  <c r="A47" i="85"/>
  <c r="H46" i="85"/>
  <c r="F46" i="85"/>
  <c r="G46" i="85" s="1"/>
  <c r="A46" i="85"/>
  <c r="H45" i="85"/>
  <c r="G45" i="85"/>
  <c r="F45" i="85"/>
  <c r="A45" i="85"/>
  <c r="H44" i="85"/>
  <c r="G44" i="85"/>
  <c r="F44" i="85"/>
  <c r="A44" i="85"/>
  <c r="H43" i="85"/>
  <c r="F43" i="85"/>
  <c r="G43" i="85" s="1"/>
  <c r="A43" i="85"/>
  <c r="H42" i="85"/>
  <c r="F42" i="85"/>
  <c r="G42" i="85" s="1"/>
  <c r="A42" i="85"/>
  <c r="H41" i="85"/>
  <c r="G41" i="85"/>
  <c r="F41" i="85"/>
  <c r="A41" i="85"/>
  <c r="H40" i="85"/>
  <c r="G40" i="85"/>
  <c r="F40" i="85"/>
  <c r="A40" i="85"/>
  <c r="H39" i="85"/>
  <c r="F39" i="85"/>
  <c r="G39" i="85" s="1"/>
  <c r="A39" i="85"/>
  <c r="H38" i="85"/>
  <c r="F38" i="85"/>
  <c r="G38" i="85" s="1"/>
  <c r="A38" i="85"/>
  <c r="H37" i="85"/>
  <c r="G37" i="85"/>
  <c r="F37" i="85"/>
  <c r="A37" i="85"/>
  <c r="H36" i="85"/>
  <c r="G36" i="85"/>
  <c r="F36" i="85"/>
  <c r="A36" i="85"/>
  <c r="H35" i="85"/>
  <c r="F35" i="85"/>
  <c r="G35" i="85" s="1"/>
  <c r="A35" i="85"/>
  <c r="H34" i="85"/>
  <c r="F34" i="85"/>
  <c r="G34" i="85" s="1"/>
  <c r="A34" i="85"/>
  <c r="H33" i="85"/>
  <c r="G33" i="85"/>
  <c r="F33" i="85"/>
  <c r="A33" i="85"/>
  <c r="H32" i="85"/>
  <c r="G32" i="85"/>
  <c r="F32" i="85"/>
  <c r="A32" i="85"/>
  <c r="H31" i="85"/>
  <c r="F31" i="85"/>
  <c r="G31" i="85" s="1"/>
  <c r="A31" i="85"/>
  <c r="H30" i="85"/>
  <c r="F30" i="85"/>
  <c r="G30" i="85" s="1"/>
  <c r="A30" i="85"/>
  <c r="H29" i="85"/>
  <c r="G29" i="85"/>
  <c r="F29" i="85"/>
  <c r="A29" i="85"/>
  <c r="H28" i="85"/>
  <c r="G28" i="85"/>
  <c r="F28" i="85"/>
  <c r="A28" i="85"/>
  <c r="H27" i="85"/>
  <c r="F27" i="85"/>
  <c r="G27" i="85" s="1"/>
  <c r="A27" i="85"/>
  <c r="H26" i="85"/>
  <c r="F26" i="85"/>
  <c r="G26" i="85" s="1"/>
  <c r="A26" i="85"/>
  <c r="H25" i="85"/>
  <c r="F25" i="85"/>
  <c r="H24" i="85"/>
  <c r="F24" i="85"/>
  <c r="G24" i="85" s="1"/>
  <c r="H23" i="85"/>
  <c r="F23" i="85"/>
  <c r="H22" i="85"/>
  <c r="F22" i="85"/>
  <c r="H21" i="85"/>
  <c r="F21" i="85"/>
  <c r="H20" i="85"/>
  <c r="F20" i="85"/>
  <c r="H19" i="85"/>
  <c r="F19" i="85"/>
  <c r="H18" i="85"/>
  <c r="F18" i="85"/>
  <c r="G18" i="85" s="1"/>
  <c r="H17" i="85"/>
  <c r="F17" i="85"/>
  <c r="H16" i="85"/>
  <c r="F16" i="85"/>
  <c r="H15" i="85"/>
  <c r="F15" i="85"/>
  <c r="A15" i="85"/>
  <c r="H14" i="85"/>
  <c r="F14" i="85"/>
  <c r="H13" i="85"/>
  <c r="F13" i="85"/>
  <c r="H12" i="85"/>
  <c r="F12" i="85"/>
  <c r="H11" i="85"/>
  <c r="F11" i="85"/>
  <c r="G11" i="85" s="1"/>
  <c r="H10" i="85"/>
  <c r="F10" i="85"/>
  <c r="H9" i="85"/>
  <c r="F9" i="85"/>
  <c r="H8" i="85"/>
  <c r="F8" i="85"/>
  <c r="H7" i="85"/>
  <c r="F7" i="85"/>
  <c r="G7" i="85" s="1"/>
  <c r="H6" i="85"/>
  <c r="F6" i="85"/>
  <c r="G6" i="85" s="1"/>
  <c r="H5" i="85"/>
  <c r="F5" i="85"/>
  <c r="H4" i="85"/>
  <c r="F4" i="85"/>
  <c r="H3" i="85"/>
  <c r="F3" i="85"/>
  <c r="G3" i="85" s="1"/>
  <c r="H160" i="83"/>
  <c r="F160" i="83"/>
  <c r="G160" i="83" s="1"/>
  <c r="A160" i="83"/>
  <c r="H159" i="83"/>
  <c r="G159" i="83" s="1"/>
  <c r="F159" i="83"/>
  <c r="A159" i="83"/>
  <c r="H158" i="83"/>
  <c r="F158" i="83"/>
  <c r="G158" i="83" s="1"/>
  <c r="A158" i="83"/>
  <c r="H157" i="83"/>
  <c r="G157" i="83" s="1"/>
  <c r="F157" i="83"/>
  <c r="A157" i="83"/>
  <c r="H156" i="83"/>
  <c r="F156" i="83"/>
  <c r="G156" i="83" s="1"/>
  <c r="A156" i="83"/>
  <c r="H155" i="83"/>
  <c r="G155" i="83" s="1"/>
  <c r="F155" i="83"/>
  <c r="A155" i="83"/>
  <c r="H154" i="83"/>
  <c r="F154" i="83"/>
  <c r="G154" i="83" s="1"/>
  <c r="A154" i="83"/>
  <c r="H153" i="83"/>
  <c r="G153" i="83" s="1"/>
  <c r="F153" i="83"/>
  <c r="A153" i="83"/>
  <c r="H152" i="83"/>
  <c r="F152" i="83"/>
  <c r="G152" i="83" s="1"/>
  <c r="A152" i="83"/>
  <c r="H151" i="83"/>
  <c r="G151" i="83" s="1"/>
  <c r="F151" i="83"/>
  <c r="A151" i="83"/>
  <c r="H150" i="83"/>
  <c r="F150" i="83"/>
  <c r="G150" i="83" s="1"/>
  <c r="A150" i="83"/>
  <c r="H149" i="83"/>
  <c r="G149" i="83" s="1"/>
  <c r="F149" i="83"/>
  <c r="A149" i="83"/>
  <c r="H148" i="83"/>
  <c r="F148" i="83"/>
  <c r="G148" i="83" s="1"/>
  <c r="A148" i="83"/>
  <c r="H147" i="83"/>
  <c r="G147" i="83" s="1"/>
  <c r="F147" i="83"/>
  <c r="A147" i="83"/>
  <c r="H146" i="83"/>
  <c r="F146" i="83"/>
  <c r="G146" i="83" s="1"/>
  <c r="A146" i="83"/>
  <c r="H145" i="83"/>
  <c r="G145" i="83" s="1"/>
  <c r="F145" i="83"/>
  <c r="A145" i="83"/>
  <c r="H144" i="83"/>
  <c r="F144" i="83"/>
  <c r="G144" i="83" s="1"/>
  <c r="A144" i="83"/>
  <c r="H143" i="83"/>
  <c r="G143" i="83" s="1"/>
  <c r="F143" i="83"/>
  <c r="A143" i="83"/>
  <c r="H142" i="83"/>
  <c r="F142" i="83"/>
  <c r="G142" i="83" s="1"/>
  <c r="A142" i="83"/>
  <c r="H141" i="83"/>
  <c r="G141" i="83" s="1"/>
  <c r="F141" i="83"/>
  <c r="A141" i="83"/>
  <c r="H140" i="83"/>
  <c r="F140" i="83"/>
  <c r="G140" i="83" s="1"/>
  <c r="A140" i="83"/>
  <c r="H139" i="83"/>
  <c r="G139" i="83" s="1"/>
  <c r="F139" i="83"/>
  <c r="A139" i="83"/>
  <c r="H138" i="83"/>
  <c r="F138" i="83"/>
  <c r="G138" i="83" s="1"/>
  <c r="A138" i="83"/>
  <c r="H137" i="83"/>
  <c r="G137" i="83" s="1"/>
  <c r="F137" i="83"/>
  <c r="A137" i="83"/>
  <c r="H136" i="83"/>
  <c r="F136" i="83"/>
  <c r="G136" i="83" s="1"/>
  <c r="A136" i="83"/>
  <c r="H135" i="83"/>
  <c r="G135" i="83" s="1"/>
  <c r="F135" i="83"/>
  <c r="A135" i="83"/>
  <c r="H134" i="83"/>
  <c r="F134" i="83"/>
  <c r="G134" i="83" s="1"/>
  <c r="A134" i="83"/>
  <c r="H133" i="83"/>
  <c r="G133" i="83" s="1"/>
  <c r="F133" i="83"/>
  <c r="A133" i="83"/>
  <c r="H132" i="83"/>
  <c r="F132" i="83"/>
  <c r="G132" i="83" s="1"/>
  <c r="A132" i="83"/>
  <c r="H131" i="83"/>
  <c r="G131" i="83" s="1"/>
  <c r="F131" i="83"/>
  <c r="A131" i="83"/>
  <c r="H130" i="83"/>
  <c r="F130" i="83"/>
  <c r="G130" i="83" s="1"/>
  <c r="A130" i="83"/>
  <c r="H129" i="83"/>
  <c r="G129" i="83" s="1"/>
  <c r="F129" i="83"/>
  <c r="A129" i="83"/>
  <c r="H128" i="83"/>
  <c r="F128" i="83"/>
  <c r="G128" i="83" s="1"/>
  <c r="A128" i="83"/>
  <c r="H127" i="83"/>
  <c r="G127" i="83" s="1"/>
  <c r="F127" i="83"/>
  <c r="A127" i="83"/>
  <c r="H126" i="83"/>
  <c r="F126" i="83"/>
  <c r="G126" i="83" s="1"/>
  <c r="A126" i="83"/>
  <c r="H125" i="83"/>
  <c r="G125" i="83" s="1"/>
  <c r="F125" i="83"/>
  <c r="A125" i="83"/>
  <c r="H124" i="83"/>
  <c r="F124" i="83"/>
  <c r="G124" i="83" s="1"/>
  <c r="A124" i="83"/>
  <c r="H123" i="83"/>
  <c r="G123" i="83" s="1"/>
  <c r="F123" i="83"/>
  <c r="A123" i="83"/>
  <c r="H122" i="83"/>
  <c r="F122" i="83"/>
  <c r="G122" i="83" s="1"/>
  <c r="A122" i="83"/>
  <c r="H121" i="83"/>
  <c r="G121" i="83" s="1"/>
  <c r="F121" i="83"/>
  <c r="A121" i="83"/>
  <c r="H120" i="83"/>
  <c r="F120" i="83"/>
  <c r="G120" i="83" s="1"/>
  <c r="A120" i="83"/>
  <c r="H119" i="83"/>
  <c r="G119" i="83" s="1"/>
  <c r="F119" i="83"/>
  <c r="A119" i="83"/>
  <c r="H118" i="83"/>
  <c r="F118" i="83"/>
  <c r="G118" i="83" s="1"/>
  <c r="A118" i="83"/>
  <c r="H117" i="83"/>
  <c r="G117" i="83" s="1"/>
  <c r="F117" i="83"/>
  <c r="A117" i="83"/>
  <c r="H116" i="83"/>
  <c r="F116" i="83"/>
  <c r="G116" i="83" s="1"/>
  <c r="A116" i="83"/>
  <c r="H115" i="83"/>
  <c r="G115" i="83" s="1"/>
  <c r="F115" i="83"/>
  <c r="A115" i="83"/>
  <c r="H114" i="83"/>
  <c r="F114" i="83"/>
  <c r="G114" i="83" s="1"/>
  <c r="A114" i="83"/>
  <c r="H113" i="83"/>
  <c r="G113" i="83" s="1"/>
  <c r="F113" i="83"/>
  <c r="A113" i="83"/>
  <c r="H112" i="83"/>
  <c r="F112" i="83"/>
  <c r="G112" i="83" s="1"/>
  <c r="A112" i="83"/>
  <c r="H111" i="83"/>
  <c r="G111" i="83" s="1"/>
  <c r="F111" i="83"/>
  <c r="A111" i="83"/>
  <c r="H110" i="83"/>
  <c r="F110" i="83"/>
  <c r="G110" i="83" s="1"/>
  <c r="A110" i="83"/>
  <c r="H109" i="83"/>
  <c r="G109" i="83" s="1"/>
  <c r="F109" i="83"/>
  <c r="A109" i="83"/>
  <c r="H108" i="83"/>
  <c r="F108" i="83"/>
  <c r="G108" i="83" s="1"/>
  <c r="A108" i="83"/>
  <c r="H107" i="83"/>
  <c r="G107" i="83" s="1"/>
  <c r="F107" i="83"/>
  <c r="A107" i="83"/>
  <c r="H106" i="83"/>
  <c r="F106" i="83"/>
  <c r="G106" i="83" s="1"/>
  <c r="A106" i="83"/>
  <c r="H105" i="83"/>
  <c r="G105" i="83" s="1"/>
  <c r="F105" i="83"/>
  <c r="A105" i="83"/>
  <c r="H104" i="83"/>
  <c r="F104" i="83"/>
  <c r="G104" i="83" s="1"/>
  <c r="A104" i="83"/>
  <c r="H103" i="83"/>
  <c r="G103" i="83" s="1"/>
  <c r="F103" i="83"/>
  <c r="A103" i="83"/>
  <c r="H102" i="83"/>
  <c r="F102" i="83"/>
  <c r="G102" i="83" s="1"/>
  <c r="A102" i="83"/>
  <c r="H101" i="83"/>
  <c r="G101" i="83" s="1"/>
  <c r="F101" i="83"/>
  <c r="A101" i="83"/>
  <c r="H100" i="83"/>
  <c r="F100" i="83"/>
  <c r="G100" i="83" s="1"/>
  <c r="A100" i="83"/>
  <c r="H99" i="83"/>
  <c r="G99" i="83" s="1"/>
  <c r="F99" i="83"/>
  <c r="A99" i="83"/>
  <c r="H98" i="83"/>
  <c r="F98" i="83"/>
  <c r="G98" i="83" s="1"/>
  <c r="A98" i="83"/>
  <c r="H97" i="83"/>
  <c r="G97" i="83" s="1"/>
  <c r="F97" i="83"/>
  <c r="A97" i="83"/>
  <c r="H96" i="83"/>
  <c r="F96" i="83"/>
  <c r="G96" i="83" s="1"/>
  <c r="A96" i="83"/>
  <c r="H95" i="83"/>
  <c r="G95" i="83" s="1"/>
  <c r="F95" i="83"/>
  <c r="A95" i="83"/>
  <c r="H94" i="83"/>
  <c r="F94" i="83"/>
  <c r="G94" i="83" s="1"/>
  <c r="A94" i="83"/>
  <c r="H93" i="83"/>
  <c r="G93" i="83" s="1"/>
  <c r="F93" i="83"/>
  <c r="A93" i="83"/>
  <c r="H92" i="83"/>
  <c r="F92" i="83"/>
  <c r="G92" i="83" s="1"/>
  <c r="A92" i="83"/>
  <c r="H91" i="83"/>
  <c r="G91" i="83" s="1"/>
  <c r="F91" i="83"/>
  <c r="A91" i="83"/>
  <c r="H90" i="83"/>
  <c r="F90" i="83"/>
  <c r="G90" i="83" s="1"/>
  <c r="A90" i="83"/>
  <c r="H89" i="83"/>
  <c r="G89" i="83" s="1"/>
  <c r="F89" i="83"/>
  <c r="A89" i="83"/>
  <c r="H88" i="83"/>
  <c r="F88" i="83"/>
  <c r="G88" i="83" s="1"/>
  <c r="A88" i="83"/>
  <c r="H87" i="83"/>
  <c r="G87" i="83" s="1"/>
  <c r="F87" i="83"/>
  <c r="A87" i="83"/>
  <c r="H86" i="83"/>
  <c r="F86" i="83"/>
  <c r="G86" i="83" s="1"/>
  <c r="A86" i="83"/>
  <c r="H85" i="83"/>
  <c r="G85" i="83" s="1"/>
  <c r="F85" i="83"/>
  <c r="A85" i="83"/>
  <c r="H84" i="83"/>
  <c r="F84" i="83"/>
  <c r="G84" i="83" s="1"/>
  <c r="A84" i="83"/>
  <c r="H83" i="83"/>
  <c r="G83" i="83" s="1"/>
  <c r="F83" i="83"/>
  <c r="A83" i="83"/>
  <c r="H82" i="83"/>
  <c r="F82" i="83"/>
  <c r="G82" i="83" s="1"/>
  <c r="A82" i="83"/>
  <c r="H81" i="83"/>
  <c r="G81" i="83" s="1"/>
  <c r="F81" i="83"/>
  <c r="A81" i="83"/>
  <c r="H80" i="83"/>
  <c r="F80" i="83"/>
  <c r="G80" i="83" s="1"/>
  <c r="A80" i="83"/>
  <c r="H79" i="83"/>
  <c r="G79" i="83" s="1"/>
  <c r="F79" i="83"/>
  <c r="A79" i="83"/>
  <c r="H78" i="83"/>
  <c r="F78" i="83"/>
  <c r="G78" i="83" s="1"/>
  <c r="A78" i="83"/>
  <c r="H77" i="83"/>
  <c r="G77" i="83" s="1"/>
  <c r="F77" i="83"/>
  <c r="A77" i="83"/>
  <c r="H76" i="83"/>
  <c r="F76" i="83"/>
  <c r="G76" i="83" s="1"/>
  <c r="A76" i="83"/>
  <c r="H75" i="83"/>
  <c r="G75" i="83" s="1"/>
  <c r="F75" i="83"/>
  <c r="A75" i="83"/>
  <c r="H74" i="83"/>
  <c r="F74" i="83"/>
  <c r="G74" i="83" s="1"/>
  <c r="A74" i="83"/>
  <c r="H73" i="83"/>
  <c r="G73" i="83" s="1"/>
  <c r="F73" i="83"/>
  <c r="A73" i="83"/>
  <c r="H72" i="83"/>
  <c r="F72" i="83"/>
  <c r="G72" i="83" s="1"/>
  <c r="A72" i="83"/>
  <c r="H71" i="83"/>
  <c r="G71" i="83" s="1"/>
  <c r="F71" i="83"/>
  <c r="A71" i="83"/>
  <c r="H70" i="83"/>
  <c r="F70" i="83"/>
  <c r="G70" i="83" s="1"/>
  <c r="A70" i="83"/>
  <c r="H69" i="83"/>
  <c r="G69" i="83" s="1"/>
  <c r="F69" i="83"/>
  <c r="A69" i="83"/>
  <c r="H68" i="83"/>
  <c r="F68" i="83"/>
  <c r="G68" i="83" s="1"/>
  <c r="A68" i="83"/>
  <c r="H67" i="83"/>
  <c r="G67" i="83" s="1"/>
  <c r="F67" i="83"/>
  <c r="A67" i="83"/>
  <c r="H66" i="83"/>
  <c r="F66" i="83"/>
  <c r="G66" i="83" s="1"/>
  <c r="A66" i="83"/>
  <c r="H65" i="83"/>
  <c r="G65" i="83" s="1"/>
  <c r="F65" i="83"/>
  <c r="A65" i="83"/>
  <c r="H64" i="83"/>
  <c r="F64" i="83"/>
  <c r="G64" i="83" s="1"/>
  <c r="A64" i="83"/>
  <c r="H63" i="83"/>
  <c r="G63" i="83" s="1"/>
  <c r="F63" i="83"/>
  <c r="A63" i="83"/>
  <c r="H62" i="83"/>
  <c r="F62" i="83"/>
  <c r="G62" i="83" s="1"/>
  <c r="A62" i="83"/>
  <c r="H61" i="83"/>
  <c r="G61" i="83" s="1"/>
  <c r="F61" i="83"/>
  <c r="A61" i="83"/>
  <c r="H60" i="83"/>
  <c r="F60" i="83"/>
  <c r="G60" i="83" s="1"/>
  <c r="A60" i="83"/>
  <c r="H59" i="83"/>
  <c r="G59" i="83" s="1"/>
  <c r="F59" i="83"/>
  <c r="A59" i="83"/>
  <c r="H58" i="83"/>
  <c r="F58" i="83"/>
  <c r="G58" i="83" s="1"/>
  <c r="A58" i="83"/>
  <c r="H57" i="83"/>
  <c r="G57" i="83" s="1"/>
  <c r="F57" i="83"/>
  <c r="A57" i="83"/>
  <c r="H56" i="83"/>
  <c r="F56" i="83"/>
  <c r="G56" i="83" s="1"/>
  <c r="A56" i="83"/>
  <c r="H55" i="83"/>
  <c r="G55" i="83" s="1"/>
  <c r="F55" i="83"/>
  <c r="A55" i="83"/>
  <c r="H54" i="83"/>
  <c r="F54" i="83"/>
  <c r="G54" i="83" s="1"/>
  <c r="A54" i="83"/>
  <c r="H53" i="83"/>
  <c r="G53" i="83" s="1"/>
  <c r="F53" i="83"/>
  <c r="A53" i="83"/>
  <c r="H52" i="83"/>
  <c r="F52" i="83"/>
  <c r="G52" i="83" s="1"/>
  <c r="A52" i="83"/>
  <c r="H51" i="83"/>
  <c r="G51" i="83" s="1"/>
  <c r="F51" i="83"/>
  <c r="A51" i="83"/>
  <c r="H50" i="83"/>
  <c r="F50" i="83"/>
  <c r="G50" i="83" s="1"/>
  <c r="A50" i="83"/>
  <c r="H49" i="83"/>
  <c r="G49" i="83" s="1"/>
  <c r="F49" i="83"/>
  <c r="A49" i="83"/>
  <c r="H48" i="83"/>
  <c r="F48" i="83"/>
  <c r="G48" i="83" s="1"/>
  <c r="A48" i="83"/>
  <c r="H47" i="83"/>
  <c r="G47" i="83" s="1"/>
  <c r="F47" i="83"/>
  <c r="A47" i="83"/>
  <c r="H46" i="83"/>
  <c r="F46" i="83"/>
  <c r="G46" i="83" s="1"/>
  <c r="A46" i="83"/>
  <c r="H45" i="83"/>
  <c r="G45" i="83" s="1"/>
  <c r="F45" i="83"/>
  <c r="A45" i="83"/>
  <c r="H44" i="83"/>
  <c r="F44" i="83"/>
  <c r="G44" i="83" s="1"/>
  <c r="A44" i="83"/>
  <c r="H43" i="83"/>
  <c r="G43" i="83" s="1"/>
  <c r="F43" i="83"/>
  <c r="A43" i="83"/>
  <c r="H42" i="83"/>
  <c r="F42" i="83"/>
  <c r="G42" i="83" s="1"/>
  <c r="A42" i="83"/>
  <c r="H41" i="83"/>
  <c r="G41" i="83" s="1"/>
  <c r="F41" i="83"/>
  <c r="A41" i="83"/>
  <c r="H40" i="83"/>
  <c r="F40" i="83"/>
  <c r="G40" i="83" s="1"/>
  <c r="A40" i="83"/>
  <c r="H39" i="83"/>
  <c r="G39" i="83" s="1"/>
  <c r="F39" i="83"/>
  <c r="A39" i="83"/>
  <c r="H38" i="83"/>
  <c r="F38" i="83"/>
  <c r="G38" i="83" s="1"/>
  <c r="A38" i="83"/>
  <c r="H37" i="83"/>
  <c r="G37" i="83" s="1"/>
  <c r="F37" i="83"/>
  <c r="A37" i="83"/>
  <c r="H36" i="83"/>
  <c r="F36" i="83"/>
  <c r="G36" i="83" s="1"/>
  <c r="A36" i="83"/>
  <c r="H35" i="83"/>
  <c r="G35" i="83" s="1"/>
  <c r="F35" i="83"/>
  <c r="A35" i="83"/>
  <c r="H34" i="83"/>
  <c r="F34" i="83"/>
  <c r="G34" i="83" s="1"/>
  <c r="A34" i="83"/>
  <c r="H33" i="83"/>
  <c r="G33" i="83" s="1"/>
  <c r="F33" i="83"/>
  <c r="A33" i="83"/>
  <c r="H32" i="83"/>
  <c r="F32" i="83"/>
  <c r="G32" i="83" s="1"/>
  <c r="A32" i="83"/>
  <c r="H31" i="83"/>
  <c r="G31" i="83" s="1"/>
  <c r="F31" i="83"/>
  <c r="A31" i="83"/>
  <c r="H30" i="83"/>
  <c r="F30" i="83"/>
  <c r="G30" i="83" s="1"/>
  <c r="A30" i="83"/>
  <c r="H29" i="83"/>
  <c r="G29" i="83" s="1"/>
  <c r="F29" i="83"/>
  <c r="A29" i="83"/>
  <c r="H28" i="83"/>
  <c r="F28" i="83"/>
  <c r="G28" i="83" s="1"/>
  <c r="A28" i="83"/>
  <c r="H27" i="83"/>
  <c r="F27" i="83"/>
  <c r="H26" i="83"/>
  <c r="F26" i="83"/>
  <c r="H25" i="83"/>
  <c r="F25" i="83"/>
  <c r="H24" i="83"/>
  <c r="F24" i="83"/>
  <c r="G24" i="83" s="1"/>
  <c r="H23" i="83"/>
  <c r="F23" i="83"/>
  <c r="H22" i="83"/>
  <c r="F22" i="83"/>
  <c r="H21" i="83"/>
  <c r="F21" i="83"/>
  <c r="H20" i="83"/>
  <c r="F20" i="83"/>
  <c r="H19" i="83"/>
  <c r="F19" i="83"/>
  <c r="H18" i="83"/>
  <c r="F18" i="83"/>
  <c r="H17" i="83"/>
  <c r="F17" i="83"/>
  <c r="H16" i="83"/>
  <c r="F16" i="83"/>
  <c r="H15" i="83"/>
  <c r="F15" i="83"/>
  <c r="H14" i="83"/>
  <c r="F14" i="83"/>
  <c r="H13" i="83"/>
  <c r="F13" i="83"/>
  <c r="H12" i="83"/>
  <c r="F12" i="83"/>
  <c r="H11" i="83"/>
  <c r="F11" i="83"/>
  <c r="H10" i="83"/>
  <c r="F10" i="83"/>
  <c r="H9" i="83"/>
  <c r="F9" i="83"/>
  <c r="H8" i="83"/>
  <c r="F8" i="83"/>
  <c r="H7" i="83"/>
  <c r="F7" i="83"/>
  <c r="H6" i="83"/>
  <c r="F6" i="83"/>
  <c r="H5" i="83"/>
  <c r="F5" i="83"/>
  <c r="H4" i="83"/>
  <c r="F4" i="83"/>
  <c r="H3" i="83"/>
  <c r="F3" i="83"/>
  <c r="H160" i="82"/>
  <c r="F160" i="82"/>
  <c r="G160" i="82" s="1"/>
  <c r="A160" i="82"/>
  <c r="H159" i="82"/>
  <c r="F159" i="82"/>
  <c r="G159" i="82" s="1"/>
  <c r="A159" i="82"/>
  <c r="H158" i="82"/>
  <c r="F158" i="82"/>
  <c r="G158" i="82" s="1"/>
  <c r="A158" i="82"/>
  <c r="H157" i="82"/>
  <c r="G157" i="82" s="1"/>
  <c r="F157" i="82"/>
  <c r="A157" i="82"/>
  <c r="H156" i="82"/>
  <c r="F156" i="82"/>
  <c r="G156" i="82" s="1"/>
  <c r="A156" i="82"/>
  <c r="H155" i="82"/>
  <c r="F155" i="82"/>
  <c r="G155" i="82" s="1"/>
  <c r="A155" i="82"/>
  <c r="H154" i="82"/>
  <c r="F154" i="82"/>
  <c r="G154" i="82" s="1"/>
  <c r="A154" i="82"/>
  <c r="H153" i="82"/>
  <c r="G153" i="82" s="1"/>
  <c r="F153" i="82"/>
  <c r="A153" i="82"/>
  <c r="H152" i="82"/>
  <c r="F152" i="82"/>
  <c r="G152" i="82" s="1"/>
  <c r="A152" i="82"/>
  <c r="H151" i="82"/>
  <c r="F151" i="82"/>
  <c r="G151" i="82" s="1"/>
  <c r="A151" i="82"/>
  <c r="H150" i="82"/>
  <c r="F150" i="82"/>
  <c r="G150" i="82" s="1"/>
  <c r="A150" i="82"/>
  <c r="H149" i="82"/>
  <c r="G149" i="82" s="1"/>
  <c r="F149" i="82"/>
  <c r="A149" i="82"/>
  <c r="H148" i="82"/>
  <c r="F148" i="82"/>
  <c r="G148" i="82" s="1"/>
  <c r="A148" i="82"/>
  <c r="H147" i="82"/>
  <c r="F147" i="82"/>
  <c r="G147" i="82" s="1"/>
  <c r="A147" i="82"/>
  <c r="H146" i="82"/>
  <c r="F146" i="82"/>
  <c r="G146" i="82" s="1"/>
  <c r="A146" i="82"/>
  <c r="H145" i="82"/>
  <c r="G145" i="82" s="1"/>
  <c r="F145" i="82"/>
  <c r="A145" i="82"/>
  <c r="H144" i="82"/>
  <c r="F144" i="82"/>
  <c r="G144" i="82" s="1"/>
  <c r="A144" i="82"/>
  <c r="H143" i="82"/>
  <c r="F143" i="82"/>
  <c r="G143" i="82" s="1"/>
  <c r="A143" i="82"/>
  <c r="H142" i="82"/>
  <c r="F142" i="82"/>
  <c r="G142" i="82" s="1"/>
  <c r="A142" i="82"/>
  <c r="H141" i="82"/>
  <c r="G141" i="82" s="1"/>
  <c r="F141" i="82"/>
  <c r="A141" i="82"/>
  <c r="H140" i="82"/>
  <c r="F140" i="82"/>
  <c r="G140" i="82" s="1"/>
  <c r="A140" i="82"/>
  <c r="H139" i="82"/>
  <c r="F139" i="82"/>
  <c r="G139" i="82" s="1"/>
  <c r="A139" i="82"/>
  <c r="H138" i="82"/>
  <c r="F138" i="82"/>
  <c r="G138" i="82" s="1"/>
  <c r="A138" i="82"/>
  <c r="H137" i="82"/>
  <c r="G137" i="82" s="1"/>
  <c r="F137" i="82"/>
  <c r="A137" i="82"/>
  <c r="H136" i="82"/>
  <c r="F136" i="82"/>
  <c r="G136" i="82" s="1"/>
  <c r="A136" i="82"/>
  <c r="H135" i="82"/>
  <c r="F135" i="82"/>
  <c r="G135" i="82" s="1"/>
  <c r="A135" i="82"/>
  <c r="H134" i="82"/>
  <c r="F134" i="82"/>
  <c r="G134" i="82" s="1"/>
  <c r="A134" i="82"/>
  <c r="H133" i="82"/>
  <c r="G133" i="82" s="1"/>
  <c r="F133" i="82"/>
  <c r="A133" i="82"/>
  <c r="H132" i="82"/>
  <c r="F132" i="82"/>
  <c r="G132" i="82" s="1"/>
  <c r="A132" i="82"/>
  <c r="H131" i="82"/>
  <c r="F131" i="82"/>
  <c r="G131" i="82" s="1"/>
  <c r="A131" i="82"/>
  <c r="H130" i="82"/>
  <c r="F130" i="82"/>
  <c r="G130" i="82" s="1"/>
  <c r="A130" i="82"/>
  <c r="H129" i="82"/>
  <c r="G129" i="82" s="1"/>
  <c r="F129" i="82"/>
  <c r="A129" i="82"/>
  <c r="H128" i="82"/>
  <c r="F128" i="82"/>
  <c r="G128" i="82" s="1"/>
  <c r="A128" i="82"/>
  <c r="H127" i="82"/>
  <c r="F127" i="82"/>
  <c r="G127" i="82" s="1"/>
  <c r="A127" i="82"/>
  <c r="H126" i="82"/>
  <c r="F126" i="82"/>
  <c r="G126" i="82" s="1"/>
  <c r="A126" i="82"/>
  <c r="H125" i="82"/>
  <c r="G125" i="82" s="1"/>
  <c r="F125" i="82"/>
  <c r="A125" i="82"/>
  <c r="H124" i="82"/>
  <c r="F124" i="82"/>
  <c r="G124" i="82" s="1"/>
  <c r="A124" i="82"/>
  <c r="H123" i="82"/>
  <c r="F123" i="82"/>
  <c r="G123" i="82" s="1"/>
  <c r="A123" i="82"/>
  <c r="H122" i="82"/>
  <c r="F122" i="82"/>
  <c r="G122" i="82" s="1"/>
  <c r="A122" i="82"/>
  <c r="H121" i="82"/>
  <c r="G121" i="82" s="1"/>
  <c r="F121" i="82"/>
  <c r="A121" i="82"/>
  <c r="H120" i="82"/>
  <c r="F120" i="82"/>
  <c r="G120" i="82" s="1"/>
  <c r="A120" i="82"/>
  <c r="H119" i="82"/>
  <c r="F119" i="82"/>
  <c r="G119" i="82" s="1"/>
  <c r="A119" i="82"/>
  <c r="H118" i="82"/>
  <c r="F118" i="82"/>
  <c r="G118" i="82" s="1"/>
  <c r="A118" i="82"/>
  <c r="H117" i="82"/>
  <c r="G117" i="82" s="1"/>
  <c r="F117" i="82"/>
  <c r="A117" i="82"/>
  <c r="H116" i="82"/>
  <c r="F116" i="82"/>
  <c r="G116" i="82" s="1"/>
  <c r="A116" i="82"/>
  <c r="H115" i="82"/>
  <c r="F115" i="82"/>
  <c r="G115" i="82" s="1"/>
  <c r="A115" i="82"/>
  <c r="H114" i="82"/>
  <c r="F114" i="82"/>
  <c r="G114" i="82" s="1"/>
  <c r="A114" i="82"/>
  <c r="H113" i="82"/>
  <c r="G113" i="82" s="1"/>
  <c r="F113" i="82"/>
  <c r="A113" i="82"/>
  <c r="H112" i="82"/>
  <c r="F112" i="82"/>
  <c r="G112" i="82" s="1"/>
  <c r="A112" i="82"/>
  <c r="H111" i="82"/>
  <c r="F111" i="82"/>
  <c r="G111" i="82" s="1"/>
  <c r="A111" i="82"/>
  <c r="H110" i="82"/>
  <c r="F110" i="82"/>
  <c r="G110" i="82" s="1"/>
  <c r="A110" i="82"/>
  <c r="H109" i="82"/>
  <c r="G109" i="82" s="1"/>
  <c r="F109" i="82"/>
  <c r="A109" i="82"/>
  <c r="H108" i="82"/>
  <c r="F108" i="82"/>
  <c r="G108" i="82" s="1"/>
  <c r="A108" i="82"/>
  <c r="H107" i="82"/>
  <c r="F107" i="82"/>
  <c r="G107" i="82" s="1"/>
  <c r="A107" i="82"/>
  <c r="H106" i="82"/>
  <c r="F106" i="82"/>
  <c r="G106" i="82" s="1"/>
  <c r="A106" i="82"/>
  <c r="H105" i="82"/>
  <c r="G105" i="82" s="1"/>
  <c r="F105" i="82"/>
  <c r="A105" i="82"/>
  <c r="H104" i="82"/>
  <c r="F104" i="82"/>
  <c r="G104" i="82" s="1"/>
  <c r="A104" i="82"/>
  <c r="H103" i="82"/>
  <c r="F103" i="82"/>
  <c r="G103" i="82" s="1"/>
  <c r="A103" i="82"/>
  <c r="H102" i="82"/>
  <c r="F102" i="82"/>
  <c r="G102" i="82" s="1"/>
  <c r="A102" i="82"/>
  <c r="H101" i="82"/>
  <c r="G101" i="82" s="1"/>
  <c r="F101" i="82"/>
  <c r="A101" i="82"/>
  <c r="H100" i="82"/>
  <c r="F100" i="82"/>
  <c r="G100" i="82" s="1"/>
  <c r="A100" i="82"/>
  <c r="H99" i="82"/>
  <c r="F99" i="82"/>
  <c r="G99" i="82" s="1"/>
  <c r="A99" i="82"/>
  <c r="H98" i="82"/>
  <c r="F98" i="82"/>
  <c r="G98" i="82" s="1"/>
  <c r="A98" i="82"/>
  <c r="H97" i="82"/>
  <c r="G97" i="82" s="1"/>
  <c r="F97" i="82"/>
  <c r="A97" i="82"/>
  <c r="H96" i="82"/>
  <c r="F96" i="82"/>
  <c r="G96" i="82" s="1"/>
  <c r="A96" i="82"/>
  <c r="H95" i="82"/>
  <c r="F95" i="82"/>
  <c r="G95" i="82" s="1"/>
  <c r="A95" i="82"/>
  <c r="H94" i="82"/>
  <c r="F94" i="82"/>
  <c r="G94" i="82" s="1"/>
  <c r="A94" i="82"/>
  <c r="H93" i="82"/>
  <c r="G93" i="82" s="1"/>
  <c r="F93" i="82"/>
  <c r="A93" i="82"/>
  <c r="H92" i="82"/>
  <c r="F92" i="82"/>
  <c r="G92" i="82" s="1"/>
  <c r="A92" i="82"/>
  <c r="H91" i="82"/>
  <c r="F91" i="82"/>
  <c r="G91" i="82" s="1"/>
  <c r="A91" i="82"/>
  <c r="H90" i="82"/>
  <c r="F90" i="82"/>
  <c r="G90" i="82" s="1"/>
  <c r="A90" i="82"/>
  <c r="H89" i="82"/>
  <c r="G89" i="82" s="1"/>
  <c r="F89" i="82"/>
  <c r="A89" i="82"/>
  <c r="H88" i="82"/>
  <c r="F88" i="82"/>
  <c r="G88" i="82" s="1"/>
  <c r="A88" i="82"/>
  <c r="H87" i="82"/>
  <c r="F87" i="82"/>
  <c r="G87" i="82" s="1"/>
  <c r="A87" i="82"/>
  <c r="H86" i="82"/>
  <c r="F86" i="82"/>
  <c r="G86" i="82" s="1"/>
  <c r="A86" i="82"/>
  <c r="H85" i="82"/>
  <c r="G85" i="82" s="1"/>
  <c r="F85" i="82"/>
  <c r="A85" i="82"/>
  <c r="H84" i="82"/>
  <c r="F84" i="82"/>
  <c r="G84" i="82" s="1"/>
  <c r="A84" i="82"/>
  <c r="H83" i="82"/>
  <c r="F83" i="82"/>
  <c r="G83" i="82" s="1"/>
  <c r="A83" i="82"/>
  <c r="H82" i="82"/>
  <c r="F82" i="82"/>
  <c r="G82" i="82" s="1"/>
  <c r="A82" i="82"/>
  <c r="H81" i="82"/>
  <c r="G81" i="82" s="1"/>
  <c r="F81" i="82"/>
  <c r="A81" i="82"/>
  <c r="H80" i="82"/>
  <c r="F80" i="82"/>
  <c r="G80" i="82" s="1"/>
  <c r="A80" i="82"/>
  <c r="H79" i="82"/>
  <c r="F79" i="82"/>
  <c r="G79" i="82" s="1"/>
  <c r="A79" i="82"/>
  <c r="H78" i="82"/>
  <c r="F78" i="82"/>
  <c r="G78" i="82" s="1"/>
  <c r="A78" i="82"/>
  <c r="H77" i="82"/>
  <c r="G77" i="82" s="1"/>
  <c r="F77" i="82"/>
  <c r="A77" i="82"/>
  <c r="H76" i="82"/>
  <c r="F76" i="82"/>
  <c r="G76" i="82" s="1"/>
  <c r="A76" i="82"/>
  <c r="H75" i="82"/>
  <c r="F75" i="82"/>
  <c r="G75" i="82" s="1"/>
  <c r="A75" i="82"/>
  <c r="H74" i="82"/>
  <c r="F74" i="82"/>
  <c r="G74" i="82" s="1"/>
  <c r="A74" i="82"/>
  <c r="H73" i="82"/>
  <c r="G73" i="82" s="1"/>
  <c r="F73" i="82"/>
  <c r="A73" i="82"/>
  <c r="H72" i="82"/>
  <c r="F72" i="82"/>
  <c r="G72" i="82" s="1"/>
  <c r="A72" i="82"/>
  <c r="H71" i="82"/>
  <c r="F71" i="82"/>
  <c r="G71" i="82" s="1"/>
  <c r="A71" i="82"/>
  <c r="H70" i="82"/>
  <c r="F70" i="82"/>
  <c r="G70" i="82" s="1"/>
  <c r="A70" i="82"/>
  <c r="H69" i="82"/>
  <c r="G69" i="82" s="1"/>
  <c r="F69" i="82"/>
  <c r="A69" i="82"/>
  <c r="H68" i="82"/>
  <c r="F68" i="82"/>
  <c r="G68" i="82" s="1"/>
  <c r="A68" i="82"/>
  <c r="H67" i="82"/>
  <c r="F67" i="82"/>
  <c r="G67" i="82" s="1"/>
  <c r="A67" i="82"/>
  <c r="H66" i="82"/>
  <c r="F66" i="82"/>
  <c r="G66" i="82" s="1"/>
  <c r="A66" i="82"/>
  <c r="H65" i="82"/>
  <c r="G65" i="82" s="1"/>
  <c r="F65" i="82"/>
  <c r="A65" i="82"/>
  <c r="H64" i="82"/>
  <c r="F64" i="82"/>
  <c r="G64" i="82" s="1"/>
  <c r="A64" i="82"/>
  <c r="H63" i="82"/>
  <c r="F63" i="82"/>
  <c r="G63" i="82" s="1"/>
  <c r="A63" i="82"/>
  <c r="H62" i="82"/>
  <c r="F62" i="82"/>
  <c r="G62" i="82" s="1"/>
  <c r="A62" i="82"/>
  <c r="H61" i="82"/>
  <c r="G61" i="82" s="1"/>
  <c r="F61" i="82"/>
  <c r="A61" i="82"/>
  <c r="H60" i="82"/>
  <c r="F60" i="82"/>
  <c r="G60" i="82" s="1"/>
  <c r="A60" i="82"/>
  <c r="H59" i="82"/>
  <c r="F59" i="82"/>
  <c r="G59" i="82" s="1"/>
  <c r="A59" i="82"/>
  <c r="H58" i="82"/>
  <c r="F58" i="82"/>
  <c r="G58" i="82" s="1"/>
  <c r="A58" i="82"/>
  <c r="H57" i="82"/>
  <c r="G57" i="82" s="1"/>
  <c r="F57" i="82"/>
  <c r="A57" i="82"/>
  <c r="H56" i="82"/>
  <c r="F56" i="82"/>
  <c r="G56" i="82" s="1"/>
  <c r="A56" i="82"/>
  <c r="H55" i="82"/>
  <c r="F55" i="82"/>
  <c r="G55" i="82" s="1"/>
  <c r="A55" i="82"/>
  <c r="H54" i="82"/>
  <c r="F54" i="82"/>
  <c r="G54" i="82" s="1"/>
  <c r="A54" i="82"/>
  <c r="H53" i="82"/>
  <c r="G53" i="82" s="1"/>
  <c r="F53" i="82"/>
  <c r="A53" i="82"/>
  <c r="H52" i="82"/>
  <c r="F52" i="82"/>
  <c r="G52" i="82" s="1"/>
  <c r="A52" i="82"/>
  <c r="H51" i="82"/>
  <c r="F51" i="82"/>
  <c r="G51" i="82" s="1"/>
  <c r="A51" i="82"/>
  <c r="H50" i="82"/>
  <c r="F50" i="82"/>
  <c r="G50" i="82" s="1"/>
  <c r="A50" i="82"/>
  <c r="H49" i="82"/>
  <c r="G49" i="82" s="1"/>
  <c r="F49" i="82"/>
  <c r="A49" i="82"/>
  <c r="H48" i="82"/>
  <c r="F48" i="82"/>
  <c r="G48" i="82" s="1"/>
  <c r="A48" i="82"/>
  <c r="H47" i="82"/>
  <c r="F47" i="82"/>
  <c r="G47" i="82" s="1"/>
  <c r="A47" i="82"/>
  <c r="H46" i="82"/>
  <c r="F46" i="82"/>
  <c r="G46" i="82" s="1"/>
  <c r="A46" i="82"/>
  <c r="H45" i="82"/>
  <c r="G45" i="82" s="1"/>
  <c r="F45" i="82"/>
  <c r="A45" i="82"/>
  <c r="H44" i="82"/>
  <c r="F44" i="82"/>
  <c r="G44" i="82" s="1"/>
  <c r="A44" i="82"/>
  <c r="H43" i="82"/>
  <c r="F43" i="82"/>
  <c r="G43" i="82" s="1"/>
  <c r="A43" i="82"/>
  <c r="H42" i="82"/>
  <c r="F42" i="82"/>
  <c r="G42" i="82" s="1"/>
  <c r="A42" i="82"/>
  <c r="H41" i="82"/>
  <c r="G41" i="82" s="1"/>
  <c r="F41" i="82"/>
  <c r="A41" i="82"/>
  <c r="H40" i="82"/>
  <c r="F40" i="82"/>
  <c r="G40" i="82" s="1"/>
  <c r="A40" i="82"/>
  <c r="H39" i="82"/>
  <c r="F39" i="82"/>
  <c r="G39" i="82" s="1"/>
  <c r="A39" i="82"/>
  <c r="H38" i="82"/>
  <c r="F38" i="82"/>
  <c r="G38" i="82" s="1"/>
  <c r="A38" i="82"/>
  <c r="H37" i="82"/>
  <c r="G37" i="82" s="1"/>
  <c r="F37" i="82"/>
  <c r="A37" i="82"/>
  <c r="H36" i="82"/>
  <c r="F36" i="82"/>
  <c r="G36" i="82" s="1"/>
  <c r="A36" i="82"/>
  <c r="H35" i="82"/>
  <c r="F35" i="82"/>
  <c r="G35" i="82" s="1"/>
  <c r="A35" i="82"/>
  <c r="H34" i="82"/>
  <c r="F34" i="82"/>
  <c r="G34" i="82" s="1"/>
  <c r="A34" i="82"/>
  <c r="H33" i="82"/>
  <c r="F33" i="82"/>
  <c r="G33" i="82" s="1"/>
  <c r="A33" i="82"/>
  <c r="H32" i="82"/>
  <c r="F32" i="82"/>
  <c r="G32" i="82" s="1"/>
  <c r="A32" i="82"/>
  <c r="H31" i="82"/>
  <c r="F31" i="82"/>
  <c r="G31" i="82" s="1"/>
  <c r="A31" i="82"/>
  <c r="H30" i="82"/>
  <c r="F30" i="82"/>
  <c r="G30" i="82" s="1"/>
  <c r="A30" i="82"/>
  <c r="H29" i="82"/>
  <c r="F29" i="82"/>
  <c r="G29" i="82" s="1"/>
  <c r="A29" i="82"/>
  <c r="H28" i="82"/>
  <c r="F28" i="82"/>
  <c r="G28" i="82" s="1"/>
  <c r="A28" i="82"/>
  <c r="H27" i="82"/>
  <c r="F27" i="82"/>
  <c r="G27" i="82" s="1"/>
  <c r="A27" i="82"/>
  <c r="H26" i="82"/>
  <c r="F26" i="82"/>
  <c r="G26" i="82" s="1"/>
  <c r="A26" i="82"/>
  <c r="H25" i="82"/>
  <c r="F25" i="82"/>
  <c r="G25" i="82" s="1"/>
  <c r="A25" i="82"/>
  <c r="H24" i="82"/>
  <c r="F24" i="82"/>
  <c r="G24" i="82" s="1"/>
  <c r="A24" i="82"/>
  <c r="H23" i="82"/>
  <c r="F23" i="82"/>
  <c r="G23" i="82" s="1"/>
  <c r="A23" i="82"/>
  <c r="H22" i="82"/>
  <c r="F22" i="82"/>
  <c r="G22" i="82" s="1"/>
  <c r="A22" i="82"/>
  <c r="H21" i="82"/>
  <c r="F21" i="82"/>
  <c r="H20" i="82"/>
  <c r="F20" i="82"/>
  <c r="H19" i="82"/>
  <c r="F19" i="82"/>
  <c r="H18" i="82"/>
  <c r="F18" i="82"/>
  <c r="H17" i="82"/>
  <c r="F17" i="82"/>
  <c r="H16" i="82"/>
  <c r="F16" i="82"/>
  <c r="H15" i="82"/>
  <c r="F15" i="82"/>
  <c r="H14" i="82"/>
  <c r="F14" i="82"/>
  <c r="G14" i="82" s="1"/>
  <c r="H13" i="82"/>
  <c r="F13" i="82"/>
  <c r="H12" i="82"/>
  <c r="F12" i="82"/>
  <c r="G12" i="82" s="1"/>
  <c r="H11" i="82"/>
  <c r="F11" i="82"/>
  <c r="G11" i="82" s="1"/>
  <c r="H10" i="82"/>
  <c r="F10" i="82"/>
  <c r="H9" i="82"/>
  <c r="F9" i="82"/>
  <c r="H8" i="82"/>
  <c r="F8" i="82"/>
  <c r="H7" i="82"/>
  <c r="F7" i="82"/>
  <c r="H6" i="82"/>
  <c r="F6" i="82"/>
  <c r="H5" i="82"/>
  <c r="F5" i="82"/>
  <c r="H4" i="82"/>
  <c r="F4" i="82"/>
  <c r="H3" i="82"/>
  <c r="F3" i="82"/>
  <c r="H160" i="80"/>
  <c r="G160" i="80"/>
  <c r="F160" i="80"/>
  <c r="A160" i="80"/>
  <c r="H159" i="80"/>
  <c r="F159" i="80"/>
  <c r="G159" i="80" s="1"/>
  <c r="A159" i="80"/>
  <c r="H158" i="80"/>
  <c r="G158" i="80"/>
  <c r="F158" i="80"/>
  <c r="A158" i="80"/>
  <c r="H157" i="80"/>
  <c r="F157" i="80"/>
  <c r="G157" i="80" s="1"/>
  <c r="A157" i="80"/>
  <c r="H156" i="80"/>
  <c r="G156" i="80"/>
  <c r="F156" i="80"/>
  <c r="A156" i="80"/>
  <c r="H155" i="80"/>
  <c r="F155" i="80"/>
  <c r="G155" i="80" s="1"/>
  <c r="A155" i="80"/>
  <c r="H154" i="80"/>
  <c r="G154" i="80"/>
  <c r="F154" i="80"/>
  <c r="A154" i="80"/>
  <c r="H153" i="80"/>
  <c r="F153" i="80"/>
  <c r="G153" i="80" s="1"/>
  <c r="A153" i="80"/>
  <c r="H152" i="80"/>
  <c r="G152" i="80"/>
  <c r="F152" i="80"/>
  <c r="A152" i="80"/>
  <c r="H151" i="80"/>
  <c r="F151" i="80"/>
  <c r="G151" i="80" s="1"/>
  <c r="A151" i="80"/>
  <c r="H150" i="80"/>
  <c r="G150" i="80"/>
  <c r="F150" i="80"/>
  <c r="A150" i="80"/>
  <c r="H149" i="80"/>
  <c r="F149" i="80"/>
  <c r="G149" i="80" s="1"/>
  <c r="A149" i="80"/>
  <c r="H148" i="80"/>
  <c r="G148" i="80"/>
  <c r="F148" i="80"/>
  <c r="A148" i="80"/>
  <c r="H147" i="80"/>
  <c r="F147" i="80"/>
  <c r="G147" i="80" s="1"/>
  <c r="A147" i="80"/>
  <c r="H146" i="80"/>
  <c r="G146" i="80"/>
  <c r="F146" i="80"/>
  <c r="A146" i="80"/>
  <c r="H145" i="80"/>
  <c r="F145" i="80"/>
  <c r="G145" i="80" s="1"/>
  <c r="A145" i="80"/>
  <c r="H144" i="80"/>
  <c r="G144" i="80"/>
  <c r="F144" i="80"/>
  <c r="A144" i="80"/>
  <c r="H143" i="80"/>
  <c r="F143" i="80"/>
  <c r="G143" i="80" s="1"/>
  <c r="A143" i="80"/>
  <c r="H142" i="80"/>
  <c r="G142" i="80"/>
  <c r="F142" i="80"/>
  <c r="A142" i="80"/>
  <c r="H141" i="80"/>
  <c r="F141" i="80"/>
  <c r="G141" i="80" s="1"/>
  <c r="A141" i="80"/>
  <c r="H140" i="80"/>
  <c r="G140" i="80"/>
  <c r="F140" i="80"/>
  <c r="A140" i="80"/>
  <c r="H139" i="80"/>
  <c r="F139" i="80"/>
  <c r="G139" i="80" s="1"/>
  <c r="A139" i="80"/>
  <c r="H138" i="80"/>
  <c r="G138" i="80"/>
  <c r="F138" i="80"/>
  <c r="A138" i="80"/>
  <c r="H137" i="80"/>
  <c r="F137" i="80"/>
  <c r="G137" i="80" s="1"/>
  <c r="A137" i="80"/>
  <c r="H136" i="80"/>
  <c r="G136" i="80"/>
  <c r="F136" i="80"/>
  <c r="A136" i="80"/>
  <c r="H135" i="80"/>
  <c r="F135" i="80"/>
  <c r="G135" i="80" s="1"/>
  <c r="A135" i="80"/>
  <c r="H134" i="80"/>
  <c r="G134" i="80"/>
  <c r="F134" i="80"/>
  <c r="A134" i="80"/>
  <c r="H133" i="80"/>
  <c r="F133" i="80"/>
  <c r="G133" i="80" s="1"/>
  <c r="A133" i="80"/>
  <c r="H132" i="80"/>
  <c r="G132" i="80"/>
  <c r="F132" i="80"/>
  <c r="A132" i="80"/>
  <c r="H131" i="80"/>
  <c r="F131" i="80"/>
  <c r="G131" i="80" s="1"/>
  <c r="A131" i="80"/>
  <c r="H130" i="80"/>
  <c r="G130" i="80"/>
  <c r="F130" i="80"/>
  <c r="A130" i="80"/>
  <c r="H129" i="80"/>
  <c r="F129" i="80"/>
  <c r="G129" i="80" s="1"/>
  <c r="A129" i="80"/>
  <c r="H128" i="80"/>
  <c r="G128" i="80"/>
  <c r="F128" i="80"/>
  <c r="A128" i="80"/>
  <c r="H127" i="80"/>
  <c r="F127" i="80"/>
  <c r="G127" i="80" s="1"/>
  <c r="A127" i="80"/>
  <c r="H126" i="80"/>
  <c r="G126" i="80"/>
  <c r="F126" i="80"/>
  <c r="A126" i="80"/>
  <c r="H125" i="80"/>
  <c r="F125" i="80"/>
  <c r="G125" i="80" s="1"/>
  <c r="A125" i="80"/>
  <c r="H124" i="80"/>
  <c r="G124" i="80"/>
  <c r="F124" i="80"/>
  <c r="A124" i="80"/>
  <c r="H123" i="80"/>
  <c r="F123" i="80"/>
  <c r="G123" i="80" s="1"/>
  <c r="A123" i="80"/>
  <c r="H122" i="80"/>
  <c r="G122" i="80"/>
  <c r="F122" i="80"/>
  <c r="A122" i="80"/>
  <c r="H121" i="80"/>
  <c r="F121" i="80"/>
  <c r="G121" i="80" s="1"/>
  <c r="A121" i="80"/>
  <c r="H120" i="80"/>
  <c r="G120" i="80"/>
  <c r="F120" i="80"/>
  <c r="A120" i="80"/>
  <c r="H119" i="80"/>
  <c r="F119" i="80"/>
  <c r="G119" i="80" s="1"/>
  <c r="A119" i="80"/>
  <c r="H118" i="80"/>
  <c r="G118" i="80"/>
  <c r="F118" i="80"/>
  <c r="A118" i="80"/>
  <c r="H117" i="80"/>
  <c r="F117" i="80"/>
  <c r="G117" i="80" s="1"/>
  <c r="A117" i="80"/>
  <c r="H116" i="80"/>
  <c r="G116" i="80"/>
  <c r="F116" i="80"/>
  <c r="A116" i="80"/>
  <c r="H115" i="80"/>
  <c r="F115" i="80"/>
  <c r="G115" i="80" s="1"/>
  <c r="A115" i="80"/>
  <c r="H114" i="80"/>
  <c r="G114" i="80"/>
  <c r="F114" i="80"/>
  <c r="A114" i="80"/>
  <c r="H113" i="80"/>
  <c r="F113" i="80"/>
  <c r="G113" i="80" s="1"/>
  <c r="A113" i="80"/>
  <c r="H112" i="80"/>
  <c r="G112" i="80"/>
  <c r="F112" i="80"/>
  <c r="A112" i="80"/>
  <c r="H111" i="80"/>
  <c r="F111" i="80"/>
  <c r="G111" i="80" s="1"/>
  <c r="A111" i="80"/>
  <c r="H110" i="80"/>
  <c r="G110" i="80"/>
  <c r="F110" i="80"/>
  <c r="A110" i="80"/>
  <c r="H109" i="80"/>
  <c r="F109" i="80"/>
  <c r="G109" i="80" s="1"/>
  <c r="A109" i="80"/>
  <c r="H108" i="80"/>
  <c r="G108" i="80"/>
  <c r="F108" i="80"/>
  <c r="A108" i="80"/>
  <c r="H107" i="80"/>
  <c r="F107" i="80"/>
  <c r="G107" i="80" s="1"/>
  <c r="A107" i="80"/>
  <c r="H106" i="80"/>
  <c r="G106" i="80"/>
  <c r="F106" i="80"/>
  <c r="A106" i="80"/>
  <c r="H105" i="80"/>
  <c r="F105" i="80"/>
  <c r="G105" i="80" s="1"/>
  <c r="A105" i="80"/>
  <c r="H104" i="80"/>
  <c r="G104" i="80"/>
  <c r="F104" i="80"/>
  <c r="A104" i="80"/>
  <c r="H103" i="80"/>
  <c r="F103" i="80"/>
  <c r="G103" i="80" s="1"/>
  <c r="A103" i="80"/>
  <c r="H102" i="80"/>
  <c r="G102" i="80"/>
  <c r="F102" i="80"/>
  <c r="A102" i="80"/>
  <c r="H101" i="80"/>
  <c r="F101" i="80"/>
  <c r="G101" i="80" s="1"/>
  <c r="A101" i="80"/>
  <c r="H100" i="80"/>
  <c r="G100" i="80"/>
  <c r="F100" i="80"/>
  <c r="A100" i="80"/>
  <c r="H99" i="80"/>
  <c r="F99" i="80"/>
  <c r="G99" i="80" s="1"/>
  <c r="A99" i="80"/>
  <c r="H98" i="80"/>
  <c r="G98" i="80"/>
  <c r="F98" i="80"/>
  <c r="A98" i="80"/>
  <c r="H97" i="80"/>
  <c r="F97" i="80"/>
  <c r="G97" i="80" s="1"/>
  <c r="A97" i="80"/>
  <c r="H96" i="80"/>
  <c r="G96" i="80"/>
  <c r="F96" i="80"/>
  <c r="A96" i="80"/>
  <c r="H95" i="80"/>
  <c r="F95" i="80"/>
  <c r="G95" i="80" s="1"/>
  <c r="A95" i="80"/>
  <c r="H94" i="80"/>
  <c r="G94" i="80"/>
  <c r="F94" i="80"/>
  <c r="A94" i="80"/>
  <c r="H93" i="80"/>
  <c r="F93" i="80"/>
  <c r="G93" i="80" s="1"/>
  <c r="A93" i="80"/>
  <c r="H92" i="80"/>
  <c r="G92" i="80"/>
  <c r="F92" i="80"/>
  <c r="A92" i="80"/>
  <c r="H91" i="80"/>
  <c r="F91" i="80"/>
  <c r="G91" i="80" s="1"/>
  <c r="A91" i="80"/>
  <c r="H90" i="80"/>
  <c r="G90" i="80"/>
  <c r="F90" i="80"/>
  <c r="A90" i="80"/>
  <c r="H89" i="80"/>
  <c r="F89" i="80"/>
  <c r="G89" i="80" s="1"/>
  <c r="A89" i="80"/>
  <c r="H88" i="80"/>
  <c r="G88" i="80"/>
  <c r="F88" i="80"/>
  <c r="A88" i="80"/>
  <c r="H87" i="80"/>
  <c r="F87" i="80"/>
  <c r="G87" i="80" s="1"/>
  <c r="A87" i="80"/>
  <c r="H86" i="80"/>
  <c r="G86" i="80"/>
  <c r="F86" i="80"/>
  <c r="A86" i="80"/>
  <c r="H85" i="80"/>
  <c r="F85" i="80"/>
  <c r="G85" i="80" s="1"/>
  <c r="A85" i="80"/>
  <c r="H84" i="80"/>
  <c r="G84" i="80" s="1"/>
  <c r="F84" i="80"/>
  <c r="A84" i="80"/>
  <c r="H83" i="80"/>
  <c r="F83" i="80"/>
  <c r="G83" i="80" s="1"/>
  <c r="A83" i="80"/>
  <c r="H82" i="80"/>
  <c r="G82" i="80" s="1"/>
  <c r="F82" i="80"/>
  <c r="A82" i="80"/>
  <c r="H81" i="80"/>
  <c r="F81" i="80"/>
  <c r="G81" i="80" s="1"/>
  <c r="A81" i="80"/>
  <c r="H80" i="80"/>
  <c r="G80" i="80" s="1"/>
  <c r="F80" i="80"/>
  <c r="A80" i="80"/>
  <c r="H79" i="80"/>
  <c r="F79" i="80"/>
  <c r="G79" i="80" s="1"/>
  <c r="A79" i="80"/>
  <c r="H78" i="80"/>
  <c r="G78" i="80" s="1"/>
  <c r="F78" i="80"/>
  <c r="A78" i="80"/>
  <c r="H77" i="80"/>
  <c r="F77" i="80"/>
  <c r="G77" i="80" s="1"/>
  <c r="A77" i="80"/>
  <c r="H76" i="80"/>
  <c r="G76" i="80" s="1"/>
  <c r="F76" i="80"/>
  <c r="A76" i="80"/>
  <c r="H75" i="80"/>
  <c r="F75" i="80"/>
  <c r="G75" i="80" s="1"/>
  <c r="A75" i="80"/>
  <c r="H74" i="80"/>
  <c r="G74" i="80" s="1"/>
  <c r="F74" i="80"/>
  <c r="A74" i="80"/>
  <c r="H73" i="80"/>
  <c r="F73" i="80"/>
  <c r="G73" i="80" s="1"/>
  <c r="A73" i="80"/>
  <c r="H72" i="80"/>
  <c r="G72" i="80" s="1"/>
  <c r="F72" i="80"/>
  <c r="A72" i="80"/>
  <c r="H71" i="80"/>
  <c r="F71" i="80"/>
  <c r="G71" i="80" s="1"/>
  <c r="A71" i="80"/>
  <c r="H70" i="80"/>
  <c r="G70" i="80" s="1"/>
  <c r="F70" i="80"/>
  <c r="A70" i="80"/>
  <c r="H69" i="80"/>
  <c r="F69" i="80"/>
  <c r="G69" i="80" s="1"/>
  <c r="A69" i="80"/>
  <c r="H68" i="80"/>
  <c r="G68" i="80" s="1"/>
  <c r="F68" i="80"/>
  <c r="A68" i="80"/>
  <c r="H67" i="80"/>
  <c r="F67" i="80"/>
  <c r="G67" i="80" s="1"/>
  <c r="A67" i="80"/>
  <c r="H66" i="80"/>
  <c r="G66" i="80" s="1"/>
  <c r="F66" i="80"/>
  <c r="A66" i="80"/>
  <c r="H65" i="80"/>
  <c r="F65" i="80"/>
  <c r="G65" i="80" s="1"/>
  <c r="A65" i="80"/>
  <c r="H64" i="80"/>
  <c r="G64" i="80" s="1"/>
  <c r="F64" i="80"/>
  <c r="A64" i="80"/>
  <c r="H63" i="80"/>
  <c r="F63" i="80"/>
  <c r="G63" i="80" s="1"/>
  <c r="A63" i="80"/>
  <c r="H62" i="80"/>
  <c r="G62" i="80" s="1"/>
  <c r="F62" i="80"/>
  <c r="A62" i="80"/>
  <c r="H61" i="80"/>
  <c r="F61" i="80"/>
  <c r="G61" i="80" s="1"/>
  <c r="A61" i="80"/>
  <c r="H60" i="80"/>
  <c r="G60" i="80" s="1"/>
  <c r="F60" i="80"/>
  <c r="A60" i="80"/>
  <c r="H59" i="80"/>
  <c r="F59" i="80"/>
  <c r="G59" i="80" s="1"/>
  <c r="A59" i="80"/>
  <c r="H58" i="80"/>
  <c r="G58" i="80" s="1"/>
  <c r="F58" i="80"/>
  <c r="A58" i="80"/>
  <c r="H57" i="80"/>
  <c r="F57" i="80"/>
  <c r="G57" i="80" s="1"/>
  <c r="A57" i="80"/>
  <c r="H56" i="80"/>
  <c r="G56" i="80" s="1"/>
  <c r="F56" i="80"/>
  <c r="A56" i="80"/>
  <c r="H55" i="80"/>
  <c r="F55" i="80"/>
  <c r="G55" i="80" s="1"/>
  <c r="A55" i="80"/>
  <c r="H54" i="80"/>
  <c r="G54" i="80" s="1"/>
  <c r="F54" i="80"/>
  <c r="A54" i="80"/>
  <c r="H53" i="80"/>
  <c r="F53" i="80"/>
  <c r="G53" i="80" s="1"/>
  <c r="A53" i="80"/>
  <c r="H52" i="80"/>
  <c r="G52" i="80" s="1"/>
  <c r="F52" i="80"/>
  <c r="A52" i="80"/>
  <c r="H51" i="80"/>
  <c r="F51" i="80"/>
  <c r="G51" i="80" s="1"/>
  <c r="A51" i="80"/>
  <c r="H50" i="80"/>
  <c r="G50" i="80" s="1"/>
  <c r="F50" i="80"/>
  <c r="A50" i="80"/>
  <c r="H49" i="80"/>
  <c r="F49" i="80"/>
  <c r="G49" i="80" s="1"/>
  <c r="A49" i="80"/>
  <c r="H48" i="80"/>
  <c r="G48" i="80" s="1"/>
  <c r="F48" i="80"/>
  <c r="A48" i="80"/>
  <c r="H47" i="80"/>
  <c r="F47" i="80"/>
  <c r="G47" i="80" s="1"/>
  <c r="A47" i="80"/>
  <c r="H46" i="80"/>
  <c r="G46" i="80" s="1"/>
  <c r="F46" i="80"/>
  <c r="A46" i="80"/>
  <c r="H45" i="80"/>
  <c r="F45" i="80"/>
  <c r="G45" i="80" s="1"/>
  <c r="A45" i="80"/>
  <c r="H44" i="80"/>
  <c r="G44" i="80" s="1"/>
  <c r="F44" i="80"/>
  <c r="A44" i="80"/>
  <c r="H43" i="80"/>
  <c r="F43" i="80"/>
  <c r="G43" i="80" s="1"/>
  <c r="A43" i="80"/>
  <c r="H42" i="80"/>
  <c r="G42" i="80" s="1"/>
  <c r="F42" i="80"/>
  <c r="A42" i="80"/>
  <c r="H41" i="80"/>
  <c r="F41" i="80"/>
  <c r="G41" i="80" s="1"/>
  <c r="A41" i="80"/>
  <c r="H40" i="80"/>
  <c r="G40" i="80" s="1"/>
  <c r="F40" i="80"/>
  <c r="A40" i="80"/>
  <c r="H39" i="80"/>
  <c r="F39" i="80"/>
  <c r="G39" i="80" s="1"/>
  <c r="A39" i="80"/>
  <c r="H38" i="80"/>
  <c r="G38" i="80" s="1"/>
  <c r="F38" i="80"/>
  <c r="A38" i="80"/>
  <c r="H37" i="80"/>
  <c r="F37" i="80"/>
  <c r="G37" i="80" s="1"/>
  <c r="A37" i="80"/>
  <c r="H36" i="80"/>
  <c r="G36" i="80" s="1"/>
  <c r="F36" i="80"/>
  <c r="A36" i="80"/>
  <c r="H35" i="80"/>
  <c r="F35" i="80"/>
  <c r="G35" i="80" s="1"/>
  <c r="A35" i="80"/>
  <c r="H34" i="80"/>
  <c r="G34" i="80" s="1"/>
  <c r="F34" i="80"/>
  <c r="A34" i="80"/>
  <c r="H33" i="80"/>
  <c r="F33" i="80"/>
  <c r="G33" i="80" s="1"/>
  <c r="A33" i="80"/>
  <c r="H32" i="80"/>
  <c r="G32" i="80" s="1"/>
  <c r="F32" i="80"/>
  <c r="A32" i="80"/>
  <c r="H31" i="80"/>
  <c r="F31" i="80"/>
  <c r="G31" i="80" s="1"/>
  <c r="A31" i="80"/>
  <c r="H30" i="80"/>
  <c r="G30" i="80" s="1"/>
  <c r="F30" i="80"/>
  <c r="A30" i="80"/>
  <c r="H29" i="80"/>
  <c r="F29" i="80"/>
  <c r="G29" i="80" s="1"/>
  <c r="A29" i="80"/>
  <c r="H28" i="80"/>
  <c r="G28" i="80" s="1"/>
  <c r="F28" i="80"/>
  <c r="A28" i="80"/>
  <c r="H27" i="80"/>
  <c r="F27" i="80"/>
  <c r="H26" i="80"/>
  <c r="F26" i="80"/>
  <c r="H25" i="80"/>
  <c r="F25" i="80"/>
  <c r="H24" i="80"/>
  <c r="F24" i="80"/>
  <c r="H23" i="80"/>
  <c r="F23" i="80"/>
  <c r="G23" i="80" s="1"/>
  <c r="H22" i="80"/>
  <c r="F22" i="80"/>
  <c r="H21" i="80"/>
  <c r="F21" i="80"/>
  <c r="H20" i="80"/>
  <c r="F20" i="80"/>
  <c r="H19" i="80"/>
  <c r="F19" i="80"/>
  <c r="H18" i="80"/>
  <c r="F18" i="80"/>
  <c r="H17" i="80"/>
  <c r="F17" i="80"/>
  <c r="H16" i="80"/>
  <c r="F16" i="80"/>
  <c r="H15" i="80"/>
  <c r="F15" i="80"/>
  <c r="H14" i="80"/>
  <c r="F14" i="80"/>
  <c r="H13" i="80"/>
  <c r="F13" i="80"/>
  <c r="H12" i="80"/>
  <c r="F12" i="80"/>
  <c r="H11" i="80"/>
  <c r="F11" i="80"/>
  <c r="H10" i="80"/>
  <c r="F10" i="80"/>
  <c r="H9" i="80"/>
  <c r="F9" i="80"/>
  <c r="H8" i="80"/>
  <c r="F8" i="80"/>
  <c r="H7" i="80"/>
  <c r="F7" i="80"/>
  <c r="G7" i="80" s="1"/>
  <c r="H6" i="80"/>
  <c r="F6" i="80"/>
  <c r="H5" i="80"/>
  <c r="F5" i="80"/>
  <c r="H4" i="80"/>
  <c r="F4" i="80"/>
  <c r="H3" i="80"/>
  <c r="F3" i="80"/>
  <c r="H160" i="79"/>
  <c r="F160" i="79"/>
  <c r="G160" i="79" s="1"/>
  <c r="A160" i="79"/>
  <c r="H159" i="79"/>
  <c r="G159" i="79" s="1"/>
  <c r="F159" i="79"/>
  <c r="A159" i="79"/>
  <c r="H158" i="79"/>
  <c r="F158" i="79"/>
  <c r="G158" i="79" s="1"/>
  <c r="A158" i="79"/>
  <c r="H157" i="79"/>
  <c r="G157" i="79" s="1"/>
  <c r="F157" i="79"/>
  <c r="A157" i="79"/>
  <c r="H156" i="79"/>
  <c r="F156" i="79"/>
  <c r="G156" i="79" s="1"/>
  <c r="A156" i="79"/>
  <c r="H155" i="79"/>
  <c r="G155" i="79" s="1"/>
  <c r="F155" i="79"/>
  <c r="A155" i="79"/>
  <c r="H154" i="79"/>
  <c r="F154" i="79"/>
  <c r="G154" i="79" s="1"/>
  <c r="A154" i="79"/>
  <c r="H153" i="79"/>
  <c r="G153" i="79" s="1"/>
  <c r="F153" i="79"/>
  <c r="A153" i="79"/>
  <c r="H152" i="79"/>
  <c r="F152" i="79"/>
  <c r="G152" i="79" s="1"/>
  <c r="A152" i="79"/>
  <c r="H151" i="79"/>
  <c r="G151" i="79" s="1"/>
  <c r="F151" i="79"/>
  <c r="A151" i="79"/>
  <c r="H150" i="79"/>
  <c r="F150" i="79"/>
  <c r="G150" i="79" s="1"/>
  <c r="A150" i="79"/>
  <c r="H149" i="79"/>
  <c r="G149" i="79" s="1"/>
  <c r="F149" i="79"/>
  <c r="A149" i="79"/>
  <c r="H148" i="79"/>
  <c r="F148" i="79"/>
  <c r="G148" i="79" s="1"/>
  <c r="A148" i="79"/>
  <c r="H147" i="79"/>
  <c r="G147" i="79" s="1"/>
  <c r="F147" i="79"/>
  <c r="A147" i="79"/>
  <c r="H146" i="79"/>
  <c r="F146" i="79"/>
  <c r="G146" i="79" s="1"/>
  <c r="A146" i="79"/>
  <c r="H145" i="79"/>
  <c r="G145" i="79" s="1"/>
  <c r="F145" i="79"/>
  <c r="A145" i="79"/>
  <c r="H144" i="79"/>
  <c r="F144" i="79"/>
  <c r="G144" i="79" s="1"/>
  <c r="A144" i="79"/>
  <c r="H143" i="79"/>
  <c r="G143" i="79" s="1"/>
  <c r="F143" i="79"/>
  <c r="A143" i="79"/>
  <c r="H142" i="79"/>
  <c r="F142" i="79"/>
  <c r="G142" i="79" s="1"/>
  <c r="A142" i="79"/>
  <c r="H141" i="79"/>
  <c r="G141" i="79" s="1"/>
  <c r="F141" i="79"/>
  <c r="A141" i="79"/>
  <c r="H140" i="79"/>
  <c r="F140" i="79"/>
  <c r="G140" i="79" s="1"/>
  <c r="A140" i="79"/>
  <c r="H139" i="79"/>
  <c r="G139" i="79" s="1"/>
  <c r="F139" i="79"/>
  <c r="A139" i="79"/>
  <c r="H138" i="79"/>
  <c r="F138" i="79"/>
  <c r="G138" i="79" s="1"/>
  <c r="A138" i="79"/>
  <c r="H137" i="79"/>
  <c r="G137" i="79" s="1"/>
  <c r="F137" i="79"/>
  <c r="A137" i="79"/>
  <c r="H136" i="79"/>
  <c r="F136" i="79"/>
  <c r="G136" i="79" s="1"/>
  <c r="A136" i="79"/>
  <c r="H135" i="79"/>
  <c r="G135" i="79" s="1"/>
  <c r="F135" i="79"/>
  <c r="A135" i="79"/>
  <c r="H134" i="79"/>
  <c r="F134" i="79"/>
  <c r="G134" i="79" s="1"/>
  <c r="A134" i="79"/>
  <c r="H133" i="79"/>
  <c r="G133" i="79" s="1"/>
  <c r="F133" i="79"/>
  <c r="A133" i="79"/>
  <c r="H132" i="79"/>
  <c r="F132" i="79"/>
  <c r="G132" i="79" s="1"/>
  <c r="A132" i="79"/>
  <c r="H131" i="79"/>
  <c r="G131" i="79" s="1"/>
  <c r="F131" i="79"/>
  <c r="A131" i="79"/>
  <c r="H130" i="79"/>
  <c r="F130" i="79"/>
  <c r="G130" i="79" s="1"/>
  <c r="A130" i="79"/>
  <c r="H129" i="79"/>
  <c r="G129" i="79" s="1"/>
  <c r="F129" i="79"/>
  <c r="A129" i="79"/>
  <c r="H128" i="79"/>
  <c r="F128" i="79"/>
  <c r="G128" i="79" s="1"/>
  <c r="A128" i="79"/>
  <c r="H127" i="79"/>
  <c r="G127" i="79" s="1"/>
  <c r="F127" i="79"/>
  <c r="A127" i="79"/>
  <c r="H126" i="79"/>
  <c r="F126" i="79"/>
  <c r="G126" i="79" s="1"/>
  <c r="A126" i="79"/>
  <c r="H125" i="79"/>
  <c r="G125" i="79" s="1"/>
  <c r="F125" i="79"/>
  <c r="A125" i="79"/>
  <c r="H124" i="79"/>
  <c r="F124" i="79"/>
  <c r="G124" i="79" s="1"/>
  <c r="A124" i="79"/>
  <c r="H123" i="79"/>
  <c r="G123" i="79" s="1"/>
  <c r="F123" i="79"/>
  <c r="A123" i="79"/>
  <c r="H122" i="79"/>
  <c r="F122" i="79"/>
  <c r="G122" i="79" s="1"/>
  <c r="A122" i="79"/>
  <c r="H121" i="79"/>
  <c r="G121" i="79" s="1"/>
  <c r="F121" i="79"/>
  <c r="A121" i="79"/>
  <c r="H120" i="79"/>
  <c r="F120" i="79"/>
  <c r="G120" i="79" s="1"/>
  <c r="A120" i="79"/>
  <c r="H119" i="79"/>
  <c r="G119" i="79" s="1"/>
  <c r="F119" i="79"/>
  <c r="A119" i="79"/>
  <c r="H118" i="79"/>
  <c r="F118" i="79"/>
  <c r="G118" i="79" s="1"/>
  <c r="A118" i="79"/>
  <c r="H117" i="79"/>
  <c r="G117" i="79" s="1"/>
  <c r="F117" i="79"/>
  <c r="A117" i="79"/>
  <c r="H116" i="79"/>
  <c r="F116" i="79"/>
  <c r="G116" i="79" s="1"/>
  <c r="A116" i="79"/>
  <c r="H115" i="79"/>
  <c r="G115" i="79" s="1"/>
  <c r="F115" i="79"/>
  <c r="A115" i="79"/>
  <c r="H114" i="79"/>
  <c r="F114" i="79"/>
  <c r="G114" i="79" s="1"/>
  <c r="A114" i="79"/>
  <c r="H113" i="79"/>
  <c r="G113" i="79" s="1"/>
  <c r="F113" i="79"/>
  <c r="A113" i="79"/>
  <c r="H112" i="79"/>
  <c r="F112" i="79"/>
  <c r="G112" i="79" s="1"/>
  <c r="A112" i="79"/>
  <c r="H111" i="79"/>
  <c r="G111" i="79" s="1"/>
  <c r="F111" i="79"/>
  <c r="A111" i="79"/>
  <c r="H110" i="79"/>
  <c r="F110" i="79"/>
  <c r="G110" i="79" s="1"/>
  <c r="A110" i="79"/>
  <c r="H109" i="79"/>
  <c r="G109" i="79" s="1"/>
  <c r="F109" i="79"/>
  <c r="A109" i="79"/>
  <c r="H108" i="79"/>
  <c r="F108" i="79"/>
  <c r="G108" i="79" s="1"/>
  <c r="A108" i="79"/>
  <c r="H107" i="79"/>
  <c r="G107" i="79" s="1"/>
  <c r="F107" i="79"/>
  <c r="A107" i="79"/>
  <c r="H106" i="79"/>
  <c r="F106" i="79"/>
  <c r="G106" i="79" s="1"/>
  <c r="A106" i="79"/>
  <c r="H105" i="79"/>
  <c r="G105" i="79" s="1"/>
  <c r="F105" i="79"/>
  <c r="A105" i="79"/>
  <c r="H104" i="79"/>
  <c r="F104" i="79"/>
  <c r="G104" i="79" s="1"/>
  <c r="A104" i="79"/>
  <c r="H103" i="79"/>
  <c r="G103" i="79" s="1"/>
  <c r="F103" i="79"/>
  <c r="A103" i="79"/>
  <c r="H102" i="79"/>
  <c r="F102" i="79"/>
  <c r="G102" i="79" s="1"/>
  <c r="A102" i="79"/>
  <c r="H101" i="79"/>
  <c r="G101" i="79" s="1"/>
  <c r="F101" i="79"/>
  <c r="A101" i="79"/>
  <c r="H100" i="79"/>
  <c r="F100" i="79"/>
  <c r="G100" i="79" s="1"/>
  <c r="A100" i="79"/>
  <c r="H99" i="79"/>
  <c r="G99" i="79" s="1"/>
  <c r="F99" i="79"/>
  <c r="A99" i="79"/>
  <c r="H98" i="79"/>
  <c r="F98" i="79"/>
  <c r="G98" i="79" s="1"/>
  <c r="A98" i="79"/>
  <c r="H97" i="79"/>
  <c r="G97" i="79" s="1"/>
  <c r="F97" i="79"/>
  <c r="A97" i="79"/>
  <c r="H96" i="79"/>
  <c r="F96" i="79"/>
  <c r="G96" i="79" s="1"/>
  <c r="A96" i="79"/>
  <c r="H95" i="79"/>
  <c r="G95" i="79" s="1"/>
  <c r="F95" i="79"/>
  <c r="A95" i="79"/>
  <c r="H94" i="79"/>
  <c r="F94" i="79"/>
  <c r="G94" i="79" s="1"/>
  <c r="A94" i="79"/>
  <c r="H93" i="79"/>
  <c r="G93" i="79" s="1"/>
  <c r="F93" i="79"/>
  <c r="A93" i="79"/>
  <c r="H92" i="79"/>
  <c r="F92" i="79"/>
  <c r="G92" i="79" s="1"/>
  <c r="A92" i="79"/>
  <c r="H91" i="79"/>
  <c r="G91" i="79" s="1"/>
  <c r="F91" i="79"/>
  <c r="A91" i="79"/>
  <c r="H90" i="79"/>
  <c r="F90" i="79"/>
  <c r="G90" i="79" s="1"/>
  <c r="A90" i="79"/>
  <c r="H89" i="79"/>
  <c r="G89" i="79" s="1"/>
  <c r="F89" i="79"/>
  <c r="A89" i="79"/>
  <c r="H88" i="79"/>
  <c r="F88" i="79"/>
  <c r="G88" i="79" s="1"/>
  <c r="A88" i="79"/>
  <c r="H87" i="79"/>
  <c r="G87" i="79" s="1"/>
  <c r="F87" i="79"/>
  <c r="A87" i="79"/>
  <c r="H86" i="79"/>
  <c r="F86" i="79"/>
  <c r="G86" i="79" s="1"/>
  <c r="A86" i="79"/>
  <c r="H85" i="79"/>
  <c r="G85" i="79" s="1"/>
  <c r="F85" i="79"/>
  <c r="A85" i="79"/>
  <c r="H84" i="79"/>
  <c r="F84" i="79"/>
  <c r="G84" i="79" s="1"/>
  <c r="A84" i="79"/>
  <c r="H83" i="79"/>
  <c r="G83" i="79" s="1"/>
  <c r="F83" i="79"/>
  <c r="A83" i="79"/>
  <c r="H82" i="79"/>
  <c r="F82" i="79"/>
  <c r="G82" i="79" s="1"/>
  <c r="A82" i="79"/>
  <c r="H81" i="79"/>
  <c r="G81" i="79" s="1"/>
  <c r="F81" i="79"/>
  <c r="A81" i="79"/>
  <c r="H80" i="79"/>
  <c r="F80" i="79"/>
  <c r="G80" i="79" s="1"/>
  <c r="A80" i="79"/>
  <c r="H79" i="79"/>
  <c r="G79" i="79" s="1"/>
  <c r="F79" i="79"/>
  <c r="A79" i="79"/>
  <c r="H78" i="79"/>
  <c r="F78" i="79"/>
  <c r="G78" i="79" s="1"/>
  <c r="A78" i="79"/>
  <c r="H77" i="79"/>
  <c r="G77" i="79" s="1"/>
  <c r="F77" i="79"/>
  <c r="A77" i="79"/>
  <c r="H76" i="79"/>
  <c r="F76" i="79"/>
  <c r="G76" i="79" s="1"/>
  <c r="A76" i="79"/>
  <c r="H75" i="79"/>
  <c r="G75" i="79" s="1"/>
  <c r="F75" i="79"/>
  <c r="A75" i="79"/>
  <c r="H74" i="79"/>
  <c r="F74" i="79"/>
  <c r="G74" i="79" s="1"/>
  <c r="A74" i="79"/>
  <c r="H73" i="79"/>
  <c r="G73" i="79" s="1"/>
  <c r="F73" i="79"/>
  <c r="A73" i="79"/>
  <c r="H72" i="79"/>
  <c r="F72" i="79"/>
  <c r="G72" i="79" s="1"/>
  <c r="A72" i="79"/>
  <c r="H71" i="79"/>
  <c r="F71" i="79"/>
  <c r="G71" i="79" s="1"/>
  <c r="A71" i="79"/>
  <c r="H70" i="79"/>
  <c r="F70" i="79"/>
  <c r="G70" i="79" s="1"/>
  <c r="A70" i="79"/>
  <c r="H69" i="79"/>
  <c r="G69" i="79" s="1"/>
  <c r="F69" i="79"/>
  <c r="A69" i="79"/>
  <c r="H68" i="79"/>
  <c r="F68" i="79"/>
  <c r="G68" i="79" s="1"/>
  <c r="A68" i="79"/>
  <c r="H67" i="79"/>
  <c r="F67" i="79"/>
  <c r="G67" i="79" s="1"/>
  <c r="A67" i="79"/>
  <c r="H66" i="79"/>
  <c r="F66" i="79"/>
  <c r="G66" i="79" s="1"/>
  <c r="A66" i="79"/>
  <c r="H65" i="79"/>
  <c r="G65" i="79" s="1"/>
  <c r="F65" i="79"/>
  <c r="A65" i="79"/>
  <c r="H64" i="79"/>
  <c r="F64" i="79"/>
  <c r="G64" i="79" s="1"/>
  <c r="A64" i="79"/>
  <c r="H63" i="79"/>
  <c r="F63" i="79"/>
  <c r="G63" i="79" s="1"/>
  <c r="A63" i="79"/>
  <c r="H62" i="79"/>
  <c r="F62" i="79"/>
  <c r="G62" i="79" s="1"/>
  <c r="A62" i="79"/>
  <c r="H61" i="79"/>
  <c r="G61" i="79" s="1"/>
  <c r="F61" i="79"/>
  <c r="A61" i="79"/>
  <c r="H60" i="79"/>
  <c r="F60" i="79"/>
  <c r="G60" i="79" s="1"/>
  <c r="A60" i="79"/>
  <c r="H59" i="79"/>
  <c r="F59" i="79"/>
  <c r="G59" i="79" s="1"/>
  <c r="A59" i="79"/>
  <c r="H58" i="79"/>
  <c r="F58" i="79"/>
  <c r="G58" i="79" s="1"/>
  <c r="A58" i="79"/>
  <c r="H57" i="79"/>
  <c r="G57" i="79" s="1"/>
  <c r="F57" i="79"/>
  <c r="A57" i="79"/>
  <c r="H56" i="79"/>
  <c r="F56" i="79"/>
  <c r="G56" i="79" s="1"/>
  <c r="A56" i="79"/>
  <c r="H55" i="79"/>
  <c r="F55" i="79"/>
  <c r="G55" i="79" s="1"/>
  <c r="A55" i="79"/>
  <c r="H54" i="79"/>
  <c r="F54" i="79"/>
  <c r="G54" i="79" s="1"/>
  <c r="A54" i="79"/>
  <c r="H53" i="79"/>
  <c r="G53" i="79" s="1"/>
  <c r="F53" i="79"/>
  <c r="A53" i="79"/>
  <c r="H52" i="79"/>
  <c r="F52" i="79"/>
  <c r="G52" i="79" s="1"/>
  <c r="A52" i="79"/>
  <c r="H51" i="79"/>
  <c r="F51" i="79"/>
  <c r="G51" i="79" s="1"/>
  <c r="A51" i="79"/>
  <c r="H50" i="79"/>
  <c r="F50" i="79"/>
  <c r="G50" i="79" s="1"/>
  <c r="A50" i="79"/>
  <c r="H49" i="79"/>
  <c r="G49" i="79" s="1"/>
  <c r="F49" i="79"/>
  <c r="A49" i="79"/>
  <c r="H48" i="79"/>
  <c r="F48" i="79"/>
  <c r="G48" i="79" s="1"/>
  <c r="A48" i="79"/>
  <c r="H47" i="79"/>
  <c r="F47" i="79"/>
  <c r="G47" i="79" s="1"/>
  <c r="A47" i="79"/>
  <c r="H46" i="79"/>
  <c r="F46" i="79"/>
  <c r="G46" i="79" s="1"/>
  <c r="A46" i="79"/>
  <c r="H45" i="79"/>
  <c r="G45" i="79" s="1"/>
  <c r="F45" i="79"/>
  <c r="A45" i="79"/>
  <c r="H44" i="79"/>
  <c r="F44" i="79"/>
  <c r="G44" i="79" s="1"/>
  <c r="A44" i="79"/>
  <c r="H43" i="79"/>
  <c r="F43" i="79"/>
  <c r="G43" i="79" s="1"/>
  <c r="A43" i="79"/>
  <c r="H42" i="79"/>
  <c r="F42" i="79"/>
  <c r="G42" i="79" s="1"/>
  <c r="A42" i="79"/>
  <c r="H41" i="79"/>
  <c r="G41" i="79" s="1"/>
  <c r="F41" i="79"/>
  <c r="A41" i="79"/>
  <c r="H40" i="79"/>
  <c r="F40" i="79"/>
  <c r="G40" i="79" s="1"/>
  <c r="A40" i="79"/>
  <c r="H39" i="79"/>
  <c r="F39" i="79"/>
  <c r="G39" i="79" s="1"/>
  <c r="A39" i="79"/>
  <c r="H38" i="79"/>
  <c r="F38" i="79"/>
  <c r="G38" i="79" s="1"/>
  <c r="A38" i="79"/>
  <c r="H37" i="79"/>
  <c r="G37" i="79" s="1"/>
  <c r="F37" i="79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G33" i="79" s="1"/>
  <c r="F33" i="79"/>
  <c r="A33" i="79"/>
  <c r="H32" i="79"/>
  <c r="F32" i="79"/>
  <c r="G32" i="79" s="1"/>
  <c r="A32" i="79"/>
  <c r="H31" i="79"/>
  <c r="F31" i="79"/>
  <c r="G31" i="79" s="1"/>
  <c r="A31" i="79"/>
  <c r="H30" i="79"/>
  <c r="F30" i="79"/>
  <c r="G30" i="79" s="1"/>
  <c r="A30" i="79"/>
  <c r="H29" i="79"/>
  <c r="G29" i="79" s="1"/>
  <c r="F29" i="79"/>
  <c r="A29" i="79"/>
  <c r="H28" i="79"/>
  <c r="F28" i="79"/>
  <c r="G28" i="79" s="1"/>
  <c r="A28" i="79"/>
  <c r="H27" i="79"/>
  <c r="F27" i="79"/>
  <c r="G27" i="79" s="1"/>
  <c r="A27" i="79"/>
  <c r="H26" i="79"/>
  <c r="F26" i="79"/>
  <c r="G26" i="79" s="1"/>
  <c r="A26" i="79"/>
  <c r="H25" i="79"/>
  <c r="G25" i="79" s="1"/>
  <c r="F25" i="79"/>
  <c r="A25" i="79"/>
  <c r="H24" i="79"/>
  <c r="F24" i="79"/>
  <c r="G24" i="79" s="1"/>
  <c r="H23" i="79"/>
  <c r="F23" i="79"/>
  <c r="H22" i="79"/>
  <c r="F22" i="79"/>
  <c r="H21" i="79"/>
  <c r="F21" i="79"/>
  <c r="H20" i="79"/>
  <c r="F20" i="79"/>
  <c r="H19" i="79"/>
  <c r="F19" i="79"/>
  <c r="H18" i="79"/>
  <c r="F18" i="79"/>
  <c r="H17" i="79"/>
  <c r="F17" i="79"/>
  <c r="H16" i="79"/>
  <c r="F16" i="79"/>
  <c r="H15" i="79"/>
  <c r="F15" i="79"/>
  <c r="G15" i="79" s="1"/>
  <c r="H14" i="79"/>
  <c r="F14" i="79"/>
  <c r="H13" i="79"/>
  <c r="F13" i="79"/>
  <c r="H12" i="79"/>
  <c r="F12" i="79"/>
  <c r="H11" i="79"/>
  <c r="F11" i="79"/>
  <c r="H10" i="79"/>
  <c r="F10" i="79"/>
  <c r="H9" i="79"/>
  <c r="F9" i="79"/>
  <c r="H8" i="79"/>
  <c r="F8" i="79"/>
  <c r="H7" i="79"/>
  <c r="F7" i="79"/>
  <c r="H6" i="79"/>
  <c r="F6" i="79"/>
  <c r="H5" i="79"/>
  <c r="F5" i="79"/>
  <c r="H4" i="79"/>
  <c r="F4" i="79"/>
  <c r="H3" i="79"/>
  <c r="F3" i="79"/>
  <c r="H160" i="57"/>
  <c r="F160" i="57"/>
  <c r="G160" i="57" s="1"/>
  <c r="A160" i="57"/>
  <c r="H159" i="57"/>
  <c r="F159" i="57"/>
  <c r="G159" i="57" s="1"/>
  <c r="A159" i="57"/>
  <c r="H158" i="57"/>
  <c r="F158" i="57"/>
  <c r="G158" i="57" s="1"/>
  <c r="A158" i="57"/>
  <c r="H157" i="57"/>
  <c r="F157" i="57"/>
  <c r="G157" i="57" s="1"/>
  <c r="A157" i="57"/>
  <c r="H156" i="57"/>
  <c r="F156" i="57"/>
  <c r="G156" i="57" s="1"/>
  <c r="A156" i="57"/>
  <c r="H155" i="57"/>
  <c r="F155" i="57"/>
  <c r="G155" i="57" s="1"/>
  <c r="A155" i="57"/>
  <c r="H154" i="57"/>
  <c r="F154" i="57"/>
  <c r="G154" i="57" s="1"/>
  <c r="A154" i="57"/>
  <c r="H153" i="57"/>
  <c r="F153" i="57"/>
  <c r="G153" i="57" s="1"/>
  <c r="A153" i="57"/>
  <c r="H152" i="57"/>
  <c r="F152" i="57"/>
  <c r="G152" i="57" s="1"/>
  <c r="A152" i="57"/>
  <c r="H151" i="57"/>
  <c r="F151" i="57"/>
  <c r="G151" i="57" s="1"/>
  <c r="A151" i="57"/>
  <c r="H150" i="57"/>
  <c r="F150" i="57"/>
  <c r="G150" i="57" s="1"/>
  <c r="A150" i="57"/>
  <c r="H149" i="57"/>
  <c r="F149" i="57"/>
  <c r="G149" i="57" s="1"/>
  <c r="A149" i="57"/>
  <c r="H148" i="57"/>
  <c r="F148" i="57"/>
  <c r="G148" i="57" s="1"/>
  <c r="A148" i="57"/>
  <c r="H147" i="57"/>
  <c r="F147" i="57"/>
  <c r="G147" i="57" s="1"/>
  <c r="A147" i="57"/>
  <c r="H146" i="57"/>
  <c r="F146" i="57"/>
  <c r="G146" i="57" s="1"/>
  <c r="A146" i="57"/>
  <c r="H145" i="57"/>
  <c r="F145" i="57"/>
  <c r="G145" i="57" s="1"/>
  <c r="A145" i="57"/>
  <c r="H144" i="57"/>
  <c r="F144" i="57"/>
  <c r="G144" i="57" s="1"/>
  <c r="A144" i="57"/>
  <c r="H143" i="57"/>
  <c r="F143" i="57"/>
  <c r="G143" i="57" s="1"/>
  <c r="A143" i="57"/>
  <c r="H142" i="57"/>
  <c r="F142" i="57"/>
  <c r="G142" i="57" s="1"/>
  <c r="A142" i="57"/>
  <c r="H141" i="57"/>
  <c r="F141" i="57"/>
  <c r="G141" i="57" s="1"/>
  <c r="A141" i="57"/>
  <c r="H140" i="57"/>
  <c r="F140" i="57"/>
  <c r="G140" i="57" s="1"/>
  <c r="A140" i="57"/>
  <c r="H139" i="57"/>
  <c r="F139" i="57"/>
  <c r="G139" i="57" s="1"/>
  <c r="A139" i="57"/>
  <c r="H138" i="57"/>
  <c r="F138" i="57"/>
  <c r="G138" i="57" s="1"/>
  <c r="A138" i="57"/>
  <c r="H137" i="57"/>
  <c r="F137" i="57"/>
  <c r="G137" i="57" s="1"/>
  <c r="A137" i="57"/>
  <c r="H136" i="57"/>
  <c r="F136" i="57"/>
  <c r="G136" i="57" s="1"/>
  <c r="A136" i="57"/>
  <c r="H135" i="57"/>
  <c r="F135" i="57"/>
  <c r="G135" i="57" s="1"/>
  <c r="A135" i="57"/>
  <c r="H134" i="57"/>
  <c r="F134" i="57"/>
  <c r="G134" i="57" s="1"/>
  <c r="A134" i="57"/>
  <c r="H133" i="57"/>
  <c r="F133" i="57"/>
  <c r="G133" i="57" s="1"/>
  <c r="A133" i="57"/>
  <c r="H132" i="57"/>
  <c r="F132" i="57"/>
  <c r="G132" i="57" s="1"/>
  <c r="A132" i="57"/>
  <c r="H131" i="57"/>
  <c r="F131" i="57"/>
  <c r="G131" i="57" s="1"/>
  <c r="A131" i="57"/>
  <c r="H130" i="57"/>
  <c r="F130" i="57"/>
  <c r="G130" i="57" s="1"/>
  <c r="A130" i="57"/>
  <c r="H129" i="57"/>
  <c r="F129" i="57"/>
  <c r="G129" i="57" s="1"/>
  <c r="A129" i="57"/>
  <c r="H128" i="57"/>
  <c r="F128" i="57"/>
  <c r="G128" i="57" s="1"/>
  <c r="A128" i="57"/>
  <c r="H127" i="57"/>
  <c r="F127" i="57"/>
  <c r="G127" i="57" s="1"/>
  <c r="A127" i="57"/>
  <c r="H126" i="57"/>
  <c r="F126" i="57"/>
  <c r="G126" i="57" s="1"/>
  <c r="A126" i="57"/>
  <c r="H125" i="57"/>
  <c r="F125" i="57"/>
  <c r="G125" i="57" s="1"/>
  <c r="A125" i="57"/>
  <c r="H124" i="57"/>
  <c r="F124" i="57"/>
  <c r="G124" i="57" s="1"/>
  <c r="A124" i="57"/>
  <c r="H123" i="57"/>
  <c r="F123" i="57"/>
  <c r="G123" i="57" s="1"/>
  <c r="A123" i="57"/>
  <c r="H122" i="57"/>
  <c r="F122" i="57"/>
  <c r="G122" i="57" s="1"/>
  <c r="A122" i="57"/>
  <c r="H121" i="57"/>
  <c r="F121" i="57"/>
  <c r="G121" i="57" s="1"/>
  <c r="A121" i="57"/>
  <c r="H120" i="57"/>
  <c r="F120" i="57"/>
  <c r="G120" i="57" s="1"/>
  <c r="A120" i="57"/>
  <c r="H119" i="57"/>
  <c r="F119" i="57"/>
  <c r="G119" i="57" s="1"/>
  <c r="A119" i="57"/>
  <c r="H118" i="57"/>
  <c r="F118" i="57"/>
  <c r="G118" i="57" s="1"/>
  <c r="A118" i="57"/>
  <c r="H117" i="57"/>
  <c r="F117" i="57"/>
  <c r="G117" i="57" s="1"/>
  <c r="A117" i="57"/>
  <c r="H116" i="57"/>
  <c r="F116" i="57"/>
  <c r="G116" i="57" s="1"/>
  <c r="A116" i="57"/>
  <c r="H115" i="57"/>
  <c r="F115" i="57"/>
  <c r="G115" i="57" s="1"/>
  <c r="A115" i="57"/>
  <c r="H114" i="57"/>
  <c r="F114" i="57"/>
  <c r="G114" i="57" s="1"/>
  <c r="A114" i="57"/>
  <c r="H113" i="57"/>
  <c r="F113" i="57"/>
  <c r="G113" i="57" s="1"/>
  <c r="A113" i="57"/>
  <c r="H112" i="57"/>
  <c r="F112" i="57"/>
  <c r="G112" i="57" s="1"/>
  <c r="A112" i="57"/>
  <c r="H111" i="57"/>
  <c r="F111" i="57"/>
  <c r="G111" i="57" s="1"/>
  <c r="A111" i="57"/>
  <c r="H110" i="57"/>
  <c r="F110" i="57"/>
  <c r="G110" i="57" s="1"/>
  <c r="A110" i="57"/>
  <c r="H109" i="57"/>
  <c r="F109" i="57"/>
  <c r="G109" i="57" s="1"/>
  <c r="A109" i="57"/>
  <c r="H108" i="57"/>
  <c r="F108" i="57"/>
  <c r="G108" i="57" s="1"/>
  <c r="A108" i="57"/>
  <c r="H107" i="57"/>
  <c r="F107" i="57"/>
  <c r="G107" i="57" s="1"/>
  <c r="A107" i="57"/>
  <c r="H106" i="57"/>
  <c r="F106" i="57"/>
  <c r="G106" i="57" s="1"/>
  <c r="A106" i="57"/>
  <c r="H105" i="57"/>
  <c r="F105" i="57"/>
  <c r="G105" i="57" s="1"/>
  <c r="A105" i="57"/>
  <c r="H104" i="57"/>
  <c r="F104" i="57"/>
  <c r="G104" i="57" s="1"/>
  <c r="A104" i="57"/>
  <c r="H103" i="57"/>
  <c r="F103" i="57"/>
  <c r="G103" i="57" s="1"/>
  <c r="A103" i="57"/>
  <c r="H102" i="57"/>
  <c r="F102" i="57"/>
  <c r="G102" i="57" s="1"/>
  <c r="A102" i="57"/>
  <c r="H101" i="57"/>
  <c r="F101" i="57"/>
  <c r="G101" i="57" s="1"/>
  <c r="A101" i="57"/>
  <c r="H100" i="57"/>
  <c r="F100" i="57"/>
  <c r="G100" i="57" s="1"/>
  <c r="A100" i="57"/>
  <c r="H99" i="57"/>
  <c r="F99" i="57"/>
  <c r="G99" i="57" s="1"/>
  <c r="A99" i="57"/>
  <c r="H98" i="57"/>
  <c r="F98" i="57"/>
  <c r="G98" i="57" s="1"/>
  <c r="A98" i="57"/>
  <c r="H97" i="57"/>
  <c r="F97" i="57"/>
  <c r="G97" i="57" s="1"/>
  <c r="A97" i="57"/>
  <c r="H96" i="57"/>
  <c r="F96" i="57"/>
  <c r="G96" i="57" s="1"/>
  <c r="A96" i="57"/>
  <c r="H95" i="57"/>
  <c r="F95" i="57"/>
  <c r="G95" i="57" s="1"/>
  <c r="A95" i="57"/>
  <c r="H94" i="57"/>
  <c r="F94" i="57"/>
  <c r="G94" i="57" s="1"/>
  <c r="A94" i="57"/>
  <c r="H93" i="57"/>
  <c r="F93" i="57"/>
  <c r="G93" i="57" s="1"/>
  <c r="A93" i="57"/>
  <c r="H92" i="57"/>
  <c r="F92" i="57"/>
  <c r="G92" i="57" s="1"/>
  <c r="A92" i="57"/>
  <c r="H91" i="57"/>
  <c r="F91" i="57"/>
  <c r="G91" i="57" s="1"/>
  <c r="A91" i="57"/>
  <c r="H90" i="57"/>
  <c r="F90" i="57"/>
  <c r="G90" i="57" s="1"/>
  <c r="A90" i="57"/>
  <c r="H89" i="57"/>
  <c r="F89" i="57"/>
  <c r="G89" i="57" s="1"/>
  <c r="A89" i="57"/>
  <c r="H88" i="57"/>
  <c r="F88" i="57"/>
  <c r="G88" i="57" s="1"/>
  <c r="A88" i="57"/>
  <c r="H87" i="57"/>
  <c r="F87" i="57"/>
  <c r="G87" i="57" s="1"/>
  <c r="A87" i="57"/>
  <c r="H86" i="57"/>
  <c r="F86" i="57"/>
  <c r="G86" i="57" s="1"/>
  <c r="A86" i="57"/>
  <c r="H85" i="57"/>
  <c r="F85" i="57"/>
  <c r="G85" i="57" s="1"/>
  <c r="A85" i="57"/>
  <c r="H84" i="57"/>
  <c r="F84" i="57"/>
  <c r="G84" i="57" s="1"/>
  <c r="A84" i="57"/>
  <c r="H83" i="57"/>
  <c r="F83" i="57"/>
  <c r="G83" i="57" s="1"/>
  <c r="A83" i="57"/>
  <c r="H82" i="57"/>
  <c r="F82" i="57"/>
  <c r="G82" i="57" s="1"/>
  <c r="A82" i="57"/>
  <c r="H81" i="57"/>
  <c r="F81" i="57"/>
  <c r="G81" i="57" s="1"/>
  <c r="A81" i="57"/>
  <c r="H80" i="57"/>
  <c r="F80" i="57"/>
  <c r="G80" i="57" s="1"/>
  <c r="A80" i="57"/>
  <c r="H79" i="57"/>
  <c r="F79" i="57"/>
  <c r="G79" i="57" s="1"/>
  <c r="A79" i="57"/>
  <c r="H78" i="57"/>
  <c r="F78" i="57"/>
  <c r="G78" i="57" s="1"/>
  <c r="A78" i="57"/>
  <c r="H77" i="57"/>
  <c r="F77" i="57"/>
  <c r="G77" i="57" s="1"/>
  <c r="A77" i="57"/>
  <c r="H76" i="57"/>
  <c r="F76" i="57"/>
  <c r="G76" i="57" s="1"/>
  <c r="A76" i="57"/>
  <c r="H75" i="57"/>
  <c r="F75" i="57"/>
  <c r="G75" i="57" s="1"/>
  <c r="A75" i="57"/>
  <c r="H74" i="57"/>
  <c r="F74" i="57"/>
  <c r="G74" i="57" s="1"/>
  <c r="A74" i="57"/>
  <c r="H73" i="57"/>
  <c r="F73" i="57"/>
  <c r="G73" i="57" s="1"/>
  <c r="A73" i="57"/>
  <c r="H72" i="57"/>
  <c r="F72" i="57"/>
  <c r="G72" i="57" s="1"/>
  <c r="A72" i="57"/>
  <c r="H71" i="57"/>
  <c r="F71" i="57"/>
  <c r="G71" i="57" s="1"/>
  <c r="A71" i="57"/>
  <c r="H70" i="57"/>
  <c r="F70" i="57"/>
  <c r="G70" i="57" s="1"/>
  <c r="A70" i="57"/>
  <c r="H69" i="57"/>
  <c r="F69" i="57"/>
  <c r="G69" i="57" s="1"/>
  <c r="A69" i="57"/>
  <c r="H68" i="57"/>
  <c r="F68" i="57"/>
  <c r="G68" i="57" s="1"/>
  <c r="A68" i="57"/>
  <c r="H67" i="57"/>
  <c r="F67" i="57"/>
  <c r="G67" i="57" s="1"/>
  <c r="A67" i="57"/>
  <c r="H66" i="57"/>
  <c r="F66" i="57"/>
  <c r="G66" i="57" s="1"/>
  <c r="A66" i="57"/>
  <c r="H65" i="57"/>
  <c r="F65" i="57"/>
  <c r="G65" i="57" s="1"/>
  <c r="A65" i="57"/>
  <c r="H64" i="57"/>
  <c r="F64" i="57"/>
  <c r="G64" i="57" s="1"/>
  <c r="A64" i="57"/>
  <c r="H63" i="57"/>
  <c r="F63" i="57"/>
  <c r="G63" i="57" s="1"/>
  <c r="A63" i="57"/>
  <c r="H62" i="57"/>
  <c r="F62" i="57"/>
  <c r="G62" i="57" s="1"/>
  <c r="A62" i="57"/>
  <c r="H61" i="57"/>
  <c r="F61" i="57"/>
  <c r="G61" i="57" s="1"/>
  <c r="A61" i="57"/>
  <c r="H60" i="57"/>
  <c r="F60" i="57"/>
  <c r="G60" i="57" s="1"/>
  <c r="A60" i="57"/>
  <c r="H59" i="57"/>
  <c r="F59" i="57"/>
  <c r="G59" i="57" s="1"/>
  <c r="A59" i="57"/>
  <c r="H58" i="57"/>
  <c r="F58" i="57"/>
  <c r="G58" i="57" s="1"/>
  <c r="A58" i="57"/>
  <c r="H57" i="57"/>
  <c r="F57" i="57"/>
  <c r="G57" i="57" s="1"/>
  <c r="A57" i="57"/>
  <c r="H56" i="57"/>
  <c r="F56" i="57"/>
  <c r="G56" i="57" s="1"/>
  <c r="A56" i="57"/>
  <c r="H55" i="57"/>
  <c r="F55" i="57"/>
  <c r="G55" i="57" s="1"/>
  <c r="A55" i="57"/>
  <c r="H54" i="57"/>
  <c r="F54" i="57"/>
  <c r="G54" i="57" s="1"/>
  <c r="A54" i="57"/>
  <c r="H53" i="57"/>
  <c r="F53" i="57"/>
  <c r="G53" i="57" s="1"/>
  <c r="A53" i="57"/>
  <c r="H52" i="57"/>
  <c r="F52" i="57"/>
  <c r="G52" i="57" s="1"/>
  <c r="A52" i="57"/>
  <c r="H51" i="57"/>
  <c r="F51" i="57"/>
  <c r="G51" i="57" s="1"/>
  <c r="A51" i="57"/>
  <c r="H50" i="57"/>
  <c r="F50" i="57"/>
  <c r="G50" i="57" s="1"/>
  <c r="A50" i="57"/>
  <c r="H49" i="57"/>
  <c r="F49" i="57"/>
  <c r="G49" i="57" s="1"/>
  <c r="A49" i="57"/>
  <c r="H48" i="57"/>
  <c r="F48" i="57"/>
  <c r="G48" i="57" s="1"/>
  <c r="A48" i="57"/>
  <c r="H47" i="57"/>
  <c r="F47" i="57"/>
  <c r="G47" i="57" s="1"/>
  <c r="A47" i="57"/>
  <c r="H46" i="57"/>
  <c r="F46" i="57"/>
  <c r="G46" i="57" s="1"/>
  <c r="A46" i="57"/>
  <c r="H45" i="57"/>
  <c r="F45" i="57"/>
  <c r="G45" i="57" s="1"/>
  <c r="A45" i="57"/>
  <c r="H44" i="57"/>
  <c r="F44" i="57"/>
  <c r="G44" i="57" s="1"/>
  <c r="A44" i="57"/>
  <c r="H43" i="57"/>
  <c r="F43" i="57"/>
  <c r="G43" i="57" s="1"/>
  <c r="A43" i="57"/>
  <c r="H42" i="57"/>
  <c r="F42" i="57"/>
  <c r="G42" i="57" s="1"/>
  <c r="A42" i="57"/>
  <c r="H41" i="57"/>
  <c r="F41" i="57"/>
  <c r="G41" i="57" s="1"/>
  <c r="A41" i="57"/>
  <c r="H40" i="57"/>
  <c r="F40" i="57"/>
  <c r="G40" i="57" s="1"/>
  <c r="A40" i="57"/>
  <c r="H39" i="57"/>
  <c r="F39" i="57"/>
  <c r="G39" i="57" s="1"/>
  <c r="A39" i="57"/>
  <c r="H38" i="57"/>
  <c r="F38" i="57"/>
  <c r="G38" i="57" s="1"/>
  <c r="A38" i="57"/>
  <c r="H37" i="57"/>
  <c r="F37" i="57"/>
  <c r="G37" i="57" s="1"/>
  <c r="A37" i="57"/>
  <c r="H36" i="57"/>
  <c r="F36" i="57"/>
  <c r="G36" i="57" s="1"/>
  <c r="A36" i="57"/>
  <c r="H35" i="57"/>
  <c r="F35" i="57"/>
  <c r="G35" i="57" s="1"/>
  <c r="A35" i="57"/>
  <c r="H34" i="57"/>
  <c r="F34" i="57"/>
  <c r="G34" i="57" s="1"/>
  <c r="A34" i="57"/>
  <c r="H33" i="57"/>
  <c r="F33" i="57"/>
  <c r="G33" i="57" s="1"/>
  <c r="A33" i="57"/>
  <c r="H32" i="57"/>
  <c r="F32" i="57"/>
  <c r="G32" i="57" s="1"/>
  <c r="A32" i="57"/>
  <c r="H31" i="57"/>
  <c r="F31" i="57"/>
  <c r="G31" i="57" s="1"/>
  <c r="A31" i="57"/>
  <c r="H30" i="57"/>
  <c r="F30" i="57"/>
  <c r="G30" i="57" s="1"/>
  <c r="A30" i="57"/>
  <c r="H29" i="57"/>
  <c r="F29" i="57"/>
  <c r="G29" i="57" s="1"/>
  <c r="A29" i="57"/>
  <c r="H28" i="57"/>
  <c r="F28" i="57"/>
  <c r="G28" i="57" s="1"/>
  <c r="A28" i="57"/>
  <c r="H27" i="57"/>
  <c r="F27" i="57"/>
  <c r="G27" i="57" s="1"/>
  <c r="A27" i="57"/>
  <c r="H26" i="57"/>
  <c r="F26" i="57"/>
  <c r="G26" i="57" s="1"/>
  <c r="A26" i="57"/>
  <c r="H25" i="57"/>
  <c r="F25" i="57"/>
  <c r="G25" i="57" s="1"/>
  <c r="A25" i="57"/>
  <c r="H24" i="57"/>
  <c r="F24" i="57"/>
  <c r="G24" i="57" s="1"/>
  <c r="A24" i="57"/>
  <c r="H23" i="57"/>
  <c r="F23" i="57"/>
  <c r="G23" i="57" s="1"/>
  <c r="A23" i="57"/>
  <c r="H22" i="57"/>
  <c r="F22" i="57"/>
  <c r="G22" i="57" s="1"/>
  <c r="A22" i="57"/>
  <c r="H21" i="57"/>
  <c r="F21" i="57"/>
  <c r="G21" i="57" s="1"/>
  <c r="A21" i="57"/>
  <c r="H20" i="57"/>
  <c r="F20" i="57"/>
  <c r="G20" i="57" s="1"/>
  <c r="A20" i="57"/>
  <c r="H19" i="57"/>
  <c r="F19" i="57"/>
  <c r="H18" i="57"/>
  <c r="F18" i="57"/>
  <c r="H17" i="57"/>
  <c r="F17" i="57"/>
  <c r="H16" i="57"/>
  <c r="F16" i="57"/>
  <c r="H15" i="57"/>
  <c r="F15" i="57"/>
  <c r="G15" i="57" s="1"/>
  <c r="H14" i="57"/>
  <c r="F14" i="57"/>
  <c r="H13" i="57"/>
  <c r="F13" i="57"/>
  <c r="H12" i="57"/>
  <c r="F12" i="57"/>
  <c r="H11" i="57"/>
  <c r="F11" i="57"/>
  <c r="H10" i="57"/>
  <c r="F10" i="57"/>
  <c r="H9" i="57"/>
  <c r="F9" i="57"/>
  <c r="H8" i="57"/>
  <c r="F8" i="57"/>
  <c r="H7" i="57"/>
  <c r="F7" i="57"/>
  <c r="H6" i="57"/>
  <c r="F6" i="57"/>
  <c r="H5" i="57"/>
  <c r="F5" i="57"/>
  <c r="H4" i="57"/>
  <c r="F4" i="57"/>
  <c r="H3" i="57"/>
  <c r="F3" i="57"/>
  <c r="K17" i="116"/>
  <c r="K17" i="115"/>
  <c r="K17" i="101"/>
  <c r="J17" i="116"/>
  <c r="J17" i="115"/>
  <c r="J17" i="101"/>
  <c r="L17" i="116"/>
  <c r="L17" i="115"/>
  <c r="L17" i="101"/>
  <c r="I41" i="123"/>
  <c r="I40" i="123"/>
  <c r="I26" i="123"/>
  <c r="L21" i="116"/>
  <c r="K21" i="116"/>
  <c r="J21" i="116"/>
  <c r="L21" i="115"/>
  <c r="K21" i="115"/>
  <c r="J21" i="115"/>
  <c r="L21" i="101"/>
  <c r="K21" i="101"/>
  <c r="J21" i="101"/>
  <c r="L9" i="116"/>
  <c r="K9" i="116"/>
  <c r="J9" i="116"/>
  <c r="L9" i="115"/>
  <c r="K9" i="115"/>
  <c r="J9" i="115"/>
  <c r="J9" i="114"/>
  <c r="L9" i="113"/>
  <c r="K9" i="113"/>
  <c r="J9" i="113"/>
  <c r="L9" i="112"/>
  <c r="K9" i="112"/>
  <c r="J9" i="112"/>
  <c r="L9" i="111"/>
  <c r="K9" i="111"/>
  <c r="J9" i="111"/>
  <c r="L9" i="110"/>
  <c r="K9" i="110"/>
  <c r="J9" i="110"/>
  <c r="L9" i="109"/>
  <c r="K9" i="109"/>
  <c r="J9" i="109"/>
  <c r="L9" i="107"/>
  <c r="K9" i="107"/>
  <c r="J9" i="107"/>
  <c r="L9" i="101"/>
  <c r="K9" i="101"/>
  <c r="J9" i="101"/>
  <c r="L9" i="99"/>
  <c r="K9" i="99"/>
  <c r="J9" i="99"/>
  <c r="L9" i="86"/>
  <c r="K9" i="86"/>
  <c r="J9" i="86"/>
  <c r="L9" i="57"/>
  <c r="K9" i="57"/>
  <c r="J9" i="57"/>
  <c r="L8" i="122"/>
  <c r="K8" i="122"/>
  <c r="J8" i="122"/>
  <c r="L8" i="121"/>
  <c r="K8" i="121"/>
  <c r="J8" i="121"/>
  <c r="L8" i="120"/>
  <c r="K8" i="120"/>
  <c r="J8" i="120"/>
  <c r="L8" i="119"/>
  <c r="K8" i="119"/>
  <c r="J8" i="119"/>
  <c r="L8" i="116"/>
  <c r="K8" i="116"/>
  <c r="J8" i="116"/>
  <c r="L8" i="115"/>
  <c r="K8" i="115"/>
  <c r="J8" i="115"/>
  <c r="L8" i="114"/>
  <c r="K8" i="114"/>
  <c r="J8" i="114"/>
  <c r="L8" i="113"/>
  <c r="K8" i="113"/>
  <c r="J8" i="113"/>
  <c r="L8" i="112"/>
  <c r="K8" i="112"/>
  <c r="J8" i="112"/>
  <c r="L8" i="111"/>
  <c r="K8" i="111"/>
  <c r="J8" i="111"/>
  <c r="L8" i="110"/>
  <c r="K8" i="110"/>
  <c r="J8" i="110"/>
  <c r="L8" i="109"/>
  <c r="K8" i="109"/>
  <c r="J8" i="109"/>
  <c r="L8" i="108"/>
  <c r="K8" i="108"/>
  <c r="J8" i="108"/>
  <c r="L8" i="107"/>
  <c r="K8" i="107"/>
  <c r="J8" i="107"/>
  <c r="L8" i="106"/>
  <c r="K8" i="106"/>
  <c r="J8" i="106"/>
  <c r="L8" i="105"/>
  <c r="K8" i="105"/>
  <c r="J8" i="105"/>
  <c r="L8" i="104"/>
  <c r="K8" i="104"/>
  <c r="J8" i="104"/>
  <c r="L8" i="103"/>
  <c r="K8" i="103"/>
  <c r="J8" i="103"/>
  <c r="L8" i="102"/>
  <c r="K8" i="102"/>
  <c r="J8" i="102"/>
  <c r="L8" i="101"/>
  <c r="K8" i="101"/>
  <c r="J8" i="101"/>
  <c r="L8" i="100"/>
  <c r="K8" i="100"/>
  <c r="J8" i="100"/>
  <c r="L8" i="99"/>
  <c r="K8" i="99"/>
  <c r="J8" i="99"/>
  <c r="L8" i="98"/>
  <c r="K8" i="98"/>
  <c r="J8" i="98"/>
  <c r="L8" i="97"/>
  <c r="K8" i="97"/>
  <c r="J8" i="97"/>
  <c r="L8" i="96"/>
  <c r="K8" i="96"/>
  <c r="J8" i="96"/>
  <c r="L8" i="95"/>
  <c r="K8" i="95"/>
  <c r="J8" i="95"/>
  <c r="L8" i="94"/>
  <c r="K8" i="94"/>
  <c r="J8" i="94"/>
  <c r="L8" i="93"/>
  <c r="K8" i="93"/>
  <c r="J8" i="93"/>
  <c r="L8" i="92"/>
  <c r="K8" i="92"/>
  <c r="J8" i="92"/>
  <c r="L8" i="91"/>
  <c r="K8" i="91"/>
  <c r="J8" i="91"/>
  <c r="L8" i="90"/>
  <c r="K8" i="90"/>
  <c r="J8" i="90"/>
  <c r="L8" i="89"/>
  <c r="K8" i="89"/>
  <c r="J8" i="89"/>
  <c r="L8" i="88"/>
  <c r="K8" i="88"/>
  <c r="J8" i="88"/>
  <c r="L8" i="87"/>
  <c r="K8" i="87"/>
  <c r="J8" i="87"/>
  <c r="L8" i="86"/>
  <c r="K8" i="86"/>
  <c r="J8" i="86"/>
  <c r="L8" i="85"/>
  <c r="K8" i="85"/>
  <c r="J8" i="85"/>
  <c r="L8" i="83"/>
  <c r="K8" i="83"/>
  <c r="J8" i="83"/>
  <c r="L8" i="82"/>
  <c r="K8" i="82"/>
  <c r="J8" i="82"/>
  <c r="L8" i="80"/>
  <c r="K8" i="80"/>
  <c r="J8" i="80"/>
  <c r="L8" i="79"/>
  <c r="K8" i="79"/>
  <c r="J8" i="79"/>
  <c r="L8" i="57"/>
  <c r="K8" i="57"/>
  <c r="J8" i="57"/>
  <c r="G41" i="123"/>
  <c r="E41" i="123"/>
  <c r="D41" i="123"/>
  <c r="B41" i="123"/>
  <c r="G40" i="123"/>
  <c r="E40" i="123"/>
  <c r="D40" i="123"/>
  <c r="B40" i="123"/>
  <c r="G31" i="94" l="1"/>
  <c r="G34" i="94"/>
  <c r="G35" i="94"/>
  <c r="G29" i="94"/>
  <c r="G36" i="94"/>
  <c r="G33" i="94"/>
  <c r="G24" i="110"/>
  <c r="G38" i="110"/>
  <c r="G28" i="110"/>
  <c r="G29" i="110"/>
  <c r="G30" i="110"/>
  <c r="G19" i="57"/>
  <c r="G25" i="85"/>
  <c r="G25" i="88"/>
  <c r="G24" i="91"/>
  <c r="G27" i="83"/>
  <c r="G18" i="57"/>
  <c r="G41" i="107"/>
  <c r="G40" i="107"/>
  <c r="G26" i="83"/>
  <c r="G27" i="108"/>
  <c r="G39" i="107"/>
  <c r="G26" i="108"/>
  <c r="G27" i="121"/>
  <c r="G38" i="107"/>
  <c r="G26" i="121"/>
  <c r="G29" i="89"/>
  <c r="G26" i="92"/>
  <c r="G22" i="91"/>
  <c r="G25" i="92"/>
  <c r="G11" i="114"/>
  <c r="G10" i="114"/>
  <c r="G13" i="112"/>
  <c r="G25" i="108"/>
  <c r="G25" i="121"/>
  <c r="G28" i="89"/>
  <c r="G18" i="87"/>
  <c r="G32" i="86"/>
  <c r="G20" i="110"/>
  <c r="G24" i="88"/>
  <c r="G19" i="90"/>
  <c r="G25" i="83"/>
  <c r="G37" i="107"/>
  <c r="G17" i="57"/>
  <c r="G21" i="91"/>
  <c r="G27" i="89"/>
  <c r="G23" i="92"/>
  <c r="G31" i="86"/>
  <c r="G22" i="92"/>
  <c r="G26" i="89"/>
  <c r="G23" i="108"/>
  <c r="G24" i="121"/>
  <c r="G22" i="108"/>
  <c r="G20" i="91"/>
  <c r="G25" i="89"/>
  <c r="G24" i="89"/>
  <c r="G21" i="92"/>
  <c r="G20" i="92"/>
  <c r="G27" i="95"/>
  <c r="G20" i="99"/>
  <c r="G23" i="106"/>
  <c r="G27" i="119"/>
  <c r="G20" i="103"/>
  <c r="G27" i="120"/>
  <c r="G12" i="98"/>
  <c r="G22" i="106"/>
  <c r="G19" i="102"/>
  <c r="G26" i="119"/>
  <c r="G26" i="95"/>
  <c r="G32" i="118"/>
  <c r="G27" i="94"/>
  <c r="G27" i="96"/>
  <c r="G23" i="113"/>
  <c r="G24" i="95"/>
  <c r="G26" i="94"/>
  <c r="G26" i="96"/>
  <c r="G25" i="119"/>
  <c r="G21" i="82"/>
  <c r="G20" i="82"/>
  <c r="G18" i="102"/>
  <c r="G18" i="99"/>
  <c r="G25" i="94"/>
  <c r="G25" i="96"/>
  <c r="G24" i="111"/>
  <c r="G19" i="103"/>
  <c r="G26" i="100"/>
  <c r="G21" i="106"/>
  <c r="G17" i="102"/>
  <c r="G18" i="103"/>
  <c r="G24" i="94"/>
  <c r="G23" i="111"/>
  <c r="G24" i="119"/>
  <c r="G23" i="95"/>
  <c r="G19" i="82"/>
  <c r="G17" i="99"/>
  <c r="G23" i="96"/>
  <c r="G22" i="96"/>
  <c r="G22" i="95"/>
  <c r="G23" i="119"/>
  <c r="G23" i="85"/>
  <c r="G18" i="90"/>
  <c r="G23" i="94"/>
  <c r="G21" i="96"/>
  <c r="G22" i="111"/>
  <c r="G16" i="57"/>
  <c r="G19" i="92"/>
  <c r="G18" i="92"/>
  <c r="G18" i="110"/>
  <c r="G23" i="89"/>
  <c r="G20" i="108"/>
  <c r="G19" i="110"/>
  <c r="G22" i="121"/>
  <c r="G23" i="88"/>
  <c r="G17" i="87"/>
  <c r="G22" i="85"/>
  <c r="G19" i="108"/>
  <c r="G17" i="90"/>
  <c r="G16" i="90"/>
  <c r="G22" i="88"/>
  <c r="G21" i="85"/>
  <c r="G23" i="83"/>
  <c r="G21" i="88"/>
  <c r="G22" i="83"/>
  <c r="G21" i="121"/>
  <c r="G17" i="110"/>
  <c r="G14" i="90"/>
  <c r="G20" i="85"/>
  <c r="G20" i="121"/>
  <c r="G15" i="87"/>
  <c r="G19" i="91"/>
  <c r="G21" i="83"/>
  <c r="G14" i="57"/>
  <c r="G29" i="86"/>
  <c r="G20" i="83"/>
  <c r="G19" i="88"/>
  <c r="G28" i="86"/>
  <c r="G16" i="110"/>
  <c r="G18" i="88"/>
  <c r="G15" i="90"/>
  <c r="G13" i="90"/>
  <c r="G19" i="121"/>
  <c r="G12" i="90"/>
  <c r="G18" i="121"/>
  <c r="G19" i="83"/>
  <c r="G27" i="86"/>
  <c r="G13" i="57"/>
  <c r="G17" i="88"/>
  <c r="G18" i="83"/>
  <c r="G18" i="82"/>
  <c r="G17" i="82"/>
  <c r="G20" i="106"/>
  <c r="G21" i="111"/>
  <c r="G27" i="109"/>
  <c r="G21" i="95"/>
  <c r="G25" i="120"/>
  <c r="G24" i="120"/>
  <c r="G19" i="106"/>
  <c r="G16" i="82"/>
  <c r="G26" i="97"/>
  <c r="G29" i="118"/>
  <c r="G25" i="97"/>
  <c r="G23" i="120"/>
  <c r="G15" i="99"/>
  <c r="G18" i="106"/>
  <c r="G15" i="82"/>
  <c r="G28" i="118"/>
  <c r="G14" i="99"/>
  <c r="G20" i="95"/>
  <c r="G25" i="109"/>
  <c r="G24" i="109"/>
  <c r="G24" i="97"/>
  <c r="G11" i="112"/>
  <c r="G23" i="97"/>
  <c r="G27" i="118"/>
  <c r="G22" i="97"/>
  <c r="G10" i="112"/>
  <c r="G23" i="109"/>
  <c r="G21" i="97"/>
  <c r="G21" i="120"/>
  <c r="G13" i="99"/>
  <c r="G17" i="106"/>
  <c r="G11" i="105"/>
  <c r="G13" i="82"/>
  <c r="G16" i="106"/>
  <c r="G26" i="118"/>
  <c r="G23" i="79"/>
  <c r="G12" i="57"/>
  <c r="G17" i="121"/>
  <c r="G25" i="86"/>
  <c r="G36" i="107"/>
  <c r="G14" i="110"/>
  <c r="G35" i="107"/>
  <c r="G34" i="107"/>
  <c r="G27" i="80"/>
  <c r="G22" i="79"/>
  <c r="G11" i="57"/>
  <c r="G26" i="80"/>
  <c r="G9" i="112"/>
  <c r="G25" i="80"/>
  <c r="G24" i="86"/>
  <c r="G18" i="108"/>
  <c r="G21" i="79"/>
  <c r="G13" i="110"/>
  <c r="G12" i="110"/>
  <c r="G20" i="79"/>
  <c r="G28" i="93"/>
  <c r="G33" i="107"/>
  <c r="G32" i="107"/>
  <c r="G24" i="80"/>
  <c r="G27" i="93"/>
  <c r="G17" i="108"/>
  <c r="G31" i="107"/>
  <c r="G23" i="86"/>
  <c r="G10" i="57"/>
  <c r="G16" i="108"/>
  <c r="G30" i="107"/>
  <c r="G19" i="79"/>
  <c r="G26" i="93"/>
  <c r="G29" i="107"/>
  <c r="G20" i="122"/>
  <c r="G19" i="122"/>
  <c r="G18" i="79"/>
  <c r="G15" i="108"/>
  <c r="G25" i="93"/>
  <c r="G28" i="107"/>
  <c r="G9" i="57"/>
  <c r="G14" i="108"/>
  <c r="G24" i="93"/>
  <c r="G27" i="107"/>
  <c r="G26" i="107"/>
  <c r="G20" i="97"/>
  <c r="G21" i="113"/>
  <c r="G20" i="120"/>
  <c r="G25" i="118"/>
  <c r="G19" i="95"/>
  <c r="G21" i="109"/>
  <c r="G18" i="95"/>
  <c r="G20" i="109"/>
  <c r="G19" i="97"/>
  <c r="G20" i="96"/>
  <c r="G20" i="113"/>
  <c r="G19" i="120"/>
  <c r="G25" i="100"/>
  <c r="G21" i="94"/>
  <c r="G22" i="119"/>
  <c r="G17" i="95"/>
  <c r="G10" i="99"/>
  <c r="G21" i="119"/>
  <c r="G20" i="119"/>
  <c r="G16" i="95"/>
  <c r="G23" i="118"/>
  <c r="G24" i="100"/>
  <c r="G19" i="96"/>
  <c r="G22" i="118"/>
  <c r="G23" i="100"/>
  <c r="G19" i="113"/>
  <c r="G19" i="109"/>
  <c r="G8" i="99"/>
  <c r="G18" i="120"/>
  <c r="G18" i="109"/>
  <c r="G22" i="100"/>
  <c r="G19" i="94"/>
  <c r="G18" i="113"/>
  <c r="G18" i="97"/>
  <c r="G20" i="118"/>
  <c r="G18" i="119"/>
  <c r="G20" i="100"/>
  <c r="G17" i="120"/>
  <c r="G19" i="118"/>
  <c r="G17" i="119"/>
  <c r="G13" i="108"/>
  <c r="G17" i="96"/>
  <c r="G17" i="97"/>
  <c r="G17" i="109"/>
  <c r="G25" i="107"/>
  <c r="G8" i="57"/>
  <c r="G24" i="107"/>
  <c r="G23" i="93"/>
  <c r="G18" i="122"/>
  <c r="G22" i="86"/>
  <c r="G22" i="93"/>
  <c r="G17" i="79"/>
  <c r="G22" i="80"/>
  <c r="G16" i="79"/>
  <c r="G12" i="108"/>
  <c r="G21" i="86"/>
  <c r="G23" i="107"/>
  <c r="G21" i="93"/>
  <c r="G20" i="93"/>
  <c r="G22" i="89"/>
  <c r="G22" i="107"/>
  <c r="G20" i="86"/>
  <c r="G21" i="89"/>
  <c r="G19" i="85"/>
  <c r="G19" i="93"/>
  <c r="G19" i="86"/>
  <c r="G21" i="80"/>
  <c r="G11" i="108"/>
  <c r="G7" i="57"/>
  <c r="G18" i="86"/>
  <c r="G20" i="89"/>
  <c r="G10" i="108"/>
  <c r="G6" i="57"/>
  <c r="G19" i="89"/>
  <c r="G18" i="93"/>
  <c r="G20" i="80"/>
  <c r="G17" i="122"/>
  <c r="G21" i="107"/>
  <c r="G20" i="107"/>
  <c r="G17" i="86"/>
  <c r="G18" i="89"/>
  <c r="G17" i="89"/>
  <c r="G19" i="80"/>
  <c r="G5" i="57"/>
  <c r="G17" i="85"/>
  <c r="G9" i="108"/>
  <c r="G16" i="85"/>
  <c r="G19" i="107"/>
  <c r="G14" i="85"/>
  <c r="G8" i="108"/>
  <c r="G18" i="107"/>
  <c r="G15" i="122"/>
  <c r="G16" i="89"/>
  <c r="G18" i="80"/>
  <c r="G6" i="108"/>
  <c r="G14" i="122"/>
  <c r="G15" i="89"/>
  <c r="G4" i="57"/>
  <c r="G24" i="104"/>
  <c r="G18" i="94"/>
  <c r="G18" i="111"/>
  <c r="G16" i="97"/>
  <c r="G15" i="97"/>
  <c r="G18" i="118"/>
  <c r="G16" i="120"/>
  <c r="G17" i="113"/>
  <c r="G16" i="102"/>
  <c r="G19" i="100"/>
  <c r="G16" i="96"/>
  <c r="G17" i="93"/>
  <c r="G23" i="104"/>
  <c r="G15" i="96"/>
  <c r="G17" i="111"/>
  <c r="G17" i="94"/>
  <c r="G17" i="100"/>
  <c r="G14" i="96"/>
  <c r="G15" i="102"/>
  <c r="G17" i="103"/>
  <c r="G16" i="100"/>
  <c r="G15" i="120"/>
  <c r="G16" i="94"/>
  <c r="G22" i="104"/>
  <c r="G16" i="113"/>
  <c r="G15" i="109"/>
  <c r="G14" i="102"/>
  <c r="G16" i="119"/>
  <c r="G16" i="103"/>
  <c r="G16" i="111"/>
  <c r="G15" i="100"/>
  <c r="G15" i="103"/>
  <c r="G13" i="97"/>
  <c r="G14" i="100"/>
  <c r="G13" i="96"/>
  <c r="G14" i="111"/>
  <c r="G21" i="104"/>
  <c r="G15" i="94"/>
  <c r="G20" i="104"/>
  <c r="G13" i="95"/>
  <c r="G12" i="96"/>
  <c r="G13" i="102"/>
  <c r="G19" i="104"/>
  <c r="G14" i="94"/>
  <c r="G14" i="103"/>
  <c r="G8" i="114"/>
  <c r="G15" i="119"/>
  <c r="G12" i="102"/>
  <c r="G13" i="113"/>
  <c r="G13" i="103"/>
  <c r="G17" i="104"/>
  <c r="G14" i="119"/>
  <c r="G13" i="94"/>
  <c r="G16" i="93"/>
  <c r="G17" i="83"/>
  <c r="G14" i="121"/>
  <c r="G15" i="86"/>
  <c r="G17" i="92"/>
  <c r="G16" i="92"/>
  <c r="G17" i="80"/>
  <c r="G14" i="89"/>
  <c r="G15" i="85"/>
  <c r="G13" i="85"/>
  <c r="G17" i="107"/>
  <c r="G12" i="85"/>
  <c r="G14" i="79"/>
  <c r="G14" i="86"/>
  <c r="G16" i="83"/>
  <c r="G13" i="89"/>
  <c r="G15" i="83"/>
  <c r="G13" i="121"/>
  <c r="G16" i="107"/>
  <c r="G14" i="83"/>
  <c r="G15" i="93"/>
  <c r="G14" i="87"/>
  <c r="G16" i="88"/>
  <c r="G11" i="90"/>
  <c r="G15" i="107"/>
  <c r="G15" i="88"/>
  <c r="G11" i="121"/>
  <c r="G13" i="83"/>
  <c r="G11" i="110"/>
  <c r="G12" i="89"/>
  <c r="G15" i="91"/>
  <c r="G9" i="90"/>
  <c r="G15" i="92"/>
  <c r="G13" i="87"/>
  <c r="G13" i="86"/>
  <c r="G16" i="80"/>
  <c r="G15" i="80"/>
  <c r="G14" i="93"/>
  <c r="G14" i="88"/>
  <c r="G8" i="90"/>
  <c r="G13" i="79"/>
  <c r="G12" i="83"/>
  <c r="G10" i="121"/>
  <c r="G10" i="110"/>
  <c r="G12" i="86"/>
  <c r="G14" i="80"/>
  <c r="G13" i="88"/>
  <c r="G13" i="80"/>
  <c r="G7" i="90"/>
  <c r="G9" i="121"/>
  <c r="G8" i="112"/>
  <c r="G11" i="83"/>
  <c r="G10" i="83"/>
  <c r="G8" i="121"/>
  <c r="G12" i="88"/>
  <c r="G11" i="80"/>
  <c r="G12" i="80"/>
  <c r="G7" i="114"/>
  <c r="G12" i="113"/>
  <c r="G16" i="104"/>
  <c r="G12" i="94"/>
  <c r="G9" i="83"/>
  <c r="G9" i="110"/>
  <c r="G12" i="111"/>
  <c r="G12" i="103"/>
  <c r="G15" i="118"/>
  <c r="G12" i="97"/>
  <c r="G13" i="109"/>
  <c r="G15" i="104"/>
  <c r="G13" i="119"/>
  <c r="G11" i="94"/>
  <c r="G12" i="109"/>
  <c r="G13" i="107"/>
  <c r="G11" i="97"/>
  <c r="G15" i="106"/>
  <c r="G12" i="120"/>
  <c r="G14" i="104"/>
  <c r="G13" i="104"/>
  <c r="G11" i="111"/>
  <c r="G10" i="120"/>
  <c r="G10" i="97"/>
  <c r="G14" i="106"/>
  <c r="G13" i="106"/>
  <c r="G12" i="106"/>
  <c r="G6" i="114"/>
  <c r="K9" i="114" s="1"/>
  <c r="K21" i="114" s="1"/>
  <c r="G5" i="114"/>
  <c r="G6" i="112"/>
  <c r="G10" i="96"/>
  <c r="G12" i="93"/>
  <c r="G12" i="119"/>
  <c r="G11" i="95"/>
  <c r="G12" i="100"/>
  <c r="G14" i="118"/>
  <c r="G12" i="104"/>
  <c r="G10" i="94"/>
  <c r="K7" i="94" s="1"/>
  <c r="G10" i="113"/>
  <c r="G11" i="109"/>
  <c r="G10" i="98"/>
  <c r="G11" i="103"/>
  <c r="G7" i="99"/>
  <c r="G11" i="104"/>
  <c r="G9" i="113"/>
  <c r="G9" i="120"/>
  <c r="G9" i="97"/>
  <c r="G8" i="97"/>
  <c r="G11" i="106"/>
  <c r="G10" i="109"/>
  <c r="G8" i="120"/>
  <c r="G10" i="104"/>
  <c r="G6" i="99"/>
  <c r="G9" i="98"/>
  <c r="G10" i="106"/>
  <c r="G7" i="120"/>
  <c r="G7" i="97"/>
  <c r="G12" i="87"/>
  <c r="G12" i="107"/>
  <c r="G8" i="83"/>
  <c r="G8" i="110"/>
  <c r="G11" i="93"/>
  <c r="G10" i="85"/>
  <c r="G11" i="88"/>
  <c r="G13" i="91"/>
  <c r="G7" i="121"/>
  <c r="G7" i="83"/>
  <c r="G12" i="91"/>
  <c r="G11" i="122"/>
  <c r="G11" i="87"/>
  <c r="G10" i="93"/>
  <c r="G5" i="90"/>
  <c r="G11" i="89"/>
  <c r="G12" i="79"/>
  <c r="G11" i="107"/>
  <c r="G10" i="87"/>
  <c r="G7" i="110"/>
  <c r="G14" i="92"/>
  <c r="G11" i="79"/>
  <c r="G9" i="93"/>
  <c r="G10" i="86"/>
  <c r="G8" i="93"/>
  <c r="G10" i="80"/>
  <c r="G10" i="79"/>
  <c r="G13" i="92"/>
  <c r="G9" i="80"/>
  <c r="G9" i="87"/>
  <c r="G4" i="114"/>
  <c r="G10" i="88"/>
  <c r="G9" i="85"/>
  <c r="G6" i="83"/>
  <c r="G9" i="88"/>
  <c r="G10" i="107"/>
  <c r="G5" i="108"/>
  <c r="G4" i="108"/>
  <c r="G12" i="92"/>
  <c r="G8" i="87"/>
  <c r="G9" i="79"/>
  <c r="G8" i="80"/>
  <c r="G9" i="86"/>
  <c r="G8" i="79"/>
  <c r="G10" i="89"/>
  <c r="G7" i="93"/>
  <c r="G6" i="93"/>
  <c r="G7" i="87"/>
  <c r="G8" i="86"/>
  <c r="G9" i="89"/>
  <c r="G7" i="79"/>
  <c r="G6" i="79"/>
  <c r="G11" i="100"/>
  <c r="G9" i="111"/>
  <c r="G6" i="80"/>
  <c r="G10" i="95"/>
  <c r="G8" i="98"/>
  <c r="G8" i="113"/>
  <c r="G6" i="97"/>
  <c r="G11" i="119"/>
  <c r="G9" i="96"/>
  <c r="G7" i="98"/>
  <c r="G9" i="106"/>
  <c r="G10" i="82"/>
  <c r="G8" i="111"/>
  <c r="G9" i="109"/>
  <c r="G7" i="113"/>
  <c r="G10" i="103"/>
  <c r="G12" i="118"/>
  <c r="G11" i="102"/>
  <c r="G10" i="100"/>
  <c r="G10" i="102"/>
  <c r="G11" i="118"/>
  <c r="G9" i="103"/>
  <c r="G9" i="82"/>
  <c r="G9" i="100"/>
  <c r="G8" i="82"/>
  <c r="G8" i="103"/>
  <c r="G9" i="102"/>
  <c r="G10" i="118"/>
  <c r="G9" i="118"/>
  <c r="G8" i="106"/>
  <c r="G7" i="111"/>
  <c r="G8" i="100"/>
  <c r="G8" i="104"/>
  <c r="G6" i="98"/>
  <c r="G7" i="106"/>
  <c r="G5" i="97"/>
  <c r="G5" i="120"/>
  <c r="G8" i="102"/>
  <c r="G9" i="95"/>
  <c r="G10" i="119"/>
  <c r="G7" i="100"/>
  <c r="G7" i="82"/>
  <c r="G8" i="94"/>
  <c r="G8" i="96"/>
  <c r="G3" i="114"/>
  <c r="G7" i="103"/>
  <c r="L21" i="114"/>
  <c r="G6" i="100"/>
  <c r="G8" i="118"/>
  <c r="G6" i="111"/>
  <c r="G7" i="102"/>
  <c r="G7" i="109"/>
  <c r="G6" i="103"/>
  <c r="G6" i="82"/>
  <c r="G5" i="82"/>
  <c r="G5" i="100"/>
  <c r="G6" i="102"/>
  <c r="G7" i="118"/>
  <c r="G6" i="118"/>
  <c r="G8" i="89"/>
  <c r="G7" i="86"/>
  <c r="G5" i="103"/>
  <c r="G8" i="85"/>
  <c r="G5" i="110"/>
  <c r="G11" i="92"/>
  <c r="G5" i="93"/>
  <c r="G6" i="87"/>
  <c r="G5" i="80"/>
  <c r="G4" i="93"/>
  <c r="G5" i="121"/>
  <c r="G4" i="121"/>
  <c r="G5" i="83"/>
  <c r="G5" i="79"/>
  <c r="G6" i="86"/>
  <c r="G9" i="122"/>
  <c r="G10" i="91"/>
  <c r="G10" i="92"/>
  <c r="G4" i="110"/>
  <c r="G7" i="88"/>
  <c r="G9" i="92"/>
  <c r="G8" i="122"/>
  <c r="G6" i="89"/>
  <c r="G7" i="107"/>
  <c r="G6" i="88"/>
  <c r="G8" i="91"/>
  <c r="G8" i="92"/>
  <c r="G7" i="92"/>
  <c r="G7" i="91"/>
  <c r="G7" i="122"/>
  <c r="K4" i="122" s="1"/>
  <c r="G5" i="87"/>
  <c r="G4" i="87"/>
  <c r="G4" i="79"/>
  <c r="G4" i="83"/>
  <c r="G4" i="80"/>
  <c r="G3" i="93"/>
  <c r="G5" i="86"/>
  <c r="G3" i="83"/>
  <c r="G6" i="91"/>
  <c r="G6" i="122"/>
  <c r="G5" i="112"/>
  <c r="G6" i="92"/>
  <c r="G4" i="89"/>
  <c r="G4" i="86"/>
  <c r="G5" i="91"/>
  <c r="G3" i="89"/>
  <c r="G5" i="85"/>
  <c r="G6" i="107"/>
  <c r="G5" i="107"/>
  <c r="G4" i="122"/>
  <c r="G5" i="92"/>
  <c r="G4" i="85"/>
  <c r="G6" i="90"/>
  <c r="G4" i="90"/>
  <c r="G8" i="95"/>
  <c r="G4" i="91"/>
  <c r="G4" i="99"/>
  <c r="G7" i="104"/>
  <c r="G7" i="94"/>
  <c r="G9" i="119"/>
  <c r="G5" i="109"/>
  <c r="G6" i="104"/>
  <c r="G4" i="97"/>
  <c r="G4" i="120"/>
  <c r="G4" i="82"/>
  <c r="G5" i="102"/>
  <c r="G6" i="94"/>
  <c r="G7" i="95"/>
  <c r="G5" i="118"/>
  <c r="G4" i="109"/>
  <c r="G6" i="106"/>
  <c r="G8" i="119"/>
  <c r="G5" i="111"/>
  <c r="G6" i="105"/>
  <c r="G6" i="95"/>
  <c r="G7" i="96"/>
  <c r="G6" i="96"/>
  <c r="G5" i="95"/>
  <c r="G7" i="119"/>
  <c r="G6" i="119"/>
  <c r="G4" i="95"/>
  <c r="G5" i="94"/>
  <c r="G4" i="112"/>
  <c r="G3" i="100"/>
  <c r="G4" i="94"/>
  <c r="G3" i="109"/>
  <c r="G3" i="82"/>
  <c r="G4" i="98"/>
  <c r="G3" i="118"/>
  <c r="G3" i="99"/>
  <c r="G3" i="103"/>
  <c r="G4" i="113"/>
  <c r="G3" i="97"/>
  <c r="G4" i="106"/>
  <c r="G3" i="98"/>
  <c r="G3" i="95"/>
  <c r="G3" i="120"/>
  <c r="G4" i="111"/>
  <c r="G4" i="102"/>
  <c r="G3" i="94"/>
  <c r="G3" i="113"/>
  <c r="G5" i="104"/>
  <c r="G5" i="96"/>
  <c r="G3" i="111"/>
  <c r="G38" i="105"/>
  <c r="G5" i="105"/>
  <c r="G16" i="105"/>
  <c r="G21" i="105"/>
  <c r="G32" i="105"/>
  <c r="G37" i="105"/>
  <c r="G48" i="105"/>
  <c r="G155" i="105"/>
  <c r="G43" i="105"/>
  <c r="G54" i="105"/>
  <c r="G59" i="105"/>
  <c r="G156" i="105"/>
  <c r="G12" i="105"/>
  <c r="G151" i="105"/>
  <c r="G55" i="105"/>
  <c r="G8" i="105"/>
  <c r="G24" i="105"/>
  <c r="G158" i="105"/>
  <c r="G14" i="105"/>
  <c r="G19" i="105"/>
  <c r="G30" i="105"/>
  <c r="G35" i="105"/>
  <c r="G46" i="105"/>
  <c r="G51" i="105"/>
  <c r="G153" i="105"/>
  <c r="G4" i="105"/>
  <c r="G9" i="105"/>
  <c r="G20" i="105"/>
  <c r="G25" i="105"/>
  <c r="G41" i="105"/>
  <c r="G57" i="105"/>
  <c r="G10" i="105"/>
  <c r="G15" i="105"/>
  <c r="G26" i="105"/>
  <c r="G31" i="105"/>
  <c r="G42" i="105"/>
  <c r="G47" i="105"/>
  <c r="G58" i="105"/>
  <c r="G64" i="105"/>
  <c r="G53" i="105"/>
  <c r="G17" i="105"/>
  <c r="G28" i="105"/>
  <c r="G33" i="105"/>
  <c r="G44" i="105"/>
  <c r="G49" i="105"/>
  <c r="G60" i="105"/>
  <c r="G66" i="105"/>
  <c r="G18" i="105"/>
  <c r="G34" i="105"/>
  <c r="G50" i="105"/>
  <c r="G13" i="105"/>
  <c r="G29" i="105"/>
  <c r="G40" i="105"/>
  <c r="G45" i="105"/>
  <c r="G56" i="105"/>
  <c r="G62" i="105"/>
  <c r="G36" i="105"/>
  <c r="G52" i="105"/>
  <c r="G4" i="104"/>
  <c r="G3" i="102"/>
  <c r="G4" i="96"/>
  <c r="G3" i="112"/>
  <c r="G3" i="104"/>
  <c r="G3" i="96"/>
  <c r="G3" i="105"/>
  <c r="G3" i="80"/>
  <c r="G4" i="92"/>
  <c r="G3" i="90"/>
  <c r="G3" i="86"/>
  <c r="G3" i="107"/>
  <c r="G3" i="79"/>
  <c r="G3" i="92"/>
  <c r="G3" i="108"/>
  <c r="G3" i="87"/>
  <c r="G4" i="88"/>
  <c r="G3" i="88"/>
  <c r="G3" i="57"/>
  <c r="J21" i="114"/>
  <c r="I39" i="123" s="1"/>
  <c r="L21" i="113"/>
  <c r="K21" i="113"/>
  <c r="J21" i="113"/>
  <c r="I38" i="123" s="1"/>
  <c r="L21" i="111"/>
  <c r="J21" i="111"/>
  <c r="I36" i="123" s="1"/>
  <c r="K21" i="86"/>
  <c r="K21" i="110"/>
  <c r="J21" i="112"/>
  <c r="I37" i="123" s="1"/>
  <c r="L21" i="110"/>
  <c r="J21" i="110"/>
  <c r="I35" i="123" s="1"/>
  <c r="K21" i="111"/>
  <c r="L21" i="99"/>
  <c r="K21" i="99"/>
  <c r="K21" i="112"/>
  <c r="L21" i="112"/>
  <c r="L21" i="109"/>
  <c r="K21" i="109"/>
  <c r="J21" i="109"/>
  <c r="I34" i="123" s="1"/>
  <c r="J21" i="99"/>
  <c r="I24" i="123" s="1"/>
  <c r="L21" i="86"/>
  <c r="J21" i="86"/>
  <c r="I11" i="123" s="1"/>
  <c r="L21" i="57"/>
  <c r="J21" i="57"/>
  <c r="I5" i="123" s="1"/>
  <c r="K21" i="57"/>
  <c r="K21" i="107"/>
  <c r="L21" i="107"/>
  <c r="J21" i="107"/>
  <c r="I32" i="123" s="1"/>
  <c r="G26" i="123"/>
  <c r="E26" i="123"/>
  <c r="D26" i="123"/>
  <c r="B26" i="123"/>
  <c r="F339" i="122"/>
  <c r="A339" i="122"/>
  <c r="F338" i="122"/>
  <c r="A338" i="122"/>
  <c r="F337" i="122"/>
  <c r="A337" i="122"/>
  <c r="F336" i="122"/>
  <c r="A336" i="122"/>
  <c r="F335" i="122"/>
  <c r="A335" i="122"/>
  <c r="F334" i="122"/>
  <c r="A334" i="122"/>
  <c r="F333" i="122"/>
  <c r="A333" i="122"/>
  <c r="F332" i="122"/>
  <c r="A332" i="122"/>
  <c r="F331" i="122"/>
  <c r="A331" i="122"/>
  <c r="F330" i="122"/>
  <c r="A330" i="122"/>
  <c r="F329" i="122"/>
  <c r="A329" i="122"/>
  <c r="F328" i="122"/>
  <c r="A328" i="122"/>
  <c r="F327" i="122"/>
  <c r="A327" i="122"/>
  <c r="F326" i="122"/>
  <c r="A326" i="122"/>
  <c r="F325" i="122"/>
  <c r="A325" i="122"/>
  <c r="F324" i="122"/>
  <c r="A324" i="122"/>
  <c r="F323" i="122"/>
  <c r="A323" i="122"/>
  <c r="F322" i="122"/>
  <c r="A322" i="122"/>
  <c r="F321" i="122"/>
  <c r="A321" i="122"/>
  <c r="F320" i="122"/>
  <c r="A320" i="122"/>
  <c r="F319" i="122"/>
  <c r="A319" i="122"/>
  <c r="F318" i="122"/>
  <c r="A318" i="122"/>
  <c r="F317" i="122"/>
  <c r="A317" i="122"/>
  <c r="F316" i="122"/>
  <c r="A316" i="122"/>
  <c r="F315" i="122"/>
  <c r="A315" i="122"/>
  <c r="F314" i="122"/>
  <c r="A314" i="122"/>
  <c r="F313" i="122"/>
  <c r="A313" i="122"/>
  <c r="F312" i="122"/>
  <c r="A312" i="122"/>
  <c r="F311" i="122"/>
  <c r="A311" i="122"/>
  <c r="F310" i="122"/>
  <c r="A310" i="122"/>
  <c r="F309" i="122"/>
  <c r="A309" i="122"/>
  <c r="F308" i="122"/>
  <c r="A308" i="122"/>
  <c r="F307" i="122"/>
  <c r="A307" i="122"/>
  <c r="F306" i="122"/>
  <c r="A306" i="122"/>
  <c r="F305" i="122"/>
  <c r="A305" i="122"/>
  <c r="F304" i="122"/>
  <c r="A304" i="122"/>
  <c r="F303" i="122"/>
  <c r="A303" i="122"/>
  <c r="F302" i="122"/>
  <c r="A302" i="122"/>
  <c r="F301" i="122"/>
  <c r="A301" i="122"/>
  <c r="F300" i="122"/>
  <c r="A300" i="122"/>
  <c r="F299" i="122"/>
  <c r="A299" i="122"/>
  <c r="F298" i="122"/>
  <c r="A298" i="122"/>
  <c r="F297" i="122"/>
  <c r="A297" i="122"/>
  <c r="F296" i="122"/>
  <c r="A296" i="122"/>
  <c r="F295" i="122"/>
  <c r="A295" i="122"/>
  <c r="F294" i="122"/>
  <c r="A294" i="122"/>
  <c r="F293" i="122"/>
  <c r="A293" i="122"/>
  <c r="F292" i="122"/>
  <c r="A292" i="122"/>
  <c r="F291" i="122"/>
  <c r="A291" i="122"/>
  <c r="F290" i="122"/>
  <c r="A290" i="122"/>
  <c r="F289" i="122"/>
  <c r="A289" i="122"/>
  <c r="F288" i="122"/>
  <c r="A288" i="122"/>
  <c r="F287" i="122"/>
  <c r="A287" i="122"/>
  <c r="F286" i="122"/>
  <c r="A286" i="122"/>
  <c r="F285" i="122"/>
  <c r="A285" i="122"/>
  <c r="F284" i="122"/>
  <c r="A284" i="122"/>
  <c r="F283" i="122"/>
  <c r="A283" i="122"/>
  <c r="F282" i="122"/>
  <c r="A282" i="122"/>
  <c r="F281" i="122"/>
  <c r="A281" i="122"/>
  <c r="F280" i="122"/>
  <c r="A280" i="122"/>
  <c r="F279" i="122"/>
  <c r="A279" i="122"/>
  <c r="F278" i="122"/>
  <c r="A278" i="122"/>
  <c r="F277" i="122"/>
  <c r="A277" i="122"/>
  <c r="F276" i="122"/>
  <c r="A276" i="122"/>
  <c r="F275" i="122"/>
  <c r="A275" i="122"/>
  <c r="F274" i="122"/>
  <c r="A274" i="122"/>
  <c r="F273" i="122"/>
  <c r="A273" i="122"/>
  <c r="F272" i="122"/>
  <c r="A272" i="122"/>
  <c r="F271" i="122"/>
  <c r="A271" i="122"/>
  <c r="F270" i="122"/>
  <c r="A270" i="122"/>
  <c r="F269" i="122"/>
  <c r="A269" i="122"/>
  <c r="F268" i="122"/>
  <c r="A268" i="122"/>
  <c r="F267" i="122"/>
  <c r="A267" i="122"/>
  <c r="F266" i="122"/>
  <c r="A266" i="122"/>
  <c r="F265" i="122"/>
  <c r="A265" i="122"/>
  <c r="F264" i="122"/>
  <c r="A264" i="122"/>
  <c r="F263" i="122"/>
  <c r="A263" i="122"/>
  <c r="F262" i="122"/>
  <c r="A262" i="122"/>
  <c r="F261" i="122"/>
  <c r="A261" i="122"/>
  <c r="F260" i="122"/>
  <c r="A260" i="122"/>
  <c r="F259" i="122"/>
  <c r="A259" i="122"/>
  <c r="F258" i="122"/>
  <c r="A258" i="122"/>
  <c r="F257" i="122"/>
  <c r="A257" i="122"/>
  <c r="F256" i="122"/>
  <c r="A256" i="122"/>
  <c r="F255" i="122"/>
  <c r="A255" i="122"/>
  <c r="F254" i="122"/>
  <c r="A254" i="122"/>
  <c r="F253" i="122"/>
  <c r="A253" i="122"/>
  <c r="F252" i="122"/>
  <c r="A252" i="122"/>
  <c r="F251" i="122"/>
  <c r="A251" i="122"/>
  <c r="F250" i="122"/>
  <c r="A250" i="122"/>
  <c r="F249" i="122"/>
  <c r="A249" i="122"/>
  <c r="F248" i="122"/>
  <c r="A248" i="122"/>
  <c r="F247" i="122"/>
  <c r="A247" i="122"/>
  <c r="F246" i="122"/>
  <c r="A246" i="122"/>
  <c r="F245" i="122"/>
  <c r="A245" i="122"/>
  <c r="F244" i="122"/>
  <c r="A244" i="122"/>
  <c r="F243" i="122"/>
  <c r="A243" i="122"/>
  <c r="F242" i="122"/>
  <c r="A242" i="122"/>
  <c r="F241" i="122"/>
  <c r="A241" i="122"/>
  <c r="F240" i="122"/>
  <c r="A240" i="122"/>
  <c r="F239" i="122"/>
  <c r="A239" i="122"/>
  <c r="F238" i="122"/>
  <c r="A238" i="122"/>
  <c r="F237" i="122"/>
  <c r="A237" i="122"/>
  <c r="F236" i="122"/>
  <c r="A236" i="122"/>
  <c r="F235" i="122"/>
  <c r="A235" i="122"/>
  <c r="F234" i="122"/>
  <c r="A234" i="122"/>
  <c r="F233" i="122"/>
  <c r="A233" i="122"/>
  <c r="F232" i="122"/>
  <c r="A232" i="122"/>
  <c r="F231" i="122"/>
  <c r="A231" i="122"/>
  <c r="F230" i="122"/>
  <c r="A230" i="122"/>
  <c r="F229" i="122"/>
  <c r="A229" i="122"/>
  <c r="F228" i="122"/>
  <c r="A228" i="122"/>
  <c r="F227" i="122"/>
  <c r="A227" i="122"/>
  <c r="F226" i="122"/>
  <c r="A226" i="122"/>
  <c r="F225" i="122"/>
  <c r="A225" i="122"/>
  <c r="F224" i="122"/>
  <c r="A224" i="122"/>
  <c r="F223" i="122"/>
  <c r="A223" i="122"/>
  <c r="F222" i="122"/>
  <c r="A222" i="122"/>
  <c r="F221" i="122"/>
  <c r="A221" i="122"/>
  <c r="F220" i="122"/>
  <c r="A220" i="122"/>
  <c r="F219" i="122"/>
  <c r="A219" i="122"/>
  <c r="F218" i="122"/>
  <c r="A218" i="122"/>
  <c r="F217" i="122"/>
  <c r="A217" i="122"/>
  <c r="F216" i="122"/>
  <c r="A216" i="122"/>
  <c r="F215" i="122"/>
  <c r="A215" i="122"/>
  <c r="F214" i="122"/>
  <c r="A214" i="122"/>
  <c r="F213" i="122"/>
  <c r="A213" i="122"/>
  <c r="F212" i="122"/>
  <c r="A212" i="122"/>
  <c r="F211" i="122"/>
  <c r="A211" i="122"/>
  <c r="F210" i="122"/>
  <c r="A210" i="122"/>
  <c r="F209" i="122"/>
  <c r="A209" i="122"/>
  <c r="F208" i="122"/>
  <c r="A208" i="122"/>
  <c r="F207" i="122"/>
  <c r="A207" i="122"/>
  <c r="F206" i="122"/>
  <c r="A206" i="122"/>
  <c r="F205" i="122"/>
  <c r="A205" i="122"/>
  <c r="F204" i="122"/>
  <c r="A204" i="122"/>
  <c r="F203" i="122"/>
  <c r="A203" i="122"/>
  <c r="F202" i="122"/>
  <c r="A202" i="122"/>
  <c r="F201" i="122"/>
  <c r="A201" i="122"/>
  <c r="F200" i="122"/>
  <c r="A200" i="122"/>
  <c r="F199" i="122"/>
  <c r="A199" i="122"/>
  <c r="F198" i="122"/>
  <c r="A198" i="122"/>
  <c r="F197" i="122"/>
  <c r="A197" i="122"/>
  <c r="F196" i="122"/>
  <c r="A196" i="122"/>
  <c r="F195" i="122"/>
  <c r="A195" i="122"/>
  <c r="F194" i="122"/>
  <c r="A194" i="122"/>
  <c r="F193" i="122"/>
  <c r="A193" i="122"/>
  <c r="F192" i="122"/>
  <c r="A192" i="122"/>
  <c r="F191" i="122"/>
  <c r="A191" i="122"/>
  <c r="F190" i="122"/>
  <c r="A190" i="122"/>
  <c r="F189" i="122"/>
  <c r="A189" i="122"/>
  <c r="F188" i="122"/>
  <c r="A188" i="122"/>
  <c r="F187" i="122"/>
  <c r="A187" i="122"/>
  <c r="F186" i="122"/>
  <c r="A186" i="122"/>
  <c r="F185" i="122"/>
  <c r="A185" i="122"/>
  <c r="F184" i="122"/>
  <c r="A184" i="122"/>
  <c r="F183" i="122"/>
  <c r="A183" i="122"/>
  <c r="F182" i="122"/>
  <c r="A182" i="122"/>
  <c r="F181" i="122"/>
  <c r="A181" i="122"/>
  <c r="F180" i="122"/>
  <c r="A180" i="122"/>
  <c r="F179" i="122"/>
  <c r="A179" i="122"/>
  <c r="F178" i="122"/>
  <c r="A178" i="122"/>
  <c r="F177" i="122"/>
  <c r="A177" i="122"/>
  <c r="F176" i="122"/>
  <c r="A176" i="122"/>
  <c r="F175" i="122"/>
  <c r="A175" i="122"/>
  <c r="F174" i="122"/>
  <c r="A174" i="122"/>
  <c r="F173" i="122"/>
  <c r="A173" i="122"/>
  <c r="F172" i="122"/>
  <c r="A172" i="122"/>
  <c r="F171" i="122"/>
  <c r="A171" i="122"/>
  <c r="F170" i="122"/>
  <c r="A170" i="122"/>
  <c r="F169" i="122"/>
  <c r="A169" i="122"/>
  <c r="F168" i="122"/>
  <c r="A168" i="122"/>
  <c r="F167" i="122"/>
  <c r="A167" i="122"/>
  <c r="F166" i="122"/>
  <c r="A166" i="122"/>
  <c r="F165" i="122"/>
  <c r="A165" i="122"/>
  <c r="F164" i="122"/>
  <c r="A164" i="122"/>
  <c r="F163" i="122"/>
  <c r="A163" i="122"/>
  <c r="F162" i="122"/>
  <c r="A162" i="122"/>
  <c r="F161" i="122"/>
  <c r="A161" i="122"/>
  <c r="J9" i="122"/>
  <c r="J21" i="122" s="1"/>
  <c r="I46" i="123" s="1"/>
  <c r="L10" i="122"/>
  <c r="K10" i="122"/>
  <c r="J10" i="122"/>
  <c r="L7" i="122"/>
  <c r="K7" i="122"/>
  <c r="J7" i="122"/>
  <c r="L12" i="122"/>
  <c r="L19" i="122" s="1"/>
  <c r="G46" i="123" s="1"/>
  <c r="L6" i="122"/>
  <c r="K6" i="122"/>
  <c r="J6" i="122"/>
  <c r="L5" i="122"/>
  <c r="K5" i="122"/>
  <c r="J5" i="122"/>
  <c r="L4" i="122"/>
  <c r="J4" i="122"/>
  <c r="L3" i="122"/>
  <c r="L16" i="122" s="1"/>
  <c r="E46" i="123" s="1"/>
  <c r="K3" i="122"/>
  <c r="K16" i="122" s="1"/>
  <c r="B46" i="123" s="1"/>
  <c r="J3" i="122"/>
  <c r="J16" i="122" s="1"/>
  <c r="F339" i="121"/>
  <c r="A339" i="121"/>
  <c r="F338" i="121"/>
  <c r="A338" i="121"/>
  <c r="F337" i="121"/>
  <c r="A337" i="121"/>
  <c r="F336" i="121"/>
  <c r="A336" i="121"/>
  <c r="F335" i="121"/>
  <c r="A335" i="121"/>
  <c r="F334" i="121"/>
  <c r="A334" i="121"/>
  <c r="F333" i="121"/>
  <c r="A333" i="121"/>
  <c r="F332" i="121"/>
  <c r="A332" i="121"/>
  <c r="F331" i="121"/>
  <c r="A331" i="121"/>
  <c r="F330" i="121"/>
  <c r="A330" i="121"/>
  <c r="F329" i="121"/>
  <c r="A329" i="121"/>
  <c r="F328" i="121"/>
  <c r="A328" i="121"/>
  <c r="F327" i="121"/>
  <c r="A327" i="121"/>
  <c r="F326" i="121"/>
  <c r="A326" i="121"/>
  <c r="F325" i="121"/>
  <c r="A325" i="121"/>
  <c r="F324" i="121"/>
  <c r="A324" i="121"/>
  <c r="F323" i="121"/>
  <c r="A323" i="121"/>
  <c r="F322" i="121"/>
  <c r="A322" i="121"/>
  <c r="F321" i="121"/>
  <c r="A321" i="121"/>
  <c r="F320" i="121"/>
  <c r="A320" i="121"/>
  <c r="F319" i="121"/>
  <c r="A319" i="121"/>
  <c r="F318" i="121"/>
  <c r="A318" i="121"/>
  <c r="F317" i="121"/>
  <c r="A317" i="121"/>
  <c r="F316" i="121"/>
  <c r="A316" i="121"/>
  <c r="F315" i="121"/>
  <c r="A315" i="121"/>
  <c r="F314" i="121"/>
  <c r="A314" i="121"/>
  <c r="F313" i="121"/>
  <c r="A313" i="121"/>
  <c r="F312" i="121"/>
  <c r="A312" i="121"/>
  <c r="F311" i="121"/>
  <c r="A311" i="121"/>
  <c r="F310" i="121"/>
  <c r="A310" i="121"/>
  <c r="F309" i="121"/>
  <c r="A309" i="121"/>
  <c r="F308" i="121"/>
  <c r="A308" i="121"/>
  <c r="F307" i="121"/>
  <c r="A307" i="121"/>
  <c r="F306" i="121"/>
  <c r="A306" i="121"/>
  <c r="F305" i="121"/>
  <c r="A305" i="121"/>
  <c r="F304" i="121"/>
  <c r="A304" i="121"/>
  <c r="F303" i="121"/>
  <c r="A303" i="121"/>
  <c r="F302" i="121"/>
  <c r="A302" i="121"/>
  <c r="F301" i="121"/>
  <c r="A301" i="121"/>
  <c r="F300" i="121"/>
  <c r="A300" i="121"/>
  <c r="F299" i="121"/>
  <c r="A299" i="121"/>
  <c r="F298" i="121"/>
  <c r="A298" i="121"/>
  <c r="F297" i="121"/>
  <c r="A297" i="121"/>
  <c r="F296" i="121"/>
  <c r="A296" i="121"/>
  <c r="F295" i="121"/>
  <c r="A295" i="121"/>
  <c r="F294" i="121"/>
  <c r="A294" i="121"/>
  <c r="F293" i="121"/>
  <c r="A293" i="121"/>
  <c r="F292" i="121"/>
  <c r="A292" i="121"/>
  <c r="F291" i="121"/>
  <c r="A291" i="121"/>
  <c r="F290" i="121"/>
  <c r="A290" i="121"/>
  <c r="F289" i="121"/>
  <c r="A289" i="121"/>
  <c r="F288" i="121"/>
  <c r="A288" i="121"/>
  <c r="F287" i="121"/>
  <c r="A287" i="121"/>
  <c r="F286" i="121"/>
  <c r="A286" i="121"/>
  <c r="F285" i="121"/>
  <c r="A285" i="121"/>
  <c r="F284" i="121"/>
  <c r="A284" i="121"/>
  <c r="F283" i="121"/>
  <c r="A283" i="121"/>
  <c r="F282" i="121"/>
  <c r="A282" i="121"/>
  <c r="F281" i="121"/>
  <c r="A281" i="121"/>
  <c r="F280" i="121"/>
  <c r="A280" i="121"/>
  <c r="F279" i="121"/>
  <c r="A279" i="121"/>
  <c r="F278" i="121"/>
  <c r="A278" i="121"/>
  <c r="F277" i="121"/>
  <c r="A277" i="121"/>
  <c r="F276" i="121"/>
  <c r="A276" i="121"/>
  <c r="F275" i="121"/>
  <c r="A275" i="121"/>
  <c r="F274" i="121"/>
  <c r="A274" i="121"/>
  <c r="F273" i="121"/>
  <c r="A273" i="121"/>
  <c r="F272" i="121"/>
  <c r="A272" i="121"/>
  <c r="F271" i="121"/>
  <c r="A271" i="121"/>
  <c r="F270" i="121"/>
  <c r="A270" i="121"/>
  <c r="F269" i="121"/>
  <c r="A269" i="121"/>
  <c r="F268" i="121"/>
  <c r="A268" i="121"/>
  <c r="F267" i="121"/>
  <c r="A267" i="121"/>
  <c r="F266" i="121"/>
  <c r="A266" i="121"/>
  <c r="F265" i="121"/>
  <c r="A265" i="121"/>
  <c r="F264" i="121"/>
  <c r="A264" i="121"/>
  <c r="F263" i="121"/>
  <c r="A263" i="121"/>
  <c r="F262" i="121"/>
  <c r="A262" i="121"/>
  <c r="F261" i="121"/>
  <c r="A261" i="121"/>
  <c r="F260" i="121"/>
  <c r="A260" i="121"/>
  <c r="F259" i="121"/>
  <c r="A259" i="121"/>
  <c r="F258" i="121"/>
  <c r="A258" i="121"/>
  <c r="F257" i="121"/>
  <c r="A257" i="121"/>
  <c r="F256" i="121"/>
  <c r="A256" i="121"/>
  <c r="F255" i="121"/>
  <c r="A255" i="121"/>
  <c r="F254" i="121"/>
  <c r="A254" i="121"/>
  <c r="F253" i="121"/>
  <c r="A253" i="121"/>
  <c r="F252" i="121"/>
  <c r="A252" i="121"/>
  <c r="F251" i="121"/>
  <c r="A251" i="121"/>
  <c r="F250" i="121"/>
  <c r="A250" i="121"/>
  <c r="F249" i="121"/>
  <c r="A249" i="121"/>
  <c r="F248" i="121"/>
  <c r="A248" i="121"/>
  <c r="F247" i="121"/>
  <c r="A247" i="121"/>
  <c r="F246" i="121"/>
  <c r="A246" i="121"/>
  <c r="F245" i="121"/>
  <c r="A245" i="121"/>
  <c r="F244" i="121"/>
  <c r="A244" i="121"/>
  <c r="F243" i="121"/>
  <c r="A243" i="121"/>
  <c r="F242" i="121"/>
  <c r="A242" i="121"/>
  <c r="F241" i="121"/>
  <c r="A241" i="121"/>
  <c r="F240" i="121"/>
  <c r="A240" i="121"/>
  <c r="F239" i="121"/>
  <c r="A239" i="121"/>
  <c r="F238" i="121"/>
  <c r="A238" i="121"/>
  <c r="F237" i="121"/>
  <c r="A237" i="121"/>
  <c r="F236" i="121"/>
  <c r="A236" i="121"/>
  <c r="F235" i="121"/>
  <c r="A235" i="121"/>
  <c r="F234" i="121"/>
  <c r="A234" i="121"/>
  <c r="F233" i="121"/>
  <c r="A233" i="121"/>
  <c r="F232" i="121"/>
  <c r="A232" i="121"/>
  <c r="F231" i="121"/>
  <c r="A231" i="121"/>
  <c r="F230" i="121"/>
  <c r="A230" i="121"/>
  <c r="F229" i="121"/>
  <c r="A229" i="121"/>
  <c r="F228" i="121"/>
  <c r="A228" i="121"/>
  <c r="F227" i="121"/>
  <c r="A227" i="121"/>
  <c r="F226" i="121"/>
  <c r="A226" i="121"/>
  <c r="F225" i="121"/>
  <c r="A225" i="121"/>
  <c r="F224" i="121"/>
  <c r="A224" i="121"/>
  <c r="F223" i="121"/>
  <c r="A223" i="121"/>
  <c r="F222" i="121"/>
  <c r="A222" i="121"/>
  <c r="F221" i="121"/>
  <c r="A221" i="121"/>
  <c r="F220" i="121"/>
  <c r="A220" i="121"/>
  <c r="F219" i="121"/>
  <c r="A219" i="121"/>
  <c r="F218" i="121"/>
  <c r="A218" i="121"/>
  <c r="F217" i="121"/>
  <c r="A217" i="121"/>
  <c r="F216" i="121"/>
  <c r="A216" i="121"/>
  <c r="F215" i="121"/>
  <c r="A215" i="121"/>
  <c r="F214" i="121"/>
  <c r="A214" i="121"/>
  <c r="F213" i="121"/>
  <c r="A213" i="121"/>
  <c r="F212" i="121"/>
  <c r="A212" i="121"/>
  <c r="F211" i="121"/>
  <c r="A211" i="121"/>
  <c r="F210" i="121"/>
  <c r="A210" i="121"/>
  <c r="F209" i="121"/>
  <c r="A209" i="121"/>
  <c r="F208" i="121"/>
  <c r="A208" i="121"/>
  <c r="F207" i="121"/>
  <c r="A207" i="121"/>
  <c r="F206" i="121"/>
  <c r="A206" i="121"/>
  <c r="F205" i="121"/>
  <c r="A205" i="121"/>
  <c r="F204" i="121"/>
  <c r="A204" i="121"/>
  <c r="F203" i="121"/>
  <c r="A203" i="121"/>
  <c r="F202" i="121"/>
  <c r="A202" i="121"/>
  <c r="F201" i="121"/>
  <c r="A201" i="121"/>
  <c r="F200" i="121"/>
  <c r="A200" i="121"/>
  <c r="F199" i="121"/>
  <c r="A199" i="121"/>
  <c r="F198" i="121"/>
  <c r="A198" i="121"/>
  <c r="F197" i="121"/>
  <c r="A197" i="121"/>
  <c r="F196" i="121"/>
  <c r="A196" i="121"/>
  <c r="F195" i="121"/>
  <c r="A195" i="121"/>
  <c r="F194" i="121"/>
  <c r="A194" i="121"/>
  <c r="F193" i="121"/>
  <c r="A193" i="121"/>
  <c r="F192" i="121"/>
  <c r="A192" i="121"/>
  <c r="F191" i="121"/>
  <c r="A191" i="121"/>
  <c r="F190" i="121"/>
  <c r="A190" i="121"/>
  <c r="F189" i="121"/>
  <c r="A189" i="121"/>
  <c r="F188" i="121"/>
  <c r="A188" i="121"/>
  <c r="F187" i="121"/>
  <c r="A187" i="121"/>
  <c r="F186" i="121"/>
  <c r="A186" i="121"/>
  <c r="F185" i="121"/>
  <c r="A185" i="121"/>
  <c r="F184" i="121"/>
  <c r="A184" i="121"/>
  <c r="F183" i="121"/>
  <c r="A183" i="121"/>
  <c r="F182" i="121"/>
  <c r="A182" i="121"/>
  <c r="F181" i="121"/>
  <c r="A181" i="121"/>
  <c r="F180" i="121"/>
  <c r="A180" i="121"/>
  <c r="F179" i="121"/>
  <c r="A179" i="121"/>
  <c r="F178" i="121"/>
  <c r="A178" i="121"/>
  <c r="F177" i="121"/>
  <c r="A177" i="121"/>
  <c r="F176" i="121"/>
  <c r="A176" i="121"/>
  <c r="F175" i="121"/>
  <c r="A175" i="121"/>
  <c r="F174" i="121"/>
  <c r="A174" i="121"/>
  <c r="F173" i="121"/>
  <c r="A173" i="121"/>
  <c r="F172" i="121"/>
  <c r="A172" i="121"/>
  <c r="F171" i="121"/>
  <c r="A171" i="121"/>
  <c r="F170" i="121"/>
  <c r="A170" i="121"/>
  <c r="F169" i="121"/>
  <c r="A169" i="121"/>
  <c r="F168" i="121"/>
  <c r="A168" i="121"/>
  <c r="F167" i="121"/>
  <c r="A167" i="121"/>
  <c r="F166" i="121"/>
  <c r="A166" i="121"/>
  <c r="F165" i="121"/>
  <c r="A165" i="121"/>
  <c r="F164" i="121"/>
  <c r="A164" i="121"/>
  <c r="F163" i="121"/>
  <c r="A163" i="121"/>
  <c r="F162" i="121"/>
  <c r="A162" i="121"/>
  <c r="F161" i="121"/>
  <c r="A161" i="121"/>
  <c r="K10" i="121"/>
  <c r="J12" i="121"/>
  <c r="J19" i="121" s="1"/>
  <c r="L9" i="121"/>
  <c r="L21" i="121" s="1"/>
  <c r="L12" i="121"/>
  <c r="L19" i="121" s="1"/>
  <c r="G45" i="123" s="1"/>
  <c r="L10" i="121"/>
  <c r="J10" i="121"/>
  <c r="L7" i="121"/>
  <c r="K7" i="121"/>
  <c r="J7" i="121"/>
  <c r="L6" i="121"/>
  <c r="K6" i="121"/>
  <c r="J6" i="121"/>
  <c r="L5" i="121"/>
  <c r="J5" i="121"/>
  <c r="L4" i="121"/>
  <c r="K4" i="121"/>
  <c r="J4" i="121"/>
  <c r="L3" i="121"/>
  <c r="L16" i="121" s="1"/>
  <c r="E45" i="123" s="1"/>
  <c r="K3" i="121"/>
  <c r="K16" i="121" s="1"/>
  <c r="B45" i="123" s="1"/>
  <c r="J3" i="121"/>
  <c r="J16" i="121" s="1"/>
  <c r="F339" i="120"/>
  <c r="A339" i="120"/>
  <c r="F338" i="120"/>
  <c r="A338" i="120"/>
  <c r="F337" i="120"/>
  <c r="A337" i="120"/>
  <c r="F336" i="120"/>
  <c r="A336" i="120"/>
  <c r="F335" i="120"/>
  <c r="A335" i="120"/>
  <c r="F334" i="120"/>
  <c r="A334" i="120"/>
  <c r="F333" i="120"/>
  <c r="A333" i="120"/>
  <c r="F332" i="120"/>
  <c r="A332" i="120"/>
  <c r="F331" i="120"/>
  <c r="A331" i="120"/>
  <c r="F330" i="120"/>
  <c r="A330" i="120"/>
  <c r="F329" i="120"/>
  <c r="A329" i="120"/>
  <c r="F328" i="120"/>
  <c r="A328" i="120"/>
  <c r="F327" i="120"/>
  <c r="A327" i="120"/>
  <c r="F326" i="120"/>
  <c r="A326" i="120"/>
  <c r="F325" i="120"/>
  <c r="A325" i="120"/>
  <c r="F324" i="120"/>
  <c r="A324" i="120"/>
  <c r="F323" i="120"/>
  <c r="A323" i="120"/>
  <c r="F322" i="120"/>
  <c r="A322" i="120"/>
  <c r="F321" i="120"/>
  <c r="A321" i="120"/>
  <c r="F320" i="120"/>
  <c r="A320" i="120"/>
  <c r="F319" i="120"/>
  <c r="A319" i="120"/>
  <c r="F318" i="120"/>
  <c r="A318" i="120"/>
  <c r="F317" i="120"/>
  <c r="A317" i="120"/>
  <c r="F316" i="120"/>
  <c r="A316" i="120"/>
  <c r="F315" i="120"/>
  <c r="A315" i="120"/>
  <c r="F314" i="120"/>
  <c r="A314" i="120"/>
  <c r="F313" i="120"/>
  <c r="A313" i="120"/>
  <c r="F312" i="120"/>
  <c r="A312" i="120"/>
  <c r="F311" i="120"/>
  <c r="A311" i="120"/>
  <c r="F310" i="120"/>
  <c r="A310" i="120"/>
  <c r="F309" i="120"/>
  <c r="A309" i="120"/>
  <c r="F308" i="120"/>
  <c r="A308" i="120"/>
  <c r="F307" i="120"/>
  <c r="A307" i="120"/>
  <c r="F306" i="120"/>
  <c r="A306" i="120"/>
  <c r="F305" i="120"/>
  <c r="A305" i="120"/>
  <c r="F304" i="120"/>
  <c r="A304" i="120"/>
  <c r="F303" i="120"/>
  <c r="A303" i="120"/>
  <c r="F302" i="120"/>
  <c r="A302" i="120"/>
  <c r="F301" i="120"/>
  <c r="A301" i="120"/>
  <c r="F300" i="120"/>
  <c r="A300" i="120"/>
  <c r="F299" i="120"/>
  <c r="A299" i="120"/>
  <c r="F298" i="120"/>
  <c r="A298" i="120"/>
  <c r="F297" i="120"/>
  <c r="A297" i="120"/>
  <c r="F296" i="120"/>
  <c r="A296" i="120"/>
  <c r="F295" i="120"/>
  <c r="A295" i="120"/>
  <c r="F294" i="120"/>
  <c r="A294" i="120"/>
  <c r="F293" i="120"/>
  <c r="A293" i="120"/>
  <c r="F292" i="120"/>
  <c r="A292" i="120"/>
  <c r="F291" i="120"/>
  <c r="A291" i="120"/>
  <c r="F290" i="120"/>
  <c r="A290" i="120"/>
  <c r="F289" i="120"/>
  <c r="A289" i="120"/>
  <c r="F288" i="120"/>
  <c r="A288" i="120"/>
  <c r="F287" i="120"/>
  <c r="A287" i="120"/>
  <c r="F286" i="120"/>
  <c r="A286" i="120"/>
  <c r="F285" i="120"/>
  <c r="A285" i="120"/>
  <c r="F284" i="120"/>
  <c r="A284" i="120"/>
  <c r="F283" i="120"/>
  <c r="A283" i="120"/>
  <c r="F282" i="120"/>
  <c r="A282" i="120"/>
  <c r="F281" i="120"/>
  <c r="A281" i="120"/>
  <c r="F280" i="120"/>
  <c r="A280" i="120"/>
  <c r="F279" i="120"/>
  <c r="A279" i="120"/>
  <c r="F278" i="120"/>
  <c r="A278" i="120"/>
  <c r="F277" i="120"/>
  <c r="A277" i="120"/>
  <c r="F276" i="120"/>
  <c r="A276" i="120"/>
  <c r="F275" i="120"/>
  <c r="A275" i="120"/>
  <c r="F274" i="120"/>
  <c r="A274" i="120"/>
  <c r="F273" i="120"/>
  <c r="A273" i="120"/>
  <c r="F272" i="120"/>
  <c r="A272" i="120"/>
  <c r="F271" i="120"/>
  <c r="A271" i="120"/>
  <c r="F270" i="120"/>
  <c r="A270" i="120"/>
  <c r="F269" i="120"/>
  <c r="A269" i="120"/>
  <c r="F268" i="120"/>
  <c r="A268" i="120"/>
  <c r="F267" i="120"/>
  <c r="A267" i="120"/>
  <c r="F266" i="120"/>
  <c r="A266" i="120"/>
  <c r="F265" i="120"/>
  <c r="A265" i="120"/>
  <c r="F264" i="120"/>
  <c r="A264" i="120"/>
  <c r="F263" i="120"/>
  <c r="A263" i="120"/>
  <c r="F262" i="120"/>
  <c r="A262" i="120"/>
  <c r="F261" i="120"/>
  <c r="A261" i="120"/>
  <c r="F260" i="120"/>
  <c r="A260" i="120"/>
  <c r="F259" i="120"/>
  <c r="A259" i="120"/>
  <c r="F258" i="120"/>
  <c r="A258" i="120"/>
  <c r="F257" i="120"/>
  <c r="A257" i="120"/>
  <c r="F256" i="120"/>
  <c r="A256" i="120"/>
  <c r="F255" i="120"/>
  <c r="A255" i="120"/>
  <c r="F254" i="120"/>
  <c r="A254" i="120"/>
  <c r="F253" i="120"/>
  <c r="A253" i="120"/>
  <c r="F252" i="120"/>
  <c r="A252" i="120"/>
  <c r="F251" i="120"/>
  <c r="A251" i="120"/>
  <c r="F250" i="120"/>
  <c r="A250" i="120"/>
  <c r="F249" i="120"/>
  <c r="A249" i="120"/>
  <c r="F248" i="120"/>
  <c r="A248" i="120"/>
  <c r="F247" i="120"/>
  <c r="A247" i="120"/>
  <c r="F246" i="120"/>
  <c r="A246" i="120"/>
  <c r="F245" i="120"/>
  <c r="A245" i="120"/>
  <c r="F244" i="120"/>
  <c r="A244" i="120"/>
  <c r="F243" i="120"/>
  <c r="A243" i="120"/>
  <c r="F242" i="120"/>
  <c r="A242" i="120"/>
  <c r="F241" i="120"/>
  <c r="A241" i="120"/>
  <c r="F240" i="120"/>
  <c r="A240" i="120"/>
  <c r="F239" i="120"/>
  <c r="A239" i="120"/>
  <c r="F238" i="120"/>
  <c r="A238" i="120"/>
  <c r="F237" i="120"/>
  <c r="A237" i="120"/>
  <c r="F236" i="120"/>
  <c r="A236" i="120"/>
  <c r="F235" i="120"/>
  <c r="A235" i="120"/>
  <c r="F234" i="120"/>
  <c r="A234" i="120"/>
  <c r="F233" i="120"/>
  <c r="A233" i="120"/>
  <c r="F232" i="120"/>
  <c r="A232" i="120"/>
  <c r="F231" i="120"/>
  <c r="A231" i="120"/>
  <c r="F230" i="120"/>
  <c r="A230" i="120"/>
  <c r="F229" i="120"/>
  <c r="A229" i="120"/>
  <c r="F228" i="120"/>
  <c r="A228" i="120"/>
  <c r="F227" i="120"/>
  <c r="A227" i="120"/>
  <c r="F226" i="120"/>
  <c r="A226" i="120"/>
  <c r="F225" i="120"/>
  <c r="A225" i="120"/>
  <c r="F224" i="120"/>
  <c r="A224" i="120"/>
  <c r="F223" i="120"/>
  <c r="A223" i="120"/>
  <c r="F222" i="120"/>
  <c r="A222" i="120"/>
  <c r="F221" i="120"/>
  <c r="A221" i="120"/>
  <c r="F220" i="120"/>
  <c r="A220" i="120"/>
  <c r="F219" i="120"/>
  <c r="A219" i="120"/>
  <c r="F218" i="120"/>
  <c r="A218" i="120"/>
  <c r="F217" i="120"/>
  <c r="A217" i="120"/>
  <c r="F216" i="120"/>
  <c r="A216" i="120"/>
  <c r="F215" i="120"/>
  <c r="A215" i="120"/>
  <c r="F214" i="120"/>
  <c r="A214" i="120"/>
  <c r="F213" i="120"/>
  <c r="A213" i="120"/>
  <c r="F212" i="120"/>
  <c r="A212" i="120"/>
  <c r="F211" i="120"/>
  <c r="A211" i="120"/>
  <c r="F210" i="120"/>
  <c r="A210" i="120"/>
  <c r="F209" i="120"/>
  <c r="A209" i="120"/>
  <c r="F208" i="120"/>
  <c r="A208" i="120"/>
  <c r="F207" i="120"/>
  <c r="A207" i="120"/>
  <c r="F206" i="120"/>
  <c r="A206" i="120"/>
  <c r="F205" i="120"/>
  <c r="A205" i="120"/>
  <c r="F204" i="120"/>
  <c r="A204" i="120"/>
  <c r="F203" i="120"/>
  <c r="A203" i="120"/>
  <c r="F202" i="120"/>
  <c r="A202" i="120"/>
  <c r="F201" i="120"/>
  <c r="A201" i="120"/>
  <c r="F200" i="120"/>
  <c r="A200" i="120"/>
  <c r="F199" i="120"/>
  <c r="A199" i="120"/>
  <c r="F198" i="120"/>
  <c r="A198" i="120"/>
  <c r="F197" i="120"/>
  <c r="A197" i="120"/>
  <c r="F196" i="120"/>
  <c r="A196" i="120"/>
  <c r="F195" i="120"/>
  <c r="A195" i="120"/>
  <c r="F194" i="120"/>
  <c r="A194" i="120"/>
  <c r="F193" i="120"/>
  <c r="A193" i="120"/>
  <c r="F192" i="120"/>
  <c r="A192" i="120"/>
  <c r="F191" i="120"/>
  <c r="A191" i="120"/>
  <c r="F190" i="120"/>
  <c r="A190" i="120"/>
  <c r="F189" i="120"/>
  <c r="A189" i="120"/>
  <c r="F188" i="120"/>
  <c r="A188" i="120"/>
  <c r="F187" i="120"/>
  <c r="A187" i="120"/>
  <c r="F186" i="120"/>
  <c r="A186" i="120"/>
  <c r="F185" i="120"/>
  <c r="A185" i="120"/>
  <c r="F184" i="120"/>
  <c r="A184" i="120"/>
  <c r="F183" i="120"/>
  <c r="A183" i="120"/>
  <c r="F182" i="120"/>
  <c r="A182" i="120"/>
  <c r="F181" i="120"/>
  <c r="A181" i="120"/>
  <c r="F180" i="120"/>
  <c r="A180" i="120"/>
  <c r="F179" i="120"/>
  <c r="A179" i="120"/>
  <c r="F178" i="120"/>
  <c r="A178" i="120"/>
  <c r="F177" i="120"/>
  <c r="A177" i="120"/>
  <c r="F176" i="120"/>
  <c r="A176" i="120"/>
  <c r="F175" i="120"/>
  <c r="A175" i="120"/>
  <c r="F174" i="120"/>
  <c r="A174" i="120"/>
  <c r="F173" i="120"/>
  <c r="A173" i="120"/>
  <c r="F172" i="120"/>
  <c r="A172" i="120"/>
  <c r="F171" i="120"/>
  <c r="A171" i="120"/>
  <c r="F170" i="120"/>
  <c r="A170" i="120"/>
  <c r="F169" i="120"/>
  <c r="A169" i="120"/>
  <c r="F168" i="120"/>
  <c r="A168" i="120"/>
  <c r="F167" i="120"/>
  <c r="A167" i="120"/>
  <c r="F166" i="120"/>
  <c r="A166" i="120"/>
  <c r="F165" i="120"/>
  <c r="A165" i="120"/>
  <c r="F164" i="120"/>
  <c r="A164" i="120"/>
  <c r="F163" i="120"/>
  <c r="A163" i="120"/>
  <c r="F162" i="120"/>
  <c r="A162" i="120"/>
  <c r="F161" i="120"/>
  <c r="A161" i="120"/>
  <c r="L10" i="120"/>
  <c r="K10" i="120"/>
  <c r="J10" i="120"/>
  <c r="L7" i="120"/>
  <c r="K7" i="120"/>
  <c r="J7" i="120"/>
  <c r="L6" i="120"/>
  <c r="K6" i="120"/>
  <c r="J6" i="120"/>
  <c r="L5" i="120"/>
  <c r="K5" i="120"/>
  <c r="J5" i="120"/>
  <c r="L4" i="120"/>
  <c r="K4" i="120"/>
  <c r="J4" i="120"/>
  <c r="L3" i="120"/>
  <c r="L16" i="120" s="1"/>
  <c r="E44" i="123" s="1"/>
  <c r="K3" i="120"/>
  <c r="K16" i="120" s="1"/>
  <c r="B44" i="123" s="1"/>
  <c r="J3" i="120"/>
  <c r="J16" i="120" s="1"/>
  <c r="L12" i="120"/>
  <c r="L19" i="120" s="1"/>
  <c r="G44" i="123" s="1"/>
  <c r="J12" i="120"/>
  <c r="J19" i="120" s="1"/>
  <c r="F339" i="119"/>
  <c r="A339" i="119"/>
  <c r="F338" i="119"/>
  <c r="A338" i="119"/>
  <c r="F337" i="119"/>
  <c r="A337" i="119"/>
  <c r="F336" i="119"/>
  <c r="A336" i="119"/>
  <c r="F335" i="119"/>
  <c r="A335" i="119"/>
  <c r="F334" i="119"/>
  <c r="A334" i="119"/>
  <c r="F333" i="119"/>
  <c r="A333" i="119"/>
  <c r="F332" i="119"/>
  <c r="A332" i="119"/>
  <c r="F331" i="119"/>
  <c r="A331" i="119"/>
  <c r="F330" i="119"/>
  <c r="A330" i="119"/>
  <c r="F329" i="119"/>
  <c r="A329" i="119"/>
  <c r="F328" i="119"/>
  <c r="A328" i="119"/>
  <c r="F327" i="119"/>
  <c r="A327" i="119"/>
  <c r="F326" i="119"/>
  <c r="A326" i="119"/>
  <c r="F325" i="119"/>
  <c r="A325" i="119"/>
  <c r="F324" i="119"/>
  <c r="A324" i="119"/>
  <c r="F323" i="119"/>
  <c r="A323" i="119"/>
  <c r="F322" i="119"/>
  <c r="A322" i="119"/>
  <c r="F321" i="119"/>
  <c r="A321" i="119"/>
  <c r="F320" i="119"/>
  <c r="A320" i="119"/>
  <c r="F319" i="119"/>
  <c r="A319" i="119"/>
  <c r="F318" i="119"/>
  <c r="A318" i="119"/>
  <c r="F317" i="119"/>
  <c r="A317" i="119"/>
  <c r="F316" i="119"/>
  <c r="A316" i="119"/>
  <c r="F315" i="119"/>
  <c r="A315" i="119"/>
  <c r="F314" i="119"/>
  <c r="A314" i="119"/>
  <c r="F313" i="119"/>
  <c r="A313" i="119"/>
  <c r="F312" i="119"/>
  <c r="A312" i="119"/>
  <c r="F311" i="119"/>
  <c r="A311" i="119"/>
  <c r="F310" i="119"/>
  <c r="A310" i="119"/>
  <c r="F309" i="119"/>
  <c r="A309" i="119"/>
  <c r="F308" i="119"/>
  <c r="A308" i="119"/>
  <c r="F307" i="119"/>
  <c r="A307" i="119"/>
  <c r="F306" i="119"/>
  <c r="A306" i="119"/>
  <c r="F305" i="119"/>
  <c r="A305" i="119"/>
  <c r="F304" i="119"/>
  <c r="A304" i="119"/>
  <c r="F303" i="119"/>
  <c r="A303" i="119"/>
  <c r="F302" i="119"/>
  <c r="A302" i="119"/>
  <c r="F301" i="119"/>
  <c r="A301" i="119"/>
  <c r="F300" i="119"/>
  <c r="A300" i="119"/>
  <c r="F299" i="119"/>
  <c r="A299" i="119"/>
  <c r="F298" i="119"/>
  <c r="A298" i="119"/>
  <c r="F297" i="119"/>
  <c r="A297" i="119"/>
  <c r="F296" i="119"/>
  <c r="A296" i="119"/>
  <c r="F295" i="119"/>
  <c r="A295" i="119"/>
  <c r="F294" i="119"/>
  <c r="A294" i="119"/>
  <c r="F293" i="119"/>
  <c r="A293" i="119"/>
  <c r="F292" i="119"/>
  <c r="A292" i="119"/>
  <c r="F291" i="119"/>
  <c r="A291" i="119"/>
  <c r="F290" i="119"/>
  <c r="A290" i="119"/>
  <c r="F289" i="119"/>
  <c r="A289" i="119"/>
  <c r="F288" i="119"/>
  <c r="A288" i="119"/>
  <c r="F287" i="119"/>
  <c r="A287" i="119"/>
  <c r="F286" i="119"/>
  <c r="A286" i="119"/>
  <c r="F285" i="119"/>
  <c r="A285" i="119"/>
  <c r="F284" i="119"/>
  <c r="A284" i="119"/>
  <c r="F283" i="119"/>
  <c r="A283" i="119"/>
  <c r="F282" i="119"/>
  <c r="A282" i="119"/>
  <c r="F281" i="119"/>
  <c r="A281" i="119"/>
  <c r="F280" i="119"/>
  <c r="A280" i="119"/>
  <c r="F279" i="119"/>
  <c r="A279" i="119"/>
  <c r="F278" i="119"/>
  <c r="A278" i="119"/>
  <c r="F277" i="119"/>
  <c r="A277" i="119"/>
  <c r="F276" i="119"/>
  <c r="A276" i="119"/>
  <c r="F275" i="119"/>
  <c r="A275" i="119"/>
  <c r="F274" i="119"/>
  <c r="A274" i="119"/>
  <c r="F273" i="119"/>
  <c r="A273" i="119"/>
  <c r="F272" i="119"/>
  <c r="A272" i="119"/>
  <c r="F271" i="119"/>
  <c r="A271" i="119"/>
  <c r="F270" i="119"/>
  <c r="A270" i="119"/>
  <c r="F269" i="119"/>
  <c r="A269" i="119"/>
  <c r="F268" i="119"/>
  <c r="A268" i="119"/>
  <c r="F267" i="119"/>
  <c r="A267" i="119"/>
  <c r="F266" i="119"/>
  <c r="A266" i="119"/>
  <c r="F265" i="119"/>
  <c r="A265" i="119"/>
  <c r="F264" i="119"/>
  <c r="A264" i="119"/>
  <c r="F263" i="119"/>
  <c r="A263" i="119"/>
  <c r="F262" i="119"/>
  <c r="A262" i="119"/>
  <c r="F261" i="119"/>
  <c r="A261" i="119"/>
  <c r="F260" i="119"/>
  <c r="A260" i="119"/>
  <c r="F259" i="119"/>
  <c r="A259" i="119"/>
  <c r="F258" i="119"/>
  <c r="A258" i="119"/>
  <c r="F257" i="119"/>
  <c r="A257" i="119"/>
  <c r="F256" i="119"/>
  <c r="A256" i="119"/>
  <c r="F255" i="119"/>
  <c r="A255" i="119"/>
  <c r="F254" i="119"/>
  <c r="A254" i="119"/>
  <c r="F253" i="119"/>
  <c r="A253" i="119"/>
  <c r="F252" i="119"/>
  <c r="A252" i="119"/>
  <c r="F251" i="119"/>
  <c r="A251" i="119"/>
  <c r="F250" i="119"/>
  <c r="A250" i="119"/>
  <c r="F249" i="119"/>
  <c r="A249" i="119"/>
  <c r="F248" i="119"/>
  <c r="A248" i="119"/>
  <c r="F247" i="119"/>
  <c r="A247" i="119"/>
  <c r="F246" i="119"/>
  <c r="A246" i="119"/>
  <c r="F245" i="119"/>
  <c r="A245" i="119"/>
  <c r="F244" i="119"/>
  <c r="A244" i="119"/>
  <c r="F243" i="119"/>
  <c r="A243" i="119"/>
  <c r="F242" i="119"/>
  <c r="A242" i="119"/>
  <c r="F241" i="119"/>
  <c r="A241" i="119"/>
  <c r="F240" i="119"/>
  <c r="A240" i="119"/>
  <c r="F239" i="119"/>
  <c r="A239" i="119"/>
  <c r="F238" i="119"/>
  <c r="A238" i="119"/>
  <c r="F237" i="119"/>
  <c r="A237" i="119"/>
  <c r="F236" i="119"/>
  <c r="A236" i="119"/>
  <c r="F235" i="119"/>
  <c r="A235" i="119"/>
  <c r="F234" i="119"/>
  <c r="A234" i="119"/>
  <c r="F233" i="119"/>
  <c r="A233" i="119"/>
  <c r="F232" i="119"/>
  <c r="A232" i="119"/>
  <c r="F231" i="119"/>
  <c r="A231" i="119"/>
  <c r="F230" i="119"/>
  <c r="A230" i="119"/>
  <c r="F229" i="119"/>
  <c r="A229" i="119"/>
  <c r="F228" i="119"/>
  <c r="A228" i="119"/>
  <c r="F227" i="119"/>
  <c r="A227" i="119"/>
  <c r="F226" i="119"/>
  <c r="A226" i="119"/>
  <c r="F225" i="119"/>
  <c r="A225" i="119"/>
  <c r="F224" i="119"/>
  <c r="A224" i="119"/>
  <c r="F223" i="119"/>
  <c r="A223" i="119"/>
  <c r="F222" i="119"/>
  <c r="A222" i="119"/>
  <c r="F221" i="119"/>
  <c r="A221" i="119"/>
  <c r="F220" i="119"/>
  <c r="A220" i="119"/>
  <c r="F219" i="119"/>
  <c r="A219" i="119"/>
  <c r="F218" i="119"/>
  <c r="A218" i="119"/>
  <c r="F217" i="119"/>
  <c r="A217" i="119"/>
  <c r="F216" i="119"/>
  <c r="A216" i="119"/>
  <c r="F215" i="119"/>
  <c r="A215" i="119"/>
  <c r="F214" i="119"/>
  <c r="A214" i="119"/>
  <c r="F213" i="119"/>
  <c r="A213" i="119"/>
  <c r="F212" i="119"/>
  <c r="A212" i="119"/>
  <c r="F211" i="119"/>
  <c r="A211" i="119"/>
  <c r="F210" i="119"/>
  <c r="A210" i="119"/>
  <c r="F209" i="119"/>
  <c r="A209" i="119"/>
  <c r="F208" i="119"/>
  <c r="A208" i="119"/>
  <c r="F207" i="119"/>
  <c r="A207" i="119"/>
  <c r="F206" i="119"/>
  <c r="A206" i="119"/>
  <c r="F205" i="119"/>
  <c r="A205" i="119"/>
  <c r="F204" i="119"/>
  <c r="A204" i="119"/>
  <c r="F203" i="119"/>
  <c r="A203" i="119"/>
  <c r="F202" i="119"/>
  <c r="A202" i="119"/>
  <c r="F201" i="119"/>
  <c r="A201" i="119"/>
  <c r="F200" i="119"/>
  <c r="A200" i="119"/>
  <c r="F199" i="119"/>
  <c r="A199" i="119"/>
  <c r="F198" i="119"/>
  <c r="A198" i="119"/>
  <c r="F197" i="119"/>
  <c r="A197" i="119"/>
  <c r="F196" i="119"/>
  <c r="A196" i="119"/>
  <c r="F195" i="119"/>
  <c r="A195" i="119"/>
  <c r="F194" i="119"/>
  <c r="A194" i="119"/>
  <c r="F193" i="119"/>
  <c r="A193" i="119"/>
  <c r="F192" i="119"/>
  <c r="A192" i="119"/>
  <c r="F191" i="119"/>
  <c r="A191" i="119"/>
  <c r="F190" i="119"/>
  <c r="A190" i="119"/>
  <c r="F189" i="119"/>
  <c r="A189" i="119"/>
  <c r="F188" i="119"/>
  <c r="A188" i="119"/>
  <c r="F187" i="119"/>
  <c r="A187" i="119"/>
  <c r="F186" i="119"/>
  <c r="A186" i="119"/>
  <c r="F185" i="119"/>
  <c r="A185" i="119"/>
  <c r="F184" i="119"/>
  <c r="A184" i="119"/>
  <c r="F183" i="119"/>
  <c r="A183" i="119"/>
  <c r="F182" i="119"/>
  <c r="A182" i="119"/>
  <c r="F181" i="119"/>
  <c r="A181" i="119"/>
  <c r="F180" i="119"/>
  <c r="A180" i="119"/>
  <c r="F179" i="119"/>
  <c r="A179" i="119"/>
  <c r="F178" i="119"/>
  <c r="A178" i="119"/>
  <c r="F177" i="119"/>
  <c r="A177" i="119"/>
  <c r="F176" i="119"/>
  <c r="A176" i="119"/>
  <c r="F175" i="119"/>
  <c r="A175" i="119"/>
  <c r="F174" i="119"/>
  <c r="A174" i="119"/>
  <c r="F173" i="119"/>
  <c r="A173" i="119"/>
  <c r="F172" i="119"/>
  <c r="A172" i="119"/>
  <c r="F171" i="119"/>
  <c r="A171" i="119"/>
  <c r="F170" i="119"/>
  <c r="A170" i="119"/>
  <c r="F169" i="119"/>
  <c r="A169" i="119"/>
  <c r="F168" i="119"/>
  <c r="A168" i="119"/>
  <c r="F167" i="119"/>
  <c r="A167" i="119"/>
  <c r="F166" i="119"/>
  <c r="A166" i="119"/>
  <c r="F165" i="119"/>
  <c r="A165" i="119"/>
  <c r="F164" i="119"/>
  <c r="A164" i="119"/>
  <c r="F163" i="119"/>
  <c r="A163" i="119"/>
  <c r="F162" i="119"/>
  <c r="A162" i="119"/>
  <c r="F161" i="119"/>
  <c r="A161" i="119"/>
  <c r="L12" i="119"/>
  <c r="L19" i="119" s="1"/>
  <c r="G43" i="123" s="1"/>
  <c r="K12" i="119"/>
  <c r="K19" i="119" s="1"/>
  <c r="D43" i="123" s="1"/>
  <c r="J12" i="119"/>
  <c r="J19" i="119" s="1"/>
  <c r="L10" i="119"/>
  <c r="K10" i="119"/>
  <c r="J10" i="119"/>
  <c r="L7" i="119"/>
  <c r="K7" i="119"/>
  <c r="J7" i="119"/>
  <c r="L6" i="119"/>
  <c r="K6" i="119"/>
  <c r="J6" i="119"/>
  <c r="L5" i="119"/>
  <c r="K5" i="119"/>
  <c r="J5" i="119"/>
  <c r="L4" i="119"/>
  <c r="K4" i="119"/>
  <c r="J4" i="119"/>
  <c r="L3" i="119"/>
  <c r="L16" i="119" s="1"/>
  <c r="E43" i="123" s="1"/>
  <c r="K3" i="119"/>
  <c r="K16" i="119" s="1"/>
  <c r="B43" i="123" s="1"/>
  <c r="J3" i="119"/>
  <c r="J16" i="119" s="1"/>
  <c r="F339" i="118"/>
  <c r="A339" i="118"/>
  <c r="F338" i="118"/>
  <c r="A338" i="118"/>
  <c r="F337" i="118"/>
  <c r="A337" i="118"/>
  <c r="F336" i="118"/>
  <c r="A336" i="118"/>
  <c r="F335" i="118"/>
  <c r="A335" i="118"/>
  <c r="F334" i="118"/>
  <c r="A334" i="118"/>
  <c r="F333" i="118"/>
  <c r="A333" i="118"/>
  <c r="F332" i="118"/>
  <c r="A332" i="118"/>
  <c r="F331" i="118"/>
  <c r="A331" i="118"/>
  <c r="F330" i="118"/>
  <c r="A330" i="118"/>
  <c r="F329" i="118"/>
  <c r="A329" i="118"/>
  <c r="F328" i="118"/>
  <c r="A328" i="118"/>
  <c r="F327" i="118"/>
  <c r="A327" i="118"/>
  <c r="F326" i="118"/>
  <c r="A326" i="118"/>
  <c r="F325" i="118"/>
  <c r="A325" i="118"/>
  <c r="F324" i="118"/>
  <c r="A324" i="118"/>
  <c r="F323" i="118"/>
  <c r="A323" i="118"/>
  <c r="F322" i="118"/>
  <c r="A322" i="118"/>
  <c r="F321" i="118"/>
  <c r="A321" i="118"/>
  <c r="F320" i="118"/>
  <c r="A320" i="118"/>
  <c r="F319" i="118"/>
  <c r="A319" i="118"/>
  <c r="F318" i="118"/>
  <c r="A318" i="118"/>
  <c r="F317" i="118"/>
  <c r="A317" i="118"/>
  <c r="F316" i="118"/>
  <c r="A316" i="118"/>
  <c r="F315" i="118"/>
  <c r="A315" i="118"/>
  <c r="F314" i="118"/>
  <c r="A314" i="118"/>
  <c r="F313" i="118"/>
  <c r="A313" i="118"/>
  <c r="F312" i="118"/>
  <c r="A312" i="118"/>
  <c r="F311" i="118"/>
  <c r="A311" i="118"/>
  <c r="F310" i="118"/>
  <c r="A310" i="118"/>
  <c r="F309" i="118"/>
  <c r="A309" i="118"/>
  <c r="F308" i="118"/>
  <c r="A308" i="118"/>
  <c r="F307" i="118"/>
  <c r="A307" i="118"/>
  <c r="F306" i="118"/>
  <c r="A306" i="118"/>
  <c r="F305" i="118"/>
  <c r="A305" i="118"/>
  <c r="F304" i="118"/>
  <c r="A304" i="118"/>
  <c r="F303" i="118"/>
  <c r="A303" i="118"/>
  <c r="F302" i="118"/>
  <c r="A302" i="118"/>
  <c r="F301" i="118"/>
  <c r="A301" i="118"/>
  <c r="F300" i="118"/>
  <c r="A300" i="118"/>
  <c r="F299" i="118"/>
  <c r="A299" i="118"/>
  <c r="F298" i="118"/>
  <c r="A298" i="118"/>
  <c r="F297" i="118"/>
  <c r="A297" i="118"/>
  <c r="F296" i="118"/>
  <c r="A296" i="118"/>
  <c r="F295" i="118"/>
  <c r="A295" i="118"/>
  <c r="F294" i="118"/>
  <c r="A294" i="118"/>
  <c r="F293" i="118"/>
  <c r="A293" i="118"/>
  <c r="F292" i="118"/>
  <c r="A292" i="118"/>
  <c r="F291" i="118"/>
  <c r="A291" i="118"/>
  <c r="F290" i="118"/>
  <c r="A290" i="118"/>
  <c r="F289" i="118"/>
  <c r="A289" i="118"/>
  <c r="F288" i="118"/>
  <c r="A288" i="118"/>
  <c r="F287" i="118"/>
  <c r="A287" i="118"/>
  <c r="F286" i="118"/>
  <c r="A286" i="118"/>
  <c r="F285" i="118"/>
  <c r="A285" i="118"/>
  <c r="F284" i="118"/>
  <c r="A284" i="118"/>
  <c r="F283" i="118"/>
  <c r="A283" i="118"/>
  <c r="F282" i="118"/>
  <c r="A282" i="118"/>
  <c r="F281" i="118"/>
  <c r="A281" i="118"/>
  <c r="F280" i="118"/>
  <c r="A280" i="118"/>
  <c r="F279" i="118"/>
  <c r="A279" i="118"/>
  <c r="F278" i="118"/>
  <c r="A278" i="118"/>
  <c r="F277" i="118"/>
  <c r="A277" i="118"/>
  <c r="F276" i="118"/>
  <c r="A276" i="118"/>
  <c r="F275" i="118"/>
  <c r="A275" i="118"/>
  <c r="F274" i="118"/>
  <c r="A274" i="118"/>
  <c r="F273" i="118"/>
  <c r="A273" i="118"/>
  <c r="F272" i="118"/>
  <c r="A272" i="118"/>
  <c r="F271" i="118"/>
  <c r="A271" i="118"/>
  <c r="F270" i="118"/>
  <c r="A270" i="118"/>
  <c r="F269" i="118"/>
  <c r="A269" i="118"/>
  <c r="F268" i="118"/>
  <c r="A268" i="118"/>
  <c r="F267" i="118"/>
  <c r="A267" i="118"/>
  <c r="F266" i="118"/>
  <c r="A266" i="118"/>
  <c r="F265" i="118"/>
  <c r="A265" i="118"/>
  <c r="F264" i="118"/>
  <c r="A264" i="118"/>
  <c r="F263" i="118"/>
  <c r="A263" i="118"/>
  <c r="F262" i="118"/>
  <c r="A262" i="118"/>
  <c r="F261" i="118"/>
  <c r="A261" i="118"/>
  <c r="F260" i="118"/>
  <c r="A260" i="118"/>
  <c r="F259" i="118"/>
  <c r="A259" i="118"/>
  <c r="F258" i="118"/>
  <c r="A258" i="118"/>
  <c r="F257" i="118"/>
  <c r="A257" i="118"/>
  <c r="F256" i="118"/>
  <c r="A256" i="118"/>
  <c r="F255" i="118"/>
  <c r="A255" i="118"/>
  <c r="F254" i="118"/>
  <c r="A254" i="118"/>
  <c r="F253" i="118"/>
  <c r="A253" i="118"/>
  <c r="F252" i="118"/>
  <c r="A252" i="118"/>
  <c r="F251" i="118"/>
  <c r="A251" i="118"/>
  <c r="F250" i="118"/>
  <c r="A250" i="118"/>
  <c r="F249" i="118"/>
  <c r="A249" i="118"/>
  <c r="F248" i="118"/>
  <c r="A248" i="118"/>
  <c r="F247" i="118"/>
  <c r="A247" i="118"/>
  <c r="F246" i="118"/>
  <c r="A246" i="118"/>
  <c r="F245" i="118"/>
  <c r="A245" i="118"/>
  <c r="F244" i="118"/>
  <c r="A244" i="118"/>
  <c r="F243" i="118"/>
  <c r="A243" i="118"/>
  <c r="F242" i="118"/>
  <c r="A242" i="118"/>
  <c r="F241" i="118"/>
  <c r="A241" i="118"/>
  <c r="F240" i="118"/>
  <c r="A240" i="118"/>
  <c r="F239" i="118"/>
  <c r="A239" i="118"/>
  <c r="F238" i="118"/>
  <c r="A238" i="118"/>
  <c r="F237" i="118"/>
  <c r="A237" i="118"/>
  <c r="F236" i="118"/>
  <c r="A236" i="118"/>
  <c r="F235" i="118"/>
  <c r="A235" i="118"/>
  <c r="F234" i="118"/>
  <c r="A234" i="118"/>
  <c r="F233" i="118"/>
  <c r="A233" i="118"/>
  <c r="F232" i="118"/>
  <c r="A232" i="118"/>
  <c r="F231" i="118"/>
  <c r="A231" i="118"/>
  <c r="F230" i="118"/>
  <c r="A230" i="118"/>
  <c r="F229" i="118"/>
  <c r="A229" i="118"/>
  <c r="F228" i="118"/>
  <c r="A228" i="118"/>
  <c r="F227" i="118"/>
  <c r="A227" i="118"/>
  <c r="F226" i="118"/>
  <c r="A226" i="118"/>
  <c r="F225" i="118"/>
  <c r="A225" i="118"/>
  <c r="F224" i="118"/>
  <c r="A224" i="118"/>
  <c r="F223" i="118"/>
  <c r="A223" i="118"/>
  <c r="F222" i="118"/>
  <c r="A222" i="118"/>
  <c r="F221" i="118"/>
  <c r="A221" i="118"/>
  <c r="F220" i="118"/>
  <c r="A220" i="118"/>
  <c r="F219" i="118"/>
  <c r="A219" i="118"/>
  <c r="F218" i="118"/>
  <c r="A218" i="118"/>
  <c r="F217" i="118"/>
  <c r="A217" i="118"/>
  <c r="F216" i="118"/>
  <c r="A216" i="118"/>
  <c r="F215" i="118"/>
  <c r="A215" i="118"/>
  <c r="F214" i="118"/>
  <c r="A214" i="118"/>
  <c r="F213" i="118"/>
  <c r="A213" i="118"/>
  <c r="F212" i="118"/>
  <c r="A212" i="118"/>
  <c r="F211" i="118"/>
  <c r="A211" i="118"/>
  <c r="F210" i="118"/>
  <c r="A210" i="118"/>
  <c r="F209" i="118"/>
  <c r="A209" i="118"/>
  <c r="F208" i="118"/>
  <c r="A208" i="118"/>
  <c r="F207" i="118"/>
  <c r="A207" i="118"/>
  <c r="F206" i="118"/>
  <c r="A206" i="118"/>
  <c r="F205" i="118"/>
  <c r="A205" i="118"/>
  <c r="F204" i="118"/>
  <c r="A204" i="118"/>
  <c r="F203" i="118"/>
  <c r="A203" i="118"/>
  <c r="F202" i="118"/>
  <c r="A202" i="118"/>
  <c r="F201" i="118"/>
  <c r="A201" i="118"/>
  <c r="F200" i="118"/>
  <c r="A200" i="118"/>
  <c r="F199" i="118"/>
  <c r="A199" i="118"/>
  <c r="F198" i="118"/>
  <c r="A198" i="118"/>
  <c r="F197" i="118"/>
  <c r="A197" i="118"/>
  <c r="F196" i="118"/>
  <c r="A196" i="118"/>
  <c r="F195" i="118"/>
  <c r="A195" i="118"/>
  <c r="F194" i="118"/>
  <c r="A194" i="118"/>
  <c r="F193" i="118"/>
  <c r="A193" i="118"/>
  <c r="F192" i="118"/>
  <c r="A192" i="118"/>
  <c r="F191" i="118"/>
  <c r="A191" i="118"/>
  <c r="F190" i="118"/>
  <c r="A190" i="118"/>
  <c r="F189" i="118"/>
  <c r="A189" i="118"/>
  <c r="F188" i="118"/>
  <c r="A188" i="118"/>
  <c r="F187" i="118"/>
  <c r="A187" i="118"/>
  <c r="F186" i="118"/>
  <c r="A186" i="118"/>
  <c r="F185" i="118"/>
  <c r="A185" i="118"/>
  <c r="F184" i="118"/>
  <c r="A184" i="118"/>
  <c r="F183" i="118"/>
  <c r="A183" i="118"/>
  <c r="F182" i="118"/>
  <c r="A182" i="118"/>
  <c r="F181" i="118"/>
  <c r="A181" i="118"/>
  <c r="F180" i="118"/>
  <c r="A180" i="118"/>
  <c r="F179" i="118"/>
  <c r="A179" i="118"/>
  <c r="F178" i="118"/>
  <c r="A178" i="118"/>
  <c r="F177" i="118"/>
  <c r="A177" i="118"/>
  <c r="F176" i="118"/>
  <c r="A176" i="118"/>
  <c r="F175" i="118"/>
  <c r="A175" i="118"/>
  <c r="F174" i="118"/>
  <c r="A174" i="118"/>
  <c r="F173" i="118"/>
  <c r="A173" i="118"/>
  <c r="F172" i="118"/>
  <c r="A172" i="118"/>
  <c r="F171" i="118"/>
  <c r="A171" i="118"/>
  <c r="F170" i="118"/>
  <c r="A170" i="118"/>
  <c r="F169" i="118"/>
  <c r="A169" i="118"/>
  <c r="F168" i="118"/>
  <c r="A168" i="118"/>
  <c r="F167" i="118"/>
  <c r="A167" i="118"/>
  <c r="F166" i="118"/>
  <c r="A166" i="118"/>
  <c r="F165" i="118"/>
  <c r="A165" i="118"/>
  <c r="F164" i="118"/>
  <c r="A164" i="118"/>
  <c r="F163" i="118"/>
  <c r="A163" i="118"/>
  <c r="F162" i="118"/>
  <c r="A162" i="118"/>
  <c r="F161" i="118"/>
  <c r="A161" i="118"/>
  <c r="L8" i="118"/>
  <c r="J8" i="118"/>
  <c r="L12" i="118"/>
  <c r="L19" i="118" s="1"/>
  <c r="G42" i="123" s="1"/>
  <c r="K12" i="118"/>
  <c r="K19" i="118" s="1"/>
  <c r="D42" i="123" s="1"/>
  <c r="J12" i="118"/>
  <c r="J19" i="118" s="1"/>
  <c r="L10" i="118"/>
  <c r="K10" i="118"/>
  <c r="J10" i="118"/>
  <c r="L7" i="118"/>
  <c r="K7" i="118"/>
  <c r="J7" i="118"/>
  <c r="L6" i="118"/>
  <c r="K6" i="118"/>
  <c r="J6" i="118"/>
  <c r="L5" i="118"/>
  <c r="K5" i="118"/>
  <c r="J5" i="118"/>
  <c r="L4" i="118"/>
  <c r="K4" i="118"/>
  <c r="J4" i="118"/>
  <c r="L3" i="118"/>
  <c r="L16" i="118" s="1"/>
  <c r="E42" i="123" s="1"/>
  <c r="K3" i="118"/>
  <c r="K16" i="118" s="1"/>
  <c r="B42" i="123" s="1"/>
  <c r="J3" i="118"/>
  <c r="J16" i="118" s="1"/>
  <c r="F339" i="116"/>
  <c r="A339" i="116"/>
  <c r="F338" i="116"/>
  <c r="A338" i="116"/>
  <c r="F337" i="116"/>
  <c r="A337" i="116"/>
  <c r="F336" i="116"/>
  <c r="A336" i="116"/>
  <c r="F335" i="116"/>
  <c r="A335" i="116"/>
  <c r="F334" i="116"/>
  <c r="A334" i="116"/>
  <c r="F333" i="116"/>
  <c r="A333" i="116"/>
  <c r="F332" i="116"/>
  <c r="A332" i="116"/>
  <c r="F331" i="116"/>
  <c r="A331" i="116"/>
  <c r="F330" i="116"/>
  <c r="A330" i="116"/>
  <c r="F329" i="116"/>
  <c r="A329" i="116"/>
  <c r="F328" i="116"/>
  <c r="A328" i="116"/>
  <c r="F327" i="116"/>
  <c r="A327" i="116"/>
  <c r="F326" i="116"/>
  <c r="A326" i="116"/>
  <c r="F325" i="116"/>
  <c r="A325" i="116"/>
  <c r="F324" i="116"/>
  <c r="A324" i="116"/>
  <c r="F323" i="116"/>
  <c r="A323" i="116"/>
  <c r="F322" i="116"/>
  <c r="A322" i="116"/>
  <c r="F321" i="116"/>
  <c r="A321" i="116"/>
  <c r="F320" i="116"/>
  <c r="A320" i="116"/>
  <c r="F319" i="116"/>
  <c r="A319" i="116"/>
  <c r="F318" i="116"/>
  <c r="A318" i="116"/>
  <c r="F317" i="116"/>
  <c r="A317" i="116"/>
  <c r="F316" i="116"/>
  <c r="A316" i="116"/>
  <c r="F315" i="116"/>
  <c r="A315" i="116"/>
  <c r="F314" i="116"/>
  <c r="A314" i="116"/>
  <c r="F313" i="116"/>
  <c r="A313" i="116"/>
  <c r="F312" i="116"/>
  <c r="A312" i="116"/>
  <c r="F311" i="116"/>
  <c r="A311" i="116"/>
  <c r="F310" i="116"/>
  <c r="A310" i="116"/>
  <c r="F309" i="116"/>
  <c r="A309" i="116"/>
  <c r="F308" i="116"/>
  <c r="A308" i="116"/>
  <c r="F307" i="116"/>
  <c r="A307" i="116"/>
  <c r="F306" i="116"/>
  <c r="A306" i="116"/>
  <c r="F305" i="116"/>
  <c r="A305" i="116"/>
  <c r="F304" i="116"/>
  <c r="A304" i="116"/>
  <c r="F303" i="116"/>
  <c r="A303" i="116"/>
  <c r="F302" i="116"/>
  <c r="A302" i="116"/>
  <c r="F301" i="116"/>
  <c r="A301" i="116"/>
  <c r="F300" i="116"/>
  <c r="A300" i="116"/>
  <c r="F299" i="116"/>
  <c r="A299" i="116"/>
  <c r="F298" i="116"/>
  <c r="A298" i="116"/>
  <c r="F297" i="116"/>
  <c r="A297" i="116"/>
  <c r="F296" i="116"/>
  <c r="A296" i="116"/>
  <c r="F295" i="116"/>
  <c r="A295" i="116"/>
  <c r="F294" i="116"/>
  <c r="A294" i="116"/>
  <c r="F293" i="116"/>
  <c r="A293" i="116"/>
  <c r="F292" i="116"/>
  <c r="A292" i="116"/>
  <c r="F291" i="116"/>
  <c r="A291" i="116"/>
  <c r="F290" i="116"/>
  <c r="A290" i="116"/>
  <c r="F289" i="116"/>
  <c r="A289" i="116"/>
  <c r="F288" i="116"/>
  <c r="A288" i="116"/>
  <c r="F287" i="116"/>
  <c r="A287" i="116"/>
  <c r="F286" i="116"/>
  <c r="A286" i="116"/>
  <c r="F285" i="116"/>
  <c r="A285" i="116"/>
  <c r="F284" i="116"/>
  <c r="A284" i="116"/>
  <c r="F283" i="116"/>
  <c r="A283" i="116"/>
  <c r="F282" i="116"/>
  <c r="A282" i="116"/>
  <c r="F281" i="116"/>
  <c r="A281" i="116"/>
  <c r="F280" i="116"/>
  <c r="A280" i="116"/>
  <c r="F279" i="116"/>
  <c r="A279" i="116"/>
  <c r="F278" i="116"/>
  <c r="A278" i="116"/>
  <c r="F277" i="116"/>
  <c r="A277" i="116"/>
  <c r="F276" i="116"/>
  <c r="A276" i="116"/>
  <c r="F275" i="116"/>
  <c r="A275" i="116"/>
  <c r="F274" i="116"/>
  <c r="A274" i="116"/>
  <c r="F273" i="116"/>
  <c r="A273" i="116"/>
  <c r="F272" i="116"/>
  <c r="A272" i="116"/>
  <c r="F271" i="116"/>
  <c r="A271" i="116"/>
  <c r="F270" i="116"/>
  <c r="A270" i="116"/>
  <c r="F269" i="116"/>
  <c r="A269" i="116"/>
  <c r="F268" i="116"/>
  <c r="A268" i="116"/>
  <c r="F267" i="116"/>
  <c r="A267" i="116"/>
  <c r="F266" i="116"/>
  <c r="A266" i="116"/>
  <c r="F265" i="116"/>
  <c r="A265" i="116"/>
  <c r="F264" i="116"/>
  <c r="A264" i="116"/>
  <c r="F263" i="116"/>
  <c r="A263" i="116"/>
  <c r="F262" i="116"/>
  <c r="A262" i="116"/>
  <c r="F261" i="116"/>
  <c r="A261" i="116"/>
  <c r="F260" i="116"/>
  <c r="A260" i="116"/>
  <c r="F259" i="116"/>
  <c r="A259" i="116"/>
  <c r="F258" i="116"/>
  <c r="A258" i="116"/>
  <c r="F257" i="116"/>
  <c r="A257" i="116"/>
  <c r="F256" i="116"/>
  <c r="A256" i="116"/>
  <c r="F255" i="116"/>
  <c r="A255" i="116"/>
  <c r="F254" i="116"/>
  <c r="A254" i="116"/>
  <c r="F253" i="116"/>
  <c r="A253" i="116"/>
  <c r="F252" i="116"/>
  <c r="A252" i="116"/>
  <c r="F251" i="116"/>
  <c r="A251" i="116"/>
  <c r="F250" i="116"/>
  <c r="A250" i="116"/>
  <c r="F249" i="116"/>
  <c r="A249" i="116"/>
  <c r="F248" i="116"/>
  <c r="A248" i="116"/>
  <c r="F247" i="116"/>
  <c r="A247" i="116"/>
  <c r="F246" i="116"/>
  <c r="A246" i="116"/>
  <c r="F245" i="116"/>
  <c r="A245" i="116"/>
  <c r="F244" i="116"/>
  <c r="A244" i="116"/>
  <c r="F243" i="116"/>
  <c r="A243" i="116"/>
  <c r="F242" i="116"/>
  <c r="A242" i="116"/>
  <c r="F241" i="116"/>
  <c r="A241" i="116"/>
  <c r="F240" i="116"/>
  <c r="A240" i="116"/>
  <c r="F239" i="116"/>
  <c r="A239" i="116"/>
  <c r="F238" i="116"/>
  <c r="A238" i="116"/>
  <c r="F237" i="116"/>
  <c r="A237" i="116"/>
  <c r="F236" i="116"/>
  <c r="A236" i="116"/>
  <c r="F235" i="116"/>
  <c r="A235" i="116"/>
  <c r="F234" i="116"/>
  <c r="A234" i="116"/>
  <c r="F233" i="116"/>
  <c r="A233" i="116"/>
  <c r="F232" i="116"/>
  <c r="A232" i="116"/>
  <c r="F231" i="116"/>
  <c r="A231" i="116"/>
  <c r="F230" i="116"/>
  <c r="A230" i="116"/>
  <c r="F229" i="116"/>
  <c r="A229" i="116"/>
  <c r="F228" i="116"/>
  <c r="A228" i="116"/>
  <c r="F227" i="116"/>
  <c r="A227" i="116"/>
  <c r="F226" i="116"/>
  <c r="A226" i="116"/>
  <c r="F225" i="116"/>
  <c r="A225" i="116"/>
  <c r="F224" i="116"/>
  <c r="A224" i="116"/>
  <c r="F223" i="116"/>
  <c r="A223" i="116"/>
  <c r="F222" i="116"/>
  <c r="A222" i="116"/>
  <c r="F221" i="116"/>
  <c r="A221" i="116"/>
  <c r="F220" i="116"/>
  <c r="A220" i="116"/>
  <c r="F219" i="116"/>
  <c r="A219" i="116"/>
  <c r="F218" i="116"/>
  <c r="A218" i="116"/>
  <c r="F217" i="116"/>
  <c r="A217" i="116"/>
  <c r="F216" i="116"/>
  <c r="A216" i="116"/>
  <c r="F215" i="116"/>
  <c r="A215" i="116"/>
  <c r="F214" i="116"/>
  <c r="A214" i="116"/>
  <c r="F213" i="116"/>
  <c r="A213" i="116"/>
  <c r="F212" i="116"/>
  <c r="A212" i="116"/>
  <c r="F211" i="116"/>
  <c r="A211" i="116"/>
  <c r="F210" i="116"/>
  <c r="A210" i="116"/>
  <c r="F209" i="116"/>
  <c r="A209" i="116"/>
  <c r="F208" i="116"/>
  <c r="A208" i="116"/>
  <c r="F207" i="116"/>
  <c r="A207" i="116"/>
  <c r="F206" i="116"/>
  <c r="A206" i="116"/>
  <c r="F205" i="116"/>
  <c r="A205" i="116"/>
  <c r="F204" i="116"/>
  <c r="A204" i="116"/>
  <c r="F203" i="116"/>
  <c r="A203" i="116"/>
  <c r="F202" i="116"/>
  <c r="A202" i="116"/>
  <c r="F201" i="116"/>
  <c r="A201" i="116"/>
  <c r="F200" i="116"/>
  <c r="A200" i="116"/>
  <c r="F199" i="116"/>
  <c r="A199" i="116"/>
  <c r="F198" i="116"/>
  <c r="A198" i="116"/>
  <c r="F197" i="116"/>
  <c r="A197" i="116"/>
  <c r="F196" i="116"/>
  <c r="A196" i="116"/>
  <c r="F195" i="116"/>
  <c r="A195" i="116"/>
  <c r="F194" i="116"/>
  <c r="A194" i="116"/>
  <c r="F193" i="116"/>
  <c r="A193" i="116"/>
  <c r="F192" i="116"/>
  <c r="A192" i="116"/>
  <c r="F191" i="116"/>
  <c r="A191" i="116"/>
  <c r="F190" i="116"/>
  <c r="A190" i="116"/>
  <c r="F189" i="116"/>
  <c r="A189" i="116"/>
  <c r="F188" i="116"/>
  <c r="A188" i="116"/>
  <c r="F187" i="116"/>
  <c r="A187" i="116"/>
  <c r="F186" i="116"/>
  <c r="A186" i="116"/>
  <c r="F185" i="116"/>
  <c r="A185" i="116"/>
  <c r="F184" i="116"/>
  <c r="A184" i="116"/>
  <c r="F183" i="116"/>
  <c r="A183" i="116"/>
  <c r="F182" i="116"/>
  <c r="A182" i="116"/>
  <c r="F181" i="116"/>
  <c r="A181" i="116"/>
  <c r="F180" i="116"/>
  <c r="A180" i="116"/>
  <c r="F179" i="116"/>
  <c r="A179" i="116"/>
  <c r="F178" i="116"/>
  <c r="A178" i="116"/>
  <c r="F177" i="116"/>
  <c r="A177" i="116"/>
  <c r="F176" i="116"/>
  <c r="A176" i="116"/>
  <c r="F175" i="116"/>
  <c r="A175" i="116"/>
  <c r="F174" i="116"/>
  <c r="A174" i="116"/>
  <c r="F173" i="116"/>
  <c r="A173" i="116"/>
  <c r="F172" i="116"/>
  <c r="A172" i="116"/>
  <c r="F171" i="116"/>
  <c r="A171" i="116"/>
  <c r="F170" i="116"/>
  <c r="A170" i="116"/>
  <c r="F169" i="116"/>
  <c r="A169" i="116"/>
  <c r="F168" i="116"/>
  <c r="A168" i="116"/>
  <c r="F167" i="116"/>
  <c r="A167" i="116"/>
  <c r="F166" i="116"/>
  <c r="A166" i="116"/>
  <c r="F165" i="116"/>
  <c r="A165" i="116"/>
  <c r="F164" i="116"/>
  <c r="A164" i="116"/>
  <c r="F163" i="116"/>
  <c r="A163" i="116"/>
  <c r="F162" i="116"/>
  <c r="A162" i="116"/>
  <c r="F161" i="116"/>
  <c r="A161" i="116"/>
  <c r="H160" i="116"/>
  <c r="G160" i="116"/>
  <c r="F160" i="116"/>
  <c r="A160" i="116"/>
  <c r="H159" i="116"/>
  <c r="G159" i="116"/>
  <c r="F159" i="116"/>
  <c r="A159" i="116"/>
  <c r="H158" i="116"/>
  <c r="G158" i="116"/>
  <c r="F158" i="116"/>
  <c r="A158" i="116"/>
  <c r="H157" i="116"/>
  <c r="G157" i="116"/>
  <c r="F157" i="116"/>
  <c r="A157" i="116"/>
  <c r="H156" i="116"/>
  <c r="G156" i="116"/>
  <c r="F156" i="116"/>
  <c r="A156" i="116"/>
  <c r="H155" i="116"/>
  <c r="G155" i="116"/>
  <c r="F155" i="116"/>
  <c r="A155" i="116"/>
  <c r="H154" i="116"/>
  <c r="G154" i="116"/>
  <c r="F154" i="116"/>
  <c r="A154" i="116"/>
  <c r="H153" i="116"/>
  <c r="G153" i="116"/>
  <c r="F153" i="116"/>
  <c r="A153" i="116"/>
  <c r="H152" i="116"/>
  <c r="G152" i="116"/>
  <c r="F152" i="116"/>
  <c r="A152" i="116"/>
  <c r="H151" i="116"/>
  <c r="G151" i="116"/>
  <c r="F151" i="116"/>
  <c r="A151" i="116"/>
  <c r="H150" i="116"/>
  <c r="G150" i="116"/>
  <c r="F150" i="116"/>
  <c r="A150" i="116"/>
  <c r="H149" i="116"/>
  <c r="G149" i="116"/>
  <c r="F149" i="116"/>
  <c r="A149" i="116"/>
  <c r="H148" i="116"/>
  <c r="G148" i="116"/>
  <c r="F148" i="116"/>
  <c r="A148" i="116"/>
  <c r="H147" i="116"/>
  <c r="G147" i="116"/>
  <c r="F147" i="116"/>
  <c r="A147" i="116"/>
  <c r="H146" i="116"/>
  <c r="G146" i="116"/>
  <c r="F146" i="116"/>
  <c r="A146" i="116"/>
  <c r="H145" i="116"/>
  <c r="G145" i="116"/>
  <c r="F145" i="116"/>
  <c r="A145" i="116"/>
  <c r="H144" i="116"/>
  <c r="G144" i="116"/>
  <c r="F144" i="116"/>
  <c r="A144" i="116"/>
  <c r="H143" i="116"/>
  <c r="G143" i="116"/>
  <c r="F143" i="116"/>
  <c r="A143" i="116"/>
  <c r="H142" i="116"/>
  <c r="G142" i="116"/>
  <c r="F142" i="116"/>
  <c r="A142" i="116"/>
  <c r="H141" i="116"/>
  <c r="G141" i="116"/>
  <c r="F141" i="116"/>
  <c r="A141" i="116"/>
  <c r="H140" i="116"/>
  <c r="G140" i="116"/>
  <c r="F140" i="116"/>
  <c r="A140" i="116"/>
  <c r="H139" i="116"/>
  <c r="G139" i="116"/>
  <c r="F139" i="116"/>
  <c r="A139" i="116"/>
  <c r="H138" i="116"/>
  <c r="G138" i="116"/>
  <c r="F138" i="116"/>
  <c r="A138" i="116"/>
  <c r="H137" i="116"/>
  <c r="G137" i="116"/>
  <c r="F137" i="116"/>
  <c r="A137" i="116"/>
  <c r="H136" i="116"/>
  <c r="G136" i="116"/>
  <c r="F136" i="116"/>
  <c r="A136" i="116"/>
  <c r="H135" i="116"/>
  <c r="G135" i="116"/>
  <c r="F135" i="116"/>
  <c r="A135" i="116"/>
  <c r="H134" i="116"/>
  <c r="G134" i="116"/>
  <c r="F134" i="116"/>
  <c r="A134" i="116"/>
  <c r="H133" i="116"/>
  <c r="G133" i="116"/>
  <c r="F133" i="116"/>
  <c r="A133" i="116"/>
  <c r="H132" i="116"/>
  <c r="G132" i="116"/>
  <c r="F132" i="116"/>
  <c r="A132" i="116"/>
  <c r="H131" i="116"/>
  <c r="G131" i="116"/>
  <c r="F131" i="116"/>
  <c r="A131" i="116"/>
  <c r="H130" i="116"/>
  <c r="G130" i="116"/>
  <c r="F130" i="116"/>
  <c r="A130" i="116"/>
  <c r="H129" i="116"/>
  <c r="G129" i="116"/>
  <c r="F129" i="116"/>
  <c r="A129" i="116"/>
  <c r="H128" i="116"/>
  <c r="G128" i="116"/>
  <c r="F128" i="116"/>
  <c r="A128" i="116"/>
  <c r="H127" i="116"/>
  <c r="G127" i="116"/>
  <c r="F127" i="116"/>
  <c r="A127" i="116"/>
  <c r="H126" i="116"/>
  <c r="G126" i="116"/>
  <c r="F126" i="116"/>
  <c r="A126" i="116"/>
  <c r="H125" i="116"/>
  <c r="G125" i="116"/>
  <c r="F125" i="116"/>
  <c r="A125" i="116"/>
  <c r="H124" i="116"/>
  <c r="G124" i="116"/>
  <c r="F124" i="116"/>
  <c r="A124" i="116"/>
  <c r="H123" i="116"/>
  <c r="G123" i="116"/>
  <c r="F123" i="116"/>
  <c r="A123" i="116"/>
  <c r="H122" i="116"/>
  <c r="G122" i="116"/>
  <c r="F122" i="116"/>
  <c r="A122" i="116"/>
  <c r="H121" i="116"/>
  <c r="G121" i="116"/>
  <c r="F121" i="116"/>
  <c r="A121" i="116"/>
  <c r="H120" i="116"/>
  <c r="G120" i="116"/>
  <c r="F120" i="116"/>
  <c r="A120" i="116"/>
  <c r="H119" i="116"/>
  <c r="G119" i="116"/>
  <c r="F119" i="116"/>
  <c r="A119" i="116"/>
  <c r="H118" i="116"/>
  <c r="G118" i="116"/>
  <c r="F118" i="116"/>
  <c r="A118" i="116"/>
  <c r="H117" i="116"/>
  <c r="G117" i="116"/>
  <c r="F117" i="116"/>
  <c r="A117" i="116"/>
  <c r="H116" i="116"/>
  <c r="G116" i="116"/>
  <c r="F116" i="116"/>
  <c r="A116" i="116"/>
  <c r="H115" i="116"/>
  <c r="G115" i="116"/>
  <c r="F115" i="116"/>
  <c r="A115" i="116"/>
  <c r="H114" i="116"/>
  <c r="G114" i="116"/>
  <c r="F114" i="116"/>
  <c r="A114" i="116"/>
  <c r="H113" i="116"/>
  <c r="G113" i="116"/>
  <c r="F113" i="116"/>
  <c r="A113" i="116"/>
  <c r="H112" i="116"/>
  <c r="G112" i="116"/>
  <c r="F112" i="116"/>
  <c r="A112" i="116"/>
  <c r="H111" i="116"/>
  <c r="G111" i="116"/>
  <c r="F111" i="116"/>
  <c r="A111" i="116"/>
  <c r="H110" i="116"/>
  <c r="G110" i="116"/>
  <c r="F110" i="116"/>
  <c r="A110" i="116"/>
  <c r="H109" i="116"/>
  <c r="G109" i="116"/>
  <c r="F109" i="116"/>
  <c r="A109" i="116"/>
  <c r="H108" i="116"/>
  <c r="G108" i="116"/>
  <c r="F108" i="116"/>
  <c r="A108" i="116"/>
  <c r="H107" i="116"/>
  <c r="G107" i="116"/>
  <c r="F107" i="116"/>
  <c r="A107" i="116"/>
  <c r="H106" i="116"/>
  <c r="G106" i="116"/>
  <c r="F106" i="116"/>
  <c r="A106" i="116"/>
  <c r="H105" i="116"/>
  <c r="G105" i="116"/>
  <c r="F105" i="116"/>
  <c r="A105" i="116"/>
  <c r="H104" i="116"/>
  <c r="G104" i="116"/>
  <c r="F104" i="116"/>
  <c r="A104" i="116"/>
  <c r="H103" i="116"/>
  <c r="G103" i="116"/>
  <c r="F103" i="116"/>
  <c r="A103" i="116"/>
  <c r="H102" i="116"/>
  <c r="G102" i="116"/>
  <c r="F102" i="116"/>
  <c r="A102" i="116"/>
  <c r="H101" i="116"/>
  <c r="G101" i="116"/>
  <c r="F101" i="116"/>
  <c r="A101" i="116"/>
  <c r="H100" i="116"/>
  <c r="G100" i="116"/>
  <c r="F100" i="116"/>
  <c r="A100" i="116"/>
  <c r="H99" i="116"/>
  <c r="G99" i="116"/>
  <c r="F99" i="116"/>
  <c r="A99" i="116"/>
  <c r="H98" i="116"/>
  <c r="G98" i="116"/>
  <c r="F98" i="116"/>
  <c r="A98" i="116"/>
  <c r="H97" i="116"/>
  <c r="G97" i="116"/>
  <c r="F97" i="116"/>
  <c r="A97" i="116"/>
  <c r="H96" i="116"/>
  <c r="G96" i="116"/>
  <c r="F96" i="116"/>
  <c r="A96" i="116"/>
  <c r="H95" i="116"/>
  <c r="G95" i="116"/>
  <c r="F95" i="116"/>
  <c r="A95" i="116"/>
  <c r="H94" i="116"/>
  <c r="G94" i="116"/>
  <c r="F94" i="116"/>
  <c r="A94" i="116"/>
  <c r="H93" i="116"/>
  <c r="G93" i="116"/>
  <c r="F93" i="116"/>
  <c r="A93" i="116"/>
  <c r="H92" i="116"/>
  <c r="G92" i="116"/>
  <c r="F92" i="116"/>
  <c r="A92" i="116"/>
  <c r="H91" i="116"/>
  <c r="G91" i="116"/>
  <c r="F91" i="116"/>
  <c r="A91" i="116"/>
  <c r="H90" i="116"/>
  <c r="G90" i="116"/>
  <c r="F90" i="116"/>
  <c r="A90" i="116"/>
  <c r="H89" i="116"/>
  <c r="G89" i="116"/>
  <c r="F89" i="116"/>
  <c r="A89" i="116"/>
  <c r="H88" i="116"/>
  <c r="G88" i="116"/>
  <c r="F88" i="116"/>
  <c r="A88" i="116"/>
  <c r="H87" i="116"/>
  <c r="G87" i="116"/>
  <c r="F87" i="116"/>
  <c r="A87" i="116"/>
  <c r="H86" i="116"/>
  <c r="G86" i="116"/>
  <c r="F86" i="116"/>
  <c r="A86" i="116"/>
  <c r="H85" i="116"/>
  <c r="G85" i="116"/>
  <c r="F85" i="116"/>
  <c r="A85" i="116"/>
  <c r="H84" i="116"/>
  <c r="G84" i="116"/>
  <c r="F84" i="116"/>
  <c r="A84" i="116"/>
  <c r="H83" i="116"/>
  <c r="G83" i="116"/>
  <c r="F83" i="116"/>
  <c r="A83" i="116"/>
  <c r="H82" i="116"/>
  <c r="G82" i="116"/>
  <c r="F82" i="116"/>
  <c r="A82" i="116"/>
  <c r="H81" i="116"/>
  <c r="G81" i="116"/>
  <c r="F81" i="116"/>
  <c r="A81" i="116"/>
  <c r="H80" i="116"/>
  <c r="G80" i="116"/>
  <c r="F80" i="116"/>
  <c r="A80" i="116"/>
  <c r="H79" i="116"/>
  <c r="G79" i="116"/>
  <c r="F79" i="116"/>
  <c r="A79" i="116"/>
  <c r="H78" i="116"/>
  <c r="G78" i="116"/>
  <c r="F78" i="116"/>
  <c r="A78" i="116"/>
  <c r="H77" i="116"/>
  <c r="G77" i="116"/>
  <c r="F77" i="116"/>
  <c r="A77" i="116"/>
  <c r="H76" i="116"/>
  <c r="G76" i="116"/>
  <c r="F76" i="116"/>
  <c r="A76" i="116"/>
  <c r="H75" i="116"/>
  <c r="G75" i="116"/>
  <c r="F75" i="116"/>
  <c r="A75" i="116"/>
  <c r="H74" i="116"/>
  <c r="G74" i="116"/>
  <c r="F74" i="116"/>
  <c r="A74" i="116"/>
  <c r="H73" i="116"/>
  <c r="G73" i="116"/>
  <c r="F73" i="116"/>
  <c r="A73" i="116"/>
  <c r="H72" i="116"/>
  <c r="G72" i="116"/>
  <c r="F72" i="116"/>
  <c r="A72" i="116"/>
  <c r="H71" i="116"/>
  <c r="G71" i="116"/>
  <c r="F71" i="116"/>
  <c r="A71" i="116"/>
  <c r="H70" i="116"/>
  <c r="G70" i="116"/>
  <c r="F70" i="116"/>
  <c r="A70" i="116"/>
  <c r="H69" i="116"/>
  <c r="G69" i="116"/>
  <c r="F69" i="116"/>
  <c r="A69" i="116"/>
  <c r="H68" i="116"/>
  <c r="G68" i="116"/>
  <c r="F68" i="116"/>
  <c r="A68" i="116"/>
  <c r="H67" i="116"/>
  <c r="G67" i="116"/>
  <c r="F67" i="116"/>
  <c r="A67" i="116"/>
  <c r="H66" i="116"/>
  <c r="G66" i="116"/>
  <c r="F66" i="116"/>
  <c r="A66" i="116"/>
  <c r="H65" i="116"/>
  <c r="G65" i="116"/>
  <c r="F65" i="116"/>
  <c r="A65" i="116"/>
  <c r="H64" i="116"/>
  <c r="G64" i="116"/>
  <c r="F64" i="116"/>
  <c r="A64" i="116"/>
  <c r="H63" i="116"/>
  <c r="G63" i="116"/>
  <c r="F63" i="116"/>
  <c r="A63" i="116"/>
  <c r="H62" i="116"/>
  <c r="G62" i="116"/>
  <c r="F62" i="116"/>
  <c r="A62" i="116"/>
  <c r="H61" i="116"/>
  <c r="G61" i="116"/>
  <c r="F61" i="116"/>
  <c r="A61" i="116"/>
  <c r="H60" i="116"/>
  <c r="G60" i="116"/>
  <c r="F60" i="116"/>
  <c r="A60" i="116"/>
  <c r="H59" i="116"/>
  <c r="G59" i="116"/>
  <c r="F59" i="116"/>
  <c r="A59" i="116"/>
  <c r="H58" i="116"/>
  <c r="G58" i="116"/>
  <c r="F58" i="116"/>
  <c r="A58" i="116"/>
  <c r="H57" i="116"/>
  <c r="G57" i="116"/>
  <c r="F57" i="116"/>
  <c r="A57" i="116"/>
  <c r="H56" i="116"/>
  <c r="G56" i="116"/>
  <c r="F56" i="116"/>
  <c r="A56" i="116"/>
  <c r="H55" i="116"/>
  <c r="G55" i="116"/>
  <c r="F55" i="116"/>
  <c r="A55" i="116"/>
  <c r="H54" i="116"/>
  <c r="G54" i="116"/>
  <c r="F54" i="116"/>
  <c r="A54" i="116"/>
  <c r="H53" i="116"/>
  <c r="G53" i="116"/>
  <c r="F53" i="116"/>
  <c r="A53" i="116"/>
  <c r="H52" i="116"/>
  <c r="G52" i="116"/>
  <c r="F52" i="116"/>
  <c r="A52" i="116"/>
  <c r="H51" i="116"/>
  <c r="G51" i="116"/>
  <c r="F51" i="116"/>
  <c r="A51" i="116"/>
  <c r="H50" i="116"/>
  <c r="G50" i="116"/>
  <c r="F50" i="116"/>
  <c r="A50" i="116"/>
  <c r="H49" i="116"/>
  <c r="G49" i="116"/>
  <c r="F49" i="116"/>
  <c r="A49" i="116"/>
  <c r="H48" i="116"/>
  <c r="G48" i="116"/>
  <c r="F48" i="116"/>
  <c r="A48" i="116"/>
  <c r="H47" i="116"/>
  <c r="G47" i="116"/>
  <c r="F47" i="116"/>
  <c r="A47" i="116"/>
  <c r="H46" i="116"/>
  <c r="G46" i="116"/>
  <c r="F46" i="116"/>
  <c r="A46" i="116"/>
  <c r="H45" i="116"/>
  <c r="G45" i="116"/>
  <c r="F45" i="116"/>
  <c r="A45" i="116"/>
  <c r="H44" i="116"/>
  <c r="G44" i="116"/>
  <c r="F44" i="116"/>
  <c r="A44" i="116"/>
  <c r="H43" i="116"/>
  <c r="G43" i="116"/>
  <c r="F43" i="116"/>
  <c r="A43" i="116"/>
  <c r="H42" i="116"/>
  <c r="G42" i="116"/>
  <c r="F42" i="116"/>
  <c r="A42" i="116"/>
  <c r="H41" i="116"/>
  <c r="G41" i="116"/>
  <c r="F41" i="116"/>
  <c r="A41" i="116"/>
  <c r="H40" i="116"/>
  <c r="G40" i="116"/>
  <c r="F40" i="116"/>
  <c r="A40" i="116"/>
  <c r="H39" i="116"/>
  <c r="G39" i="116"/>
  <c r="F39" i="116"/>
  <c r="A39" i="116"/>
  <c r="H38" i="116"/>
  <c r="G38" i="116"/>
  <c r="F38" i="116"/>
  <c r="A38" i="116"/>
  <c r="H37" i="116"/>
  <c r="G37" i="116"/>
  <c r="F37" i="116"/>
  <c r="A37" i="116"/>
  <c r="H36" i="116"/>
  <c r="G36" i="116"/>
  <c r="F36" i="116"/>
  <c r="A36" i="116"/>
  <c r="H35" i="116"/>
  <c r="G35" i="116"/>
  <c r="F35" i="116"/>
  <c r="A35" i="116"/>
  <c r="H34" i="116"/>
  <c r="G34" i="116"/>
  <c r="F34" i="116"/>
  <c r="A34" i="116"/>
  <c r="H33" i="116"/>
  <c r="G33" i="116"/>
  <c r="F33" i="116"/>
  <c r="A33" i="116"/>
  <c r="H32" i="116"/>
  <c r="G32" i="116"/>
  <c r="F32" i="116"/>
  <c r="A32" i="116"/>
  <c r="H31" i="116"/>
  <c r="G31" i="116"/>
  <c r="F31" i="116"/>
  <c r="A31" i="116"/>
  <c r="H30" i="116"/>
  <c r="G30" i="116"/>
  <c r="F30" i="116"/>
  <c r="A30" i="116"/>
  <c r="H29" i="116"/>
  <c r="G29" i="116"/>
  <c r="F29" i="116"/>
  <c r="A29" i="116"/>
  <c r="H28" i="116"/>
  <c r="G28" i="116"/>
  <c r="F28" i="116"/>
  <c r="A28" i="116"/>
  <c r="H27" i="116"/>
  <c r="G27" i="116"/>
  <c r="F27" i="116"/>
  <c r="A27" i="116"/>
  <c r="H26" i="116"/>
  <c r="G26" i="116"/>
  <c r="F26" i="116"/>
  <c r="A26" i="116"/>
  <c r="H25" i="116"/>
  <c r="G25" i="116"/>
  <c r="F25" i="116"/>
  <c r="A25" i="116"/>
  <c r="H24" i="116"/>
  <c r="G24" i="116"/>
  <c r="F24" i="116"/>
  <c r="A24" i="116"/>
  <c r="H23" i="116"/>
  <c r="G23" i="116"/>
  <c r="F23" i="116"/>
  <c r="A23" i="116"/>
  <c r="H22" i="116"/>
  <c r="G22" i="116"/>
  <c r="F22" i="116"/>
  <c r="A22" i="116"/>
  <c r="H21" i="116"/>
  <c r="G21" i="116"/>
  <c r="F21" i="116"/>
  <c r="A21" i="116"/>
  <c r="H20" i="116"/>
  <c r="G20" i="116"/>
  <c r="F20" i="116"/>
  <c r="A20" i="116"/>
  <c r="L19" i="116"/>
  <c r="K19" i="116"/>
  <c r="J19" i="116"/>
  <c r="H19" i="116"/>
  <c r="G19" i="116"/>
  <c r="F19" i="116"/>
  <c r="A19" i="116"/>
  <c r="L18" i="116"/>
  <c r="K18" i="116"/>
  <c r="J18" i="116"/>
  <c r="H18" i="116"/>
  <c r="G18" i="116"/>
  <c r="F18" i="116"/>
  <c r="A18" i="116"/>
  <c r="F41" i="123"/>
  <c r="C41" i="123"/>
  <c r="J20" i="116"/>
  <c r="H17" i="116"/>
  <c r="G17" i="116"/>
  <c r="F17" i="116"/>
  <c r="A17" i="116"/>
  <c r="L16" i="116"/>
  <c r="K16" i="116"/>
  <c r="J16" i="116"/>
  <c r="H16" i="116"/>
  <c r="G16" i="116"/>
  <c r="F16" i="116"/>
  <c r="A16" i="116"/>
  <c r="H15" i="116"/>
  <c r="G15" i="116"/>
  <c r="F15" i="116"/>
  <c r="A15" i="116"/>
  <c r="H14" i="116"/>
  <c r="G14" i="116"/>
  <c r="F14" i="116"/>
  <c r="A14" i="116"/>
  <c r="H13" i="116"/>
  <c r="G13" i="116"/>
  <c r="F13" i="116"/>
  <c r="A13" i="116"/>
  <c r="L12" i="116"/>
  <c r="K12" i="116"/>
  <c r="J12" i="116"/>
  <c r="H12" i="116"/>
  <c r="G12" i="116"/>
  <c r="F12" i="116"/>
  <c r="A12" i="116"/>
  <c r="L11" i="116"/>
  <c r="K11" i="116"/>
  <c r="J11" i="116"/>
  <c r="H11" i="116"/>
  <c r="G11" i="116"/>
  <c r="F11" i="116"/>
  <c r="A11" i="116"/>
  <c r="L10" i="116"/>
  <c r="K10" i="116"/>
  <c r="J10" i="116"/>
  <c r="H10" i="116"/>
  <c r="G10" i="116"/>
  <c r="F10" i="116"/>
  <c r="A10" i="116"/>
  <c r="H9" i="116"/>
  <c r="G9" i="116"/>
  <c r="F9" i="116"/>
  <c r="A9" i="116"/>
  <c r="H8" i="116"/>
  <c r="G8" i="116"/>
  <c r="F8" i="116"/>
  <c r="A8" i="116"/>
  <c r="L7" i="116"/>
  <c r="K7" i="116"/>
  <c r="J7" i="116"/>
  <c r="H7" i="116"/>
  <c r="G7" i="116"/>
  <c r="F7" i="116"/>
  <c r="A7" i="116"/>
  <c r="L6" i="116"/>
  <c r="K6" i="116"/>
  <c r="J6" i="116"/>
  <c r="H6" i="116"/>
  <c r="G6" i="116"/>
  <c r="F6" i="116"/>
  <c r="A6" i="116"/>
  <c r="L5" i="116"/>
  <c r="K5" i="116"/>
  <c r="J5" i="116"/>
  <c r="H5" i="116"/>
  <c r="G5" i="116"/>
  <c r="F5" i="116"/>
  <c r="A5" i="116"/>
  <c r="L4" i="116"/>
  <c r="K4" i="116"/>
  <c r="J4" i="116"/>
  <c r="H4" i="116"/>
  <c r="G4" i="116"/>
  <c r="F4" i="116"/>
  <c r="A4" i="116"/>
  <c r="L3" i="116"/>
  <c r="K3" i="116"/>
  <c r="J3" i="116"/>
  <c r="H3" i="116"/>
  <c r="G3" i="116"/>
  <c r="F3" i="116"/>
  <c r="A3" i="116"/>
  <c r="F339" i="115"/>
  <c r="A339" i="115"/>
  <c r="F338" i="115"/>
  <c r="A338" i="115"/>
  <c r="F337" i="115"/>
  <c r="A337" i="115"/>
  <c r="F336" i="115"/>
  <c r="A336" i="115"/>
  <c r="F335" i="115"/>
  <c r="A335" i="115"/>
  <c r="F334" i="115"/>
  <c r="A334" i="115"/>
  <c r="F333" i="115"/>
  <c r="A333" i="115"/>
  <c r="F332" i="115"/>
  <c r="A332" i="115"/>
  <c r="F331" i="115"/>
  <c r="A331" i="115"/>
  <c r="F330" i="115"/>
  <c r="A330" i="115"/>
  <c r="F329" i="115"/>
  <c r="A329" i="115"/>
  <c r="F328" i="115"/>
  <c r="A328" i="115"/>
  <c r="F327" i="115"/>
  <c r="A327" i="115"/>
  <c r="F326" i="115"/>
  <c r="A326" i="115"/>
  <c r="F325" i="115"/>
  <c r="A325" i="115"/>
  <c r="F324" i="115"/>
  <c r="A324" i="115"/>
  <c r="F323" i="115"/>
  <c r="A323" i="115"/>
  <c r="F322" i="115"/>
  <c r="A322" i="115"/>
  <c r="F321" i="115"/>
  <c r="A321" i="115"/>
  <c r="F320" i="115"/>
  <c r="A320" i="115"/>
  <c r="F319" i="115"/>
  <c r="A319" i="115"/>
  <c r="F318" i="115"/>
  <c r="A318" i="115"/>
  <c r="F317" i="115"/>
  <c r="A317" i="115"/>
  <c r="F316" i="115"/>
  <c r="A316" i="115"/>
  <c r="F315" i="115"/>
  <c r="A315" i="115"/>
  <c r="F314" i="115"/>
  <c r="A314" i="115"/>
  <c r="F313" i="115"/>
  <c r="A313" i="115"/>
  <c r="F312" i="115"/>
  <c r="A312" i="115"/>
  <c r="F311" i="115"/>
  <c r="A311" i="115"/>
  <c r="F310" i="115"/>
  <c r="A310" i="115"/>
  <c r="F309" i="115"/>
  <c r="A309" i="115"/>
  <c r="F308" i="115"/>
  <c r="A308" i="115"/>
  <c r="F307" i="115"/>
  <c r="A307" i="115"/>
  <c r="F306" i="115"/>
  <c r="A306" i="115"/>
  <c r="F305" i="115"/>
  <c r="A305" i="115"/>
  <c r="F304" i="115"/>
  <c r="A304" i="115"/>
  <c r="F303" i="115"/>
  <c r="A303" i="115"/>
  <c r="F302" i="115"/>
  <c r="A302" i="115"/>
  <c r="F301" i="115"/>
  <c r="A301" i="115"/>
  <c r="F300" i="115"/>
  <c r="A300" i="115"/>
  <c r="F299" i="115"/>
  <c r="A299" i="115"/>
  <c r="F298" i="115"/>
  <c r="A298" i="115"/>
  <c r="F297" i="115"/>
  <c r="A297" i="115"/>
  <c r="F296" i="115"/>
  <c r="A296" i="115"/>
  <c r="F295" i="115"/>
  <c r="A295" i="115"/>
  <c r="F294" i="115"/>
  <c r="A294" i="115"/>
  <c r="F293" i="115"/>
  <c r="A293" i="115"/>
  <c r="F292" i="115"/>
  <c r="A292" i="115"/>
  <c r="F291" i="115"/>
  <c r="A291" i="115"/>
  <c r="F290" i="115"/>
  <c r="A290" i="115"/>
  <c r="F289" i="115"/>
  <c r="A289" i="115"/>
  <c r="F288" i="115"/>
  <c r="A288" i="115"/>
  <c r="F287" i="115"/>
  <c r="A287" i="115"/>
  <c r="F286" i="115"/>
  <c r="A286" i="115"/>
  <c r="F285" i="115"/>
  <c r="A285" i="115"/>
  <c r="F284" i="115"/>
  <c r="A284" i="115"/>
  <c r="F283" i="115"/>
  <c r="A283" i="115"/>
  <c r="F282" i="115"/>
  <c r="A282" i="115"/>
  <c r="F281" i="115"/>
  <c r="A281" i="115"/>
  <c r="F280" i="115"/>
  <c r="A280" i="115"/>
  <c r="F279" i="115"/>
  <c r="A279" i="115"/>
  <c r="F278" i="115"/>
  <c r="A278" i="115"/>
  <c r="F277" i="115"/>
  <c r="A277" i="115"/>
  <c r="F276" i="115"/>
  <c r="A276" i="115"/>
  <c r="F275" i="115"/>
  <c r="A275" i="115"/>
  <c r="F274" i="115"/>
  <c r="A274" i="115"/>
  <c r="F273" i="115"/>
  <c r="A273" i="115"/>
  <c r="F272" i="115"/>
  <c r="A272" i="115"/>
  <c r="F271" i="115"/>
  <c r="A271" i="115"/>
  <c r="F270" i="115"/>
  <c r="A270" i="115"/>
  <c r="F269" i="115"/>
  <c r="A269" i="115"/>
  <c r="F268" i="115"/>
  <c r="A268" i="115"/>
  <c r="F267" i="115"/>
  <c r="A267" i="115"/>
  <c r="F266" i="115"/>
  <c r="A266" i="115"/>
  <c r="F265" i="115"/>
  <c r="A265" i="115"/>
  <c r="F264" i="115"/>
  <c r="A264" i="115"/>
  <c r="F263" i="115"/>
  <c r="A263" i="115"/>
  <c r="F262" i="115"/>
  <c r="A262" i="115"/>
  <c r="F261" i="115"/>
  <c r="A261" i="115"/>
  <c r="F260" i="115"/>
  <c r="A260" i="115"/>
  <c r="F259" i="115"/>
  <c r="A259" i="115"/>
  <c r="F258" i="115"/>
  <c r="A258" i="115"/>
  <c r="F257" i="115"/>
  <c r="A257" i="115"/>
  <c r="F256" i="115"/>
  <c r="A256" i="115"/>
  <c r="F255" i="115"/>
  <c r="A255" i="115"/>
  <c r="F254" i="115"/>
  <c r="A254" i="115"/>
  <c r="F253" i="115"/>
  <c r="A253" i="115"/>
  <c r="F252" i="115"/>
  <c r="A252" i="115"/>
  <c r="F251" i="115"/>
  <c r="A251" i="115"/>
  <c r="F250" i="115"/>
  <c r="A250" i="115"/>
  <c r="F249" i="115"/>
  <c r="A249" i="115"/>
  <c r="F248" i="115"/>
  <c r="A248" i="115"/>
  <c r="F247" i="115"/>
  <c r="A247" i="115"/>
  <c r="F246" i="115"/>
  <c r="A246" i="115"/>
  <c r="F245" i="115"/>
  <c r="A245" i="115"/>
  <c r="F244" i="115"/>
  <c r="A244" i="115"/>
  <c r="F243" i="115"/>
  <c r="A243" i="115"/>
  <c r="F242" i="115"/>
  <c r="A242" i="115"/>
  <c r="F241" i="115"/>
  <c r="A241" i="115"/>
  <c r="F240" i="115"/>
  <c r="A240" i="115"/>
  <c r="F239" i="115"/>
  <c r="A239" i="115"/>
  <c r="F238" i="115"/>
  <c r="A238" i="115"/>
  <c r="F237" i="115"/>
  <c r="A237" i="115"/>
  <c r="F236" i="115"/>
  <c r="A236" i="115"/>
  <c r="F235" i="115"/>
  <c r="A235" i="115"/>
  <c r="F234" i="115"/>
  <c r="A234" i="115"/>
  <c r="F233" i="115"/>
  <c r="A233" i="115"/>
  <c r="F232" i="115"/>
  <c r="A232" i="115"/>
  <c r="F231" i="115"/>
  <c r="A231" i="115"/>
  <c r="F230" i="115"/>
  <c r="A230" i="115"/>
  <c r="F229" i="115"/>
  <c r="A229" i="115"/>
  <c r="F228" i="115"/>
  <c r="A228" i="115"/>
  <c r="F227" i="115"/>
  <c r="A227" i="115"/>
  <c r="F226" i="115"/>
  <c r="A226" i="115"/>
  <c r="F225" i="115"/>
  <c r="A225" i="115"/>
  <c r="F224" i="115"/>
  <c r="A224" i="115"/>
  <c r="F223" i="115"/>
  <c r="A223" i="115"/>
  <c r="F222" i="115"/>
  <c r="A222" i="115"/>
  <c r="F221" i="115"/>
  <c r="A221" i="115"/>
  <c r="F220" i="115"/>
  <c r="A220" i="115"/>
  <c r="F219" i="115"/>
  <c r="A219" i="115"/>
  <c r="F218" i="115"/>
  <c r="A218" i="115"/>
  <c r="F217" i="115"/>
  <c r="A217" i="115"/>
  <c r="F216" i="115"/>
  <c r="A216" i="115"/>
  <c r="F215" i="115"/>
  <c r="A215" i="115"/>
  <c r="F214" i="115"/>
  <c r="A214" i="115"/>
  <c r="F213" i="115"/>
  <c r="A213" i="115"/>
  <c r="F212" i="115"/>
  <c r="A212" i="115"/>
  <c r="F211" i="115"/>
  <c r="A211" i="115"/>
  <c r="F210" i="115"/>
  <c r="A210" i="115"/>
  <c r="F209" i="115"/>
  <c r="A209" i="115"/>
  <c r="F208" i="115"/>
  <c r="A208" i="115"/>
  <c r="F207" i="115"/>
  <c r="A207" i="115"/>
  <c r="F206" i="115"/>
  <c r="A206" i="115"/>
  <c r="F205" i="115"/>
  <c r="A205" i="115"/>
  <c r="F204" i="115"/>
  <c r="A204" i="115"/>
  <c r="F203" i="115"/>
  <c r="A203" i="115"/>
  <c r="F202" i="115"/>
  <c r="A202" i="115"/>
  <c r="F201" i="115"/>
  <c r="A201" i="115"/>
  <c r="F200" i="115"/>
  <c r="A200" i="115"/>
  <c r="F199" i="115"/>
  <c r="A199" i="115"/>
  <c r="F198" i="115"/>
  <c r="A198" i="115"/>
  <c r="F197" i="115"/>
  <c r="A197" i="115"/>
  <c r="F196" i="115"/>
  <c r="A196" i="115"/>
  <c r="F195" i="115"/>
  <c r="A195" i="115"/>
  <c r="F194" i="115"/>
  <c r="A194" i="115"/>
  <c r="F193" i="115"/>
  <c r="A193" i="115"/>
  <c r="F192" i="115"/>
  <c r="A192" i="115"/>
  <c r="F191" i="115"/>
  <c r="A191" i="115"/>
  <c r="F190" i="115"/>
  <c r="A190" i="115"/>
  <c r="F189" i="115"/>
  <c r="A189" i="115"/>
  <c r="F188" i="115"/>
  <c r="A188" i="115"/>
  <c r="F187" i="115"/>
  <c r="A187" i="115"/>
  <c r="F186" i="115"/>
  <c r="A186" i="115"/>
  <c r="F185" i="115"/>
  <c r="A185" i="115"/>
  <c r="F184" i="115"/>
  <c r="A184" i="115"/>
  <c r="F183" i="115"/>
  <c r="A183" i="115"/>
  <c r="F182" i="115"/>
  <c r="A182" i="115"/>
  <c r="F181" i="115"/>
  <c r="A181" i="115"/>
  <c r="F180" i="115"/>
  <c r="A180" i="115"/>
  <c r="F179" i="115"/>
  <c r="A179" i="115"/>
  <c r="F178" i="115"/>
  <c r="A178" i="115"/>
  <c r="F177" i="115"/>
  <c r="A177" i="115"/>
  <c r="F176" i="115"/>
  <c r="A176" i="115"/>
  <c r="F175" i="115"/>
  <c r="A175" i="115"/>
  <c r="F174" i="115"/>
  <c r="A174" i="115"/>
  <c r="F173" i="115"/>
  <c r="A173" i="115"/>
  <c r="F172" i="115"/>
  <c r="A172" i="115"/>
  <c r="F171" i="115"/>
  <c r="A171" i="115"/>
  <c r="F170" i="115"/>
  <c r="A170" i="115"/>
  <c r="F169" i="115"/>
  <c r="A169" i="115"/>
  <c r="F168" i="115"/>
  <c r="A168" i="115"/>
  <c r="F167" i="115"/>
  <c r="A167" i="115"/>
  <c r="F166" i="115"/>
  <c r="A166" i="115"/>
  <c r="F165" i="115"/>
  <c r="A165" i="115"/>
  <c r="F164" i="115"/>
  <c r="A164" i="115"/>
  <c r="F163" i="115"/>
  <c r="A163" i="115"/>
  <c r="F162" i="115"/>
  <c r="A162" i="115"/>
  <c r="F161" i="115"/>
  <c r="A161" i="115"/>
  <c r="H160" i="115"/>
  <c r="G160" i="115"/>
  <c r="F160" i="115"/>
  <c r="A160" i="115"/>
  <c r="H159" i="115"/>
  <c r="G159" i="115"/>
  <c r="F159" i="115"/>
  <c r="A159" i="115"/>
  <c r="H158" i="115"/>
  <c r="G158" i="115"/>
  <c r="F158" i="115"/>
  <c r="A158" i="115"/>
  <c r="H157" i="115"/>
  <c r="G157" i="115"/>
  <c r="F157" i="115"/>
  <c r="A157" i="115"/>
  <c r="H156" i="115"/>
  <c r="G156" i="115"/>
  <c r="F156" i="115"/>
  <c r="A156" i="115"/>
  <c r="H155" i="115"/>
  <c r="G155" i="115"/>
  <c r="F155" i="115"/>
  <c r="A155" i="115"/>
  <c r="H154" i="115"/>
  <c r="G154" i="115"/>
  <c r="F154" i="115"/>
  <c r="A154" i="115"/>
  <c r="H153" i="115"/>
  <c r="G153" i="115"/>
  <c r="F153" i="115"/>
  <c r="A153" i="115"/>
  <c r="H152" i="115"/>
  <c r="G152" i="115"/>
  <c r="F152" i="115"/>
  <c r="A152" i="115"/>
  <c r="H151" i="115"/>
  <c r="G151" i="115"/>
  <c r="F151" i="115"/>
  <c r="A151" i="115"/>
  <c r="H150" i="115"/>
  <c r="G150" i="115"/>
  <c r="F150" i="115"/>
  <c r="A150" i="115"/>
  <c r="H149" i="115"/>
  <c r="G149" i="115"/>
  <c r="F149" i="115"/>
  <c r="A149" i="115"/>
  <c r="H148" i="115"/>
  <c r="G148" i="115"/>
  <c r="F148" i="115"/>
  <c r="A148" i="115"/>
  <c r="H147" i="115"/>
  <c r="G147" i="115"/>
  <c r="F147" i="115"/>
  <c r="A147" i="115"/>
  <c r="H146" i="115"/>
  <c r="G146" i="115"/>
  <c r="F146" i="115"/>
  <c r="A146" i="115"/>
  <c r="H145" i="115"/>
  <c r="G145" i="115"/>
  <c r="F145" i="115"/>
  <c r="A145" i="115"/>
  <c r="H144" i="115"/>
  <c r="G144" i="115"/>
  <c r="F144" i="115"/>
  <c r="A144" i="115"/>
  <c r="H143" i="115"/>
  <c r="G143" i="115"/>
  <c r="F143" i="115"/>
  <c r="A143" i="115"/>
  <c r="H142" i="115"/>
  <c r="G142" i="115"/>
  <c r="F142" i="115"/>
  <c r="A142" i="115"/>
  <c r="H141" i="115"/>
  <c r="G141" i="115"/>
  <c r="F141" i="115"/>
  <c r="A141" i="115"/>
  <c r="H140" i="115"/>
  <c r="G140" i="115"/>
  <c r="F140" i="115"/>
  <c r="A140" i="115"/>
  <c r="H139" i="115"/>
  <c r="G139" i="115"/>
  <c r="F139" i="115"/>
  <c r="A139" i="115"/>
  <c r="H138" i="115"/>
  <c r="G138" i="115"/>
  <c r="F138" i="115"/>
  <c r="A138" i="115"/>
  <c r="H137" i="115"/>
  <c r="G137" i="115"/>
  <c r="F137" i="115"/>
  <c r="A137" i="115"/>
  <c r="H136" i="115"/>
  <c r="G136" i="115"/>
  <c r="F136" i="115"/>
  <c r="A136" i="115"/>
  <c r="H135" i="115"/>
  <c r="G135" i="115"/>
  <c r="F135" i="115"/>
  <c r="A135" i="115"/>
  <c r="H134" i="115"/>
  <c r="G134" i="115"/>
  <c r="F134" i="115"/>
  <c r="A134" i="115"/>
  <c r="H133" i="115"/>
  <c r="G133" i="115"/>
  <c r="F133" i="115"/>
  <c r="A133" i="115"/>
  <c r="H132" i="115"/>
  <c r="G132" i="115"/>
  <c r="F132" i="115"/>
  <c r="A132" i="115"/>
  <c r="H131" i="115"/>
  <c r="G131" i="115"/>
  <c r="F131" i="115"/>
  <c r="A131" i="115"/>
  <c r="H130" i="115"/>
  <c r="G130" i="115"/>
  <c r="F130" i="115"/>
  <c r="A130" i="115"/>
  <c r="H129" i="115"/>
  <c r="G129" i="115"/>
  <c r="F129" i="115"/>
  <c r="A129" i="115"/>
  <c r="H128" i="115"/>
  <c r="G128" i="115"/>
  <c r="F128" i="115"/>
  <c r="A128" i="115"/>
  <c r="H127" i="115"/>
  <c r="G127" i="115"/>
  <c r="F127" i="115"/>
  <c r="A127" i="115"/>
  <c r="H126" i="115"/>
  <c r="G126" i="115"/>
  <c r="F126" i="115"/>
  <c r="A126" i="115"/>
  <c r="H125" i="115"/>
  <c r="G125" i="115"/>
  <c r="F125" i="115"/>
  <c r="A125" i="115"/>
  <c r="H124" i="115"/>
  <c r="G124" i="115"/>
  <c r="F124" i="115"/>
  <c r="A124" i="115"/>
  <c r="H123" i="115"/>
  <c r="G123" i="115"/>
  <c r="F123" i="115"/>
  <c r="A123" i="115"/>
  <c r="H122" i="115"/>
  <c r="G122" i="115"/>
  <c r="F122" i="115"/>
  <c r="A122" i="115"/>
  <c r="H121" i="115"/>
  <c r="G121" i="115"/>
  <c r="F121" i="115"/>
  <c r="A121" i="115"/>
  <c r="H120" i="115"/>
  <c r="G120" i="115"/>
  <c r="F120" i="115"/>
  <c r="A120" i="115"/>
  <c r="H119" i="115"/>
  <c r="G119" i="115"/>
  <c r="F119" i="115"/>
  <c r="A119" i="115"/>
  <c r="H118" i="115"/>
  <c r="G118" i="115"/>
  <c r="F118" i="115"/>
  <c r="A118" i="115"/>
  <c r="H117" i="115"/>
  <c r="G117" i="115"/>
  <c r="F117" i="115"/>
  <c r="A117" i="115"/>
  <c r="H116" i="115"/>
  <c r="G116" i="115"/>
  <c r="F116" i="115"/>
  <c r="A116" i="115"/>
  <c r="H115" i="115"/>
  <c r="G115" i="115"/>
  <c r="F115" i="115"/>
  <c r="A115" i="115"/>
  <c r="H114" i="115"/>
  <c r="G114" i="115"/>
  <c r="F114" i="115"/>
  <c r="A114" i="115"/>
  <c r="H113" i="115"/>
  <c r="G113" i="115"/>
  <c r="F113" i="115"/>
  <c r="A113" i="115"/>
  <c r="H112" i="115"/>
  <c r="G112" i="115"/>
  <c r="F112" i="115"/>
  <c r="A112" i="115"/>
  <c r="H111" i="115"/>
  <c r="G111" i="115"/>
  <c r="F111" i="115"/>
  <c r="A111" i="115"/>
  <c r="H110" i="115"/>
  <c r="G110" i="115"/>
  <c r="F110" i="115"/>
  <c r="A110" i="115"/>
  <c r="H109" i="115"/>
  <c r="G109" i="115"/>
  <c r="F109" i="115"/>
  <c r="A109" i="115"/>
  <c r="H108" i="115"/>
  <c r="G108" i="115"/>
  <c r="F108" i="115"/>
  <c r="A108" i="115"/>
  <c r="H107" i="115"/>
  <c r="G107" i="115"/>
  <c r="F107" i="115"/>
  <c r="A107" i="115"/>
  <c r="H106" i="115"/>
  <c r="G106" i="115"/>
  <c r="F106" i="115"/>
  <c r="A106" i="115"/>
  <c r="H105" i="115"/>
  <c r="G105" i="115"/>
  <c r="F105" i="115"/>
  <c r="A105" i="115"/>
  <c r="H104" i="115"/>
  <c r="G104" i="115"/>
  <c r="F104" i="115"/>
  <c r="A104" i="115"/>
  <c r="H103" i="115"/>
  <c r="G103" i="115"/>
  <c r="F103" i="115"/>
  <c r="A103" i="115"/>
  <c r="H102" i="115"/>
  <c r="G102" i="115"/>
  <c r="F102" i="115"/>
  <c r="A102" i="115"/>
  <c r="H101" i="115"/>
  <c r="G101" i="115"/>
  <c r="F101" i="115"/>
  <c r="A101" i="115"/>
  <c r="H100" i="115"/>
  <c r="G100" i="115"/>
  <c r="F100" i="115"/>
  <c r="A100" i="115"/>
  <c r="H99" i="115"/>
  <c r="G99" i="115"/>
  <c r="F99" i="115"/>
  <c r="A99" i="115"/>
  <c r="H98" i="115"/>
  <c r="G98" i="115"/>
  <c r="F98" i="115"/>
  <c r="A98" i="115"/>
  <c r="H97" i="115"/>
  <c r="G97" i="115"/>
  <c r="F97" i="115"/>
  <c r="A97" i="115"/>
  <c r="H96" i="115"/>
  <c r="G96" i="115"/>
  <c r="F96" i="115"/>
  <c r="A96" i="115"/>
  <c r="H95" i="115"/>
  <c r="G95" i="115"/>
  <c r="F95" i="115"/>
  <c r="A95" i="115"/>
  <c r="H94" i="115"/>
  <c r="G94" i="115"/>
  <c r="F94" i="115"/>
  <c r="A94" i="115"/>
  <c r="H93" i="115"/>
  <c r="G93" i="115"/>
  <c r="F93" i="115"/>
  <c r="A93" i="115"/>
  <c r="H92" i="115"/>
  <c r="G92" i="115"/>
  <c r="F92" i="115"/>
  <c r="A92" i="115"/>
  <c r="H91" i="115"/>
  <c r="G91" i="115"/>
  <c r="F91" i="115"/>
  <c r="A91" i="115"/>
  <c r="H90" i="115"/>
  <c r="G90" i="115"/>
  <c r="F90" i="115"/>
  <c r="A90" i="115"/>
  <c r="H89" i="115"/>
  <c r="G89" i="115"/>
  <c r="F89" i="115"/>
  <c r="A89" i="115"/>
  <c r="H88" i="115"/>
  <c r="G88" i="115"/>
  <c r="F88" i="115"/>
  <c r="A88" i="115"/>
  <c r="H87" i="115"/>
  <c r="G87" i="115"/>
  <c r="F87" i="115"/>
  <c r="A87" i="115"/>
  <c r="H86" i="115"/>
  <c r="G86" i="115"/>
  <c r="F86" i="115"/>
  <c r="A86" i="115"/>
  <c r="H85" i="115"/>
  <c r="G85" i="115"/>
  <c r="F85" i="115"/>
  <c r="A85" i="115"/>
  <c r="H84" i="115"/>
  <c r="G84" i="115"/>
  <c r="F84" i="115"/>
  <c r="A84" i="115"/>
  <c r="H83" i="115"/>
  <c r="G83" i="115"/>
  <c r="F83" i="115"/>
  <c r="A83" i="115"/>
  <c r="H82" i="115"/>
  <c r="G82" i="115"/>
  <c r="F82" i="115"/>
  <c r="A82" i="115"/>
  <c r="H81" i="115"/>
  <c r="G81" i="115"/>
  <c r="F81" i="115"/>
  <c r="A81" i="115"/>
  <c r="H80" i="115"/>
  <c r="G80" i="115"/>
  <c r="F80" i="115"/>
  <c r="A80" i="115"/>
  <c r="H79" i="115"/>
  <c r="G79" i="115"/>
  <c r="F79" i="115"/>
  <c r="A79" i="115"/>
  <c r="H78" i="115"/>
  <c r="G78" i="115"/>
  <c r="F78" i="115"/>
  <c r="A78" i="115"/>
  <c r="H77" i="115"/>
  <c r="G77" i="115"/>
  <c r="F77" i="115"/>
  <c r="A77" i="115"/>
  <c r="H76" i="115"/>
  <c r="G76" i="115"/>
  <c r="F76" i="115"/>
  <c r="A76" i="115"/>
  <c r="H75" i="115"/>
  <c r="G75" i="115"/>
  <c r="F75" i="115"/>
  <c r="A75" i="115"/>
  <c r="H74" i="115"/>
  <c r="G74" i="115"/>
  <c r="F74" i="115"/>
  <c r="A74" i="115"/>
  <c r="H73" i="115"/>
  <c r="G73" i="115"/>
  <c r="F73" i="115"/>
  <c r="A73" i="115"/>
  <c r="H72" i="115"/>
  <c r="G72" i="115"/>
  <c r="F72" i="115"/>
  <c r="A72" i="115"/>
  <c r="H71" i="115"/>
  <c r="G71" i="115"/>
  <c r="F71" i="115"/>
  <c r="A71" i="115"/>
  <c r="H70" i="115"/>
  <c r="G70" i="115"/>
  <c r="F70" i="115"/>
  <c r="A70" i="115"/>
  <c r="H69" i="115"/>
  <c r="G69" i="115"/>
  <c r="F69" i="115"/>
  <c r="A69" i="115"/>
  <c r="H68" i="115"/>
  <c r="G68" i="115"/>
  <c r="F68" i="115"/>
  <c r="A68" i="115"/>
  <c r="H67" i="115"/>
  <c r="G67" i="115"/>
  <c r="F67" i="115"/>
  <c r="A67" i="115"/>
  <c r="H66" i="115"/>
  <c r="G66" i="115"/>
  <c r="F66" i="115"/>
  <c r="A66" i="115"/>
  <c r="H65" i="115"/>
  <c r="G65" i="115"/>
  <c r="F65" i="115"/>
  <c r="A65" i="115"/>
  <c r="H64" i="115"/>
  <c r="G64" i="115"/>
  <c r="F64" i="115"/>
  <c r="A64" i="115"/>
  <c r="H63" i="115"/>
  <c r="G63" i="115"/>
  <c r="F63" i="115"/>
  <c r="A63" i="115"/>
  <c r="H62" i="115"/>
  <c r="G62" i="115"/>
  <c r="F62" i="115"/>
  <c r="A62" i="115"/>
  <c r="H61" i="115"/>
  <c r="G61" i="115"/>
  <c r="F61" i="115"/>
  <c r="A61" i="115"/>
  <c r="H60" i="115"/>
  <c r="G60" i="115"/>
  <c r="F60" i="115"/>
  <c r="A60" i="115"/>
  <c r="H59" i="115"/>
  <c r="G59" i="115"/>
  <c r="F59" i="115"/>
  <c r="A59" i="115"/>
  <c r="H58" i="115"/>
  <c r="G58" i="115"/>
  <c r="F58" i="115"/>
  <c r="A58" i="115"/>
  <c r="H57" i="115"/>
  <c r="G57" i="115"/>
  <c r="F57" i="115"/>
  <c r="A57" i="115"/>
  <c r="H56" i="115"/>
  <c r="G56" i="115"/>
  <c r="F56" i="115"/>
  <c r="A56" i="115"/>
  <c r="H55" i="115"/>
  <c r="G55" i="115"/>
  <c r="F55" i="115"/>
  <c r="A55" i="115"/>
  <c r="H54" i="115"/>
  <c r="G54" i="115"/>
  <c r="F54" i="115"/>
  <c r="A54" i="115"/>
  <c r="H53" i="115"/>
  <c r="G53" i="115"/>
  <c r="F53" i="115"/>
  <c r="A53" i="115"/>
  <c r="H52" i="115"/>
  <c r="G52" i="115"/>
  <c r="F52" i="115"/>
  <c r="A52" i="115"/>
  <c r="H51" i="115"/>
  <c r="G51" i="115"/>
  <c r="F51" i="115"/>
  <c r="A51" i="115"/>
  <c r="H50" i="115"/>
  <c r="G50" i="115"/>
  <c r="F50" i="115"/>
  <c r="A50" i="115"/>
  <c r="H49" i="115"/>
  <c r="G49" i="115"/>
  <c r="F49" i="115"/>
  <c r="A49" i="115"/>
  <c r="H48" i="115"/>
  <c r="G48" i="115"/>
  <c r="F48" i="115"/>
  <c r="A48" i="115"/>
  <c r="H47" i="115"/>
  <c r="G47" i="115"/>
  <c r="F47" i="115"/>
  <c r="A47" i="115"/>
  <c r="H46" i="115"/>
  <c r="G46" i="115"/>
  <c r="F46" i="115"/>
  <c r="A46" i="115"/>
  <c r="H45" i="115"/>
  <c r="G45" i="115"/>
  <c r="F45" i="115"/>
  <c r="A45" i="115"/>
  <c r="H44" i="115"/>
  <c r="G44" i="115"/>
  <c r="F44" i="115"/>
  <c r="A44" i="115"/>
  <c r="H43" i="115"/>
  <c r="G43" i="115"/>
  <c r="F43" i="115"/>
  <c r="A43" i="115"/>
  <c r="H42" i="115"/>
  <c r="G42" i="115"/>
  <c r="F42" i="115"/>
  <c r="A42" i="115"/>
  <c r="H41" i="115"/>
  <c r="G41" i="115"/>
  <c r="F41" i="115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G37" i="115"/>
  <c r="F37" i="115"/>
  <c r="A37" i="115"/>
  <c r="H36" i="115"/>
  <c r="G36" i="115"/>
  <c r="F36" i="115"/>
  <c r="A36" i="115"/>
  <c r="H35" i="115"/>
  <c r="G35" i="115"/>
  <c r="F35" i="115"/>
  <c r="A35" i="115"/>
  <c r="H34" i="115"/>
  <c r="G34" i="115"/>
  <c r="F34" i="115"/>
  <c r="A34" i="115"/>
  <c r="H33" i="115"/>
  <c r="G33" i="115"/>
  <c r="F33" i="115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G29" i="115"/>
  <c r="F29" i="115"/>
  <c r="A29" i="115"/>
  <c r="H28" i="115"/>
  <c r="G28" i="115"/>
  <c r="F28" i="115"/>
  <c r="A28" i="115"/>
  <c r="H27" i="115"/>
  <c r="G27" i="115"/>
  <c r="F27" i="115"/>
  <c r="A27" i="115"/>
  <c r="H26" i="115"/>
  <c r="G26" i="115"/>
  <c r="F26" i="115"/>
  <c r="A26" i="115"/>
  <c r="H25" i="115"/>
  <c r="G25" i="115"/>
  <c r="F25" i="115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G21" i="115"/>
  <c r="F21" i="115"/>
  <c r="A21" i="115"/>
  <c r="H20" i="115"/>
  <c r="G20" i="115"/>
  <c r="F20" i="115"/>
  <c r="A20" i="115"/>
  <c r="L19" i="115"/>
  <c r="K19" i="115"/>
  <c r="J19" i="115"/>
  <c r="H19" i="115"/>
  <c r="G19" i="115"/>
  <c r="F19" i="115"/>
  <c r="A19" i="115"/>
  <c r="L18" i="115"/>
  <c r="K18" i="115"/>
  <c r="J18" i="115"/>
  <c r="H18" i="115"/>
  <c r="G18" i="115"/>
  <c r="F18" i="115"/>
  <c r="A18" i="115"/>
  <c r="F40" i="123"/>
  <c r="C40" i="123"/>
  <c r="J20" i="115"/>
  <c r="H17" i="115"/>
  <c r="G17" i="115"/>
  <c r="F17" i="115"/>
  <c r="A17" i="115"/>
  <c r="L16" i="115"/>
  <c r="K16" i="115"/>
  <c r="J16" i="115"/>
  <c r="H16" i="115"/>
  <c r="G16" i="115"/>
  <c r="F16" i="115"/>
  <c r="A16" i="115"/>
  <c r="H15" i="115"/>
  <c r="G15" i="115"/>
  <c r="F15" i="115"/>
  <c r="A15" i="115"/>
  <c r="H14" i="115"/>
  <c r="G14" i="115"/>
  <c r="F14" i="115"/>
  <c r="A14" i="115"/>
  <c r="H13" i="115"/>
  <c r="G13" i="115"/>
  <c r="F13" i="115"/>
  <c r="A13" i="115"/>
  <c r="L12" i="115"/>
  <c r="K12" i="115"/>
  <c r="J12" i="115"/>
  <c r="H12" i="115"/>
  <c r="G12" i="115"/>
  <c r="F12" i="115"/>
  <c r="A12" i="115"/>
  <c r="L11" i="115"/>
  <c r="K11" i="115"/>
  <c r="J11" i="115"/>
  <c r="H11" i="115"/>
  <c r="G11" i="115"/>
  <c r="F11" i="115"/>
  <c r="A11" i="115"/>
  <c r="L10" i="115"/>
  <c r="K10" i="115"/>
  <c r="J10" i="115"/>
  <c r="H10" i="115"/>
  <c r="G10" i="115"/>
  <c r="F10" i="115"/>
  <c r="A10" i="115"/>
  <c r="H9" i="115"/>
  <c r="G9" i="115"/>
  <c r="F9" i="115"/>
  <c r="A9" i="115"/>
  <c r="H8" i="115"/>
  <c r="G8" i="115"/>
  <c r="F8" i="115"/>
  <c r="A8" i="115"/>
  <c r="L7" i="115"/>
  <c r="K7" i="115"/>
  <c r="J7" i="115"/>
  <c r="H7" i="115"/>
  <c r="G7" i="115"/>
  <c r="F7" i="115"/>
  <c r="A7" i="115"/>
  <c r="L6" i="115"/>
  <c r="K6" i="115"/>
  <c r="J6" i="115"/>
  <c r="H6" i="115"/>
  <c r="G6" i="115"/>
  <c r="F6" i="115"/>
  <c r="A6" i="115"/>
  <c r="L5" i="115"/>
  <c r="K5" i="115"/>
  <c r="J5" i="115"/>
  <c r="H5" i="115"/>
  <c r="G5" i="115"/>
  <c r="F5" i="115"/>
  <c r="A5" i="115"/>
  <c r="L4" i="115"/>
  <c r="K4" i="115"/>
  <c r="J4" i="115"/>
  <c r="H4" i="115"/>
  <c r="G4" i="115"/>
  <c r="F4" i="115"/>
  <c r="A4" i="115"/>
  <c r="L3" i="115"/>
  <c r="K3" i="115"/>
  <c r="J3" i="115"/>
  <c r="H3" i="115"/>
  <c r="G3" i="115"/>
  <c r="F3" i="115"/>
  <c r="A3" i="115"/>
  <c r="F339" i="114"/>
  <c r="A339" i="114"/>
  <c r="F338" i="114"/>
  <c r="A338" i="114"/>
  <c r="F337" i="114"/>
  <c r="A337" i="114"/>
  <c r="F336" i="114"/>
  <c r="A336" i="114"/>
  <c r="F335" i="114"/>
  <c r="A335" i="114"/>
  <c r="F334" i="114"/>
  <c r="A334" i="114"/>
  <c r="F333" i="114"/>
  <c r="A333" i="114"/>
  <c r="F332" i="114"/>
  <c r="A332" i="114"/>
  <c r="F331" i="114"/>
  <c r="A331" i="114"/>
  <c r="F330" i="114"/>
  <c r="A330" i="114"/>
  <c r="F329" i="114"/>
  <c r="A329" i="114"/>
  <c r="F328" i="114"/>
  <c r="A328" i="114"/>
  <c r="F327" i="114"/>
  <c r="A327" i="114"/>
  <c r="F326" i="114"/>
  <c r="A326" i="114"/>
  <c r="F325" i="114"/>
  <c r="A325" i="114"/>
  <c r="F324" i="114"/>
  <c r="A324" i="114"/>
  <c r="F323" i="114"/>
  <c r="A323" i="114"/>
  <c r="F322" i="114"/>
  <c r="A322" i="114"/>
  <c r="F321" i="114"/>
  <c r="A321" i="114"/>
  <c r="F320" i="114"/>
  <c r="A320" i="114"/>
  <c r="F319" i="114"/>
  <c r="A319" i="114"/>
  <c r="F318" i="114"/>
  <c r="A318" i="114"/>
  <c r="F317" i="114"/>
  <c r="A317" i="114"/>
  <c r="F316" i="114"/>
  <c r="A316" i="114"/>
  <c r="F315" i="114"/>
  <c r="A315" i="114"/>
  <c r="F314" i="114"/>
  <c r="A314" i="114"/>
  <c r="F313" i="114"/>
  <c r="A313" i="114"/>
  <c r="F312" i="114"/>
  <c r="A312" i="114"/>
  <c r="F311" i="114"/>
  <c r="A311" i="114"/>
  <c r="F310" i="114"/>
  <c r="A310" i="114"/>
  <c r="F309" i="114"/>
  <c r="A309" i="114"/>
  <c r="F308" i="114"/>
  <c r="A308" i="114"/>
  <c r="F307" i="114"/>
  <c r="A307" i="114"/>
  <c r="F306" i="114"/>
  <c r="A306" i="114"/>
  <c r="F305" i="114"/>
  <c r="A305" i="114"/>
  <c r="F304" i="114"/>
  <c r="A304" i="114"/>
  <c r="F303" i="114"/>
  <c r="A303" i="114"/>
  <c r="F302" i="114"/>
  <c r="A302" i="114"/>
  <c r="F301" i="114"/>
  <c r="A301" i="114"/>
  <c r="F300" i="114"/>
  <c r="A300" i="114"/>
  <c r="F299" i="114"/>
  <c r="A299" i="114"/>
  <c r="F298" i="114"/>
  <c r="A298" i="114"/>
  <c r="F297" i="114"/>
  <c r="A297" i="114"/>
  <c r="F296" i="114"/>
  <c r="A296" i="114"/>
  <c r="F295" i="114"/>
  <c r="A295" i="114"/>
  <c r="F294" i="114"/>
  <c r="A294" i="114"/>
  <c r="F293" i="114"/>
  <c r="A293" i="114"/>
  <c r="F292" i="114"/>
  <c r="A292" i="114"/>
  <c r="F291" i="114"/>
  <c r="A291" i="114"/>
  <c r="F290" i="114"/>
  <c r="A290" i="114"/>
  <c r="F289" i="114"/>
  <c r="A289" i="114"/>
  <c r="F288" i="114"/>
  <c r="A288" i="114"/>
  <c r="F287" i="114"/>
  <c r="A287" i="114"/>
  <c r="F286" i="114"/>
  <c r="A286" i="114"/>
  <c r="F285" i="114"/>
  <c r="A285" i="114"/>
  <c r="F284" i="114"/>
  <c r="A284" i="114"/>
  <c r="F283" i="114"/>
  <c r="A283" i="114"/>
  <c r="F282" i="114"/>
  <c r="A282" i="114"/>
  <c r="F281" i="114"/>
  <c r="A281" i="114"/>
  <c r="F280" i="114"/>
  <c r="A280" i="114"/>
  <c r="F279" i="114"/>
  <c r="A279" i="114"/>
  <c r="F278" i="114"/>
  <c r="A278" i="114"/>
  <c r="F277" i="114"/>
  <c r="A277" i="114"/>
  <c r="F276" i="114"/>
  <c r="A276" i="114"/>
  <c r="F275" i="114"/>
  <c r="A275" i="114"/>
  <c r="F274" i="114"/>
  <c r="A274" i="114"/>
  <c r="F273" i="114"/>
  <c r="A273" i="114"/>
  <c r="F272" i="114"/>
  <c r="A272" i="114"/>
  <c r="F271" i="114"/>
  <c r="A271" i="114"/>
  <c r="F270" i="114"/>
  <c r="A270" i="114"/>
  <c r="F269" i="114"/>
  <c r="A269" i="114"/>
  <c r="F268" i="114"/>
  <c r="A268" i="114"/>
  <c r="F267" i="114"/>
  <c r="A267" i="114"/>
  <c r="F266" i="114"/>
  <c r="A266" i="114"/>
  <c r="F265" i="114"/>
  <c r="A265" i="114"/>
  <c r="F264" i="114"/>
  <c r="A264" i="114"/>
  <c r="F263" i="114"/>
  <c r="A263" i="114"/>
  <c r="F262" i="114"/>
  <c r="A262" i="114"/>
  <c r="F261" i="114"/>
  <c r="A261" i="114"/>
  <c r="F260" i="114"/>
  <c r="A260" i="114"/>
  <c r="F259" i="114"/>
  <c r="A259" i="114"/>
  <c r="F258" i="114"/>
  <c r="A258" i="114"/>
  <c r="F257" i="114"/>
  <c r="A257" i="114"/>
  <c r="F256" i="114"/>
  <c r="A256" i="114"/>
  <c r="F255" i="114"/>
  <c r="A255" i="114"/>
  <c r="F254" i="114"/>
  <c r="A254" i="114"/>
  <c r="F253" i="114"/>
  <c r="A253" i="114"/>
  <c r="F252" i="114"/>
  <c r="A252" i="114"/>
  <c r="F251" i="114"/>
  <c r="A251" i="114"/>
  <c r="F250" i="114"/>
  <c r="A250" i="114"/>
  <c r="F249" i="114"/>
  <c r="A249" i="114"/>
  <c r="F248" i="114"/>
  <c r="A248" i="114"/>
  <c r="F247" i="114"/>
  <c r="A247" i="114"/>
  <c r="F246" i="114"/>
  <c r="A246" i="114"/>
  <c r="F245" i="114"/>
  <c r="A245" i="114"/>
  <c r="F244" i="114"/>
  <c r="A244" i="114"/>
  <c r="F243" i="114"/>
  <c r="A243" i="114"/>
  <c r="F242" i="114"/>
  <c r="A242" i="114"/>
  <c r="F241" i="114"/>
  <c r="A241" i="114"/>
  <c r="F240" i="114"/>
  <c r="A240" i="114"/>
  <c r="F239" i="114"/>
  <c r="A239" i="114"/>
  <c r="F238" i="114"/>
  <c r="A238" i="114"/>
  <c r="F237" i="114"/>
  <c r="A237" i="114"/>
  <c r="F236" i="114"/>
  <c r="A236" i="114"/>
  <c r="F235" i="114"/>
  <c r="A235" i="114"/>
  <c r="F234" i="114"/>
  <c r="A234" i="114"/>
  <c r="F233" i="114"/>
  <c r="A233" i="114"/>
  <c r="F232" i="114"/>
  <c r="A232" i="114"/>
  <c r="F231" i="114"/>
  <c r="A231" i="114"/>
  <c r="F230" i="114"/>
  <c r="A230" i="114"/>
  <c r="F229" i="114"/>
  <c r="A229" i="114"/>
  <c r="F228" i="114"/>
  <c r="A228" i="114"/>
  <c r="F227" i="114"/>
  <c r="A227" i="114"/>
  <c r="F226" i="114"/>
  <c r="A226" i="114"/>
  <c r="F225" i="114"/>
  <c r="A225" i="114"/>
  <c r="F224" i="114"/>
  <c r="A224" i="114"/>
  <c r="F223" i="114"/>
  <c r="A223" i="114"/>
  <c r="F222" i="114"/>
  <c r="A222" i="114"/>
  <c r="F221" i="114"/>
  <c r="A221" i="114"/>
  <c r="F220" i="114"/>
  <c r="A220" i="114"/>
  <c r="F219" i="114"/>
  <c r="A219" i="114"/>
  <c r="F218" i="114"/>
  <c r="A218" i="114"/>
  <c r="F217" i="114"/>
  <c r="A217" i="114"/>
  <c r="F216" i="114"/>
  <c r="A216" i="114"/>
  <c r="F215" i="114"/>
  <c r="A215" i="114"/>
  <c r="F214" i="114"/>
  <c r="A214" i="114"/>
  <c r="F213" i="114"/>
  <c r="A213" i="114"/>
  <c r="F212" i="114"/>
  <c r="A212" i="114"/>
  <c r="F211" i="114"/>
  <c r="A211" i="114"/>
  <c r="F210" i="114"/>
  <c r="A210" i="114"/>
  <c r="F209" i="114"/>
  <c r="A209" i="114"/>
  <c r="F208" i="114"/>
  <c r="A208" i="114"/>
  <c r="F207" i="114"/>
  <c r="A207" i="114"/>
  <c r="F206" i="114"/>
  <c r="A206" i="114"/>
  <c r="F205" i="114"/>
  <c r="A205" i="114"/>
  <c r="F204" i="114"/>
  <c r="A204" i="114"/>
  <c r="F203" i="114"/>
  <c r="A203" i="114"/>
  <c r="F202" i="114"/>
  <c r="A202" i="114"/>
  <c r="F201" i="114"/>
  <c r="A201" i="114"/>
  <c r="F200" i="114"/>
  <c r="A200" i="114"/>
  <c r="F199" i="114"/>
  <c r="A199" i="114"/>
  <c r="F198" i="114"/>
  <c r="A198" i="114"/>
  <c r="F197" i="114"/>
  <c r="A197" i="114"/>
  <c r="F196" i="114"/>
  <c r="A196" i="114"/>
  <c r="F195" i="114"/>
  <c r="A195" i="114"/>
  <c r="F194" i="114"/>
  <c r="A194" i="114"/>
  <c r="F193" i="114"/>
  <c r="A193" i="114"/>
  <c r="F192" i="114"/>
  <c r="A192" i="114"/>
  <c r="F191" i="114"/>
  <c r="A191" i="114"/>
  <c r="F190" i="114"/>
  <c r="A190" i="114"/>
  <c r="F189" i="114"/>
  <c r="A189" i="114"/>
  <c r="F188" i="114"/>
  <c r="A188" i="114"/>
  <c r="F187" i="114"/>
  <c r="A187" i="114"/>
  <c r="F186" i="114"/>
  <c r="A186" i="114"/>
  <c r="F185" i="114"/>
  <c r="A185" i="114"/>
  <c r="F184" i="114"/>
  <c r="A184" i="114"/>
  <c r="F183" i="114"/>
  <c r="A183" i="114"/>
  <c r="F182" i="114"/>
  <c r="A182" i="114"/>
  <c r="F181" i="114"/>
  <c r="A181" i="114"/>
  <c r="F180" i="114"/>
  <c r="A180" i="114"/>
  <c r="F179" i="114"/>
  <c r="A179" i="114"/>
  <c r="F178" i="114"/>
  <c r="A178" i="114"/>
  <c r="F177" i="114"/>
  <c r="A177" i="114"/>
  <c r="F176" i="114"/>
  <c r="A176" i="114"/>
  <c r="F175" i="114"/>
  <c r="A175" i="114"/>
  <c r="F174" i="114"/>
  <c r="A174" i="114"/>
  <c r="F173" i="114"/>
  <c r="A173" i="114"/>
  <c r="F172" i="114"/>
  <c r="A172" i="114"/>
  <c r="F171" i="114"/>
  <c r="A171" i="114"/>
  <c r="F170" i="114"/>
  <c r="A170" i="114"/>
  <c r="F169" i="114"/>
  <c r="A169" i="114"/>
  <c r="F168" i="114"/>
  <c r="A168" i="114"/>
  <c r="F167" i="114"/>
  <c r="A167" i="114"/>
  <c r="F166" i="114"/>
  <c r="A166" i="114"/>
  <c r="F165" i="114"/>
  <c r="A165" i="114"/>
  <c r="F164" i="114"/>
  <c r="A164" i="114"/>
  <c r="F163" i="114"/>
  <c r="A163" i="114"/>
  <c r="F162" i="114"/>
  <c r="A162" i="114"/>
  <c r="F161" i="114"/>
  <c r="A161" i="114"/>
  <c r="L12" i="114"/>
  <c r="L19" i="114" s="1"/>
  <c r="G39" i="123" s="1"/>
  <c r="K12" i="114"/>
  <c r="K19" i="114" s="1"/>
  <c r="D39" i="123" s="1"/>
  <c r="J12" i="114"/>
  <c r="J19" i="114" s="1"/>
  <c r="L11" i="114"/>
  <c r="L18" i="114" s="1"/>
  <c r="K11" i="114"/>
  <c r="K18" i="114" s="1"/>
  <c r="J11" i="114"/>
  <c r="J18" i="114" s="1"/>
  <c r="L7" i="114"/>
  <c r="K7" i="114"/>
  <c r="J7" i="114"/>
  <c r="L6" i="114"/>
  <c r="K6" i="114"/>
  <c r="J6" i="114"/>
  <c r="L5" i="114"/>
  <c r="K5" i="114"/>
  <c r="J5" i="114"/>
  <c r="L4" i="114"/>
  <c r="K4" i="114"/>
  <c r="J4" i="114"/>
  <c r="L3" i="114"/>
  <c r="L16" i="114" s="1"/>
  <c r="E39" i="123" s="1"/>
  <c r="K3" i="114"/>
  <c r="K16" i="114" s="1"/>
  <c r="B39" i="123" s="1"/>
  <c r="J3" i="114"/>
  <c r="J16" i="114" s="1"/>
  <c r="F339" i="113"/>
  <c r="A339" i="113"/>
  <c r="F338" i="113"/>
  <c r="A338" i="113"/>
  <c r="F337" i="113"/>
  <c r="A337" i="113"/>
  <c r="F336" i="113"/>
  <c r="A336" i="113"/>
  <c r="F335" i="113"/>
  <c r="A335" i="113"/>
  <c r="F334" i="113"/>
  <c r="A334" i="113"/>
  <c r="F333" i="113"/>
  <c r="A333" i="113"/>
  <c r="F332" i="113"/>
  <c r="A332" i="113"/>
  <c r="F331" i="113"/>
  <c r="A331" i="113"/>
  <c r="F330" i="113"/>
  <c r="A330" i="113"/>
  <c r="F329" i="113"/>
  <c r="A329" i="113"/>
  <c r="F328" i="113"/>
  <c r="A328" i="113"/>
  <c r="F327" i="113"/>
  <c r="A327" i="113"/>
  <c r="F326" i="113"/>
  <c r="A326" i="113"/>
  <c r="F325" i="113"/>
  <c r="A325" i="113"/>
  <c r="F324" i="113"/>
  <c r="A324" i="113"/>
  <c r="F323" i="113"/>
  <c r="A323" i="113"/>
  <c r="F322" i="113"/>
  <c r="A322" i="113"/>
  <c r="F321" i="113"/>
  <c r="A321" i="113"/>
  <c r="F320" i="113"/>
  <c r="A320" i="113"/>
  <c r="F319" i="113"/>
  <c r="A319" i="113"/>
  <c r="F318" i="113"/>
  <c r="A318" i="113"/>
  <c r="F317" i="113"/>
  <c r="A317" i="113"/>
  <c r="F316" i="113"/>
  <c r="A316" i="113"/>
  <c r="F315" i="113"/>
  <c r="A315" i="113"/>
  <c r="F314" i="113"/>
  <c r="A314" i="113"/>
  <c r="F313" i="113"/>
  <c r="A313" i="113"/>
  <c r="F312" i="113"/>
  <c r="A312" i="113"/>
  <c r="F311" i="113"/>
  <c r="A311" i="113"/>
  <c r="F310" i="113"/>
  <c r="A310" i="113"/>
  <c r="F309" i="113"/>
  <c r="A309" i="113"/>
  <c r="F308" i="113"/>
  <c r="A308" i="113"/>
  <c r="F307" i="113"/>
  <c r="A307" i="113"/>
  <c r="F306" i="113"/>
  <c r="A306" i="113"/>
  <c r="F305" i="113"/>
  <c r="A305" i="113"/>
  <c r="F304" i="113"/>
  <c r="A304" i="113"/>
  <c r="F303" i="113"/>
  <c r="A303" i="113"/>
  <c r="F302" i="113"/>
  <c r="A302" i="113"/>
  <c r="F301" i="113"/>
  <c r="A301" i="113"/>
  <c r="F300" i="113"/>
  <c r="A300" i="113"/>
  <c r="F299" i="113"/>
  <c r="A299" i="113"/>
  <c r="F298" i="113"/>
  <c r="A298" i="113"/>
  <c r="F297" i="113"/>
  <c r="A297" i="113"/>
  <c r="F296" i="113"/>
  <c r="A296" i="113"/>
  <c r="F295" i="113"/>
  <c r="A295" i="113"/>
  <c r="F294" i="113"/>
  <c r="A294" i="113"/>
  <c r="F293" i="113"/>
  <c r="A293" i="113"/>
  <c r="F292" i="113"/>
  <c r="A292" i="113"/>
  <c r="F291" i="113"/>
  <c r="A291" i="113"/>
  <c r="F290" i="113"/>
  <c r="A290" i="113"/>
  <c r="F289" i="113"/>
  <c r="A289" i="113"/>
  <c r="F288" i="113"/>
  <c r="A288" i="113"/>
  <c r="F287" i="113"/>
  <c r="A287" i="113"/>
  <c r="F286" i="113"/>
  <c r="A286" i="113"/>
  <c r="F285" i="113"/>
  <c r="A285" i="113"/>
  <c r="F284" i="113"/>
  <c r="A284" i="113"/>
  <c r="F283" i="113"/>
  <c r="A283" i="113"/>
  <c r="F282" i="113"/>
  <c r="A282" i="113"/>
  <c r="F281" i="113"/>
  <c r="A281" i="113"/>
  <c r="F280" i="113"/>
  <c r="A280" i="113"/>
  <c r="F279" i="113"/>
  <c r="A279" i="113"/>
  <c r="F278" i="113"/>
  <c r="A278" i="113"/>
  <c r="F277" i="113"/>
  <c r="A277" i="113"/>
  <c r="F276" i="113"/>
  <c r="A276" i="113"/>
  <c r="F275" i="113"/>
  <c r="A275" i="113"/>
  <c r="F274" i="113"/>
  <c r="A274" i="113"/>
  <c r="F273" i="113"/>
  <c r="A273" i="113"/>
  <c r="F272" i="113"/>
  <c r="A272" i="113"/>
  <c r="F271" i="113"/>
  <c r="A271" i="113"/>
  <c r="F270" i="113"/>
  <c r="A270" i="113"/>
  <c r="F269" i="113"/>
  <c r="A269" i="113"/>
  <c r="F268" i="113"/>
  <c r="A268" i="113"/>
  <c r="F267" i="113"/>
  <c r="A267" i="113"/>
  <c r="F266" i="113"/>
  <c r="A266" i="113"/>
  <c r="F265" i="113"/>
  <c r="A265" i="113"/>
  <c r="F264" i="113"/>
  <c r="A264" i="113"/>
  <c r="F263" i="113"/>
  <c r="A263" i="113"/>
  <c r="F262" i="113"/>
  <c r="A262" i="113"/>
  <c r="F261" i="113"/>
  <c r="A261" i="113"/>
  <c r="F260" i="113"/>
  <c r="A260" i="113"/>
  <c r="F259" i="113"/>
  <c r="A259" i="113"/>
  <c r="F258" i="113"/>
  <c r="A258" i="113"/>
  <c r="F257" i="113"/>
  <c r="A257" i="113"/>
  <c r="F256" i="113"/>
  <c r="A256" i="113"/>
  <c r="F255" i="113"/>
  <c r="A255" i="113"/>
  <c r="F254" i="113"/>
  <c r="A254" i="113"/>
  <c r="F253" i="113"/>
  <c r="A253" i="113"/>
  <c r="F252" i="113"/>
  <c r="A252" i="113"/>
  <c r="F251" i="113"/>
  <c r="A251" i="113"/>
  <c r="F250" i="113"/>
  <c r="A250" i="113"/>
  <c r="F249" i="113"/>
  <c r="A249" i="113"/>
  <c r="F248" i="113"/>
  <c r="A248" i="113"/>
  <c r="F247" i="113"/>
  <c r="A247" i="113"/>
  <c r="F246" i="113"/>
  <c r="A246" i="113"/>
  <c r="F245" i="113"/>
  <c r="A245" i="113"/>
  <c r="F244" i="113"/>
  <c r="A244" i="113"/>
  <c r="F243" i="113"/>
  <c r="A243" i="113"/>
  <c r="F242" i="113"/>
  <c r="A242" i="113"/>
  <c r="F241" i="113"/>
  <c r="A241" i="113"/>
  <c r="F240" i="113"/>
  <c r="A240" i="113"/>
  <c r="F239" i="113"/>
  <c r="A239" i="113"/>
  <c r="F238" i="113"/>
  <c r="A238" i="113"/>
  <c r="F237" i="113"/>
  <c r="A237" i="113"/>
  <c r="F236" i="113"/>
  <c r="A236" i="113"/>
  <c r="F235" i="113"/>
  <c r="A235" i="113"/>
  <c r="F234" i="113"/>
  <c r="A234" i="113"/>
  <c r="F233" i="113"/>
  <c r="A233" i="113"/>
  <c r="F232" i="113"/>
  <c r="A232" i="113"/>
  <c r="F231" i="113"/>
  <c r="A231" i="113"/>
  <c r="F230" i="113"/>
  <c r="A230" i="113"/>
  <c r="F229" i="113"/>
  <c r="A229" i="113"/>
  <c r="F228" i="113"/>
  <c r="A228" i="113"/>
  <c r="F227" i="113"/>
  <c r="A227" i="113"/>
  <c r="F226" i="113"/>
  <c r="A226" i="113"/>
  <c r="F225" i="113"/>
  <c r="A225" i="113"/>
  <c r="F224" i="113"/>
  <c r="A224" i="113"/>
  <c r="F223" i="113"/>
  <c r="A223" i="113"/>
  <c r="F222" i="113"/>
  <c r="A222" i="113"/>
  <c r="F221" i="113"/>
  <c r="A221" i="113"/>
  <c r="F220" i="113"/>
  <c r="A220" i="113"/>
  <c r="F219" i="113"/>
  <c r="A219" i="113"/>
  <c r="F218" i="113"/>
  <c r="A218" i="113"/>
  <c r="F217" i="113"/>
  <c r="A217" i="113"/>
  <c r="F216" i="113"/>
  <c r="A216" i="113"/>
  <c r="F215" i="113"/>
  <c r="A215" i="113"/>
  <c r="F214" i="113"/>
  <c r="A214" i="113"/>
  <c r="F213" i="113"/>
  <c r="A213" i="113"/>
  <c r="F212" i="113"/>
  <c r="A212" i="113"/>
  <c r="F211" i="113"/>
  <c r="A211" i="113"/>
  <c r="F210" i="113"/>
  <c r="A210" i="113"/>
  <c r="F209" i="113"/>
  <c r="A209" i="113"/>
  <c r="F208" i="113"/>
  <c r="A208" i="113"/>
  <c r="F207" i="113"/>
  <c r="A207" i="113"/>
  <c r="F206" i="113"/>
  <c r="A206" i="113"/>
  <c r="F205" i="113"/>
  <c r="A205" i="113"/>
  <c r="F204" i="113"/>
  <c r="A204" i="113"/>
  <c r="F203" i="113"/>
  <c r="A203" i="113"/>
  <c r="F202" i="113"/>
  <c r="A202" i="113"/>
  <c r="F201" i="113"/>
  <c r="A201" i="113"/>
  <c r="F200" i="113"/>
  <c r="A200" i="113"/>
  <c r="F199" i="113"/>
  <c r="A199" i="113"/>
  <c r="F198" i="113"/>
  <c r="A198" i="113"/>
  <c r="F197" i="113"/>
  <c r="A197" i="113"/>
  <c r="F196" i="113"/>
  <c r="A196" i="113"/>
  <c r="F195" i="113"/>
  <c r="A195" i="113"/>
  <c r="F194" i="113"/>
  <c r="A194" i="113"/>
  <c r="F193" i="113"/>
  <c r="A193" i="113"/>
  <c r="F192" i="113"/>
  <c r="A192" i="113"/>
  <c r="F191" i="113"/>
  <c r="A191" i="113"/>
  <c r="F190" i="113"/>
  <c r="A190" i="113"/>
  <c r="F189" i="113"/>
  <c r="A189" i="113"/>
  <c r="F188" i="113"/>
  <c r="A188" i="113"/>
  <c r="F187" i="113"/>
  <c r="A187" i="113"/>
  <c r="F186" i="113"/>
  <c r="A186" i="113"/>
  <c r="F185" i="113"/>
  <c r="A185" i="113"/>
  <c r="F184" i="113"/>
  <c r="A184" i="113"/>
  <c r="F183" i="113"/>
  <c r="A183" i="113"/>
  <c r="F182" i="113"/>
  <c r="A182" i="113"/>
  <c r="F181" i="113"/>
  <c r="A181" i="113"/>
  <c r="F180" i="113"/>
  <c r="A180" i="113"/>
  <c r="F179" i="113"/>
  <c r="A179" i="113"/>
  <c r="F178" i="113"/>
  <c r="A178" i="113"/>
  <c r="F177" i="113"/>
  <c r="A177" i="113"/>
  <c r="F176" i="113"/>
  <c r="A176" i="113"/>
  <c r="F175" i="113"/>
  <c r="A175" i="113"/>
  <c r="F174" i="113"/>
  <c r="A174" i="113"/>
  <c r="F173" i="113"/>
  <c r="A173" i="113"/>
  <c r="F172" i="113"/>
  <c r="A172" i="113"/>
  <c r="F171" i="113"/>
  <c r="A171" i="113"/>
  <c r="F170" i="113"/>
  <c r="A170" i="113"/>
  <c r="F169" i="113"/>
  <c r="A169" i="113"/>
  <c r="F168" i="113"/>
  <c r="A168" i="113"/>
  <c r="F167" i="113"/>
  <c r="A167" i="113"/>
  <c r="F166" i="113"/>
  <c r="A166" i="113"/>
  <c r="F165" i="113"/>
  <c r="A165" i="113"/>
  <c r="F164" i="113"/>
  <c r="A164" i="113"/>
  <c r="F163" i="113"/>
  <c r="A163" i="113"/>
  <c r="F162" i="113"/>
  <c r="A162" i="113"/>
  <c r="F161" i="113"/>
  <c r="A161" i="113"/>
  <c r="L12" i="113"/>
  <c r="L19" i="113" s="1"/>
  <c r="G38" i="123" s="1"/>
  <c r="K12" i="113"/>
  <c r="K19" i="113" s="1"/>
  <c r="D38" i="123" s="1"/>
  <c r="J12" i="113"/>
  <c r="J19" i="113" s="1"/>
  <c r="L11" i="113"/>
  <c r="L18" i="113" s="1"/>
  <c r="K11" i="113"/>
  <c r="K18" i="113" s="1"/>
  <c r="J11" i="113"/>
  <c r="J18" i="113" s="1"/>
  <c r="L10" i="113"/>
  <c r="K10" i="113"/>
  <c r="J10" i="113"/>
  <c r="L7" i="113"/>
  <c r="K7" i="113"/>
  <c r="J7" i="113"/>
  <c r="L6" i="113"/>
  <c r="K6" i="113"/>
  <c r="J6" i="113"/>
  <c r="L5" i="113"/>
  <c r="J4" i="113"/>
  <c r="L4" i="113"/>
  <c r="F339" i="112"/>
  <c r="A339" i="112"/>
  <c r="F338" i="112"/>
  <c r="A338" i="112"/>
  <c r="F337" i="112"/>
  <c r="A337" i="112"/>
  <c r="F336" i="112"/>
  <c r="A336" i="112"/>
  <c r="F335" i="112"/>
  <c r="A335" i="112"/>
  <c r="F334" i="112"/>
  <c r="A334" i="112"/>
  <c r="F333" i="112"/>
  <c r="A333" i="112"/>
  <c r="F332" i="112"/>
  <c r="A332" i="112"/>
  <c r="F331" i="112"/>
  <c r="A331" i="112"/>
  <c r="F330" i="112"/>
  <c r="A330" i="112"/>
  <c r="F329" i="112"/>
  <c r="A329" i="112"/>
  <c r="F328" i="112"/>
  <c r="A328" i="112"/>
  <c r="F327" i="112"/>
  <c r="A327" i="112"/>
  <c r="F326" i="112"/>
  <c r="A326" i="112"/>
  <c r="F325" i="112"/>
  <c r="A325" i="112"/>
  <c r="F324" i="112"/>
  <c r="A324" i="112"/>
  <c r="F323" i="112"/>
  <c r="A323" i="112"/>
  <c r="F322" i="112"/>
  <c r="A322" i="112"/>
  <c r="F321" i="112"/>
  <c r="A321" i="112"/>
  <c r="F320" i="112"/>
  <c r="A320" i="112"/>
  <c r="F319" i="112"/>
  <c r="A319" i="112"/>
  <c r="F318" i="112"/>
  <c r="A318" i="112"/>
  <c r="F317" i="112"/>
  <c r="A317" i="112"/>
  <c r="F316" i="112"/>
  <c r="A316" i="112"/>
  <c r="F315" i="112"/>
  <c r="A315" i="112"/>
  <c r="F314" i="112"/>
  <c r="A314" i="112"/>
  <c r="F313" i="112"/>
  <c r="A313" i="112"/>
  <c r="F312" i="112"/>
  <c r="A312" i="112"/>
  <c r="F311" i="112"/>
  <c r="A311" i="112"/>
  <c r="F310" i="112"/>
  <c r="A310" i="112"/>
  <c r="F309" i="112"/>
  <c r="A309" i="112"/>
  <c r="F308" i="112"/>
  <c r="A308" i="112"/>
  <c r="F307" i="112"/>
  <c r="A307" i="112"/>
  <c r="F306" i="112"/>
  <c r="A306" i="112"/>
  <c r="F305" i="112"/>
  <c r="A305" i="112"/>
  <c r="F304" i="112"/>
  <c r="A304" i="112"/>
  <c r="F303" i="112"/>
  <c r="A303" i="112"/>
  <c r="F302" i="112"/>
  <c r="A302" i="112"/>
  <c r="F301" i="112"/>
  <c r="A301" i="112"/>
  <c r="F300" i="112"/>
  <c r="A300" i="112"/>
  <c r="F299" i="112"/>
  <c r="A299" i="112"/>
  <c r="F298" i="112"/>
  <c r="A298" i="112"/>
  <c r="F297" i="112"/>
  <c r="A297" i="112"/>
  <c r="F296" i="112"/>
  <c r="A296" i="112"/>
  <c r="F295" i="112"/>
  <c r="A295" i="112"/>
  <c r="F294" i="112"/>
  <c r="A294" i="112"/>
  <c r="F293" i="112"/>
  <c r="A293" i="112"/>
  <c r="F292" i="112"/>
  <c r="A292" i="112"/>
  <c r="F291" i="112"/>
  <c r="A291" i="112"/>
  <c r="F290" i="112"/>
  <c r="A290" i="112"/>
  <c r="F289" i="112"/>
  <c r="A289" i="112"/>
  <c r="F288" i="112"/>
  <c r="A288" i="112"/>
  <c r="F287" i="112"/>
  <c r="A287" i="112"/>
  <c r="F286" i="112"/>
  <c r="A286" i="112"/>
  <c r="F285" i="112"/>
  <c r="A285" i="112"/>
  <c r="F284" i="112"/>
  <c r="A284" i="112"/>
  <c r="F283" i="112"/>
  <c r="A283" i="112"/>
  <c r="F282" i="112"/>
  <c r="A282" i="112"/>
  <c r="F281" i="112"/>
  <c r="A281" i="112"/>
  <c r="F280" i="112"/>
  <c r="A280" i="112"/>
  <c r="F279" i="112"/>
  <c r="A279" i="112"/>
  <c r="F278" i="112"/>
  <c r="A278" i="112"/>
  <c r="F277" i="112"/>
  <c r="A277" i="112"/>
  <c r="F276" i="112"/>
  <c r="A276" i="112"/>
  <c r="F275" i="112"/>
  <c r="A275" i="112"/>
  <c r="F274" i="112"/>
  <c r="A274" i="112"/>
  <c r="F273" i="112"/>
  <c r="A273" i="112"/>
  <c r="F272" i="112"/>
  <c r="A272" i="112"/>
  <c r="F271" i="112"/>
  <c r="A271" i="112"/>
  <c r="F270" i="112"/>
  <c r="A270" i="112"/>
  <c r="F269" i="112"/>
  <c r="A269" i="112"/>
  <c r="F268" i="112"/>
  <c r="A268" i="112"/>
  <c r="F267" i="112"/>
  <c r="A267" i="112"/>
  <c r="F266" i="112"/>
  <c r="A266" i="112"/>
  <c r="F265" i="112"/>
  <c r="A265" i="112"/>
  <c r="F264" i="112"/>
  <c r="A264" i="112"/>
  <c r="F263" i="112"/>
  <c r="A263" i="112"/>
  <c r="F262" i="112"/>
  <c r="A262" i="112"/>
  <c r="F261" i="112"/>
  <c r="A261" i="112"/>
  <c r="F260" i="112"/>
  <c r="A260" i="112"/>
  <c r="F259" i="112"/>
  <c r="A259" i="112"/>
  <c r="F258" i="112"/>
  <c r="A258" i="112"/>
  <c r="F257" i="112"/>
  <c r="A257" i="112"/>
  <c r="F256" i="112"/>
  <c r="A256" i="112"/>
  <c r="F255" i="112"/>
  <c r="A255" i="112"/>
  <c r="F254" i="112"/>
  <c r="A254" i="112"/>
  <c r="F253" i="112"/>
  <c r="A253" i="112"/>
  <c r="F252" i="112"/>
  <c r="A252" i="112"/>
  <c r="F251" i="112"/>
  <c r="A251" i="112"/>
  <c r="F250" i="112"/>
  <c r="A250" i="112"/>
  <c r="F249" i="112"/>
  <c r="A249" i="112"/>
  <c r="F248" i="112"/>
  <c r="A248" i="112"/>
  <c r="F247" i="112"/>
  <c r="A247" i="112"/>
  <c r="F246" i="112"/>
  <c r="A246" i="112"/>
  <c r="F245" i="112"/>
  <c r="A245" i="112"/>
  <c r="F244" i="112"/>
  <c r="A244" i="112"/>
  <c r="F243" i="112"/>
  <c r="A243" i="112"/>
  <c r="F242" i="112"/>
  <c r="A242" i="112"/>
  <c r="F241" i="112"/>
  <c r="A241" i="112"/>
  <c r="F240" i="112"/>
  <c r="A240" i="112"/>
  <c r="F239" i="112"/>
  <c r="A239" i="112"/>
  <c r="F238" i="112"/>
  <c r="A238" i="112"/>
  <c r="F237" i="112"/>
  <c r="A237" i="112"/>
  <c r="F236" i="112"/>
  <c r="A236" i="112"/>
  <c r="F235" i="112"/>
  <c r="A235" i="112"/>
  <c r="F234" i="112"/>
  <c r="A234" i="112"/>
  <c r="F233" i="112"/>
  <c r="A233" i="112"/>
  <c r="F232" i="112"/>
  <c r="A232" i="112"/>
  <c r="F231" i="112"/>
  <c r="A231" i="112"/>
  <c r="F230" i="112"/>
  <c r="A230" i="112"/>
  <c r="F229" i="112"/>
  <c r="A229" i="112"/>
  <c r="F228" i="112"/>
  <c r="A228" i="112"/>
  <c r="F227" i="112"/>
  <c r="A227" i="112"/>
  <c r="F226" i="112"/>
  <c r="A226" i="112"/>
  <c r="F225" i="112"/>
  <c r="A225" i="112"/>
  <c r="F224" i="112"/>
  <c r="A224" i="112"/>
  <c r="F223" i="112"/>
  <c r="A223" i="112"/>
  <c r="F222" i="112"/>
  <c r="A222" i="112"/>
  <c r="F221" i="112"/>
  <c r="A221" i="112"/>
  <c r="F220" i="112"/>
  <c r="A220" i="112"/>
  <c r="F219" i="112"/>
  <c r="A219" i="112"/>
  <c r="F218" i="112"/>
  <c r="A218" i="112"/>
  <c r="F217" i="112"/>
  <c r="A217" i="112"/>
  <c r="F216" i="112"/>
  <c r="A216" i="112"/>
  <c r="F215" i="112"/>
  <c r="A215" i="112"/>
  <c r="F214" i="112"/>
  <c r="A214" i="112"/>
  <c r="F213" i="112"/>
  <c r="A213" i="112"/>
  <c r="F212" i="112"/>
  <c r="A212" i="112"/>
  <c r="F211" i="112"/>
  <c r="A211" i="112"/>
  <c r="F210" i="112"/>
  <c r="A210" i="112"/>
  <c r="F209" i="112"/>
  <c r="A209" i="112"/>
  <c r="F208" i="112"/>
  <c r="A208" i="112"/>
  <c r="F207" i="112"/>
  <c r="A207" i="112"/>
  <c r="F206" i="112"/>
  <c r="A206" i="112"/>
  <c r="F205" i="112"/>
  <c r="A205" i="112"/>
  <c r="F204" i="112"/>
  <c r="A204" i="112"/>
  <c r="F203" i="112"/>
  <c r="A203" i="112"/>
  <c r="F202" i="112"/>
  <c r="A202" i="112"/>
  <c r="F201" i="112"/>
  <c r="A201" i="112"/>
  <c r="F200" i="112"/>
  <c r="A200" i="112"/>
  <c r="F199" i="112"/>
  <c r="A199" i="112"/>
  <c r="F198" i="112"/>
  <c r="A198" i="112"/>
  <c r="F197" i="112"/>
  <c r="A197" i="112"/>
  <c r="F196" i="112"/>
  <c r="A196" i="112"/>
  <c r="F195" i="112"/>
  <c r="A195" i="112"/>
  <c r="F194" i="112"/>
  <c r="A194" i="112"/>
  <c r="F193" i="112"/>
  <c r="A193" i="112"/>
  <c r="F192" i="112"/>
  <c r="A192" i="112"/>
  <c r="F191" i="112"/>
  <c r="A191" i="112"/>
  <c r="F190" i="112"/>
  <c r="A190" i="112"/>
  <c r="F189" i="112"/>
  <c r="A189" i="112"/>
  <c r="F188" i="112"/>
  <c r="A188" i="112"/>
  <c r="F187" i="112"/>
  <c r="A187" i="112"/>
  <c r="F186" i="112"/>
  <c r="A186" i="112"/>
  <c r="F185" i="112"/>
  <c r="A185" i="112"/>
  <c r="F184" i="112"/>
  <c r="A184" i="112"/>
  <c r="F183" i="112"/>
  <c r="A183" i="112"/>
  <c r="F182" i="112"/>
  <c r="A182" i="112"/>
  <c r="F181" i="112"/>
  <c r="A181" i="112"/>
  <c r="F180" i="112"/>
  <c r="A180" i="112"/>
  <c r="F179" i="112"/>
  <c r="A179" i="112"/>
  <c r="F178" i="112"/>
  <c r="A178" i="112"/>
  <c r="F177" i="112"/>
  <c r="A177" i="112"/>
  <c r="F176" i="112"/>
  <c r="A176" i="112"/>
  <c r="F175" i="112"/>
  <c r="A175" i="112"/>
  <c r="F174" i="112"/>
  <c r="A174" i="112"/>
  <c r="F173" i="112"/>
  <c r="A173" i="112"/>
  <c r="F172" i="112"/>
  <c r="A172" i="112"/>
  <c r="F171" i="112"/>
  <c r="A171" i="112"/>
  <c r="F170" i="112"/>
  <c r="A170" i="112"/>
  <c r="F169" i="112"/>
  <c r="A169" i="112"/>
  <c r="F168" i="112"/>
  <c r="A168" i="112"/>
  <c r="F167" i="112"/>
  <c r="A167" i="112"/>
  <c r="F166" i="112"/>
  <c r="A166" i="112"/>
  <c r="F165" i="112"/>
  <c r="A165" i="112"/>
  <c r="F164" i="112"/>
  <c r="A164" i="112"/>
  <c r="F163" i="112"/>
  <c r="A163" i="112"/>
  <c r="F162" i="112"/>
  <c r="A162" i="112"/>
  <c r="F161" i="112"/>
  <c r="A161" i="112"/>
  <c r="L3" i="112"/>
  <c r="L16" i="112" s="1"/>
  <c r="E37" i="123" s="1"/>
  <c r="L12" i="112"/>
  <c r="L19" i="112" s="1"/>
  <c r="G37" i="123" s="1"/>
  <c r="K12" i="112"/>
  <c r="K19" i="112" s="1"/>
  <c r="D37" i="123" s="1"/>
  <c r="J12" i="112"/>
  <c r="J19" i="112" s="1"/>
  <c r="L11" i="112"/>
  <c r="L18" i="112" s="1"/>
  <c r="J11" i="112"/>
  <c r="J18" i="112" s="1"/>
  <c r="L7" i="112"/>
  <c r="K7" i="112"/>
  <c r="J7" i="112"/>
  <c r="L6" i="112"/>
  <c r="K6" i="112"/>
  <c r="J6" i="112"/>
  <c r="L5" i="112"/>
  <c r="K5" i="112"/>
  <c r="J5" i="112"/>
  <c r="L4" i="112"/>
  <c r="K4" i="112"/>
  <c r="J4" i="112"/>
  <c r="J3" i="112"/>
  <c r="J16" i="112" s="1"/>
  <c r="F339" i="111"/>
  <c r="A339" i="111"/>
  <c r="F338" i="111"/>
  <c r="A338" i="111"/>
  <c r="F337" i="111"/>
  <c r="A337" i="111"/>
  <c r="F336" i="111"/>
  <c r="A336" i="111"/>
  <c r="F335" i="111"/>
  <c r="A335" i="111"/>
  <c r="F334" i="111"/>
  <c r="A334" i="111"/>
  <c r="F333" i="111"/>
  <c r="A333" i="111"/>
  <c r="F332" i="111"/>
  <c r="A332" i="111"/>
  <c r="F331" i="111"/>
  <c r="A331" i="111"/>
  <c r="F330" i="111"/>
  <c r="A330" i="111"/>
  <c r="F329" i="111"/>
  <c r="A329" i="111"/>
  <c r="F328" i="111"/>
  <c r="A328" i="111"/>
  <c r="F327" i="111"/>
  <c r="A327" i="111"/>
  <c r="F326" i="111"/>
  <c r="A326" i="111"/>
  <c r="F325" i="111"/>
  <c r="A325" i="111"/>
  <c r="F324" i="111"/>
  <c r="A324" i="111"/>
  <c r="F323" i="111"/>
  <c r="A323" i="111"/>
  <c r="F322" i="111"/>
  <c r="A322" i="111"/>
  <c r="F321" i="111"/>
  <c r="A321" i="111"/>
  <c r="F320" i="111"/>
  <c r="A320" i="111"/>
  <c r="F319" i="111"/>
  <c r="A319" i="111"/>
  <c r="F318" i="111"/>
  <c r="A318" i="111"/>
  <c r="F317" i="111"/>
  <c r="A317" i="111"/>
  <c r="F316" i="111"/>
  <c r="A316" i="111"/>
  <c r="F315" i="111"/>
  <c r="A315" i="111"/>
  <c r="F314" i="111"/>
  <c r="A314" i="111"/>
  <c r="F313" i="111"/>
  <c r="A313" i="111"/>
  <c r="F312" i="111"/>
  <c r="A312" i="111"/>
  <c r="F311" i="111"/>
  <c r="A311" i="111"/>
  <c r="F310" i="111"/>
  <c r="A310" i="111"/>
  <c r="F309" i="111"/>
  <c r="A309" i="111"/>
  <c r="F308" i="111"/>
  <c r="A308" i="111"/>
  <c r="F307" i="111"/>
  <c r="A307" i="111"/>
  <c r="F306" i="111"/>
  <c r="A306" i="111"/>
  <c r="F305" i="111"/>
  <c r="A305" i="111"/>
  <c r="F304" i="111"/>
  <c r="A304" i="111"/>
  <c r="F303" i="111"/>
  <c r="A303" i="111"/>
  <c r="F302" i="111"/>
  <c r="A302" i="111"/>
  <c r="F301" i="111"/>
  <c r="A301" i="111"/>
  <c r="F300" i="111"/>
  <c r="A300" i="111"/>
  <c r="F299" i="111"/>
  <c r="A299" i="111"/>
  <c r="F298" i="111"/>
  <c r="A298" i="111"/>
  <c r="F297" i="111"/>
  <c r="A297" i="111"/>
  <c r="F296" i="111"/>
  <c r="A296" i="111"/>
  <c r="F295" i="111"/>
  <c r="A295" i="111"/>
  <c r="F294" i="111"/>
  <c r="A294" i="111"/>
  <c r="F293" i="111"/>
  <c r="A293" i="111"/>
  <c r="F292" i="111"/>
  <c r="A292" i="111"/>
  <c r="F291" i="111"/>
  <c r="A291" i="111"/>
  <c r="F290" i="111"/>
  <c r="A290" i="111"/>
  <c r="F289" i="111"/>
  <c r="A289" i="111"/>
  <c r="F288" i="111"/>
  <c r="A288" i="111"/>
  <c r="F287" i="111"/>
  <c r="A287" i="111"/>
  <c r="F286" i="111"/>
  <c r="A286" i="111"/>
  <c r="F285" i="111"/>
  <c r="A285" i="111"/>
  <c r="F284" i="111"/>
  <c r="A284" i="111"/>
  <c r="F283" i="111"/>
  <c r="A283" i="111"/>
  <c r="F282" i="111"/>
  <c r="A282" i="111"/>
  <c r="F281" i="111"/>
  <c r="A281" i="111"/>
  <c r="F280" i="111"/>
  <c r="A280" i="111"/>
  <c r="F279" i="111"/>
  <c r="A279" i="111"/>
  <c r="F278" i="111"/>
  <c r="A278" i="111"/>
  <c r="F277" i="111"/>
  <c r="A277" i="111"/>
  <c r="F276" i="111"/>
  <c r="A276" i="111"/>
  <c r="F275" i="111"/>
  <c r="A275" i="111"/>
  <c r="F274" i="111"/>
  <c r="A274" i="111"/>
  <c r="F273" i="111"/>
  <c r="A273" i="111"/>
  <c r="F272" i="111"/>
  <c r="A272" i="111"/>
  <c r="F271" i="111"/>
  <c r="A271" i="111"/>
  <c r="F270" i="111"/>
  <c r="A270" i="111"/>
  <c r="F269" i="111"/>
  <c r="A269" i="111"/>
  <c r="F268" i="111"/>
  <c r="A268" i="111"/>
  <c r="F267" i="111"/>
  <c r="A267" i="111"/>
  <c r="F266" i="111"/>
  <c r="A266" i="111"/>
  <c r="F265" i="111"/>
  <c r="A265" i="111"/>
  <c r="F264" i="111"/>
  <c r="A264" i="111"/>
  <c r="F263" i="111"/>
  <c r="A263" i="111"/>
  <c r="F262" i="111"/>
  <c r="A262" i="111"/>
  <c r="F261" i="111"/>
  <c r="A261" i="111"/>
  <c r="F260" i="111"/>
  <c r="A260" i="111"/>
  <c r="F259" i="111"/>
  <c r="A259" i="111"/>
  <c r="F258" i="111"/>
  <c r="A258" i="111"/>
  <c r="F257" i="111"/>
  <c r="A257" i="111"/>
  <c r="F256" i="111"/>
  <c r="A256" i="111"/>
  <c r="F255" i="111"/>
  <c r="A255" i="111"/>
  <c r="F254" i="111"/>
  <c r="A254" i="111"/>
  <c r="F253" i="111"/>
  <c r="A253" i="111"/>
  <c r="F252" i="111"/>
  <c r="A252" i="111"/>
  <c r="F251" i="111"/>
  <c r="A251" i="111"/>
  <c r="F250" i="111"/>
  <c r="A250" i="111"/>
  <c r="F249" i="111"/>
  <c r="A249" i="111"/>
  <c r="F248" i="111"/>
  <c r="A248" i="111"/>
  <c r="F247" i="111"/>
  <c r="A247" i="111"/>
  <c r="F246" i="111"/>
  <c r="A246" i="111"/>
  <c r="F245" i="111"/>
  <c r="A245" i="111"/>
  <c r="F244" i="111"/>
  <c r="A244" i="111"/>
  <c r="F243" i="111"/>
  <c r="A243" i="111"/>
  <c r="F242" i="111"/>
  <c r="A242" i="111"/>
  <c r="F241" i="111"/>
  <c r="A241" i="111"/>
  <c r="F240" i="111"/>
  <c r="A240" i="111"/>
  <c r="F239" i="111"/>
  <c r="A239" i="111"/>
  <c r="F238" i="111"/>
  <c r="A238" i="111"/>
  <c r="F237" i="111"/>
  <c r="A237" i="111"/>
  <c r="F236" i="111"/>
  <c r="A236" i="111"/>
  <c r="F235" i="111"/>
  <c r="A235" i="111"/>
  <c r="F234" i="111"/>
  <c r="A234" i="111"/>
  <c r="F233" i="111"/>
  <c r="A233" i="111"/>
  <c r="F232" i="111"/>
  <c r="A232" i="111"/>
  <c r="F231" i="111"/>
  <c r="A231" i="111"/>
  <c r="F230" i="111"/>
  <c r="A230" i="111"/>
  <c r="F229" i="111"/>
  <c r="A229" i="111"/>
  <c r="F228" i="111"/>
  <c r="A228" i="111"/>
  <c r="F227" i="111"/>
  <c r="A227" i="111"/>
  <c r="F226" i="111"/>
  <c r="A226" i="111"/>
  <c r="F225" i="111"/>
  <c r="A225" i="111"/>
  <c r="F224" i="111"/>
  <c r="A224" i="111"/>
  <c r="F223" i="111"/>
  <c r="A223" i="111"/>
  <c r="F222" i="111"/>
  <c r="A222" i="111"/>
  <c r="F221" i="111"/>
  <c r="A221" i="111"/>
  <c r="F220" i="111"/>
  <c r="A220" i="111"/>
  <c r="F219" i="111"/>
  <c r="A219" i="111"/>
  <c r="F218" i="111"/>
  <c r="A218" i="111"/>
  <c r="F217" i="111"/>
  <c r="A217" i="111"/>
  <c r="F216" i="111"/>
  <c r="A216" i="111"/>
  <c r="F215" i="111"/>
  <c r="A215" i="111"/>
  <c r="F214" i="111"/>
  <c r="A214" i="111"/>
  <c r="F213" i="111"/>
  <c r="A213" i="111"/>
  <c r="F212" i="111"/>
  <c r="A212" i="111"/>
  <c r="F211" i="111"/>
  <c r="A211" i="111"/>
  <c r="F210" i="111"/>
  <c r="A210" i="111"/>
  <c r="F209" i="111"/>
  <c r="A209" i="111"/>
  <c r="F208" i="111"/>
  <c r="A208" i="111"/>
  <c r="F207" i="111"/>
  <c r="A207" i="111"/>
  <c r="F206" i="111"/>
  <c r="A206" i="111"/>
  <c r="F205" i="111"/>
  <c r="A205" i="111"/>
  <c r="F204" i="111"/>
  <c r="A204" i="111"/>
  <c r="F203" i="111"/>
  <c r="A203" i="111"/>
  <c r="F202" i="111"/>
  <c r="A202" i="111"/>
  <c r="F201" i="111"/>
  <c r="A201" i="111"/>
  <c r="F200" i="111"/>
  <c r="A200" i="111"/>
  <c r="F199" i="111"/>
  <c r="A199" i="111"/>
  <c r="F198" i="111"/>
  <c r="A198" i="111"/>
  <c r="F197" i="111"/>
  <c r="A197" i="111"/>
  <c r="F196" i="111"/>
  <c r="A196" i="111"/>
  <c r="F195" i="111"/>
  <c r="A195" i="111"/>
  <c r="F194" i="111"/>
  <c r="A194" i="111"/>
  <c r="F193" i="111"/>
  <c r="A193" i="111"/>
  <c r="F192" i="111"/>
  <c r="A192" i="111"/>
  <c r="F191" i="111"/>
  <c r="A191" i="111"/>
  <c r="F190" i="111"/>
  <c r="A190" i="111"/>
  <c r="F189" i="111"/>
  <c r="A189" i="111"/>
  <c r="F188" i="111"/>
  <c r="A188" i="111"/>
  <c r="F187" i="111"/>
  <c r="A187" i="111"/>
  <c r="F186" i="111"/>
  <c r="A186" i="111"/>
  <c r="F185" i="111"/>
  <c r="A185" i="111"/>
  <c r="F184" i="111"/>
  <c r="A184" i="111"/>
  <c r="F183" i="111"/>
  <c r="A183" i="111"/>
  <c r="F182" i="111"/>
  <c r="A182" i="111"/>
  <c r="F181" i="111"/>
  <c r="A181" i="111"/>
  <c r="F180" i="111"/>
  <c r="A180" i="111"/>
  <c r="F179" i="111"/>
  <c r="A179" i="111"/>
  <c r="F178" i="111"/>
  <c r="A178" i="111"/>
  <c r="F177" i="111"/>
  <c r="A177" i="111"/>
  <c r="F176" i="111"/>
  <c r="A176" i="111"/>
  <c r="F175" i="111"/>
  <c r="A175" i="111"/>
  <c r="F174" i="111"/>
  <c r="A174" i="111"/>
  <c r="F173" i="111"/>
  <c r="A173" i="111"/>
  <c r="F172" i="111"/>
  <c r="A172" i="111"/>
  <c r="F171" i="111"/>
  <c r="A171" i="111"/>
  <c r="F170" i="111"/>
  <c r="A170" i="111"/>
  <c r="F169" i="111"/>
  <c r="A169" i="111"/>
  <c r="F168" i="111"/>
  <c r="A168" i="111"/>
  <c r="F167" i="111"/>
  <c r="A167" i="111"/>
  <c r="F166" i="111"/>
  <c r="A166" i="111"/>
  <c r="F165" i="111"/>
  <c r="A165" i="111"/>
  <c r="F164" i="111"/>
  <c r="A164" i="111"/>
  <c r="F163" i="111"/>
  <c r="A163" i="111"/>
  <c r="F162" i="111"/>
  <c r="A162" i="111"/>
  <c r="F161" i="111"/>
  <c r="A161" i="111"/>
  <c r="L12" i="111"/>
  <c r="L19" i="111" s="1"/>
  <c r="G36" i="123" s="1"/>
  <c r="K12" i="111"/>
  <c r="K19" i="111" s="1"/>
  <c r="D36" i="123" s="1"/>
  <c r="J12" i="111"/>
  <c r="J19" i="111" s="1"/>
  <c r="L11" i="111"/>
  <c r="L18" i="111" s="1"/>
  <c r="K11" i="111"/>
  <c r="K18" i="111" s="1"/>
  <c r="J11" i="111"/>
  <c r="J18" i="111" s="1"/>
  <c r="L10" i="111"/>
  <c r="K10" i="111"/>
  <c r="J10" i="111"/>
  <c r="L7" i="111"/>
  <c r="K7" i="111"/>
  <c r="J7" i="111"/>
  <c r="L6" i="111"/>
  <c r="K6" i="111"/>
  <c r="J6" i="111"/>
  <c r="L5" i="111"/>
  <c r="K5" i="111"/>
  <c r="J5" i="111"/>
  <c r="L4" i="111"/>
  <c r="K4" i="111"/>
  <c r="J4" i="111"/>
  <c r="K4" i="110"/>
  <c r="J4" i="110"/>
  <c r="K5" i="110"/>
  <c r="L12" i="110"/>
  <c r="L19" i="110" s="1"/>
  <c r="G35" i="123" s="1"/>
  <c r="K12" i="110"/>
  <c r="K19" i="110" s="1"/>
  <c r="D35" i="123" s="1"/>
  <c r="J12" i="110"/>
  <c r="J19" i="110" s="1"/>
  <c r="L11" i="110"/>
  <c r="L18" i="110" s="1"/>
  <c r="K11" i="110"/>
  <c r="K18" i="110" s="1"/>
  <c r="J11" i="110"/>
  <c r="J18" i="110" s="1"/>
  <c r="L10" i="110"/>
  <c r="K10" i="110"/>
  <c r="J10" i="110"/>
  <c r="L7" i="110"/>
  <c r="K7" i="110"/>
  <c r="J7" i="110"/>
  <c r="L6" i="110"/>
  <c r="K6" i="110"/>
  <c r="J6" i="110"/>
  <c r="L5" i="110"/>
  <c r="J5" i="110"/>
  <c r="F339" i="109"/>
  <c r="A339" i="109"/>
  <c r="F338" i="109"/>
  <c r="A338" i="109"/>
  <c r="F337" i="109"/>
  <c r="A337" i="109"/>
  <c r="F336" i="109"/>
  <c r="A336" i="109"/>
  <c r="F335" i="109"/>
  <c r="A335" i="109"/>
  <c r="F334" i="109"/>
  <c r="A334" i="109"/>
  <c r="F333" i="109"/>
  <c r="A333" i="109"/>
  <c r="F332" i="109"/>
  <c r="A332" i="109"/>
  <c r="F331" i="109"/>
  <c r="A331" i="109"/>
  <c r="F330" i="109"/>
  <c r="A330" i="109"/>
  <c r="F329" i="109"/>
  <c r="A329" i="109"/>
  <c r="F328" i="109"/>
  <c r="A328" i="109"/>
  <c r="F327" i="109"/>
  <c r="A327" i="109"/>
  <c r="F326" i="109"/>
  <c r="A326" i="109"/>
  <c r="F325" i="109"/>
  <c r="A325" i="109"/>
  <c r="F324" i="109"/>
  <c r="A324" i="109"/>
  <c r="F323" i="109"/>
  <c r="A323" i="109"/>
  <c r="F322" i="109"/>
  <c r="A322" i="109"/>
  <c r="F321" i="109"/>
  <c r="A321" i="109"/>
  <c r="F320" i="109"/>
  <c r="A320" i="109"/>
  <c r="F319" i="109"/>
  <c r="A319" i="109"/>
  <c r="F318" i="109"/>
  <c r="A318" i="109"/>
  <c r="F317" i="109"/>
  <c r="A317" i="109"/>
  <c r="F316" i="109"/>
  <c r="A316" i="109"/>
  <c r="F315" i="109"/>
  <c r="A315" i="109"/>
  <c r="F314" i="109"/>
  <c r="A314" i="109"/>
  <c r="F313" i="109"/>
  <c r="A313" i="109"/>
  <c r="F312" i="109"/>
  <c r="A312" i="109"/>
  <c r="F311" i="109"/>
  <c r="A311" i="109"/>
  <c r="F310" i="109"/>
  <c r="A310" i="109"/>
  <c r="F309" i="109"/>
  <c r="A309" i="109"/>
  <c r="F308" i="109"/>
  <c r="A308" i="109"/>
  <c r="F307" i="109"/>
  <c r="A307" i="109"/>
  <c r="F306" i="109"/>
  <c r="A306" i="109"/>
  <c r="F305" i="109"/>
  <c r="A305" i="109"/>
  <c r="F304" i="109"/>
  <c r="A304" i="109"/>
  <c r="F303" i="109"/>
  <c r="A303" i="109"/>
  <c r="F302" i="109"/>
  <c r="A302" i="109"/>
  <c r="F301" i="109"/>
  <c r="A301" i="109"/>
  <c r="F300" i="109"/>
  <c r="A300" i="109"/>
  <c r="F299" i="109"/>
  <c r="A299" i="109"/>
  <c r="F298" i="109"/>
  <c r="A298" i="109"/>
  <c r="F297" i="109"/>
  <c r="A297" i="109"/>
  <c r="F296" i="109"/>
  <c r="A296" i="109"/>
  <c r="F295" i="109"/>
  <c r="A295" i="109"/>
  <c r="F294" i="109"/>
  <c r="A294" i="109"/>
  <c r="F293" i="109"/>
  <c r="A293" i="109"/>
  <c r="F292" i="109"/>
  <c r="A292" i="109"/>
  <c r="F291" i="109"/>
  <c r="A291" i="109"/>
  <c r="F290" i="109"/>
  <c r="A290" i="109"/>
  <c r="F289" i="109"/>
  <c r="A289" i="109"/>
  <c r="F288" i="109"/>
  <c r="A288" i="109"/>
  <c r="F287" i="109"/>
  <c r="A287" i="109"/>
  <c r="F286" i="109"/>
  <c r="A286" i="109"/>
  <c r="F285" i="109"/>
  <c r="A285" i="109"/>
  <c r="F284" i="109"/>
  <c r="A284" i="109"/>
  <c r="F283" i="109"/>
  <c r="A283" i="109"/>
  <c r="F282" i="109"/>
  <c r="A282" i="109"/>
  <c r="F281" i="109"/>
  <c r="A281" i="109"/>
  <c r="F280" i="109"/>
  <c r="A280" i="109"/>
  <c r="F279" i="109"/>
  <c r="A279" i="109"/>
  <c r="F278" i="109"/>
  <c r="A278" i="109"/>
  <c r="F277" i="109"/>
  <c r="A277" i="109"/>
  <c r="F276" i="109"/>
  <c r="A276" i="109"/>
  <c r="F275" i="109"/>
  <c r="A275" i="109"/>
  <c r="F274" i="109"/>
  <c r="A274" i="109"/>
  <c r="F273" i="109"/>
  <c r="A273" i="109"/>
  <c r="F272" i="109"/>
  <c r="A272" i="109"/>
  <c r="F271" i="109"/>
  <c r="A271" i="109"/>
  <c r="F270" i="109"/>
  <c r="A270" i="109"/>
  <c r="F269" i="109"/>
  <c r="A269" i="109"/>
  <c r="F268" i="109"/>
  <c r="A268" i="109"/>
  <c r="F267" i="109"/>
  <c r="A267" i="109"/>
  <c r="F266" i="109"/>
  <c r="A266" i="109"/>
  <c r="F265" i="109"/>
  <c r="A265" i="109"/>
  <c r="F264" i="109"/>
  <c r="A264" i="109"/>
  <c r="F263" i="109"/>
  <c r="A263" i="109"/>
  <c r="F262" i="109"/>
  <c r="A262" i="109"/>
  <c r="F261" i="109"/>
  <c r="A261" i="109"/>
  <c r="F260" i="109"/>
  <c r="A260" i="109"/>
  <c r="F259" i="109"/>
  <c r="A259" i="109"/>
  <c r="F258" i="109"/>
  <c r="A258" i="109"/>
  <c r="F257" i="109"/>
  <c r="A257" i="109"/>
  <c r="F256" i="109"/>
  <c r="A256" i="109"/>
  <c r="F255" i="109"/>
  <c r="A255" i="109"/>
  <c r="F254" i="109"/>
  <c r="A254" i="109"/>
  <c r="F253" i="109"/>
  <c r="A253" i="109"/>
  <c r="F252" i="109"/>
  <c r="A252" i="109"/>
  <c r="F251" i="109"/>
  <c r="A251" i="109"/>
  <c r="F250" i="109"/>
  <c r="A250" i="109"/>
  <c r="F249" i="109"/>
  <c r="A249" i="109"/>
  <c r="F248" i="109"/>
  <c r="A248" i="109"/>
  <c r="F247" i="109"/>
  <c r="A247" i="109"/>
  <c r="F246" i="109"/>
  <c r="A246" i="109"/>
  <c r="F245" i="109"/>
  <c r="A245" i="109"/>
  <c r="F244" i="109"/>
  <c r="A244" i="109"/>
  <c r="F243" i="109"/>
  <c r="A243" i="109"/>
  <c r="F242" i="109"/>
  <c r="A242" i="109"/>
  <c r="F241" i="109"/>
  <c r="A241" i="109"/>
  <c r="F240" i="109"/>
  <c r="A240" i="109"/>
  <c r="F239" i="109"/>
  <c r="A239" i="109"/>
  <c r="F238" i="109"/>
  <c r="A238" i="109"/>
  <c r="F237" i="109"/>
  <c r="A237" i="109"/>
  <c r="F236" i="109"/>
  <c r="A236" i="109"/>
  <c r="F235" i="109"/>
  <c r="A235" i="109"/>
  <c r="F234" i="109"/>
  <c r="A234" i="109"/>
  <c r="F233" i="109"/>
  <c r="A233" i="109"/>
  <c r="F232" i="109"/>
  <c r="A232" i="109"/>
  <c r="F231" i="109"/>
  <c r="A231" i="109"/>
  <c r="F230" i="109"/>
  <c r="A230" i="109"/>
  <c r="F229" i="109"/>
  <c r="A229" i="109"/>
  <c r="F228" i="109"/>
  <c r="A228" i="109"/>
  <c r="F227" i="109"/>
  <c r="A227" i="109"/>
  <c r="F226" i="109"/>
  <c r="A226" i="109"/>
  <c r="F225" i="109"/>
  <c r="A225" i="109"/>
  <c r="F224" i="109"/>
  <c r="A224" i="109"/>
  <c r="F223" i="109"/>
  <c r="A223" i="109"/>
  <c r="F222" i="109"/>
  <c r="A222" i="109"/>
  <c r="F221" i="109"/>
  <c r="A221" i="109"/>
  <c r="F220" i="109"/>
  <c r="A220" i="109"/>
  <c r="F219" i="109"/>
  <c r="A219" i="109"/>
  <c r="F218" i="109"/>
  <c r="A218" i="109"/>
  <c r="F217" i="109"/>
  <c r="A217" i="109"/>
  <c r="F216" i="109"/>
  <c r="A216" i="109"/>
  <c r="F215" i="109"/>
  <c r="A215" i="109"/>
  <c r="F214" i="109"/>
  <c r="A214" i="109"/>
  <c r="F213" i="109"/>
  <c r="A213" i="109"/>
  <c r="F212" i="109"/>
  <c r="A212" i="109"/>
  <c r="F211" i="109"/>
  <c r="A211" i="109"/>
  <c r="F210" i="109"/>
  <c r="A210" i="109"/>
  <c r="F209" i="109"/>
  <c r="A209" i="109"/>
  <c r="F208" i="109"/>
  <c r="A208" i="109"/>
  <c r="F207" i="109"/>
  <c r="A207" i="109"/>
  <c r="F206" i="109"/>
  <c r="A206" i="109"/>
  <c r="F205" i="109"/>
  <c r="A205" i="109"/>
  <c r="F204" i="109"/>
  <c r="A204" i="109"/>
  <c r="F203" i="109"/>
  <c r="A203" i="109"/>
  <c r="F202" i="109"/>
  <c r="A202" i="109"/>
  <c r="F201" i="109"/>
  <c r="A201" i="109"/>
  <c r="F200" i="109"/>
  <c r="A200" i="109"/>
  <c r="F199" i="109"/>
  <c r="A199" i="109"/>
  <c r="F198" i="109"/>
  <c r="A198" i="109"/>
  <c r="F197" i="109"/>
  <c r="A197" i="109"/>
  <c r="F196" i="109"/>
  <c r="A196" i="109"/>
  <c r="F195" i="109"/>
  <c r="A195" i="109"/>
  <c r="F194" i="109"/>
  <c r="A194" i="109"/>
  <c r="F193" i="109"/>
  <c r="A193" i="109"/>
  <c r="F192" i="109"/>
  <c r="A192" i="109"/>
  <c r="F191" i="109"/>
  <c r="A191" i="109"/>
  <c r="F190" i="109"/>
  <c r="A190" i="109"/>
  <c r="F189" i="109"/>
  <c r="A189" i="109"/>
  <c r="F188" i="109"/>
  <c r="A188" i="109"/>
  <c r="F187" i="109"/>
  <c r="A187" i="109"/>
  <c r="F186" i="109"/>
  <c r="A186" i="109"/>
  <c r="F185" i="109"/>
  <c r="A185" i="109"/>
  <c r="F184" i="109"/>
  <c r="A184" i="109"/>
  <c r="F183" i="109"/>
  <c r="A183" i="109"/>
  <c r="F182" i="109"/>
  <c r="A182" i="109"/>
  <c r="F181" i="109"/>
  <c r="A181" i="109"/>
  <c r="F180" i="109"/>
  <c r="A180" i="109"/>
  <c r="F179" i="109"/>
  <c r="A179" i="109"/>
  <c r="F178" i="109"/>
  <c r="A178" i="109"/>
  <c r="F177" i="109"/>
  <c r="A177" i="109"/>
  <c r="F176" i="109"/>
  <c r="A176" i="109"/>
  <c r="F175" i="109"/>
  <c r="A175" i="109"/>
  <c r="F174" i="109"/>
  <c r="A174" i="109"/>
  <c r="F173" i="109"/>
  <c r="A173" i="109"/>
  <c r="F172" i="109"/>
  <c r="A172" i="109"/>
  <c r="F171" i="109"/>
  <c r="A171" i="109"/>
  <c r="F170" i="109"/>
  <c r="A170" i="109"/>
  <c r="F169" i="109"/>
  <c r="A169" i="109"/>
  <c r="F168" i="109"/>
  <c r="A168" i="109"/>
  <c r="F167" i="109"/>
  <c r="A167" i="109"/>
  <c r="F166" i="109"/>
  <c r="A166" i="109"/>
  <c r="F165" i="109"/>
  <c r="A165" i="109"/>
  <c r="F164" i="109"/>
  <c r="A164" i="109"/>
  <c r="F163" i="109"/>
  <c r="A163" i="109"/>
  <c r="F162" i="109"/>
  <c r="A162" i="109"/>
  <c r="F161" i="109"/>
  <c r="A161" i="109"/>
  <c r="L12" i="109"/>
  <c r="L19" i="109" s="1"/>
  <c r="G34" i="123" s="1"/>
  <c r="K12" i="109"/>
  <c r="K19" i="109" s="1"/>
  <c r="D34" i="123" s="1"/>
  <c r="J12" i="109"/>
  <c r="J19" i="109" s="1"/>
  <c r="L11" i="109"/>
  <c r="L18" i="109" s="1"/>
  <c r="K11" i="109"/>
  <c r="K18" i="109" s="1"/>
  <c r="J11" i="109"/>
  <c r="J18" i="109" s="1"/>
  <c r="L10" i="109"/>
  <c r="K10" i="109"/>
  <c r="J10" i="109"/>
  <c r="L7" i="109"/>
  <c r="K7" i="109"/>
  <c r="J7" i="109"/>
  <c r="J6" i="109"/>
  <c r="L5" i="109"/>
  <c r="K5" i="109"/>
  <c r="J5" i="109"/>
  <c r="L4" i="109"/>
  <c r="K4" i="109"/>
  <c r="J4" i="109"/>
  <c r="F339" i="108"/>
  <c r="A339" i="108"/>
  <c r="F338" i="108"/>
  <c r="A338" i="108"/>
  <c r="F337" i="108"/>
  <c r="A337" i="108"/>
  <c r="F336" i="108"/>
  <c r="A336" i="108"/>
  <c r="F335" i="108"/>
  <c r="A335" i="108"/>
  <c r="F334" i="108"/>
  <c r="A334" i="108"/>
  <c r="F333" i="108"/>
  <c r="A333" i="108"/>
  <c r="F332" i="108"/>
  <c r="A332" i="108"/>
  <c r="F331" i="108"/>
  <c r="A331" i="108"/>
  <c r="F330" i="108"/>
  <c r="A330" i="108"/>
  <c r="F329" i="108"/>
  <c r="A329" i="108"/>
  <c r="F328" i="108"/>
  <c r="A328" i="108"/>
  <c r="F327" i="108"/>
  <c r="A327" i="108"/>
  <c r="F326" i="108"/>
  <c r="A326" i="108"/>
  <c r="F325" i="108"/>
  <c r="A325" i="108"/>
  <c r="F324" i="108"/>
  <c r="A324" i="108"/>
  <c r="F323" i="108"/>
  <c r="A323" i="108"/>
  <c r="F322" i="108"/>
  <c r="A322" i="108"/>
  <c r="F321" i="108"/>
  <c r="A321" i="108"/>
  <c r="F320" i="108"/>
  <c r="A320" i="108"/>
  <c r="F319" i="108"/>
  <c r="A319" i="108"/>
  <c r="F318" i="108"/>
  <c r="A318" i="108"/>
  <c r="F317" i="108"/>
  <c r="A317" i="108"/>
  <c r="F316" i="108"/>
  <c r="A316" i="108"/>
  <c r="F315" i="108"/>
  <c r="A315" i="108"/>
  <c r="F314" i="108"/>
  <c r="A314" i="108"/>
  <c r="F313" i="108"/>
  <c r="A313" i="108"/>
  <c r="F312" i="108"/>
  <c r="A312" i="108"/>
  <c r="F311" i="108"/>
  <c r="A311" i="108"/>
  <c r="F310" i="108"/>
  <c r="A310" i="108"/>
  <c r="F309" i="108"/>
  <c r="A309" i="108"/>
  <c r="F308" i="108"/>
  <c r="A308" i="108"/>
  <c r="F307" i="108"/>
  <c r="A307" i="108"/>
  <c r="F306" i="108"/>
  <c r="A306" i="108"/>
  <c r="F305" i="108"/>
  <c r="A305" i="108"/>
  <c r="F304" i="108"/>
  <c r="A304" i="108"/>
  <c r="F303" i="108"/>
  <c r="A303" i="108"/>
  <c r="F302" i="108"/>
  <c r="A302" i="108"/>
  <c r="F301" i="108"/>
  <c r="A301" i="108"/>
  <c r="F300" i="108"/>
  <c r="A300" i="108"/>
  <c r="F299" i="108"/>
  <c r="A299" i="108"/>
  <c r="F298" i="108"/>
  <c r="A298" i="108"/>
  <c r="F297" i="108"/>
  <c r="A297" i="108"/>
  <c r="F296" i="108"/>
  <c r="A296" i="108"/>
  <c r="F295" i="108"/>
  <c r="A295" i="108"/>
  <c r="F294" i="108"/>
  <c r="A294" i="108"/>
  <c r="F293" i="108"/>
  <c r="A293" i="108"/>
  <c r="F292" i="108"/>
  <c r="A292" i="108"/>
  <c r="F291" i="108"/>
  <c r="A291" i="108"/>
  <c r="F290" i="108"/>
  <c r="A290" i="108"/>
  <c r="F289" i="108"/>
  <c r="A289" i="108"/>
  <c r="F288" i="108"/>
  <c r="A288" i="108"/>
  <c r="F287" i="108"/>
  <c r="A287" i="108"/>
  <c r="F286" i="108"/>
  <c r="A286" i="108"/>
  <c r="F285" i="108"/>
  <c r="A285" i="108"/>
  <c r="F284" i="108"/>
  <c r="A284" i="108"/>
  <c r="F283" i="108"/>
  <c r="A283" i="108"/>
  <c r="F282" i="108"/>
  <c r="A282" i="108"/>
  <c r="F281" i="108"/>
  <c r="A281" i="108"/>
  <c r="F280" i="108"/>
  <c r="A280" i="108"/>
  <c r="F279" i="108"/>
  <c r="A279" i="108"/>
  <c r="F278" i="108"/>
  <c r="A278" i="108"/>
  <c r="F277" i="108"/>
  <c r="A277" i="108"/>
  <c r="F276" i="108"/>
  <c r="A276" i="108"/>
  <c r="F275" i="108"/>
  <c r="A275" i="108"/>
  <c r="F274" i="108"/>
  <c r="A274" i="108"/>
  <c r="F273" i="108"/>
  <c r="A273" i="108"/>
  <c r="F272" i="108"/>
  <c r="A272" i="108"/>
  <c r="F271" i="108"/>
  <c r="A271" i="108"/>
  <c r="F270" i="108"/>
  <c r="A270" i="108"/>
  <c r="F269" i="108"/>
  <c r="A269" i="108"/>
  <c r="F268" i="108"/>
  <c r="A268" i="108"/>
  <c r="F267" i="108"/>
  <c r="A267" i="108"/>
  <c r="F266" i="108"/>
  <c r="A266" i="108"/>
  <c r="F265" i="108"/>
  <c r="A265" i="108"/>
  <c r="F264" i="108"/>
  <c r="A264" i="108"/>
  <c r="F263" i="108"/>
  <c r="A263" i="108"/>
  <c r="F262" i="108"/>
  <c r="A262" i="108"/>
  <c r="F261" i="108"/>
  <c r="A261" i="108"/>
  <c r="F260" i="108"/>
  <c r="A260" i="108"/>
  <c r="F259" i="108"/>
  <c r="A259" i="108"/>
  <c r="F258" i="108"/>
  <c r="A258" i="108"/>
  <c r="F257" i="108"/>
  <c r="A257" i="108"/>
  <c r="F256" i="108"/>
  <c r="A256" i="108"/>
  <c r="F255" i="108"/>
  <c r="A255" i="108"/>
  <c r="F254" i="108"/>
  <c r="A254" i="108"/>
  <c r="F253" i="108"/>
  <c r="A253" i="108"/>
  <c r="F252" i="108"/>
  <c r="A252" i="108"/>
  <c r="F251" i="108"/>
  <c r="A251" i="108"/>
  <c r="F250" i="108"/>
  <c r="A250" i="108"/>
  <c r="F249" i="108"/>
  <c r="A249" i="108"/>
  <c r="F248" i="108"/>
  <c r="A248" i="108"/>
  <c r="F247" i="108"/>
  <c r="A247" i="108"/>
  <c r="F246" i="108"/>
  <c r="A246" i="108"/>
  <c r="F245" i="108"/>
  <c r="A245" i="108"/>
  <c r="F244" i="108"/>
  <c r="A244" i="108"/>
  <c r="F243" i="108"/>
  <c r="A243" i="108"/>
  <c r="F242" i="108"/>
  <c r="A242" i="108"/>
  <c r="F241" i="108"/>
  <c r="A241" i="108"/>
  <c r="F240" i="108"/>
  <c r="A240" i="108"/>
  <c r="F239" i="108"/>
  <c r="A239" i="108"/>
  <c r="F238" i="108"/>
  <c r="A238" i="108"/>
  <c r="F237" i="108"/>
  <c r="A237" i="108"/>
  <c r="F236" i="108"/>
  <c r="A236" i="108"/>
  <c r="F235" i="108"/>
  <c r="A235" i="108"/>
  <c r="F234" i="108"/>
  <c r="A234" i="108"/>
  <c r="F233" i="108"/>
  <c r="A233" i="108"/>
  <c r="F232" i="108"/>
  <c r="A232" i="108"/>
  <c r="F231" i="108"/>
  <c r="A231" i="108"/>
  <c r="F230" i="108"/>
  <c r="A230" i="108"/>
  <c r="F229" i="108"/>
  <c r="A229" i="108"/>
  <c r="F228" i="108"/>
  <c r="A228" i="108"/>
  <c r="F227" i="108"/>
  <c r="A227" i="108"/>
  <c r="F226" i="108"/>
  <c r="A226" i="108"/>
  <c r="F225" i="108"/>
  <c r="A225" i="108"/>
  <c r="F224" i="108"/>
  <c r="A224" i="108"/>
  <c r="F223" i="108"/>
  <c r="A223" i="108"/>
  <c r="F222" i="108"/>
  <c r="A222" i="108"/>
  <c r="F221" i="108"/>
  <c r="A221" i="108"/>
  <c r="F220" i="108"/>
  <c r="A220" i="108"/>
  <c r="F219" i="108"/>
  <c r="A219" i="108"/>
  <c r="F218" i="108"/>
  <c r="A218" i="108"/>
  <c r="F217" i="108"/>
  <c r="A217" i="108"/>
  <c r="F216" i="108"/>
  <c r="A216" i="108"/>
  <c r="F215" i="108"/>
  <c r="A215" i="108"/>
  <c r="F214" i="108"/>
  <c r="A214" i="108"/>
  <c r="F213" i="108"/>
  <c r="A213" i="108"/>
  <c r="F212" i="108"/>
  <c r="A212" i="108"/>
  <c r="F211" i="108"/>
  <c r="A211" i="108"/>
  <c r="F210" i="108"/>
  <c r="A210" i="108"/>
  <c r="F209" i="108"/>
  <c r="A209" i="108"/>
  <c r="F208" i="108"/>
  <c r="A208" i="108"/>
  <c r="F207" i="108"/>
  <c r="A207" i="108"/>
  <c r="F206" i="108"/>
  <c r="A206" i="108"/>
  <c r="F205" i="108"/>
  <c r="A205" i="108"/>
  <c r="F204" i="108"/>
  <c r="A204" i="108"/>
  <c r="F203" i="108"/>
  <c r="A203" i="108"/>
  <c r="F202" i="108"/>
  <c r="A202" i="108"/>
  <c r="F201" i="108"/>
  <c r="A201" i="108"/>
  <c r="F200" i="108"/>
  <c r="A200" i="108"/>
  <c r="F199" i="108"/>
  <c r="A199" i="108"/>
  <c r="F198" i="108"/>
  <c r="A198" i="108"/>
  <c r="F197" i="108"/>
  <c r="A197" i="108"/>
  <c r="F196" i="108"/>
  <c r="A196" i="108"/>
  <c r="F195" i="108"/>
  <c r="A195" i="108"/>
  <c r="F194" i="108"/>
  <c r="A194" i="108"/>
  <c r="F193" i="108"/>
  <c r="A193" i="108"/>
  <c r="F192" i="108"/>
  <c r="A192" i="108"/>
  <c r="F191" i="108"/>
  <c r="A191" i="108"/>
  <c r="F190" i="108"/>
  <c r="A190" i="108"/>
  <c r="F189" i="108"/>
  <c r="A189" i="108"/>
  <c r="F188" i="108"/>
  <c r="A188" i="108"/>
  <c r="F187" i="108"/>
  <c r="A187" i="108"/>
  <c r="F186" i="108"/>
  <c r="A186" i="108"/>
  <c r="F185" i="108"/>
  <c r="A185" i="108"/>
  <c r="F184" i="108"/>
  <c r="A184" i="108"/>
  <c r="F183" i="108"/>
  <c r="A183" i="108"/>
  <c r="F182" i="108"/>
  <c r="A182" i="108"/>
  <c r="F181" i="108"/>
  <c r="A181" i="108"/>
  <c r="F180" i="108"/>
  <c r="A180" i="108"/>
  <c r="F179" i="108"/>
  <c r="A179" i="108"/>
  <c r="F178" i="108"/>
  <c r="A178" i="108"/>
  <c r="F177" i="108"/>
  <c r="A177" i="108"/>
  <c r="F176" i="108"/>
  <c r="A176" i="108"/>
  <c r="F175" i="108"/>
  <c r="A175" i="108"/>
  <c r="F174" i="108"/>
  <c r="A174" i="108"/>
  <c r="F173" i="108"/>
  <c r="A173" i="108"/>
  <c r="F172" i="108"/>
  <c r="A172" i="108"/>
  <c r="F171" i="108"/>
  <c r="A171" i="108"/>
  <c r="F170" i="108"/>
  <c r="A170" i="108"/>
  <c r="F169" i="108"/>
  <c r="A169" i="108"/>
  <c r="F168" i="108"/>
  <c r="A168" i="108"/>
  <c r="F167" i="108"/>
  <c r="A167" i="108"/>
  <c r="F166" i="108"/>
  <c r="A166" i="108"/>
  <c r="F165" i="108"/>
  <c r="A165" i="108"/>
  <c r="F164" i="108"/>
  <c r="A164" i="108"/>
  <c r="F163" i="108"/>
  <c r="A163" i="108"/>
  <c r="F162" i="108"/>
  <c r="A162" i="108"/>
  <c r="F161" i="108"/>
  <c r="A161" i="108"/>
  <c r="J6" i="108"/>
  <c r="L11" i="108"/>
  <c r="L18" i="108" s="1"/>
  <c r="K11" i="108"/>
  <c r="K18" i="108" s="1"/>
  <c r="J11" i="108"/>
  <c r="J18" i="108" s="1"/>
  <c r="L10" i="108"/>
  <c r="K10" i="108"/>
  <c r="J10" i="108"/>
  <c r="L7" i="108"/>
  <c r="K7" i="108"/>
  <c r="J7" i="108"/>
  <c r="L6" i="108"/>
  <c r="L3" i="108"/>
  <c r="L16" i="108" s="1"/>
  <c r="E33" i="123" s="1"/>
  <c r="K3" i="108"/>
  <c r="K16" i="108" s="1"/>
  <c r="B33" i="123" s="1"/>
  <c r="J3" i="108"/>
  <c r="J16" i="108" s="1"/>
  <c r="L4" i="108"/>
  <c r="J4" i="108"/>
  <c r="F339" i="107"/>
  <c r="A339" i="107"/>
  <c r="F338" i="107"/>
  <c r="A338" i="107"/>
  <c r="F337" i="107"/>
  <c r="A337" i="107"/>
  <c r="F336" i="107"/>
  <c r="A336" i="107"/>
  <c r="F335" i="107"/>
  <c r="A335" i="107"/>
  <c r="F334" i="107"/>
  <c r="A334" i="107"/>
  <c r="F333" i="107"/>
  <c r="A333" i="107"/>
  <c r="F332" i="107"/>
  <c r="A332" i="107"/>
  <c r="F331" i="107"/>
  <c r="A331" i="107"/>
  <c r="F330" i="107"/>
  <c r="A330" i="107"/>
  <c r="F329" i="107"/>
  <c r="A329" i="107"/>
  <c r="F328" i="107"/>
  <c r="A328" i="107"/>
  <c r="F327" i="107"/>
  <c r="A327" i="107"/>
  <c r="F326" i="107"/>
  <c r="A326" i="107"/>
  <c r="F325" i="107"/>
  <c r="A325" i="107"/>
  <c r="F324" i="107"/>
  <c r="A324" i="107"/>
  <c r="F323" i="107"/>
  <c r="A323" i="107"/>
  <c r="F322" i="107"/>
  <c r="A322" i="107"/>
  <c r="F321" i="107"/>
  <c r="A321" i="107"/>
  <c r="F320" i="107"/>
  <c r="A320" i="107"/>
  <c r="F319" i="107"/>
  <c r="A319" i="107"/>
  <c r="F318" i="107"/>
  <c r="A318" i="107"/>
  <c r="F317" i="107"/>
  <c r="A317" i="107"/>
  <c r="F316" i="107"/>
  <c r="A316" i="107"/>
  <c r="F315" i="107"/>
  <c r="A315" i="107"/>
  <c r="F314" i="107"/>
  <c r="A314" i="107"/>
  <c r="F313" i="107"/>
  <c r="A313" i="107"/>
  <c r="F312" i="107"/>
  <c r="A312" i="107"/>
  <c r="F311" i="107"/>
  <c r="A311" i="107"/>
  <c r="F310" i="107"/>
  <c r="A310" i="107"/>
  <c r="F309" i="107"/>
  <c r="A309" i="107"/>
  <c r="F308" i="107"/>
  <c r="A308" i="107"/>
  <c r="F307" i="107"/>
  <c r="A307" i="107"/>
  <c r="F306" i="107"/>
  <c r="A306" i="107"/>
  <c r="F305" i="107"/>
  <c r="A305" i="107"/>
  <c r="F304" i="107"/>
  <c r="A304" i="107"/>
  <c r="F303" i="107"/>
  <c r="A303" i="107"/>
  <c r="F302" i="107"/>
  <c r="A302" i="107"/>
  <c r="F301" i="107"/>
  <c r="A301" i="107"/>
  <c r="F300" i="107"/>
  <c r="A300" i="107"/>
  <c r="F299" i="107"/>
  <c r="A299" i="107"/>
  <c r="F298" i="107"/>
  <c r="A298" i="107"/>
  <c r="F297" i="107"/>
  <c r="A297" i="107"/>
  <c r="F296" i="107"/>
  <c r="A296" i="107"/>
  <c r="F295" i="107"/>
  <c r="A295" i="107"/>
  <c r="F294" i="107"/>
  <c r="A294" i="107"/>
  <c r="F293" i="107"/>
  <c r="A293" i="107"/>
  <c r="F292" i="107"/>
  <c r="A292" i="107"/>
  <c r="F291" i="107"/>
  <c r="A291" i="107"/>
  <c r="F290" i="107"/>
  <c r="A290" i="107"/>
  <c r="F289" i="107"/>
  <c r="A289" i="107"/>
  <c r="F288" i="107"/>
  <c r="A288" i="107"/>
  <c r="F287" i="107"/>
  <c r="A287" i="107"/>
  <c r="F286" i="107"/>
  <c r="A286" i="107"/>
  <c r="F285" i="107"/>
  <c r="A285" i="107"/>
  <c r="F284" i="107"/>
  <c r="A284" i="107"/>
  <c r="F283" i="107"/>
  <c r="A283" i="107"/>
  <c r="F282" i="107"/>
  <c r="A282" i="107"/>
  <c r="F281" i="107"/>
  <c r="A281" i="107"/>
  <c r="F280" i="107"/>
  <c r="A280" i="107"/>
  <c r="F279" i="107"/>
  <c r="A279" i="107"/>
  <c r="F278" i="107"/>
  <c r="A278" i="107"/>
  <c r="F277" i="107"/>
  <c r="A277" i="107"/>
  <c r="F276" i="107"/>
  <c r="A276" i="107"/>
  <c r="F275" i="107"/>
  <c r="A275" i="107"/>
  <c r="F274" i="107"/>
  <c r="A274" i="107"/>
  <c r="F273" i="107"/>
  <c r="A273" i="107"/>
  <c r="F272" i="107"/>
  <c r="A272" i="107"/>
  <c r="F271" i="107"/>
  <c r="A271" i="107"/>
  <c r="F270" i="107"/>
  <c r="A270" i="107"/>
  <c r="F269" i="107"/>
  <c r="A269" i="107"/>
  <c r="F268" i="107"/>
  <c r="A268" i="107"/>
  <c r="F267" i="107"/>
  <c r="A267" i="107"/>
  <c r="F266" i="107"/>
  <c r="A266" i="107"/>
  <c r="F265" i="107"/>
  <c r="A265" i="107"/>
  <c r="F264" i="107"/>
  <c r="A264" i="107"/>
  <c r="F263" i="107"/>
  <c r="A263" i="107"/>
  <c r="F262" i="107"/>
  <c r="A262" i="107"/>
  <c r="F261" i="107"/>
  <c r="A261" i="107"/>
  <c r="F260" i="107"/>
  <c r="A260" i="107"/>
  <c r="F259" i="107"/>
  <c r="A259" i="107"/>
  <c r="F258" i="107"/>
  <c r="A258" i="107"/>
  <c r="F257" i="107"/>
  <c r="A257" i="107"/>
  <c r="F256" i="107"/>
  <c r="A256" i="107"/>
  <c r="F255" i="107"/>
  <c r="A255" i="107"/>
  <c r="F254" i="107"/>
  <c r="A254" i="107"/>
  <c r="F253" i="107"/>
  <c r="A253" i="107"/>
  <c r="F252" i="107"/>
  <c r="A252" i="107"/>
  <c r="F251" i="107"/>
  <c r="A251" i="107"/>
  <c r="F250" i="107"/>
  <c r="A250" i="107"/>
  <c r="F249" i="107"/>
  <c r="A249" i="107"/>
  <c r="F248" i="107"/>
  <c r="A248" i="107"/>
  <c r="F247" i="107"/>
  <c r="A247" i="107"/>
  <c r="F246" i="107"/>
  <c r="A246" i="107"/>
  <c r="F245" i="107"/>
  <c r="A245" i="107"/>
  <c r="F244" i="107"/>
  <c r="A244" i="107"/>
  <c r="F243" i="107"/>
  <c r="A243" i="107"/>
  <c r="F242" i="107"/>
  <c r="A242" i="107"/>
  <c r="F241" i="107"/>
  <c r="A241" i="107"/>
  <c r="F240" i="107"/>
  <c r="A240" i="107"/>
  <c r="F239" i="107"/>
  <c r="A239" i="107"/>
  <c r="F238" i="107"/>
  <c r="A238" i="107"/>
  <c r="F237" i="107"/>
  <c r="A237" i="107"/>
  <c r="F236" i="107"/>
  <c r="A236" i="107"/>
  <c r="F235" i="107"/>
  <c r="A235" i="107"/>
  <c r="F234" i="107"/>
  <c r="A234" i="107"/>
  <c r="F233" i="107"/>
  <c r="A233" i="107"/>
  <c r="F232" i="107"/>
  <c r="A232" i="107"/>
  <c r="F231" i="107"/>
  <c r="A231" i="107"/>
  <c r="F230" i="107"/>
  <c r="A230" i="107"/>
  <c r="F229" i="107"/>
  <c r="A229" i="107"/>
  <c r="F228" i="107"/>
  <c r="A228" i="107"/>
  <c r="F227" i="107"/>
  <c r="A227" i="107"/>
  <c r="F226" i="107"/>
  <c r="A226" i="107"/>
  <c r="F225" i="107"/>
  <c r="A225" i="107"/>
  <c r="F224" i="107"/>
  <c r="A224" i="107"/>
  <c r="F223" i="107"/>
  <c r="A223" i="107"/>
  <c r="F222" i="107"/>
  <c r="A222" i="107"/>
  <c r="F221" i="107"/>
  <c r="A221" i="107"/>
  <c r="F220" i="107"/>
  <c r="A220" i="107"/>
  <c r="F219" i="107"/>
  <c r="A219" i="107"/>
  <c r="F218" i="107"/>
  <c r="A218" i="107"/>
  <c r="F217" i="107"/>
  <c r="A217" i="107"/>
  <c r="F216" i="107"/>
  <c r="A216" i="107"/>
  <c r="F215" i="107"/>
  <c r="A215" i="107"/>
  <c r="F214" i="107"/>
  <c r="A214" i="107"/>
  <c r="F213" i="107"/>
  <c r="A213" i="107"/>
  <c r="F212" i="107"/>
  <c r="A212" i="107"/>
  <c r="F211" i="107"/>
  <c r="A211" i="107"/>
  <c r="F210" i="107"/>
  <c r="A210" i="107"/>
  <c r="F209" i="107"/>
  <c r="A209" i="107"/>
  <c r="F208" i="107"/>
  <c r="A208" i="107"/>
  <c r="F207" i="107"/>
  <c r="A207" i="107"/>
  <c r="F206" i="107"/>
  <c r="A206" i="107"/>
  <c r="F205" i="107"/>
  <c r="A205" i="107"/>
  <c r="F204" i="107"/>
  <c r="A204" i="107"/>
  <c r="F203" i="107"/>
  <c r="A203" i="107"/>
  <c r="F202" i="107"/>
  <c r="A202" i="107"/>
  <c r="F201" i="107"/>
  <c r="A201" i="107"/>
  <c r="F200" i="107"/>
  <c r="A200" i="107"/>
  <c r="F199" i="107"/>
  <c r="A199" i="107"/>
  <c r="F198" i="107"/>
  <c r="A198" i="107"/>
  <c r="F197" i="107"/>
  <c r="A197" i="107"/>
  <c r="F196" i="107"/>
  <c r="A196" i="107"/>
  <c r="F195" i="107"/>
  <c r="A195" i="107"/>
  <c r="F194" i="107"/>
  <c r="A194" i="107"/>
  <c r="F193" i="107"/>
  <c r="A193" i="107"/>
  <c r="F192" i="107"/>
  <c r="A192" i="107"/>
  <c r="F191" i="107"/>
  <c r="A191" i="107"/>
  <c r="F190" i="107"/>
  <c r="A190" i="107"/>
  <c r="F189" i="107"/>
  <c r="A189" i="107"/>
  <c r="F188" i="107"/>
  <c r="A188" i="107"/>
  <c r="F187" i="107"/>
  <c r="A187" i="107"/>
  <c r="F186" i="107"/>
  <c r="A186" i="107"/>
  <c r="F185" i="107"/>
  <c r="A185" i="107"/>
  <c r="F184" i="107"/>
  <c r="A184" i="107"/>
  <c r="F183" i="107"/>
  <c r="A183" i="107"/>
  <c r="F182" i="107"/>
  <c r="A182" i="107"/>
  <c r="F181" i="107"/>
  <c r="A181" i="107"/>
  <c r="F180" i="107"/>
  <c r="A180" i="107"/>
  <c r="F179" i="107"/>
  <c r="A179" i="107"/>
  <c r="F178" i="107"/>
  <c r="A178" i="107"/>
  <c r="F177" i="107"/>
  <c r="A177" i="107"/>
  <c r="F176" i="107"/>
  <c r="A176" i="107"/>
  <c r="F175" i="107"/>
  <c r="A175" i="107"/>
  <c r="F174" i="107"/>
  <c r="A174" i="107"/>
  <c r="F173" i="107"/>
  <c r="A173" i="107"/>
  <c r="F172" i="107"/>
  <c r="A172" i="107"/>
  <c r="F171" i="107"/>
  <c r="A171" i="107"/>
  <c r="F170" i="107"/>
  <c r="A170" i="107"/>
  <c r="F169" i="107"/>
  <c r="A169" i="107"/>
  <c r="F168" i="107"/>
  <c r="A168" i="107"/>
  <c r="F167" i="107"/>
  <c r="A167" i="107"/>
  <c r="F166" i="107"/>
  <c r="A166" i="107"/>
  <c r="F165" i="107"/>
  <c r="A165" i="107"/>
  <c r="F164" i="107"/>
  <c r="A164" i="107"/>
  <c r="F163" i="107"/>
  <c r="A163" i="107"/>
  <c r="F162" i="107"/>
  <c r="A162" i="107"/>
  <c r="F161" i="107"/>
  <c r="A161" i="107"/>
  <c r="L4" i="107"/>
  <c r="L12" i="107"/>
  <c r="L19" i="107" s="1"/>
  <c r="G32" i="123" s="1"/>
  <c r="K12" i="107"/>
  <c r="K19" i="107" s="1"/>
  <c r="D32" i="123" s="1"/>
  <c r="J12" i="107"/>
  <c r="J19" i="107" s="1"/>
  <c r="L11" i="107"/>
  <c r="L18" i="107" s="1"/>
  <c r="K11" i="107"/>
  <c r="K18" i="107" s="1"/>
  <c r="J11" i="107"/>
  <c r="J18" i="107" s="1"/>
  <c r="L10" i="107"/>
  <c r="K10" i="107"/>
  <c r="J10" i="107"/>
  <c r="L6" i="107"/>
  <c r="J6" i="107"/>
  <c r="L7" i="107"/>
  <c r="K7" i="107"/>
  <c r="J7" i="107"/>
  <c r="J4" i="107"/>
  <c r="F339" i="106"/>
  <c r="A339" i="106"/>
  <c r="F338" i="106"/>
  <c r="A338" i="106"/>
  <c r="F337" i="106"/>
  <c r="A337" i="106"/>
  <c r="F336" i="106"/>
  <c r="A336" i="106"/>
  <c r="F335" i="106"/>
  <c r="A335" i="106"/>
  <c r="F334" i="106"/>
  <c r="A334" i="106"/>
  <c r="F333" i="106"/>
  <c r="A333" i="106"/>
  <c r="F332" i="106"/>
  <c r="A332" i="106"/>
  <c r="F331" i="106"/>
  <c r="A331" i="106"/>
  <c r="F330" i="106"/>
  <c r="A330" i="106"/>
  <c r="F329" i="106"/>
  <c r="A329" i="106"/>
  <c r="F328" i="106"/>
  <c r="A328" i="106"/>
  <c r="F327" i="106"/>
  <c r="A327" i="106"/>
  <c r="F326" i="106"/>
  <c r="A326" i="106"/>
  <c r="F325" i="106"/>
  <c r="A325" i="106"/>
  <c r="F324" i="106"/>
  <c r="A324" i="106"/>
  <c r="F323" i="106"/>
  <c r="A323" i="106"/>
  <c r="F322" i="106"/>
  <c r="A322" i="106"/>
  <c r="F321" i="106"/>
  <c r="A321" i="106"/>
  <c r="F320" i="106"/>
  <c r="A320" i="106"/>
  <c r="F319" i="106"/>
  <c r="A319" i="106"/>
  <c r="F318" i="106"/>
  <c r="A318" i="106"/>
  <c r="F317" i="106"/>
  <c r="A317" i="106"/>
  <c r="F316" i="106"/>
  <c r="A316" i="106"/>
  <c r="F315" i="106"/>
  <c r="A315" i="106"/>
  <c r="F314" i="106"/>
  <c r="A314" i="106"/>
  <c r="F313" i="106"/>
  <c r="A313" i="106"/>
  <c r="F312" i="106"/>
  <c r="A312" i="106"/>
  <c r="F311" i="106"/>
  <c r="A311" i="106"/>
  <c r="F310" i="106"/>
  <c r="A310" i="106"/>
  <c r="F309" i="106"/>
  <c r="A309" i="106"/>
  <c r="F308" i="106"/>
  <c r="A308" i="106"/>
  <c r="F307" i="106"/>
  <c r="A307" i="106"/>
  <c r="F306" i="106"/>
  <c r="A306" i="106"/>
  <c r="F305" i="106"/>
  <c r="A305" i="106"/>
  <c r="F304" i="106"/>
  <c r="A304" i="106"/>
  <c r="F303" i="106"/>
  <c r="A303" i="106"/>
  <c r="F302" i="106"/>
  <c r="A302" i="106"/>
  <c r="F301" i="106"/>
  <c r="A301" i="106"/>
  <c r="F300" i="106"/>
  <c r="A300" i="106"/>
  <c r="F299" i="106"/>
  <c r="A299" i="106"/>
  <c r="F298" i="106"/>
  <c r="A298" i="106"/>
  <c r="F297" i="106"/>
  <c r="A297" i="106"/>
  <c r="F296" i="106"/>
  <c r="A296" i="106"/>
  <c r="F295" i="106"/>
  <c r="A295" i="106"/>
  <c r="F294" i="106"/>
  <c r="A294" i="106"/>
  <c r="F293" i="106"/>
  <c r="A293" i="106"/>
  <c r="F292" i="106"/>
  <c r="A292" i="106"/>
  <c r="F291" i="106"/>
  <c r="A291" i="106"/>
  <c r="F290" i="106"/>
  <c r="A290" i="106"/>
  <c r="F289" i="106"/>
  <c r="A289" i="106"/>
  <c r="F288" i="106"/>
  <c r="A288" i="106"/>
  <c r="F287" i="106"/>
  <c r="A287" i="106"/>
  <c r="F286" i="106"/>
  <c r="A286" i="106"/>
  <c r="F285" i="106"/>
  <c r="A285" i="106"/>
  <c r="F284" i="106"/>
  <c r="A284" i="106"/>
  <c r="F283" i="106"/>
  <c r="A283" i="106"/>
  <c r="F282" i="106"/>
  <c r="A282" i="106"/>
  <c r="F281" i="106"/>
  <c r="A281" i="106"/>
  <c r="F280" i="106"/>
  <c r="A280" i="106"/>
  <c r="F279" i="106"/>
  <c r="A279" i="106"/>
  <c r="F278" i="106"/>
  <c r="A278" i="106"/>
  <c r="F277" i="106"/>
  <c r="A277" i="106"/>
  <c r="F276" i="106"/>
  <c r="A276" i="106"/>
  <c r="F275" i="106"/>
  <c r="A275" i="106"/>
  <c r="F274" i="106"/>
  <c r="A274" i="106"/>
  <c r="F273" i="106"/>
  <c r="A273" i="106"/>
  <c r="F272" i="106"/>
  <c r="A272" i="106"/>
  <c r="F271" i="106"/>
  <c r="A271" i="106"/>
  <c r="F270" i="106"/>
  <c r="A270" i="106"/>
  <c r="F269" i="106"/>
  <c r="A269" i="106"/>
  <c r="F268" i="106"/>
  <c r="A268" i="106"/>
  <c r="F267" i="106"/>
  <c r="A267" i="106"/>
  <c r="F266" i="106"/>
  <c r="A266" i="106"/>
  <c r="F265" i="106"/>
  <c r="A265" i="106"/>
  <c r="F264" i="106"/>
  <c r="A264" i="106"/>
  <c r="F263" i="106"/>
  <c r="A263" i="106"/>
  <c r="F262" i="106"/>
  <c r="A262" i="106"/>
  <c r="F261" i="106"/>
  <c r="A261" i="106"/>
  <c r="F260" i="106"/>
  <c r="A260" i="106"/>
  <c r="F259" i="106"/>
  <c r="A259" i="106"/>
  <c r="F258" i="106"/>
  <c r="A258" i="106"/>
  <c r="F257" i="106"/>
  <c r="A257" i="106"/>
  <c r="F256" i="106"/>
  <c r="A256" i="106"/>
  <c r="F255" i="106"/>
  <c r="A255" i="106"/>
  <c r="F254" i="106"/>
  <c r="A254" i="106"/>
  <c r="F253" i="106"/>
  <c r="A253" i="106"/>
  <c r="F252" i="106"/>
  <c r="A252" i="106"/>
  <c r="F251" i="106"/>
  <c r="A251" i="106"/>
  <c r="F250" i="106"/>
  <c r="A250" i="106"/>
  <c r="F249" i="106"/>
  <c r="A249" i="106"/>
  <c r="F248" i="106"/>
  <c r="A248" i="106"/>
  <c r="F247" i="106"/>
  <c r="A247" i="106"/>
  <c r="F246" i="106"/>
  <c r="A246" i="106"/>
  <c r="F245" i="106"/>
  <c r="A245" i="106"/>
  <c r="F244" i="106"/>
  <c r="A244" i="106"/>
  <c r="F243" i="106"/>
  <c r="A243" i="106"/>
  <c r="F242" i="106"/>
  <c r="A242" i="106"/>
  <c r="F241" i="106"/>
  <c r="A241" i="106"/>
  <c r="F240" i="106"/>
  <c r="A240" i="106"/>
  <c r="F239" i="106"/>
  <c r="A239" i="106"/>
  <c r="F238" i="106"/>
  <c r="A238" i="106"/>
  <c r="F237" i="106"/>
  <c r="A237" i="106"/>
  <c r="F236" i="106"/>
  <c r="A236" i="106"/>
  <c r="F235" i="106"/>
  <c r="A235" i="106"/>
  <c r="F234" i="106"/>
  <c r="A234" i="106"/>
  <c r="F233" i="106"/>
  <c r="A233" i="106"/>
  <c r="F232" i="106"/>
  <c r="A232" i="106"/>
  <c r="F231" i="106"/>
  <c r="A231" i="106"/>
  <c r="F230" i="106"/>
  <c r="A230" i="106"/>
  <c r="F229" i="106"/>
  <c r="A229" i="106"/>
  <c r="F228" i="106"/>
  <c r="A228" i="106"/>
  <c r="F227" i="106"/>
  <c r="A227" i="106"/>
  <c r="F226" i="106"/>
  <c r="A226" i="106"/>
  <c r="F225" i="106"/>
  <c r="A225" i="106"/>
  <c r="F224" i="106"/>
  <c r="A224" i="106"/>
  <c r="F223" i="106"/>
  <c r="A223" i="106"/>
  <c r="F222" i="106"/>
  <c r="A222" i="106"/>
  <c r="F221" i="106"/>
  <c r="A221" i="106"/>
  <c r="F220" i="106"/>
  <c r="A220" i="106"/>
  <c r="F219" i="106"/>
  <c r="A219" i="106"/>
  <c r="F218" i="106"/>
  <c r="A218" i="106"/>
  <c r="F217" i="106"/>
  <c r="A217" i="106"/>
  <c r="F216" i="106"/>
  <c r="A216" i="106"/>
  <c r="F215" i="106"/>
  <c r="A215" i="106"/>
  <c r="F214" i="106"/>
  <c r="A214" i="106"/>
  <c r="F213" i="106"/>
  <c r="A213" i="106"/>
  <c r="F212" i="106"/>
  <c r="A212" i="106"/>
  <c r="F211" i="106"/>
  <c r="A211" i="106"/>
  <c r="F210" i="106"/>
  <c r="A210" i="106"/>
  <c r="F209" i="106"/>
  <c r="A209" i="106"/>
  <c r="F208" i="106"/>
  <c r="A208" i="106"/>
  <c r="F207" i="106"/>
  <c r="A207" i="106"/>
  <c r="F206" i="106"/>
  <c r="A206" i="106"/>
  <c r="F205" i="106"/>
  <c r="A205" i="106"/>
  <c r="F204" i="106"/>
  <c r="A204" i="106"/>
  <c r="F203" i="106"/>
  <c r="A203" i="106"/>
  <c r="F202" i="106"/>
  <c r="A202" i="106"/>
  <c r="F201" i="106"/>
  <c r="A201" i="106"/>
  <c r="F200" i="106"/>
  <c r="A200" i="106"/>
  <c r="F199" i="106"/>
  <c r="A199" i="106"/>
  <c r="F198" i="106"/>
  <c r="A198" i="106"/>
  <c r="F197" i="106"/>
  <c r="A197" i="106"/>
  <c r="F196" i="106"/>
  <c r="A196" i="106"/>
  <c r="F195" i="106"/>
  <c r="A195" i="106"/>
  <c r="F194" i="106"/>
  <c r="A194" i="106"/>
  <c r="F193" i="106"/>
  <c r="A193" i="106"/>
  <c r="F192" i="106"/>
  <c r="A192" i="106"/>
  <c r="F191" i="106"/>
  <c r="A191" i="106"/>
  <c r="F190" i="106"/>
  <c r="A190" i="106"/>
  <c r="F189" i="106"/>
  <c r="A189" i="106"/>
  <c r="F188" i="106"/>
  <c r="A188" i="106"/>
  <c r="F187" i="106"/>
  <c r="A187" i="106"/>
  <c r="F186" i="106"/>
  <c r="A186" i="106"/>
  <c r="F185" i="106"/>
  <c r="A185" i="106"/>
  <c r="F184" i="106"/>
  <c r="A184" i="106"/>
  <c r="F183" i="106"/>
  <c r="A183" i="106"/>
  <c r="F182" i="106"/>
  <c r="A182" i="106"/>
  <c r="F181" i="106"/>
  <c r="A181" i="106"/>
  <c r="F180" i="106"/>
  <c r="A180" i="106"/>
  <c r="F179" i="106"/>
  <c r="A179" i="106"/>
  <c r="F178" i="106"/>
  <c r="A178" i="106"/>
  <c r="F177" i="106"/>
  <c r="A177" i="106"/>
  <c r="F176" i="106"/>
  <c r="A176" i="106"/>
  <c r="F175" i="106"/>
  <c r="A175" i="106"/>
  <c r="F174" i="106"/>
  <c r="A174" i="106"/>
  <c r="F173" i="106"/>
  <c r="A173" i="106"/>
  <c r="F172" i="106"/>
  <c r="A172" i="106"/>
  <c r="F171" i="106"/>
  <c r="A171" i="106"/>
  <c r="F170" i="106"/>
  <c r="A170" i="106"/>
  <c r="F169" i="106"/>
  <c r="A169" i="106"/>
  <c r="F168" i="106"/>
  <c r="A168" i="106"/>
  <c r="F167" i="106"/>
  <c r="A167" i="106"/>
  <c r="F166" i="106"/>
  <c r="A166" i="106"/>
  <c r="F165" i="106"/>
  <c r="A165" i="106"/>
  <c r="F164" i="106"/>
  <c r="A164" i="106"/>
  <c r="F163" i="106"/>
  <c r="A163" i="106"/>
  <c r="F162" i="106"/>
  <c r="A162" i="106"/>
  <c r="F161" i="106"/>
  <c r="A161" i="106"/>
  <c r="K6" i="106"/>
  <c r="L12" i="106"/>
  <c r="L19" i="106" s="1"/>
  <c r="G31" i="123" s="1"/>
  <c r="K12" i="106"/>
  <c r="K19" i="106" s="1"/>
  <c r="D31" i="123" s="1"/>
  <c r="J12" i="106"/>
  <c r="J19" i="106" s="1"/>
  <c r="L11" i="106"/>
  <c r="L18" i="106" s="1"/>
  <c r="K11" i="106"/>
  <c r="K18" i="106" s="1"/>
  <c r="J11" i="106"/>
  <c r="J18" i="106" s="1"/>
  <c r="L10" i="106"/>
  <c r="K10" i="106"/>
  <c r="J10" i="106"/>
  <c r="L9" i="106"/>
  <c r="L21" i="106" s="1"/>
  <c r="J9" i="106"/>
  <c r="J21" i="106" s="1"/>
  <c r="I31" i="123" s="1"/>
  <c r="L7" i="106"/>
  <c r="K7" i="106"/>
  <c r="J7" i="106"/>
  <c r="L6" i="106"/>
  <c r="J6" i="106"/>
  <c r="L3" i="106"/>
  <c r="L16" i="106" s="1"/>
  <c r="E31" i="123" s="1"/>
  <c r="K3" i="106"/>
  <c r="K16" i="106" s="1"/>
  <c r="B31" i="123" s="1"/>
  <c r="J3" i="106"/>
  <c r="J16" i="106" s="1"/>
  <c r="F339" i="105"/>
  <c r="A339" i="105"/>
  <c r="F338" i="105"/>
  <c r="A338" i="105"/>
  <c r="F337" i="105"/>
  <c r="A337" i="105"/>
  <c r="F336" i="105"/>
  <c r="A336" i="105"/>
  <c r="F335" i="105"/>
  <c r="A335" i="105"/>
  <c r="F334" i="105"/>
  <c r="A334" i="105"/>
  <c r="F333" i="105"/>
  <c r="A333" i="105"/>
  <c r="F332" i="105"/>
  <c r="A332" i="105"/>
  <c r="F331" i="105"/>
  <c r="A331" i="105"/>
  <c r="F330" i="105"/>
  <c r="A330" i="105"/>
  <c r="F329" i="105"/>
  <c r="A329" i="105"/>
  <c r="F328" i="105"/>
  <c r="A328" i="105"/>
  <c r="F327" i="105"/>
  <c r="A327" i="105"/>
  <c r="F326" i="105"/>
  <c r="A326" i="105"/>
  <c r="F325" i="105"/>
  <c r="A325" i="105"/>
  <c r="F324" i="105"/>
  <c r="A324" i="105"/>
  <c r="F323" i="105"/>
  <c r="A323" i="105"/>
  <c r="F322" i="105"/>
  <c r="A322" i="105"/>
  <c r="F321" i="105"/>
  <c r="A321" i="105"/>
  <c r="F320" i="105"/>
  <c r="A320" i="105"/>
  <c r="F319" i="105"/>
  <c r="A319" i="105"/>
  <c r="F318" i="105"/>
  <c r="A318" i="105"/>
  <c r="F317" i="105"/>
  <c r="A317" i="105"/>
  <c r="F316" i="105"/>
  <c r="A316" i="105"/>
  <c r="F315" i="105"/>
  <c r="A315" i="105"/>
  <c r="F314" i="105"/>
  <c r="A314" i="105"/>
  <c r="F313" i="105"/>
  <c r="A313" i="105"/>
  <c r="F312" i="105"/>
  <c r="A312" i="105"/>
  <c r="F311" i="105"/>
  <c r="A311" i="105"/>
  <c r="F310" i="105"/>
  <c r="A310" i="105"/>
  <c r="F309" i="105"/>
  <c r="A309" i="105"/>
  <c r="F308" i="105"/>
  <c r="A308" i="105"/>
  <c r="F307" i="105"/>
  <c r="A307" i="105"/>
  <c r="F306" i="105"/>
  <c r="A306" i="105"/>
  <c r="F305" i="105"/>
  <c r="A305" i="105"/>
  <c r="F304" i="105"/>
  <c r="A304" i="105"/>
  <c r="F303" i="105"/>
  <c r="A303" i="105"/>
  <c r="F302" i="105"/>
  <c r="A302" i="105"/>
  <c r="F301" i="105"/>
  <c r="A301" i="105"/>
  <c r="F300" i="105"/>
  <c r="A300" i="105"/>
  <c r="F299" i="105"/>
  <c r="A299" i="105"/>
  <c r="F298" i="105"/>
  <c r="A298" i="105"/>
  <c r="F297" i="105"/>
  <c r="A297" i="105"/>
  <c r="F296" i="105"/>
  <c r="A296" i="105"/>
  <c r="F295" i="105"/>
  <c r="A295" i="105"/>
  <c r="F294" i="105"/>
  <c r="A294" i="105"/>
  <c r="F293" i="105"/>
  <c r="A293" i="105"/>
  <c r="F292" i="105"/>
  <c r="A292" i="105"/>
  <c r="F291" i="105"/>
  <c r="A291" i="105"/>
  <c r="F290" i="105"/>
  <c r="A290" i="105"/>
  <c r="F289" i="105"/>
  <c r="A289" i="105"/>
  <c r="F288" i="105"/>
  <c r="A288" i="105"/>
  <c r="F287" i="105"/>
  <c r="A287" i="105"/>
  <c r="F286" i="105"/>
  <c r="A286" i="105"/>
  <c r="F285" i="105"/>
  <c r="A285" i="105"/>
  <c r="F284" i="105"/>
  <c r="A284" i="105"/>
  <c r="F283" i="105"/>
  <c r="A283" i="105"/>
  <c r="F282" i="105"/>
  <c r="A282" i="105"/>
  <c r="F281" i="105"/>
  <c r="A281" i="105"/>
  <c r="F280" i="105"/>
  <c r="A280" i="105"/>
  <c r="F279" i="105"/>
  <c r="A279" i="105"/>
  <c r="F278" i="105"/>
  <c r="A278" i="105"/>
  <c r="F277" i="105"/>
  <c r="A277" i="105"/>
  <c r="F276" i="105"/>
  <c r="A276" i="105"/>
  <c r="F275" i="105"/>
  <c r="A275" i="105"/>
  <c r="F274" i="105"/>
  <c r="A274" i="105"/>
  <c r="F273" i="105"/>
  <c r="A273" i="105"/>
  <c r="F272" i="105"/>
  <c r="A272" i="105"/>
  <c r="F271" i="105"/>
  <c r="A271" i="105"/>
  <c r="F270" i="105"/>
  <c r="A270" i="105"/>
  <c r="F269" i="105"/>
  <c r="A269" i="105"/>
  <c r="F268" i="105"/>
  <c r="A268" i="105"/>
  <c r="F267" i="105"/>
  <c r="A267" i="105"/>
  <c r="F266" i="105"/>
  <c r="A266" i="105"/>
  <c r="F265" i="105"/>
  <c r="A265" i="105"/>
  <c r="F264" i="105"/>
  <c r="A264" i="105"/>
  <c r="F263" i="105"/>
  <c r="A263" i="105"/>
  <c r="F262" i="105"/>
  <c r="A262" i="105"/>
  <c r="F261" i="105"/>
  <c r="A261" i="105"/>
  <c r="F260" i="105"/>
  <c r="A260" i="105"/>
  <c r="F259" i="105"/>
  <c r="A259" i="105"/>
  <c r="F258" i="105"/>
  <c r="A258" i="105"/>
  <c r="F257" i="105"/>
  <c r="A257" i="105"/>
  <c r="F256" i="105"/>
  <c r="A256" i="105"/>
  <c r="F255" i="105"/>
  <c r="A255" i="105"/>
  <c r="F254" i="105"/>
  <c r="A254" i="105"/>
  <c r="F253" i="105"/>
  <c r="A253" i="105"/>
  <c r="F252" i="105"/>
  <c r="A252" i="105"/>
  <c r="F251" i="105"/>
  <c r="A251" i="105"/>
  <c r="F250" i="105"/>
  <c r="A250" i="105"/>
  <c r="F249" i="105"/>
  <c r="A249" i="105"/>
  <c r="F248" i="105"/>
  <c r="A248" i="105"/>
  <c r="F247" i="105"/>
  <c r="A247" i="105"/>
  <c r="F246" i="105"/>
  <c r="A246" i="105"/>
  <c r="F245" i="105"/>
  <c r="A245" i="105"/>
  <c r="F244" i="105"/>
  <c r="A244" i="105"/>
  <c r="F243" i="105"/>
  <c r="A243" i="105"/>
  <c r="F242" i="105"/>
  <c r="A242" i="105"/>
  <c r="F241" i="105"/>
  <c r="A241" i="105"/>
  <c r="F240" i="105"/>
  <c r="A240" i="105"/>
  <c r="F239" i="105"/>
  <c r="A239" i="105"/>
  <c r="F238" i="105"/>
  <c r="A238" i="105"/>
  <c r="F237" i="105"/>
  <c r="A237" i="105"/>
  <c r="F236" i="105"/>
  <c r="A236" i="105"/>
  <c r="F235" i="105"/>
  <c r="A235" i="105"/>
  <c r="F234" i="105"/>
  <c r="A234" i="105"/>
  <c r="F233" i="105"/>
  <c r="A233" i="105"/>
  <c r="F232" i="105"/>
  <c r="A232" i="105"/>
  <c r="F231" i="105"/>
  <c r="A231" i="105"/>
  <c r="F230" i="105"/>
  <c r="A230" i="105"/>
  <c r="F229" i="105"/>
  <c r="A229" i="105"/>
  <c r="F228" i="105"/>
  <c r="A228" i="105"/>
  <c r="F227" i="105"/>
  <c r="A227" i="105"/>
  <c r="F226" i="105"/>
  <c r="A226" i="105"/>
  <c r="F225" i="105"/>
  <c r="A225" i="105"/>
  <c r="F224" i="105"/>
  <c r="A224" i="105"/>
  <c r="F223" i="105"/>
  <c r="A223" i="105"/>
  <c r="F222" i="105"/>
  <c r="A222" i="105"/>
  <c r="F221" i="105"/>
  <c r="A221" i="105"/>
  <c r="F220" i="105"/>
  <c r="A220" i="105"/>
  <c r="F219" i="105"/>
  <c r="A219" i="105"/>
  <c r="F218" i="105"/>
  <c r="A218" i="105"/>
  <c r="F217" i="105"/>
  <c r="A217" i="105"/>
  <c r="F216" i="105"/>
  <c r="A216" i="105"/>
  <c r="F215" i="105"/>
  <c r="A215" i="105"/>
  <c r="F214" i="105"/>
  <c r="A214" i="105"/>
  <c r="F213" i="105"/>
  <c r="A213" i="105"/>
  <c r="F212" i="105"/>
  <c r="A212" i="105"/>
  <c r="F211" i="105"/>
  <c r="A211" i="105"/>
  <c r="F210" i="105"/>
  <c r="A210" i="105"/>
  <c r="F209" i="105"/>
  <c r="A209" i="105"/>
  <c r="F208" i="105"/>
  <c r="A208" i="105"/>
  <c r="F207" i="105"/>
  <c r="A207" i="105"/>
  <c r="F206" i="105"/>
  <c r="A206" i="105"/>
  <c r="F205" i="105"/>
  <c r="A205" i="105"/>
  <c r="F204" i="105"/>
  <c r="A204" i="105"/>
  <c r="F203" i="105"/>
  <c r="A203" i="105"/>
  <c r="F202" i="105"/>
  <c r="A202" i="105"/>
  <c r="F201" i="105"/>
  <c r="A201" i="105"/>
  <c r="F200" i="105"/>
  <c r="A200" i="105"/>
  <c r="F199" i="105"/>
  <c r="A199" i="105"/>
  <c r="F198" i="105"/>
  <c r="A198" i="105"/>
  <c r="F197" i="105"/>
  <c r="A197" i="105"/>
  <c r="F196" i="105"/>
  <c r="A196" i="105"/>
  <c r="F195" i="105"/>
  <c r="A195" i="105"/>
  <c r="F194" i="105"/>
  <c r="A194" i="105"/>
  <c r="F193" i="105"/>
  <c r="A193" i="105"/>
  <c r="F192" i="105"/>
  <c r="A192" i="105"/>
  <c r="F191" i="105"/>
  <c r="A191" i="105"/>
  <c r="F190" i="105"/>
  <c r="A190" i="105"/>
  <c r="F189" i="105"/>
  <c r="A189" i="105"/>
  <c r="F188" i="105"/>
  <c r="A188" i="105"/>
  <c r="F187" i="105"/>
  <c r="A187" i="105"/>
  <c r="F186" i="105"/>
  <c r="A186" i="105"/>
  <c r="F185" i="105"/>
  <c r="A185" i="105"/>
  <c r="F184" i="105"/>
  <c r="A184" i="105"/>
  <c r="F183" i="105"/>
  <c r="A183" i="105"/>
  <c r="F182" i="105"/>
  <c r="A182" i="105"/>
  <c r="F181" i="105"/>
  <c r="A181" i="105"/>
  <c r="F180" i="105"/>
  <c r="A180" i="105"/>
  <c r="F179" i="105"/>
  <c r="A179" i="105"/>
  <c r="F178" i="105"/>
  <c r="A178" i="105"/>
  <c r="F177" i="105"/>
  <c r="A177" i="105"/>
  <c r="F176" i="105"/>
  <c r="A176" i="105"/>
  <c r="F175" i="105"/>
  <c r="A175" i="105"/>
  <c r="F174" i="105"/>
  <c r="A174" i="105"/>
  <c r="F173" i="105"/>
  <c r="A173" i="105"/>
  <c r="F172" i="105"/>
  <c r="A172" i="105"/>
  <c r="F171" i="105"/>
  <c r="A171" i="105"/>
  <c r="F170" i="105"/>
  <c r="A170" i="105"/>
  <c r="F169" i="105"/>
  <c r="A169" i="105"/>
  <c r="F168" i="105"/>
  <c r="A168" i="105"/>
  <c r="F167" i="105"/>
  <c r="A167" i="105"/>
  <c r="F166" i="105"/>
  <c r="A166" i="105"/>
  <c r="F165" i="105"/>
  <c r="A165" i="105"/>
  <c r="F164" i="105"/>
  <c r="A164" i="105"/>
  <c r="F163" i="105"/>
  <c r="A163" i="105"/>
  <c r="F162" i="105"/>
  <c r="A162" i="105"/>
  <c r="F161" i="105"/>
  <c r="A161" i="105"/>
  <c r="K7" i="105"/>
  <c r="L6" i="105"/>
  <c r="K6" i="105"/>
  <c r="L12" i="105"/>
  <c r="L19" i="105" s="1"/>
  <c r="G30" i="123" s="1"/>
  <c r="K12" i="105"/>
  <c r="K19" i="105" s="1"/>
  <c r="D30" i="123" s="1"/>
  <c r="J12" i="105"/>
  <c r="J19" i="105" s="1"/>
  <c r="L11" i="105"/>
  <c r="L18" i="105" s="1"/>
  <c r="K11" i="105"/>
  <c r="K18" i="105" s="1"/>
  <c r="J11" i="105"/>
  <c r="J18" i="105" s="1"/>
  <c r="L10" i="105"/>
  <c r="J10" i="105"/>
  <c r="L7" i="105"/>
  <c r="J7" i="105"/>
  <c r="L3" i="105"/>
  <c r="L16" i="105" s="1"/>
  <c r="E30" i="123" s="1"/>
  <c r="K3" i="105"/>
  <c r="K16" i="105" s="1"/>
  <c r="B30" i="123" s="1"/>
  <c r="J3" i="105"/>
  <c r="J16" i="105" s="1"/>
  <c r="F339" i="104"/>
  <c r="A339" i="104"/>
  <c r="F338" i="104"/>
  <c r="A338" i="104"/>
  <c r="F337" i="104"/>
  <c r="A337" i="104"/>
  <c r="F336" i="104"/>
  <c r="A336" i="104"/>
  <c r="F335" i="104"/>
  <c r="A335" i="104"/>
  <c r="F334" i="104"/>
  <c r="A334" i="104"/>
  <c r="F333" i="104"/>
  <c r="A333" i="104"/>
  <c r="F332" i="104"/>
  <c r="A332" i="104"/>
  <c r="F331" i="104"/>
  <c r="A331" i="104"/>
  <c r="F330" i="104"/>
  <c r="A330" i="104"/>
  <c r="F329" i="104"/>
  <c r="A329" i="104"/>
  <c r="F328" i="104"/>
  <c r="A328" i="104"/>
  <c r="F327" i="104"/>
  <c r="A327" i="104"/>
  <c r="F326" i="104"/>
  <c r="A326" i="104"/>
  <c r="F325" i="104"/>
  <c r="A325" i="104"/>
  <c r="F324" i="104"/>
  <c r="A324" i="104"/>
  <c r="F323" i="104"/>
  <c r="A323" i="104"/>
  <c r="F322" i="104"/>
  <c r="A322" i="104"/>
  <c r="F321" i="104"/>
  <c r="A321" i="104"/>
  <c r="F320" i="104"/>
  <c r="A320" i="104"/>
  <c r="F319" i="104"/>
  <c r="A319" i="104"/>
  <c r="F318" i="104"/>
  <c r="A318" i="104"/>
  <c r="F317" i="104"/>
  <c r="A317" i="104"/>
  <c r="F316" i="104"/>
  <c r="A316" i="104"/>
  <c r="F315" i="104"/>
  <c r="A315" i="104"/>
  <c r="F314" i="104"/>
  <c r="A314" i="104"/>
  <c r="F313" i="104"/>
  <c r="A313" i="104"/>
  <c r="F312" i="104"/>
  <c r="A312" i="104"/>
  <c r="F311" i="104"/>
  <c r="A311" i="104"/>
  <c r="F310" i="104"/>
  <c r="A310" i="104"/>
  <c r="F309" i="104"/>
  <c r="A309" i="104"/>
  <c r="F308" i="104"/>
  <c r="A308" i="104"/>
  <c r="F307" i="104"/>
  <c r="A307" i="104"/>
  <c r="F306" i="104"/>
  <c r="A306" i="104"/>
  <c r="F305" i="104"/>
  <c r="A305" i="104"/>
  <c r="F304" i="104"/>
  <c r="A304" i="104"/>
  <c r="F303" i="104"/>
  <c r="A303" i="104"/>
  <c r="F302" i="104"/>
  <c r="A302" i="104"/>
  <c r="F301" i="104"/>
  <c r="A301" i="104"/>
  <c r="F300" i="104"/>
  <c r="A300" i="104"/>
  <c r="F299" i="104"/>
  <c r="A299" i="104"/>
  <c r="F298" i="104"/>
  <c r="A298" i="104"/>
  <c r="F297" i="104"/>
  <c r="A297" i="104"/>
  <c r="F296" i="104"/>
  <c r="A296" i="104"/>
  <c r="F295" i="104"/>
  <c r="A295" i="104"/>
  <c r="F294" i="104"/>
  <c r="A294" i="104"/>
  <c r="F293" i="104"/>
  <c r="A293" i="104"/>
  <c r="F292" i="104"/>
  <c r="A292" i="104"/>
  <c r="F291" i="104"/>
  <c r="A291" i="104"/>
  <c r="F290" i="104"/>
  <c r="A290" i="104"/>
  <c r="F289" i="104"/>
  <c r="A289" i="104"/>
  <c r="F288" i="104"/>
  <c r="A288" i="104"/>
  <c r="F287" i="104"/>
  <c r="A287" i="104"/>
  <c r="F286" i="104"/>
  <c r="A286" i="104"/>
  <c r="F285" i="104"/>
  <c r="A285" i="104"/>
  <c r="F284" i="104"/>
  <c r="A284" i="104"/>
  <c r="F283" i="104"/>
  <c r="A283" i="104"/>
  <c r="F282" i="104"/>
  <c r="A282" i="104"/>
  <c r="F281" i="104"/>
  <c r="A281" i="104"/>
  <c r="F280" i="104"/>
  <c r="A280" i="104"/>
  <c r="F279" i="104"/>
  <c r="A279" i="104"/>
  <c r="F278" i="104"/>
  <c r="A278" i="104"/>
  <c r="F277" i="104"/>
  <c r="A277" i="104"/>
  <c r="F276" i="104"/>
  <c r="A276" i="104"/>
  <c r="F275" i="104"/>
  <c r="A275" i="104"/>
  <c r="F274" i="104"/>
  <c r="A274" i="104"/>
  <c r="F273" i="104"/>
  <c r="A273" i="104"/>
  <c r="F272" i="104"/>
  <c r="A272" i="104"/>
  <c r="F271" i="104"/>
  <c r="A271" i="104"/>
  <c r="F270" i="104"/>
  <c r="A270" i="104"/>
  <c r="F269" i="104"/>
  <c r="A269" i="104"/>
  <c r="F268" i="104"/>
  <c r="A268" i="104"/>
  <c r="F267" i="104"/>
  <c r="A267" i="104"/>
  <c r="F266" i="104"/>
  <c r="A266" i="104"/>
  <c r="F265" i="104"/>
  <c r="A265" i="104"/>
  <c r="F264" i="104"/>
  <c r="A264" i="104"/>
  <c r="F263" i="104"/>
  <c r="A263" i="104"/>
  <c r="F262" i="104"/>
  <c r="A262" i="104"/>
  <c r="F261" i="104"/>
  <c r="A261" i="104"/>
  <c r="F260" i="104"/>
  <c r="A260" i="104"/>
  <c r="F259" i="104"/>
  <c r="A259" i="104"/>
  <c r="F258" i="104"/>
  <c r="A258" i="104"/>
  <c r="F257" i="104"/>
  <c r="A257" i="104"/>
  <c r="F256" i="104"/>
  <c r="A256" i="104"/>
  <c r="F255" i="104"/>
  <c r="A255" i="104"/>
  <c r="F254" i="104"/>
  <c r="A254" i="104"/>
  <c r="F253" i="104"/>
  <c r="A253" i="104"/>
  <c r="F252" i="104"/>
  <c r="A252" i="104"/>
  <c r="F251" i="104"/>
  <c r="A251" i="104"/>
  <c r="F250" i="104"/>
  <c r="A250" i="104"/>
  <c r="F249" i="104"/>
  <c r="A249" i="104"/>
  <c r="F248" i="104"/>
  <c r="A248" i="104"/>
  <c r="F247" i="104"/>
  <c r="A247" i="104"/>
  <c r="F246" i="104"/>
  <c r="A246" i="104"/>
  <c r="F245" i="104"/>
  <c r="A245" i="104"/>
  <c r="F244" i="104"/>
  <c r="A244" i="104"/>
  <c r="F243" i="104"/>
  <c r="A243" i="104"/>
  <c r="F242" i="104"/>
  <c r="A242" i="104"/>
  <c r="F241" i="104"/>
  <c r="A241" i="104"/>
  <c r="F240" i="104"/>
  <c r="A240" i="104"/>
  <c r="F239" i="104"/>
  <c r="A239" i="104"/>
  <c r="F238" i="104"/>
  <c r="A238" i="104"/>
  <c r="F237" i="104"/>
  <c r="A237" i="104"/>
  <c r="F236" i="104"/>
  <c r="A236" i="104"/>
  <c r="F235" i="104"/>
  <c r="A235" i="104"/>
  <c r="F234" i="104"/>
  <c r="A234" i="104"/>
  <c r="F233" i="104"/>
  <c r="A233" i="104"/>
  <c r="F232" i="104"/>
  <c r="A232" i="104"/>
  <c r="F231" i="104"/>
  <c r="A231" i="104"/>
  <c r="F230" i="104"/>
  <c r="A230" i="104"/>
  <c r="F229" i="104"/>
  <c r="A229" i="104"/>
  <c r="F228" i="104"/>
  <c r="A228" i="104"/>
  <c r="F227" i="104"/>
  <c r="A227" i="104"/>
  <c r="F226" i="104"/>
  <c r="A226" i="104"/>
  <c r="F225" i="104"/>
  <c r="A225" i="104"/>
  <c r="F224" i="104"/>
  <c r="A224" i="104"/>
  <c r="F223" i="104"/>
  <c r="A223" i="104"/>
  <c r="F222" i="104"/>
  <c r="A222" i="104"/>
  <c r="F221" i="104"/>
  <c r="A221" i="104"/>
  <c r="F220" i="104"/>
  <c r="A220" i="104"/>
  <c r="F219" i="104"/>
  <c r="A219" i="104"/>
  <c r="F218" i="104"/>
  <c r="A218" i="104"/>
  <c r="F217" i="104"/>
  <c r="A217" i="104"/>
  <c r="F216" i="104"/>
  <c r="A216" i="104"/>
  <c r="F215" i="104"/>
  <c r="A215" i="104"/>
  <c r="F214" i="104"/>
  <c r="A214" i="104"/>
  <c r="F213" i="104"/>
  <c r="A213" i="104"/>
  <c r="F212" i="104"/>
  <c r="A212" i="104"/>
  <c r="F211" i="104"/>
  <c r="A211" i="104"/>
  <c r="F210" i="104"/>
  <c r="A210" i="104"/>
  <c r="F209" i="104"/>
  <c r="A209" i="104"/>
  <c r="F208" i="104"/>
  <c r="A208" i="104"/>
  <c r="F207" i="104"/>
  <c r="A207" i="104"/>
  <c r="F206" i="104"/>
  <c r="A206" i="104"/>
  <c r="F205" i="104"/>
  <c r="A205" i="104"/>
  <c r="F204" i="104"/>
  <c r="A204" i="104"/>
  <c r="F203" i="104"/>
  <c r="A203" i="104"/>
  <c r="F202" i="104"/>
  <c r="A202" i="104"/>
  <c r="F201" i="104"/>
  <c r="A201" i="104"/>
  <c r="F200" i="104"/>
  <c r="A200" i="104"/>
  <c r="F199" i="104"/>
  <c r="A199" i="104"/>
  <c r="F198" i="104"/>
  <c r="A198" i="104"/>
  <c r="F197" i="104"/>
  <c r="A197" i="104"/>
  <c r="F196" i="104"/>
  <c r="A196" i="104"/>
  <c r="F195" i="104"/>
  <c r="A195" i="104"/>
  <c r="F194" i="104"/>
  <c r="A194" i="104"/>
  <c r="F193" i="104"/>
  <c r="A193" i="104"/>
  <c r="F192" i="104"/>
  <c r="A192" i="104"/>
  <c r="F191" i="104"/>
  <c r="A191" i="104"/>
  <c r="F190" i="104"/>
  <c r="A190" i="104"/>
  <c r="F189" i="104"/>
  <c r="A189" i="104"/>
  <c r="F188" i="104"/>
  <c r="A188" i="104"/>
  <c r="F187" i="104"/>
  <c r="A187" i="104"/>
  <c r="F186" i="104"/>
  <c r="A186" i="104"/>
  <c r="F185" i="104"/>
  <c r="A185" i="104"/>
  <c r="F184" i="104"/>
  <c r="A184" i="104"/>
  <c r="F183" i="104"/>
  <c r="A183" i="104"/>
  <c r="F182" i="104"/>
  <c r="A182" i="104"/>
  <c r="F181" i="104"/>
  <c r="A181" i="104"/>
  <c r="F180" i="104"/>
  <c r="A180" i="104"/>
  <c r="F179" i="104"/>
  <c r="A179" i="104"/>
  <c r="F178" i="104"/>
  <c r="A178" i="104"/>
  <c r="F177" i="104"/>
  <c r="A177" i="104"/>
  <c r="F176" i="104"/>
  <c r="A176" i="104"/>
  <c r="F175" i="104"/>
  <c r="A175" i="104"/>
  <c r="F174" i="104"/>
  <c r="A174" i="104"/>
  <c r="F173" i="104"/>
  <c r="A173" i="104"/>
  <c r="F172" i="104"/>
  <c r="A172" i="104"/>
  <c r="F171" i="104"/>
  <c r="A171" i="104"/>
  <c r="F170" i="104"/>
  <c r="A170" i="104"/>
  <c r="F169" i="104"/>
  <c r="A169" i="104"/>
  <c r="F168" i="104"/>
  <c r="A168" i="104"/>
  <c r="F167" i="104"/>
  <c r="A167" i="104"/>
  <c r="F166" i="104"/>
  <c r="A166" i="104"/>
  <c r="F165" i="104"/>
  <c r="A165" i="104"/>
  <c r="F164" i="104"/>
  <c r="A164" i="104"/>
  <c r="F163" i="104"/>
  <c r="A163" i="104"/>
  <c r="F162" i="104"/>
  <c r="A162" i="104"/>
  <c r="F161" i="104"/>
  <c r="A161" i="104"/>
  <c r="L12" i="104"/>
  <c r="L19" i="104" s="1"/>
  <c r="G29" i="123" s="1"/>
  <c r="K12" i="104"/>
  <c r="K19" i="104" s="1"/>
  <c r="D29" i="123" s="1"/>
  <c r="J12" i="104"/>
  <c r="J19" i="104" s="1"/>
  <c r="L7" i="104"/>
  <c r="L11" i="104"/>
  <c r="L18" i="104" s="1"/>
  <c r="K11" i="104"/>
  <c r="K18" i="104" s="1"/>
  <c r="J11" i="104"/>
  <c r="J18" i="104" s="1"/>
  <c r="L10" i="104"/>
  <c r="K10" i="104"/>
  <c r="J10" i="104"/>
  <c r="L6" i="104"/>
  <c r="K6" i="104"/>
  <c r="J6" i="104"/>
  <c r="L9" i="104"/>
  <c r="L21" i="104" s="1"/>
  <c r="L3" i="104"/>
  <c r="L16" i="104" s="1"/>
  <c r="E29" i="123" s="1"/>
  <c r="K3" i="104"/>
  <c r="K16" i="104" s="1"/>
  <c r="B29" i="123" s="1"/>
  <c r="J3" i="104"/>
  <c r="J16" i="104" s="1"/>
  <c r="F339" i="103"/>
  <c r="A339" i="103"/>
  <c r="F338" i="103"/>
  <c r="A338" i="103"/>
  <c r="F337" i="103"/>
  <c r="A337" i="103"/>
  <c r="F336" i="103"/>
  <c r="A336" i="103"/>
  <c r="F335" i="103"/>
  <c r="A335" i="103"/>
  <c r="F334" i="103"/>
  <c r="A334" i="103"/>
  <c r="F333" i="103"/>
  <c r="A333" i="103"/>
  <c r="F332" i="103"/>
  <c r="A332" i="103"/>
  <c r="F331" i="103"/>
  <c r="A331" i="103"/>
  <c r="F330" i="103"/>
  <c r="A330" i="103"/>
  <c r="F329" i="103"/>
  <c r="A329" i="103"/>
  <c r="F328" i="103"/>
  <c r="A328" i="103"/>
  <c r="F327" i="103"/>
  <c r="A327" i="103"/>
  <c r="F326" i="103"/>
  <c r="A326" i="103"/>
  <c r="F325" i="103"/>
  <c r="A325" i="103"/>
  <c r="F324" i="103"/>
  <c r="A324" i="103"/>
  <c r="F323" i="103"/>
  <c r="A323" i="103"/>
  <c r="F322" i="103"/>
  <c r="A322" i="103"/>
  <c r="F321" i="103"/>
  <c r="A321" i="103"/>
  <c r="F320" i="103"/>
  <c r="A320" i="103"/>
  <c r="F319" i="103"/>
  <c r="A319" i="103"/>
  <c r="F318" i="103"/>
  <c r="A318" i="103"/>
  <c r="F317" i="103"/>
  <c r="A317" i="103"/>
  <c r="F316" i="103"/>
  <c r="A316" i="103"/>
  <c r="F315" i="103"/>
  <c r="A315" i="103"/>
  <c r="F314" i="103"/>
  <c r="A314" i="103"/>
  <c r="F313" i="103"/>
  <c r="A313" i="103"/>
  <c r="F312" i="103"/>
  <c r="A312" i="103"/>
  <c r="F311" i="103"/>
  <c r="A311" i="103"/>
  <c r="F310" i="103"/>
  <c r="A310" i="103"/>
  <c r="F309" i="103"/>
  <c r="A309" i="103"/>
  <c r="F308" i="103"/>
  <c r="A308" i="103"/>
  <c r="F307" i="103"/>
  <c r="A307" i="103"/>
  <c r="F306" i="103"/>
  <c r="A306" i="103"/>
  <c r="F305" i="103"/>
  <c r="A305" i="103"/>
  <c r="F304" i="103"/>
  <c r="A304" i="103"/>
  <c r="F303" i="103"/>
  <c r="A303" i="103"/>
  <c r="F302" i="103"/>
  <c r="A302" i="103"/>
  <c r="F301" i="103"/>
  <c r="A301" i="103"/>
  <c r="F300" i="103"/>
  <c r="A300" i="103"/>
  <c r="F299" i="103"/>
  <c r="A299" i="103"/>
  <c r="F298" i="103"/>
  <c r="A298" i="103"/>
  <c r="F297" i="103"/>
  <c r="A297" i="103"/>
  <c r="F296" i="103"/>
  <c r="A296" i="103"/>
  <c r="F295" i="103"/>
  <c r="A295" i="103"/>
  <c r="F294" i="103"/>
  <c r="A294" i="103"/>
  <c r="F293" i="103"/>
  <c r="A293" i="103"/>
  <c r="F292" i="103"/>
  <c r="A292" i="103"/>
  <c r="F291" i="103"/>
  <c r="A291" i="103"/>
  <c r="F290" i="103"/>
  <c r="A290" i="103"/>
  <c r="F289" i="103"/>
  <c r="A289" i="103"/>
  <c r="F288" i="103"/>
  <c r="A288" i="103"/>
  <c r="F287" i="103"/>
  <c r="A287" i="103"/>
  <c r="F286" i="103"/>
  <c r="A286" i="103"/>
  <c r="F285" i="103"/>
  <c r="A285" i="103"/>
  <c r="F284" i="103"/>
  <c r="A284" i="103"/>
  <c r="F283" i="103"/>
  <c r="A283" i="103"/>
  <c r="F282" i="103"/>
  <c r="A282" i="103"/>
  <c r="F281" i="103"/>
  <c r="A281" i="103"/>
  <c r="F280" i="103"/>
  <c r="A280" i="103"/>
  <c r="F279" i="103"/>
  <c r="A279" i="103"/>
  <c r="F278" i="103"/>
  <c r="A278" i="103"/>
  <c r="F277" i="103"/>
  <c r="A277" i="103"/>
  <c r="F276" i="103"/>
  <c r="A276" i="103"/>
  <c r="F275" i="103"/>
  <c r="A275" i="103"/>
  <c r="F274" i="103"/>
  <c r="A274" i="103"/>
  <c r="F273" i="103"/>
  <c r="A273" i="103"/>
  <c r="F272" i="103"/>
  <c r="A272" i="103"/>
  <c r="F271" i="103"/>
  <c r="A271" i="103"/>
  <c r="F270" i="103"/>
  <c r="A270" i="103"/>
  <c r="F269" i="103"/>
  <c r="A269" i="103"/>
  <c r="F268" i="103"/>
  <c r="A268" i="103"/>
  <c r="F267" i="103"/>
  <c r="A267" i="103"/>
  <c r="F266" i="103"/>
  <c r="A266" i="103"/>
  <c r="F265" i="103"/>
  <c r="A265" i="103"/>
  <c r="F264" i="103"/>
  <c r="A264" i="103"/>
  <c r="F263" i="103"/>
  <c r="A263" i="103"/>
  <c r="F262" i="103"/>
  <c r="A262" i="103"/>
  <c r="F261" i="103"/>
  <c r="A261" i="103"/>
  <c r="F260" i="103"/>
  <c r="A260" i="103"/>
  <c r="F259" i="103"/>
  <c r="A259" i="103"/>
  <c r="F258" i="103"/>
  <c r="A258" i="103"/>
  <c r="F257" i="103"/>
  <c r="A257" i="103"/>
  <c r="F256" i="103"/>
  <c r="A256" i="103"/>
  <c r="F255" i="103"/>
  <c r="A255" i="103"/>
  <c r="F254" i="103"/>
  <c r="A254" i="103"/>
  <c r="F253" i="103"/>
  <c r="A253" i="103"/>
  <c r="F252" i="103"/>
  <c r="A252" i="103"/>
  <c r="F251" i="103"/>
  <c r="A251" i="103"/>
  <c r="F250" i="103"/>
  <c r="A250" i="103"/>
  <c r="F249" i="103"/>
  <c r="A249" i="103"/>
  <c r="F248" i="103"/>
  <c r="A248" i="103"/>
  <c r="F247" i="103"/>
  <c r="A247" i="103"/>
  <c r="F246" i="103"/>
  <c r="A246" i="103"/>
  <c r="F245" i="103"/>
  <c r="A245" i="103"/>
  <c r="F244" i="103"/>
  <c r="A244" i="103"/>
  <c r="F243" i="103"/>
  <c r="A243" i="103"/>
  <c r="F242" i="103"/>
  <c r="A242" i="103"/>
  <c r="F241" i="103"/>
  <c r="A241" i="103"/>
  <c r="F240" i="103"/>
  <c r="A240" i="103"/>
  <c r="F239" i="103"/>
  <c r="A239" i="103"/>
  <c r="F238" i="103"/>
  <c r="A238" i="103"/>
  <c r="F237" i="103"/>
  <c r="A237" i="103"/>
  <c r="F236" i="103"/>
  <c r="A236" i="103"/>
  <c r="F235" i="103"/>
  <c r="A235" i="103"/>
  <c r="F234" i="103"/>
  <c r="A234" i="103"/>
  <c r="F233" i="103"/>
  <c r="A233" i="103"/>
  <c r="F232" i="103"/>
  <c r="A232" i="103"/>
  <c r="F231" i="103"/>
  <c r="A231" i="103"/>
  <c r="F230" i="103"/>
  <c r="A230" i="103"/>
  <c r="F229" i="103"/>
  <c r="A229" i="103"/>
  <c r="F228" i="103"/>
  <c r="A228" i="103"/>
  <c r="F227" i="103"/>
  <c r="A227" i="103"/>
  <c r="F226" i="103"/>
  <c r="A226" i="103"/>
  <c r="F225" i="103"/>
  <c r="A225" i="103"/>
  <c r="F224" i="103"/>
  <c r="A224" i="103"/>
  <c r="F223" i="103"/>
  <c r="A223" i="103"/>
  <c r="F222" i="103"/>
  <c r="A222" i="103"/>
  <c r="F221" i="103"/>
  <c r="A221" i="103"/>
  <c r="F220" i="103"/>
  <c r="A220" i="103"/>
  <c r="F219" i="103"/>
  <c r="A219" i="103"/>
  <c r="F218" i="103"/>
  <c r="A218" i="103"/>
  <c r="F217" i="103"/>
  <c r="A217" i="103"/>
  <c r="F216" i="103"/>
  <c r="A216" i="103"/>
  <c r="F215" i="103"/>
  <c r="A215" i="103"/>
  <c r="F214" i="103"/>
  <c r="A214" i="103"/>
  <c r="F213" i="103"/>
  <c r="A213" i="103"/>
  <c r="F212" i="103"/>
  <c r="A212" i="103"/>
  <c r="F211" i="103"/>
  <c r="A211" i="103"/>
  <c r="F210" i="103"/>
  <c r="A210" i="103"/>
  <c r="F209" i="103"/>
  <c r="A209" i="103"/>
  <c r="F208" i="103"/>
  <c r="A208" i="103"/>
  <c r="F207" i="103"/>
  <c r="A207" i="103"/>
  <c r="F206" i="103"/>
  <c r="A206" i="103"/>
  <c r="F205" i="103"/>
  <c r="A205" i="103"/>
  <c r="F204" i="103"/>
  <c r="A204" i="103"/>
  <c r="F203" i="103"/>
  <c r="A203" i="103"/>
  <c r="F202" i="103"/>
  <c r="A202" i="103"/>
  <c r="F201" i="103"/>
  <c r="A201" i="103"/>
  <c r="F200" i="103"/>
  <c r="A200" i="103"/>
  <c r="F199" i="103"/>
  <c r="A199" i="103"/>
  <c r="F198" i="103"/>
  <c r="A198" i="103"/>
  <c r="F197" i="103"/>
  <c r="A197" i="103"/>
  <c r="F196" i="103"/>
  <c r="A196" i="103"/>
  <c r="F195" i="103"/>
  <c r="A195" i="103"/>
  <c r="F194" i="103"/>
  <c r="A194" i="103"/>
  <c r="F193" i="103"/>
  <c r="A193" i="103"/>
  <c r="F192" i="103"/>
  <c r="A192" i="103"/>
  <c r="F191" i="103"/>
  <c r="A191" i="103"/>
  <c r="F190" i="103"/>
  <c r="A190" i="103"/>
  <c r="F189" i="103"/>
  <c r="A189" i="103"/>
  <c r="F188" i="103"/>
  <c r="A188" i="103"/>
  <c r="F187" i="103"/>
  <c r="A187" i="103"/>
  <c r="F186" i="103"/>
  <c r="A186" i="103"/>
  <c r="F185" i="103"/>
  <c r="A185" i="103"/>
  <c r="F184" i="103"/>
  <c r="A184" i="103"/>
  <c r="F183" i="103"/>
  <c r="A183" i="103"/>
  <c r="F182" i="103"/>
  <c r="A182" i="103"/>
  <c r="F181" i="103"/>
  <c r="A181" i="103"/>
  <c r="F180" i="103"/>
  <c r="A180" i="103"/>
  <c r="F179" i="103"/>
  <c r="A179" i="103"/>
  <c r="F178" i="103"/>
  <c r="A178" i="103"/>
  <c r="F177" i="103"/>
  <c r="A177" i="103"/>
  <c r="F176" i="103"/>
  <c r="A176" i="103"/>
  <c r="F175" i="103"/>
  <c r="A175" i="103"/>
  <c r="F174" i="103"/>
  <c r="A174" i="103"/>
  <c r="F173" i="103"/>
  <c r="A173" i="103"/>
  <c r="F172" i="103"/>
  <c r="A172" i="103"/>
  <c r="F171" i="103"/>
  <c r="A171" i="103"/>
  <c r="F170" i="103"/>
  <c r="A170" i="103"/>
  <c r="F169" i="103"/>
  <c r="A169" i="103"/>
  <c r="F168" i="103"/>
  <c r="A168" i="103"/>
  <c r="F167" i="103"/>
  <c r="A167" i="103"/>
  <c r="F166" i="103"/>
  <c r="A166" i="103"/>
  <c r="F165" i="103"/>
  <c r="A165" i="103"/>
  <c r="F164" i="103"/>
  <c r="A164" i="103"/>
  <c r="F163" i="103"/>
  <c r="A163" i="103"/>
  <c r="F162" i="103"/>
  <c r="A162" i="103"/>
  <c r="F161" i="103"/>
  <c r="A161" i="103"/>
  <c r="J7" i="103"/>
  <c r="L12" i="103"/>
  <c r="L19" i="103" s="1"/>
  <c r="G28" i="123" s="1"/>
  <c r="K12" i="103"/>
  <c r="K19" i="103" s="1"/>
  <c r="D28" i="123" s="1"/>
  <c r="J12" i="103"/>
  <c r="J19" i="103" s="1"/>
  <c r="L11" i="103"/>
  <c r="L18" i="103" s="1"/>
  <c r="K11" i="103"/>
  <c r="K18" i="103" s="1"/>
  <c r="J11" i="103"/>
  <c r="J18" i="103" s="1"/>
  <c r="L10" i="103"/>
  <c r="K10" i="103"/>
  <c r="J10" i="103"/>
  <c r="J6" i="103"/>
  <c r="J9" i="103"/>
  <c r="J21" i="103" s="1"/>
  <c r="I28" i="123" s="1"/>
  <c r="K6" i="103"/>
  <c r="L3" i="103"/>
  <c r="L16" i="103" s="1"/>
  <c r="E28" i="123" s="1"/>
  <c r="K3" i="103"/>
  <c r="K16" i="103" s="1"/>
  <c r="B28" i="123" s="1"/>
  <c r="J3" i="103"/>
  <c r="J16" i="103" s="1"/>
  <c r="F339" i="102"/>
  <c r="A339" i="102"/>
  <c r="F338" i="102"/>
  <c r="A338" i="102"/>
  <c r="F337" i="102"/>
  <c r="A337" i="102"/>
  <c r="F336" i="102"/>
  <c r="A336" i="102"/>
  <c r="F335" i="102"/>
  <c r="A335" i="102"/>
  <c r="F334" i="102"/>
  <c r="A334" i="102"/>
  <c r="F333" i="102"/>
  <c r="A333" i="102"/>
  <c r="F332" i="102"/>
  <c r="A332" i="102"/>
  <c r="F331" i="102"/>
  <c r="A331" i="102"/>
  <c r="F330" i="102"/>
  <c r="A330" i="102"/>
  <c r="F329" i="102"/>
  <c r="A329" i="102"/>
  <c r="F328" i="102"/>
  <c r="A328" i="102"/>
  <c r="F327" i="102"/>
  <c r="A327" i="102"/>
  <c r="F326" i="102"/>
  <c r="A326" i="102"/>
  <c r="F325" i="102"/>
  <c r="A325" i="102"/>
  <c r="F324" i="102"/>
  <c r="A324" i="102"/>
  <c r="F323" i="102"/>
  <c r="A323" i="102"/>
  <c r="F322" i="102"/>
  <c r="A322" i="102"/>
  <c r="F321" i="102"/>
  <c r="A321" i="102"/>
  <c r="F320" i="102"/>
  <c r="A320" i="102"/>
  <c r="F319" i="102"/>
  <c r="A319" i="102"/>
  <c r="F318" i="102"/>
  <c r="A318" i="102"/>
  <c r="F317" i="102"/>
  <c r="A317" i="102"/>
  <c r="F316" i="102"/>
  <c r="A316" i="102"/>
  <c r="F315" i="102"/>
  <c r="A315" i="102"/>
  <c r="F314" i="102"/>
  <c r="A314" i="102"/>
  <c r="F313" i="102"/>
  <c r="A313" i="102"/>
  <c r="F312" i="102"/>
  <c r="A312" i="102"/>
  <c r="F311" i="102"/>
  <c r="A311" i="102"/>
  <c r="F310" i="102"/>
  <c r="A310" i="102"/>
  <c r="F309" i="102"/>
  <c r="A309" i="102"/>
  <c r="F308" i="102"/>
  <c r="A308" i="102"/>
  <c r="F307" i="102"/>
  <c r="A307" i="102"/>
  <c r="F306" i="102"/>
  <c r="A306" i="102"/>
  <c r="F305" i="102"/>
  <c r="A305" i="102"/>
  <c r="F304" i="102"/>
  <c r="A304" i="102"/>
  <c r="F303" i="102"/>
  <c r="A303" i="102"/>
  <c r="F302" i="102"/>
  <c r="A302" i="102"/>
  <c r="F301" i="102"/>
  <c r="A301" i="102"/>
  <c r="F300" i="102"/>
  <c r="A300" i="102"/>
  <c r="F299" i="102"/>
  <c r="A299" i="102"/>
  <c r="F298" i="102"/>
  <c r="A298" i="102"/>
  <c r="F297" i="102"/>
  <c r="A297" i="102"/>
  <c r="F296" i="102"/>
  <c r="A296" i="102"/>
  <c r="F295" i="102"/>
  <c r="A295" i="102"/>
  <c r="F294" i="102"/>
  <c r="A294" i="102"/>
  <c r="F293" i="102"/>
  <c r="A293" i="102"/>
  <c r="F292" i="102"/>
  <c r="A292" i="102"/>
  <c r="F291" i="102"/>
  <c r="A291" i="102"/>
  <c r="F290" i="102"/>
  <c r="A290" i="102"/>
  <c r="F289" i="102"/>
  <c r="A289" i="102"/>
  <c r="F288" i="102"/>
  <c r="A288" i="102"/>
  <c r="F287" i="102"/>
  <c r="A287" i="102"/>
  <c r="F286" i="102"/>
  <c r="A286" i="102"/>
  <c r="F285" i="102"/>
  <c r="A285" i="102"/>
  <c r="F284" i="102"/>
  <c r="A284" i="102"/>
  <c r="F283" i="102"/>
  <c r="A283" i="102"/>
  <c r="F282" i="102"/>
  <c r="A282" i="102"/>
  <c r="F281" i="102"/>
  <c r="A281" i="102"/>
  <c r="F280" i="102"/>
  <c r="A280" i="102"/>
  <c r="F279" i="102"/>
  <c r="A279" i="102"/>
  <c r="F278" i="102"/>
  <c r="A278" i="102"/>
  <c r="F277" i="102"/>
  <c r="A277" i="102"/>
  <c r="F276" i="102"/>
  <c r="A276" i="102"/>
  <c r="F275" i="102"/>
  <c r="A275" i="102"/>
  <c r="F274" i="102"/>
  <c r="A274" i="102"/>
  <c r="F273" i="102"/>
  <c r="A273" i="102"/>
  <c r="F272" i="102"/>
  <c r="A272" i="102"/>
  <c r="F271" i="102"/>
  <c r="A271" i="102"/>
  <c r="F270" i="102"/>
  <c r="A270" i="102"/>
  <c r="F269" i="102"/>
  <c r="A269" i="102"/>
  <c r="F268" i="102"/>
  <c r="A268" i="102"/>
  <c r="F267" i="102"/>
  <c r="A267" i="102"/>
  <c r="F266" i="102"/>
  <c r="A266" i="102"/>
  <c r="F265" i="102"/>
  <c r="A265" i="102"/>
  <c r="F264" i="102"/>
  <c r="A264" i="102"/>
  <c r="F263" i="102"/>
  <c r="A263" i="102"/>
  <c r="F262" i="102"/>
  <c r="A262" i="102"/>
  <c r="F261" i="102"/>
  <c r="A261" i="102"/>
  <c r="F260" i="102"/>
  <c r="A260" i="102"/>
  <c r="F259" i="102"/>
  <c r="A259" i="102"/>
  <c r="F258" i="102"/>
  <c r="A258" i="102"/>
  <c r="F257" i="102"/>
  <c r="A257" i="102"/>
  <c r="F256" i="102"/>
  <c r="A256" i="102"/>
  <c r="F255" i="102"/>
  <c r="A255" i="102"/>
  <c r="F254" i="102"/>
  <c r="A254" i="102"/>
  <c r="F253" i="102"/>
  <c r="A253" i="102"/>
  <c r="F252" i="102"/>
  <c r="A252" i="102"/>
  <c r="F251" i="102"/>
  <c r="A251" i="102"/>
  <c r="F250" i="102"/>
  <c r="A250" i="102"/>
  <c r="F249" i="102"/>
  <c r="A249" i="102"/>
  <c r="F248" i="102"/>
  <c r="A248" i="102"/>
  <c r="F247" i="102"/>
  <c r="A247" i="102"/>
  <c r="F246" i="102"/>
  <c r="A246" i="102"/>
  <c r="F245" i="102"/>
  <c r="A245" i="102"/>
  <c r="F244" i="102"/>
  <c r="A244" i="102"/>
  <c r="F243" i="102"/>
  <c r="A243" i="102"/>
  <c r="F242" i="102"/>
  <c r="A242" i="102"/>
  <c r="F241" i="102"/>
  <c r="A241" i="102"/>
  <c r="F240" i="102"/>
  <c r="A240" i="102"/>
  <c r="F239" i="102"/>
  <c r="A239" i="102"/>
  <c r="F238" i="102"/>
  <c r="A238" i="102"/>
  <c r="F237" i="102"/>
  <c r="A237" i="102"/>
  <c r="F236" i="102"/>
  <c r="A236" i="102"/>
  <c r="F235" i="102"/>
  <c r="A235" i="102"/>
  <c r="F234" i="102"/>
  <c r="A234" i="102"/>
  <c r="F233" i="102"/>
  <c r="A233" i="102"/>
  <c r="F232" i="102"/>
  <c r="A232" i="102"/>
  <c r="F231" i="102"/>
  <c r="A231" i="102"/>
  <c r="F230" i="102"/>
  <c r="A230" i="102"/>
  <c r="F229" i="102"/>
  <c r="A229" i="102"/>
  <c r="F228" i="102"/>
  <c r="A228" i="102"/>
  <c r="F227" i="102"/>
  <c r="A227" i="102"/>
  <c r="F226" i="102"/>
  <c r="A226" i="102"/>
  <c r="F225" i="102"/>
  <c r="A225" i="102"/>
  <c r="F224" i="102"/>
  <c r="A224" i="102"/>
  <c r="F223" i="102"/>
  <c r="A223" i="102"/>
  <c r="F222" i="102"/>
  <c r="A222" i="102"/>
  <c r="F221" i="102"/>
  <c r="A221" i="102"/>
  <c r="F220" i="102"/>
  <c r="A220" i="102"/>
  <c r="F219" i="102"/>
  <c r="A219" i="102"/>
  <c r="F218" i="102"/>
  <c r="A218" i="102"/>
  <c r="F217" i="102"/>
  <c r="A217" i="102"/>
  <c r="F216" i="102"/>
  <c r="A216" i="102"/>
  <c r="F215" i="102"/>
  <c r="A215" i="102"/>
  <c r="F214" i="102"/>
  <c r="A214" i="102"/>
  <c r="F213" i="102"/>
  <c r="A213" i="102"/>
  <c r="F212" i="102"/>
  <c r="A212" i="102"/>
  <c r="F211" i="102"/>
  <c r="A211" i="102"/>
  <c r="F210" i="102"/>
  <c r="A210" i="102"/>
  <c r="F209" i="102"/>
  <c r="A209" i="102"/>
  <c r="F208" i="102"/>
  <c r="A208" i="102"/>
  <c r="F207" i="102"/>
  <c r="A207" i="102"/>
  <c r="F206" i="102"/>
  <c r="A206" i="102"/>
  <c r="F205" i="102"/>
  <c r="A205" i="102"/>
  <c r="F204" i="102"/>
  <c r="A204" i="102"/>
  <c r="F203" i="102"/>
  <c r="A203" i="102"/>
  <c r="F202" i="102"/>
  <c r="A202" i="102"/>
  <c r="F201" i="102"/>
  <c r="A201" i="102"/>
  <c r="F200" i="102"/>
  <c r="A200" i="102"/>
  <c r="F199" i="102"/>
  <c r="A199" i="102"/>
  <c r="F198" i="102"/>
  <c r="A198" i="102"/>
  <c r="F197" i="102"/>
  <c r="A197" i="102"/>
  <c r="F196" i="102"/>
  <c r="A196" i="102"/>
  <c r="F195" i="102"/>
  <c r="A195" i="102"/>
  <c r="F194" i="102"/>
  <c r="A194" i="102"/>
  <c r="F193" i="102"/>
  <c r="A193" i="102"/>
  <c r="F192" i="102"/>
  <c r="A192" i="102"/>
  <c r="F191" i="102"/>
  <c r="A191" i="102"/>
  <c r="F190" i="102"/>
  <c r="A190" i="102"/>
  <c r="F189" i="102"/>
  <c r="A189" i="102"/>
  <c r="F188" i="102"/>
  <c r="A188" i="102"/>
  <c r="F187" i="102"/>
  <c r="A187" i="102"/>
  <c r="F186" i="102"/>
  <c r="A186" i="102"/>
  <c r="F185" i="102"/>
  <c r="A185" i="102"/>
  <c r="F184" i="102"/>
  <c r="A184" i="102"/>
  <c r="F183" i="102"/>
  <c r="A183" i="102"/>
  <c r="F182" i="102"/>
  <c r="A182" i="102"/>
  <c r="F181" i="102"/>
  <c r="A181" i="102"/>
  <c r="F180" i="102"/>
  <c r="A180" i="102"/>
  <c r="F179" i="102"/>
  <c r="A179" i="102"/>
  <c r="F178" i="102"/>
  <c r="A178" i="102"/>
  <c r="F177" i="102"/>
  <c r="A177" i="102"/>
  <c r="F176" i="102"/>
  <c r="A176" i="102"/>
  <c r="F175" i="102"/>
  <c r="A175" i="102"/>
  <c r="F174" i="102"/>
  <c r="A174" i="102"/>
  <c r="F173" i="102"/>
  <c r="A173" i="102"/>
  <c r="F172" i="102"/>
  <c r="A172" i="102"/>
  <c r="F171" i="102"/>
  <c r="A171" i="102"/>
  <c r="F170" i="102"/>
  <c r="A170" i="102"/>
  <c r="F169" i="102"/>
  <c r="A169" i="102"/>
  <c r="F168" i="102"/>
  <c r="A168" i="102"/>
  <c r="F167" i="102"/>
  <c r="A167" i="102"/>
  <c r="F166" i="102"/>
  <c r="A166" i="102"/>
  <c r="F165" i="102"/>
  <c r="A165" i="102"/>
  <c r="F164" i="102"/>
  <c r="A164" i="102"/>
  <c r="F163" i="102"/>
  <c r="A163" i="102"/>
  <c r="F162" i="102"/>
  <c r="A162" i="102"/>
  <c r="F161" i="102"/>
  <c r="A161" i="102"/>
  <c r="J3" i="102"/>
  <c r="J16" i="102" s="1"/>
  <c r="L12" i="102"/>
  <c r="L19" i="102" s="1"/>
  <c r="G27" i="123" s="1"/>
  <c r="K12" i="102"/>
  <c r="K19" i="102" s="1"/>
  <c r="D27" i="123" s="1"/>
  <c r="J12" i="102"/>
  <c r="J19" i="102" s="1"/>
  <c r="L11" i="102"/>
  <c r="L18" i="102" s="1"/>
  <c r="K11" i="102"/>
  <c r="K18" i="102" s="1"/>
  <c r="J11" i="102"/>
  <c r="J18" i="102" s="1"/>
  <c r="L10" i="102"/>
  <c r="K10" i="102"/>
  <c r="J10" i="102"/>
  <c r="L7" i="102"/>
  <c r="J7" i="102"/>
  <c r="L3" i="102"/>
  <c r="L16" i="102" s="1"/>
  <c r="E27" i="123" s="1"/>
  <c r="F339" i="101"/>
  <c r="A339" i="101"/>
  <c r="F338" i="101"/>
  <c r="A338" i="101"/>
  <c r="F337" i="101"/>
  <c r="A337" i="101"/>
  <c r="F336" i="101"/>
  <c r="A336" i="101"/>
  <c r="F335" i="101"/>
  <c r="A335" i="101"/>
  <c r="F334" i="101"/>
  <c r="A334" i="101"/>
  <c r="F333" i="101"/>
  <c r="A333" i="101"/>
  <c r="F332" i="101"/>
  <c r="A332" i="101"/>
  <c r="F331" i="101"/>
  <c r="A331" i="101"/>
  <c r="F330" i="101"/>
  <c r="A330" i="101"/>
  <c r="F329" i="101"/>
  <c r="A329" i="101"/>
  <c r="F328" i="101"/>
  <c r="A328" i="101"/>
  <c r="F327" i="101"/>
  <c r="A327" i="101"/>
  <c r="F326" i="101"/>
  <c r="A326" i="101"/>
  <c r="F325" i="101"/>
  <c r="A325" i="101"/>
  <c r="F324" i="101"/>
  <c r="A324" i="101"/>
  <c r="F323" i="101"/>
  <c r="A323" i="101"/>
  <c r="F322" i="101"/>
  <c r="A322" i="101"/>
  <c r="F321" i="101"/>
  <c r="A321" i="101"/>
  <c r="F320" i="101"/>
  <c r="A320" i="101"/>
  <c r="F319" i="101"/>
  <c r="A319" i="101"/>
  <c r="F318" i="101"/>
  <c r="A318" i="101"/>
  <c r="F317" i="101"/>
  <c r="A317" i="101"/>
  <c r="F316" i="101"/>
  <c r="A316" i="101"/>
  <c r="F315" i="101"/>
  <c r="A315" i="101"/>
  <c r="F314" i="101"/>
  <c r="A314" i="101"/>
  <c r="F313" i="101"/>
  <c r="A313" i="101"/>
  <c r="F312" i="101"/>
  <c r="A312" i="101"/>
  <c r="F311" i="101"/>
  <c r="A311" i="101"/>
  <c r="F310" i="101"/>
  <c r="A310" i="101"/>
  <c r="F309" i="101"/>
  <c r="A309" i="101"/>
  <c r="F308" i="101"/>
  <c r="A308" i="101"/>
  <c r="F307" i="101"/>
  <c r="A307" i="101"/>
  <c r="F306" i="101"/>
  <c r="A306" i="101"/>
  <c r="F305" i="101"/>
  <c r="A305" i="101"/>
  <c r="F304" i="101"/>
  <c r="A304" i="101"/>
  <c r="F303" i="101"/>
  <c r="A303" i="101"/>
  <c r="F302" i="101"/>
  <c r="A302" i="101"/>
  <c r="F301" i="101"/>
  <c r="A301" i="101"/>
  <c r="F300" i="101"/>
  <c r="A300" i="101"/>
  <c r="F299" i="101"/>
  <c r="A299" i="101"/>
  <c r="F298" i="101"/>
  <c r="A298" i="101"/>
  <c r="F297" i="101"/>
  <c r="A297" i="101"/>
  <c r="F296" i="101"/>
  <c r="A296" i="101"/>
  <c r="F295" i="101"/>
  <c r="A295" i="101"/>
  <c r="F294" i="101"/>
  <c r="A294" i="101"/>
  <c r="F293" i="101"/>
  <c r="A293" i="101"/>
  <c r="F292" i="101"/>
  <c r="A292" i="101"/>
  <c r="F291" i="101"/>
  <c r="A291" i="101"/>
  <c r="F290" i="101"/>
  <c r="A290" i="101"/>
  <c r="F289" i="101"/>
  <c r="A289" i="101"/>
  <c r="F288" i="101"/>
  <c r="A288" i="101"/>
  <c r="F287" i="101"/>
  <c r="A287" i="101"/>
  <c r="F286" i="101"/>
  <c r="A286" i="101"/>
  <c r="F285" i="101"/>
  <c r="A285" i="101"/>
  <c r="F284" i="101"/>
  <c r="A284" i="101"/>
  <c r="F283" i="101"/>
  <c r="A283" i="101"/>
  <c r="F282" i="101"/>
  <c r="A282" i="101"/>
  <c r="F281" i="101"/>
  <c r="A281" i="101"/>
  <c r="F280" i="101"/>
  <c r="A280" i="101"/>
  <c r="F279" i="101"/>
  <c r="A279" i="101"/>
  <c r="F278" i="101"/>
  <c r="A278" i="101"/>
  <c r="F277" i="101"/>
  <c r="A277" i="101"/>
  <c r="F276" i="101"/>
  <c r="A276" i="101"/>
  <c r="F275" i="101"/>
  <c r="A275" i="101"/>
  <c r="F274" i="101"/>
  <c r="A274" i="101"/>
  <c r="F273" i="101"/>
  <c r="A273" i="101"/>
  <c r="F272" i="101"/>
  <c r="A272" i="101"/>
  <c r="F271" i="101"/>
  <c r="A271" i="101"/>
  <c r="F270" i="101"/>
  <c r="A270" i="101"/>
  <c r="F269" i="101"/>
  <c r="A269" i="101"/>
  <c r="F268" i="101"/>
  <c r="A268" i="101"/>
  <c r="F267" i="101"/>
  <c r="A267" i="101"/>
  <c r="F266" i="101"/>
  <c r="A266" i="101"/>
  <c r="F265" i="101"/>
  <c r="A265" i="101"/>
  <c r="F264" i="101"/>
  <c r="A264" i="101"/>
  <c r="F263" i="101"/>
  <c r="A263" i="101"/>
  <c r="F262" i="101"/>
  <c r="A262" i="101"/>
  <c r="F261" i="101"/>
  <c r="A261" i="101"/>
  <c r="F260" i="101"/>
  <c r="A260" i="101"/>
  <c r="F259" i="101"/>
  <c r="A259" i="101"/>
  <c r="F258" i="101"/>
  <c r="A258" i="101"/>
  <c r="F257" i="101"/>
  <c r="A257" i="101"/>
  <c r="F256" i="101"/>
  <c r="A256" i="101"/>
  <c r="F255" i="101"/>
  <c r="A255" i="101"/>
  <c r="F254" i="101"/>
  <c r="A254" i="101"/>
  <c r="F253" i="101"/>
  <c r="A253" i="101"/>
  <c r="F252" i="101"/>
  <c r="A252" i="101"/>
  <c r="F251" i="101"/>
  <c r="A251" i="101"/>
  <c r="F250" i="101"/>
  <c r="A250" i="101"/>
  <c r="F249" i="101"/>
  <c r="A249" i="101"/>
  <c r="F248" i="101"/>
  <c r="A248" i="101"/>
  <c r="F247" i="101"/>
  <c r="A247" i="101"/>
  <c r="F246" i="101"/>
  <c r="A246" i="101"/>
  <c r="F245" i="101"/>
  <c r="A245" i="101"/>
  <c r="F244" i="101"/>
  <c r="A244" i="101"/>
  <c r="F243" i="101"/>
  <c r="A243" i="101"/>
  <c r="F242" i="101"/>
  <c r="A242" i="101"/>
  <c r="F241" i="101"/>
  <c r="A241" i="101"/>
  <c r="F240" i="101"/>
  <c r="A240" i="101"/>
  <c r="F239" i="101"/>
  <c r="A239" i="101"/>
  <c r="F238" i="101"/>
  <c r="A238" i="101"/>
  <c r="F237" i="101"/>
  <c r="A237" i="101"/>
  <c r="F236" i="101"/>
  <c r="A236" i="101"/>
  <c r="F235" i="101"/>
  <c r="A235" i="101"/>
  <c r="F234" i="101"/>
  <c r="A234" i="101"/>
  <c r="F233" i="101"/>
  <c r="A233" i="101"/>
  <c r="F232" i="101"/>
  <c r="A232" i="101"/>
  <c r="F231" i="101"/>
  <c r="A231" i="101"/>
  <c r="F230" i="101"/>
  <c r="A230" i="101"/>
  <c r="F229" i="101"/>
  <c r="A229" i="101"/>
  <c r="F228" i="101"/>
  <c r="A228" i="101"/>
  <c r="F227" i="101"/>
  <c r="A227" i="101"/>
  <c r="F226" i="101"/>
  <c r="A226" i="101"/>
  <c r="F225" i="101"/>
  <c r="A225" i="101"/>
  <c r="F224" i="101"/>
  <c r="A224" i="101"/>
  <c r="F223" i="101"/>
  <c r="A223" i="101"/>
  <c r="F222" i="101"/>
  <c r="A222" i="101"/>
  <c r="F221" i="101"/>
  <c r="A221" i="101"/>
  <c r="F220" i="101"/>
  <c r="A220" i="101"/>
  <c r="F219" i="101"/>
  <c r="A219" i="101"/>
  <c r="F218" i="101"/>
  <c r="A218" i="101"/>
  <c r="F217" i="101"/>
  <c r="A217" i="101"/>
  <c r="F216" i="101"/>
  <c r="A216" i="101"/>
  <c r="F215" i="101"/>
  <c r="A215" i="101"/>
  <c r="F214" i="101"/>
  <c r="A214" i="101"/>
  <c r="F213" i="101"/>
  <c r="A213" i="101"/>
  <c r="F212" i="101"/>
  <c r="A212" i="101"/>
  <c r="F211" i="101"/>
  <c r="A211" i="101"/>
  <c r="F210" i="101"/>
  <c r="A210" i="101"/>
  <c r="F209" i="101"/>
  <c r="A209" i="101"/>
  <c r="F208" i="101"/>
  <c r="A208" i="101"/>
  <c r="F207" i="101"/>
  <c r="A207" i="101"/>
  <c r="F206" i="101"/>
  <c r="A206" i="101"/>
  <c r="F205" i="101"/>
  <c r="A205" i="101"/>
  <c r="F204" i="101"/>
  <c r="A204" i="101"/>
  <c r="F203" i="101"/>
  <c r="A203" i="101"/>
  <c r="F202" i="101"/>
  <c r="A202" i="101"/>
  <c r="F201" i="101"/>
  <c r="A201" i="101"/>
  <c r="F200" i="101"/>
  <c r="A200" i="101"/>
  <c r="F199" i="101"/>
  <c r="A199" i="101"/>
  <c r="F198" i="101"/>
  <c r="A198" i="101"/>
  <c r="F197" i="101"/>
  <c r="A197" i="101"/>
  <c r="F196" i="101"/>
  <c r="A196" i="101"/>
  <c r="F195" i="101"/>
  <c r="A195" i="101"/>
  <c r="F194" i="101"/>
  <c r="A194" i="101"/>
  <c r="F193" i="101"/>
  <c r="A193" i="101"/>
  <c r="F192" i="101"/>
  <c r="A192" i="101"/>
  <c r="F191" i="101"/>
  <c r="A191" i="101"/>
  <c r="F190" i="101"/>
  <c r="A190" i="101"/>
  <c r="F189" i="101"/>
  <c r="A189" i="101"/>
  <c r="F188" i="101"/>
  <c r="A188" i="101"/>
  <c r="F187" i="101"/>
  <c r="A187" i="101"/>
  <c r="F186" i="101"/>
  <c r="A186" i="101"/>
  <c r="F185" i="101"/>
  <c r="A185" i="101"/>
  <c r="F184" i="101"/>
  <c r="A184" i="101"/>
  <c r="F183" i="101"/>
  <c r="A183" i="101"/>
  <c r="F182" i="101"/>
  <c r="A182" i="101"/>
  <c r="F181" i="101"/>
  <c r="A181" i="101"/>
  <c r="F180" i="101"/>
  <c r="A180" i="101"/>
  <c r="F179" i="101"/>
  <c r="A179" i="101"/>
  <c r="F178" i="101"/>
  <c r="A178" i="101"/>
  <c r="F177" i="101"/>
  <c r="A177" i="101"/>
  <c r="F176" i="101"/>
  <c r="A176" i="101"/>
  <c r="F175" i="101"/>
  <c r="A175" i="101"/>
  <c r="F174" i="101"/>
  <c r="A174" i="101"/>
  <c r="F173" i="101"/>
  <c r="A173" i="101"/>
  <c r="F172" i="101"/>
  <c r="A172" i="101"/>
  <c r="F171" i="101"/>
  <c r="A171" i="101"/>
  <c r="F170" i="101"/>
  <c r="A170" i="101"/>
  <c r="F169" i="101"/>
  <c r="A169" i="101"/>
  <c r="F168" i="101"/>
  <c r="A168" i="101"/>
  <c r="F167" i="101"/>
  <c r="A167" i="101"/>
  <c r="F166" i="101"/>
  <c r="A166" i="101"/>
  <c r="F165" i="101"/>
  <c r="A165" i="101"/>
  <c r="F164" i="101"/>
  <c r="A164" i="101"/>
  <c r="F163" i="101"/>
  <c r="A163" i="101"/>
  <c r="F162" i="101"/>
  <c r="A162" i="101"/>
  <c r="F161" i="101"/>
  <c r="A161" i="101"/>
  <c r="H160" i="101"/>
  <c r="G160" i="101"/>
  <c r="F160" i="101"/>
  <c r="A160" i="101"/>
  <c r="H159" i="101"/>
  <c r="G159" i="101"/>
  <c r="F159" i="101"/>
  <c r="A159" i="101"/>
  <c r="H158" i="101"/>
  <c r="G158" i="101"/>
  <c r="F158" i="101"/>
  <c r="A158" i="101"/>
  <c r="H157" i="101"/>
  <c r="G157" i="101"/>
  <c r="F157" i="101"/>
  <c r="A157" i="101"/>
  <c r="H156" i="101"/>
  <c r="G156" i="101"/>
  <c r="F156" i="101"/>
  <c r="A156" i="101"/>
  <c r="H155" i="101"/>
  <c r="G155" i="101"/>
  <c r="F155" i="101"/>
  <c r="A155" i="101"/>
  <c r="H154" i="101"/>
  <c r="G154" i="101"/>
  <c r="F154" i="101"/>
  <c r="A154" i="101"/>
  <c r="H153" i="101"/>
  <c r="G153" i="101"/>
  <c r="F153" i="101"/>
  <c r="A153" i="101"/>
  <c r="H152" i="101"/>
  <c r="G152" i="101"/>
  <c r="F152" i="101"/>
  <c r="A152" i="101"/>
  <c r="H151" i="101"/>
  <c r="G151" i="101"/>
  <c r="F151" i="101"/>
  <c r="A151" i="101"/>
  <c r="H150" i="101"/>
  <c r="G150" i="101"/>
  <c r="F150" i="101"/>
  <c r="A150" i="101"/>
  <c r="H149" i="101"/>
  <c r="G149" i="101"/>
  <c r="F149" i="101"/>
  <c r="A149" i="101"/>
  <c r="H148" i="101"/>
  <c r="G148" i="101"/>
  <c r="F148" i="101"/>
  <c r="A148" i="101"/>
  <c r="H147" i="101"/>
  <c r="G147" i="101"/>
  <c r="F147" i="101"/>
  <c r="A147" i="101"/>
  <c r="H146" i="101"/>
  <c r="G146" i="101"/>
  <c r="F146" i="101"/>
  <c r="A146" i="101"/>
  <c r="H145" i="101"/>
  <c r="G145" i="101"/>
  <c r="F145" i="101"/>
  <c r="A145" i="101"/>
  <c r="H144" i="101"/>
  <c r="G144" i="101"/>
  <c r="F144" i="101"/>
  <c r="A144" i="101"/>
  <c r="H143" i="101"/>
  <c r="G143" i="101"/>
  <c r="F143" i="101"/>
  <c r="A143" i="101"/>
  <c r="H142" i="101"/>
  <c r="G142" i="101"/>
  <c r="F142" i="101"/>
  <c r="A142" i="101"/>
  <c r="H141" i="101"/>
  <c r="G141" i="101"/>
  <c r="F141" i="101"/>
  <c r="A141" i="101"/>
  <c r="H140" i="101"/>
  <c r="G140" i="101"/>
  <c r="F140" i="101"/>
  <c r="A140" i="101"/>
  <c r="H139" i="101"/>
  <c r="G139" i="101"/>
  <c r="F139" i="101"/>
  <c r="A139" i="101"/>
  <c r="H138" i="101"/>
  <c r="G138" i="101"/>
  <c r="F138" i="101"/>
  <c r="A138" i="101"/>
  <c r="H137" i="101"/>
  <c r="G137" i="101"/>
  <c r="F137" i="101"/>
  <c r="A137" i="101"/>
  <c r="H136" i="101"/>
  <c r="G136" i="101"/>
  <c r="F136" i="101"/>
  <c r="A136" i="101"/>
  <c r="H135" i="101"/>
  <c r="G135" i="101"/>
  <c r="F135" i="101"/>
  <c r="A135" i="101"/>
  <c r="H134" i="101"/>
  <c r="G134" i="101"/>
  <c r="F134" i="101"/>
  <c r="A134" i="101"/>
  <c r="H133" i="101"/>
  <c r="G133" i="101"/>
  <c r="F133" i="101"/>
  <c r="A133" i="101"/>
  <c r="H132" i="101"/>
  <c r="G132" i="101"/>
  <c r="F132" i="101"/>
  <c r="A132" i="101"/>
  <c r="H131" i="101"/>
  <c r="G131" i="101"/>
  <c r="F131" i="101"/>
  <c r="A131" i="101"/>
  <c r="H130" i="101"/>
  <c r="G130" i="101"/>
  <c r="F130" i="101"/>
  <c r="A130" i="101"/>
  <c r="H129" i="101"/>
  <c r="G129" i="101"/>
  <c r="F129" i="101"/>
  <c r="A129" i="101"/>
  <c r="H128" i="101"/>
  <c r="G128" i="101"/>
  <c r="F128" i="101"/>
  <c r="A128" i="101"/>
  <c r="H127" i="101"/>
  <c r="G127" i="101"/>
  <c r="F127" i="101"/>
  <c r="A127" i="101"/>
  <c r="H126" i="101"/>
  <c r="G126" i="101"/>
  <c r="F126" i="101"/>
  <c r="A126" i="101"/>
  <c r="H125" i="101"/>
  <c r="G125" i="101"/>
  <c r="F125" i="101"/>
  <c r="A125" i="101"/>
  <c r="H124" i="101"/>
  <c r="G124" i="101"/>
  <c r="F124" i="101"/>
  <c r="A124" i="101"/>
  <c r="H123" i="101"/>
  <c r="G123" i="101"/>
  <c r="F123" i="101"/>
  <c r="A123" i="101"/>
  <c r="H122" i="101"/>
  <c r="G122" i="101"/>
  <c r="F122" i="101"/>
  <c r="A122" i="101"/>
  <c r="H121" i="101"/>
  <c r="G121" i="101"/>
  <c r="F121" i="101"/>
  <c r="A121" i="101"/>
  <c r="H120" i="101"/>
  <c r="G120" i="101"/>
  <c r="F120" i="101"/>
  <c r="A120" i="101"/>
  <c r="H119" i="101"/>
  <c r="G119" i="101"/>
  <c r="F119" i="101"/>
  <c r="A119" i="101"/>
  <c r="H118" i="101"/>
  <c r="G118" i="101"/>
  <c r="F118" i="101"/>
  <c r="A118" i="101"/>
  <c r="H117" i="101"/>
  <c r="G117" i="101"/>
  <c r="F117" i="101"/>
  <c r="A117" i="101"/>
  <c r="H116" i="101"/>
  <c r="G116" i="101"/>
  <c r="F116" i="101"/>
  <c r="A116" i="101"/>
  <c r="H115" i="101"/>
  <c r="G115" i="101"/>
  <c r="F115" i="101"/>
  <c r="A115" i="101"/>
  <c r="H114" i="101"/>
  <c r="G114" i="101"/>
  <c r="F114" i="101"/>
  <c r="A114" i="101"/>
  <c r="H113" i="101"/>
  <c r="G113" i="101"/>
  <c r="F113" i="101"/>
  <c r="A113" i="101"/>
  <c r="H112" i="101"/>
  <c r="G112" i="101"/>
  <c r="F112" i="101"/>
  <c r="A112" i="101"/>
  <c r="H111" i="101"/>
  <c r="G111" i="101"/>
  <c r="F111" i="101"/>
  <c r="A111" i="101"/>
  <c r="H110" i="101"/>
  <c r="G110" i="101"/>
  <c r="F110" i="101"/>
  <c r="A110" i="101"/>
  <c r="H109" i="101"/>
  <c r="G109" i="101"/>
  <c r="F109" i="101"/>
  <c r="A109" i="101"/>
  <c r="H108" i="101"/>
  <c r="G108" i="101"/>
  <c r="F108" i="101"/>
  <c r="A108" i="101"/>
  <c r="H107" i="101"/>
  <c r="G107" i="101"/>
  <c r="F107" i="101"/>
  <c r="A107" i="101"/>
  <c r="H106" i="101"/>
  <c r="G106" i="101"/>
  <c r="F106" i="101"/>
  <c r="A106" i="101"/>
  <c r="H105" i="101"/>
  <c r="G105" i="101"/>
  <c r="F105" i="101"/>
  <c r="A105" i="101"/>
  <c r="H104" i="101"/>
  <c r="G104" i="101"/>
  <c r="F104" i="101"/>
  <c r="A104" i="101"/>
  <c r="H103" i="101"/>
  <c r="G103" i="101"/>
  <c r="F103" i="101"/>
  <c r="A103" i="101"/>
  <c r="H102" i="101"/>
  <c r="G102" i="101"/>
  <c r="F102" i="101"/>
  <c r="A102" i="101"/>
  <c r="H101" i="101"/>
  <c r="G101" i="101"/>
  <c r="F101" i="101"/>
  <c r="A101" i="101"/>
  <c r="H100" i="101"/>
  <c r="G100" i="101"/>
  <c r="F100" i="101"/>
  <c r="A100" i="101"/>
  <c r="H99" i="101"/>
  <c r="G99" i="101"/>
  <c r="F99" i="101"/>
  <c r="A99" i="101"/>
  <c r="H98" i="101"/>
  <c r="G98" i="101"/>
  <c r="F98" i="101"/>
  <c r="A98" i="101"/>
  <c r="H97" i="101"/>
  <c r="G97" i="101"/>
  <c r="F97" i="101"/>
  <c r="A97" i="101"/>
  <c r="H96" i="101"/>
  <c r="G96" i="101"/>
  <c r="F96" i="101"/>
  <c r="A96" i="101"/>
  <c r="H95" i="101"/>
  <c r="G95" i="101"/>
  <c r="F95" i="101"/>
  <c r="A95" i="101"/>
  <c r="H94" i="101"/>
  <c r="G94" i="101"/>
  <c r="F94" i="101"/>
  <c r="A94" i="101"/>
  <c r="H93" i="101"/>
  <c r="G93" i="101"/>
  <c r="F93" i="101"/>
  <c r="A93" i="101"/>
  <c r="H92" i="101"/>
  <c r="G92" i="101"/>
  <c r="F92" i="101"/>
  <c r="A92" i="101"/>
  <c r="H91" i="101"/>
  <c r="G91" i="101"/>
  <c r="F91" i="101"/>
  <c r="A91" i="101"/>
  <c r="H90" i="101"/>
  <c r="G90" i="101"/>
  <c r="F90" i="101"/>
  <c r="A90" i="101"/>
  <c r="H89" i="101"/>
  <c r="G89" i="101"/>
  <c r="F89" i="101"/>
  <c r="A89" i="101"/>
  <c r="H88" i="101"/>
  <c r="G88" i="101"/>
  <c r="F88" i="101"/>
  <c r="A88" i="101"/>
  <c r="H87" i="101"/>
  <c r="G87" i="101"/>
  <c r="F87" i="101"/>
  <c r="A87" i="101"/>
  <c r="H86" i="101"/>
  <c r="G86" i="101"/>
  <c r="F86" i="101"/>
  <c r="A86" i="101"/>
  <c r="H85" i="101"/>
  <c r="G85" i="101"/>
  <c r="F85" i="101"/>
  <c r="A85" i="101"/>
  <c r="H84" i="101"/>
  <c r="G84" i="101"/>
  <c r="F84" i="101"/>
  <c r="A84" i="101"/>
  <c r="H83" i="101"/>
  <c r="G83" i="101"/>
  <c r="F83" i="101"/>
  <c r="A83" i="101"/>
  <c r="H82" i="101"/>
  <c r="G82" i="101"/>
  <c r="F82" i="101"/>
  <c r="A82" i="101"/>
  <c r="H81" i="101"/>
  <c r="G81" i="101"/>
  <c r="F81" i="101"/>
  <c r="A81" i="101"/>
  <c r="H80" i="101"/>
  <c r="G80" i="101"/>
  <c r="F80" i="101"/>
  <c r="A80" i="101"/>
  <c r="H79" i="101"/>
  <c r="G79" i="101"/>
  <c r="F79" i="101"/>
  <c r="A79" i="101"/>
  <c r="H78" i="101"/>
  <c r="G78" i="101"/>
  <c r="F78" i="101"/>
  <c r="A78" i="101"/>
  <c r="H77" i="101"/>
  <c r="G77" i="101"/>
  <c r="F77" i="101"/>
  <c r="A77" i="101"/>
  <c r="H76" i="101"/>
  <c r="G76" i="101"/>
  <c r="F76" i="101"/>
  <c r="A76" i="101"/>
  <c r="H75" i="101"/>
  <c r="G75" i="101"/>
  <c r="F75" i="101"/>
  <c r="A75" i="101"/>
  <c r="H74" i="101"/>
  <c r="G74" i="101"/>
  <c r="F74" i="101"/>
  <c r="A74" i="101"/>
  <c r="H73" i="101"/>
  <c r="G73" i="101"/>
  <c r="F73" i="101"/>
  <c r="A73" i="101"/>
  <c r="H72" i="101"/>
  <c r="G72" i="101"/>
  <c r="F72" i="101"/>
  <c r="A72" i="101"/>
  <c r="H71" i="101"/>
  <c r="G71" i="101"/>
  <c r="F71" i="101"/>
  <c r="A71" i="101"/>
  <c r="H70" i="101"/>
  <c r="G70" i="101"/>
  <c r="F70" i="101"/>
  <c r="A70" i="101"/>
  <c r="H69" i="101"/>
  <c r="G69" i="101"/>
  <c r="F69" i="101"/>
  <c r="A69" i="101"/>
  <c r="H68" i="101"/>
  <c r="G68" i="101"/>
  <c r="F68" i="101"/>
  <c r="A68" i="101"/>
  <c r="H67" i="101"/>
  <c r="G67" i="101"/>
  <c r="F67" i="101"/>
  <c r="A67" i="101"/>
  <c r="H66" i="101"/>
  <c r="G66" i="101"/>
  <c r="F66" i="101"/>
  <c r="A66" i="101"/>
  <c r="H65" i="101"/>
  <c r="G65" i="101"/>
  <c r="F65" i="101"/>
  <c r="A65" i="101"/>
  <c r="H64" i="101"/>
  <c r="G64" i="101"/>
  <c r="F64" i="101"/>
  <c r="A64" i="101"/>
  <c r="H63" i="101"/>
  <c r="G63" i="101"/>
  <c r="F63" i="101"/>
  <c r="A63" i="101"/>
  <c r="H62" i="101"/>
  <c r="G62" i="101"/>
  <c r="F62" i="101"/>
  <c r="A62" i="101"/>
  <c r="H61" i="101"/>
  <c r="G61" i="101"/>
  <c r="F61" i="101"/>
  <c r="A61" i="101"/>
  <c r="H60" i="101"/>
  <c r="G60" i="101"/>
  <c r="F60" i="101"/>
  <c r="A60" i="101"/>
  <c r="H59" i="101"/>
  <c r="G59" i="101"/>
  <c r="F59" i="101"/>
  <c r="A59" i="101"/>
  <c r="H58" i="101"/>
  <c r="G58" i="101"/>
  <c r="F58" i="101"/>
  <c r="A58" i="101"/>
  <c r="H57" i="101"/>
  <c r="G57" i="101"/>
  <c r="F57" i="101"/>
  <c r="A57" i="101"/>
  <c r="H56" i="101"/>
  <c r="G56" i="101"/>
  <c r="F56" i="101"/>
  <c r="A56" i="101"/>
  <c r="H55" i="101"/>
  <c r="G55" i="101"/>
  <c r="F55" i="101"/>
  <c r="A55" i="101"/>
  <c r="H54" i="101"/>
  <c r="G54" i="101"/>
  <c r="F54" i="101"/>
  <c r="A54" i="101"/>
  <c r="H53" i="101"/>
  <c r="G53" i="101"/>
  <c r="F53" i="101"/>
  <c r="A53" i="101"/>
  <c r="H52" i="101"/>
  <c r="G52" i="101"/>
  <c r="F52" i="101"/>
  <c r="A52" i="101"/>
  <c r="H51" i="101"/>
  <c r="G51" i="101"/>
  <c r="F51" i="101"/>
  <c r="A51" i="101"/>
  <c r="H50" i="101"/>
  <c r="G50" i="101"/>
  <c r="F50" i="101"/>
  <c r="A50" i="101"/>
  <c r="H49" i="101"/>
  <c r="G49" i="101"/>
  <c r="F49" i="101"/>
  <c r="A49" i="101"/>
  <c r="H48" i="101"/>
  <c r="G48" i="101"/>
  <c r="F48" i="101"/>
  <c r="A48" i="101"/>
  <c r="H47" i="101"/>
  <c r="G47" i="101"/>
  <c r="F47" i="101"/>
  <c r="A47" i="101"/>
  <c r="H46" i="101"/>
  <c r="G46" i="101"/>
  <c r="F46" i="101"/>
  <c r="A46" i="101"/>
  <c r="H45" i="101"/>
  <c r="G45" i="101"/>
  <c r="F45" i="101"/>
  <c r="A45" i="101"/>
  <c r="H44" i="101"/>
  <c r="G44" i="101"/>
  <c r="F44" i="101"/>
  <c r="A44" i="101"/>
  <c r="H43" i="101"/>
  <c r="G43" i="101"/>
  <c r="F43" i="101"/>
  <c r="A43" i="101"/>
  <c r="H42" i="101"/>
  <c r="G42" i="101"/>
  <c r="F42" i="101"/>
  <c r="A42" i="101"/>
  <c r="H41" i="101"/>
  <c r="G41" i="101"/>
  <c r="F41" i="101"/>
  <c r="A41" i="101"/>
  <c r="H40" i="101"/>
  <c r="G40" i="101"/>
  <c r="F40" i="101"/>
  <c r="A40" i="101"/>
  <c r="H39" i="101"/>
  <c r="G39" i="101"/>
  <c r="F39" i="101"/>
  <c r="A39" i="101"/>
  <c r="H38" i="101"/>
  <c r="G38" i="101"/>
  <c r="F38" i="101"/>
  <c r="A38" i="101"/>
  <c r="H37" i="101"/>
  <c r="G37" i="101"/>
  <c r="F37" i="101"/>
  <c r="A37" i="101"/>
  <c r="H36" i="101"/>
  <c r="G36" i="101"/>
  <c r="F36" i="101"/>
  <c r="A36" i="101"/>
  <c r="H35" i="101"/>
  <c r="G35" i="101"/>
  <c r="F35" i="101"/>
  <c r="A35" i="101"/>
  <c r="H34" i="101"/>
  <c r="G34" i="101"/>
  <c r="F34" i="101"/>
  <c r="A34" i="101"/>
  <c r="H33" i="101"/>
  <c r="G33" i="101"/>
  <c r="F33" i="101"/>
  <c r="A33" i="101"/>
  <c r="H32" i="101"/>
  <c r="G32" i="101"/>
  <c r="F32" i="101"/>
  <c r="A32" i="101"/>
  <c r="H31" i="101"/>
  <c r="G31" i="101"/>
  <c r="F31" i="101"/>
  <c r="A31" i="101"/>
  <c r="H30" i="101"/>
  <c r="G30" i="101"/>
  <c r="F30" i="101"/>
  <c r="A30" i="101"/>
  <c r="H29" i="101"/>
  <c r="G29" i="101"/>
  <c r="F29" i="101"/>
  <c r="A29" i="101"/>
  <c r="H28" i="101"/>
  <c r="G28" i="101"/>
  <c r="F28" i="101"/>
  <c r="A28" i="101"/>
  <c r="H27" i="101"/>
  <c r="G27" i="101"/>
  <c r="F27" i="101"/>
  <c r="A27" i="101"/>
  <c r="H26" i="101"/>
  <c r="G26" i="101"/>
  <c r="F26" i="101"/>
  <c r="A26" i="101"/>
  <c r="H25" i="101"/>
  <c r="G25" i="101"/>
  <c r="F25" i="101"/>
  <c r="A25" i="101"/>
  <c r="H24" i="101"/>
  <c r="G24" i="101"/>
  <c r="F24" i="101"/>
  <c r="A24" i="101"/>
  <c r="H23" i="101"/>
  <c r="G23" i="101"/>
  <c r="F23" i="101"/>
  <c r="A23" i="101"/>
  <c r="H22" i="101"/>
  <c r="G22" i="101"/>
  <c r="F22" i="101"/>
  <c r="A22" i="101"/>
  <c r="H21" i="101"/>
  <c r="G21" i="101"/>
  <c r="F21" i="101"/>
  <c r="A21" i="101"/>
  <c r="H20" i="101"/>
  <c r="G20" i="101"/>
  <c r="F20" i="101"/>
  <c r="A20" i="101"/>
  <c r="L19" i="101"/>
  <c r="K19" i="101"/>
  <c r="J19" i="101"/>
  <c r="H19" i="101"/>
  <c r="G19" i="101"/>
  <c r="F19" i="101"/>
  <c r="A19" i="101"/>
  <c r="L18" i="101"/>
  <c r="K18" i="101"/>
  <c r="J18" i="101"/>
  <c r="H18" i="101"/>
  <c r="G18" i="101"/>
  <c r="F18" i="101"/>
  <c r="A18" i="101"/>
  <c r="F26" i="123"/>
  <c r="C26" i="123"/>
  <c r="H26" i="123" s="1"/>
  <c r="J20" i="101"/>
  <c r="H17" i="101"/>
  <c r="G17" i="101"/>
  <c r="F17" i="101"/>
  <c r="A17" i="101"/>
  <c r="L16" i="101"/>
  <c r="K16" i="101"/>
  <c r="J16" i="101"/>
  <c r="H16" i="101"/>
  <c r="G16" i="101"/>
  <c r="F16" i="101"/>
  <c r="A16" i="101"/>
  <c r="H15" i="101"/>
  <c r="G15" i="101"/>
  <c r="F15" i="101"/>
  <c r="A15" i="101"/>
  <c r="H14" i="101"/>
  <c r="G14" i="101"/>
  <c r="F14" i="101"/>
  <c r="A14" i="101"/>
  <c r="H13" i="101"/>
  <c r="G13" i="101"/>
  <c r="F13" i="101"/>
  <c r="A13" i="101"/>
  <c r="L12" i="101"/>
  <c r="K12" i="101"/>
  <c r="J12" i="101"/>
  <c r="H12" i="101"/>
  <c r="G12" i="101"/>
  <c r="F12" i="101"/>
  <c r="A12" i="101"/>
  <c r="L11" i="101"/>
  <c r="K11" i="101"/>
  <c r="J11" i="101"/>
  <c r="H11" i="101"/>
  <c r="G11" i="101"/>
  <c r="F11" i="101"/>
  <c r="A11" i="101"/>
  <c r="L10" i="101"/>
  <c r="K10" i="101"/>
  <c r="J10" i="101"/>
  <c r="H10" i="101"/>
  <c r="G10" i="101"/>
  <c r="F10" i="101"/>
  <c r="A10" i="101"/>
  <c r="H9" i="101"/>
  <c r="G9" i="101"/>
  <c r="F9" i="101"/>
  <c r="A9" i="101"/>
  <c r="H8" i="101"/>
  <c r="G8" i="101"/>
  <c r="F8" i="101"/>
  <c r="A8" i="101"/>
  <c r="L7" i="101"/>
  <c r="K7" i="101"/>
  <c r="J7" i="101"/>
  <c r="H7" i="101"/>
  <c r="G7" i="101"/>
  <c r="F7" i="101"/>
  <c r="A7" i="101"/>
  <c r="L6" i="101"/>
  <c r="K6" i="101"/>
  <c r="J6" i="101"/>
  <c r="H6" i="101"/>
  <c r="G6" i="101"/>
  <c r="F6" i="101"/>
  <c r="A6" i="101"/>
  <c r="L5" i="101"/>
  <c r="K5" i="101"/>
  <c r="J5" i="101"/>
  <c r="H5" i="101"/>
  <c r="G5" i="101"/>
  <c r="F5" i="101"/>
  <c r="A5" i="101"/>
  <c r="L4" i="101"/>
  <c r="K4" i="101"/>
  <c r="J4" i="101"/>
  <c r="H4" i="101"/>
  <c r="G4" i="101"/>
  <c r="F4" i="101"/>
  <c r="A4" i="101"/>
  <c r="L3" i="101"/>
  <c r="K3" i="101"/>
  <c r="J3" i="101"/>
  <c r="H3" i="101"/>
  <c r="G3" i="101"/>
  <c r="F3" i="101"/>
  <c r="A3" i="101"/>
  <c r="F339" i="100"/>
  <c r="A339" i="100"/>
  <c r="F338" i="100"/>
  <c r="A338" i="100"/>
  <c r="F337" i="100"/>
  <c r="A337" i="100"/>
  <c r="F336" i="100"/>
  <c r="A336" i="100"/>
  <c r="F335" i="100"/>
  <c r="A335" i="100"/>
  <c r="F334" i="100"/>
  <c r="A334" i="100"/>
  <c r="F333" i="100"/>
  <c r="A333" i="100"/>
  <c r="F332" i="100"/>
  <c r="A332" i="100"/>
  <c r="F331" i="100"/>
  <c r="A331" i="100"/>
  <c r="F330" i="100"/>
  <c r="A330" i="100"/>
  <c r="F329" i="100"/>
  <c r="A329" i="100"/>
  <c r="F328" i="100"/>
  <c r="A328" i="100"/>
  <c r="F327" i="100"/>
  <c r="A327" i="100"/>
  <c r="F326" i="100"/>
  <c r="A326" i="100"/>
  <c r="F325" i="100"/>
  <c r="A325" i="100"/>
  <c r="F324" i="100"/>
  <c r="A324" i="100"/>
  <c r="F323" i="100"/>
  <c r="A323" i="100"/>
  <c r="F322" i="100"/>
  <c r="A322" i="100"/>
  <c r="F321" i="100"/>
  <c r="A321" i="100"/>
  <c r="F320" i="100"/>
  <c r="A320" i="100"/>
  <c r="F319" i="100"/>
  <c r="A319" i="100"/>
  <c r="F318" i="100"/>
  <c r="A318" i="100"/>
  <c r="F317" i="100"/>
  <c r="A317" i="100"/>
  <c r="F316" i="100"/>
  <c r="A316" i="100"/>
  <c r="F315" i="100"/>
  <c r="A315" i="100"/>
  <c r="F314" i="100"/>
  <c r="A314" i="100"/>
  <c r="F313" i="100"/>
  <c r="A313" i="100"/>
  <c r="F312" i="100"/>
  <c r="A312" i="100"/>
  <c r="F311" i="100"/>
  <c r="A311" i="100"/>
  <c r="F310" i="100"/>
  <c r="A310" i="100"/>
  <c r="F309" i="100"/>
  <c r="A309" i="100"/>
  <c r="F308" i="100"/>
  <c r="A308" i="100"/>
  <c r="F307" i="100"/>
  <c r="A307" i="100"/>
  <c r="F306" i="100"/>
  <c r="A306" i="100"/>
  <c r="F305" i="100"/>
  <c r="A305" i="100"/>
  <c r="F304" i="100"/>
  <c r="A304" i="100"/>
  <c r="F303" i="100"/>
  <c r="A303" i="100"/>
  <c r="F302" i="100"/>
  <c r="A302" i="100"/>
  <c r="F301" i="100"/>
  <c r="A301" i="100"/>
  <c r="F300" i="100"/>
  <c r="A300" i="100"/>
  <c r="F299" i="100"/>
  <c r="A299" i="100"/>
  <c r="F298" i="100"/>
  <c r="A298" i="100"/>
  <c r="F297" i="100"/>
  <c r="A297" i="100"/>
  <c r="F296" i="100"/>
  <c r="A296" i="100"/>
  <c r="F295" i="100"/>
  <c r="A295" i="100"/>
  <c r="F294" i="100"/>
  <c r="A294" i="100"/>
  <c r="F293" i="100"/>
  <c r="A293" i="100"/>
  <c r="F292" i="100"/>
  <c r="A292" i="100"/>
  <c r="F291" i="100"/>
  <c r="A291" i="100"/>
  <c r="F290" i="100"/>
  <c r="A290" i="100"/>
  <c r="F289" i="100"/>
  <c r="A289" i="100"/>
  <c r="F288" i="100"/>
  <c r="A288" i="100"/>
  <c r="F287" i="100"/>
  <c r="A287" i="100"/>
  <c r="F286" i="100"/>
  <c r="A286" i="100"/>
  <c r="F285" i="100"/>
  <c r="A285" i="100"/>
  <c r="F284" i="100"/>
  <c r="A284" i="100"/>
  <c r="F283" i="100"/>
  <c r="A283" i="100"/>
  <c r="F282" i="100"/>
  <c r="A282" i="100"/>
  <c r="F281" i="100"/>
  <c r="A281" i="100"/>
  <c r="F280" i="100"/>
  <c r="A280" i="100"/>
  <c r="F279" i="100"/>
  <c r="A279" i="100"/>
  <c r="F278" i="100"/>
  <c r="A278" i="100"/>
  <c r="F277" i="100"/>
  <c r="A277" i="100"/>
  <c r="F276" i="100"/>
  <c r="A276" i="100"/>
  <c r="F275" i="100"/>
  <c r="A275" i="100"/>
  <c r="F274" i="100"/>
  <c r="A274" i="100"/>
  <c r="F273" i="100"/>
  <c r="A273" i="100"/>
  <c r="F272" i="100"/>
  <c r="A272" i="100"/>
  <c r="F271" i="100"/>
  <c r="A271" i="100"/>
  <c r="F270" i="100"/>
  <c r="A270" i="100"/>
  <c r="F269" i="100"/>
  <c r="A269" i="100"/>
  <c r="F268" i="100"/>
  <c r="A268" i="100"/>
  <c r="F267" i="100"/>
  <c r="A267" i="100"/>
  <c r="F266" i="100"/>
  <c r="A266" i="100"/>
  <c r="F265" i="100"/>
  <c r="A265" i="100"/>
  <c r="F264" i="100"/>
  <c r="A264" i="100"/>
  <c r="F263" i="100"/>
  <c r="A263" i="100"/>
  <c r="F262" i="100"/>
  <c r="A262" i="100"/>
  <c r="F261" i="100"/>
  <c r="A261" i="100"/>
  <c r="F260" i="100"/>
  <c r="A260" i="100"/>
  <c r="F259" i="100"/>
  <c r="A259" i="100"/>
  <c r="F258" i="100"/>
  <c r="A258" i="100"/>
  <c r="F257" i="100"/>
  <c r="A257" i="100"/>
  <c r="F256" i="100"/>
  <c r="A256" i="100"/>
  <c r="F255" i="100"/>
  <c r="A255" i="100"/>
  <c r="F254" i="100"/>
  <c r="A254" i="100"/>
  <c r="F253" i="100"/>
  <c r="A253" i="100"/>
  <c r="F252" i="100"/>
  <c r="A252" i="100"/>
  <c r="F251" i="100"/>
  <c r="A251" i="100"/>
  <c r="F250" i="100"/>
  <c r="A250" i="100"/>
  <c r="F249" i="100"/>
  <c r="A249" i="100"/>
  <c r="F248" i="100"/>
  <c r="A248" i="100"/>
  <c r="F247" i="100"/>
  <c r="A247" i="100"/>
  <c r="F246" i="100"/>
  <c r="A246" i="100"/>
  <c r="F245" i="100"/>
  <c r="A245" i="100"/>
  <c r="F244" i="100"/>
  <c r="A244" i="100"/>
  <c r="F243" i="100"/>
  <c r="A243" i="100"/>
  <c r="F242" i="100"/>
  <c r="A242" i="100"/>
  <c r="F241" i="100"/>
  <c r="A241" i="100"/>
  <c r="F240" i="100"/>
  <c r="A240" i="100"/>
  <c r="F239" i="100"/>
  <c r="A239" i="100"/>
  <c r="F238" i="100"/>
  <c r="A238" i="100"/>
  <c r="F237" i="100"/>
  <c r="A237" i="100"/>
  <c r="F236" i="100"/>
  <c r="A236" i="100"/>
  <c r="F235" i="100"/>
  <c r="A235" i="100"/>
  <c r="F234" i="100"/>
  <c r="A234" i="100"/>
  <c r="F233" i="100"/>
  <c r="A233" i="100"/>
  <c r="F232" i="100"/>
  <c r="A232" i="100"/>
  <c r="F231" i="100"/>
  <c r="A231" i="100"/>
  <c r="F230" i="100"/>
  <c r="A230" i="100"/>
  <c r="F229" i="100"/>
  <c r="A229" i="100"/>
  <c r="F228" i="100"/>
  <c r="A228" i="100"/>
  <c r="F227" i="100"/>
  <c r="A227" i="100"/>
  <c r="F226" i="100"/>
  <c r="A226" i="100"/>
  <c r="F225" i="100"/>
  <c r="A225" i="100"/>
  <c r="F224" i="100"/>
  <c r="A224" i="100"/>
  <c r="F223" i="100"/>
  <c r="A223" i="100"/>
  <c r="F222" i="100"/>
  <c r="A222" i="100"/>
  <c r="F221" i="100"/>
  <c r="A221" i="100"/>
  <c r="F220" i="100"/>
  <c r="A220" i="100"/>
  <c r="F219" i="100"/>
  <c r="A219" i="100"/>
  <c r="F218" i="100"/>
  <c r="A218" i="100"/>
  <c r="F217" i="100"/>
  <c r="A217" i="100"/>
  <c r="F216" i="100"/>
  <c r="A216" i="100"/>
  <c r="F215" i="100"/>
  <c r="A215" i="100"/>
  <c r="F214" i="100"/>
  <c r="A214" i="100"/>
  <c r="F213" i="100"/>
  <c r="A213" i="100"/>
  <c r="F212" i="100"/>
  <c r="A212" i="100"/>
  <c r="F211" i="100"/>
  <c r="A211" i="100"/>
  <c r="F210" i="100"/>
  <c r="A210" i="100"/>
  <c r="F209" i="100"/>
  <c r="A209" i="100"/>
  <c r="F208" i="100"/>
  <c r="A208" i="100"/>
  <c r="F207" i="100"/>
  <c r="A207" i="100"/>
  <c r="F206" i="100"/>
  <c r="A206" i="100"/>
  <c r="F205" i="100"/>
  <c r="A205" i="100"/>
  <c r="F204" i="100"/>
  <c r="A204" i="100"/>
  <c r="F203" i="100"/>
  <c r="A203" i="100"/>
  <c r="F202" i="100"/>
  <c r="A202" i="100"/>
  <c r="F201" i="100"/>
  <c r="A201" i="100"/>
  <c r="F200" i="100"/>
  <c r="A200" i="100"/>
  <c r="F199" i="100"/>
  <c r="A199" i="100"/>
  <c r="F198" i="100"/>
  <c r="A198" i="100"/>
  <c r="F197" i="100"/>
  <c r="A197" i="100"/>
  <c r="F196" i="100"/>
  <c r="A196" i="100"/>
  <c r="F195" i="100"/>
  <c r="A195" i="100"/>
  <c r="F194" i="100"/>
  <c r="A194" i="100"/>
  <c r="F193" i="100"/>
  <c r="A193" i="100"/>
  <c r="F192" i="100"/>
  <c r="A192" i="100"/>
  <c r="F191" i="100"/>
  <c r="A191" i="100"/>
  <c r="F190" i="100"/>
  <c r="A190" i="100"/>
  <c r="F189" i="100"/>
  <c r="A189" i="100"/>
  <c r="F188" i="100"/>
  <c r="A188" i="100"/>
  <c r="F187" i="100"/>
  <c r="A187" i="100"/>
  <c r="F186" i="100"/>
  <c r="A186" i="100"/>
  <c r="F185" i="100"/>
  <c r="A185" i="100"/>
  <c r="F184" i="100"/>
  <c r="A184" i="100"/>
  <c r="F183" i="100"/>
  <c r="A183" i="100"/>
  <c r="F182" i="100"/>
  <c r="A182" i="100"/>
  <c r="F181" i="100"/>
  <c r="A181" i="100"/>
  <c r="F180" i="100"/>
  <c r="A180" i="100"/>
  <c r="F179" i="100"/>
  <c r="A179" i="100"/>
  <c r="F178" i="100"/>
  <c r="A178" i="100"/>
  <c r="F177" i="100"/>
  <c r="A177" i="100"/>
  <c r="F176" i="100"/>
  <c r="A176" i="100"/>
  <c r="F175" i="100"/>
  <c r="A175" i="100"/>
  <c r="F174" i="100"/>
  <c r="A174" i="100"/>
  <c r="F173" i="100"/>
  <c r="A173" i="100"/>
  <c r="F172" i="100"/>
  <c r="A172" i="100"/>
  <c r="F171" i="100"/>
  <c r="A171" i="100"/>
  <c r="F170" i="100"/>
  <c r="A170" i="100"/>
  <c r="F169" i="100"/>
  <c r="A169" i="100"/>
  <c r="F168" i="100"/>
  <c r="A168" i="100"/>
  <c r="F167" i="100"/>
  <c r="A167" i="100"/>
  <c r="F166" i="100"/>
  <c r="A166" i="100"/>
  <c r="F165" i="100"/>
  <c r="A165" i="100"/>
  <c r="F164" i="100"/>
  <c r="A164" i="100"/>
  <c r="F163" i="100"/>
  <c r="A163" i="100"/>
  <c r="F162" i="100"/>
  <c r="A162" i="100"/>
  <c r="F161" i="100"/>
  <c r="A161" i="100"/>
  <c r="L12" i="100"/>
  <c r="L19" i="100" s="1"/>
  <c r="G25" i="123" s="1"/>
  <c r="K12" i="100"/>
  <c r="K19" i="100" s="1"/>
  <c r="D25" i="123" s="1"/>
  <c r="J12" i="100"/>
  <c r="J19" i="100" s="1"/>
  <c r="L11" i="100"/>
  <c r="L18" i="100" s="1"/>
  <c r="K11" i="100"/>
  <c r="K18" i="100" s="1"/>
  <c r="J11" i="100"/>
  <c r="J18" i="100" s="1"/>
  <c r="L10" i="100"/>
  <c r="K10" i="100"/>
  <c r="J10" i="100"/>
  <c r="L9" i="100"/>
  <c r="L21" i="100" s="1"/>
  <c r="J9" i="100"/>
  <c r="J21" i="100" s="1"/>
  <c r="I25" i="123" s="1"/>
  <c r="L6" i="100"/>
  <c r="L3" i="100"/>
  <c r="L16" i="100" s="1"/>
  <c r="E25" i="123" s="1"/>
  <c r="K3" i="100"/>
  <c r="K16" i="100" s="1"/>
  <c r="B25" i="123" s="1"/>
  <c r="J3" i="100"/>
  <c r="J16" i="100" s="1"/>
  <c r="L7" i="100"/>
  <c r="F339" i="99"/>
  <c r="A339" i="99"/>
  <c r="F338" i="99"/>
  <c r="A338" i="99"/>
  <c r="F337" i="99"/>
  <c r="A337" i="99"/>
  <c r="F336" i="99"/>
  <c r="A336" i="99"/>
  <c r="F335" i="99"/>
  <c r="A335" i="99"/>
  <c r="F334" i="99"/>
  <c r="A334" i="99"/>
  <c r="F333" i="99"/>
  <c r="A333" i="99"/>
  <c r="F332" i="99"/>
  <c r="A332" i="99"/>
  <c r="F331" i="99"/>
  <c r="A331" i="99"/>
  <c r="F330" i="99"/>
  <c r="A330" i="99"/>
  <c r="F329" i="99"/>
  <c r="A329" i="99"/>
  <c r="F328" i="99"/>
  <c r="A328" i="99"/>
  <c r="F327" i="99"/>
  <c r="A327" i="99"/>
  <c r="F326" i="99"/>
  <c r="A326" i="99"/>
  <c r="F325" i="99"/>
  <c r="A325" i="99"/>
  <c r="F324" i="99"/>
  <c r="A324" i="99"/>
  <c r="F323" i="99"/>
  <c r="A323" i="99"/>
  <c r="F322" i="99"/>
  <c r="A322" i="99"/>
  <c r="F321" i="99"/>
  <c r="A321" i="99"/>
  <c r="F320" i="99"/>
  <c r="A320" i="99"/>
  <c r="F319" i="99"/>
  <c r="A319" i="99"/>
  <c r="F318" i="99"/>
  <c r="A318" i="99"/>
  <c r="F317" i="99"/>
  <c r="A317" i="99"/>
  <c r="F316" i="99"/>
  <c r="A316" i="99"/>
  <c r="F315" i="99"/>
  <c r="A315" i="99"/>
  <c r="F314" i="99"/>
  <c r="A314" i="99"/>
  <c r="F313" i="99"/>
  <c r="A313" i="99"/>
  <c r="F312" i="99"/>
  <c r="A312" i="99"/>
  <c r="F311" i="99"/>
  <c r="A311" i="99"/>
  <c r="F310" i="99"/>
  <c r="A310" i="99"/>
  <c r="F309" i="99"/>
  <c r="A309" i="99"/>
  <c r="F308" i="99"/>
  <c r="A308" i="99"/>
  <c r="F307" i="99"/>
  <c r="A307" i="99"/>
  <c r="F306" i="99"/>
  <c r="A306" i="99"/>
  <c r="F305" i="99"/>
  <c r="A305" i="99"/>
  <c r="F304" i="99"/>
  <c r="A304" i="99"/>
  <c r="F303" i="99"/>
  <c r="A303" i="99"/>
  <c r="F302" i="99"/>
  <c r="A302" i="99"/>
  <c r="F301" i="99"/>
  <c r="A301" i="99"/>
  <c r="F300" i="99"/>
  <c r="A300" i="99"/>
  <c r="F299" i="99"/>
  <c r="A299" i="99"/>
  <c r="F298" i="99"/>
  <c r="A298" i="99"/>
  <c r="F297" i="99"/>
  <c r="A297" i="99"/>
  <c r="F296" i="99"/>
  <c r="A296" i="99"/>
  <c r="F295" i="99"/>
  <c r="A295" i="99"/>
  <c r="F294" i="99"/>
  <c r="A294" i="99"/>
  <c r="F293" i="99"/>
  <c r="A293" i="99"/>
  <c r="F292" i="99"/>
  <c r="A292" i="99"/>
  <c r="F291" i="99"/>
  <c r="A291" i="99"/>
  <c r="F290" i="99"/>
  <c r="A290" i="99"/>
  <c r="F289" i="99"/>
  <c r="A289" i="99"/>
  <c r="F288" i="99"/>
  <c r="A288" i="99"/>
  <c r="F287" i="99"/>
  <c r="A287" i="99"/>
  <c r="F286" i="99"/>
  <c r="A286" i="99"/>
  <c r="F285" i="99"/>
  <c r="A285" i="99"/>
  <c r="F284" i="99"/>
  <c r="A284" i="99"/>
  <c r="F283" i="99"/>
  <c r="A283" i="99"/>
  <c r="F282" i="99"/>
  <c r="A282" i="99"/>
  <c r="F281" i="99"/>
  <c r="A281" i="99"/>
  <c r="F280" i="99"/>
  <c r="A280" i="99"/>
  <c r="F279" i="99"/>
  <c r="A279" i="99"/>
  <c r="F278" i="99"/>
  <c r="A278" i="99"/>
  <c r="F277" i="99"/>
  <c r="A277" i="99"/>
  <c r="F276" i="99"/>
  <c r="A276" i="99"/>
  <c r="F275" i="99"/>
  <c r="A275" i="99"/>
  <c r="F274" i="99"/>
  <c r="A274" i="99"/>
  <c r="F273" i="99"/>
  <c r="A273" i="99"/>
  <c r="F272" i="99"/>
  <c r="A272" i="99"/>
  <c r="F271" i="99"/>
  <c r="A271" i="99"/>
  <c r="F270" i="99"/>
  <c r="A270" i="99"/>
  <c r="F269" i="99"/>
  <c r="A269" i="99"/>
  <c r="F268" i="99"/>
  <c r="A268" i="99"/>
  <c r="F267" i="99"/>
  <c r="A267" i="99"/>
  <c r="F266" i="99"/>
  <c r="A266" i="99"/>
  <c r="F265" i="99"/>
  <c r="A265" i="99"/>
  <c r="F264" i="99"/>
  <c r="A264" i="99"/>
  <c r="F263" i="99"/>
  <c r="A263" i="99"/>
  <c r="F262" i="99"/>
  <c r="A262" i="99"/>
  <c r="F261" i="99"/>
  <c r="A261" i="99"/>
  <c r="F260" i="99"/>
  <c r="A260" i="99"/>
  <c r="F259" i="99"/>
  <c r="A259" i="99"/>
  <c r="F258" i="99"/>
  <c r="A258" i="99"/>
  <c r="F257" i="99"/>
  <c r="A257" i="99"/>
  <c r="F256" i="99"/>
  <c r="A256" i="99"/>
  <c r="F255" i="99"/>
  <c r="A255" i="99"/>
  <c r="F254" i="99"/>
  <c r="A254" i="99"/>
  <c r="F253" i="99"/>
  <c r="A253" i="99"/>
  <c r="F252" i="99"/>
  <c r="A252" i="99"/>
  <c r="F251" i="99"/>
  <c r="A251" i="99"/>
  <c r="F250" i="99"/>
  <c r="A250" i="99"/>
  <c r="F249" i="99"/>
  <c r="A249" i="99"/>
  <c r="F248" i="99"/>
  <c r="A248" i="99"/>
  <c r="F247" i="99"/>
  <c r="A247" i="99"/>
  <c r="F246" i="99"/>
  <c r="A246" i="99"/>
  <c r="F245" i="99"/>
  <c r="A245" i="99"/>
  <c r="F244" i="99"/>
  <c r="A244" i="99"/>
  <c r="F243" i="99"/>
  <c r="A243" i="99"/>
  <c r="F242" i="99"/>
  <c r="A242" i="99"/>
  <c r="F241" i="99"/>
  <c r="A241" i="99"/>
  <c r="F240" i="99"/>
  <c r="A240" i="99"/>
  <c r="F239" i="99"/>
  <c r="A239" i="99"/>
  <c r="F238" i="99"/>
  <c r="A238" i="99"/>
  <c r="F237" i="99"/>
  <c r="A237" i="99"/>
  <c r="F236" i="99"/>
  <c r="A236" i="99"/>
  <c r="F235" i="99"/>
  <c r="A235" i="99"/>
  <c r="F234" i="99"/>
  <c r="A234" i="99"/>
  <c r="F233" i="99"/>
  <c r="A233" i="99"/>
  <c r="F232" i="99"/>
  <c r="A232" i="99"/>
  <c r="F231" i="99"/>
  <c r="A231" i="99"/>
  <c r="F230" i="99"/>
  <c r="A230" i="99"/>
  <c r="F229" i="99"/>
  <c r="A229" i="99"/>
  <c r="F228" i="99"/>
  <c r="A228" i="99"/>
  <c r="F227" i="99"/>
  <c r="A227" i="99"/>
  <c r="F226" i="99"/>
  <c r="A226" i="99"/>
  <c r="F225" i="99"/>
  <c r="A225" i="99"/>
  <c r="F224" i="99"/>
  <c r="A224" i="99"/>
  <c r="F223" i="99"/>
  <c r="A223" i="99"/>
  <c r="F222" i="99"/>
  <c r="A222" i="99"/>
  <c r="F221" i="99"/>
  <c r="A221" i="99"/>
  <c r="F220" i="99"/>
  <c r="A220" i="99"/>
  <c r="F219" i="99"/>
  <c r="A219" i="99"/>
  <c r="F218" i="99"/>
  <c r="A218" i="99"/>
  <c r="F217" i="99"/>
  <c r="A217" i="99"/>
  <c r="F216" i="99"/>
  <c r="A216" i="99"/>
  <c r="F215" i="99"/>
  <c r="A215" i="99"/>
  <c r="F214" i="99"/>
  <c r="A214" i="99"/>
  <c r="F213" i="99"/>
  <c r="A213" i="99"/>
  <c r="F212" i="99"/>
  <c r="A212" i="99"/>
  <c r="F211" i="99"/>
  <c r="A211" i="99"/>
  <c r="F210" i="99"/>
  <c r="A210" i="99"/>
  <c r="F209" i="99"/>
  <c r="A209" i="99"/>
  <c r="F208" i="99"/>
  <c r="A208" i="99"/>
  <c r="F207" i="99"/>
  <c r="A207" i="99"/>
  <c r="F206" i="99"/>
  <c r="A206" i="99"/>
  <c r="F205" i="99"/>
  <c r="A205" i="99"/>
  <c r="F204" i="99"/>
  <c r="A204" i="99"/>
  <c r="F203" i="99"/>
  <c r="A203" i="99"/>
  <c r="F202" i="99"/>
  <c r="A202" i="99"/>
  <c r="F201" i="99"/>
  <c r="A201" i="99"/>
  <c r="F200" i="99"/>
  <c r="A200" i="99"/>
  <c r="F199" i="99"/>
  <c r="A199" i="99"/>
  <c r="F198" i="99"/>
  <c r="A198" i="99"/>
  <c r="F197" i="99"/>
  <c r="A197" i="99"/>
  <c r="F196" i="99"/>
  <c r="A196" i="99"/>
  <c r="F195" i="99"/>
  <c r="A195" i="99"/>
  <c r="F194" i="99"/>
  <c r="A194" i="99"/>
  <c r="F193" i="99"/>
  <c r="A193" i="99"/>
  <c r="F192" i="99"/>
  <c r="A192" i="99"/>
  <c r="F191" i="99"/>
  <c r="A191" i="99"/>
  <c r="F190" i="99"/>
  <c r="A190" i="99"/>
  <c r="F189" i="99"/>
  <c r="A189" i="99"/>
  <c r="F188" i="99"/>
  <c r="A188" i="99"/>
  <c r="F187" i="99"/>
  <c r="A187" i="99"/>
  <c r="F186" i="99"/>
  <c r="A186" i="99"/>
  <c r="F185" i="99"/>
  <c r="A185" i="99"/>
  <c r="F184" i="99"/>
  <c r="A184" i="99"/>
  <c r="F183" i="99"/>
  <c r="A183" i="99"/>
  <c r="F182" i="99"/>
  <c r="A182" i="99"/>
  <c r="F181" i="99"/>
  <c r="A181" i="99"/>
  <c r="F180" i="99"/>
  <c r="A180" i="99"/>
  <c r="F179" i="99"/>
  <c r="A179" i="99"/>
  <c r="F178" i="99"/>
  <c r="A178" i="99"/>
  <c r="F177" i="99"/>
  <c r="A177" i="99"/>
  <c r="F176" i="99"/>
  <c r="A176" i="99"/>
  <c r="F175" i="99"/>
  <c r="A175" i="99"/>
  <c r="F174" i="99"/>
  <c r="A174" i="99"/>
  <c r="F173" i="99"/>
  <c r="A173" i="99"/>
  <c r="F172" i="99"/>
  <c r="A172" i="99"/>
  <c r="F171" i="99"/>
  <c r="A171" i="99"/>
  <c r="F170" i="99"/>
  <c r="A170" i="99"/>
  <c r="F169" i="99"/>
  <c r="A169" i="99"/>
  <c r="F168" i="99"/>
  <c r="A168" i="99"/>
  <c r="F167" i="99"/>
  <c r="A167" i="99"/>
  <c r="F166" i="99"/>
  <c r="A166" i="99"/>
  <c r="F165" i="99"/>
  <c r="A165" i="99"/>
  <c r="F164" i="99"/>
  <c r="A164" i="99"/>
  <c r="F163" i="99"/>
  <c r="A163" i="99"/>
  <c r="F162" i="99"/>
  <c r="A162" i="99"/>
  <c r="F161" i="99"/>
  <c r="A161" i="99"/>
  <c r="L11" i="99"/>
  <c r="L18" i="99" s="1"/>
  <c r="K11" i="99"/>
  <c r="K18" i="99" s="1"/>
  <c r="J11" i="99"/>
  <c r="J18" i="99" s="1"/>
  <c r="L10" i="99"/>
  <c r="K10" i="99"/>
  <c r="J10" i="99"/>
  <c r="L12" i="99"/>
  <c r="L19" i="99" s="1"/>
  <c r="G24" i="123" s="1"/>
  <c r="K12" i="99"/>
  <c r="K19" i="99" s="1"/>
  <c r="D24" i="123" s="1"/>
  <c r="L7" i="99"/>
  <c r="K7" i="99"/>
  <c r="J7" i="99"/>
  <c r="L6" i="99"/>
  <c r="K6" i="99"/>
  <c r="J6" i="99"/>
  <c r="K4" i="99"/>
  <c r="L5" i="99"/>
  <c r="L4" i="99"/>
  <c r="J4" i="99"/>
  <c r="F339" i="98"/>
  <c r="A339" i="98"/>
  <c r="F338" i="98"/>
  <c r="A338" i="98"/>
  <c r="F337" i="98"/>
  <c r="A337" i="98"/>
  <c r="F336" i="98"/>
  <c r="A336" i="98"/>
  <c r="F335" i="98"/>
  <c r="A335" i="98"/>
  <c r="F334" i="98"/>
  <c r="A334" i="98"/>
  <c r="F333" i="98"/>
  <c r="A333" i="98"/>
  <c r="F332" i="98"/>
  <c r="A332" i="98"/>
  <c r="F331" i="98"/>
  <c r="A331" i="98"/>
  <c r="F330" i="98"/>
  <c r="A330" i="98"/>
  <c r="F329" i="98"/>
  <c r="A329" i="98"/>
  <c r="F328" i="98"/>
  <c r="A328" i="98"/>
  <c r="F327" i="98"/>
  <c r="A327" i="98"/>
  <c r="F326" i="98"/>
  <c r="A326" i="98"/>
  <c r="F325" i="98"/>
  <c r="A325" i="98"/>
  <c r="F324" i="98"/>
  <c r="A324" i="98"/>
  <c r="F323" i="98"/>
  <c r="A323" i="98"/>
  <c r="F322" i="98"/>
  <c r="A322" i="98"/>
  <c r="F321" i="98"/>
  <c r="A321" i="98"/>
  <c r="F320" i="98"/>
  <c r="A320" i="98"/>
  <c r="F319" i="98"/>
  <c r="A319" i="98"/>
  <c r="F318" i="98"/>
  <c r="A318" i="98"/>
  <c r="F317" i="98"/>
  <c r="A317" i="98"/>
  <c r="F316" i="98"/>
  <c r="A316" i="98"/>
  <c r="F315" i="98"/>
  <c r="A315" i="98"/>
  <c r="F314" i="98"/>
  <c r="A314" i="98"/>
  <c r="F313" i="98"/>
  <c r="A313" i="98"/>
  <c r="F312" i="98"/>
  <c r="A312" i="98"/>
  <c r="F311" i="98"/>
  <c r="A311" i="98"/>
  <c r="F310" i="98"/>
  <c r="A310" i="98"/>
  <c r="F309" i="98"/>
  <c r="A309" i="98"/>
  <c r="F308" i="98"/>
  <c r="A308" i="98"/>
  <c r="F307" i="98"/>
  <c r="A307" i="98"/>
  <c r="F306" i="98"/>
  <c r="A306" i="98"/>
  <c r="F305" i="98"/>
  <c r="A305" i="98"/>
  <c r="F304" i="98"/>
  <c r="A304" i="98"/>
  <c r="F303" i="98"/>
  <c r="A303" i="98"/>
  <c r="F302" i="98"/>
  <c r="A302" i="98"/>
  <c r="F301" i="98"/>
  <c r="A301" i="98"/>
  <c r="F300" i="98"/>
  <c r="A300" i="98"/>
  <c r="F299" i="98"/>
  <c r="A299" i="98"/>
  <c r="F298" i="98"/>
  <c r="A298" i="98"/>
  <c r="F297" i="98"/>
  <c r="A297" i="98"/>
  <c r="F296" i="98"/>
  <c r="A296" i="98"/>
  <c r="F295" i="98"/>
  <c r="A295" i="98"/>
  <c r="F294" i="98"/>
  <c r="A294" i="98"/>
  <c r="F293" i="98"/>
  <c r="A293" i="98"/>
  <c r="F292" i="98"/>
  <c r="A292" i="98"/>
  <c r="F291" i="98"/>
  <c r="A291" i="98"/>
  <c r="F290" i="98"/>
  <c r="A290" i="98"/>
  <c r="F289" i="98"/>
  <c r="A289" i="98"/>
  <c r="F288" i="98"/>
  <c r="A288" i="98"/>
  <c r="F287" i="98"/>
  <c r="A287" i="98"/>
  <c r="F286" i="98"/>
  <c r="A286" i="98"/>
  <c r="F285" i="98"/>
  <c r="A285" i="98"/>
  <c r="F284" i="98"/>
  <c r="A284" i="98"/>
  <c r="F283" i="98"/>
  <c r="A283" i="98"/>
  <c r="F282" i="98"/>
  <c r="A282" i="98"/>
  <c r="F281" i="98"/>
  <c r="A281" i="98"/>
  <c r="F280" i="98"/>
  <c r="A280" i="98"/>
  <c r="F279" i="98"/>
  <c r="A279" i="98"/>
  <c r="F278" i="98"/>
  <c r="A278" i="98"/>
  <c r="F277" i="98"/>
  <c r="A277" i="98"/>
  <c r="F276" i="98"/>
  <c r="A276" i="98"/>
  <c r="F275" i="98"/>
  <c r="A275" i="98"/>
  <c r="F274" i="98"/>
  <c r="A274" i="98"/>
  <c r="F273" i="98"/>
  <c r="A273" i="98"/>
  <c r="F272" i="98"/>
  <c r="A272" i="98"/>
  <c r="F271" i="98"/>
  <c r="A271" i="98"/>
  <c r="F270" i="98"/>
  <c r="A270" i="98"/>
  <c r="F269" i="98"/>
  <c r="A269" i="98"/>
  <c r="F268" i="98"/>
  <c r="A268" i="98"/>
  <c r="F267" i="98"/>
  <c r="A267" i="98"/>
  <c r="F266" i="98"/>
  <c r="A266" i="98"/>
  <c r="F265" i="98"/>
  <c r="A265" i="98"/>
  <c r="F264" i="98"/>
  <c r="A264" i="98"/>
  <c r="F263" i="98"/>
  <c r="A263" i="98"/>
  <c r="F262" i="98"/>
  <c r="A262" i="98"/>
  <c r="F261" i="98"/>
  <c r="A261" i="98"/>
  <c r="F260" i="98"/>
  <c r="A260" i="98"/>
  <c r="F259" i="98"/>
  <c r="A259" i="98"/>
  <c r="F258" i="98"/>
  <c r="A258" i="98"/>
  <c r="F257" i="98"/>
  <c r="A257" i="98"/>
  <c r="F256" i="98"/>
  <c r="A256" i="98"/>
  <c r="F255" i="98"/>
  <c r="A255" i="98"/>
  <c r="F254" i="98"/>
  <c r="A254" i="98"/>
  <c r="F253" i="98"/>
  <c r="A253" i="98"/>
  <c r="F252" i="98"/>
  <c r="A252" i="98"/>
  <c r="F251" i="98"/>
  <c r="A251" i="98"/>
  <c r="F250" i="98"/>
  <c r="A250" i="98"/>
  <c r="F249" i="98"/>
  <c r="A249" i="98"/>
  <c r="F248" i="98"/>
  <c r="A248" i="98"/>
  <c r="F247" i="98"/>
  <c r="A247" i="98"/>
  <c r="F246" i="98"/>
  <c r="A246" i="98"/>
  <c r="F245" i="98"/>
  <c r="A245" i="98"/>
  <c r="F244" i="98"/>
  <c r="A244" i="98"/>
  <c r="F243" i="98"/>
  <c r="A243" i="98"/>
  <c r="F242" i="98"/>
  <c r="A242" i="98"/>
  <c r="F241" i="98"/>
  <c r="A241" i="98"/>
  <c r="F240" i="98"/>
  <c r="A240" i="98"/>
  <c r="F239" i="98"/>
  <c r="A239" i="98"/>
  <c r="F238" i="98"/>
  <c r="A238" i="98"/>
  <c r="F237" i="98"/>
  <c r="A237" i="98"/>
  <c r="F236" i="98"/>
  <c r="A236" i="98"/>
  <c r="F235" i="98"/>
  <c r="A235" i="98"/>
  <c r="F234" i="98"/>
  <c r="A234" i="98"/>
  <c r="F233" i="98"/>
  <c r="A233" i="98"/>
  <c r="F232" i="98"/>
  <c r="A232" i="98"/>
  <c r="F231" i="98"/>
  <c r="A231" i="98"/>
  <c r="F230" i="98"/>
  <c r="A230" i="98"/>
  <c r="F229" i="98"/>
  <c r="A229" i="98"/>
  <c r="F228" i="98"/>
  <c r="A228" i="98"/>
  <c r="F227" i="98"/>
  <c r="A227" i="98"/>
  <c r="F226" i="98"/>
  <c r="A226" i="98"/>
  <c r="F225" i="98"/>
  <c r="A225" i="98"/>
  <c r="F224" i="98"/>
  <c r="A224" i="98"/>
  <c r="F223" i="98"/>
  <c r="A223" i="98"/>
  <c r="F222" i="98"/>
  <c r="A222" i="98"/>
  <c r="F221" i="98"/>
  <c r="A221" i="98"/>
  <c r="F220" i="98"/>
  <c r="A220" i="98"/>
  <c r="F219" i="98"/>
  <c r="A219" i="98"/>
  <c r="F218" i="98"/>
  <c r="A218" i="98"/>
  <c r="F217" i="98"/>
  <c r="A217" i="98"/>
  <c r="F216" i="98"/>
  <c r="A216" i="98"/>
  <c r="F215" i="98"/>
  <c r="A215" i="98"/>
  <c r="F214" i="98"/>
  <c r="A214" i="98"/>
  <c r="F213" i="98"/>
  <c r="A213" i="98"/>
  <c r="F212" i="98"/>
  <c r="A212" i="98"/>
  <c r="F211" i="98"/>
  <c r="A211" i="98"/>
  <c r="F210" i="98"/>
  <c r="A210" i="98"/>
  <c r="F209" i="98"/>
  <c r="A209" i="98"/>
  <c r="F208" i="98"/>
  <c r="A208" i="98"/>
  <c r="F207" i="98"/>
  <c r="A207" i="98"/>
  <c r="F206" i="98"/>
  <c r="A206" i="98"/>
  <c r="F205" i="98"/>
  <c r="A205" i="98"/>
  <c r="F204" i="98"/>
  <c r="A204" i="98"/>
  <c r="F203" i="98"/>
  <c r="A203" i="98"/>
  <c r="F202" i="98"/>
  <c r="A202" i="98"/>
  <c r="F201" i="98"/>
  <c r="A201" i="98"/>
  <c r="F200" i="98"/>
  <c r="A200" i="98"/>
  <c r="F199" i="98"/>
  <c r="A199" i="98"/>
  <c r="F198" i="98"/>
  <c r="A198" i="98"/>
  <c r="F197" i="98"/>
  <c r="A197" i="98"/>
  <c r="F196" i="98"/>
  <c r="A196" i="98"/>
  <c r="F195" i="98"/>
  <c r="A195" i="98"/>
  <c r="F194" i="98"/>
  <c r="A194" i="98"/>
  <c r="F193" i="98"/>
  <c r="A193" i="98"/>
  <c r="F192" i="98"/>
  <c r="A192" i="98"/>
  <c r="F191" i="98"/>
  <c r="A191" i="98"/>
  <c r="F190" i="98"/>
  <c r="A190" i="98"/>
  <c r="F189" i="98"/>
  <c r="A189" i="98"/>
  <c r="F188" i="98"/>
  <c r="A188" i="98"/>
  <c r="F187" i="98"/>
  <c r="A187" i="98"/>
  <c r="F186" i="98"/>
  <c r="A186" i="98"/>
  <c r="F185" i="98"/>
  <c r="A185" i="98"/>
  <c r="F184" i="98"/>
  <c r="A184" i="98"/>
  <c r="F183" i="98"/>
  <c r="A183" i="98"/>
  <c r="F182" i="98"/>
  <c r="A182" i="98"/>
  <c r="F181" i="98"/>
  <c r="A181" i="98"/>
  <c r="F180" i="98"/>
  <c r="A180" i="98"/>
  <c r="F179" i="98"/>
  <c r="A179" i="98"/>
  <c r="F178" i="98"/>
  <c r="A178" i="98"/>
  <c r="F177" i="98"/>
  <c r="A177" i="98"/>
  <c r="F176" i="98"/>
  <c r="A176" i="98"/>
  <c r="F175" i="98"/>
  <c r="A175" i="98"/>
  <c r="F174" i="98"/>
  <c r="A174" i="98"/>
  <c r="F173" i="98"/>
  <c r="A173" i="98"/>
  <c r="F172" i="98"/>
  <c r="A172" i="98"/>
  <c r="F171" i="98"/>
  <c r="A171" i="98"/>
  <c r="F170" i="98"/>
  <c r="A170" i="98"/>
  <c r="F169" i="98"/>
  <c r="A169" i="98"/>
  <c r="F168" i="98"/>
  <c r="A168" i="98"/>
  <c r="F167" i="98"/>
  <c r="A167" i="98"/>
  <c r="F166" i="98"/>
  <c r="A166" i="98"/>
  <c r="F165" i="98"/>
  <c r="A165" i="98"/>
  <c r="F164" i="98"/>
  <c r="A164" i="98"/>
  <c r="F163" i="98"/>
  <c r="A163" i="98"/>
  <c r="F162" i="98"/>
  <c r="A162" i="98"/>
  <c r="F161" i="98"/>
  <c r="A161" i="98"/>
  <c r="K10" i="98"/>
  <c r="K6" i="98"/>
  <c r="L12" i="98"/>
  <c r="L19" i="98" s="1"/>
  <c r="G23" i="123" s="1"/>
  <c r="K12" i="98"/>
  <c r="K19" i="98" s="1"/>
  <c r="D23" i="123" s="1"/>
  <c r="J12" i="98"/>
  <c r="J19" i="98" s="1"/>
  <c r="L11" i="98"/>
  <c r="L18" i="98" s="1"/>
  <c r="K11" i="98"/>
  <c r="K18" i="98" s="1"/>
  <c r="J11" i="98"/>
  <c r="J18" i="98" s="1"/>
  <c r="L10" i="98"/>
  <c r="J10" i="98"/>
  <c r="L9" i="98"/>
  <c r="L21" i="98" s="1"/>
  <c r="J9" i="98"/>
  <c r="J21" i="98" s="1"/>
  <c r="I23" i="123" s="1"/>
  <c r="J7" i="98"/>
  <c r="L6" i="98"/>
  <c r="J6" i="98"/>
  <c r="L3" i="98"/>
  <c r="L16" i="98" s="1"/>
  <c r="E23" i="123" s="1"/>
  <c r="K3" i="98"/>
  <c r="K16" i="98" s="1"/>
  <c r="B23" i="123" s="1"/>
  <c r="J3" i="98"/>
  <c r="J16" i="98" s="1"/>
  <c r="L7" i="98"/>
  <c r="F339" i="97"/>
  <c r="A339" i="97"/>
  <c r="F338" i="97"/>
  <c r="A338" i="97"/>
  <c r="F337" i="97"/>
  <c r="A337" i="97"/>
  <c r="F336" i="97"/>
  <c r="A336" i="97"/>
  <c r="F335" i="97"/>
  <c r="A335" i="97"/>
  <c r="F334" i="97"/>
  <c r="A334" i="97"/>
  <c r="F333" i="97"/>
  <c r="A333" i="97"/>
  <c r="F332" i="97"/>
  <c r="A332" i="97"/>
  <c r="F331" i="97"/>
  <c r="A331" i="97"/>
  <c r="F330" i="97"/>
  <c r="A330" i="97"/>
  <c r="F329" i="97"/>
  <c r="A329" i="97"/>
  <c r="F328" i="97"/>
  <c r="A328" i="97"/>
  <c r="F327" i="97"/>
  <c r="A327" i="97"/>
  <c r="F326" i="97"/>
  <c r="A326" i="97"/>
  <c r="F325" i="97"/>
  <c r="A325" i="97"/>
  <c r="F324" i="97"/>
  <c r="A324" i="97"/>
  <c r="F323" i="97"/>
  <c r="A323" i="97"/>
  <c r="F322" i="97"/>
  <c r="A322" i="97"/>
  <c r="F321" i="97"/>
  <c r="A321" i="97"/>
  <c r="F320" i="97"/>
  <c r="A320" i="97"/>
  <c r="F319" i="97"/>
  <c r="A319" i="97"/>
  <c r="F318" i="97"/>
  <c r="A318" i="97"/>
  <c r="F317" i="97"/>
  <c r="A317" i="97"/>
  <c r="F316" i="97"/>
  <c r="A316" i="97"/>
  <c r="F315" i="97"/>
  <c r="A315" i="97"/>
  <c r="F314" i="97"/>
  <c r="A314" i="97"/>
  <c r="F313" i="97"/>
  <c r="A313" i="97"/>
  <c r="F312" i="97"/>
  <c r="A312" i="97"/>
  <c r="F311" i="97"/>
  <c r="A311" i="97"/>
  <c r="F310" i="97"/>
  <c r="A310" i="97"/>
  <c r="F309" i="97"/>
  <c r="A309" i="97"/>
  <c r="F308" i="97"/>
  <c r="A308" i="97"/>
  <c r="F307" i="97"/>
  <c r="A307" i="97"/>
  <c r="F306" i="97"/>
  <c r="A306" i="97"/>
  <c r="F305" i="97"/>
  <c r="A305" i="97"/>
  <c r="F304" i="97"/>
  <c r="A304" i="97"/>
  <c r="F303" i="97"/>
  <c r="A303" i="97"/>
  <c r="F302" i="97"/>
  <c r="A302" i="97"/>
  <c r="F301" i="97"/>
  <c r="A301" i="97"/>
  <c r="F300" i="97"/>
  <c r="A300" i="97"/>
  <c r="F299" i="97"/>
  <c r="A299" i="97"/>
  <c r="F298" i="97"/>
  <c r="A298" i="97"/>
  <c r="F297" i="97"/>
  <c r="A297" i="97"/>
  <c r="F296" i="97"/>
  <c r="A296" i="97"/>
  <c r="F295" i="97"/>
  <c r="A295" i="97"/>
  <c r="F294" i="97"/>
  <c r="A294" i="97"/>
  <c r="F293" i="97"/>
  <c r="A293" i="97"/>
  <c r="F292" i="97"/>
  <c r="A292" i="97"/>
  <c r="F291" i="97"/>
  <c r="A291" i="97"/>
  <c r="F290" i="97"/>
  <c r="A290" i="97"/>
  <c r="F289" i="97"/>
  <c r="A289" i="97"/>
  <c r="F288" i="97"/>
  <c r="A288" i="97"/>
  <c r="F287" i="97"/>
  <c r="A287" i="97"/>
  <c r="F286" i="97"/>
  <c r="A286" i="97"/>
  <c r="F285" i="97"/>
  <c r="A285" i="97"/>
  <c r="F284" i="97"/>
  <c r="A284" i="97"/>
  <c r="F283" i="97"/>
  <c r="A283" i="97"/>
  <c r="F282" i="97"/>
  <c r="A282" i="97"/>
  <c r="F281" i="97"/>
  <c r="A281" i="97"/>
  <c r="F280" i="97"/>
  <c r="A280" i="97"/>
  <c r="F279" i="97"/>
  <c r="A279" i="97"/>
  <c r="F278" i="97"/>
  <c r="A278" i="97"/>
  <c r="F277" i="97"/>
  <c r="A277" i="97"/>
  <c r="F276" i="97"/>
  <c r="A276" i="97"/>
  <c r="F275" i="97"/>
  <c r="A275" i="97"/>
  <c r="F274" i="97"/>
  <c r="A274" i="97"/>
  <c r="F273" i="97"/>
  <c r="A273" i="97"/>
  <c r="F272" i="97"/>
  <c r="A272" i="97"/>
  <c r="F271" i="97"/>
  <c r="A271" i="97"/>
  <c r="F270" i="97"/>
  <c r="A270" i="97"/>
  <c r="F269" i="97"/>
  <c r="A269" i="97"/>
  <c r="F268" i="97"/>
  <c r="A268" i="97"/>
  <c r="F267" i="97"/>
  <c r="A267" i="97"/>
  <c r="F266" i="97"/>
  <c r="A266" i="97"/>
  <c r="F265" i="97"/>
  <c r="A265" i="97"/>
  <c r="F264" i="97"/>
  <c r="A264" i="97"/>
  <c r="F263" i="97"/>
  <c r="A263" i="97"/>
  <c r="F262" i="97"/>
  <c r="A262" i="97"/>
  <c r="F261" i="97"/>
  <c r="A261" i="97"/>
  <c r="F260" i="97"/>
  <c r="A260" i="97"/>
  <c r="F259" i="97"/>
  <c r="A259" i="97"/>
  <c r="F258" i="97"/>
  <c r="A258" i="97"/>
  <c r="F257" i="97"/>
  <c r="A257" i="97"/>
  <c r="F256" i="97"/>
  <c r="A256" i="97"/>
  <c r="F255" i="97"/>
  <c r="A255" i="97"/>
  <c r="F254" i="97"/>
  <c r="A254" i="97"/>
  <c r="F253" i="97"/>
  <c r="A253" i="97"/>
  <c r="F252" i="97"/>
  <c r="A252" i="97"/>
  <c r="F251" i="97"/>
  <c r="A251" i="97"/>
  <c r="F250" i="97"/>
  <c r="A250" i="97"/>
  <c r="F249" i="97"/>
  <c r="A249" i="97"/>
  <c r="F248" i="97"/>
  <c r="A248" i="97"/>
  <c r="F247" i="97"/>
  <c r="A247" i="97"/>
  <c r="F246" i="97"/>
  <c r="A246" i="97"/>
  <c r="F245" i="97"/>
  <c r="A245" i="97"/>
  <c r="F244" i="97"/>
  <c r="A244" i="97"/>
  <c r="F243" i="97"/>
  <c r="A243" i="97"/>
  <c r="F242" i="97"/>
  <c r="A242" i="97"/>
  <c r="F241" i="97"/>
  <c r="A241" i="97"/>
  <c r="F240" i="97"/>
  <c r="A240" i="97"/>
  <c r="F239" i="97"/>
  <c r="A239" i="97"/>
  <c r="F238" i="97"/>
  <c r="A238" i="97"/>
  <c r="F237" i="97"/>
  <c r="A237" i="97"/>
  <c r="F236" i="97"/>
  <c r="A236" i="97"/>
  <c r="F235" i="97"/>
  <c r="A235" i="97"/>
  <c r="F234" i="97"/>
  <c r="A234" i="97"/>
  <c r="F233" i="97"/>
  <c r="A233" i="97"/>
  <c r="F232" i="97"/>
  <c r="A232" i="97"/>
  <c r="F231" i="97"/>
  <c r="A231" i="97"/>
  <c r="F230" i="97"/>
  <c r="A230" i="97"/>
  <c r="F229" i="97"/>
  <c r="A229" i="97"/>
  <c r="F228" i="97"/>
  <c r="A228" i="97"/>
  <c r="F227" i="97"/>
  <c r="A227" i="97"/>
  <c r="F226" i="97"/>
  <c r="A226" i="97"/>
  <c r="F225" i="97"/>
  <c r="A225" i="97"/>
  <c r="F224" i="97"/>
  <c r="A224" i="97"/>
  <c r="F223" i="97"/>
  <c r="A223" i="97"/>
  <c r="F222" i="97"/>
  <c r="A222" i="97"/>
  <c r="F221" i="97"/>
  <c r="A221" i="97"/>
  <c r="F220" i="97"/>
  <c r="A220" i="97"/>
  <c r="F219" i="97"/>
  <c r="A219" i="97"/>
  <c r="F218" i="97"/>
  <c r="A218" i="97"/>
  <c r="F217" i="97"/>
  <c r="A217" i="97"/>
  <c r="F216" i="97"/>
  <c r="A216" i="97"/>
  <c r="F215" i="97"/>
  <c r="A215" i="97"/>
  <c r="F214" i="97"/>
  <c r="A214" i="97"/>
  <c r="F213" i="97"/>
  <c r="A213" i="97"/>
  <c r="F212" i="97"/>
  <c r="A212" i="97"/>
  <c r="F211" i="97"/>
  <c r="A211" i="97"/>
  <c r="F210" i="97"/>
  <c r="A210" i="97"/>
  <c r="F209" i="97"/>
  <c r="A209" i="97"/>
  <c r="F208" i="97"/>
  <c r="A208" i="97"/>
  <c r="F207" i="97"/>
  <c r="A207" i="97"/>
  <c r="F206" i="97"/>
  <c r="A206" i="97"/>
  <c r="F205" i="97"/>
  <c r="A205" i="97"/>
  <c r="F204" i="97"/>
  <c r="A204" i="97"/>
  <c r="F203" i="97"/>
  <c r="A203" i="97"/>
  <c r="F202" i="97"/>
  <c r="A202" i="97"/>
  <c r="F201" i="97"/>
  <c r="A201" i="97"/>
  <c r="F200" i="97"/>
  <c r="A200" i="97"/>
  <c r="F199" i="97"/>
  <c r="A199" i="97"/>
  <c r="F198" i="97"/>
  <c r="A198" i="97"/>
  <c r="F197" i="97"/>
  <c r="A197" i="97"/>
  <c r="F196" i="97"/>
  <c r="A196" i="97"/>
  <c r="F195" i="97"/>
  <c r="A195" i="97"/>
  <c r="F194" i="97"/>
  <c r="A194" i="97"/>
  <c r="F193" i="97"/>
  <c r="A193" i="97"/>
  <c r="F192" i="97"/>
  <c r="A192" i="97"/>
  <c r="F191" i="97"/>
  <c r="A191" i="97"/>
  <c r="F190" i="97"/>
  <c r="A190" i="97"/>
  <c r="F189" i="97"/>
  <c r="A189" i="97"/>
  <c r="F188" i="97"/>
  <c r="A188" i="97"/>
  <c r="F187" i="97"/>
  <c r="A187" i="97"/>
  <c r="F186" i="97"/>
  <c r="A186" i="97"/>
  <c r="F185" i="97"/>
  <c r="A185" i="97"/>
  <c r="F184" i="97"/>
  <c r="A184" i="97"/>
  <c r="F183" i="97"/>
  <c r="A183" i="97"/>
  <c r="F182" i="97"/>
  <c r="A182" i="97"/>
  <c r="F181" i="97"/>
  <c r="A181" i="97"/>
  <c r="F180" i="97"/>
  <c r="A180" i="97"/>
  <c r="F179" i="97"/>
  <c r="A179" i="97"/>
  <c r="F178" i="97"/>
  <c r="A178" i="97"/>
  <c r="F177" i="97"/>
  <c r="A177" i="97"/>
  <c r="F176" i="97"/>
  <c r="A176" i="97"/>
  <c r="F175" i="97"/>
  <c r="A175" i="97"/>
  <c r="F174" i="97"/>
  <c r="A174" i="97"/>
  <c r="F173" i="97"/>
  <c r="A173" i="97"/>
  <c r="F172" i="97"/>
  <c r="A172" i="97"/>
  <c r="F171" i="97"/>
  <c r="A171" i="97"/>
  <c r="F170" i="97"/>
  <c r="A170" i="97"/>
  <c r="F169" i="97"/>
  <c r="A169" i="97"/>
  <c r="F168" i="97"/>
  <c r="A168" i="97"/>
  <c r="F167" i="97"/>
  <c r="A167" i="97"/>
  <c r="F166" i="97"/>
  <c r="A166" i="97"/>
  <c r="F165" i="97"/>
  <c r="A165" i="97"/>
  <c r="F164" i="97"/>
  <c r="A164" i="97"/>
  <c r="F163" i="97"/>
  <c r="A163" i="97"/>
  <c r="F162" i="97"/>
  <c r="A162" i="97"/>
  <c r="F161" i="97"/>
  <c r="A161" i="97"/>
  <c r="J7" i="97"/>
  <c r="L11" i="97"/>
  <c r="L18" i="97" s="1"/>
  <c r="K11" i="97"/>
  <c r="K18" i="97" s="1"/>
  <c r="J11" i="97"/>
  <c r="J18" i="97" s="1"/>
  <c r="L10" i="97"/>
  <c r="K10" i="97"/>
  <c r="J10" i="97"/>
  <c r="J4" i="97"/>
  <c r="J9" i="97"/>
  <c r="J21" i="97" s="1"/>
  <c r="I22" i="123" s="1"/>
  <c r="L7" i="97"/>
  <c r="L6" i="97"/>
  <c r="K6" i="97"/>
  <c r="J6" i="97"/>
  <c r="L4" i="97"/>
  <c r="L3" i="97"/>
  <c r="L16" i="97" s="1"/>
  <c r="E22" i="123" s="1"/>
  <c r="K3" i="97"/>
  <c r="K16" i="97" s="1"/>
  <c r="B22" i="123" s="1"/>
  <c r="J3" i="97"/>
  <c r="J16" i="97" s="1"/>
  <c r="F339" i="96"/>
  <c r="A339" i="96"/>
  <c r="F338" i="96"/>
  <c r="A338" i="96"/>
  <c r="F337" i="96"/>
  <c r="A337" i="96"/>
  <c r="F336" i="96"/>
  <c r="A336" i="96"/>
  <c r="F335" i="96"/>
  <c r="A335" i="96"/>
  <c r="F334" i="96"/>
  <c r="A334" i="96"/>
  <c r="F333" i="96"/>
  <c r="A333" i="96"/>
  <c r="F332" i="96"/>
  <c r="A332" i="96"/>
  <c r="F331" i="96"/>
  <c r="A331" i="96"/>
  <c r="F330" i="96"/>
  <c r="A330" i="96"/>
  <c r="F329" i="96"/>
  <c r="A329" i="96"/>
  <c r="F328" i="96"/>
  <c r="A328" i="96"/>
  <c r="F327" i="96"/>
  <c r="A327" i="96"/>
  <c r="F326" i="96"/>
  <c r="A326" i="96"/>
  <c r="F325" i="96"/>
  <c r="A325" i="96"/>
  <c r="F324" i="96"/>
  <c r="A324" i="96"/>
  <c r="F323" i="96"/>
  <c r="A323" i="96"/>
  <c r="F322" i="96"/>
  <c r="A322" i="96"/>
  <c r="F321" i="96"/>
  <c r="A321" i="96"/>
  <c r="F320" i="96"/>
  <c r="A320" i="96"/>
  <c r="F319" i="96"/>
  <c r="A319" i="96"/>
  <c r="F318" i="96"/>
  <c r="A318" i="96"/>
  <c r="F317" i="96"/>
  <c r="A317" i="96"/>
  <c r="F316" i="96"/>
  <c r="A316" i="96"/>
  <c r="F315" i="96"/>
  <c r="A315" i="96"/>
  <c r="F314" i="96"/>
  <c r="A314" i="96"/>
  <c r="F313" i="96"/>
  <c r="A313" i="96"/>
  <c r="F312" i="96"/>
  <c r="A312" i="96"/>
  <c r="F311" i="96"/>
  <c r="A311" i="96"/>
  <c r="F310" i="96"/>
  <c r="A310" i="96"/>
  <c r="F309" i="96"/>
  <c r="A309" i="96"/>
  <c r="F308" i="96"/>
  <c r="A308" i="96"/>
  <c r="F307" i="96"/>
  <c r="A307" i="96"/>
  <c r="F306" i="96"/>
  <c r="A306" i="96"/>
  <c r="F305" i="96"/>
  <c r="A305" i="96"/>
  <c r="F304" i="96"/>
  <c r="A304" i="96"/>
  <c r="F303" i="96"/>
  <c r="A303" i="96"/>
  <c r="F302" i="96"/>
  <c r="A302" i="96"/>
  <c r="F301" i="96"/>
  <c r="A301" i="96"/>
  <c r="F300" i="96"/>
  <c r="A300" i="96"/>
  <c r="F299" i="96"/>
  <c r="A299" i="96"/>
  <c r="F298" i="96"/>
  <c r="A298" i="96"/>
  <c r="F297" i="96"/>
  <c r="A297" i="96"/>
  <c r="F296" i="96"/>
  <c r="A296" i="96"/>
  <c r="F295" i="96"/>
  <c r="A295" i="96"/>
  <c r="F294" i="96"/>
  <c r="A294" i="96"/>
  <c r="F293" i="96"/>
  <c r="A293" i="96"/>
  <c r="F292" i="96"/>
  <c r="A292" i="96"/>
  <c r="F291" i="96"/>
  <c r="A291" i="96"/>
  <c r="F290" i="96"/>
  <c r="A290" i="96"/>
  <c r="F289" i="96"/>
  <c r="A289" i="96"/>
  <c r="F288" i="96"/>
  <c r="A288" i="96"/>
  <c r="F287" i="96"/>
  <c r="A287" i="96"/>
  <c r="F286" i="96"/>
  <c r="A286" i="96"/>
  <c r="F285" i="96"/>
  <c r="A285" i="96"/>
  <c r="F284" i="96"/>
  <c r="A284" i="96"/>
  <c r="F283" i="96"/>
  <c r="A283" i="96"/>
  <c r="F282" i="96"/>
  <c r="A282" i="96"/>
  <c r="F281" i="96"/>
  <c r="A281" i="96"/>
  <c r="F280" i="96"/>
  <c r="A280" i="96"/>
  <c r="F279" i="96"/>
  <c r="A279" i="96"/>
  <c r="F278" i="96"/>
  <c r="A278" i="96"/>
  <c r="F277" i="96"/>
  <c r="A277" i="96"/>
  <c r="F276" i="96"/>
  <c r="A276" i="96"/>
  <c r="F275" i="96"/>
  <c r="A275" i="96"/>
  <c r="F274" i="96"/>
  <c r="A274" i="96"/>
  <c r="F273" i="96"/>
  <c r="A273" i="96"/>
  <c r="F272" i="96"/>
  <c r="A272" i="96"/>
  <c r="F271" i="96"/>
  <c r="A271" i="96"/>
  <c r="F270" i="96"/>
  <c r="A270" i="96"/>
  <c r="F269" i="96"/>
  <c r="A269" i="96"/>
  <c r="F268" i="96"/>
  <c r="A268" i="96"/>
  <c r="F267" i="96"/>
  <c r="A267" i="96"/>
  <c r="F266" i="96"/>
  <c r="A266" i="96"/>
  <c r="F265" i="96"/>
  <c r="A265" i="96"/>
  <c r="F264" i="96"/>
  <c r="A264" i="96"/>
  <c r="F263" i="96"/>
  <c r="A263" i="96"/>
  <c r="F262" i="96"/>
  <c r="A262" i="96"/>
  <c r="F261" i="96"/>
  <c r="A261" i="96"/>
  <c r="F260" i="96"/>
  <c r="A260" i="96"/>
  <c r="F259" i="96"/>
  <c r="A259" i="96"/>
  <c r="F258" i="96"/>
  <c r="A258" i="96"/>
  <c r="F257" i="96"/>
  <c r="A257" i="96"/>
  <c r="F256" i="96"/>
  <c r="A256" i="96"/>
  <c r="F255" i="96"/>
  <c r="A255" i="96"/>
  <c r="F254" i="96"/>
  <c r="A254" i="96"/>
  <c r="F253" i="96"/>
  <c r="A253" i="96"/>
  <c r="F252" i="96"/>
  <c r="A252" i="96"/>
  <c r="F251" i="96"/>
  <c r="A251" i="96"/>
  <c r="F250" i="96"/>
  <c r="A250" i="96"/>
  <c r="F249" i="96"/>
  <c r="A249" i="96"/>
  <c r="F248" i="96"/>
  <c r="A248" i="96"/>
  <c r="F247" i="96"/>
  <c r="A247" i="96"/>
  <c r="F246" i="96"/>
  <c r="A246" i="96"/>
  <c r="F245" i="96"/>
  <c r="A245" i="96"/>
  <c r="F244" i="96"/>
  <c r="A244" i="96"/>
  <c r="F243" i="96"/>
  <c r="A243" i="96"/>
  <c r="F242" i="96"/>
  <c r="A242" i="96"/>
  <c r="F241" i="96"/>
  <c r="A241" i="96"/>
  <c r="F240" i="96"/>
  <c r="A240" i="96"/>
  <c r="F239" i="96"/>
  <c r="A239" i="96"/>
  <c r="F238" i="96"/>
  <c r="A238" i="96"/>
  <c r="F237" i="96"/>
  <c r="A237" i="96"/>
  <c r="F236" i="96"/>
  <c r="A236" i="96"/>
  <c r="F235" i="96"/>
  <c r="A235" i="96"/>
  <c r="F234" i="96"/>
  <c r="A234" i="96"/>
  <c r="F233" i="96"/>
  <c r="A233" i="96"/>
  <c r="F232" i="96"/>
  <c r="A232" i="96"/>
  <c r="F231" i="96"/>
  <c r="A231" i="96"/>
  <c r="F230" i="96"/>
  <c r="A230" i="96"/>
  <c r="F229" i="96"/>
  <c r="A229" i="96"/>
  <c r="F228" i="96"/>
  <c r="A228" i="96"/>
  <c r="F227" i="96"/>
  <c r="A227" i="96"/>
  <c r="F226" i="96"/>
  <c r="A226" i="96"/>
  <c r="F225" i="96"/>
  <c r="A225" i="96"/>
  <c r="F224" i="96"/>
  <c r="A224" i="96"/>
  <c r="F223" i="96"/>
  <c r="A223" i="96"/>
  <c r="F222" i="96"/>
  <c r="A222" i="96"/>
  <c r="F221" i="96"/>
  <c r="A221" i="96"/>
  <c r="F220" i="96"/>
  <c r="A220" i="96"/>
  <c r="F219" i="96"/>
  <c r="A219" i="96"/>
  <c r="F218" i="96"/>
  <c r="A218" i="96"/>
  <c r="F217" i="96"/>
  <c r="A217" i="96"/>
  <c r="F216" i="96"/>
  <c r="A216" i="96"/>
  <c r="F215" i="96"/>
  <c r="A215" i="96"/>
  <c r="F214" i="96"/>
  <c r="A214" i="96"/>
  <c r="F213" i="96"/>
  <c r="A213" i="96"/>
  <c r="F212" i="96"/>
  <c r="A212" i="96"/>
  <c r="F211" i="96"/>
  <c r="A211" i="96"/>
  <c r="F210" i="96"/>
  <c r="A210" i="96"/>
  <c r="F209" i="96"/>
  <c r="A209" i="96"/>
  <c r="F208" i="96"/>
  <c r="A208" i="96"/>
  <c r="F207" i="96"/>
  <c r="A207" i="96"/>
  <c r="F206" i="96"/>
  <c r="A206" i="96"/>
  <c r="F205" i="96"/>
  <c r="A205" i="96"/>
  <c r="F204" i="96"/>
  <c r="A204" i="96"/>
  <c r="F203" i="96"/>
  <c r="A203" i="96"/>
  <c r="F202" i="96"/>
  <c r="A202" i="96"/>
  <c r="F201" i="96"/>
  <c r="A201" i="96"/>
  <c r="F200" i="96"/>
  <c r="A200" i="96"/>
  <c r="F199" i="96"/>
  <c r="A199" i="96"/>
  <c r="F198" i="96"/>
  <c r="A198" i="96"/>
  <c r="F197" i="96"/>
  <c r="A197" i="96"/>
  <c r="F196" i="96"/>
  <c r="A196" i="96"/>
  <c r="F195" i="96"/>
  <c r="A195" i="96"/>
  <c r="F194" i="96"/>
  <c r="A194" i="96"/>
  <c r="F193" i="96"/>
  <c r="A193" i="96"/>
  <c r="F192" i="96"/>
  <c r="A192" i="96"/>
  <c r="F191" i="96"/>
  <c r="A191" i="96"/>
  <c r="F190" i="96"/>
  <c r="A190" i="96"/>
  <c r="F189" i="96"/>
  <c r="A189" i="96"/>
  <c r="F188" i="96"/>
  <c r="A188" i="96"/>
  <c r="F187" i="96"/>
  <c r="A187" i="96"/>
  <c r="F186" i="96"/>
  <c r="A186" i="96"/>
  <c r="F185" i="96"/>
  <c r="A185" i="96"/>
  <c r="F184" i="96"/>
  <c r="A184" i="96"/>
  <c r="F183" i="96"/>
  <c r="A183" i="96"/>
  <c r="F182" i="96"/>
  <c r="A182" i="96"/>
  <c r="F181" i="96"/>
  <c r="A181" i="96"/>
  <c r="F180" i="96"/>
  <c r="A180" i="96"/>
  <c r="F179" i="96"/>
  <c r="A179" i="96"/>
  <c r="F178" i="96"/>
  <c r="A178" i="96"/>
  <c r="F177" i="96"/>
  <c r="A177" i="96"/>
  <c r="F176" i="96"/>
  <c r="A176" i="96"/>
  <c r="F175" i="96"/>
  <c r="A175" i="96"/>
  <c r="F174" i="96"/>
  <c r="A174" i="96"/>
  <c r="F173" i="96"/>
  <c r="A173" i="96"/>
  <c r="F172" i="96"/>
  <c r="A172" i="96"/>
  <c r="F171" i="96"/>
  <c r="A171" i="96"/>
  <c r="F170" i="96"/>
  <c r="A170" i="96"/>
  <c r="F169" i="96"/>
  <c r="A169" i="96"/>
  <c r="F168" i="96"/>
  <c r="A168" i="96"/>
  <c r="F167" i="96"/>
  <c r="A167" i="96"/>
  <c r="F166" i="96"/>
  <c r="A166" i="96"/>
  <c r="F165" i="96"/>
  <c r="A165" i="96"/>
  <c r="F164" i="96"/>
  <c r="A164" i="96"/>
  <c r="F163" i="96"/>
  <c r="A163" i="96"/>
  <c r="F162" i="96"/>
  <c r="A162" i="96"/>
  <c r="F161" i="96"/>
  <c r="A161" i="96"/>
  <c r="L9" i="96"/>
  <c r="L21" i="96" s="1"/>
  <c r="J9" i="96"/>
  <c r="J21" i="96" s="1"/>
  <c r="I21" i="123" s="1"/>
  <c r="L12" i="96"/>
  <c r="L19" i="96" s="1"/>
  <c r="G21" i="123" s="1"/>
  <c r="K12" i="96"/>
  <c r="K19" i="96" s="1"/>
  <c r="D21" i="123" s="1"/>
  <c r="J12" i="96"/>
  <c r="J19" i="96" s="1"/>
  <c r="L11" i="96"/>
  <c r="L18" i="96" s="1"/>
  <c r="K11" i="96"/>
  <c r="K18" i="96" s="1"/>
  <c r="J11" i="96"/>
  <c r="J18" i="96" s="1"/>
  <c r="L10" i="96"/>
  <c r="K10" i="96"/>
  <c r="J10" i="96"/>
  <c r="L7" i="96"/>
  <c r="J7" i="96"/>
  <c r="L3" i="96"/>
  <c r="L16" i="96" s="1"/>
  <c r="E21" i="123" s="1"/>
  <c r="K3" i="96"/>
  <c r="K16" i="96" s="1"/>
  <c r="B21" i="123" s="1"/>
  <c r="J3" i="96"/>
  <c r="J16" i="96" s="1"/>
  <c r="J6" i="96"/>
  <c r="F339" i="95"/>
  <c r="A339" i="95"/>
  <c r="F338" i="95"/>
  <c r="A338" i="95"/>
  <c r="F337" i="95"/>
  <c r="A337" i="95"/>
  <c r="F336" i="95"/>
  <c r="A336" i="95"/>
  <c r="F335" i="95"/>
  <c r="A335" i="95"/>
  <c r="F334" i="95"/>
  <c r="A334" i="95"/>
  <c r="F333" i="95"/>
  <c r="A333" i="95"/>
  <c r="F332" i="95"/>
  <c r="A332" i="95"/>
  <c r="F331" i="95"/>
  <c r="A331" i="95"/>
  <c r="F330" i="95"/>
  <c r="A330" i="95"/>
  <c r="F329" i="95"/>
  <c r="A329" i="95"/>
  <c r="F328" i="95"/>
  <c r="A328" i="95"/>
  <c r="F327" i="95"/>
  <c r="A327" i="95"/>
  <c r="F326" i="95"/>
  <c r="A326" i="95"/>
  <c r="F325" i="95"/>
  <c r="A325" i="95"/>
  <c r="F324" i="95"/>
  <c r="A324" i="95"/>
  <c r="F323" i="95"/>
  <c r="A323" i="95"/>
  <c r="F322" i="95"/>
  <c r="A322" i="95"/>
  <c r="F321" i="95"/>
  <c r="A321" i="95"/>
  <c r="F320" i="95"/>
  <c r="A320" i="95"/>
  <c r="F319" i="95"/>
  <c r="A319" i="95"/>
  <c r="F318" i="95"/>
  <c r="A318" i="95"/>
  <c r="F317" i="95"/>
  <c r="A317" i="95"/>
  <c r="F316" i="95"/>
  <c r="A316" i="95"/>
  <c r="F315" i="95"/>
  <c r="A315" i="95"/>
  <c r="F314" i="95"/>
  <c r="A314" i="95"/>
  <c r="F313" i="95"/>
  <c r="A313" i="95"/>
  <c r="F312" i="95"/>
  <c r="A312" i="95"/>
  <c r="F311" i="95"/>
  <c r="A311" i="95"/>
  <c r="F310" i="95"/>
  <c r="A310" i="95"/>
  <c r="F309" i="95"/>
  <c r="A309" i="95"/>
  <c r="F308" i="95"/>
  <c r="A308" i="95"/>
  <c r="F307" i="95"/>
  <c r="A307" i="95"/>
  <c r="F306" i="95"/>
  <c r="A306" i="95"/>
  <c r="F305" i="95"/>
  <c r="A305" i="95"/>
  <c r="F304" i="95"/>
  <c r="A304" i="95"/>
  <c r="F303" i="95"/>
  <c r="A303" i="95"/>
  <c r="F302" i="95"/>
  <c r="A302" i="95"/>
  <c r="F301" i="95"/>
  <c r="A301" i="95"/>
  <c r="F300" i="95"/>
  <c r="A300" i="95"/>
  <c r="F299" i="95"/>
  <c r="A299" i="95"/>
  <c r="F298" i="95"/>
  <c r="A298" i="95"/>
  <c r="F297" i="95"/>
  <c r="A297" i="95"/>
  <c r="F296" i="95"/>
  <c r="A296" i="95"/>
  <c r="F295" i="95"/>
  <c r="A295" i="95"/>
  <c r="F294" i="95"/>
  <c r="A294" i="95"/>
  <c r="F293" i="95"/>
  <c r="A293" i="95"/>
  <c r="F292" i="95"/>
  <c r="A292" i="95"/>
  <c r="F291" i="95"/>
  <c r="A291" i="95"/>
  <c r="F290" i="95"/>
  <c r="A290" i="95"/>
  <c r="F289" i="95"/>
  <c r="A289" i="95"/>
  <c r="F288" i="95"/>
  <c r="A288" i="95"/>
  <c r="F287" i="95"/>
  <c r="A287" i="95"/>
  <c r="F286" i="95"/>
  <c r="A286" i="95"/>
  <c r="F285" i="95"/>
  <c r="A285" i="95"/>
  <c r="F284" i="95"/>
  <c r="A284" i="95"/>
  <c r="F283" i="95"/>
  <c r="A283" i="95"/>
  <c r="F282" i="95"/>
  <c r="A282" i="95"/>
  <c r="F281" i="95"/>
  <c r="A281" i="95"/>
  <c r="F280" i="95"/>
  <c r="A280" i="95"/>
  <c r="F279" i="95"/>
  <c r="A279" i="95"/>
  <c r="F278" i="95"/>
  <c r="A278" i="95"/>
  <c r="F277" i="95"/>
  <c r="A277" i="95"/>
  <c r="F276" i="95"/>
  <c r="A276" i="95"/>
  <c r="F275" i="95"/>
  <c r="A275" i="95"/>
  <c r="F274" i="95"/>
  <c r="A274" i="95"/>
  <c r="F273" i="95"/>
  <c r="A273" i="95"/>
  <c r="F272" i="95"/>
  <c r="A272" i="95"/>
  <c r="F271" i="95"/>
  <c r="A271" i="95"/>
  <c r="F270" i="95"/>
  <c r="A270" i="95"/>
  <c r="F269" i="95"/>
  <c r="A269" i="95"/>
  <c r="F268" i="95"/>
  <c r="A268" i="95"/>
  <c r="F267" i="95"/>
  <c r="A267" i="95"/>
  <c r="F266" i="95"/>
  <c r="A266" i="95"/>
  <c r="F265" i="95"/>
  <c r="A265" i="95"/>
  <c r="F264" i="95"/>
  <c r="A264" i="95"/>
  <c r="F263" i="95"/>
  <c r="A263" i="95"/>
  <c r="F262" i="95"/>
  <c r="A262" i="95"/>
  <c r="F261" i="95"/>
  <c r="A261" i="95"/>
  <c r="F260" i="95"/>
  <c r="A260" i="95"/>
  <c r="F259" i="95"/>
  <c r="A259" i="95"/>
  <c r="F258" i="95"/>
  <c r="A258" i="95"/>
  <c r="F257" i="95"/>
  <c r="A257" i="95"/>
  <c r="F256" i="95"/>
  <c r="A256" i="95"/>
  <c r="F255" i="95"/>
  <c r="A255" i="95"/>
  <c r="F254" i="95"/>
  <c r="A254" i="95"/>
  <c r="F253" i="95"/>
  <c r="A253" i="95"/>
  <c r="F252" i="95"/>
  <c r="A252" i="95"/>
  <c r="F251" i="95"/>
  <c r="A251" i="95"/>
  <c r="F250" i="95"/>
  <c r="A250" i="95"/>
  <c r="F249" i="95"/>
  <c r="A249" i="95"/>
  <c r="F248" i="95"/>
  <c r="A248" i="95"/>
  <c r="F247" i="95"/>
  <c r="A247" i="95"/>
  <c r="F246" i="95"/>
  <c r="A246" i="95"/>
  <c r="F245" i="95"/>
  <c r="A245" i="95"/>
  <c r="F244" i="95"/>
  <c r="A244" i="95"/>
  <c r="F243" i="95"/>
  <c r="A243" i="95"/>
  <c r="F242" i="95"/>
  <c r="A242" i="95"/>
  <c r="F241" i="95"/>
  <c r="A241" i="95"/>
  <c r="F240" i="95"/>
  <c r="A240" i="95"/>
  <c r="F239" i="95"/>
  <c r="A239" i="95"/>
  <c r="F238" i="95"/>
  <c r="A238" i="95"/>
  <c r="F237" i="95"/>
  <c r="A237" i="95"/>
  <c r="F236" i="95"/>
  <c r="A236" i="95"/>
  <c r="F235" i="95"/>
  <c r="A235" i="95"/>
  <c r="F234" i="95"/>
  <c r="A234" i="95"/>
  <c r="F233" i="95"/>
  <c r="A233" i="95"/>
  <c r="F232" i="95"/>
  <c r="A232" i="95"/>
  <c r="F231" i="95"/>
  <c r="A231" i="95"/>
  <c r="F230" i="95"/>
  <c r="A230" i="95"/>
  <c r="F229" i="95"/>
  <c r="A229" i="95"/>
  <c r="F228" i="95"/>
  <c r="A228" i="95"/>
  <c r="F227" i="95"/>
  <c r="A227" i="95"/>
  <c r="F226" i="95"/>
  <c r="A226" i="95"/>
  <c r="F225" i="95"/>
  <c r="A225" i="95"/>
  <c r="F224" i="95"/>
  <c r="A224" i="95"/>
  <c r="F223" i="95"/>
  <c r="A223" i="95"/>
  <c r="F222" i="95"/>
  <c r="A222" i="95"/>
  <c r="F221" i="95"/>
  <c r="A221" i="95"/>
  <c r="F220" i="95"/>
  <c r="A220" i="95"/>
  <c r="F219" i="95"/>
  <c r="A219" i="95"/>
  <c r="F218" i="95"/>
  <c r="A218" i="95"/>
  <c r="F217" i="95"/>
  <c r="A217" i="95"/>
  <c r="F216" i="95"/>
  <c r="A216" i="95"/>
  <c r="F215" i="95"/>
  <c r="A215" i="95"/>
  <c r="F214" i="95"/>
  <c r="A214" i="95"/>
  <c r="F213" i="95"/>
  <c r="A213" i="95"/>
  <c r="F212" i="95"/>
  <c r="A212" i="95"/>
  <c r="F211" i="95"/>
  <c r="A211" i="95"/>
  <c r="F210" i="95"/>
  <c r="A210" i="95"/>
  <c r="F209" i="95"/>
  <c r="A209" i="95"/>
  <c r="F208" i="95"/>
  <c r="A208" i="95"/>
  <c r="F207" i="95"/>
  <c r="A207" i="95"/>
  <c r="F206" i="95"/>
  <c r="A206" i="95"/>
  <c r="F205" i="95"/>
  <c r="A205" i="95"/>
  <c r="F204" i="95"/>
  <c r="A204" i="95"/>
  <c r="F203" i="95"/>
  <c r="A203" i="95"/>
  <c r="F202" i="95"/>
  <c r="A202" i="95"/>
  <c r="F201" i="95"/>
  <c r="A201" i="95"/>
  <c r="F200" i="95"/>
  <c r="A200" i="95"/>
  <c r="F199" i="95"/>
  <c r="A199" i="95"/>
  <c r="F198" i="95"/>
  <c r="A198" i="95"/>
  <c r="F197" i="95"/>
  <c r="A197" i="95"/>
  <c r="F196" i="95"/>
  <c r="A196" i="95"/>
  <c r="F195" i="95"/>
  <c r="A195" i="95"/>
  <c r="F194" i="95"/>
  <c r="A194" i="95"/>
  <c r="F193" i="95"/>
  <c r="A193" i="95"/>
  <c r="F192" i="95"/>
  <c r="A192" i="95"/>
  <c r="F191" i="95"/>
  <c r="A191" i="95"/>
  <c r="F190" i="95"/>
  <c r="A190" i="95"/>
  <c r="F189" i="95"/>
  <c r="A189" i="95"/>
  <c r="F188" i="95"/>
  <c r="A188" i="95"/>
  <c r="F187" i="95"/>
  <c r="A187" i="95"/>
  <c r="F186" i="95"/>
  <c r="A186" i="95"/>
  <c r="F185" i="95"/>
  <c r="A185" i="95"/>
  <c r="F184" i="95"/>
  <c r="A184" i="95"/>
  <c r="F183" i="95"/>
  <c r="A183" i="95"/>
  <c r="F182" i="95"/>
  <c r="A182" i="95"/>
  <c r="F181" i="95"/>
  <c r="A181" i="95"/>
  <c r="F180" i="95"/>
  <c r="A180" i="95"/>
  <c r="F179" i="95"/>
  <c r="A179" i="95"/>
  <c r="F178" i="95"/>
  <c r="A178" i="95"/>
  <c r="F177" i="95"/>
  <c r="A177" i="95"/>
  <c r="F176" i="95"/>
  <c r="A176" i="95"/>
  <c r="F175" i="95"/>
  <c r="A175" i="95"/>
  <c r="F174" i="95"/>
  <c r="A174" i="95"/>
  <c r="F173" i="95"/>
  <c r="A173" i="95"/>
  <c r="F172" i="95"/>
  <c r="A172" i="95"/>
  <c r="F171" i="95"/>
  <c r="A171" i="95"/>
  <c r="F170" i="95"/>
  <c r="A170" i="95"/>
  <c r="F169" i="95"/>
  <c r="A169" i="95"/>
  <c r="F168" i="95"/>
  <c r="A168" i="95"/>
  <c r="F167" i="95"/>
  <c r="A167" i="95"/>
  <c r="F166" i="95"/>
  <c r="A166" i="95"/>
  <c r="F165" i="95"/>
  <c r="A165" i="95"/>
  <c r="F164" i="95"/>
  <c r="A164" i="95"/>
  <c r="F163" i="95"/>
  <c r="A163" i="95"/>
  <c r="F162" i="95"/>
  <c r="A162" i="95"/>
  <c r="F161" i="95"/>
  <c r="A161" i="95"/>
  <c r="L11" i="95"/>
  <c r="L18" i="95" s="1"/>
  <c r="K11" i="95"/>
  <c r="K18" i="95" s="1"/>
  <c r="J11" i="95"/>
  <c r="J18" i="95" s="1"/>
  <c r="L10" i="95"/>
  <c r="K10" i="95"/>
  <c r="J10" i="95"/>
  <c r="L7" i="95"/>
  <c r="K7" i="95"/>
  <c r="J7" i="95"/>
  <c r="L6" i="95"/>
  <c r="K6" i="95"/>
  <c r="J6" i="95"/>
  <c r="L3" i="95"/>
  <c r="L16" i="95" s="1"/>
  <c r="E20" i="123" s="1"/>
  <c r="K3" i="95"/>
  <c r="K16" i="95" s="1"/>
  <c r="B20" i="123" s="1"/>
  <c r="J3" i="95"/>
  <c r="J16" i="95" s="1"/>
  <c r="L12" i="94"/>
  <c r="L19" i="94" s="1"/>
  <c r="G19" i="123" s="1"/>
  <c r="K12" i="94"/>
  <c r="K19" i="94" s="1"/>
  <c r="D19" i="123" s="1"/>
  <c r="J12" i="94"/>
  <c r="J19" i="94" s="1"/>
  <c r="L11" i="94"/>
  <c r="L18" i="94" s="1"/>
  <c r="K11" i="94"/>
  <c r="K18" i="94" s="1"/>
  <c r="J11" i="94"/>
  <c r="J18" i="94" s="1"/>
  <c r="L10" i="94"/>
  <c r="K10" i="94"/>
  <c r="J10" i="94"/>
  <c r="L7" i="94"/>
  <c r="J7" i="94"/>
  <c r="L6" i="94"/>
  <c r="K6" i="94"/>
  <c r="J6" i="94"/>
  <c r="L3" i="94"/>
  <c r="L16" i="94" s="1"/>
  <c r="E19" i="123" s="1"/>
  <c r="K3" i="94"/>
  <c r="K16" i="94" s="1"/>
  <c r="B19" i="123" s="1"/>
  <c r="J3" i="94"/>
  <c r="J16" i="94" s="1"/>
  <c r="F339" i="93"/>
  <c r="A339" i="93"/>
  <c r="F338" i="93"/>
  <c r="A338" i="93"/>
  <c r="F337" i="93"/>
  <c r="A337" i="93"/>
  <c r="F336" i="93"/>
  <c r="A336" i="93"/>
  <c r="F335" i="93"/>
  <c r="A335" i="93"/>
  <c r="F334" i="93"/>
  <c r="A334" i="93"/>
  <c r="F333" i="93"/>
  <c r="A333" i="93"/>
  <c r="F332" i="93"/>
  <c r="A332" i="93"/>
  <c r="F331" i="93"/>
  <c r="A331" i="93"/>
  <c r="F330" i="93"/>
  <c r="A330" i="93"/>
  <c r="F329" i="93"/>
  <c r="A329" i="93"/>
  <c r="F328" i="93"/>
  <c r="A328" i="93"/>
  <c r="F327" i="93"/>
  <c r="A327" i="93"/>
  <c r="F326" i="93"/>
  <c r="A326" i="93"/>
  <c r="F325" i="93"/>
  <c r="A325" i="93"/>
  <c r="F324" i="93"/>
  <c r="A324" i="93"/>
  <c r="F323" i="93"/>
  <c r="A323" i="93"/>
  <c r="F322" i="93"/>
  <c r="A322" i="93"/>
  <c r="F321" i="93"/>
  <c r="A321" i="93"/>
  <c r="F320" i="93"/>
  <c r="A320" i="93"/>
  <c r="F319" i="93"/>
  <c r="A319" i="93"/>
  <c r="F318" i="93"/>
  <c r="A318" i="93"/>
  <c r="F317" i="93"/>
  <c r="A317" i="93"/>
  <c r="F316" i="93"/>
  <c r="A316" i="93"/>
  <c r="F315" i="93"/>
  <c r="A315" i="93"/>
  <c r="F314" i="93"/>
  <c r="A314" i="93"/>
  <c r="F313" i="93"/>
  <c r="A313" i="93"/>
  <c r="F312" i="93"/>
  <c r="A312" i="93"/>
  <c r="F311" i="93"/>
  <c r="A311" i="93"/>
  <c r="F310" i="93"/>
  <c r="A310" i="93"/>
  <c r="F309" i="93"/>
  <c r="A309" i="93"/>
  <c r="F308" i="93"/>
  <c r="A308" i="93"/>
  <c r="F307" i="93"/>
  <c r="A307" i="93"/>
  <c r="F306" i="93"/>
  <c r="A306" i="93"/>
  <c r="F305" i="93"/>
  <c r="A305" i="93"/>
  <c r="F304" i="93"/>
  <c r="A304" i="93"/>
  <c r="F303" i="93"/>
  <c r="A303" i="93"/>
  <c r="F302" i="93"/>
  <c r="A302" i="93"/>
  <c r="F301" i="93"/>
  <c r="A301" i="93"/>
  <c r="F300" i="93"/>
  <c r="A300" i="93"/>
  <c r="F299" i="93"/>
  <c r="A299" i="93"/>
  <c r="F298" i="93"/>
  <c r="A298" i="93"/>
  <c r="F297" i="93"/>
  <c r="A297" i="93"/>
  <c r="F296" i="93"/>
  <c r="A296" i="93"/>
  <c r="F295" i="93"/>
  <c r="A295" i="93"/>
  <c r="F294" i="93"/>
  <c r="A294" i="93"/>
  <c r="F293" i="93"/>
  <c r="A293" i="93"/>
  <c r="F292" i="93"/>
  <c r="A292" i="93"/>
  <c r="F291" i="93"/>
  <c r="A291" i="93"/>
  <c r="F290" i="93"/>
  <c r="A290" i="93"/>
  <c r="F289" i="93"/>
  <c r="A289" i="93"/>
  <c r="F288" i="93"/>
  <c r="A288" i="93"/>
  <c r="F287" i="93"/>
  <c r="A287" i="93"/>
  <c r="F286" i="93"/>
  <c r="A286" i="93"/>
  <c r="F285" i="93"/>
  <c r="A285" i="93"/>
  <c r="F284" i="93"/>
  <c r="A284" i="93"/>
  <c r="F283" i="93"/>
  <c r="A283" i="93"/>
  <c r="F282" i="93"/>
  <c r="A282" i="93"/>
  <c r="F281" i="93"/>
  <c r="A281" i="93"/>
  <c r="F280" i="93"/>
  <c r="A280" i="93"/>
  <c r="F279" i="93"/>
  <c r="A279" i="93"/>
  <c r="F278" i="93"/>
  <c r="A278" i="93"/>
  <c r="F277" i="93"/>
  <c r="A277" i="93"/>
  <c r="F276" i="93"/>
  <c r="A276" i="93"/>
  <c r="F275" i="93"/>
  <c r="A275" i="93"/>
  <c r="F274" i="93"/>
  <c r="A274" i="93"/>
  <c r="F273" i="93"/>
  <c r="A273" i="93"/>
  <c r="F272" i="93"/>
  <c r="A272" i="93"/>
  <c r="F271" i="93"/>
  <c r="A271" i="93"/>
  <c r="F270" i="93"/>
  <c r="A270" i="93"/>
  <c r="F269" i="93"/>
  <c r="A269" i="93"/>
  <c r="F268" i="93"/>
  <c r="A268" i="93"/>
  <c r="F267" i="93"/>
  <c r="A267" i="93"/>
  <c r="F266" i="93"/>
  <c r="A266" i="93"/>
  <c r="F265" i="93"/>
  <c r="A265" i="93"/>
  <c r="F264" i="93"/>
  <c r="A264" i="93"/>
  <c r="F263" i="93"/>
  <c r="A263" i="93"/>
  <c r="F262" i="93"/>
  <c r="A262" i="93"/>
  <c r="F261" i="93"/>
  <c r="A261" i="93"/>
  <c r="F260" i="93"/>
  <c r="A260" i="93"/>
  <c r="F259" i="93"/>
  <c r="A259" i="93"/>
  <c r="F258" i="93"/>
  <c r="A258" i="93"/>
  <c r="F257" i="93"/>
  <c r="A257" i="93"/>
  <c r="F256" i="93"/>
  <c r="A256" i="93"/>
  <c r="F255" i="93"/>
  <c r="A255" i="93"/>
  <c r="F254" i="93"/>
  <c r="A254" i="93"/>
  <c r="F253" i="93"/>
  <c r="A253" i="93"/>
  <c r="F252" i="93"/>
  <c r="A252" i="93"/>
  <c r="F251" i="93"/>
  <c r="A251" i="93"/>
  <c r="F250" i="93"/>
  <c r="A250" i="93"/>
  <c r="F249" i="93"/>
  <c r="A249" i="93"/>
  <c r="F248" i="93"/>
  <c r="A248" i="93"/>
  <c r="F247" i="93"/>
  <c r="A247" i="93"/>
  <c r="F246" i="93"/>
  <c r="A246" i="93"/>
  <c r="F245" i="93"/>
  <c r="A245" i="93"/>
  <c r="F244" i="93"/>
  <c r="A244" i="93"/>
  <c r="F243" i="93"/>
  <c r="A243" i="93"/>
  <c r="F242" i="93"/>
  <c r="A242" i="93"/>
  <c r="F241" i="93"/>
  <c r="A241" i="93"/>
  <c r="F240" i="93"/>
  <c r="A240" i="93"/>
  <c r="F239" i="93"/>
  <c r="A239" i="93"/>
  <c r="F238" i="93"/>
  <c r="A238" i="93"/>
  <c r="F237" i="93"/>
  <c r="A237" i="93"/>
  <c r="F236" i="93"/>
  <c r="A236" i="93"/>
  <c r="F235" i="93"/>
  <c r="A235" i="93"/>
  <c r="F234" i="93"/>
  <c r="A234" i="93"/>
  <c r="F233" i="93"/>
  <c r="A233" i="93"/>
  <c r="F232" i="93"/>
  <c r="A232" i="93"/>
  <c r="F231" i="93"/>
  <c r="A231" i="93"/>
  <c r="F230" i="93"/>
  <c r="A230" i="93"/>
  <c r="F229" i="93"/>
  <c r="A229" i="93"/>
  <c r="F228" i="93"/>
  <c r="A228" i="93"/>
  <c r="F227" i="93"/>
  <c r="A227" i="93"/>
  <c r="F226" i="93"/>
  <c r="A226" i="93"/>
  <c r="F225" i="93"/>
  <c r="A225" i="93"/>
  <c r="F224" i="93"/>
  <c r="A224" i="93"/>
  <c r="F223" i="93"/>
  <c r="A223" i="93"/>
  <c r="F222" i="93"/>
  <c r="A222" i="93"/>
  <c r="F221" i="93"/>
  <c r="A221" i="93"/>
  <c r="F220" i="93"/>
  <c r="A220" i="93"/>
  <c r="F219" i="93"/>
  <c r="A219" i="93"/>
  <c r="F218" i="93"/>
  <c r="A218" i="93"/>
  <c r="F217" i="93"/>
  <c r="A217" i="93"/>
  <c r="F216" i="93"/>
  <c r="A216" i="93"/>
  <c r="F215" i="93"/>
  <c r="A215" i="93"/>
  <c r="F214" i="93"/>
  <c r="A214" i="93"/>
  <c r="F213" i="93"/>
  <c r="A213" i="93"/>
  <c r="F212" i="93"/>
  <c r="A212" i="93"/>
  <c r="F211" i="93"/>
  <c r="A211" i="93"/>
  <c r="F210" i="93"/>
  <c r="A210" i="93"/>
  <c r="F209" i="93"/>
  <c r="A209" i="93"/>
  <c r="F208" i="93"/>
  <c r="A208" i="93"/>
  <c r="F207" i="93"/>
  <c r="A207" i="93"/>
  <c r="F206" i="93"/>
  <c r="A206" i="93"/>
  <c r="F205" i="93"/>
  <c r="A205" i="93"/>
  <c r="F204" i="93"/>
  <c r="A204" i="93"/>
  <c r="F203" i="93"/>
  <c r="A203" i="93"/>
  <c r="F202" i="93"/>
  <c r="A202" i="93"/>
  <c r="F201" i="93"/>
  <c r="A201" i="93"/>
  <c r="F200" i="93"/>
  <c r="A200" i="93"/>
  <c r="F199" i="93"/>
  <c r="A199" i="93"/>
  <c r="F198" i="93"/>
  <c r="A198" i="93"/>
  <c r="F197" i="93"/>
  <c r="A197" i="93"/>
  <c r="F196" i="93"/>
  <c r="A196" i="93"/>
  <c r="F195" i="93"/>
  <c r="A195" i="93"/>
  <c r="F194" i="93"/>
  <c r="A194" i="93"/>
  <c r="F193" i="93"/>
  <c r="A193" i="93"/>
  <c r="F192" i="93"/>
  <c r="A192" i="93"/>
  <c r="F191" i="93"/>
  <c r="A191" i="93"/>
  <c r="F190" i="93"/>
  <c r="A190" i="93"/>
  <c r="F189" i="93"/>
  <c r="A189" i="93"/>
  <c r="F188" i="93"/>
  <c r="A188" i="93"/>
  <c r="F187" i="93"/>
  <c r="A187" i="93"/>
  <c r="F186" i="93"/>
  <c r="A186" i="93"/>
  <c r="F185" i="93"/>
  <c r="A185" i="93"/>
  <c r="F184" i="93"/>
  <c r="A184" i="93"/>
  <c r="F183" i="93"/>
  <c r="A183" i="93"/>
  <c r="F182" i="93"/>
  <c r="A182" i="93"/>
  <c r="F181" i="93"/>
  <c r="A181" i="93"/>
  <c r="F180" i="93"/>
  <c r="A180" i="93"/>
  <c r="F179" i="93"/>
  <c r="A179" i="93"/>
  <c r="F178" i="93"/>
  <c r="A178" i="93"/>
  <c r="F177" i="93"/>
  <c r="A177" i="93"/>
  <c r="F176" i="93"/>
  <c r="A176" i="93"/>
  <c r="F175" i="93"/>
  <c r="A175" i="93"/>
  <c r="F174" i="93"/>
  <c r="A174" i="93"/>
  <c r="F173" i="93"/>
  <c r="A173" i="93"/>
  <c r="F172" i="93"/>
  <c r="A172" i="93"/>
  <c r="F171" i="93"/>
  <c r="A171" i="93"/>
  <c r="F170" i="93"/>
  <c r="A170" i="93"/>
  <c r="F169" i="93"/>
  <c r="A169" i="93"/>
  <c r="F168" i="93"/>
  <c r="A168" i="93"/>
  <c r="F167" i="93"/>
  <c r="A167" i="93"/>
  <c r="F166" i="93"/>
  <c r="A166" i="93"/>
  <c r="F165" i="93"/>
  <c r="A165" i="93"/>
  <c r="F164" i="93"/>
  <c r="A164" i="93"/>
  <c r="F163" i="93"/>
  <c r="A163" i="93"/>
  <c r="F162" i="93"/>
  <c r="A162" i="93"/>
  <c r="F161" i="93"/>
  <c r="A161" i="93"/>
  <c r="L7" i="93"/>
  <c r="J7" i="93"/>
  <c r="L12" i="93"/>
  <c r="L19" i="93" s="1"/>
  <c r="G18" i="123" s="1"/>
  <c r="K12" i="93"/>
  <c r="K19" i="93" s="1"/>
  <c r="D18" i="123" s="1"/>
  <c r="J12" i="93"/>
  <c r="J19" i="93" s="1"/>
  <c r="L11" i="93"/>
  <c r="L18" i="93" s="1"/>
  <c r="K11" i="93"/>
  <c r="K18" i="93" s="1"/>
  <c r="J11" i="93"/>
  <c r="J18" i="93" s="1"/>
  <c r="L10" i="93"/>
  <c r="K10" i="93"/>
  <c r="J10" i="93"/>
  <c r="L6" i="93"/>
  <c r="K6" i="93"/>
  <c r="J6" i="93"/>
  <c r="L3" i="93"/>
  <c r="L16" i="93" s="1"/>
  <c r="E18" i="123" s="1"/>
  <c r="K3" i="93"/>
  <c r="K16" i="93" s="1"/>
  <c r="B18" i="123" s="1"/>
  <c r="J3" i="93"/>
  <c r="J16" i="93" s="1"/>
  <c r="F339" i="92"/>
  <c r="A339" i="92"/>
  <c r="F338" i="92"/>
  <c r="A338" i="92"/>
  <c r="F337" i="92"/>
  <c r="A337" i="92"/>
  <c r="F336" i="92"/>
  <c r="A336" i="92"/>
  <c r="F335" i="92"/>
  <c r="A335" i="92"/>
  <c r="F334" i="92"/>
  <c r="A334" i="92"/>
  <c r="F333" i="92"/>
  <c r="A333" i="92"/>
  <c r="F332" i="92"/>
  <c r="A332" i="92"/>
  <c r="F331" i="92"/>
  <c r="A331" i="92"/>
  <c r="F330" i="92"/>
  <c r="A330" i="92"/>
  <c r="F329" i="92"/>
  <c r="A329" i="92"/>
  <c r="F328" i="92"/>
  <c r="A328" i="92"/>
  <c r="F327" i="92"/>
  <c r="A327" i="92"/>
  <c r="F326" i="92"/>
  <c r="A326" i="92"/>
  <c r="F325" i="92"/>
  <c r="A325" i="92"/>
  <c r="F324" i="92"/>
  <c r="A324" i="92"/>
  <c r="F323" i="92"/>
  <c r="A323" i="92"/>
  <c r="F322" i="92"/>
  <c r="A322" i="92"/>
  <c r="F321" i="92"/>
  <c r="A321" i="92"/>
  <c r="F320" i="92"/>
  <c r="A320" i="92"/>
  <c r="F319" i="92"/>
  <c r="A319" i="92"/>
  <c r="F318" i="92"/>
  <c r="A318" i="92"/>
  <c r="F317" i="92"/>
  <c r="A317" i="92"/>
  <c r="F316" i="92"/>
  <c r="A316" i="92"/>
  <c r="F315" i="92"/>
  <c r="A315" i="92"/>
  <c r="F314" i="92"/>
  <c r="A314" i="92"/>
  <c r="F313" i="92"/>
  <c r="A313" i="92"/>
  <c r="F312" i="92"/>
  <c r="A312" i="92"/>
  <c r="F311" i="92"/>
  <c r="A311" i="92"/>
  <c r="F310" i="92"/>
  <c r="A310" i="92"/>
  <c r="F309" i="92"/>
  <c r="A309" i="92"/>
  <c r="F308" i="92"/>
  <c r="A308" i="92"/>
  <c r="F307" i="92"/>
  <c r="A307" i="92"/>
  <c r="F306" i="92"/>
  <c r="A306" i="92"/>
  <c r="F305" i="92"/>
  <c r="A305" i="92"/>
  <c r="F304" i="92"/>
  <c r="A304" i="92"/>
  <c r="F303" i="92"/>
  <c r="A303" i="92"/>
  <c r="F302" i="92"/>
  <c r="A302" i="92"/>
  <c r="F301" i="92"/>
  <c r="A301" i="92"/>
  <c r="F300" i="92"/>
  <c r="A300" i="92"/>
  <c r="F299" i="92"/>
  <c r="A299" i="92"/>
  <c r="F298" i="92"/>
  <c r="A298" i="92"/>
  <c r="F297" i="92"/>
  <c r="A297" i="92"/>
  <c r="F296" i="92"/>
  <c r="A296" i="92"/>
  <c r="F295" i="92"/>
  <c r="A295" i="92"/>
  <c r="F294" i="92"/>
  <c r="A294" i="92"/>
  <c r="F293" i="92"/>
  <c r="A293" i="92"/>
  <c r="F292" i="92"/>
  <c r="A292" i="92"/>
  <c r="F291" i="92"/>
  <c r="A291" i="92"/>
  <c r="F290" i="92"/>
  <c r="A290" i="92"/>
  <c r="F289" i="92"/>
  <c r="A289" i="92"/>
  <c r="F288" i="92"/>
  <c r="A288" i="92"/>
  <c r="F287" i="92"/>
  <c r="A287" i="92"/>
  <c r="F286" i="92"/>
  <c r="A286" i="92"/>
  <c r="F285" i="92"/>
  <c r="A285" i="92"/>
  <c r="F284" i="92"/>
  <c r="A284" i="92"/>
  <c r="F283" i="92"/>
  <c r="A283" i="92"/>
  <c r="F282" i="92"/>
  <c r="A282" i="92"/>
  <c r="F281" i="92"/>
  <c r="A281" i="92"/>
  <c r="F280" i="92"/>
  <c r="A280" i="92"/>
  <c r="F279" i="92"/>
  <c r="A279" i="92"/>
  <c r="F278" i="92"/>
  <c r="A278" i="92"/>
  <c r="F277" i="92"/>
  <c r="A277" i="92"/>
  <c r="F276" i="92"/>
  <c r="A276" i="92"/>
  <c r="F275" i="92"/>
  <c r="A275" i="92"/>
  <c r="F274" i="92"/>
  <c r="A274" i="92"/>
  <c r="F273" i="92"/>
  <c r="A273" i="92"/>
  <c r="F272" i="92"/>
  <c r="A272" i="92"/>
  <c r="F271" i="92"/>
  <c r="A271" i="92"/>
  <c r="F270" i="92"/>
  <c r="A270" i="92"/>
  <c r="F269" i="92"/>
  <c r="A269" i="92"/>
  <c r="F268" i="92"/>
  <c r="A268" i="92"/>
  <c r="F267" i="92"/>
  <c r="A267" i="92"/>
  <c r="F266" i="92"/>
  <c r="A266" i="92"/>
  <c r="F265" i="92"/>
  <c r="A265" i="92"/>
  <c r="F264" i="92"/>
  <c r="A264" i="92"/>
  <c r="F263" i="92"/>
  <c r="A263" i="92"/>
  <c r="F262" i="92"/>
  <c r="A262" i="92"/>
  <c r="F261" i="92"/>
  <c r="A261" i="92"/>
  <c r="F260" i="92"/>
  <c r="A260" i="92"/>
  <c r="F259" i="92"/>
  <c r="A259" i="92"/>
  <c r="F258" i="92"/>
  <c r="A258" i="92"/>
  <c r="F257" i="92"/>
  <c r="A257" i="92"/>
  <c r="F256" i="92"/>
  <c r="A256" i="92"/>
  <c r="F255" i="92"/>
  <c r="A255" i="92"/>
  <c r="F254" i="92"/>
  <c r="A254" i="92"/>
  <c r="F253" i="92"/>
  <c r="A253" i="92"/>
  <c r="F252" i="92"/>
  <c r="A252" i="92"/>
  <c r="F251" i="92"/>
  <c r="A251" i="92"/>
  <c r="F250" i="92"/>
  <c r="A250" i="92"/>
  <c r="F249" i="92"/>
  <c r="A249" i="92"/>
  <c r="F248" i="92"/>
  <c r="A248" i="92"/>
  <c r="F247" i="92"/>
  <c r="A247" i="92"/>
  <c r="F246" i="92"/>
  <c r="A246" i="92"/>
  <c r="F245" i="92"/>
  <c r="A245" i="92"/>
  <c r="F244" i="92"/>
  <c r="A244" i="92"/>
  <c r="F243" i="92"/>
  <c r="A243" i="92"/>
  <c r="F242" i="92"/>
  <c r="A242" i="92"/>
  <c r="F241" i="92"/>
  <c r="A241" i="92"/>
  <c r="F240" i="92"/>
  <c r="A240" i="92"/>
  <c r="F239" i="92"/>
  <c r="A239" i="92"/>
  <c r="F238" i="92"/>
  <c r="A238" i="92"/>
  <c r="F237" i="92"/>
  <c r="A237" i="92"/>
  <c r="F236" i="92"/>
  <c r="A236" i="92"/>
  <c r="F235" i="92"/>
  <c r="A235" i="92"/>
  <c r="F234" i="92"/>
  <c r="A234" i="92"/>
  <c r="F233" i="92"/>
  <c r="A233" i="92"/>
  <c r="F232" i="92"/>
  <c r="A232" i="92"/>
  <c r="F231" i="92"/>
  <c r="A231" i="92"/>
  <c r="F230" i="92"/>
  <c r="A230" i="92"/>
  <c r="F229" i="92"/>
  <c r="A229" i="92"/>
  <c r="F228" i="92"/>
  <c r="A228" i="92"/>
  <c r="F227" i="92"/>
  <c r="A227" i="92"/>
  <c r="F226" i="92"/>
  <c r="A226" i="92"/>
  <c r="F225" i="92"/>
  <c r="A225" i="92"/>
  <c r="F224" i="92"/>
  <c r="A224" i="92"/>
  <c r="F223" i="92"/>
  <c r="A223" i="92"/>
  <c r="F222" i="92"/>
  <c r="A222" i="92"/>
  <c r="F221" i="92"/>
  <c r="A221" i="92"/>
  <c r="F220" i="92"/>
  <c r="A220" i="92"/>
  <c r="F219" i="92"/>
  <c r="A219" i="92"/>
  <c r="F218" i="92"/>
  <c r="A218" i="92"/>
  <c r="F217" i="92"/>
  <c r="A217" i="92"/>
  <c r="F216" i="92"/>
  <c r="A216" i="92"/>
  <c r="F215" i="92"/>
  <c r="A215" i="92"/>
  <c r="F214" i="92"/>
  <c r="A214" i="92"/>
  <c r="F213" i="92"/>
  <c r="A213" i="92"/>
  <c r="F212" i="92"/>
  <c r="A212" i="92"/>
  <c r="F211" i="92"/>
  <c r="A211" i="92"/>
  <c r="F210" i="92"/>
  <c r="A210" i="92"/>
  <c r="F209" i="92"/>
  <c r="A209" i="92"/>
  <c r="F208" i="92"/>
  <c r="A208" i="92"/>
  <c r="F207" i="92"/>
  <c r="A207" i="92"/>
  <c r="F206" i="92"/>
  <c r="A206" i="92"/>
  <c r="F205" i="92"/>
  <c r="A205" i="92"/>
  <c r="F204" i="92"/>
  <c r="A204" i="92"/>
  <c r="F203" i="92"/>
  <c r="A203" i="92"/>
  <c r="F202" i="92"/>
  <c r="A202" i="92"/>
  <c r="F201" i="92"/>
  <c r="A201" i="92"/>
  <c r="F200" i="92"/>
  <c r="A200" i="92"/>
  <c r="F199" i="92"/>
  <c r="A199" i="92"/>
  <c r="F198" i="92"/>
  <c r="A198" i="92"/>
  <c r="F197" i="92"/>
  <c r="A197" i="92"/>
  <c r="F196" i="92"/>
  <c r="A196" i="92"/>
  <c r="F195" i="92"/>
  <c r="A195" i="92"/>
  <c r="F194" i="92"/>
  <c r="A194" i="92"/>
  <c r="F193" i="92"/>
  <c r="A193" i="92"/>
  <c r="F192" i="92"/>
  <c r="A192" i="92"/>
  <c r="F191" i="92"/>
  <c r="A191" i="92"/>
  <c r="F190" i="92"/>
  <c r="A190" i="92"/>
  <c r="F189" i="92"/>
  <c r="A189" i="92"/>
  <c r="F188" i="92"/>
  <c r="A188" i="92"/>
  <c r="F187" i="92"/>
  <c r="A187" i="92"/>
  <c r="F186" i="92"/>
  <c r="A186" i="92"/>
  <c r="F185" i="92"/>
  <c r="A185" i="92"/>
  <c r="F184" i="92"/>
  <c r="A184" i="92"/>
  <c r="F183" i="92"/>
  <c r="A183" i="92"/>
  <c r="F182" i="92"/>
  <c r="A182" i="92"/>
  <c r="F181" i="92"/>
  <c r="A181" i="92"/>
  <c r="F180" i="92"/>
  <c r="A180" i="92"/>
  <c r="F179" i="92"/>
  <c r="A179" i="92"/>
  <c r="F178" i="92"/>
  <c r="A178" i="92"/>
  <c r="F177" i="92"/>
  <c r="A177" i="92"/>
  <c r="F176" i="92"/>
  <c r="A176" i="92"/>
  <c r="F175" i="92"/>
  <c r="A175" i="92"/>
  <c r="F174" i="92"/>
  <c r="A174" i="92"/>
  <c r="F173" i="92"/>
  <c r="A173" i="92"/>
  <c r="F172" i="92"/>
  <c r="A172" i="92"/>
  <c r="F171" i="92"/>
  <c r="A171" i="92"/>
  <c r="F170" i="92"/>
  <c r="A170" i="92"/>
  <c r="F169" i="92"/>
  <c r="A169" i="92"/>
  <c r="F168" i="92"/>
  <c r="A168" i="92"/>
  <c r="F167" i="92"/>
  <c r="A167" i="92"/>
  <c r="F166" i="92"/>
  <c r="A166" i="92"/>
  <c r="F165" i="92"/>
  <c r="A165" i="92"/>
  <c r="F164" i="92"/>
  <c r="A164" i="92"/>
  <c r="F163" i="92"/>
  <c r="A163" i="92"/>
  <c r="F162" i="92"/>
  <c r="A162" i="92"/>
  <c r="F161" i="92"/>
  <c r="A161" i="92"/>
  <c r="J7" i="92"/>
  <c r="L12" i="92"/>
  <c r="L19" i="92" s="1"/>
  <c r="G17" i="123" s="1"/>
  <c r="K12" i="92"/>
  <c r="K19" i="92" s="1"/>
  <c r="D17" i="123" s="1"/>
  <c r="J12" i="92"/>
  <c r="J19" i="92" s="1"/>
  <c r="L11" i="92"/>
  <c r="L18" i="92" s="1"/>
  <c r="K11" i="92"/>
  <c r="K18" i="92" s="1"/>
  <c r="J11" i="92"/>
  <c r="J18" i="92" s="1"/>
  <c r="L10" i="92"/>
  <c r="K10" i="92"/>
  <c r="J10" i="92"/>
  <c r="L7" i="92"/>
  <c r="L6" i="92"/>
  <c r="K6" i="92"/>
  <c r="J6" i="92"/>
  <c r="L3" i="92"/>
  <c r="L16" i="92" s="1"/>
  <c r="E17" i="123" s="1"/>
  <c r="K3" i="92"/>
  <c r="K16" i="92" s="1"/>
  <c r="B17" i="123" s="1"/>
  <c r="J3" i="92"/>
  <c r="J16" i="92" s="1"/>
  <c r="F339" i="91"/>
  <c r="A339" i="91"/>
  <c r="F338" i="91"/>
  <c r="A338" i="91"/>
  <c r="F337" i="91"/>
  <c r="A337" i="91"/>
  <c r="F336" i="91"/>
  <c r="A336" i="91"/>
  <c r="F335" i="91"/>
  <c r="A335" i="91"/>
  <c r="F334" i="91"/>
  <c r="A334" i="91"/>
  <c r="F333" i="91"/>
  <c r="A333" i="91"/>
  <c r="F332" i="91"/>
  <c r="A332" i="91"/>
  <c r="F331" i="91"/>
  <c r="A331" i="91"/>
  <c r="F330" i="91"/>
  <c r="A330" i="91"/>
  <c r="F329" i="91"/>
  <c r="A329" i="91"/>
  <c r="F328" i="91"/>
  <c r="A328" i="91"/>
  <c r="F327" i="91"/>
  <c r="A327" i="91"/>
  <c r="F326" i="91"/>
  <c r="A326" i="91"/>
  <c r="F325" i="91"/>
  <c r="A325" i="91"/>
  <c r="F324" i="91"/>
  <c r="A324" i="91"/>
  <c r="F323" i="91"/>
  <c r="A323" i="91"/>
  <c r="F322" i="91"/>
  <c r="A322" i="91"/>
  <c r="F321" i="91"/>
  <c r="A321" i="91"/>
  <c r="F320" i="91"/>
  <c r="A320" i="91"/>
  <c r="F319" i="91"/>
  <c r="A319" i="91"/>
  <c r="F318" i="91"/>
  <c r="A318" i="91"/>
  <c r="F317" i="91"/>
  <c r="A317" i="91"/>
  <c r="F316" i="91"/>
  <c r="A316" i="91"/>
  <c r="F315" i="91"/>
  <c r="A315" i="91"/>
  <c r="F314" i="91"/>
  <c r="A314" i="91"/>
  <c r="F313" i="91"/>
  <c r="A313" i="91"/>
  <c r="F312" i="91"/>
  <c r="A312" i="91"/>
  <c r="F311" i="91"/>
  <c r="A311" i="91"/>
  <c r="F310" i="91"/>
  <c r="A310" i="91"/>
  <c r="F309" i="91"/>
  <c r="A309" i="91"/>
  <c r="F308" i="91"/>
  <c r="A308" i="91"/>
  <c r="F307" i="91"/>
  <c r="A307" i="91"/>
  <c r="F306" i="91"/>
  <c r="A306" i="91"/>
  <c r="F305" i="91"/>
  <c r="A305" i="91"/>
  <c r="F304" i="91"/>
  <c r="A304" i="91"/>
  <c r="F303" i="91"/>
  <c r="A303" i="91"/>
  <c r="F302" i="91"/>
  <c r="A302" i="91"/>
  <c r="F301" i="91"/>
  <c r="A301" i="91"/>
  <c r="F300" i="91"/>
  <c r="A300" i="91"/>
  <c r="F299" i="91"/>
  <c r="A299" i="91"/>
  <c r="F298" i="91"/>
  <c r="A298" i="91"/>
  <c r="F297" i="91"/>
  <c r="A297" i="91"/>
  <c r="F296" i="91"/>
  <c r="A296" i="91"/>
  <c r="F295" i="91"/>
  <c r="A295" i="91"/>
  <c r="F294" i="91"/>
  <c r="A294" i="91"/>
  <c r="F293" i="91"/>
  <c r="A293" i="91"/>
  <c r="F292" i="91"/>
  <c r="A292" i="91"/>
  <c r="F291" i="91"/>
  <c r="A291" i="91"/>
  <c r="F290" i="91"/>
  <c r="A290" i="91"/>
  <c r="F289" i="91"/>
  <c r="A289" i="91"/>
  <c r="F288" i="91"/>
  <c r="A288" i="91"/>
  <c r="F287" i="91"/>
  <c r="A287" i="91"/>
  <c r="F286" i="91"/>
  <c r="A286" i="91"/>
  <c r="F285" i="91"/>
  <c r="A285" i="91"/>
  <c r="F284" i="91"/>
  <c r="A284" i="91"/>
  <c r="F283" i="91"/>
  <c r="A283" i="91"/>
  <c r="F282" i="91"/>
  <c r="A282" i="91"/>
  <c r="F281" i="91"/>
  <c r="A281" i="91"/>
  <c r="F280" i="91"/>
  <c r="A280" i="91"/>
  <c r="F279" i="91"/>
  <c r="A279" i="91"/>
  <c r="F278" i="91"/>
  <c r="A278" i="91"/>
  <c r="F277" i="91"/>
  <c r="A277" i="91"/>
  <c r="F276" i="91"/>
  <c r="A276" i="91"/>
  <c r="F275" i="91"/>
  <c r="A275" i="91"/>
  <c r="F274" i="91"/>
  <c r="A274" i="91"/>
  <c r="F273" i="91"/>
  <c r="A273" i="91"/>
  <c r="F272" i="91"/>
  <c r="A272" i="91"/>
  <c r="F271" i="91"/>
  <c r="A271" i="91"/>
  <c r="F270" i="91"/>
  <c r="A270" i="91"/>
  <c r="F269" i="91"/>
  <c r="A269" i="91"/>
  <c r="F268" i="91"/>
  <c r="A268" i="91"/>
  <c r="F267" i="91"/>
  <c r="A267" i="91"/>
  <c r="F266" i="91"/>
  <c r="A266" i="91"/>
  <c r="F265" i="91"/>
  <c r="A265" i="91"/>
  <c r="F264" i="91"/>
  <c r="A264" i="91"/>
  <c r="F263" i="91"/>
  <c r="A263" i="91"/>
  <c r="F262" i="91"/>
  <c r="A262" i="91"/>
  <c r="F261" i="91"/>
  <c r="A261" i="91"/>
  <c r="F260" i="91"/>
  <c r="A260" i="91"/>
  <c r="F259" i="91"/>
  <c r="A259" i="91"/>
  <c r="F258" i="91"/>
  <c r="A258" i="91"/>
  <c r="F257" i="91"/>
  <c r="A257" i="91"/>
  <c r="F256" i="91"/>
  <c r="A256" i="91"/>
  <c r="F255" i="91"/>
  <c r="A255" i="91"/>
  <c r="F254" i="91"/>
  <c r="A254" i="91"/>
  <c r="F253" i="91"/>
  <c r="A253" i="91"/>
  <c r="F252" i="91"/>
  <c r="A252" i="91"/>
  <c r="F251" i="91"/>
  <c r="A251" i="91"/>
  <c r="F250" i="91"/>
  <c r="A250" i="91"/>
  <c r="F249" i="91"/>
  <c r="A249" i="91"/>
  <c r="F248" i="91"/>
  <c r="A248" i="91"/>
  <c r="F247" i="91"/>
  <c r="A247" i="91"/>
  <c r="F246" i="91"/>
  <c r="A246" i="91"/>
  <c r="F245" i="91"/>
  <c r="A245" i="91"/>
  <c r="F244" i="91"/>
  <c r="A244" i="91"/>
  <c r="F243" i="91"/>
  <c r="A243" i="91"/>
  <c r="F242" i="91"/>
  <c r="A242" i="91"/>
  <c r="F241" i="91"/>
  <c r="A241" i="91"/>
  <c r="F240" i="91"/>
  <c r="A240" i="91"/>
  <c r="F239" i="91"/>
  <c r="A239" i="91"/>
  <c r="F238" i="91"/>
  <c r="A238" i="91"/>
  <c r="F237" i="91"/>
  <c r="A237" i="91"/>
  <c r="F236" i="91"/>
  <c r="A236" i="91"/>
  <c r="F235" i="91"/>
  <c r="A235" i="91"/>
  <c r="F234" i="91"/>
  <c r="A234" i="91"/>
  <c r="F233" i="91"/>
  <c r="A233" i="91"/>
  <c r="F232" i="91"/>
  <c r="A232" i="91"/>
  <c r="F231" i="91"/>
  <c r="A231" i="91"/>
  <c r="F230" i="91"/>
  <c r="A230" i="91"/>
  <c r="F229" i="91"/>
  <c r="A229" i="91"/>
  <c r="F228" i="91"/>
  <c r="A228" i="91"/>
  <c r="F227" i="91"/>
  <c r="A227" i="91"/>
  <c r="F226" i="91"/>
  <c r="A226" i="91"/>
  <c r="F225" i="91"/>
  <c r="A225" i="91"/>
  <c r="F224" i="91"/>
  <c r="A224" i="91"/>
  <c r="F223" i="91"/>
  <c r="A223" i="91"/>
  <c r="F222" i="91"/>
  <c r="A222" i="91"/>
  <c r="F221" i="91"/>
  <c r="A221" i="91"/>
  <c r="F220" i="91"/>
  <c r="A220" i="91"/>
  <c r="F219" i="91"/>
  <c r="A219" i="91"/>
  <c r="F218" i="91"/>
  <c r="A218" i="91"/>
  <c r="F217" i="91"/>
  <c r="A217" i="91"/>
  <c r="F216" i="91"/>
  <c r="A216" i="91"/>
  <c r="F215" i="91"/>
  <c r="A215" i="91"/>
  <c r="F214" i="91"/>
  <c r="A214" i="91"/>
  <c r="F213" i="91"/>
  <c r="A213" i="91"/>
  <c r="F212" i="91"/>
  <c r="A212" i="91"/>
  <c r="F211" i="91"/>
  <c r="A211" i="91"/>
  <c r="F210" i="91"/>
  <c r="A210" i="91"/>
  <c r="F209" i="91"/>
  <c r="A209" i="91"/>
  <c r="F208" i="91"/>
  <c r="A208" i="91"/>
  <c r="F207" i="91"/>
  <c r="A207" i="91"/>
  <c r="F206" i="91"/>
  <c r="A206" i="91"/>
  <c r="F205" i="91"/>
  <c r="A205" i="91"/>
  <c r="F204" i="91"/>
  <c r="A204" i="91"/>
  <c r="F203" i="91"/>
  <c r="A203" i="91"/>
  <c r="F202" i="91"/>
  <c r="A202" i="91"/>
  <c r="F201" i="91"/>
  <c r="A201" i="91"/>
  <c r="F200" i="91"/>
  <c r="A200" i="91"/>
  <c r="F199" i="91"/>
  <c r="A199" i="91"/>
  <c r="F198" i="91"/>
  <c r="A198" i="91"/>
  <c r="F197" i="91"/>
  <c r="A197" i="91"/>
  <c r="F196" i="91"/>
  <c r="A196" i="91"/>
  <c r="F195" i="91"/>
  <c r="A195" i="91"/>
  <c r="F194" i="91"/>
  <c r="A194" i="91"/>
  <c r="F193" i="91"/>
  <c r="A193" i="91"/>
  <c r="F192" i="91"/>
  <c r="A192" i="91"/>
  <c r="F191" i="91"/>
  <c r="A191" i="91"/>
  <c r="F190" i="91"/>
  <c r="A190" i="91"/>
  <c r="F189" i="91"/>
  <c r="A189" i="91"/>
  <c r="F188" i="91"/>
  <c r="A188" i="91"/>
  <c r="F187" i="91"/>
  <c r="A187" i="91"/>
  <c r="F186" i="91"/>
  <c r="A186" i="91"/>
  <c r="F185" i="91"/>
  <c r="A185" i="91"/>
  <c r="F184" i="91"/>
  <c r="A184" i="91"/>
  <c r="F183" i="91"/>
  <c r="A183" i="91"/>
  <c r="F182" i="91"/>
  <c r="A182" i="91"/>
  <c r="F181" i="91"/>
  <c r="A181" i="91"/>
  <c r="F180" i="91"/>
  <c r="A180" i="91"/>
  <c r="F179" i="91"/>
  <c r="A179" i="91"/>
  <c r="F178" i="91"/>
  <c r="A178" i="91"/>
  <c r="F177" i="91"/>
  <c r="A177" i="91"/>
  <c r="F176" i="91"/>
  <c r="A176" i="91"/>
  <c r="F175" i="91"/>
  <c r="A175" i="91"/>
  <c r="F174" i="91"/>
  <c r="A174" i="91"/>
  <c r="F173" i="91"/>
  <c r="A173" i="91"/>
  <c r="F172" i="91"/>
  <c r="A172" i="91"/>
  <c r="F171" i="91"/>
  <c r="A171" i="91"/>
  <c r="F170" i="91"/>
  <c r="A170" i="91"/>
  <c r="F169" i="91"/>
  <c r="A169" i="91"/>
  <c r="F168" i="91"/>
  <c r="A168" i="91"/>
  <c r="F167" i="91"/>
  <c r="A167" i="91"/>
  <c r="F166" i="91"/>
  <c r="A166" i="91"/>
  <c r="F165" i="91"/>
  <c r="A165" i="91"/>
  <c r="F164" i="91"/>
  <c r="A164" i="91"/>
  <c r="F163" i="91"/>
  <c r="A163" i="91"/>
  <c r="F162" i="91"/>
  <c r="A162" i="91"/>
  <c r="F161" i="91"/>
  <c r="A161" i="91"/>
  <c r="L7" i="91"/>
  <c r="J7" i="91"/>
  <c r="L12" i="91"/>
  <c r="L19" i="91" s="1"/>
  <c r="G16" i="123" s="1"/>
  <c r="K12" i="91"/>
  <c r="K19" i="91" s="1"/>
  <c r="D16" i="123" s="1"/>
  <c r="J12" i="91"/>
  <c r="J19" i="91" s="1"/>
  <c r="L11" i="91"/>
  <c r="L18" i="91" s="1"/>
  <c r="K11" i="91"/>
  <c r="K18" i="91" s="1"/>
  <c r="J11" i="91"/>
  <c r="J18" i="91" s="1"/>
  <c r="L10" i="91"/>
  <c r="K10" i="91"/>
  <c r="J10" i="91"/>
  <c r="J6" i="91"/>
  <c r="L3" i="91"/>
  <c r="L16" i="91" s="1"/>
  <c r="E16" i="123" s="1"/>
  <c r="K3" i="91"/>
  <c r="K16" i="91" s="1"/>
  <c r="B16" i="123" s="1"/>
  <c r="J3" i="91"/>
  <c r="J16" i="91" s="1"/>
  <c r="F339" i="90"/>
  <c r="A339" i="90"/>
  <c r="F338" i="90"/>
  <c r="A338" i="90"/>
  <c r="F337" i="90"/>
  <c r="A337" i="90"/>
  <c r="F336" i="90"/>
  <c r="A336" i="90"/>
  <c r="F335" i="90"/>
  <c r="A335" i="90"/>
  <c r="F334" i="90"/>
  <c r="A334" i="90"/>
  <c r="F333" i="90"/>
  <c r="A333" i="90"/>
  <c r="F332" i="90"/>
  <c r="A332" i="90"/>
  <c r="F331" i="90"/>
  <c r="A331" i="90"/>
  <c r="F330" i="90"/>
  <c r="A330" i="90"/>
  <c r="F329" i="90"/>
  <c r="A329" i="90"/>
  <c r="F328" i="90"/>
  <c r="A328" i="90"/>
  <c r="F327" i="90"/>
  <c r="A327" i="90"/>
  <c r="F326" i="90"/>
  <c r="A326" i="90"/>
  <c r="F325" i="90"/>
  <c r="A325" i="90"/>
  <c r="F324" i="90"/>
  <c r="A324" i="90"/>
  <c r="F323" i="90"/>
  <c r="A323" i="90"/>
  <c r="F322" i="90"/>
  <c r="A322" i="90"/>
  <c r="F321" i="90"/>
  <c r="A321" i="90"/>
  <c r="F320" i="90"/>
  <c r="A320" i="90"/>
  <c r="F319" i="90"/>
  <c r="A319" i="90"/>
  <c r="F318" i="90"/>
  <c r="A318" i="90"/>
  <c r="F317" i="90"/>
  <c r="A317" i="90"/>
  <c r="F316" i="90"/>
  <c r="A316" i="90"/>
  <c r="F315" i="90"/>
  <c r="A315" i="90"/>
  <c r="F314" i="90"/>
  <c r="A314" i="90"/>
  <c r="F313" i="90"/>
  <c r="A313" i="90"/>
  <c r="F312" i="90"/>
  <c r="A312" i="90"/>
  <c r="F311" i="90"/>
  <c r="A311" i="90"/>
  <c r="F310" i="90"/>
  <c r="A310" i="90"/>
  <c r="F309" i="90"/>
  <c r="A309" i="90"/>
  <c r="F308" i="90"/>
  <c r="A308" i="90"/>
  <c r="F307" i="90"/>
  <c r="A307" i="90"/>
  <c r="F306" i="90"/>
  <c r="A306" i="90"/>
  <c r="F305" i="90"/>
  <c r="A305" i="90"/>
  <c r="F304" i="90"/>
  <c r="A304" i="90"/>
  <c r="F303" i="90"/>
  <c r="A303" i="90"/>
  <c r="F302" i="90"/>
  <c r="A302" i="90"/>
  <c r="F301" i="90"/>
  <c r="A301" i="90"/>
  <c r="F300" i="90"/>
  <c r="A300" i="90"/>
  <c r="F299" i="90"/>
  <c r="A299" i="90"/>
  <c r="F298" i="90"/>
  <c r="A298" i="90"/>
  <c r="F297" i="90"/>
  <c r="A297" i="90"/>
  <c r="F296" i="90"/>
  <c r="A296" i="90"/>
  <c r="F295" i="90"/>
  <c r="A295" i="90"/>
  <c r="F294" i="90"/>
  <c r="A294" i="90"/>
  <c r="F293" i="90"/>
  <c r="A293" i="90"/>
  <c r="F292" i="90"/>
  <c r="A292" i="90"/>
  <c r="F291" i="90"/>
  <c r="A291" i="90"/>
  <c r="F290" i="90"/>
  <c r="A290" i="90"/>
  <c r="F289" i="90"/>
  <c r="A289" i="90"/>
  <c r="F288" i="90"/>
  <c r="A288" i="90"/>
  <c r="F287" i="90"/>
  <c r="A287" i="90"/>
  <c r="F286" i="90"/>
  <c r="A286" i="90"/>
  <c r="F285" i="90"/>
  <c r="A285" i="90"/>
  <c r="F284" i="90"/>
  <c r="A284" i="90"/>
  <c r="F283" i="90"/>
  <c r="A283" i="90"/>
  <c r="F282" i="90"/>
  <c r="A282" i="90"/>
  <c r="F281" i="90"/>
  <c r="A281" i="90"/>
  <c r="F280" i="90"/>
  <c r="A280" i="90"/>
  <c r="F279" i="90"/>
  <c r="A279" i="90"/>
  <c r="F278" i="90"/>
  <c r="A278" i="90"/>
  <c r="F277" i="90"/>
  <c r="A277" i="90"/>
  <c r="F276" i="90"/>
  <c r="A276" i="90"/>
  <c r="F275" i="90"/>
  <c r="A275" i="90"/>
  <c r="F274" i="90"/>
  <c r="A274" i="90"/>
  <c r="F273" i="90"/>
  <c r="A273" i="90"/>
  <c r="F272" i="90"/>
  <c r="A272" i="90"/>
  <c r="F271" i="90"/>
  <c r="A271" i="90"/>
  <c r="F270" i="90"/>
  <c r="A270" i="90"/>
  <c r="F269" i="90"/>
  <c r="A269" i="90"/>
  <c r="F268" i="90"/>
  <c r="A268" i="90"/>
  <c r="F267" i="90"/>
  <c r="A267" i="90"/>
  <c r="F266" i="90"/>
  <c r="A266" i="90"/>
  <c r="F265" i="90"/>
  <c r="A265" i="90"/>
  <c r="F264" i="90"/>
  <c r="A264" i="90"/>
  <c r="F263" i="90"/>
  <c r="A263" i="90"/>
  <c r="F262" i="90"/>
  <c r="A262" i="90"/>
  <c r="F261" i="90"/>
  <c r="A261" i="90"/>
  <c r="F260" i="90"/>
  <c r="A260" i="90"/>
  <c r="F259" i="90"/>
  <c r="A259" i="90"/>
  <c r="F258" i="90"/>
  <c r="A258" i="90"/>
  <c r="F257" i="90"/>
  <c r="A257" i="90"/>
  <c r="F256" i="90"/>
  <c r="A256" i="90"/>
  <c r="F255" i="90"/>
  <c r="A255" i="90"/>
  <c r="F254" i="90"/>
  <c r="A254" i="90"/>
  <c r="F253" i="90"/>
  <c r="A253" i="90"/>
  <c r="F252" i="90"/>
  <c r="A252" i="90"/>
  <c r="F251" i="90"/>
  <c r="A251" i="90"/>
  <c r="F250" i="90"/>
  <c r="A250" i="90"/>
  <c r="F249" i="90"/>
  <c r="A249" i="90"/>
  <c r="F248" i="90"/>
  <c r="A248" i="90"/>
  <c r="F247" i="90"/>
  <c r="A247" i="90"/>
  <c r="F246" i="90"/>
  <c r="A246" i="90"/>
  <c r="F245" i="90"/>
  <c r="A245" i="90"/>
  <c r="F244" i="90"/>
  <c r="A244" i="90"/>
  <c r="F243" i="90"/>
  <c r="A243" i="90"/>
  <c r="F242" i="90"/>
  <c r="A242" i="90"/>
  <c r="F241" i="90"/>
  <c r="A241" i="90"/>
  <c r="F240" i="90"/>
  <c r="A240" i="90"/>
  <c r="F239" i="90"/>
  <c r="A239" i="90"/>
  <c r="F238" i="90"/>
  <c r="A238" i="90"/>
  <c r="F237" i="90"/>
  <c r="A237" i="90"/>
  <c r="F236" i="90"/>
  <c r="A236" i="90"/>
  <c r="F235" i="90"/>
  <c r="A235" i="90"/>
  <c r="F234" i="90"/>
  <c r="A234" i="90"/>
  <c r="F233" i="90"/>
  <c r="A233" i="90"/>
  <c r="F232" i="90"/>
  <c r="A232" i="90"/>
  <c r="F231" i="90"/>
  <c r="A231" i="90"/>
  <c r="F230" i="90"/>
  <c r="A230" i="90"/>
  <c r="F229" i="90"/>
  <c r="A229" i="90"/>
  <c r="F228" i="90"/>
  <c r="A228" i="90"/>
  <c r="F227" i="90"/>
  <c r="A227" i="90"/>
  <c r="F226" i="90"/>
  <c r="A226" i="90"/>
  <c r="F225" i="90"/>
  <c r="A225" i="90"/>
  <c r="F224" i="90"/>
  <c r="A224" i="90"/>
  <c r="F223" i="90"/>
  <c r="A223" i="90"/>
  <c r="F222" i="90"/>
  <c r="A222" i="90"/>
  <c r="F221" i="90"/>
  <c r="A221" i="90"/>
  <c r="F220" i="90"/>
  <c r="A220" i="90"/>
  <c r="F219" i="90"/>
  <c r="A219" i="90"/>
  <c r="F218" i="90"/>
  <c r="A218" i="90"/>
  <c r="F217" i="90"/>
  <c r="A217" i="90"/>
  <c r="F216" i="90"/>
  <c r="A216" i="90"/>
  <c r="F215" i="90"/>
  <c r="A215" i="90"/>
  <c r="F214" i="90"/>
  <c r="A214" i="90"/>
  <c r="F213" i="90"/>
  <c r="A213" i="90"/>
  <c r="F212" i="90"/>
  <c r="A212" i="90"/>
  <c r="F211" i="90"/>
  <c r="A211" i="90"/>
  <c r="F210" i="90"/>
  <c r="A210" i="90"/>
  <c r="F209" i="90"/>
  <c r="A209" i="90"/>
  <c r="F208" i="90"/>
  <c r="A208" i="90"/>
  <c r="F207" i="90"/>
  <c r="A207" i="90"/>
  <c r="F206" i="90"/>
  <c r="A206" i="90"/>
  <c r="F205" i="90"/>
  <c r="A205" i="90"/>
  <c r="F204" i="90"/>
  <c r="A204" i="90"/>
  <c r="F203" i="90"/>
  <c r="A203" i="90"/>
  <c r="F202" i="90"/>
  <c r="A202" i="90"/>
  <c r="F201" i="90"/>
  <c r="A201" i="90"/>
  <c r="F200" i="90"/>
  <c r="A200" i="90"/>
  <c r="F199" i="90"/>
  <c r="A199" i="90"/>
  <c r="F198" i="90"/>
  <c r="A198" i="90"/>
  <c r="F197" i="90"/>
  <c r="A197" i="90"/>
  <c r="F196" i="90"/>
  <c r="A196" i="90"/>
  <c r="F195" i="90"/>
  <c r="A195" i="90"/>
  <c r="F194" i="90"/>
  <c r="A194" i="90"/>
  <c r="F193" i="90"/>
  <c r="A193" i="90"/>
  <c r="F192" i="90"/>
  <c r="A192" i="90"/>
  <c r="F191" i="90"/>
  <c r="A191" i="90"/>
  <c r="F190" i="90"/>
  <c r="A190" i="90"/>
  <c r="F189" i="90"/>
  <c r="A189" i="90"/>
  <c r="F188" i="90"/>
  <c r="A188" i="90"/>
  <c r="F187" i="90"/>
  <c r="A187" i="90"/>
  <c r="F186" i="90"/>
  <c r="A186" i="90"/>
  <c r="F185" i="90"/>
  <c r="A185" i="90"/>
  <c r="F184" i="90"/>
  <c r="A184" i="90"/>
  <c r="F183" i="90"/>
  <c r="A183" i="90"/>
  <c r="F182" i="90"/>
  <c r="A182" i="90"/>
  <c r="F181" i="90"/>
  <c r="A181" i="90"/>
  <c r="F180" i="90"/>
  <c r="A180" i="90"/>
  <c r="F179" i="90"/>
  <c r="A179" i="90"/>
  <c r="F178" i="90"/>
  <c r="A178" i="90"/>
  <c r="F177" i="90"/>
  <c r="A177" i="90"/>
  <c r="F176" i="90"/>
  <c r="A176" i="90"/>
  <c r="F175" i="90"/>
  <c r="A175" i="90"/>
  <c r="F174" i="90"/>
  <c r="A174" i="90"/>
  <c r="F173" i="90"/>
  <c r="A173" i="90"/>
  <c r="F172" i="90"/>
  <c r="A172" i="90"/>
  <c r="F171" i="90"/>
  <c r="A171" i="90"/>
  <c r="F170" i="90"/>
  <c r="A170" i="90"/>
  <c r="F169" i="90"/>
  <c r="A169" i="90"/>
  <c r="F168" i="90"/>
  <c r="A168" i="90"/>
  <c r="F167" i="90"/>
  <c r="A167" i="90"/>
  <c r="F166" i="90"/>
  <c r="A166" i="90"/>
  <c r="F165" i="90"/>
  <c r="A165" i="90"/>
  <c r="F164" i="90"/>
  <c r="A164" i="90"/>
  <c r="F163" i="90"/>
  <c r="A163" i="90"/>
  <c r="F162" i="90"/>
  <c r="A162" i="90"/>
  <c r="F161" i="90"/>
  <c r="A161" i="90"/>
  <c r="L12" i="90"/>
  <c r="L19" i="90" s="1"/>
  <c r="G15" i="123" s="1"/>
  <c r="K12" i="90"/>
  <c r="K19" i="90" s="1"/>
  <c r="D15" i="123" s="1"/>
  <c r="J12" i="90"/>
  <c r="J19" i="90" s="1"/>
  <c r="L11" i="90"/>
  <c r="L18" i="90" s="1"/>
  <c r="K11" i="90"/>
  <c r="K18" i="90" s="1"/>
  <c r="J11" i="90"/>
  <c r="J18" i="90" s="1"/>
  <c r="L10" i="90"/>
  <c r="K10" i="90"/>
  <c r="J10" i="90"/>
  <c r="L6" i="90"/>
  <c r="L7" i="90"/>
  <c r="K7" i="90"/>
  <c r="J7" i="90"/>
  <c r="L3" i="90"/>
  <c r="L16" i="90" s="1"/>
  <c r="E15" i="123" s="1"/>
  <c r="K3" i="90"/>
  <c r="K16" i="90" s="1"/>
  <c r="B15" i="123" s="1"/>
  <c r="J3" i="90"/>
  <c r="J16" i="90" s="1"/>
  <c r="F339" i="89"/>
  <c r="A339" i="89"/>
  <c r="F338" i="89"/>
  <c r="A338" i="89"/>
  <c r="F337" i="89"/>
  <c r="A337" i="89"/>
  <c r="F336" i="89"/>
  <c r="A336" i="89"/>
  <c r="F335" i="89"/>
  <c r="A335" i="89"/>
  <c r="F334" i="89"/>
  <c r="A334" i="89"/>
  <c r="F333" i="89"/>
  <c r="A333" i="89"/>
  <c r="F332" i="89"/>
  <c r="A332" i="89"/>
  <c r="F331" i="89"/>
  <c r="A331" i="89"/>
  <c r="F330" i="89"/>
  <c r="A330" i="89"/>
  <c r="F329" i="89"/>
  <c r="A329" i="89"/>
  <c r="F328" i="89"/>
  <c r="A328" i="89"/>
  <c r="F327" i="89"/>
  <c r="A327" i="89"/>
  <c r="F326" i="89"/>
  <c r="A326" i="89"/>
  <c r="F325" i="89"/>
  <c r="A325" i="89"/>
  <c r="F324" i="89"/>
  <c r="A324" i="89"/>
  <c r="F323" i="89"/>
  <c r="A323" i="89"/>
  <c r="F322" i="89"/>
  <c r="A322" i="89"/>
  <c r="F321" i="89"/>
  <c r="A321" i="89"/>
  <c r="F320" i="89"/>
  <c r="A320" i="89"/>
  <c r="F319" i="89"/>
  <c r="A319" i="89"/>
  <c r="F318" i="89"/>
  <c r="A318" i="89"/>
  <c r="F317" i="89"/>
  <c r="A317" i="89"/>
  <c r="F316" i="89"/>
  <c r="A316" i="89"/>
  <c r="F315" i="89"/>
  <c r="A315" i="89"/>
  <c r="F314" i="89"/>
  <c r="A314" i="89"/>
  <c r="F313" i="89"/>
  <c r="A313" i="89"/>
  <c r="F312" i="89"/>
  <c r="A312" i="89"/>
  <c r="F311" i="89"/>
  <c r="A311" i="89"/>
  <c r="F310" i="89"/>
  <c r="A310" i="89"/>
  <c r="F309" i="89"/>
  <c r="A309" i="89"/>
  <c r="F308" i="89"/>
  <c r="A308" i="89"/>
  <c r="F307" i="89"/>
  <c r="A307" i="89"/>
  <c r="F306" i="89"/>
  <c r="A306" i="89"/>
  <c r="F305" i="89"/>
  <c r="A305" i="89"/>
  <c r="F304" i="89"/>
  <c r="A304" i="89"/>
  <c r="F303" i="89"/>
  <c r="A303" i="89"/>
  <c r="F302" i="89"/>
  <c r="A302" i="89"/>
  <c r="F301" i="89"/>
  <c r="A301" i="89"/>
  <c r="F300" i="89"/>
  <c r="A300" i="89"/>
  <c r="F299" i="89"/>
  <c r="A299" i="89"/>
  <c r="F298" i="89"/>
  <c r="A298" i="89"/>
  <c r="F297" i="89"/>
  <c r="A297" i="89"/>
  <c r="F296" i="89"/>
  <c r="A296" i="89"/>
  <c r="F295" i="89"/>
  <c r="A295" i="89"/>
  <c r="F294" i="89"/>
  <c r="A294" i="89"/>
  <c r="F293" i="89"/>
  <c r="A293" i="89"/>
  <c r="F292" i="89"/>
  <c r="A292" i="89"/>
  <c r="F291" i="89"/>
  <c r="A291" i="89"/>
  <c r="F290" i="89"/>
  <c r="A290" i="89"/>
  <c r="F289" i="89"/>
  <c r="A289" i="89"/>
  <c r="F288" i="89"/>
  <c r="A288" i="89"/>
  <c r="F287" i="89"/>
  <c r="A287" i="89"/>
  <c r="F286" i="89"/>
  <c r="A286" i="89"/>
  <c r="F285" i="89"/>
  <c r="A285" i="89"/>
  <c r="F284" i="89"/>
  <c r="A284" i="89"/>
  <c r="F283" i="89"/>
  <c r="A283" i="89"/>
  <c r="F282" i="89"/>
  <c r="A282" i="89"/>
  <c r="F281" i="89"/>
  <c r="A281" i="89"/>
  <c r="F280" i="89"/>
  <c r="A280" i="89"/>
  <c r="F279" i="89"/>
  <c r="A279" i="89"/>
  <c r="F278" i="89"/>
  <c r="A278" i="89"/>
  <c r="F277" i="89"/>
  <c r="A277" i="89"/>
  <c r="F276" i="89"/>
  <c r="A276" i="89"/>
  <c r="F275" i="89"/>
  <c r="A275" i="89"/>
  <c r="F274" i="89"/>
  <c r="A274" i="89"/>
  <c r="F273" i="89"/>
  <c r="A273" i="89"/>
  <c r="F272" i="89"/>
  <c r="A272" i="89"/>
  <c r="F271" i="89"/>
  <c r="A271" i="89"/>
  <c r="F270" i="89"/>
  <c r="A270" i="89"/>
  <c r="F269" i="89"/>
  <c r="A269" i="89"/>
  <c r="F268" i="89"/>
  <c r="A268" i="89"/>
  <c r="F267" i="89"/>
  <c r="A267" i="89"/>
  <c r="F266" i="89"/>
  <c r="A266" i="89"/>
  <c r="F265" i="89"/>
  <c r="A265" i="89"/>
  <c r="F264" i="89"/>
  <c r="A264" i="89"/>
  <c r="F263" i="89"/>
  <c r="A263" i="89"/>
  <c r="F262" i="89"/>
  <c r="A262" i="89"/>
  <c r="F261" i="89"/>
  <c r="A261" i="89"/>
  <c r="F260" i="89"/>
  <c r="A260" i="89"/>
  <c r="F259" i="89"/>
  <c r="A259" i="89"/>
  <c r="F258" i="89"/>
  <c r="A258" i="89"/>
  <c r="F257" i="89"/>
  <c r="A257" i="89"/>
  <c r="F256" i="89"/>
  <c r="A256" i="89"/>
  <c r="F255" i="89"/>
  <c r="A255" i="89"/>
  <c r="F254" i="89"/>
  <c r="A254" i="89"/>
  <c r="F253" i="89"/>
  <c r="A253" i="89"/>
  <c r="F252" i="89"/>
  <c r="A252" i="89"/>
  <c r="F251" i="89"/>
  <c r="A251" i="89"/>
  <c r="F250" i="89"/>
  <c r="A250" i="89"/>
  <c r="F249" i="89"/>
  <c r="A249" i="89"/>
  <c r="F248" i="89"/>
  <c r="A248" i="89"/>
  <c r="F247" i="89"/>
  <c r="A247" i="89"/>
  <c r="F246" i="89"/>
  <c r="A246" i="89"/>
  <c r="F245" i="89"/>
  <c r="A245" i="89"/>
  <c r="F244" i="89"/>
  <c r="A244" i="89"/>
  <c r="F243" i="89"/>
  <c r="A243" i="89"/>
  <c r="F242" i="89"/>
  <c r="A242" i="89"/>
  <c r="F241" i="89"/>
  <c r="A241" i="89"/>
  <c r="F240" i="89"/>
  <c r="A240" i="89"/>
  <c r="F239" i="89"/>
  <c r="A239" i="89"/>
  <c r="F238" i="89"/>
  <c r="A238" i="89"/>
  <c r="F237" i="89"/>
  <c r="A237" i="89"/>
  <c r="F236" i="89"/>
  <c r="A236" i="89"/>
  <c r="F235" i="89"/>
  <c r="A235" i="89"/>
  <c r="F234" i="89"/>
  <c r="A234" i="89"/>
  <c r="F233" i="89"/>
  <c r="A233" i="89"/>
  <c r="F232" i="89"/>
  <c r="A232" i="89"/>
  <c r="F231" i="89"/>
  <c r="A231" i="89"/>
  <c r="F230" i="89"/>
  <c r="A230" i="89"/>
  <c r="F229" i="89"/>
  <c r="A229" i="89"/>
  <c r="F228" i="89"/>
  <c r="A228" i="89"/>
  <c r="F227" i="89"/>
  <c r="A227" i="89"/>
  <c r="F226" i="89"/>
  <c r="A226" i="89"/>
  <c r="F225" i="89"/>
  <c r="A225" i="89"/>
  <c r="F224" i="89"/>
  <c r="A224" i="89"/>
  <c r="F223" i="89"/>
  <c r="A223" i="89"/>
  <c r="F222" i="89"/>
  <c r="A222" i="89"/>
  <c r="F221" i="89"/>
  <c r="A221" i="89"/>
  <c r="F220" i="89"/>
  <c r="A220" i="89"/>
  <c r="F219" i="89"/>
  <c r="A219" i="89"/>
  <c r="F218" i="89"/>
  <c r="A218" i="89"/>
  <c r="F217" i="89"/>
  <c r="A217" i="89"/>
  <c r="F216" i="89"/>
  <c r="A216" i="89"/>
  <c r="F215" i="89"/>
  <c r="A215" i="89"/>
  <c r="F214" i="89"/>
  <c r="A214" i="89"/>
  <c r="F213" i="89"/>
  <c r="A213" i="89"/>
  <c r="F212" i="89"/>
  <c r="A212" i="89"/>
  <c r="F211" i="89"/>
  <c r="A211" i="89"/>
  <c r="F210" i="89"/>
  <c r="A210" i="89"/>
  <c r="F209" i="89"/>
  <c r="A209" i="89"/>
  <c r="F208" i="89"/>
  <c r="A208" i="89"/>
  <c r="F207" i="89"/>
  <c r="A207" i="89"/>
  <c r="F206" i="89"/>
  <c r="A206" i="89"/>
  <c r="F205" i="89"/>
  <c r="A205" i="89"/>
  <c r="F204" i="89"/>
  <c r="A204" i="89"/>
  <c r="F203" i="89"/>
  <c r="A203" i="89"/>
  <c r="F202" i="89"/>
  <c r="A202" i="89"/>
  <c r="F201" i="89"/>
  <c r="A201" i="89"/>
  <c r="F200" i="89"/>
  <c r="A200" i="89"/>
  <c r="F199" i="89"/>
  <c r="A199" i="89"/>
  <c r="F198" i="89"/>
  <c r="A198" i="89"/>
  <c r="F197" i="89"/>
  <c r="A197" i="89"/>
  <c r="F196" i="89"/>
  <c r="A196" i="89"/>
  <c r="F195" i="89"/>
  <c r="A195" i="89"/>
  <c r="F194" i="89"/>
  <c r="A194" i="89"/>
  <c r="F193" i="89"/>
  <c r="A193" i="89"/>
  <c r="F192" i="89"/>
  <c r="A192" i="89"/>
  <c r="F191" i="89"/>
  <c r="A191" i="89"/>
  <c r="F190" i="89"/>
  <c r="A190" i="89"/>
  <c r="F189" i="89"/>
  <c r="A189" i="89"/>
  <c r="F188" i="89"/>
  <c r="A188" i="89"/>
  <c r="F187" i="89"/>
  <c r="A187" i="89"/>
  <c r="F186" i="89"/>
  <c r="A186" i="89"/>
  <c r="F185" i="89"/>
  <c r="A185" i="89"/>
  <c r="F184" i="89"/>
  <c r="A184" i="89"/>
  <c r="F183" i="89"/>
  <c r="A183" i="89"/>
  <c r="F182" i="89"/>
  <c r="A182" i="89"/>
  <c r="F181" i="89"/>
  <c r="A181" i="89"/>
  <c r="F180" i="89"/>
  <c r="A180" i="89"/>
  <c r="F179" i="89"/>
  <c r="A179" i="89"/>
  <c r="F178" i="89"/>
  <c r="A178" i="89"/>
  <c r="F177" i="89"/>
  <c r="A177" i="89"/>
  <c r="F176" i="89"/>
  <c r="A176" i="89"/>
  <c r="F175" i="89"/>
  <c r="A175" i="89"/>
  <c r="F174" i="89"/>
  <c r="A174" i="89"/>
  <c r="F173" i="89"/>
  <c r="A173" i="89"/>
  <c r="F172" i="89"/>
  <c r="A172" i="89"/>
  <c r="F171" i="89"/>
  <c r="A171" i="89"/>
  <c r="F170" i="89"/>
  <c r="A170" i="89"/>
  <c r="F169" i="89"/>
  <c r="A169" i="89"/>
  <c r="F168" i="89"/>
  <c r="A168" i="89"/>
  <c r="F167" i="89"/>
  <c r="A167" i="89"/>
  <c r="F166" i="89"/>
  <c r="A166" i="89"/>
  <c r="F165" i="89"/>
  <c r="A165" i="89"/>
  <c r="F164" i="89"/>
  <c r="A164" i="89"/>
  <c r="F163" i="89"/>
  <c r="A163" i="89"/>
  <c r="F162" i="89"/>
  <c r="A162" i="89"/>
  <c r="F161" i="89"/>
  <c r="A161" i="89"/>
  <c r="L6" i="89"/>
  <c r="K6" i="89"/>
  <c r="J7" i="89"/>
  <c r="L12" i="89"/>
  <c r="L19" i="89" s="1"/>
  <c r="G14" i="123" s="1"/>
  <c r="K12" i="89"/>
  <c r="K19" i="89" s="1"/>
  <c r="D14" i="123" s="1"/>
  <c r="J12" i="89"/>
  <c r="J19" i="89" s="1"/>
  <c r="L11" i="89"/>
  <c r="L18" i="89" s="1"/>
  <c r="K11" i="89"/>
  <c r="K18" i="89" s="1"/>
  <c r="J11" i="89"/>
  <c r="J18" i="89" s="1"/>
  <c r="L10" i="89"/>
  <c r="K10" i="89"/>
  <c r="J10" i="89"/>
  <c r="L7" i="89"/>
  <c r="J6" i="89"/>
  <c r="L3" i="89"/>
  <c r="L16" i="89" s="1"/>
  <c r="E14" i="123" s="1"/>
  <c r="K3" i="89"/>
  <c r="K16" i="89" s="1"/>
  <c r="B14" i="123" s="1"/>
  <c r="J3" i="89"/>
  <c r="J16" i="89" s="1"/>
  <c r="F339" i="88"/>
  <c r="A339" i="88"/>
  <c r="F338" i="88"/>
  <c r="A338" i="88"/>
  <c r="F337" i="88"/>
  <c r="A337" i="88"/>
  <c r="F336" i="88"/>
  <c r="A336" i="88"/>
  <c r="F335" i="88"/>
  <c r="A335" i="88"/>
  <c r="F334" i="88"/>
  <c r="A334" i="88"/>
  <c r="F333" i="88"/>
  <c r="A333" i="88"/>
  <c r="F332" i="88"/>
  <c r="A332" i="88"/>
  <c r="F331" i="88"/>
  <c r="A331" i="88"/>
  <c r="F330" i="88"/>
  <c r="A330" i="88"/>
  <c r="F329" i="88"/>
  <c r="A329" i="88"/>
  <c r="F328" i="88"/>
  <c r="A328" i="88"/>
  <c r="F327" i="88"/>
  <c r="A327" i="88"/>
  <c r="F326" i="88"/>
  <c r="A326" i="88"/>
  <c r="F325" i="88"/>
  <c r="A325" i="88"/>
  <c r="F324" i="88"/>
  <c r="A324" i="88"/>
  <c r="F323" i="88"/>
  <c r="A323" i="88"/>
  <c r="F322" i="88"/>
  <c r="A322" i="88"/>
  <c r="F321" i="88"/>
  <c r="A321" i="88"/>
  <c r="F320" i="88"/>
  <c r="A320" i="88"/>
  <c r="F319" i="88"/>
  <c r="A319" i="88"/>
  <c r="F318" i="88"/>
  <c r="A318" i="88"/>
  <c r="F317" i="88"/>
  <c r="A317" i="88"/>
  <c r="F316" i="88"/>
  <c r="A316" i="88"/>
  <c r="F315" i="88"/>
  <c r="A315" i="88"/>
  <c r="F314" i="88"/>
  <c r="A314" i="88"/>
  <c r="F313" i="88"/>
  <c r="A313" i="88"/>
  <c r="F312" i="88"/>
  <c r="A312" i="88"/>
  <c r="F311" i="88"/>
  <c r="A311" i="88"/>
  <c r="F310" i="88"/>
  <c r="A310" i="88"/>
  <c r="F309" i="88"/>
  <c r="A309" i="88"/>
  <c r="F308" i="88"/>
  <c r="A308" i="88"/>
  <c r="F307" i="88"/>
  <c r="A307" i="88"/>
  <c r="F306" i="88"/>
  <c r="A306" i="88"/>
  <c r="F305" i="88"/>
  <c r="A305" i="88"/>
  <c r="F304" i="88"/>
  <c r="A304" i="88"/>
  <c r="F303" i="88"/>
  <c r="A303" i="88"/>
  <c r="F302" i="88"/>
  <c r="A302" i="88"/>
  <c r="F301" i="88"/>
  <c r="A301" i="88"/>
  <c r="F300" i="88"/>
  <c r="A300" i="88"/>
  <c r="F299" i="88"/>
  <c r="A299" i="88"/>
  <c r="F298" i="88"/>
  <c r="A298" i="88"/>
  <c r="F297" i="88"/>
  <c r="A297" i="88"/>
  <c r="F296" i="88"/>
  <c r="A296" i="88"/>
  <c r="F295" i="88"/>
  <c r="A295" i="88"/>
  <c r="F294" i="88"/>
  <c r="A294" i="88"/>
  <c r="F293" i="88"/>
  <c r="A293" i="88"/>
  <c r="F292" i="88"/>
  <c r="A292" i="88"/>
  <c r="F291" i="88"/>
  <c r="A291" i="88"/>
  <c r="F290" i="88"/>
  <c r="A290" i="88"/>
  <c r="F289" i="88"/>
  <c r="A289" i="88"/>
  <c r="F288" i="88"/>
  <c r="A288" i="88"/>
  <c r="F287" i="88"/>
  <c r="A287" i="88"/>
  <c r="F286" i="88"/>
  <c r="A286" i="88"/>
  <c r="F285" i="88"/>
  <c r="A285" i="88"/>
  <c r="F284" i="88"/>
  <c r="A284" i="88"/>
  <c r="F283" i="88"/>
  <c r="A283" i="88"/>
  <c r="F282" i="88"/>
  <c r="A282" i="88"/>
  <c r="F281" i="88"/>
  <c r="A281" i="88"/>
  <c r="F280" i="88"/>
  <c r="A280" i="88"/>
  <c r="F279" i="88"/>
  <c r="A279" i="88"/>
  <c r="F278" i="88"/>
  <c r="A278" i="88"/>
  <c r="F277" i="88"/>
  <c r="A277" i="88"/>
  <c r="F276" i="88"/>
  <c r="A276" i="88"/>
  <c r="F275" i="88"/>
  <c r="A275" i="88"/>
  <c r="F274" i="88"/>
  <c r="A274" i="88"/>
  <c r="F273" i="88"/>
  <c r="A273" i="88"/>
  <c r="F272" i="88"/>
  <c r="A272" i="88"/>
  <c r="F271" i="88"/>
  <c r="A271" i="88"/>
  <c r="F270" i="88"/>
  <c r="A270" i="88"/>
  <c r="F269" i="88"/>
  <c r="A269" i="88"/>
  <c r="F268" i="88"/>
  <c r="A268" i="88"/>
  <c r="F267" i="88"/>
  <c r="A267" i="88"/>
  <c r="F266" i="88"/>
  <c r="A266" i="88"/>
  <c r="F265" i="88"/>
  <c r="A265" i="88"/>
  <c r="F264" i="88"/>
  <c r="A264" i="88"/>
  <c r="F263" i="88"/>
  <c r="A263" i="88"/>
  <c r="F262" i="88"/>
  <c r="A262" i="88"/>
  <c r="F261" i="88"/>
  <c r="A261" i="88"/>
  <c r="F260" i="88"/>
  <c r="A260" i="88"/>
  <c r="F259" i="88"/>
  <c r="A259" i="88"/>
  <c r="F258" i="88"/>
  <c r="A258" i="88"/>
  <c r="F257" i="88"/>
  <c r="A257" i="88"/>
  <c r="F256" i="88"/>
  <c r="A256" i="88"/>
  <c r="F255" i="88"/>
  <c r="A255" i="88"/>
  <c r="F254" i="88"/>
  <c r="A254" i="88"/>
  <c r="F253" i="88"/>
  <c r="A253" i="88"/>
  <c r="F252" i="88"/>
  <c r="A252" i="88"/>
  <c r="F251" i="88"/>
  <c r="A251" i="88"/>
  <c r="F250" i="88"/>
  <c r="A250" i="88"/>
  <c r="F249" i="88"/>
  <c r="A249" i="88"/>
  <c r="F248" i="88"/>
  <c r="A248" i="88"/>
  <c r="F247" i="88"/>
  <c r="A247" i="88"/>
  <c r="F246" i="88"/>
  <c r="A246" i="88"/>
  <c r="F245" i="88"/>
  <c r="A245" i="88"/>
  <c r="F244" i="88"/>
  <c r="A244" i="88"/>
  <c r="F243" i="88"/>
  <c r="A243" i="88"/>
  <c r="F242" i="88"/>
  <c r="A242" i="88"/>
  <c r="F241" i="88"/>
  <c r="A241" i="88"/>
  <c r="F240" i="88"/>
  <c r="A240" i="88"/>
  <c r="F239" i="88"/>
  <c r="A239" i="88"/>
  <c r="F238" i="88"/>
  <c r="A238" i="88"/>
  <c r="F237" i="88"/>
  <c r="A237" i="88"/>
  <c r="F236" i="88"/>
  <c r="A236" i="88"/>
  <c r="F235" i="88"/>
  <c r="A235" i="88"/>
  <c r="F234" i="88"/>
  <c r="A234" i="88"/>
  <c r="F233" i="88"/>
  <c r="A233" i="88"/>
  <c r="F232" i="88"/>
  <c r="A232" i="88"/>
  <c r="F231" i="88"/>
  <c r="A231" i="88"/>
  <c r="F230" i="88"/>
  <c r="A230" i="88"/>
  <c r="F229" i="88"/>
  <c r="A229" i="88"/>
  <c r="F228" i="88"/>
  <c r="A228" i="88"/>
  <c r="F227" i="88"/>
  <c r="A227" i="88"/>
  <c r="F226" i="88"/>
  <c r="A226" i="88"/>
  <c r="F225" i="88"/>
  <c r="A225" i="88"/>
  <c r="F224" i="88"/>
  <c r="A224" i="88"/>
  <c r="F223" i="88"/>
  <c r="A223" i="88"/>
  <c r="F222" i="88"/>
  <c r="A222" i="88"/>
  <c r="F221" i="88"/>
  <c r="A221" i="88"/>
  <c r="F220" i="88"/>
  <c r="A220" i="88"/>
  <c r="F219" i="88"/>
  <c r="A219" i="88"/>
  <c r="F218" i="88"/>
  <c r="A218" i="88"/>
  <c r="F217" i="88"/>
  <c r="A217" i="88"/>
  <c r="F216" i="88"/>
  <c r="A216" i="88"/>
  <c r="F215" i="88"/>
  <c r="A215" i="88"/>
  <c r="F214" i="88"/>
  <c r="A214" i="88"/>
  <c r="F213" i="88"/>
  <c r="A213" i="88"/>
  <c r="F212" i="88"/>
  <c r="A212" i="88"/>
  <c r="F211" i="88"/>
  <c r="A211" i="88"/>
  <c r="F210" i="88"/>
  <c r="A210" i="88"/>
  <c r="F209" i="88"/>
  <c r="A209" i="88"/>
  <c r="F208" i="88"/>
  <c r="A208" i="88"/>
  <c r="F207" i="88"/>
  <c r="A207" i="88"/>
  <c r="F206" i="88"/>
  <c r="A206" i="88"/>
  <c r="F205" i="88"/>
  <c r="A205" i="88"/>
  <c r="F204" i="88"/>
  <c r="A204" i="88"/>
  <c r="F203" i="88"/>
  <c r="A203" i="88"/>
  <c r="F202" i="88"/>
  <c r="A202" i="88"/>
  <c r="F201" i="88"/>
  <c r="A201" i="88"/>
  <c r="F200" i="88"/>
  <c r="A200" i="88"/>
  <c r="F199" i="88"/>
  <c r="A199" i="88"/>
  <c r="F198" i="88"/>
  <c r="A198" i="88"/>
  <c r="F197" i="88"/>
  <c r="A197" i="88"/>
  <c r="F196" i="88"/>
  <c r="A196" i="88"/>
  <c r="F195" i="88"/>
  <c r="A195" i="88"/>
  <c r="F194" i="88"/>
  <c r="A194" i="88"/>
  <c r="F193" i="88"/>
  <c r="A193" i="88"/>
  <c r="F192" i="88"/>
  <c r="A192" i="88"/>
  <c r="F191" i="88"/>
  <c r="A191" i="88"/>
  <c r="F190" i="88"/>
  <c r="A190" i="88"/>
  <c r="F189" i="88"/>
  <c r="A189" i="88"/>
  <c r="F188" i="88"/>
  <c r="A188" i="88"/>
  <c r="F187" i="88"/>
  <c r="A187" i="88"/>
  <c r="F186" i="88"/>
  <c r="A186" i="88"/>
  <c r="F185" i="88"/>
  <c r="A185" i="88"/>
  <c r="F184" i="88"/>
  <c r="A184" i="88"/>
  <c r="F183" i="88"/>
  <c r="A183" i="88"/>
  <c r="F182" i="88"/>
  <c r="A182" i="88"/>
  <c r="F181" i="88"/>
  <c r="A181" i="88"/>
  <c r="F180" i="88"/>
  <c r="A180" i="88"/>
  <c r="F179" i="88"/>
  <c r="A179" i="88"/>
  <c r="F178" i="88"/>
  <c r="A178" i="88"/>
  <c r="F177" i="88"/>
  <c r="A177" i="88"/>
  <c r="F176" i="88"/>
  <c r="A176" i="88"/>
  <c r="F175" i="88"/>
  <c r="A175" i="88"/>
  <c r="F174" i="88"/>
  <c r="A174" i="88"/>
  <c r="F173" i="88"/>
  <c r="A173" i="88"/>
  <c r="F172" i="88"/>
  <c r="A172" i="88"/>
  <c r="F171" i="88"/>
  <c r="A171" i="88"/>
  <c r="F170" i="88"/>
  <c r="A170" i="88"/>
  <c r="F169" i="88"/>
  <c r="A169" i="88"/>
  <c r="F168" i="88"/>
  <c r="A168" i="88"/>
  <c r="F167" i="88"/>
  <c r="A167" i="88"/>
  <c r="F166" i="88"/>
  <c r="A166" i="88"/>
  <c r="F165" i="88"/>
  <c r="A165" i="88"/>
  <c r="F164" i="88"/>
  <c r="A164" i="88"/>
  <c r="F163" i="88"/>
  <c r="A163" i="88"/>
  <c r="F162" i="88"/>
  <c r="A162" i="88"/>
  <c r="F161" i="88"/>
  <c r="A161" i="88"/>
  <c r="L7" i="88"/>
  <c r="L6" i="88"/>
  <c r="J6" i="88"/>
  <c r="L12" i="88"/>
  <c r="L19" i="88" s="1"/>
  <c r="G13" i="123" s="1"/>
  <c r="K12" i="88"/>
  <c r="K19" i="88" s="1"/>
  <c r="D13" i="123" s="1"/>
  <c r="J12" i="88"/>
  <c r="J19" i="88" s="1"/>
  <c r="L11" i="88"/>
  <c r="L18" i="88" s="1"/>
  <c r="K11" i="88"/>
  <c r="K18" i="88" s="1"/>
  <c r="J11" i="88"/>
  <c r="J18" i="88" s="1"/>
  <c r="L10" i="88"/>
  <c r="K10" i="88"/>
  <c r="J10" i="88"/>
  <c r="J7" i="88"/>
  <c r="L3" i="88"/>
  <c r="L16" i="88" s="1"/>
  <c r="E13" i="123" s="1"/>
  <c r="K3" i="88"/>
  <c r="K16" i="88" s="1"/>
  <c r="B13" i="123" s="1"/>
  <c r="J3" i="88"/>
  <c r="J16" i="88" s="1"/>
  <c r="F338" i="87"/>
  <c r="A338" i="87"/>
  <c r="F337" i="87"/>
  <c r="A337" i="87"/>
  <c r="F336" i="87"/>
  <c r="A336" i="87"/>
  <c r="F335" i="87"/>
  <c r="A335" i="87"/>
  <c r="F334" i="87"/>
  <c r="A334" i="87"/>
  <c r="F333" i="87"/>
  <c r="A333" i="87"/>
  <c r="F332" i="87"/>
  <c r="A332" i="87"/>
  <c r="F331" i="87"/>
  <c r="A331" i="87"/>
  <c r="F330" i="87"/>
  <c r="A330" i="87"/>
  <c r="F329" i="87"/>
  <c r="A329" i="87"/>
  <c r="F328" i="87"/>
  <c r="A328" i="87"/>
  <c r="F327" i="87"/>
  <c r="A327" i="87"/>
  <c r="F326" i="87"/>
  <c r="A326" i="87"/>
  <c r="F325" i="87"/>
  <c r="A325" i="87"/>
  <c r="F324" i="87"/>
  <c r="A324" i="87"/>
  <c r="F323" i="87"/>
  <c r="A323" i="87"/>
  <c r="F322" i="87"/>
  <c r="A322" i="87"/>
  <c r="F321" i="87"/>
  <c r="A321" i="87"/>
  <c r="F320" i="87"/>
  <c r="A320" i="87"/>
  <c r="F319" i="87"/>
  <c r="A319" i="87"/>
  <c r="F318" i="87"/>
  <c r="A318" i="87"/>
  <c r="F317" i="87"/>
  <c r="A317" i="87"/>
  <c r="F316" i="87"/>
  <c r="A316" i="87"/>
  <c r="F315" i="87"/>
  <c r="A315" i="87"/>
  <c r="F314" i="87"/>
  <c r="A314" i="87"/>
  <c r="F313" i="87"/>
  <c r="A313" i="87"/>
  <c r="F312" i="87"/>
  <c r="A312" i="87"/>
  <c r="F311" i="87"/>
  <c r="A311" i="87"/>
  <c r="F310" i="87"/>
  <c r="A310" i="87"/>
  <c r="F309" i="87"/>
  <c r="A309" i="87"/>
  <c r="F308" i="87"/>
  <c r="A308" i="87"/>
  <c r="F307" i="87"/>
  <c r="A307" i="87"/>
  <c r="F306" i="87"/>
  <c r="A306" i="87"/>
  <c r="F305" i="87"/>
  <c r="A305" i="87"/>
  <c r="F304" i="87"/>
  <c r="A304" i="87"/>
  <c r="F303" i="87"/>
  <c r="A303" i="87"/>
  <c r="F302" i="87"/>
  <c r="A302" i="87"/>
  <c r="F301" i="87"/>
  <c r="A301" i="87"/>
  <c r="F300" i="87"/>
  <c r="A300" i="87"/>
  <c r="F299" i="87"/>
  <c r="A299" i="87"/>
  <c r="F298" i="87"/>
  <c r="A298" i="87"/>
  <c r="F297" i="87"/>
  <c r="A297" i="87"/>
  <c r="F296" i="87"/>
  <c r="A296" i="87"/>
  <c r="F295" i="87"/>
  <c r="A295" i="87"/>
  <c r="F294" i="87"/>
  <c r="A294" i="87"/>
  <c r="F293" i="87"/>
  <c r="A293" i="87"/>
  <c r="F292" i="87"/>
  <c r="A292" i="87"/>
  <c r="F291" i="87"/>
  <c r="A291" i="87"/>
  <c r="F290" i="87"/>
  <c r="A290" i="87"/>
  <c r="F289" i="87"/>
  <c r="A289" i="87"/>
  <c r="F288" i="87"/>
  <c r="A288" i="87"/>
  <c r="F287" i="87"/>
  <c r="A287" i="87"/>
  <c r="F286" i="87"/>
  <c r="A286" i="87"/>
  <c r="F285" i="87"/>
  <c r="A285" i="87"/>
  <c r="F284" i="87"/>
  <c r="A284" i="87"/>
  <c r="F283" i="87"/>
  <c r="A283" i="87"/>
  <c r="F282" i="87"/>
  <c r="A282" i="87"/>
  <c r="F281" i="87"/>
  <c r="A281" i="87"/>
  <c r="F280" i="87"/>
  <c r="A280" i="87"/>
  <c r="F279" i="87"/>
  <c r="A279" i="87"/>
  <c r="F278" i="87"/>
  <c r="A278" i="87"/>
  <c r="F277" i="87"/>
  <c r="A277" i="87"/>
  <c r="F276" i="87"/>
  <c r="A276" i="87"/>
  <c r="F275" i="87"/>
  <c r="A275" i="87"/>
  <c r="F274" i="87"/>
  <c r="A274" i="87"/>
  <c r="F273" i="87"/>
  <c r="A273" i="87"/>
  <c r="F272" i="87"/>
  <c r="A272" i="87"/>
  <c r="F271" i="87"/>
  <c r="A271" i="87"/>
  <c r="F270" i="87"/>
  <c r="A270" i="87"/>
  <c r="F269" i="87"/>
  <c r="A269" i="87"/>
  <c r="F268" i="87"/>
  <c r="A268" i="87"/>
  <c r="F267" i="87"/>
  <c r="A267" i="87"/>
  <c r="F266" i="87"/>
  <c r="A266" i="87"/>
  <c r="F265" i="87"/>
  <c r="A265" i="87"/>
  <c r="F264" i="87"/>
  <c r="A264" i="87"/>
  <c r="F263" i="87"/>
  <c r="A263" i="87"/>
  <c r="F262" i="87"/>
  <c r="A262" i="87"/>
  <c r="F261" i="87"/>
  <c r="A261" i="87"/>
  <c r="F260" i="87"/>
  <c r="A260" i="87"/>
  <c r="F259" i="87"/>
  <c r="A259" i="87"/>
  <c r="F258" i="87"/>
  <c r="A258" i="87"/>
  <c r="F257" i="87"/>
  <c r="A257" i="87"/>
  <c r="F256" i="87"/>
  <c r="A256" i="87"/>
  <c r="F255" i="87"/>
  <c r="A255" i="87"/>
  <c r="F254" i="87"/>
  <c r="A254" i="87"/>
  <c r="F253" i="87"/>
  <c r="A253" i="87"/>
  <c r="F252" i="87"/>
  <c r="A252" i="87"/>
  <c r="F251" i="87"/>
  <c r="A251" i="87"/>
  <c r="F250" i="87"/>
  <c r="A250" i="87"/>
  <c r="F249" i="87"/>
  <c r="A249" i="87"/>
  <c r="F248" i="87"/>
  <c r="A248" i="87"/>
  <c r="F247" i="87"/>
  <c r="A247" i="87"/>
  <c r="F246" i="87"/>
  <c r="A246" i="87"/>
  <c r="F245" i="87"/>
  <c r="A245" i="87"/>
  <c r="F244" i="87"/>
  <c r="A244" i="87"/>
  <c r="F243" i="87"/>
  <c r="A243" i="87"/>
  <c r="F242" i="87"/>
  <c r="A242" i="87"/>
  <c r="F241" i="87"/>
  <c r="A241" i="87"/>
  <c r="F240" i="87"/>
  <c r="A240" i="87"/>
  <c r="F239" i="87"/>
  <c r="A239" i="87"/>
  <c r="F238" i="87"/>
  <c r="A238" i="87"/>
  <c r="F237" i="87"/>
  <c r="A237" i="87"/>
  <c r="F236" i="87"/>
  <c r="A236" i="87"/>
  <c r="F235" i="87"/>
  <c r="A235" i="87"/>
  <c r="F234" i="87"/>
  <c r="A234" i="87"/>
  <c r="F233" i="87"/>
  <c r="A233" i="87"/>
  <c r="F232" i="87"/>
  <c r="A232" i="87"/>
  <c r="F231" i="87"/>
  <c r="A231" i="87"/>
  <c r="F230" i="87"/>
  <c r="A230" i="87"/>
  <c r="F229" i="87"/>
  <c r="A229" i="87"/>
  <c r="F228" i="87"/>
  <c r="A228" i="87"/>
  <c r="F227" i="87"/>
  <c r="A227" i="87"/>
  <c r="F226" i="87"/>
  <c r="A226" i="87"/>
  <c r="F225" i="87"/>
  <c r="A225" i="87"/>
  <c r="F224" i="87"/>
  <c r="A224" i="87"/>
  <c r="F223" i="87"/>
  <c r="A223" i="87"/>
  <c r="F222" i="87"/>
  <c r="A222" i="87"/>
  <c r="F221" i="87"/>
  <c r="A221" i="87"/>
  <c r="F220" i="87"/>
  <c r="A220" i="87"/>
  <c r="F219" i="87"/>
  <c r="A219" i="87"/>
  <c r="F218" i="87"/>
  <c r="A218" i="87"/>
  <c r="F217" i="87"/>
  <c r="A217" i="87"/>
  <c r="F216" i="87"/>
  <c r="A216" i="87"/>
  <c r="F215" i="87"/>
  <c r="A215" i="87"/>
  <c r="F214" i="87"/>
  <c r="A214" i="87"/>
  <c r="F213" i="87"/>
  <c r="A213" i="87"/>
  <c r="F212" i="87"/>
  <c r="A212" i="87"/>
  <c r="F211" i="87"/>
  <c r="A211" i="87"/>
  <c r="F210" i="87"/>
  <c r="A210" i="87"/>
  <c r="F209" i="87"/>
  <c r="A209" i="87"/>
  <c r="F208" i="87"/>
  <c r="A208" i="87"/>
  <c r="F207" i="87"/>
  <c r="A207" i="87"/>
  <c r="F206" i="87"/>
  <c r="A206" i="87"/>
  <c r="F205" i="87"/>
  <c r="A205" i="87"/>
  <c r="F204" i="87"/>
  <c r="A204" i="87"/>
  <c r="F203" i="87"/>
  <c r="A203" i="87"/>
  <c r="F202" i="87"/>
  <c r="A202" i="87"/>
  <c r="F201" i="87"/>
  <c r="A201" i="87"/>
  <c r="F200" i="87"/>
  <c r="A200" i="87"/>
  <c r="F199" i="87"/>
  <c r="A199" i="87"/>
  <c r="F198" i="87"/>
  <c r="A198" i="87"/>
  <c r="F197" i="87"/>
  <c r="A197" i="87"/>
  <c r="F196" i="87"/>
  <c r="A196" i="87"/>
  <c r="F195" i="87"/>
  <c r="A195" i="87"/>
  <c r="F194" i="87"/>
  <c r="A194" i="87"/>
  <c r="F193" i="87"/>
  <c r="A193" i="87"/>
  <c r="F192" i="87"/>
  <c r="A192" i="87"/>
  <c r="F191" i="87"/>
  <c r="A191" i="87"/>
  <c r="F190" i="87"/>
  <c r="A190" i="87"/>
  <c r="F189" i="87"/>
  <c r="A189" i="87"/>
  <c r="F188" i="87"/>
  <c r="A188" i="87"/>
  <c r="F187" i="87"/>
  <c r="A187" i="87"/>
  <c r="F186" i="87"/>
  <c r="A186" i="87"/>
  <c r="F185" i="87"/>
  <c r="A185" i="87"/>
  <c r="F184" i="87"/>
  <c r="A184" i="87"/>
  <c r="F183" i="87"/>
  <c r="A183" i="87"/>
  <c r="F182" i="87"/>
  <c r="A182" i="87"/>
  <c r="F181" i="87"/>
  <c r="A181" i="87"/>
  <c r="F180" i="87"/>
  <c r="A180" i="87"/>
  <c r="F179" i="87"/>
  <c r="A179" i="87"/>
  <c r="F178" i="87"/>
  <c r="A178" i="87"/>
  <c r="F177" i="87"/>
  <c r="A177" i="87"/>
  <c r="F176" i="87"/>
  <c r="A176" i="87"/>
  <c r="F175" i="87"/>
  <c r="A175" i="87"/>
  <c r="F174" i="87"/>
  <c r="A174" i="87"/>
  <c r="F173" i="87"/>
  <c r="A173" i="87"/>
  <c r="F172" i="87"/>
  <c r="A172" i="87"/>
  <c r="F171" i="87"/>
  <c r="A171" i="87"/>
  <c r="F170" i="87"/>
  <c r="A170" i="87"/>
  <c r="F169" i="87"/>
  <c r="A169" i="87"/>
  <c r="F168" i="87"/>
  <c r="A168" i="87"/>
  <c r="F167" i="87"/>
  <c r="A167" i="87"/>
  <c r="F166" i="87"/>
  <c r="A166" i="87"/>
  <c r="F165" i="87"/>
  <c r="A165" i="87"/>
  <c r="F164" i="87"/>
  <c r="A164" i="87"/>
  <c r="F163" i="87"/>
  <c r="A163" i="87"/>
  <c r="F162" i="87"/>
  <c r="A162" i="87"/>
  <c r="F161" i="87"/>
  <c r="A161" i="87"/>
  <c r="L12" i="87"/>
  <c r="L18" i="87" s="1"/>
  <c r="G12" i="123" s="1"/>
  <c r="K12" i="87"/>
  <c r="K18" i="87" s="1"/>
  <c r="D12" i="123" s="1"/>
  <c r="J12" i="87"/>
  <c r="J18" i="87" s="1"/>
  <c r="L11" i="87"/>
  <c r="L17" i="87" s="1"/>
  <c r="K11" i="87"/>
  <c r="K17" i="87" s="1"/>
  <c r="J11" i="87"/>
  <c r="J17" i="87" s="1"/>
  <c r="L10" i="87"/>
  <c r="K10" i="87"/>
  <c r="J10" i="87"/>
  <c r="L7" i="87"/>
  <c r="J7" i="87"/>
  <c r="L6" i="87"/>
  <c r="L3" i="87"/>
  <c r="L15" i="87" s="1"/>
  <c r="E12" i="123" s="1"/>
  <c r="K3" i="87"/>
  <c r="K15" i="87" s="1"/>
  <c r="B12" i="123" s="1"/>
  <c r="J3" i="87"/>
  <c r="J15" i="87" s="1"/>
  <c r="F339" i="86"/>
  <c r="A339" i="86"/>
  <c r="F338" i="86"/>
  <c r="A338" i="86"/>
  <c r="F337" i="86"/>
  <c r="A337" i="86"/>
  <c r="F336" i="86"/>
  <c r="A336" i="86"/>
  <c r="F335" i="86"/>
  <c r="A335" i="86"/>
  <c r="F334" i="86"/>
  <c r="A334" i="86"/>
  <c r="F333" i="86"/>
  <c r="A333" i="86"/>
  <c r="F332" i="86"/>
  <c r="A332" i="86"/>
  <c r="F331" i="86"/>
  <c r="A331" i="86"/>
  <c r="F330" i="86"/>
  <c r="A330" i="86"/>
  <c r="F329" i="86"/>
  <c r="A329" i="86"/>
  <c r="F328" i="86"/>
  <c r="A328" i="86"/>
  <c r="F327" i="86"/>
  <c r="A327" i="86"/>
  <c r="F326" i="86"/>
  <c r="A326" i="86"/>
  <c r="F325" i="86"/>
  <c r="A325" i="86"/>
  <c r="F324" i="86"/>
  <c r="A324" i="86"/>
  <c r="F323" i="86"/>
  <c r="A323" i="86"/>
  <c r="F322" i="86"/>
  <c r="A322" i="86"/>
  <c r="F321" i="86"/>
  <c r="A321" i="86"/>
  <c r="F320" i="86"/>
  <c r="A320" i="86"/>
  <c r="F319" i="86"/>
  <c r="A319" i="86"/>
  <c r="F318" i="86"/>
  <c r="A318" i="86"/>
  <c r="F317" i="86"/>
  <c r="A317" i="86"/>
  <c r="F316" i="86"/>
  <c r="A316" i="86"/>
  <c r="F315" i="86"/>
  <c r="A315" i="86"/>
  <c r="F314" i="86"/>
  <c r="A314" i="86"/>
  <c r="F313" i="86"/>
  <c r="A313" i="86"/>
  <c r="F312" i="86"/>
  <c r="A312" i="86"/>
  <c r="F311" i="86"/>
  <c r="A311" i="86"/>
  <c r="F310" i="86"/>
  <c r="A310" i="86"/>
  <c r="F309" i="86"/>
  <c r="A309" i="86"/>
  <c r="F308" i="86"/>
  <c r="A308" i="86"/>
  <c r="F307" i="86"/>
  <c r="A307" i="86"/>
  <c r="F306" i="86"/>
  <c r="A306" i="86"/>
  <c r="F305" i="86"/>
  <c r="A305" i="86"/>
  <c r="F304" i="86"/>
  <c r="A304" i="86"/>
  <c r="F303" i="86"/>
  <c r="A303" i="86"/>
  <c r="F302" i="86"/>
  <c r="A302" i="86"/>
  <c r="F301" i="86"/>
  <c r="A301" i="86"/>
  <c r="F300" i="86"/>
  <c r="A300" i="86"/>
  <c r="F299" i="86"/>
  <c r="A299" i="86"/>
  <c r="F298" i="86"/>
  <c r="A298" i="86"/>
  <c r="F297" i="86"/>
  <c r="A297" i="86"/>
  <c r="F296" i="86"/>
  <c r="A296" i="86"/>
  <c r="F295" i="86"/>
  <c r="A295" i="86"/>
  <c r="F294" i="86"/>
  <c r="A294" i="86"/>
  <c r="F293" i="86"/>
  <c r="A293" i="86"/>
  <c r="F292" i="86"/>
  <c r="A292" i="86"/>
  <c r="F291" i="86"/>
  <c r="A291" i="86"/>
  <c r="F290" i="86"/>
  <c r="A290" i="86"/>
  <c r="F289" i="86"/>
  <c r="A289" i="86"/>
  <c r="F288" i="86"/>
  <c r="A288" i="86"/>
  <c r="F287" i="86"/>
  <c r="A287" i="86"/>
  <c r="F286" i="86"/>
  <c r="A286" i="86"/>
  <c r="F285" i="86"/>
  <c r="A285" i="86"/>
  <c r="F284" i="86"/>
  <c r="A284" i="86"/>
  <c r="F283" i="86"/>
  <c r="A283" i="86"/>
  <c r="F282" i="86"/>
  <c r="A282" i="86"/>
  <c r="F281" i="86"/>
  <c r="A281" i="86"/>
  <c r="F280" i="86"/>
  <c r="A280" i="86"/>
  <c r="F279" i="86"/>
  <c r="A279" i="86"/>
  <c r="F278" i="86"/>
  <c r="A278" i="86"/>
  <c r="F277" i="86"/>
  <c r="A277" i="86"/>
  <c r="F276" i="86"/>
  <c r="A276" i="86"/>
  <c r="F275" i="86"/>
  <c r="A275" i="86"/>
  <c r="F274" i="86"/>
  <c r="A274" i="86"/>
  <c r="F273" i="86"/>
  <c r="A273" i="86"/>
  <c r="F272" i="86"/>
  <c r="A272" i="86"/>
  <c r="F271" i="86"/>
  <c r="A271" i="86"/>
  <c r="F270" i="86"/>
  <c r="A270" i="86"/>
  <c r="F269" i="86"/>
  <c r="A269" i="86"/>
  <c r="F268" i="86"/>
  <c r="A268" i="86"/>
  <c r="F267" i="86"/>
  <c r="A267" i="86"/>
  <c r="F266" i="86"/>
  <c r="A266" i="86"/>
  <c r="F265" i="86"/>
  <c r="A265" i="86"/>
  <c r="F264" i="86"/>
  <c r="A264" i="86"/>
  <c r="F263" i="86"/>
  <c r="A263" i="86"/>
  <c r="F262" i="86"/>
  <c r="A262" i="86"/>
  <c r="F261" i="86"/>
  <c r="A261" i="86"/>
  <c r="F260" i="86"/>
  <c r="A260" i="86"/>
  <c r="F259" i="86"/>
  <c r="A259" i="86"/>
  <c r="F258" i="86"/>
  <c r="A258" i="86"/>
  <c r="F257" i="86"/>
  <c r="A257" i="86"/>
  <c r="F256" i="86"/>
  <c r="A256" i="86"/>
  <c r="F255" i="86"/>
  <c r="A255" i="86"/>
  <c r="F254" i="86"/>
  <c r="A254" i="86"/>
  <c r="F253" i="86"/>
  <c r="A253" i="86"/>
  <c r="F252" i="86"/>
  <c r="A252" i="86"/>
  <c r="F251" i="86"/>
  <c r="A251" i="86"/>
  <c r="F250" i="86"/>
  <c r="A250" i="86"/>
  <c r="F249" i="86"/>
  <c r="A249" i="86"/>
  <c r="F248" i="86"/>
  <c r="A248" i="86"/>
  <c r="F247" i="86"/>
  <c r="A247" i="86"/>
  <c r="F246" i="86"/>
  <c r="A246" i="86"/>
  <c r="F245" i="86"/>
  <c r="A245" i="86"/>
  <c r="F244" i="86"/>
  <c r="A244" i="86"/>
  <c r="F243" i="86"/>
  <c r="A243" i="86"/>
  <c r="F242" i="86"/>
  <c r="A242" i="86"/>
  <c r="F241" i="86"/>
  <c r="A241" i="86"/>
  <c r="F240" i="86"/>
  <c r="A240" i="86"/>
  <c r="F239" i="86"/>
  <c r="A239" i="86"/>
  <c r="F238" i="86"/>
  <c r="A238" i="86"/>
  <c r="F237" i="86"/>
  <c r="A237" i="86"/>
  <c r="F236" i="86"/>
  <c r="A236" i="86"/>
  <c r="F235" i="86"/>
  <c r="A235" i="86"/>
  <c r="F234" i="86"/>
  <c r="A234" i="86"/>
  <c r="F233" i="86"/>
  <c r="A233" i="86"/>
  <c r="F232" i="86"/>
  <c r="A232" i="86"/>
  <c r="F231" i="86"/>
  <c r="A231" i="86"/>
  <c r="F230" i="86"/>
  <c r="A230" i="86"/>
  <c r="F229" i="86"/>
  <c r="A229" i="86"/>
  <c r="F228" i="86"/>
  <c r="A228" i="86"/>
  <c r="F227" i="86"/>
  <c r="A227" i="86"/>
  <c r="F226" i="86"/>
  <c r="A226" i="86"/>
  <c r="F225" i="86"/>
  <c r="A225" i="86"/>
  <c r="F224" i="86"/>
  <c r="A224" i="86"/>
  <c r="F223" i="86"/>
  <c r="A223" i="86"/>
  <c r="F222" i="86"/>
  <c r="A222" i="86"/>
  <c r="F221" i="86"/>
  <c r="A221" i="86"/>
  <c r="F220" i="86"/>
  <c r="A220" i="86"/>
  <c r="F219" i="86"/>
  <c r="A219" i="86"/>
  <c r="F218" i="86"/>
  <c r="A218" i="86"/>
  <c r="F217" i="86"/>
  <c r="A217" i="86"/>
  <c r="F216" i="86"/>
  <c r="A216" i="86"/>
  <c r="F215" i="86"/>
  <c r="A215" i="86"/>
  <c r="F214" i="86"/>
  <c r="A214" i="86"/>
  <c r="F213" i="86"/>
  <c r="A213" i="86"/>
  <c r="F212" i="86"/>
  <c r="A212" i="86"/>
  <c r="F211" i="86"/>
  <c r="A211" i="86"/>
  <c r="F210" i="86"/>
  <c r="A210" i="86"/>
  <c r="F209" i="86"/>
  <c r="A209" i="86"/>
  <c r="F208" i="86"/>
  <c r="A208" i="86"/>
  <c r="F207" i="86"/>
  <c r="A207" i="86"/>
  <c r="F206" i="86"/>
  <c r="A206" i="86"/>
  <c r="F205" i="86"/>
  <c r="A205" i="86"/>
  <c r="F204" i="86"/>
  <c r="A204" i="86"/>
  <c r="F203" i="86"/>
  <c r="A203" i="86"/>
  <c r="F202" i="86"/>
  <c r="A202" i="86"/>
  <c r="F201" i="86"/>
  <c r="A201" i="86"/>
  <c r="F200" i="86"/>
  <c r="A200" i="86"/>
  <c r="F199" i="86"/>
  <c r="A199" i="86"/>
  <c r="F198" i="86"/>
  <c r="A198" i="86"/>
  <c r="F197" i="86"/>
  <c r="A197" i="86"/>
  <c r="F196" i="86"/>
  <c r="A196" i="86"/>
  <c r="F195" i="86"/>
  <c r="A195" i="86"/>
  <c r="F194" i="86"/>
  <c r="A194" i="86"/>
  <c r="F193" i="86"/>
  <c r="A193" i="86"/>
  <c r="F192" i="86"/>
  <c r="A192" i="86"/>
  <c r="F191" i="86"/>
  <c r="A191" i="86"/>
  <c r="F190" i="86"/>
  <c r="A190" i="86"/>
  <c r="F189" i="86"/>
  <c r="A189" i="86"/>
  <c r="F188" i="86"/>
  <c r="A188" i="86"/>
  <c r="F187" i="86"/>
  <c r="A187" i="86"/>
  <c r="F186" i="86"/>
  <c r="A186" i="86"/>
  <c r="F185" i="86"/>
  <c r="A185" i="86"/>
  <c r="F184" i="86"/>
  <c r="A184" i="86"/>
  <c r="F183" i="86"/>
  <c r="A183" i="86"/>
  <c r="F182" i="86"/>
  <c r="A182" i="86"/>
  <c r="F181" i="86"/>
  <c r="A181" i="86"/>
  <c r="F180" i="86"/>
  <c r="A180" i="86"/>
  <c r="F179" i="86"/>
  <c r="A179" i="86"/>
  <c r="F178" i="86"/>
  <c r="A178" i="86"/>
  <c r="F177" i="86"/>
  <c r="A177" i="86"/>
  <c r="F176" i="86"/>
  <c r="A176" i="86"/>
  <c r="F175" i="86"/>
  <c r="A175" i="86"/>
  <c r="F174" i="86"/>
  <c r="A174" i="86"/>
  <c r="F173" i="86"/>
  <c r="A173" i="86"/>
  <c r="F172" i="86"/>
  <c r="A172" i="86"/>
  <c r="F171" i="86"/>
  <c r="A171" i="86"/>
  <c r="F170" i="86"/>
  <c r="A170" i="86"/>
  <c r="F169" i="86"/>
  <c r="A169" i="86"/>
  <c r="F168" i="86"/>
  <c r="A168" i="86"/>
  <c r="F167" i="86"/>
  <c r="A167" i="86"/>
  <c r="F166" i="86"/>
  <c r="A166" i="86"/>
  <c r="F165" i="86"/>
  <c r="A165" i="86"/>
  <c r="F164" i="86"/>
  <c r="A164" i="86"/>
  <c r="F163" i="86"/>
  <c r="A163" i="86"/>
  <c r="F162" i="86"/>
  <c r="A162" i="86"/>
  <c r="F161" i="86"/>
  <c r="A161" i="86"/>
  <c r="L5" i="86"/>
  <c r="L4" i="86"/>
  <c r="L12" i="86"/>
  <c r="L19" i="86" s="1"/>
  <c r="G11" i="123" s="1"/>
  <c r="K12" i="86"/>
  <c r="K19" i="86" s="1"/>
  <c r="D11" i="123" s="1"/>
  <c r="J12" i="86"/>
  <c r="J19" i="86" s="1"/>
  <c r="L11" i="86"/>
  <c r="L18" i="86" s="1"/>
  <c r="K11" i="86"/>
  <c r="K18" i="86" s="1"/>
  <c r="J11" i="86"/>
  <c r="J18" i="86" s="1"/>
  <c r="L10" i="86"/>
  <c r="K10" i="86"/>
  <c r="J10" i="86"/>
  <c r="L7" i="86"/>
  <c r="K7" i="86"/>
  <c r="J7" i="86"/>
  <c r="L6" i="86"/>
  <c r="K6" i="86"/>
  <c r="J6" i="86"/>
  <c r="J4" i="86"/>
  <c r="F339" i="85"/>
  <c r="A339" i="85"/>
  <c r="F338" i="85"/>
  <c r="A338" i="85"/>
  <c r="F337" i="85"/>
  <c r="A337" i="85"/>
  <c r="F336" i="85"/>
  <c r="A336" i="85"/>
  <c r="F335" i="85"/>
  <c r="A335" i="85"/>
  <c r="F334" i="85"/>
  <c r="A334" i="85"/>
  <c r="F333" i="85"/>
  <c r="A333" i="85"/>
  <c r="F332" i="85"/>
  <c r="A332" i="85"/>
  <c r="F331" i="85"/>
  <c r="A331" i="85"/>
  <c r="F330" i="85"/>
  <c r="A330" i="85"/>
  <c r="F329" i="85"/>
  <c r="A329" i="85"/>
  <c r="F328" i="85"/>
  <c r="A328" i="85"/>
  <c r="F327" i="85"/>
  <c r="A327" i="85"/>
  <c r="F326" i="85"/>
  <c r="A326" i="85"/>
  <c r="F325" i="85"/>
  <c r="A325" i="85"/>
  <c r="F324" i="85"/>
  <c r="A324" i="85"/>
  <c r="F323" i="85"/>
  <c r="A323" i="85"/>
  <c r="F322" i="85"/>
  <c r="A322" i="85"/>
  <c r="F321" i="85"/>
  <c r="A321" i="85"/>
  <c r="F320" i="85"/>
  <c r="A320" i="85"/>
  <c r="F319" i="85"/>
  <c r="A319" i="85"/>
  <c r="F318" i="85"/>
  <c r="A318" i="85"/>
  <c r="F317" i="85"/>
  <c r="A317" i="85"/>
  <c r="F316" i="85"/>
  <c r="A316" i="85"/>
  <c r="F315" i="85"/>
  <c r="A315" i="85"/>
  <c r="F314" i="85"/>
  <c r="A314" i="85"/>
  <c r="F313" i="85"/>
  <c r="A313" i="85"/>
  <c r="F312" i="85"/>
  <c r="A312" i="85"/>
  <c r="F311" i="85"/>
  <c r="A311" i="85"/>
  <c r="F310" i="85"/>
  <c r="A310" i="85"/>
  <c r="F309" i="85"/>
  <c r="A309" i="85"/>
  <c r="F308" i="85"/>
  <c r="A308" i="85"/>
  <c r="F307" i="85"/>
  <c r="A307" i="85"/>
  <c r="F306" i="85"/>
  <c r="A306" i="85"/>
  <c r="F305" i="85"/>
  <c r="A305" i="85"/>
  <c r="F304" i="85"/>
  <c r="A304" i="85"/>
  <c r="F303" i="85"/>
  <c r="A303" i="85"/>
  <c r="F302" i="85"/>
  <c r="A302" i="85"/>
  <c r="F301" i="85"/>
  <c r="A301" i="85"/>
  <c r="F300" i="85"/>
  <c r="A300" i="85"/>
  <c r="F299" i="85"/>
  <c r="A299" i="85"/>
  <c r="F298" i="85"/>
  <c r="A298" i="85"/>
  <c r="F297" i="85"/>
  <c r="A297" i="85"/>
  <c r="F296" i="85"/>
  <c r="A296" i="85"/>
  <c r="F295" i="85"/>
  <c r="A295" i="85"/>
  <c r="F294" i="85"/>
  <c r="A294" i="85"/>
  <c r="F293" i="85"/>
  <c r="A293" i="85"/>
  <c r="F292" i="85"/>
  <c r="A292" i="85"/>
  <c r="F291" i="85"/>
  <c r="A291" i="85"/>
  <c r="F290" i="85"/>
  <c r="A290" i="85"/>
  <c r="F289" i="85"/>
  <c r="A289" i="85"/>
  <c r="F288" i="85"/>
  <c r="A288" i="85"/>
  <c r="F287" i="85"/>
  <c r="A287" i="85"/>
  <c r="F286" i="85"/>
  <c r="A286" i="85"/>
  <c r="F285" i="85"/>
  <c r="A285" i="85"/>
  <c r="F284" i="85"/>
  <c r="A284" i="85"/>
  <c r="F283" i="85"/>
  <c r="A283" i="85"/>
  <c r="F282" i="85"/>
  <c r="A282" i="85"/>
  <c r="F281" i="85"/>
  <c r="A281" i="85"/>
  <c r="F280" i="85"/>
  <c r="A280" i="85"/>
  <c r="F279" i="85"/>
  <c r="A279" i="85"/>
  <c r="F278" i="85"/>
  <c r="A278" i="85"/>
  <c r="F277" i="85"/>
  <c r="A277" i="85"/>
  <c r="F276" i="85"/>
  <c r="A276" i="85"/>
  <c r="F275" i="85"/>
  <c r="A275" i="85"/>
  <c r="F274" i="85"/>
  <c r="A274" i="85"/>
  <c r="F273" i="85"/>
  <c r="A273" i="85"/>
  <c r="F272" i="85"/>
  <c r="A272" i="85"/>
  <c r="F271" i="85"/>
  <c r="A271" i="85"/>
  <c r="F270" i="85"/>
  <c r="A270" i="85"/>
  <c r="F269" i="85"/>
  <c r="A269" i="85"/>
  <c r="F268" i="85"/>
  <c r="A268" i="85"/>
  <c r="F267" i="85"/>
  <c r="A267" i="85"/>
  <c r="F266" i="85"/>
  <c r="A266" i="85"/>
  <c r="F265" i="85"/>
  <c r="A265" i="85"/>
  <c r="F264" i="85"/>
  <c r="A264" i="85"/>
  <c r="F263" i="85"/>
  <c r="A263" i="85"/>
  <c r="F262" i="85"/>
  <c r="A262" i="85"/>
  <c r="F261" i="85"/>
  <c r="A261" i="85"/>
  <c r="F260" i="85"/>
  <c r="A260" i="85"/>
  <c r="F259" i="85"/>
  <c r="A259" i="85"/>
  <c r="F258" i="85"/>
  <c r="A258" i="85"/>
  <c r="F257" i="85"/>
  <c r="A257" i="85"/>
  <c r="F256" i="85"/>
  <c r="A256" i="85"/>
  <c r="F255" i="85"/>
  <c r="A255" i="85"/>
  <c r="F254" i="85"/>
  <c r="A254" i="85"/>
  <c r="F253" i="85"/>
  <c r="A253" i="85"/>
  <c r="F252" i="85"/>
  <c r="A252" i="85"/>
  <c r="F251" i="85"/>
  <c r="A251" i="85"/>
  <c r="F250" i="85"/>
  <c r="A250" i="85"/>
  <c r="F249" i="85"/>
  <c r="A249" i="85"/>
  <c r="F248" i="85"/>
  <c r="A248" i="85"/>
  <c r="F247" i="85"/>
  <c r="A247" i="85"/>
  <c r="F246" i="85"/>
  <c r="A246" i="85"/>
  <c r="F245" i="85"/>
  <c r="A245" i="85"/>
  <c r="F244" i="85"/>
  <c r="A244" i="85"/>
  <c r="F243" i="85"/>
  <c r="A243" i="85"/>
  <c r="F242" i="85"/>
  <c r="A242" i="85"/>
  <c r="F241" i="85"/>
  <c r="A241" i="85"/>
  <c r="F240" i="85"/>
  <c r="A240" i="85"/>
  <c r="F239" i="85"/>
  <c r="A239" i="85"/>
  <c r="F238" i="85"/>
  <c r="A238" i="85"/>
  <c r="F237" i="85"/>
  <c r="A237" i="85"/>
  <c r="F236" i="85"/>
  <c r="A236" i="85"/>
  <c r="F235" i="85"/>
  <c r="A235" i="85"/>
  <c r="F234" i="85"/>
  <c r="A234" i="85"/>
  <c r="F233" i="85"/>
  <c r="A233" i="85"/>
  <c r="F232" i="85"/>
  <c r="A232" i="85"/>
  <c r="F231" i="85"/>
  <c r="A231" i="85"/>
  <c r="F230" i="85"/>
  <c r="A230" i="85"/>
  <c r="F229" i="85"/>
  <c r="A229" i="85"/>
  <c r="F228" i="85"/>
  <c r="A228" i="85"/>
  <c r="F227" i="85"/>
  <c r="A227" i="85"/>
  <c r="F226" i="85"/>
  <c r="A226" i="85"/>
  <c r="F225" i="85"/>
  <c r="A225" i="85"/>
  <c r="F224" i="85"/>
  <c r="A224" i="85"/>
  <c r="F223" i="85"/>
  <c r="A223" i="85"/>
  <c r="F222" i="85"/>
  <c r="A222" i="85"/>
  <c r="F221" i="85"/>
  <c r="A221" i="85"/>
  <c r="F220" i="85"/>
  <c r="A220" i="85"/>
  <c r="F219" i="85"/>
  <c r="A219" i="85"/>
  <c r="F218" i="85"/>
  <c r="A218" i="85"/>
  <c r="F217" i="85"/>
  <c r="A217" i="85"/>
  <c r="F216" i="85"/>
  <c r="A216" i="85"/>
  <c r="F215" i="85"/>
  <c r="A215" i="85"/>
  <c r="F214" i="85"/>
  <c r="A214" i="85"/>
  <c r="F213" i="85"/>
  <c r="A213" i="85"/>
  <c r="F212" i="85"/>
  <c r="A212" i="85"/>
  <c r="F211" i="85"/>
  <c r="A211" i="85"/>
  <c r="F210" i="85"/>
  <c r="A210" i="85"/>
  <c r="F209" i="85"/>
  <c r="A209" i="85"/>
  <c r="F208" i="85"/>
  <c r="A208" i="85"/>
  <c r="F207" i="85"/>
  <c r="A207" i="85"/>
  <c r="F206" i="85"/>
  <c r="A206" i="85"/>
  <c r="F205" i="85"/>
  <c r="A205" i="85"/>
  <c r="F204" i="85"/>
  <c r="A204" i="85"/>
  <c r="F203" i="85"/>
  <c r="A203" i="85"/>
  <c r="F202" i="85"/>
  <c r="A202" i="85"/>
  <c r="F201" i="85"/>
  <c r="A201" i="85"/>
  <c r="F200" i="85"/>
  <c r="A200" i="85"/>
  <c r="F199" i="85"/>
  <c r="A199" i="85"/>
  <c r="F198" i="85"/>
  <c r="A198" i="85"/>
  <c r="F197" i="85"/>
  <c r="A197" i="85"/>
  <c r="F196" i="85"/>
  <c r="A196" i="85"/>
  <c r="F195" i="85"/>
  <c r="A195" i="85"/>
  <c r="F194" i="85"/>
  <c r="A194" i="85"/>
  <c r="F193" i="85"/>
  <c r="A193" i="85"/>
  <c r="F192" i="85"/>
  <c r="A192" i="85"/>
  <c r="F191" i="85"/>
  <c r="A191" i="85"/>
  <c r="F190" i="85"/>
  <c r="A190" i="85"/>
  <c r="F189" i="85"/>
  <c r="A189" i="85"/>
  <c r="F188" i="85"/>
  <c r="A188" i="85"/>
  <c r="F187" i="85"/>
  <c r="A187" i="85"/>
  <c r="F186" i="85"/>
  <c r="A186" i="85"/>
  <c r="F185" i="85"/>
  <c r="A185" i="85"/>
  <c r="F184" i="85"/>
  <c r="A184" i="85"/>
  <c r="F183" i="85"/>
  <c r="A183" i="85"/>
  <c r="F182" i="85"/>
  <c r="A182" i="85"/>
  <c r="F181" i="85"/>
  <c r="A181" i="85"/>
  <c r="F180" i="85"/>
  <c r="A180" i="85"/>
  <c r="F179" i="85"/>
  <c r="A179" i="85"/>
  <c r="F178" i="85"/>
  <c r="A178" i="85"/>
  <c r="F177" i="85"/>
  <c r="A177" i="85"/>
  <c r="F176" i="85"/>
  <c r="A176" i="85"/>
  <c r="F175" i="85"/>
  <c r="A175" i="85"/>
  <c r="F174" i="85"/>
  <c r="A174" i="85"/>
  <c r="F173" i="85"/>
  <c r="A173" i="85"/>
  <c r="F172" i="85"/>
  <c r="A172" i="85"/>
  <c r="F171" i="85"/>
  <c r="A171" i="85"/>
  <c r="F170" i="85"/>
  <c r="A170" i="85"/>
  <c r="F169" i="85"/>
  <c r="A169" i="85"/>
  <c r="F168" i="85"/>
  <c r="A168" i="85"/>
  <c r="F167" i="85"/>
  <c r="A167" i="85"/>
  <c r="F166" i="85"/>
  <c r="A166" i="85"/>
  <c r="F165" i="85"/>
  <c r="A165" i="85"/>
  <c r="F164" i="85"/>
  <c r="A164" i="85"/>
  <c r="F163" i="85"/>
  <c r="A163" i="85"/>
  <c r="F162" i="85"/>
  <c r="A162" i="85"/>
  <c r="F161" i="85"/>
  <c r="A161" i="85"/>
  <c r="L12" i="85"/>
  <c r="L19" i="85" s="1"/>
  <c r="G10" i="123" s="1"/>
  <c r="K12" i="85"/>
  <c r="K19" i="85" s="1"/>
  <c r="D10" i="123" s="1"/>
  <c r="J12" i="85"/>
  <c r="J19" i="85" s="1"/>
  <c r="L11" i="85"/>
  <c r="L18" i="85" s="1"/>
  <c r="K11" i="85"/>
  <c r="K18" i="85" s="1"/>
  <c r="J11" i="85"/>
  <c r="J18" i="85" s="1"/>
  <c r="L10" i="85"/>
  <c r="K10" i="85"/>
  <c r="J10" i="85"/>
  <c r="L7" i="85"/>
  <c r="K7" i="85"/>
  <c r="J7" i="85"/>
  <c r="J6" i="85"/>
  <c r="L5" i="85"/>
  <c r="L3" i="85"/>
  <c r="L16" i="85" s="1"/>
  <c r="E10" i="123" s="1"/>
  <c r="K3" i="85"/>
  <c r="K16" i="85" s="1"/>
  <c r="B10" i="123" s="1"/>
  <c r="J3" i="85"/>
  <c r="J16" i="85" s="1"/>
  <c r="F339" i="83"/>
  <c r="A339" i="83"/>
  <c r="F338" i="83"/>
  <c r="A338" i="83"/>
  <c r="F337" i="83"/>
  <c r="A337" i="83"/>
  <c r="F336" i="83"/>
  <c r="A336" i="83"/>
  <c r="F335" i="83"/>
  <c r="A335" i="83"/>
  <c r="F334" i="83"/>
  <c r="A334" i="83"/>
  <c r="F333" i="83"/>
  <c r="A333" i="83"/>
  <c r="F332" i="83"/>
  <c r="A332" i="83"/>
  <c r="F331" i="83"/>
  <c r="A331" i="83"/>
  <c r="F330" i="83"/>
  <c r="A330" i="83"/>
  <c r="F329" i="83"/>
  <c r="A329" i="83"/>
  <c r="F328" i="83"/>
  <c r="A328" i="83"/>
  <c r="F327" i="83"/>
  <c r="A327" i="83"/>
  <c r="F326" i="83"/>
  <c r="A326" i="83"/>
  <c r="F325" i="83"/>
  <c r="A325" i="83"/>
  <c r="F324" i="83"/>
  <c r="A324" i="83"/>
  <c r="F323" i="83"/>
  <c r="A323" i="83"/>
  <c r="F322" i="83"/>
  <c r="A322" i="83"/>
  <c r="F321" i="83"/>
  <c r="A321" i="83"/>
  <c r="F320" i="83"/>
  <c r="A320" i="83"/>
  <c r="F319" i="83"/>
  <c r="A319" i="83"/>
  <c r="F318" i="83"/>
  <c r="A318" i="83"/>
  <c r="F317" i="83"/>
  <c r="A317" i="83"/>
  <c r="F316" i="83"/>
  <c r="A316" i="83"/>
  <c r="F315" i="83"/>
  <c r="A315" i="83"/>
  <c r="F314" i="83"/>
  <c r="A314" i="83"/>
  <c r="F313" i="83"/>
  <c r="A313" i="83"/>
  <c r="F312" i="83"/>
  <c r="A312" i="83"/>
  <c r="F311" i="83"/>
  <c r="A311" i="83"/>
  <c r="F310" i="83"/>
  <c r="A310" i="83"/>
  <c r="F309" i="83"/>
  <c r="A309" i="83"/>
  <c r="F308" i="83"/>
  <c r="A308" i="83"/>
  <c r="F307" i="83"/>
  <c r="A307" i="83"/>
  <c r="F306" i="83"/>
  <c r="A306" i="83"/>
  <c r="F305" i="83"/>
  <c r="A305" i="83"/>
  <c r="F304" i="83"/>
  <c r="A304" i="83"/>
  <c r="F303" i="83"/>
  <c r="A303" i="83"/>
  <c r="F302" i="83"/>
  <c r="A302" i="83"/>
  <c r="F301" i="83"/>
  <c r="A301" i="83"/>
  <c r="F300" i="83"/>
  <c r="A300" i="83"/>
  <c r="F299" i="83"/>
  <c r="A299" i="83"/>
  <c r="F298" i="83"/>
  <c r="A298" i="83"/>
  <c r="F297" i="83"/>
  <c r="A297" i="83"/>
  <c r="F296" i="83"/>
  <c r="A296" i="83"/>
  <c r="F295" i="83"/>
  <c r="A295" i="83"/>
  <c r="F294" i="83"/>
  <c r="A294" i="83"/>
  <c r="F293" i="83"/>
  <c r="A293" i="83"/>
  <c r="F292" i="83"/>
  <c r="A292" i="83"/>
  <c r="F291" i="83"/>
  <c r="A291" i="83"/>
  <c r="F290" i="83"/>
  <c r="A290" i="83"/>
  <c r="F289" i="83"/>
  <c r="A289" i="83"/>
  <c r="F288" i="83"/>
  <c r="A288" i="83"/>
  <c r="F287" i="83"/>
  <c r="A287" i="83"/>
  <c r="F286" i="83"/>
  <c r="A286" i="83"/>
  <c r="F285" i="83"/>
  <c r="A285" i="83"/>
  <c r="F284" i="83"/>
  <c r="A284" i="83"/>
  <c r="F283" i="83"/>
  <c r="A283" i="83"/>
  <c r="F282" i="83"/>
  <c r="A282" i="83"/>
  <c r="F281" i="83"/>
  <c r="A281" i="83"/>
  <c r="F280" i="83"/>
  <c r="A280" i="83"/>
  <c r="F279" i="83"/>
  <c r="A279" i="83"/>
  <c r="F278" i="83"/>
  <c r="A278" i="83"/>
  <c r="F277" i="83"/>
  <c r="A277" i="83"/>
  <c r="F276" i="83"/>
  <c r="A276" i="83"/>
  <c r="F275" i="83"/>
  <c r="A275" i="83"/>
  <c r="F274" i="83"/>
  <c r="A274" i="83"/>
  <c r="F273" i="83"/>
  <c r="A273" i="83"/>
  <c r="F272" i="83"/>
  <c r="A272" i="83"/>
  <c r="F271" i="83"/>
  <c r="A271" i="83"/>
  <c r="F270" i="83"/>
  <c r="A270" i="83"/>
  <c r="F269" i="83"/>
  <c r="A269" i="83"/>
  <c r="F268" i="83"/>
  <c r="A268" i="83"/>
  <c r="F267" i="83"/>
  <c r="A267" i="83"/>
  <c r="F266" i="83"/>
  <c r="A266" i="83"/>
  <c r="F265" i="83"/>
  <c r="A265" i="83"/>
  <c r="F264" i="83"/>
  <c r="A264" i="83"/>
  <c r="F263" i="83"/>
  <c r="A263" i="83"/>
  <c r="F262" i="83"/>
  <c r="A262" i="83"/>
  <c r="F261" i="83"/>
  <c r="A261" i="83"/>
  <c r="F260" i="83"/>
  <c r="A260" i="83"/>
  <c r="F259" i="83"/>
  <c r="A259" i="83"/>
  <c r="F258" i="83"/>
  <c r="A258" i="83"/>
  <c r="F257" i="83"/>
  <c r="A257" i="83"/>
  <c r="F256" i="83"/>
  <c r="A256" i="83"/>
  <c r="F255" i="83"/>
  <c r="A255" i="83"/>
  <c r="F254" i="83"/>
  <c r="A254" i="83"/>
  <c r="F253" i="83"/>
  <c r="A253" i="83"/>
  <c r="F252" i="83"/>
  <c r="A252" i="83"/>
  <c r="F251" i="83"/>
  <c r="A251" i="83"/>
  <c r="F250" i="83"/>
  <c r="A250" i="83"/>
  <c r="F249" i="83"/>
  <c r="A249" i="83"/>
  <c r="F248" i="83"/>
  <c r="A248" i="83"/>
  <c r="F247" i="83"/>
  <c r="A247" i="83"/>
  <c r="F246" i="83"/>
  <c r="A246" i="83"/>
  <c r="F245" i="83"/>
  <c r="A245" i="83"/>
  <c r="F244" i="83"/>
  <c r="A244" i="83"/>
  <c r="F243" i="83"/>
  <c r="A243" i="83"/>
  <c r="F242" i="83"/>
  <c r="A242" i="83"/>
  <c r="F241" i="83"/>
  <c r="A241" i="83"/>
  <c r="F240" i="83"/>
  <c r="A240" i="83"/>
  <c r="F239" i="83"/>
  <c r="A239" i="83"/>
  <c r="F238" i="83"/>
  <c r="A238" i="83"/>
  <c r="F237" i="83"/>
  <c r="A237" i="83"/>
  <c r="F236" i="83"/>
  <c r="A236" i="83"/>
  <c r="F235" i="83"/>
  <c r="A235" i="83"/>
  <c r="F234" i="83"/>
  <c r="A234" i="83"/>
  <c r="F233" i="83"/>
  <c r="A233" i="83"/>
  <c r="F232" i="83"/>
  <c r="A232" i="83"/>
  <c r="F231" i="83"/>
  <c r="A231" i="83"/>
  <c r="F230" i="83"/>
  <c r="A230" i="83"/>
  <c r="F229" i="83"/>
  <c r="A229" i="83"/>
  <c r="F228" i="83"/>
  <c r="A228" i="83"/>
  <c r="F227" i="83"/>
  <c r="A227" i="83"/>
  <c r="F226" i="83"/>
  <c r="A226" i="83"/>
  <c r="F225" i="83"/>
  <c r="A225" i="83"/>
  <c r="F224" i="83"/>
  <c r="A224" i="83"/>
  <c r="F223" i="83"/>
  <c r="A223" i="83"/>
  <c r="F222" i="83"/>
  <c r="A222" i="83"/>
  <c r="F221" i="83"/>
  <c r="A221" i="83"/>
  <c r="F220" i="83"/>
  <c r="A220" i="83"/>
  <c r="F219" i="83"/>
  <c r="A219" i="83"/>
  <c r="F218" i="83"/>
  <c r="A218" i="83"/>
  <c r="F217" i="83"/>
  <c r="A217" i="83"/>
  <c r="F216" i="83"/>
  <c r="A216" i="83"/>
  <c r="F215" i="83"/>
  <c r="A215" i="83"/>
  <c r="F214" i="83"/>
  <c r="A214" i="83"/>
  <c r="F213" i="83"/>
  <c r="A213" i="83"/>
  <c r="F212" i="83"/>
  <c r="A212" i="83"/>
  <c r="F211" i="83"/>
  <c r="A211" i="83"/>
  <c r="F210" i="83"/>
  <c r="A210" i="83"/>
  <c r="F209" i="83"/>
  <c r="A209" i="83"/>
  <c r="F208" i="83"/>
  <c r="A208" i="83"/>
  <c r="F207" i="83"/>
  <c r="A207" i="83"/>
  <c r="F206" i="83"/>
  <c r="A206" i="83"/>
  <c r="F205" i="83"/>
  <c r="A205" i="83"/>
  <c r="F204" i="83"/>
  <c r="A204" i="83"/>
  <c r="F203" i="83"/>
  <c r="A203" i="83"/>
  <c r="F202" i="83"/>
  <c r="A202" i="83"/>
  <c r="F201" i="83"/>
  <c r="A201" i="83"/>
  <c r="F200" i="83"/>
  <c r="A200" i="83"/>
  <c r="F199" i="83"/>
  <c r="A199" i="83"/>
  <c r="F198" i="83"/>
  <c r="A198" i="83"/>
  <c r="F197" i="83"/>
  <c r="A197" i="83"/>
  <c r="F196" i="83"/>
  <c r="A196" i="83"/>
  <c r="F195" i="83"/>
  <c r="A195" i="83"/>
  <c r="F194" i="83"/>
  <c r="A194" i="83"/>
  <c r="F193" i="83"/>
  <c r="A193" i="83"/>
  <c r="F192" i="83"/>
  <c r="A192" i="83"/>
  <c r="F191" i="83"/>
  <c r="A191" i="83"/>
  <c r="F190" i="83"/>
  <c r="A190" i="83"/>
  <c r="F189" i="83"/>
  <c r="A189" i="83"/>
  <c r="F188" i="83"/>
  <c r="A188" i="83"/>
  <c r="F187" i="83"/>
  <c r="A187" i="83"/>
  <c r="F186" i="83"/>
  <c r="A186" i="83"/>
  <c r="F185" i="83"/>
  <c r="A185" i="83"/>
  <c r="F184" i="83"/>
  <c r="A184" i="83"/>
  <c r="F183" i="83"/>
  <c r="A183" i="83"/>
  <c r="F182" i="83"/>
  <c r="A182" i="83"/>
  <c r="F181" i="83"/>
  <c r="A181" i="83"/>
  <c r="F180" i="83"/>
  <c r="A180" i="83"/>
  <c r="F179" i="83"/>
  <c r="A179" i="83"/>
  <c r="F178" i="83"/>
  <c r="A178" i="83"/>
  <c r="F177" i="83"/>
  <c r="A177" i="83"/>
  <c r="F176" i="83"/>
  <c r="A176" i="83"/>
  <c r="F175" i="83"/>
  <c r="A175" i="83"/>
  <c r="F174" i="83"/>
  <c r="A174" i="83"/>
  <c r="F173" i="83"/>
  <c r="A173" i="83"/>
  <c r="F172" i="83"/>
  <c r="A172" i="83"/>
  <c r="F171" i="83"/>
  <c r="A171" i="83"/>
  <c r="F170" i="83"/>
  <c r="A170" i="83"/>
  <c r="F169" i="83"/>
  <c r="A169" i="83"/>
  <c r="F168" i="83"/>
  <c r="A168" i="83"/>
  <c r="F167" i="83"/>
  <c r="A167" i="83"/>
  <c r="F166" i="83"/>
  <c r="A166" i="83"/>
  <c r="F165" i="83"/>
  <c r="A165" i="83"/>
  <c r="F164" i="83"/>
  <c r="A164" i="83"/>
  <c r="F163" i="83"/>
  <c r="A163" i="83"/>
  <c r="F162" i="83"/>
  <c r="A162" i="83"/>
  <c r="F161" i="83"/>
  <c r="A161" i="83"/>
  <c r="L5" i="83"/>
  <c r="K11" i="83"/>
  <c r="K18" i="83" s="1"/>
  <c r="L11" i="83"/>
  <c r="L18" i="83" s="1"/>
  <c r="L10" i="83"/>
  <c r="K10" i="83"/>
  <c r="J10" i="83"/>
  <c r="L7" i="83"/>
  <c r="K7" i="83"/>
  <c r="J7" i="83"/>
  <c r="L6" i="83"/>
  <c r="K6" i="83"/>
  <c r="J6" i="83"/>
  <c r="L4" i="83"/>
  <c r="J4" i="83"/>
  <c r="L3" i="83"/>
  <c r="L16" i="83" s="1"/>
  <c r="E9" i="123" s="1"/>
  <c r="K3" i="83"/>
  <c r="K16" i="83" s="1"/>
  <c r="B9" i="123" s="1"/>
  <c r="J3" i="83"/>
  <c r="J16" i="83" s="1"/>
  <c r="F339" i="82"/>
  <c r="A339" i="82"/>
  <c r="F338" i="82"/>
  <c r="A338" i="82"/>
  <c r="F337" i="82"/>
  <c r="A337" i="82"/>
  <c r="F336" i="82"/>
  <c r="A336" i="82"/>
  <c r="F335" i="82"/>
  <c r="A335" i="82"/>
  <c r="F334" i="82"/>
  <c r="A334" i="82"/>
  <c r="F333" i="82"/>
  <c r="A333" i="82"/>
  <c r="F332" i="82"/>
  <c r="A332" i="82"/>
  <c r="F331" i="82"/>
  <c r="A331" i="82"/>
  <c r="F330" i="82"/>
  <c r="A330" i="82"/>
  <c r="F329" i="82"/>
  <c r="A329" i="82"/>
  <c r="F328" i="82"/>
  <c r="A328" i="82"/>
  <c r="F327" i="82"/>
  <c r="A327" i="82"/>
  <c r="F326" i="82"/>
  <c r="A326" i="82"/>
  <c r="F325" i="82"/>
  <c r="A325" i="82"/>
  <c r="F324" i="82"/>
  <c r="A324" i="82"/>
  <c r="F323" i="82"/>
  <c r="A323" i="82"/>
  <c r="F322" i="82"/>
  <c r="A322" i="82"/>
  <c r="F321" i="82"/>
  <c r="A321" i="82"/>
  <c r="F320" i="82"/>
  <c r="A320" i="82"/>
  <c r="F319" i="82"/>
  <c r="A319" i="82"/>
  <c r="F318" i="82"/>
  <c r="A318" i="82"/>
  <c r="F317" i="82"/>
  <c r="A317" i="82"/>
  <c r="F316" i="82"/>
  <c r="A316" i="82"/>
  <c r="F315" i="82"/>
  <c r="A315" i="82"/>
  <c r="F314" i="82"/>
  <c r="A314" i="82"/>
  <c r="F313" i="82"/>
  <c r="A313" i="82"/>
  <c r="F312" i="82"/>
  <c r="A312" i="82"/>
  <c r="F311" i="82"/>
  <c r="A311" i="82"/>
  <c r="F310" i="82"/>
  <c r="A310" i="82"/>
  <c r="F309" i="82"/>
  <c r="A309" i="82"/>
  <c r="F308" i="82"/>
  <c r="A308" i="82"/>
  <c r="F307" i="82"/>
  <c r="A307" i="82"/>
  <c r="F306" i="82"/>
  <c r="A306" i="82"/>
  <c r="F305" i="82"/>
  <c r="A305" i="82"/>
  <c r="F304" i="82"/>
  <c r="A304" i="82"/>
  <c r="F303" i="82"/>
  <c r="A303" i="82"/>
  <c r="F302" i="82"/>
  <c r="A302" i="82"/>
  <c r="F301" i="82"/>
  <c r="A301" i="82"/>
  <c r="F300" i="82"/>
  <c r="A300" i="82"/>
  <c r="F299" i="82"/>
  <c r="A299" i="82"/>
  <c r="F298" i="82"/>
  <c r="A298" i="82"/>
  <c r="F297" i="82"/>
  <c r="A297" i="82"/>
  <c r="F296" i="82"/>
  <c r="A296" i="82"/>
  <c r="F295" i="82"/>
  <c r="A295" i="82"/>
  <c r="F294" i="82"/>
  <c r="A294" i="82"/>
  <c r="F293" i="82"/>
  <c r="A293" i="82"/>
  <c r="F292" i="82"/>
  <c r="A292" i="82"/>
  <c r="F291" i="82"/>
  <c r="A291" i="82"/>
  <c r="F290" i="82"/>
  <c r="A290" i="82"/>
  <c r="F289" i="82"/>
  <c r="A289" i="82"/>
  <c r="F288" i="82"/>
  <c r="A288" i="82"/>
  <c r="F287" i="82"/>
  <c r="A287" i="82"/>
  <c r="F286" i="82"/>
  <c r="A286" i="82"/>
  <c r="F285" i="82"/>
  <c r="A285" i="82"/>
  <c r="F284" i="82"/>
  <c r="A284" i="82"/>
  <c r="F283" i="82"/>
  <c r="A283" i="82"/>
  <c r="F282" i="82"/>
  <c r="A282" i="82"/>
  <c r="F281" i="82"/>
  <c r="A281" i="82"/>
  <c r="F280" i="82"/>
  <c r="A280" i="82"/>
  <c r="F279" i="82"/>
  <c r="A279" i="82"/>
  <c r="F278" i="82"/>
  <c r="A278" i="82"/>
  <c r="F277" i="82"/>
  <c r="A277" i="82"/>
  <c r="F276" i="82"/>
  <c r="A276" i="82"/>
  <c r="F275" i="82"/>
  <c r="A275" i="82"/>
  <c r="F274" i="82"/>
  <c r="A274" i="82"/>
  <c r="F273" i="82"/>
  <c r="A273" i="82"/>
  <c r="F272" i="82"/>
  <c r="A272" i="82"/>
  <c r="F271" i="82"/>
  <c r="A271" i="82"/>
  <c r="F270" i="82"/>
  <c r="A270" i="82"/>
  <c r="F269" i="82"/>
  <c r="A269" i="82"/>
  <c r="F268" i="82"/>
  <c r="A268" i="82"/>
  <c r="F267" i="82"/>
  <c r="A267" i="82"/>
  <c r="F266" i="82"/>
  <c r="A266" i="82"/>
  <c r="F265" i="82"/>
  <c r="A265" i="82"/>
  <c r="F264" i="82"/>
  <c r="A264" i="82"/>
  <c r="F263" i="82"/>
  <c r="A263" i="82"/>
  <c r="F262" i="82"/>
  <c r="A262" i="82"/>
  <c r="F261" i="82"/>
  <c r="A261" i="82"/>
  <c r="F260" i="82"/>
  <c r="A260" i="82"/>
  <c r="F259" i="82"/>
  <c r="A259" i="82"/>
  <c r="F258" i="82"/>
  <c r="A258" i="82"/>
  <c r="F257" i="82"/>
  <c r="A257" i="82"/>
  <c r="F256" i="82"/>
  <c r="A256" i="82"/>
  <c r="F255" i="82"/>
  <c r="A255" i="82"/>
  <c r="F254" i="82"/>
  <c r="A254" i="82"/>
  <c r="F253" i="82"/>
  <c r="A253" i="82"/>
  <c r="F252" i="82"/>
  <c r="A252" i="82"/>
  <c r="F251" i="82"/>
  <c r="A251" i="82"/>
  <c r="F250" i="82"/>
  <c r="A250" i="82"/>
  <c r="F249" i="82"/>
  <c r="A249" i="82"/>
  <c r="F248" i="82"/>
  <c r="A248" i="82"/>
  <c r="F247" i="82"/>
  <c r="A247" i="82"/>
  <c r="F246" i="82"/>
  <c r="A246" i="82"/>
  <c r="F245" i="82"/>
  <c r="A245" i="82"/>
  <c r="F244" i="82"/>
  <c r="A244" i="82"/>
  <c r="F243" i="82"/>
  <c r="A243" i="82"/>
  <c r="F242" i="82"/>
  <c r="A242" i="82"/>
  <c r="F241" i="82"/>
  <c r="A241" i="82"/>
  <c r="F240" i="82"/>
  <c r="A240" i="82"/>
  <c r="F239" i="82"/>
  <c r="A239" i="82"/>
  <c r="F238" i="82"/>
  <c r="A238" i="82"/>
  <c r="F237" i="82"/>
  <c r="A237" i="82"/>
  <c r="F236" i="82"/>
  <c r="A236" i="82"/>
  <c r="F235" i="82"/>
  <c r="A235" i="82"/>
  <c r="F234" i="82"/>
  <c r="A234" i="82"/>
  <c r="F233" i="82"/>
  <c r="A233" i="82"/>
  <c r="F232" i="82"/>
  <c r="A232" i="82"/>
  <c r="F231" i="82"/>
  <c r="A231" i="82"/>
  <c r="F230" i="82"/>
  <c r="A230" i="82"/>
  <c r="F229" i="82"/>
  <c r="A229" i="82"/>
  <c r="F228" i="82"/>
  <c r="A228" i="82"/>
  <c r="F227" i="82"/>
  <c r="A227" i="82"/>
  <c r="F226" i="82"/>
  <c r="A226" i="82"/>
  <c r="F225" i="82"/>
  <c r="A225" i="82"/>
  <c r="F224" i="82"/>
  <c r="A224" i="82"/>
  <c r="F223" i="82"/>
  <c r="A223" i="82"/>
  <c r="F222" i="82"/>
  <c r="A222" i="82"/>
  <c r="F221" i="82"/>
  <c r="A221" i="82"/>
  <c r="F220" i="82"/>
  <c r="A220" i="82"/>
  <c r="F219" i="82"/>
  <c r="A219" i="82"/>
  <c r="F218" i="82"/>
  <c r="A218" i="82"/>
  <c r="F217" i="82"/>
  <c r="A217" i="82"/>
  <c r="F216" i="82"/>
  <c r="A216" i="82"/>
  <c r="F215" i="82"/>
  <c r="A215" i="82"/>
  <c r="F214" i="82"/>
  <c r="A214" i="82"/>
  <c r="F213" i="82"/>
  <c r="A213" i="82"/>
  <c r="F212" i="82"/>
  <c r="A212" i="82"/>
  <c r="F211" i="82"/>
  <c r="A211" i="82"/>
  <c r="F210" i="82"/>
  <c r="A210" i="82"/>
  <c r="F209" i="82"/>
  <c r="A209" i="82"/>
  <c r="F208" i="82"/>
  <c r="A208" i="82"/>
  <c r="F207" i="82"/>
  <c r="A207" i="82"/>
  <c r="F206" i="82"/>
  <c r="A206" i="82"/>
  <c r="F205" i="82"/>
  <c r="A205" i="82"/>
  <c r="F204" i="82"/>
  <c r="A204" i="82"/>
  <c r="F203" i="82"/>
  <c r="A203" i="82"/>
  <c r="F202" i="82"/>
  <c r="A202" i="82"/>
  <c r="F201" i="82"/>
  <c r="A201" i="82"/>
  <c r="F200" i="82"/>
  <c r="A200" i="82"/>
  <c r="F199" i="82"/>
  <c r="A199" i="82"/>
  <c r="F198" i="82"/>
  <c r="A198" i="82"/>
  <c r="F197" i="82"/>
  <c r="A197" i="82"/>
  <c r="F196" i="82"/>
  <c r="A196" i="82"/>
  <c r="F195" i="82"/>
  <c r="A195" i="82"/>
  <c r="F194" i="82"/>
  <c r="A194" i="82"/>
  <c r="F193" i="82"/>
  <c r="A193" i="82"/>
  <c r="F192" i="82"/>
  <c r="A192" i="82"/>
  <c r="F191" i="82"/>
  <c r="A191" i="82"/>
  <c r="F190" i="82"/>
  <c r="A190" i="82"/>
  <c r="F189" i="82"/>
  <c r="A189" i="82"/>
  <c r="F188" i="82"/>
  <c r="A188" i="82"/>
  <c r="F187" i="82"/>
  <c r="A187" i="82"/>
  <c r="F186" i="82"/>
  <c r="A186" i="82"/>
  <c r="F185" i="82"/>
  <c r="A185" i="82"/>
  <c r="F184" i="82"/>
  <c r="A184" i="82"/>
  <c r="F183" i="82"/>
  <c r="A183" i="82"/>
  <c r="F182" i="82"/>
  <c r="A182" i="82"/>
  <c r="F181" i="82"/>
  <c r="A181" i="82"/>
  <c r="F180" i="82"/>
  <c r="A180" i="82"/>
  <c r="F179" i="82"/>
  <c r="A179" i="82"/>
  <c r="F178" i="82"/>
  <c r="A178" i="82"/>
  <c r="F177" i="82"/>
  <c r="A177" i="82"/>
  <c r="F176" i="82"/>
  <c r="A176" i="82"/>
  <c r="F175" i="82"/>
  <c r="A175" i="82"/>
  <c r="F174" i="82"/>
  <c r="A174" i="82"/>
  <c r="F173" i="82"/>
  <c r="A173" i="82"/>
  <c r="F172" i="82"/>
  <c r="A172" i="82"/>
  <c r="F171" i="82"/>
  <c r="A171" i="82"/>
  <c r="F170" i="82"/>
  <c r="A170" i="82"/>
  <c r="F169" i="82"/>
  <c r="A169" i="82"/>
  <c r="F168" i="82"/>
  <c r="A168" i="82"/>
  <c r="F167" i="82"/>
  <c r="A167" i="82"/>
  <c r="F166" i="82"/>
  <c r="A166" i="82"/>
  <c r="F165" i="82"/>
  <c r="A165" i="82"/>
  <c r="F164" i="82"/>
  <c r="A164" i="82"/>
  <c r="F163" i="82"/>
  <c r="A163" i="82"/>
  <c r="F162" i="82"/>
  <c r="A162" i="82"/>
  <c r="F161" i="82"/>
  <c r="A161" i="82"/>
  <c r="L12" i="82"/>
  <c r="L19" i="82" s="1"/>
  <c r="G8" i="123" s="1"/>
  <c r="K12" i="82"/>
  <c r="K19" i="82" s="1"/>
  <c r="D8" i="123" s="1"/>
  <c r="J12" i="82"/>
  <c r="J19" i="82" s="1"/>
  <c r="L11" i="82"/>
  <c r="L18" i="82" s="1"/>
  <c r="K11" i="82"/>
  <c r="K18" i="82" s="1"/>
  <c r="J11" i="82"/>
  <c r="J18" i="82" s="1"/>
  <c r="L10" i="82"/>
  <c r="K10" i="82"/>
  <c r="J10" i="82"/>
  <c r="L7" i="82"/>
  <c r="K7" i="82"/>
  <c r="J7" i="82"/>
  <c r="L6" i="82"/>
  <c r="L3" i="82"/>
  <c r="L16" i="82" s="1"/>
  <c r="E8" i="123" s="1"/>
  <c r="K3" i="82"/>
  <c r="K16" i="82" s="1"/>
  <c r="B8" i="123" s="1"/>
  <c r="J3" i="82"/>
  <c r="J16" i="82" s="1"/>
  <c r="F339" i="80"/>
  <c r="A339" i="80"/>
  <c r="F338" i="80"/>
  <c r="A338" i="80"/>
  <c r="F337" i="80"/>
  <c r="A337" i="80"/>
  <c r="F336" i="80"/>
  <c r="A336" i="80"/>
  <c r="F335" i="80"/>
  <c r="A335" i="80"/>
  <c r="F334" i="80"/>
  <c r="A334" i="80"/>
  <c r="F333" i="80"/>
  <c r="A333" i="80"/>
  <c r="F332" i="80"/>
  <c r="A332" i="80"/>
  <c r="F331" i="80"/>
  <c r="A331" i="80"/>
  <c r="F330" i="80"/>
  <c r="A330" i="80"/>
  <c r="F329" i="80"/>
  <c r="A329" i="80"/>
  <c r="F328" i="80"/>
  <c r="A328" i="80"/>
  <c r="F327" i="80"/>
  <c r="A327" i="80"/>
  <c r="F326" i="80"/>
  <c r="A326" i="80"/>
  <c r="F325" i="80"/>
  <c r="A325" i="80"/>
  <c r="F324" i="80"/>
  <c r="A324" i="80"/>
  <c r="F323" i="80"/>
  <c r="A323" i="80"/>
  <c r="F322" i="80"/>
  <c r="A322" i="80"/>
  <c r="F321" i="80"/>
  <c r="A321" i="80"/>
  <c r="F320" i="80"/>
  <c r="A320" i="80"/>
  <c r="F319" i="80"/>
  <c r="A319" i="80"/>
  <c r="F318" i="80"/>
  <c r="A318" i="80"/>
  <c r="F317" i="80"/>
  <c r="A317" i="80"/>
  <c r="F316" i="80"/>
  <c r="A316" i="80"/>
  <c r="F315" i="80"/>
  <c r="A315" i="80"/>
  <c r="F314" i="80"/>
  <c r="A314" i="80"/>
  <c r="F313" i="80"/>
  <c r="A313" i="80"/>
  <c r="F312" i="80"/>
  <c r="A312" i="80"/>
  <c r="F311" i="80"/>
  <c r="A311" i="80"/>
  <c r="F310" i="80"/>
  <c r="A310" i="80"/>
  <c r="F309" i="80"/>
  <c r="A309" i="80"/>
  <c r="F308" i="80"/>
  <c r="A308" i="80"/>
  <c r="F307" i="80"/>
  <c r="A307" i="80"/>
  <c r="F306" i="80"/>
  <c r="A306" i="80"/>
  <c r="F305" i="80"/>
  <c r="A305" i="80"/>
  <c r="F304" i="80"/>
  <c r="A304" i="80"/>
  <c r="F303" i="80"/>
  <c r="A303" i="80"/>
  <c r="F302" i="80"/>
  <c r="A302" i="80"/>
  <c r="F301" i="80"/>
  <c r="A301" i="80"/>
  <c r="F300" i="80"/>
  <c r="A300" i="80"/>
  <c r="F299" i="80"/>
  <c r="A299" i="80"/>
  <c r="F298" i="80"/>
  <c r="A298" i="80"/>
  <c r="F297" i="80"/>
  <c r="A297" i="80"/>
  <c r="F296" i="80"/>
  <c r="A296" i="80"/>
  <c r="F295" i="80"/>
  <c r="A295" i="80"/>
  <c r="F294" i="80"/>
  <c r="A294" i="80"/>
  <c r="F293" i="80"/>
  <c r="A293" i="80"/>
  <c r="F292" i="80"/>
  <c r="A292" i="80"/>
  <c r="F291" i="80"/>
  <c r="A291" i="80"/>
  <c r="F290" i="80"/>
  <c r="A290" i="80"/>
  <c r="F289" i="80"/>
  <c r="A289" i="80"/>
  <c r="F288" i="80"/>
  <c r="A288" i="80"/>
  <c r="F287" i="80"/>
  <c r="A287" i="80"/>
  <c r="F286" i="80"/>
  <c r="A286" i="80"/>
  <c r="F285" i="80"/>
  <c r="A285" i="80"/>
  <c r="F284" i="80"/>
  <c r="A284" i="80"/>
  <c r="F283" i="80"/>
  <c r="A283" i="80"/>
  <c r="F282" i="80"/>
  <c r="A282" i="80"/>
  <c r="F281" i="80"/>
  <c r="A281" i="80"/>
  <c r="F280" i="80"/>
  <c r="A280" i="80"/>
  <c r="F279" i="80"/>
  <c r="A279" i="80"/>
  <c r="F278" i="80"/>
  <c r="A278" i="80"/>
  <c r="F277" i="80"/>
  <c r="A277" i="80"/>
  <c r="F276" i="80"/>
  <c r="A276" i="80"/>
  <c r="F275" i="80"/>
  <c r="A275" i="80"/>
  <c r="F274" i="80"/>
  <c r="A274" i="80"/>
  <c r="F273" i="80"/>
  <c r="A273" i="80"/>
  <c r="F272" i="80"/>
  <c r="A272" i="80"/>
  <c r="F271" i="80"/>
  <c r="A271" i="80"/>
  <c r="F270" i="80"/>
  <c r="A270" i="80"/>
  <c r="F269" i="80"/>
  <c r="A269" i="80"/>
  <c r="F268" i="80"/>
  <c r="A268" i="80"/>
  <c r="F267" i="80"/>
  <c r="A267" i="80"/>
  <c r="F266" i="80"/>
  <c r="A266" i="80"/>
  <c r="F265" i="80"/>
  <c r="A265" i="80"/>
  <c r="F264" i="80"/>
  <c r="A264" i="80"/>
  <c r="F263" i="80"/>
  <c r="A263" i="80"/>
  <c r="F262" i="80"/>
  <c r="A262" i="80"/>
  <c r="F261" i="80"/>
  <c r="A261" i="80"/>
  <c r="F260" i="80"/>
  <c r="A260" i="80"/>
  <c r="F259" i="80"/>
  <c r="A259" i="80"/>
  <c r="F258" i="80"/>
  <c r="A258" i="80"/>
  <c r="F257" i="80"/>
  <c r="A257" i="80"/>
  <c r="F256" i="80"/>
  <c r="A256" i="80"/>
  <c r="F255" i="80"/>
  <c r="A255" i="80"/>
  <c r="F254" i="80"/>
  <c r="A254" i="80"/>
  <c r="F253" i="80"/>
  <c r="A253" i="80"/>
  <c r="F252" i="80"/>
  <c r="A252" i="80"/>
  <c r="F251" i="80"/>
  <c r="A251" i="80"/>
  <c r="F250" i="80"/>
  <c r="A250" i="80"/>
  <c r="F249" i="80"/>
  <c r="A249" i="80"/>
  <c r="F248" i="80"/>
  <c r="A248" i="80"/>
  <c r="F247" i="80"/>
  <c r="A247" i="80"/>
  <c r="F246" i="80"/>
  <c r="A246" i="80"/>
  <c r="F245" i="80"/>
  <c r="A245" i="80"/>
  <c r="F244" i="80"/>
  <c r="A244" i="80"/>
  <c r="F243" i="80"/>
  <c r="A243" i="80"/>
  <c r="F242" i="80"/>
  <c r="A242" i="80"/>
  <c r="F241" i="80"/>
  <c r="A241" i="80"/>
  <c r="F240" i="80"/>
  <c r="A240" i="80"/>
  <c r="F239" i="80"/>
  <c r="A239" i="80"/>
  <c r="F238" i="80"/>
  <c r="A238" i="80"/>
  <c r="F237" i="80"/>
  <c r="A237" i="80"/>
  <c r="F236" i="80"/>
  <c r="A236" i="80"/>
  <c r="F235" i="80"/>
  <c r="A235" i="80"/>
  <c r="F234" i="80"/>
  <c r="A234" i="80"/>
  <c r="F233" i="80"/>
  <c r="A233" i="80"/>
  <c r="F232" i="80"/>
  <c r="A232" i="80"/>
  <c r="F231" i="80"/>
  <c r="A231" i="80"/>
  <c r="F230" i="80"/>
  <c r="A230" i="80"/>
  <c r="F229" i="80"/>
  <c r="A229" i="80"/>
  <c r="F228" i="80"/>
  <c r="A228" i="80"/>
  <c r="F227" i="80"/>
  <c r="A227" i="80"/>
  <c r="F226" i="80"/>
  <c r="A226" i="80"/>
  <c r="F225" i="80"/>
  <c r="A225" i="80"/>
  <c r="F224" i="80"/>
  <c r="A224" i="80"/>
  <c r="F223" i="80"/>
  <c r="A223" i="80"/>
  <c r="F222" i="80"/>
  <c r="A222" i="80"/>
  <c r="F221" i="80"/>
  <c r="A221" i="80"/>
  <c r="F220" i="80"/>
  <c r="A220" i="80"/>
  <c r="F219" i="80"/>
  <c r="A219" i="80"/>
  <c r="F218" i="80"/>
  <c r="A218" i="80"/>
  <c r="F217" i="80"/>
  <c r="A217" i="80"/>
  <c r="F216" i="80"/>
  <c r="A216" i="80"/>
  <c r="F215" i="80"/>
  <c r="A215" i="80"/>
  <c r="F214" i="80"/>
  <c r="A214" i="80"/>
  <c r="F213" i="80"/>
  <c r="A213" i="80"/>
  <c r="F212" i="80"/>
  <c r="A212" i="80"/>
  <c r="F211" i="80"/>
  <c r="A211" i="80"/>
  <c r="F210" i="80"/>
  <c r="A210" i="80"/>
  <c r="F209" i="80"/>
  <c r="A209" i="80"/>
  <c r="F208" i="80"/>
  <c r="A208" i="80"/>
  <c r="F207" i="80"/>
  <c r="A207" i="80"/>
  <c r="F206" i="80"/>
  <c r="A206" i="80"/>
  <c r="F205" i="80"/>
  <c r="A205" i="80"/>
  <c r="F204" i="80"/>
  <c r="A204" i="80"/>
  <c r="F203" i="80"/>
  <c r="A203" i="80"/>
  <c r="F202" i="80"/>
  <c r="A202" i="80"/>
  <c r="F201" i="80"/>
  <c r="A201" i="80"/>
  <c r="F200" i="80"/>
  <c r="A200" i="80"/>
  <c r="F199" i="80"/>
  <c r="A199" i="80"/>
  <c r="F198" i="80"/>
  <c r="A198" i="80"/>
  <c r="F197" i="80"/>
  <c r="A197" i="80"/>
  <c r="F196" i="80"/>
  <c r="A196" i="80"/>
  <c r="F195" i="80"/>
  <c r="A195" i="80"/>
  <c r="F194" i="80"/>
  <c r="A194" i="80"/>
  <c r="F193" i="80"/>
  <c r="A193" i="80"/>
  <c r="F192" i="80"/>
  <c r="A192" i="80"/>
  <c r="F191" i="80"/>
  <c r="A191" i="80"/>
  <c r="F190" i="80"/>
  <c r="A190" i="80"/>
  <c r="F189" i="80"/>
  <c r="A189" i="80"/>
  <c r="F188" i="80"/>
  <c r="A188" i="80"/>
  <c r="F187" i="80"/>
  <c r="A187" i="80"/>
  <c r="F186" i="80"/>
  <c r="A186" i="80"/>
  <c r="F185" i="80"/>
  <c r="A185" i="80"/>
  <c r="F184" i="80"/>
  <c r="A184" i="80"/>
  <c r="F183" i="80"/>
  <c r="A183" i="80"/>
  <c r="F182" i="80"/>
  <c r="A182" i="80"/>
  <c r="F181" i="80"/>
  <c r="A181" i="80"/>
  <c r="F180" i="80"/>
  <c r="A180" i="80"/>
  <c r="F179" i="80"/>
  <c r="A179" i="80"/>
  <c r="F178" i="80"/>
  <c r="A178" i="80"/>
  <c r="F177" i="80"/>
  <c r="A177" i="80"/>
  <c r="F176" i="80"/>
  <c r="A176" i="80"/>
  <c r="F175" i="80"/>
  <c r="A175" i="80"/>
  <c r="F174" i="80"/>
  <c r="A174" i="80"/>
  <c r="F173" i="80"/>
  <c r="A173" i="80"/>
  <c r="F172" i="80"/>
  <c r="A172" i="80"/>
  <c r="F171" i="80"/>
  <c r="A171" i="80"/>
  <c r="F170" i="80"/>
  <c r="A170" i="80"/>
  <c r="F169" i="80"/>
  <c r="A169" i="80"/>
  <c r="F168" i="80"/>
  <c r="A168" i="80"/>
  <c r="F167" i="80"/>
  <c r="A167" i="80"/>
  <c r="F166" i="80"/>
  <c r="A166" i="80"/>
  <c r="F165" i="80"/>
  <c r="A165" i="80"/>
  <c r="F164" i="80"/>
  <c r="A164" i="80"/>
  <c r="F163" i="80"/>
  <c r="A163" i="80"/>
  <c r="F162" i="80"/>
  <c r="A162" i="80"/>
  <c r="F161" i="80"/>
  <c r="A161" i="80"/>
  <c r="J3" i="80"/>
  <c r="J16" i="80" s="1"/>
  <c r="K10" i="80"/>
  <c r="L12" i="80"/>
  <c r="L19" i="80" s="1"/>
  <c r="G7" i="123" s="1"/>
  <c r="K12" i="80"/>
  <c r="K19" i="80" s="1"/>
  <c r="D7" i="123" s="1"/>
  <c r="J12" i="80"/>
  <c r="J19" i="80" s="1"/>
  <c r="L11" i="80"/>
  <c r="L18" i="80" s="1"/>
  <c r="K11" i="80"/>
  <c r="K18" i="80" s="1"/>
  <c r="J11" i="80"/>
  <c r="J18" i="80" s="1"/>
  <c r="L10" i="80"/>
  <c r="J10" i="80"/>
  <c r="L7" i="80"/>
  <c r="K7" i="80"/>
  <c r="J7" i="80"/>
  <c r="J6" i="80"/>
  <c r="L3" i="80"/>
  <c r="L16" i="80" s="1"/>
  <c r="E7" i="123" s="1"/>
  <c r="F339" i="79"/>
  <c r="A339" i="79"/>
  <c r="F338" i="79"/>
  <c r="A338" i="79"/>
  <c r="F337" i="79"/>
  <c r="A337" i="79"/>
  <c r="F336" i="79"/>
  <c r="A336" i="79"/>
  <c r="F335" i="79"/>
  <c r="A335" i="79"/>
  <c r="F334" i="79"/>
  <c r="A334" i="79"/>
  <c r="F333" i="79"/>
  <c r="A333" i="79"/>
  <c r="F332" i="79"/>
  <c r="A332" i="79"/>
  <c r="F331" i="79"/>
  <c r="A331" i="79"/>
  <c r="F330" i="79"/>
  <c r="A330" i="79"/>
  <c r="F329" i="79"/>
  <c r="A329" i="79"/>
  <c r="F328" i="79"/>
  <c r="A328" i="79"/>
  <c r="F327" i="79"/>
  <c r="A327" i="79"/>
  <c r="F326" i="79"/>
  <c r="A326" i="79"/>
  <c r="F325" i="79"/>
  <c r="A325" i="79"/>
  <c r="F324" i="79"/>
  <c r="A324" i="79"/>
  <c r="F323" i="79"/>
  <c r="A323" i="79"/>
  <c r="F322" i="79"/>
  <c r="A322" i="79"/>
  <c r="F321" i="79"/>
  <c r="A321" i="79"/>
  <c r="F320" i="79"/>
  <c r="A320" i="79"/>
  <c r="F319" i="79"/>
  <c r="A319" i="79"/>
  <c r="F318" i="79"/>
  <c r="A318" i="79"/>
  <c r="F317" i="79"/>
  <c r="A317" i="79"/>
  <c r="F316" i="79"/>
  <c r="A316" i="79"/>
  <c r="F315" i="79"/>
  <c r="A315" i="79"/>
  <c r="F314" i="79"/>
  <c r="A314" i="79"/>
  <c r="F313" i="79"/>
  <c r="A313" i="79"/>
  <c r="F312" i="79"/>
  <c r="A312" i="79"/>
  <c r="F311" i="79"/>
  <c r="A311" i="79"/>
  <c r="F310" i="79"/>
  <c r="A310" i="79"/>
  <c r="F309" i="79"/>
  <c r="A309" i="79"/>
  <c r="F308" i="79"/>
  <c r="A308" i="79"/>
  <c r="F307" i="79"/>
  <c r="A307" i="79"/>
  <c r="F306" i="79"/>
  <c r="A306" i="79"/>
  <c r="F305" i="79"/>
  <c r="A305" i="79"/>
  <c r="F304" i="79"/>
  <c r="A304" i="79"/>
  <c r="F303" i="79"/>
  <c r="A303" i="79"/>
  <c r="F302" i="79"/>
  <c r="A302" i="79"/>
  <c r="F301" i="79"/>
  <c r="A301" i="79"/>
  <c r="F300" i="79"/>
  <c r="A300" i="79"/>
  <c r="F299" i="79"/>
  <c r="A299" i="79"/>
  <c r="F298" i="79"/>
  <c r="A298" i="79"/>
  <c r="F297" i="79"/>
  <c r="A297" i="79"/>
  <c r="F296" i="79"/>
  <c r="A296" i="79"/>
  <c r="F295" i="79"/>
  <c r="A295" i="79"/>
  <c r="F294" i="79"/>
  <c r="A294" i="79"/>
  <c r="F293" i="79"/>
  <c r="A293" i="79"/>
  <c r="F292" i="79"/>
  <c r="A292" i="79"/>
  <c r="F291" i="79"/>
  <c r="A291" i="79"/>
  <c r="F290" i="79"/>
  <c r="A290" i="79"/>
  <c r="F289" i="79"/>
  <c r="A289" i="79"/>
  <c r="F288" i="79"/>
  <c r="A288" i="79"/>
  <c r="F287" i="79"/>
  <c r="A287" i="79"/>
  <c r="F286" i="79"/>
  <c r="A286" i="79"/>
  <c r="F285" i="79"/>
  <c r="A285" i="79"/>
  <c r="F284" i="79"/>
  <c r="A284" i="79"/>
  <c r="F283" i="79"/>
  <c r="A283" i="79"/>
  <c r="F282" i="79"/>
  <c r="A282" i="79"/>
  <c r="F281" i="79"/>
  <c r="A281" i="79"/>
  <c r="F280" i="79"/>
  <c r="A280" i="79"/>
  <c r="F279" i="79"/>
  <c r="A279" i="79"/>
  <c r="F278" i="79"/>
  <c r="A278" i="79"/>
  <c r="F277" i="79"/>
  <c r="A277" i="79"/>
  <c r="F276" i="79"/>
  <c r="A276" i="79"/>
  <c r="F275" i="79"/>
  <c r="A275" i="79"/>
  <c r="F274" i="79"/>
  <c r="A274" i="79"/>
  <c r="F273" i="79"/>
  <c r="A273" i="79"/>
  <c r="F272" i="79"/>
  <c r="A272" i="79"/>
  <c r="F271" i="79"/>
  <c r="A271" i="79"/>
  <c r="F270" i="79"/>
  <c r="A270" i="79"/>
  <c r="F269" i="79"/>
  <c r="A269" i="79"/>
  <c r="F268" i="79"/>
  <c r="A268" i="79"/>
  <c r="F267" i="79"/>
  <c r="A267" i="79"/>
  <c r="F266" i="79"/>
  <c r="A266" i="79"/>
  <c r="F265" i="79"/>
  <c r="A265" i="79"/>
  <c r="F264" i="79"/>
  <c r="A264" i="79"/>
  <c r="F263" i="79"/>
  <c r="A263" i="79"/>
  <c r="F262" i="79"/>
  <c r="A262" i="79"/>
  <c r="F261" i="79"/>
  <c r="A261" i="79"/>
  <c r="F260" i="79"/>
  <c r="A260" i="79"/>
  <c r="F259" i="79"/>
  <c r="A259" i="79"/>
  <c r="F258" i="79"/>
  <c r="A258" i="79"/>
  <c r="F257" i="79"/>
  <c r="A257" i="79"/>
  <c r="F256" i="79"/>
  <c r="A256" i="79"/>
  <c r="F255" i="79"/>
  <c r="A255" i="79"/>
  <c r="F254" i="79"/>
  <c r="A254" i="79"/>
  <c r="F253" i="79"/>
  <c r="A253" i="79"/>
  <c r="F252" i="79"/>
  <c r="A252" i="79"/>
  <c r="F251" i="79"/>
  <c r="A251" i="79"/>
  <c r="F250" i="79"/>
  <c r="A250" i="79"/>
  <c r="F249" i="79"/>
  <c r="A249" i="79"/>
  <c r="F248" i="79"/>
  <c r="A248" i="79"/>
  <c r="F247" i="79"/>
  <c r="A247" i="79"/>
  <c r="F246" i="79"/>
  <c r="A246" i="79"/>
  <c r="F245" i="79"/>
  <c r="A245" i="79"/>
  <c r="F244" i="79"/>
  <c r="A244" i="79"/>
  <c r="F243" i="79"/>
  <c r="A243" i="79"/>
  <c r="F242" i="79"/>
  <c r="A242" i="79"/>
  <c r="F241" i="79"/>
  <c r="A241" i="79"/>
  <c r="F240" i="79"/>
  <c r="A240" i="79"/>
  <c r="F239" i="79"/>
  <c r="A239" i="79"/>
  <c r="F238" i="79"/>
  <c r="A238" i="79"/>
  <c r="F237" i="79"/>
  <c r="A237" i="79"/>
  <c r="F236" i="79"/>
  <c r="A236" i="79"/>
  <c r="F235" i="79"/>
  <c r="A235" i="79"/>
  <c r="F234" i="79"/>
  <c r="A234" i="79"/>
  <c r="F233" i="79"/>
  <c r="A233" i="79"/>
  <c r="F232" i="79"/>
  <c r="A232" i="79"/>
  <c r="F231" i="79"/>
  <c r="A231" i="79"/>
  <c r="F230" i="79"/>
  <c r="A230" i="79"/>
  <c r="F229" i="79"/>
  <c r="A229" i="79"/>
  <c r="F228" i="79"/>
  <c r="A228" i="79"/>
  <c r="F227" i="79"/>
  <c r="A227" i="79"/>
  <c r="F226" i="79"/>
  <c r="A226" i="79"/>
  <c r="F225" i="79"/>
  <c r="A225" i="79"/>
  <c r="F224" i="79"/>
  <c r="A224" i="79"/>
  <c r="F223" i="79"/>
  <c r="A223" i="79"/>
  <c r="F222" i="79"/>
  <c r="A222" i="79"/>
  <c r="F221" i="79"/>
  <c r="A221" i="79"/>
  <c r="F220" i="79"/>
  <c r="A220" i="79"/>
  <c r="F219" i="79"/>
  <c r="A219" i="79"/>
  <c r="F218" i="79"/>
  <c r="A218" i="79"/>
  <c r="F217" i="79"/>
  <c r="A217" i="79"/>
  <c r="F216" i="79"/>
  <c r="A216" i="79"/>
  <c r="F215" i="79"/>
  <c r="A215" i="79"/>
  <c r="F214" i="79"/>
  <c r="A214" i="79"/>
  <c r="F213" i="79"/>
  <c r="A213" i="79"/>
  <c r="F212" i="79"/>
  <c r="A212" i="79"/>
  <c r="F211" i="79"/>
  <c r="A211" i="79"/>
  <c r="F210" i="79"/>
  <c r="A210" i="79"/>
  <c r="F209" i="79"/>
  <c r="A209" i="79"/>
  <c r="F208" i="79"/>
  <c r="A208" i="79"/>
  <c r="F207" i="79"/>
  <c r="A207" i="79"/>
  <c r="F206" i="79"/>
  <c r="A206" i="79"/>
  <c r="F205" i="79"/>
  <c r="A205" i="79"/>
  <c r="F204" i="79"/>
  <c r="A204" i="79"/>
  <c r="F203" i="79"/>
  <c r="A203" i="79"/>
  <c r="F202" i="79"/>
  <c r="A202" i="79"/>
  <c r="F201" i="79"/>
  <c r="A201" i="79"/>
  <c r="F200" i="79"/>
  <c r="A200" i="79"/>
  <c r="F199" i="79"/>
  <c r="A199" i="79"/>
  <c r="F198" i="79"/>
  <c r="A198" i="79"/>
  <c r="F197" i="79"/>
  <c r="A197" i="79"/>
  <c r="F196" i="79"/>
  <c r="A196" i="79"/>
  <c r="F195" i="79"/>
  <c r="A195" i="79"/>
  <c r="F194" i="79"/>
  <c r="A194" i="79"/>
  <c r="F193" i="79"/>
  <c r="A193" i="79"/>
  <c r="F192" i="79"/>
  <c r="A192" i="79"/>
  <c r="F191" i="79"/>
  <c r="A191" i="79"/>
  <c r="F190" i="79"/>
  <c r="A190" i="79"/>
  <c r="F189" i="79"/>
  <c r="A189" i="79"/>
  <c r="F188" i="79"/>
  <c r="A188" i="79"/>
  <c r="F187" i="79"/>
  <c r="A187" i="79"/>
  <c r="F186" i="79"/>
  <c r="A186" i="79"/>
  <c r="F185" i="79"/>
  <c r="A185" i="79"/>
  <c r="F184" i="79"/>
  <c r="A184" i="79"/>
  <c r="F183" i="79"/>
  <c r="A183" i="79"/>
  <c r="F182" i="79"/>
  <c r="A182" i="79"/>
  <c r="F181" i="79"/>
  <c r="A181" i="79"/>
  <c r="F180" i="79"/>
  <c r="A180" i="79"/>
  <c r="F179" i="79"/>
  <c r="A179" i="79"/>
  <c r="F178" i="79"/>
  <c r="A178" i="79"/>
  <c r="F177" i="79"/>
  <c r="A177" i="79"/>
  <c r="F176" i="79"/>
  <c r="A176" i="79"/>
  <c r="F175" i="79"/>
  <c r="A175" i="79"/>
  <c r="F174" i="79"/>
  <c r="A174" i="79"/>
  <c r="F173" i="79"/>
  <c r="A173" i="79"/>
  <c r="F172" i="79"/>
  <c r="A172" i="79"/>
  <c r="F171" i="79"/>
  <c r="A171" i="79"/>
  <c r="F170" i="79"/>
  <c r="A170" i="79"/>
  <c r="F169" i="79"/>
  <c r="A169" i="79"/>
  <c r="F168" i="79"/>
  <c r="A168" i="79"/>
  <c r="F167" i="79"/>
  <c r="A167" i="79"/>
  <c r="F166" i="79"/>
  <c r="A166" i="79"/>
  <c r="F165" i="79"/>
  <c r="A165" i="79"/>
  <c r="F164" i="79"/>
  <c r="A164" i="79"/>
  <c r="F163" i="79"/>
  <c r="A163" i="79"/>
  <c r="F162" i="79"/>
  <c r="A162" i="79"/>
  <c r="F161" i="79"/>
  <c r="A161" i="79"/>
  <c r="L12" i="79"/>
  <c r="L19" i="79" s="1"/>
  <c r="G6" i="123" s="1"/>
  <c r="K12" i="79"/>
  <c r="K19" i="79" s="1"/>
  <c r="D6" i="123" s="1"/>
  <c r="J12" i="79"/>
  <c r="J19" i="79" s="1"/>
  <c r="L11" i="79"/>
  <c r="L18" i="79" s="1"/>
  <c r="K11" i="79"/>
  <c r="K18" i="79" s="1"/>
  <c r="J11" i="79"/>
  <c r="J18" i="79" s="1"/>
  <c r="L10" i="79"/>
  <c r="K10" i="79"/>
  <c r="J10" i="79"/>
  <c r="L7" i="79"/>
  <c r="L6" i="79"/>
  <c r="K6" i="79"/>
  <c r="J6" i="79"/>
  <c r="L3" i="79"/>
  <c r="L16" i="79" s="1"/>
  <c r="E6" i="123" s="1"/>
  <c r="K3" i="79"/>
  <c r="K16" i="79" s="1"/>
  <c r="B6" i="123" s="1"/>
  <c r="J3" i="79"/>
  <c r="J16" i="79" s="1"/>
  <c r="F339" i="57"/>
  <c r="A339" i="57"/>
  <c r="F338" i="57"/>
  <c r="A338" i="57"/>
  <c r="F337" i="57"/>
  <c r="A337" i="57"/>
  <c r="F336" i="57"/>
  <c r="A336" i="57"/>
  <c r="F335" i="57"/>
  <c r="A335" i="57"/>
  <c r="F334" i="57"/>
  <c r="A334" i="57"/>
  <c r="F333" i="57"/>
  <c r="A333" i="57"/>
  <c r="F332" i="57"/>
  <c r="A332" i="57"/>
  <c r="F331" i="57"/>
  <c r="A331" i="57"/>
  <c r="F330" i="57"/>
  <c r="A330" i="57"/>
  <c r="F329" i="57"/>
  <c r="A329" i="57"/>
  <c r="F328" i="57"/>
  <c r="A328" i="57"/>
  <c r="F327" i="57"/>
  <c r="A327" i="57"/>
  <c r="F326" i="57"/>
  <c r="A326" i="57"/>
  <c r="F325" i="57"/>
  <c r="A325" i="57"/>
  <c r="F324" i="57"/>
  <c r="A324" i="57"/>
  <c r="F323" i="57"/>
  <c r="A323" i="57"/>
  <c r="F322" i="57"/>
  <c r="A322" i="57"/>
  <c r="F321" i="57"/>
  <c r="A321" i="57"/>
  <c r="F320" i="57"/>
  <c r="A320" i="57"/>
  <c r="F319" i="57"/>
  <c r="A319" i="57"/>
  <c r="F318" i="57"/>
  <c r="A318" i="57"/>
  <c r="F317" i="57"/>
  <c r="A317" i="57"/>
  <c r="F316" i="57"/>
  <c r="A316" i="57"/>
  <c r="F315" i="57"/>
  <c r="A315" i="57"/>
  <c r="F314" i="57"/>
  <c r="A314" i="57"/>
  <c r="F313" i="57"/>
  <c r="A313" i="57"/>
  <c r="F312" i="57"/>
  <c r="A312" i="57"/>
  <c r="F311" i="57"/>
  <c r="A311" i="57"/>
  <c r="F310" i="57"/>
  <c r="A310" i="57"/>
  <c r="F309" i="57"/>
  <c r="A309" i="57"/>
  <c r="F308" i="57"/>
  <c r="A308" i="57"/>
  <c r="F307" i="57"/>
  <c r="A307" i="57"/>
  <c r="F306" i="57"/>
  <c r="A306" i="57"/>
  <c r="F305" i="57"/>
  <c r="A305" i="57"/>
  <c r="F304" i="57"/>
  <c r="A304" i="57"/>
  <c r="F303" i="57"/>
  <c r="A303" i="57"/>
  <c r="F302" i="57"/>
  <c r="A302" i="57"/>
  <c r="F301" i="57"/>
  <c r="A301" i="57"/>
  <c r="F300" i="57"/>
  <c r="A300" i="57"/>
  <c r="F299" i="57"/>
  <c r="A299" i="57"/>
  <c r="F298" i="57"/>
  <c r="A298" i="57"/>
  <c r="F297" i="57"/>
  <c r="A297" i="57"/>
  <c r="F296" i="57"/>
  <c r="A296" i="57"/>
  <c r="F295" i="57"/>
  <c r="A295" i="57"/>
  <c r="F294" i="57"/>
  <c r="A294" i="57"/>
  <c r="F293" i="57"/>
  <c r="A293" i="57"/>
  <c r="F292" i="57"/>
  <c r="A292" i="57"/>
  <c r="F291" i="57"/>
  <c r="A291" i="57"/>
  <c r="F290" i="57"/>
  <c r="A290" i="57"/>
  <c r="F289" i="57"/>
  <c r="A289" i="57"/>
  <c r="F288" i="57"/>
  <c r="A288" i="57"/>
  <c r="F287" i="57"/>
  <c r="A287" i="57"/>
  <c r="F286" i="57"/>
  <c r="A286" i="57"/>
  <c r="F285" i="57"/>
  <c r="A285" i="57"/>
  <c r="F284" i="57"/>
  <c r="A284" i="57"/>
  <c r="F283" i="57"/>
  <c r="A283" i="57"/>
  <c r="F282" i="57"/>
  <c r="A282" i="57"/>
  <c r="F281" i="57"/>
  <c r="A281" i="57"/>
  <c r="F280" i="57"/>
  <c r="A280" i="57"/>
  <c r="F279" i="57"/>
  <c r="A279" i="57"/>
  <c r="F278" i="57"/>
  <c r="A278" i="57"/>
  <c r="F277" i="57"/>
  <c r="A277" i="57"/>
  <c r="F276" i="57"/>
  <c r="A276" i="57"/>
  <c r="F275" i="57"/>
  <c r="A275" i="57"/>
  <c r="F274" i="57"/>
  <c r="A274" i="57"/>
  <c r="F273" i="57"/>
  <c r="A273" i="57"/>
  <c r="F272" i="57"/>
  <c r="A272" i="57"/>
  <c r="F271" i="57"/>
  <c r="A271" i="57"/>
  <c r="F270" i="57"/>
  <c r="A270" i="57"/>
  <c r="F269" i="57"/>
  <c r="A269" i="57"/>
  <c r="F268" i="57"/>
  <c r="A268" i="57"/>
  <c r="F267" i="57"/>
  <c r="A267" i="57"/>
  <c r="F266" i="57"/>
  <c r="A266" i="57"/>
  <c r="F265" i="57"/>
  <c r="A265" i="57"/>
  <c r="F264" i="57"/>
  <c r="A264" i="57"/>
  <c r="F263" i="57"/>
  <c r="A263" i="57"/>
  <c r="F262" i="57"/>
  <c r="A262" i="57"/>
  <c r="F261" i="57"/>
  <c r="A261" i="57"/>
  <c r="F260" i="57"/>
  <c r="A260" i="57"/>
  <c r="F259" i="57"/>
  <c r="A259" i="57"/>
  <c r="F258" i="57"/>
  <c r="A258" i="57"/>
  <c r="F257" i="57"/>
  <c r="A257" i="57"/>
  <c r="F256" i="57"/>
  <c r="A256" i="57"/>
  <c r="F255" i="57"/>
  <c r="A255" i="57"/>
  <c r="F254" i="57"/>
  <c r="A254" i="57"/>
  <c r="F253" i="57"/>
  <c r="A253" i="57"/>
  <c r="F252" i="57"/>
  <c r="A252" i="57"/>
  <c r="F251" i="57"/>
  <c r="A251" i="57"/>
  <c r="F250" i="57"/>
  <c r="A250" i="57"/>
  <c r="F249" i="57"/>
  <c r="A249" i="57"/>
  <c r="F248" i="57"/>
  <c r="A248" i="57"/>
  <c r="F247" i="57"/>
  <c r="A247" i="57"/>
  <c r="F246" i="57"/>
  <c r="A246" i="57"/>
  <c r="F245" i="57"/>
  <c r="A245" i="57"/>
  <c r="F244" i="57"/>
  <c r="A244" i="57"/>
  <c r="F243" i="57"/>
  <c r="A243" i="57"/>
  <c r="F242" i="57"/>
  <c r="A242" i="57"/>
  <c r="F241" i="57"/>
  <c r="A241" i="57"/>
  <c r="F240" i="57"/>
  <c r="A240" i="57"/>
  <c r="F239" i="57"/>
  <c r="A239" i="57"/>
  <c r="F238" i="57"/>
  <c r="A238" i="57"/>
  <c r="F237" i="57"/>
  <c r="A237" i="57"/>
  <c r="F236" i="57"/>
  <c r="A236" i="57"/>
  <c r="F235" i="57"/>
  <c r="A235" i="57"/>
  <c r="F234" i="57"/>
  <c r="A234" i="57"/>
  <c r="F233" i="57"/>
  <c r="A233" i="57"/>
  <c r="F232" i="57"/>
  <c r="A232" i="57"/>
  <c r="F231" i="57"/>
  <c r="A231" i="57"/>
  <c r="F230" i="57"/>
  <c r="A230" i="57"/>
  <c r="F229" i="57"/>
  <c r="A229" i="57"/>
  <c r="F228" i="57"/>
  <c r="A228" i="57"/>
  <c r="F227" i="57"/>
  <c r="A227" i="57"/>
  <c r="F226" i="57"/>
  <c r="A226" i="57"/>
  <c r="F225" i="57"/>
  <c r="A225" i="57"/>
  <c r="F224" i="57"/>
  <c r="A224" i="57"/>
  <c r="F223" i="57"/>
  <c r="A223" i="57"/>
  <c r="F222" i="57"/>
  <c r="A222" i="57"/>
  <c r="F221" i="57"/>
  <c r="A221" i="57"/>
  <c r="F220" i="57"/>
  <c r="A220" i="57"/>
  <c r="F219" i="57"/>
  <c r="A219" i="57"/>
  <c r="F218" i="57"/>
  <c r="A218" i="57"/>
  <c r="F217" i="57"/>
  <c r="A217" i="57"/>
  <c r="F216" i="57"/>
  <c r="A216" i="57"/>
  <c r="F215" i="57"/>
  <c r="A215" i="57"/>
  <c r="F214" i="57"/>
  <c r="A214" i="57"/>
  <c r="F213" i="57"/>
  <c r="A213" i="57"/>
  <c r="F212" i="57"/>
  <c r="A212" i="57"/>
  <c r="F211" i="57"/>
  <c r="A211" i="57"/>
  <c r="F210" i="57"/>
  <c r="A210" i="57"/>
  <c r="F209" i="57"/>
  <c r="A209" i="57"/>
  <c r="F208" i="57"/>
  <c r="A208" i="57"/>
  <c r="F207" i="57"/>
  <c r="A207" i="57"/>
  <c r="F206" i="57"/>
  <c r="A206" i="57"/>
  <c r="F205" i="57"/>
  <c r="A205" i="57"/>
  <c r="F204" i="57"/>
  <c r="A204" i="57"/>
  <c r="F203" i="57"/>
  <c r="A203" i="57"/>
  <c r="F202" i="57"/>
  <c r="A202" i="57"/>
  <c r="F201" i="57"/>
  <c r="A201" i="57"/>
  <c r="F200" i="57"/>
  <c r="A200" i="57"/>
  <c r="F199" i="57"/>
  <c r="A199" i="57"/>
  <c r="F198" i="57"/>
  <c r="A198" i="57"/>
  <c r="F197" i="57"/>
  <c r="A197" i="57"/>
  <c r="F196" i="57"/>
  <c r="A196" i="57"/>
  <c r="F195" i="57"/>
  <c r="A195" i="57"/>
  <c r="F194" i="57"/>
  <c r="A194" i="57"/>
  <c r="F193" i="57"/>
  <c r="A193" i="57"/>
  <c r="F192" i="57"/>
  <c r="A192" i="57"/>
  <c r="F191" i="57"/>
  <c r="A191" i="57"/>
  <c r="F190" i="57"/>
  <c r="A190" i="57"/>
  <c r="F189" i="57"/>
  <c r="A189" i="57"/>
  <c r="F188" i="57"/>
  <c r="A188" i="57"/>
  <c r="F187" i="57"/>
  <c r="A187" i="57"/>
  <c r="F186" i="57"/>
  <c r="A186" i="57"/>
  <c r="F185" i="57"/>
  <c r="A185" i="57"/>
  <c r="F184" i="57"/>
  <c r="A184" i="57"/>
  <c r="F183" i="57"/>
  <c r="A183" i="57"/>
  <c r="F182" i="57"/>
  <c r="A182" i="57"/>
  <c r="F181" i="57"/>
  <c r="A181" i="57"/>
  <c r="F180" i="57"/>
  <c r="A180" i="57"/>
  <c r="F179" i="57"/>
  <c r="A179" i="57"/>
  <c r="F178" i="57"/>
  <c r="A178" i="57"/>
  <c r="F177" i="57"/>
  <c r="A177" i="57"/>
  <c r="F176" i="57"/>
  <c r="A176" i="57"/>
  <c r="F175" i="57"/>
  <c r="A175" i="57"/>
  <c r="F174" i="57"/>
  <c r="A174" i="57"/>
  <c r="F173" i="57"/>
  <c r="A173" i="57"/>
  <c r="F172" i="57"/>
  <c r="A172" i="57"/>
  <c r="F171" i="57"/>
  <c r="A171" i="57"/>
  <c r="F170" i="57"/>
  <c r="A170" i="57"/>
  <c r="F169" i="57"/>
  <c r="A169" i="57"/>
  <c r="F168" i="57"/>
  <c r="A168" i="57"/>
  <c r="F167" i="57"/>
  <c r="A167" i="57"/>
  <c r="F166" i="57"/>
  <c r="A166" i="57"/>
  <c r="F165" i="57"/>
  <c r="A165" i="57"/>
  <c r="F164" i="57"/>
  <c r="A164" i="57"/>
  <c r="F163" i="57"/>
  <c r="A163" i="57"/>
  <c r="F162" i="57"/>
  <c r="A162" i="57"/>
  <c r="F161" i="57"/>
  <c r="A161" i="57"/>
  <c r="L12" i="57"/>
  <c r="L19" i="57" s="1"/>
  <c r="G5" i="123" s="1"/>
  <c r="J12" i="57"/>
  <c r="J19" i="57" s="1"/>
  <c r="L11" i="57"/>
  <c r="L18" i="57" s="1"/>
  <c r="K11" i="57"/>
  <c r="K18" i="57" s="1"/>
  <c r="J11" i="57"/>
  <c r="J18" i="57" s="1"/>
  <c r="L10" i="57"/>
  <c r="K10" i="57"/>
  <c r="J10" i="57"/>
  <c r="L7" i="57"/>
  <c r="K7" i="57"/>
  <c r="J7" i="57"/>
  <c r="L6" i="57"/>
  <c r="K6" i="57"/>
  <c r="J6" i="57"/>
  <c r="L5" i="57"/>
  <c r="K5" i="57"/>
  <c r="J5" i="57"/>
  <c r="L4" i="57"/>
  <c r="K4" i="57"/>
  <c r="J4" i="57"/>
  <c r="K5" i="121" l="1"/>
  <c r="K17" i="121" s="1"/>
  <c r="C45" i="123" s="1"/>
  <c r="K10" i="114"/>
  <c r="K17" i="114" s="1"/>
  <c r="C39" i="123" s="1"/>
  <c r="K6" i="91"/>
  <c r="L6" i="91"/>
  <c r="L4" i="106"/>
  <c r="K3" i="102"/>
  <c r="K16" i="102" s="1"/>
  <c r="B27" i="123" s="1"/>
  <c r="J6" i="82"/>
  <c r="K7" i="97"/>
  <c r="J9" i="95"/>
  <c r="J21" i="95" s="1"/>
  <c r="I20" i="123" s="1"/>
  <c r="K11" i="112"/>
  <c r="K18" i="112" s="1"/>
  <c r="K7" i="96"/>
  <c r="K6" i="102"/>
  <c r="L6" i="102"/>
  <c r="K6" i="100"/>
  <c r="J9" i="104"/>
  <c r="J21" i="104" s="1"/>
  <c r="I29" i="123" s="1"/>
  <c r="K7" i="87"/>
  <c r="L9" i="79"/>
  <c r="L21" i="79" s="1"/>
  <c r="L9" i="91"/>
  <c r="L21" i="91" s="1"/>
  <c r="J9" i="91"/>
  <c r="J21" i="91" s="1"/>
  <c r="I16" i="123" s="1"/>
  <c r="J5" i="86"/>
  <c r="J17" i="86" s="1"/>
  <c r="K5" i="86"/>
  <c r="K5" i="83"/>
  <c r="K12" i="121"/>
  <c r="K19" i="121" s="1"/>
  <c r="D45" i="123" s="1"/>
  <c r="K7" i="88"/>
  <c r="L6" i="85"/>
  <c r="K3" i="80"/>
  <c r="K16" i="80" s="1"/>
  <c r="B7" i="123" s="1"/>
  <c r="K4" i="86"/>
  <c r="K3" i="112"/>
  <c r="K16" i="112" s="1"/>
  <c r="B37" i="123" s="1"/>
  <c r="L9" i="122"/>
  <c r="L21" i="122" s="1"/>
  <c r="K9" i="122"/>
  <c r="K21" i="122" s="1"/>
  <c r="K4" i="102"/>
  <c r="L9" i="103"/>
  <c r="L21" i="103" s="1"/>
  <c r="L9" i="120"/>
  <c r="L21" i="120" s="1"/>
  <c r="L4" i="110"/>
  <c r="L17" i="110" s="1"/>
  <c r="F35" i="123" s="1"/>
  <c r="J5" i="80"/>
  <c r="K5" i="79"/>
  <c r="J6" i="90"/>
  <c r="K3" i="57"/>
  <c r="K16" i="57" s="1"/>
  <c r="B5" i="123" s="1"/>
  <c r="L9" i="87"/>
  <c r="L20" i="87" s="1"/>
  <c r="J9" i="87"/>
  <c r="J20" i="87" s="1"/>
  <c r="I12" i="123" s="1"/>
  <c r="L5" i="79"/>
  <c r="J4" i="90"/>
  <c r="K7" i="79"/>
  <c r="L6" i="80"/>
  <c r="L5" i="107"/>
  <c r="L17" i="107" s="1"/>
  <c r="F32" i="123" s="1"/>
  <c r="L9" i="80"/>
  <c r="L21" i="80" s="1"/>
  <c r="J9" i="80"/>
  <c r="J21" i="80" s="1"/>
  <c r="I7" i="123" s="1"/>
  <c r="K6" i="109"/>
  <c r="K17" i="109" s="1"/>
  <c r="C34" i="123" s="1"/>
  <c r="L6" i="109"/>
  <c r="L17" i="109" s="1"/>
  <c r="F34" i="123" s="1"/>
  <c r="J4" i="96"/>
  <c r="L4" i="105"/>
  <c r="J6" i="102"/>
  <c r="L7" i="103"/>
  <c r="K10" i="105"/>
  <c r="L9" i="97"/>
  <c r="L21" i="97" s="1"/>
  <c r="K9" i="97"/>
  <c r="K21" i="97" s="1"/>
  <c r="L9" i="95"/>
  <c r="L21" i="95" s="1"/>
  <c r="L5" i="95"/>
  <c r="K9" i="96"/>
  <c r="K21" i="96" s="1"/>
  <c r="K9" i="120"/>
  <c r="K21" i="120" s="1"/>
  <c r="J9" i="120"/>
  <c r="J21" i="120" s="1"/>
  <c r="I44" i="123" s="1"/>
  <c r="K8" i="118"/>
  <c r="L4" i="96"/>
  <c r="J5" i="89"/>
  <c r="L4" i="87"/>
  <c r="J9" i="79"/>
  <c r="J21" i="79" s="1"/>
  <c r="I6" i="123" s="1"/>
  <c r="K9" i="79"/>
  <c r="K21" i="79" s="1"/>
  <c r="K7" i="92"/>
  <c r="K12" i="57"/>
  <c r="K19" i="57" s="1"/>
  <c r="D5" i="123" s="1"/>
  <c r="K9" i="87"/>
  <c r="K20" i="87" s="1"/>
  <c r="J9" i="121"/>
  <c r="J21" i="121" s="1"/>
  <c r="I45" i="123" s="1"/>
  <c r="K7" i="103"/>
  <c r="J9" i="105"/>
  <c r="J21" i="105" s="1"/>
  <c r="I30" i="123" s="1"/>
  <c r="L9" i="105"/>
  <c r="L21" i="105" s="1"/>
  <c r="K9" i="105"/>
  <c r="K21" i="105" s="1"/>
  <c r="K7" i="91"/>
  <c r="K6" i="88"/>
  <c r="J9" i="92"/>
  <c r="J21" i="92" s="1"/>
  <c r="I17" i="123" s="1"/>
  <c r="L9" i="92"/>
  <c r="L21" i="92" s="1"/>
  <c r="K9" i="80"/>
  <c r="K21" i="80" s="1"/>
  <c r="K6" i="108"/>
  <c r="L5" i="90"/>
  <c r="J5" i="90"/>
  <c r="L10" i="114"/>
  <c r="L17" i="114" s="1"/>
  <c r="F39" i="123" s="1"/>
  <c r="J9" i="83"/>
  <c r="J21" i="83" s="1"/>
  <c r="I9" i="123" s="1"/>
  <c r="L9" i="83"/>
  <c r="L21" i="83" s="1"/>
  <c r="L5" i="80"/>
  <c r="K9" i="121"/>
  <c r="K21" i="121" s="1"/>
  <c r="J6" i="105"/>
  <c r="K9" i="98"/>
  <c r="K21" i="98" s="1"/>
  <c r="J4" i="98"/>
  <c r="L9" i="118"/>
  <c r="L21" i="118" s="1"/>
  <c r="J5" i="102"/>
  <c r="L4" i="98"/>
  <c r="K9" i="95"/>
  <c r="K21" i="95" s="1"/>
  <c r="L5" i="102"/>
  <c r="L5" i="98"/>
  <c r="K5" i="102"/>
  <c r="L6" i="96"/>
  <c r="L11" i="119"/>
  <c r="L18" i="119" s="1"/>
  <c r="L9" i="102"/>
  <c r="L21" i="102" s="1"/>
  <c r="J9" i="102"/>
  <c r="J21" i="102" s="1"/>
  <c r="I27" i="123" s="1"/>
  <c r="K5" i="98"/>
  <c r="J5" i="98"/>
  <c r="K9" i="100"/>
  <c r="K21" i="100" s="1"/>
  <c r="K5" i="100"/>
  <c r="J5" i="103"/>
  <c r="J4" i="102"/>
  <c r="L4" i="102"/>
  <c r="L5" i="100"/>
  <c r="L4" i="100"/>
  <c r="L4" i="103"/>
  <c r="J4" i="100"/>
  <c r="J7" i="79"/>
  <c r="J4" i="87"/>
  <c r="K6" i="80"/>
  <c r="K9" i="91"/>
  <c r="K21" i="91" s="1"/>
  <c r="J9" i="85"/>
  <c r="J21" i="85" s="1"/>
  <c r="I10" i="123" s="1"/>
  <c r="L9" i="85"/>
  <c r="L21" i="85" s="1"/>
  <c r="K9" i="92"/>
  <c r="K21" i="92" s="1"/>
  <c r="J5" i="91"/>
  <c r="L5" i="91"/>
  <c r="L4" i="80"/>
  <c r="J5" i="93"/>
  <c r="L4" i="79"/>
  <c r="J4" i="79"/>
  <c r="K7" i="93"/>
  <c r="K6" i="90"/>
  <c r="L9" i="89"/>
  <c r="L21" i="89" s="1"/>
  <c r="L9" i="88"/>
  <c r="L21" i="88" s="1"/>
  <c r="K12" i="122"/>
  <c r="K19" i="122" s="1"/>
  <c r="D46" i="123" s="1"/>
  <c r="K5" i="91"/>
  <c r="J9" i="88"/>
  <c r="J21" i="88" s="1"/>
  <c r="I13" i="123" s="1"/>
  <c r="J12" i="122"/>
  <c r="J19" i="122" s="1"/>
  <c r="L3" i="113"/>
  <c r="L16" i="113" s="1"/>
  <c r="E38" i="123" s="1"/>
  <c r="K7" i="104"/>
  <c r="J11" i="119"/>
  <c r="J18" i="119" s="1"/>
  <c r="K11" i="119"/>
  <c r="K18" i="119" s="1"/>
  <c r="J7" i="104"/>
  <c r="K6" i="82"/>
  <c r="L5" i="103"/>
  <c r="J12" i="99"/>
  <c r="J19" i="99" s="1"/>
  <c r="K4" i="98"/>
  <c r="J5" i="100"/>
  <c r="L4" i="95"/>
  <c r="K4" i="96"/>
  <c r="J5" i="94"/>
  <c r="L5" i="94"/>
  <c r="K9" i="103"/>
  <c r="K21" i="103" s="1"/>
  <c r="J4" i="105"/>
  <c r="L5" i="96"/>
  <c r="J9" i="118"/>
  <c r="J21" i="118" s="1"/>
  <c r="I42" i="123" s="1"/>
  <c r="K5" i="99"/>
  <c r="K17" i="99" s="1"/>
  <c r="C24" i="123" s="1"/>
  <c r="K4" i="103"/>
  <c r="J5" i="99"/>
  <c r="J17" i="99" s="1"/>
  <c r="K7" i="98"/>
  <c r="J4" i="103"/>
  <c r="J6" i="100"/>
  <c r="J3" i="113"/>
  <c r="J16" i="113" s="1"/>
  <c r="J11" i="120"/>
  <c r="J18" i="120" s="1"/>
  <c r="K9" i="118"/>
  <c r="K4" i="105"/>
  <c r="K4" i="94"/>
  <c r="L4" i="94"/>
  <c r="K5" i="96"/>
  <c r="L9" i="82"/>
  <c r="L21" i="82" s="1"/>
  <c r="J9" i="82"/>
  <c r="J21" i="82" s="1"/>
  <c r="I8" i="123" s="1"/>
  <c r="K9" i="82"/>
  <c r="K21" i="82" s="1"/>
  <c r="L11" i="120"/>
  <c r="L18" i="120" s="1"/>
  <c r="J17" i="120"/>
  <c r="K17" i="120"/>
  <c r="C44" i="123" s="1"/>
  <c r="L17" i="120"/>
  <c r="F44" i="123" s="1"/>
  <c r="K5" i="105"/>
  <c r="L5" i="105"/>
  <c r="L12" i="95"/>
  <c r="L19" i="95" s="1"/>
  <c r="G20" i="123" s="1"/>
  <c r="J12" i="95"/>
  <c r="J19" i="95" s="1"/>
  <c r="J5" i="95"/>
  <c r="K7" i="89"/>
  <c r="J9" i="89"/>
  <c r="J21" i="89" s="1"/>
  <c r="I14" i="123" s="1"/>
  <c r="L4" i="91"/>
  <c r="K6" i="107"/>
  <c r="L4" i="90"/>
  <c r="L3" i="110"/>
  <c r="L16" i="110" s="1"/>
  <c r="E35" i="123" s="1"/>
  <c r="K9" i="89"/>
  <c r="K21" i="89" s="1"/>
  <c r="K9" i="88"/>
  <c r="K21" i="88" s="1"/>
  <c r="J5" i="83"/>
  <c r="J17" i="83" s="1"/>
  <c r="J11" i="83"/>
  <c r="J18" i="83" s="1"/>
  <c r="K9" i="83"/>
  <c r="K21" i="83" s="1"/>
  <c r="J4" i="85"/>
  <c r="L9" i="93"/>
  <c r="L21" i="93" s="1"/>
  <c r="J9" i="93"/>
  <c r="J21" i="93" s="1"/>
  <c r="I18" i="123" s="1"/>
  <c r="J3" i="110"/>
  <c r="J16" i="110" s="1"/>
  <c r="J5" i="79"/>
  <c r="K4" i="80"/>
  <c r="L11" i="122"/>
  <c r="L18" i="122" s="1"/>
  <c r="K4" i="108"/>
  <c r="L4" i="89"/>
  <c r="K5" i="107"/>
  <c r="K4" i="107"/>
  <c r="J5" i="107"/>
  <c r="J17" i="107" s="1"/>
  <c r="J4" i="80"/>
  <c r="J10" i="114"/>
  <c r="J17" i="114" s="1"/>
  <c r="J20" i="114" s="1"/>
  <c r="K9" i="85"/>
  <c r="K21" i="85" s="1"/>
  <c r="L4" i="88"/>
  <c r="K4" i="85"/>
  <c r="J5" i="88"/>
  <c r="J5" i="87"/>
  <c r="L5" i="87"/>
  <c r="L4" i="85"/>
  <c r="J10" i="112"/>
  <c r="J17" i="112" s="1"/>
  <c r="J20" i="112" s="1"/>
  <c r="J3" i="57"/>
  <c r="J16" i="57" s="1"/>
  <c r="L3" i="57"/>
  <c r="L16" i="57" s="1"/>
  <c r="E5" i="123" s="1"/>
  <c r="L5" i="88"/>
  <c r="J9" i="90"/>
  <c r="J21" i="90" s="1"/>
  <c r="I15" i="123" s="1"/>
  <c r="L9" i="90"/>
  <c r="L21" i="90" s="1"/>
  <c r="K9" i="90"/>
  <c r="K21" i="90" s="1"/>
  <c r="J5" i="85"/>
  <c r="K4" i="87"/>
  <c r="L10" i="112"/>
  <c r="L17" i="112" s="1"/>
  <c r="F37" i="123" s="1"/>
  <c r="K4" i="97"/>
  <c r="L5" i="106"/>
  <c r="J11" i="121"/>
  <c r="J18" i="121" s="1"/>
  <c r="K4" i="88"/>
  <c r="K17" i="110"/>
  <c r="C35" i="123" s="1"/>
  <c r="J17" i="110"/>
  <c r="K5" i="113"/>
  <c r="J3" i="111"/>
  <c r="J16" i="111" s="1"/>
  <c r="L3" i="111"/>
  <c r="L16" i="111" s="1"/>
  <c r="E36" i="123" s="1"/>
  <c r="K7" i="102"/>
  <c r="J5" i="113"/>
  <c r="J17" i="113" s="1"/>
  <c r="J4" i="94"/>
  <c r="J5" i="96"/>
  <c r="L6" i="103"/>
  <c r="K4" i="113"/>
  <c r="J3" i="99"/>
  <c r="J16" i="99" s="1"/>
  <c r="J5" i="105"/>
  <c r="L5" i="82"/>
  <c r="J5" i="97"/>
  <c r="J17" i="97" s="1"/>
  <c r="K9" i="106"/>
  <c r="K21" i="106" s="1"/>
  <c r="J4" i="82"/>
  <c r="J5" i="106"/>
  <c r="K3" i="111"/>
  <c r="K16" i="111" s="1"/>
  <c r="B36" i="123" s="1"/>
  <c r="K9" i="102"/>
  <c r="K21" i="102" s="1"/>
  <c r="L4" i="82"/>
  <c r="J4" i="106"/>
  <c r="J12" i="97"/>
  <c r="J19" i="97" s="1"/>
  <c r="J9" i="119"/>
  <c r="J21" i="119" s="1"/>
  <c r="I43" i="123" s="1"/>
  <c r="L9" i="119"/>
  <c r="L21" i="119" s="1"/>
  <c r="L3" i="99"/>
  <c r="L16" i="99" s="1"/>
  <c r="E24" i="123" s="1"/>
  <c r="J5" i="82"/>
  <c r="K7" i="100"/>
  <c r="J4" i="95"/>
  <c r="J7" i="100"/>
  <c r="K5" i="103"/>
  <c r="K6" i="96"/>
  <c r="L17" i="113"/>
  <c r="F38" i="123" s="1"/>
  <c r="K3" i="99"/>
  <c r="K16" i="99" s="1"/>
  <c r="B24" i="123" s="1"/>
  <c r="J17" i="111"/>
  <c r="K17" i="111"/>
  <c r="C36" i="123" s="1"/>
  <c r="L17" i="111"/>
  <c r="F36" i="123" s="1"/>
  <c r="K9" i="104"/>
  <c r="K21" i="104" s="1"/>
  <c r="J11" i="118"/>
  <c r="J18" i="118" s="1"/>
  <c r="L11" i="118"/>
  <c r="L18" i="118" s="1"/>
  <c r="K12" i="97"/>
  <c r="K19" i="97" s="1"/>
  <c r="D22" i="123" s="1"/>
  <c r="K5" i="97"/>
  <c r="J5" i="104"/>
  <c r="K5" i="104"/>
  <c r="L5" i="104"/>
  <c r="K4" i="104"/>
  <c r="L4" i="104"/>
  <c r="J4" i="104"/>
  <c r="L9" i="94"/>
  <c r="L21" i="94" s="1"/>
  <c r="J9" i="94"/>
  <c r="J21" i="94" s="1"/>
  <c r="I19" i="123" s="1"/>
  <c r="L17" i="99"/>
  <c r="F24" i="123" s="1"/>
  <c r="K9" i="94"/>
  <c r="K21" i="94" s="1"/>
  <c r="L12" i="97"/>
  <c r="L19" i="97" s="1"/>
  <c r="G22" i="123" s="1"/>
  <c r="L5" i="97"/>
  <c r="L17" i="97" s="1"/>
  <c r="F22" i="123" s="1"/>
  <c r="K4" i="106"/>
  <c r="J3" i="109"/>
  <c r="J16" i="109" s="1"/>
  <c r="L3" i="109"/>
  <c r="L16" i="109" s="1"/>
  <c r="E34" i="123" s="1"/>
  <c r="K3" i="109"/>
  <c r="K16" i="109" s="1"/>
  <c r="B34" i="123" s="1"/>
  <c r="K11" i="118"/>
  <c r="K18" i="118" s="1"/>
  <c r="K4" i="82"/>
  <c r="J17" i="119"/>
  <c r="K17" i="119"/>
  <c r="C43" i="123" s="1"/>
  <c r="L17" i="119"/>
  <c r="F43" i="123" s="1"/>
  <c r="L4" i="92"/>
  <c r="J17" i="118"/>
  <c r="K17" i="118"/>
  <c r="C42" i="123" s="1"/>
  <c r="L17" i="118"/>
  <c r="F42" i="123" s="1"/>
  <c r="J17" i="109"/>
  <c r="L3" i="86"/>
  <c r="L16" i="86" s="1"/>
  <c r="E11" i="123" s="1"/>
  <c r="K3" i="86"/>
  <c r="K16" i="86" s="1"/>
  <c r="B11" i="123" s="1"/>
  <c r="J4" i="88"/>
  <c r="J12" i="83"/>
  <c r="J19" i="83" s="1"/>
  <c r="L12" i="83"/>
  <c r="L19" i="83" s="1"/>
  <c r="G9" i="123" s="1"/>
  <c r="K5" i="87"/>
  <c r="K6" i="87"/>
  <c r="K4" i="91"/>
  <c r="K11" i="121"/>
  <c r="K18" i="121" s="1"/>
  <c r="L11" i="121"/>
  <c r="L18" i="121" s="1"/>
  <c r="K12" i="83"/>
  <c r="K19" i="83" s="1"/>
  <c r="D9" i="123" s="1"/>
  <c r="J6" i="87"/>
  <c r="K5" i="93"/>
  <c r="J11" i="122"/>
  <c r="J18" i="122" s="1"/>
  <c r="K11" i="122"/>
  <c r="K18" i="122" s="1"/>
  <c r="L5" i="92"/>
  <c r="J4" i="91"/>
  <c r="J4" i="93"/>
  <c r="K4" i="93"/>
  <c r="L4" i="93"/>
  <c r="L5" i="89"/>
  <c r="L5" i="108"/>
  <c r="L17" i="108" s="1"/>
  <c r="F33" i="123" s="1"/>
  <c r="K9" i="93"/>
  <c r="K21" i="93" s="1"/>
  <c r="J4" i="92"/>
  <c r="J3" i="86"/>
  <c r="J16" i="86" s="1"/>
  <c r="J3" i="107"/>
  <c r="J16" i="107" s="1"/>
  <c r="L3" i="107"/>
  <c r="L16" i="107" s="1"/>
  <c r="E32" i="123" s="1"/>
  <c r="L5" i="93"/>
  <c r="J5" i="108"/>
  <c r="J17" i="108" s="1"/>
  <c r="J9" i="108"/>
  <c r="J21" i="108" s="1"/>
  <c r="I33" i="123" s="1"/>
  <c r="L9" i="108"/>
  <c r="L21" i="108" s="1"/>
  <c r="J4" i="89"/>
  <c r="K4" i="90"/>
  <c r="K5" i="90"/>
  <c r="J5" i="92"/>
  <c r="K4" i="89"/>
  <c r="K9" i="108"/>
  <c r="K21" i="108" s="1"/>
  <c r="L17" i="86"/>
  <c r="F11" i="123" s="1"/>
  <c r="K4" i="83"/>
  <c r="K5" i="85"/>
  <c r="K6" i="85"/>
  <c r="J17" i="121"/>
  <c r="L17" i="121"/>
  <c r="F45" i="123" s="1"/>
  <c r="L17" i="83"/>
  <c r="F9" i="123" s="1"/>
  <c r="K17" i="57"/>
  <c r="C5" i="123" s="1"/>
  <c r="J17" i="57"/>
  <c r="L17" i="57"/>
  <c r="F5" i="123" s="1"/>
  <c r="J12" i="108"/>
  <c r="J19" i="108" s="1"/>
  <c r="K12" i="108"/>
  <c r="K19" i="108" s="1"/>
  <c r="D33" i="123" s="1"/>
  <c r="L12" i="108"/>
  <c r="L19" i="108" s="1"/>
  <c r="G33" i="123" s="1"/>
  <c r="K17" i="122"/>
  <c r="C46" i="123" s="1"/>
  <c r="L17" i="122"/>
  <c r="F46" i="123" s="1"/>
  <c r="J17" i="122"/>
  <c r="K4" i="92"/>
  <c r="K3" i="107"/>
  <c r="K16" i="107" s="1"/>
  <c r="B32" i="123" s="1"/>
  <c r="K5" i="92"/>
  <c r="H40" i="123"/>
  <c r="H41" i="123"/>
  <c r="K4" i="79"/>
  <c r="L17" i="106" l="1"/>
  <c r="F31" i="123" s="1"/>
  <c r="L17" i="85"/>
  <c r="F10" i="123" s="1"/>
  <c r="K17" i="86"/>
  <c r="C11" i="123" s="1"/>
  <c r="H11" i="123" s="1"/>
  <c r="K17" i="83"/>
  <c r="C9" i="123" s="1"/>
  <c r="H9" i="123" s="1"/>
  <c r="J17" i="80"/>
  <c r="J20" i="80" s="1"/>
  <c r="L17" i="79"/>
  <c r="F6" i="123" s="1"/>
  <c r="K10" i="112"/>
  <c r="K17" i="112" s="1"/>
  <c r="C37" i="123" s="1"/>
  <c r="H37" i="123" s="1"/>
  <c r="K9" i="119"/>
  <c r="K21" i="119" s="1"/>
  <c r="J17" i="90"/>
  <c r="J20" i="90" s="1"/>
  <c r="K3" i="110"/>
  <c r="K16" i="110" s="1"/>
  <c r="B35" i="123" s="1"/>
  <c r="H35" i="123" s="1"/>
  <c r="J17" i="89"/>
  <c r="J20" i="89" s="1"/>
  <c r="L17" i="105"/>
  <c r="F30" i="123" s="1"/>
  <c r="J17" i="96"/>
  <c r="J20" i="96" s="1"/>
  <c r="K21" i="118"/>
  <c r="K5" i="82"/>
  <c r="K17" i="82" s="1"/>
  <c r="C8" i="123" s="1"/>
  <c r="K3" i="113"/>
  <c r="K16" i="113" s="1"/>
  <c r="B38" i="123" s="1"/>
  <c r="L17" i="95"/>
  <c r="F20" i="123" s="1"/>
  <c r="L16" i="87"/>
  <c r="F12" i="123" s="1"/>
  <c r="L17" i="80"/>
  <c r="F7" i="123" s="1"/>
  <c r="L17" i="90"/>
  <c r="F15" i="123" s="1"/>
  <c r="K5" i="80"/>
  <c r="K17" i="80" s="1"/>
  <c r="C7" i="123" s="1"/>
  <c r="H7" i="123" s="1"/>
  <c r="J17" i="93"/>
  <c r="J20" i="93" s="1"/>
  <c r="L17" i="96"/>
  <c r="F21" i="123" s="1"/>
  <c r="J17" i="102"/>
  <c r="J20" i="102" s="1"/>
  <c r="J17" i="98"/>
  <c r="J20" i="98" s="1"/>
  <c r="J17" i="103"/>
  <c r="J20" i="103" s="1"/>
  <c r="J20" i="113"/>
  <c r="L17" i="98"/>
  <c r="F23" i="123" s="1"/>
  <c r="L17" i="102"/>
  <c r="F27" i="123" s="1"/>
  <c r="K5" i="106"/>
  <c r="K17" i="106" s="1"/>
  <c r="C31" i="123" s="1"/>
  <c r="H31" i="123" s="1"/>
  <c r="K4" i="100"/>
  <c r="K17" i="100" s="1"/>
  <c r="C25" i="123" s="1"/>
  <c r="H25" i="123" s="1"/>
  <c r="L17" i="100"/>
  <c r="F25" i="123" s="1"/>
  <c r="K17" i="102"/>
  <c r="C27" i="123" s="1"/>
  <c r="J17" i="79"/>
  <c r="J20" i="79" s="1"/>
  <c r="J17" i="91"/>
  <c r="J20" i="91" s="1"/>
  <c r="L17" i="91"/>
  <c r="F16" i="123" s="1"/>
  <c r="K5" i="89"/>
  <c r="K17" i="89" s="1"/>
  <c r="C14" i="123" s="1"/>
  <c r="K17" i="91"/>
  <c r="C16" i="123" s="1"/>
  <c r="H46" i="123"/>
  <c r="J20" i="119"/>
  <c r="K17" i="97"/>
  <c r="C22" i="123" s="1"/>
  <c r="H22" i="123" s="1"/>
  <c r="L17" i="103"/>
  <c r="F28" i="123" s="1"/>
  <c r="K17" i="98"/>
  <c r="C23" i="123" s="1"/>
  <c r="J17" i="94"/>
  <c r="J20" i="94" s="1"/>
  <c r="K5" i="94"/>
  <c r="K17" i="94" s="1"/>
  <c r="C19" i="123" s="1"/>
  <c r="L17" i="94"/>
  <c r="F19" i="123" s="1"/>
  <c r="J17" i="105"/>
  <c r="J20" i="105" s="1"/>
  <c r="K17" i="103"/>
  <c r="C28" i="123" s="1"/>
  <c r="J17" i="100"/>
  <c r="J20" i="100" s="1"/>
  <c r="K17" i="113"/>
  <c r="C38" i="123" s="1"/>
  <c r="J20" i="120"/>
  <c r="K17" i="105"/>
  <c r="C30" i="123" s="1"/>
  <c r="J20" i="118"/>
  <c r="K17" i="96"/>
  <c r="C21" i="123" s="1"/>
  <c r="L17" i="82"/>
  <c r="F8" i="123" s="1"/>
  <c r="J17" i="82"/>
  <c r="J20" i="82" s="1"/>
  <c r="K12" i="120"/>
  <c r="K19" i="120" s="1"/>
  <c r="D44" i="123" s="1"/>
  <c r="H44" i="123" s="1"/>
  <c r="K11" i="120"/>
  <c r="K18" i="120" s="1"/>
  <c r="J17" i="95"/>
  <c r="J20" i="95" s="1"/>
  <c r="K4" i="95"/>
  <c r="K5" i="95"/>
  <c r="K12" i="95"/>
  <c r="K19" i="95" s="1"/>
  <c r="D20" i="123" s="1"/>
  <c r="J17" i="85"/>
  <c r="J20" i="85" s="1"/>
  <c r="K5" i="88"/>
  <c r="K17" i="88" s="1"/>
  <c r="C13" i="123" s="1"/>
  <c r="J20" i="110"/>
  <c r="L17" i="89"/>
  <c r="F14" i="123" s="1"/>
  <c r="L17" i="92"/>
  <c r="F17" i="123" s="1"/>
  <c r="K17" i="107"/>
  <c r="C32" i="123" s="1"/>
  <c r="H32" i="123" s="1"/>
  <c r="K17" i="79"/>
  <c r="C6" i="123" s="1"/>
  <c r="H39" i="123"/>
  <c r="L17" i="88"/>
  <c r="F13" i="123" s="1"/>
  <c r="K17" i="93"/>
  <c r="C18" i="123" s="1"/>
  <c r="J17" i="88"/>
  <c r="J20" i="88" s="1"/>
  <c r="J16" i="87"/>
  <c r="J19" i="87" s="1"/>
  <c r="J20" i="57"/>
  <c r="J20" i="121"/>
  <c r="J20" i="111"/>
  <c r="J20" i="99"/>
  <c r="J17" i="106"/>
  <c r="J20" i="106" s="1"/>
  <c r="J20" i="97"/>
  <c r="H36" i="123"/>
  <c r="L17" i="104"/>
  <c r="F29" i="123" s="1"/>
  <c r="K17" i="104"/>
  <c r="C29" i="123" s="1"/>
  <c r="J17" i="104"/>
  <c r="J20" i="104" s="1"/>
  <c r="H24" i="123"/>
  <c r="J20" i="109"/>
  <c r="H43" i="123"/>
  <c r="H42" i="123"/>
  <c r="H34" i="123"/>
  <c r="K16" i="87"/>
  <c r="C12" i="123" s="1"/>
  <c r="J20" i="83"/>
  <c r="J20" i="122"/>
  <c r="H5" i="123"/>
  <c r="K5" i="108"/>
  <c r="K17" i="108" s="1"/>
  <c r="C33" i="123" s="1"/>
  <c r="H33" i="123" s="1"/>
  <c r="J17" i="92"/>
  <c r="J20" i="92" s="1"/>
  <c r="K17" i="90"/>
  <c r="C15" i="123" s="1"/>
  <c r="L17" i="93"/>
  <c r="F18" i="123" s="1"/>
  <c r="J20" i="86"/>
  <c r="J20" i="107"/>
  <c r="K17" i="85"/>
  <c r="C10" i="123" s="1"/>
  <c r="H45" i="123"/>
  <c r="K17" i="92"/>
  <c r="C17" i="123" s="1"/>
  <c r="J20" i="108"/>
  <c r="H10" i="123" l="1"/>
  <c r="H6" i="123"/>
  <c r="H15" i="123"/>
  <c r="H12" i="123"/>
  <c r="H30" i="123"/>
  <c r="H38" i="123"/>
  <c r="H21" i="123"/>
  <c r="H23" i="123"/>
  <c r="H27" i="123"/>
  <c r="H16" i="123"/>
  <c r="H28" i="123"/>
  <c r="H19" i="123"/>
  <c r="H8" i="123"/>
  <c r="K17" i="95"/>
  <c r="C20" i="123" s="1"/>
  <c r="H20" i="123" s="1"/>
  <c r="H14" i="123"/>
  <c r="H17" i="123"/>
  <c r="H13" i="123"/>
  <c r="H18" i="123"/>
  <c r="H29" i="123"/>
  <c r="A40" i="88"/>
  <c r="A3" i="114"/>
  <c r="A4" i="114"/>
  <c r="A5" i="114"/>
  <c r="A6" i="114"/>
  <c r="A7" i="114"/>
  <c r="A8" i="114"/>
  <c r="A9" i="114"/>
  <c r="A10" i="114"/>
  <c r="A11" i="114"/>
  <c r="A3" i="99"/>
  <c r="A4" i="99"/>
  <c r="A5" i="99"/>
  <c r="A6" i="99"/>
  <c r="A7" i="99"/>
  <c r="A8" i="99"/>
  <c r="A9" i="99"/>
  <c r="A10" i="99"/>
  <c r="A11" i="99"/>
  <c r="A12" i="99"/>
  <c r="A13" i="99"/>
  <c r="A14" i="99"/>
  <c r="A15" i="99"/>
  <c r="A16" i="99"/>
  <c r="A17" i="99"/>
  <c r="A18" i="99"/>
  <c r="A19" i="99"/>
  <c r="A20" i="99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" i="121"/>
  <c r="A4" i="121"/>
  <c r="A5" i="121"/>
  <c r="A6" i="121"/>
  <c r="A7" i="121"/>
  <c r="A8" i="121"/>
  <c r="A9" i="121"/>
  <c r="A10" i="121"/>
  <c r="A11" i="121"/>
  <c r="A12" i="121"/>
  <c r="A13" i="121"/>
  <c r="A14" i="121"/>
  <c r="A15" i="121"/>
  <c r="A16" i="121"/>
  <c r="A17" i="121"/>
  <c r="A18" i="121"/>
  <c r="A19" i="121"/>
  <c r="A20" i="121"/>
  <c r="A21" i="121"/>
  <c r="A22" i="121"/>
  <c r="A23" i="121"/>
  <c r="A24" i="121"/>
  <c r="A25" i="121"/>
  <c r="A26" i="121"/>
  <c r="A27" i="121"/>
  <c r="A3" i="96"/>
  <c r="A4" i="96"/>
  <c r="A5" i="96"/>
  <c r="A6" i="96"/>
  <c r="A7" i="96"/>
  <c r="A8" i="96"/>
  <c r="A9" i="96"/>
  <c r="A10" i="96"/>
  <c r="A11" i="96"/>
  <c r="A12" i="96"/>
  <c r="A13" i="96"/>
  <c r="A14" i="96"/>
  <c r="A15" i="96"/>
  <c r="A16" i="96"/>
  <c r="A17" i="96"/>
  <c r="A18" i="96"/>
  <c r="A19" i="96"/>
  <c r="A20" i="96"/>
  <c r="A21" i="96"/>
  <c r="A22" i="96"/>
  <c r="A23" i="96"/>
  <c r="A24" i="96"/>
  <c r="A25" i="96"/>
  <c r="A26" i="96"/>
  <c r="A27" i="96"/>
  <c r="A3" i="108"/>
  <c r="A4" i="108"/>
  <c r="A5" i="108"/>
  <c r="A6" i="108"/>
  <c r="A7" i="108"/>
  <c r="A8" i="108"/>
  <c r="A9" i="108"/>
  <c r="A10" i="108"/>
  <c r="A11" i="108"/>
  <c r="A12" i="108"/>
  <c r="A13" i="108"/>
  <c r="A14" i="108"/>
  <c r="A15" i="108"/>
  <c r="A16" i="108"/>
  <c r="A17" i="108"/>
  <c r="A18" i="108"/>
  <c r="A19" i="108"/>
  <c r="A20" i="108"/>
  <c r="A21" i="108"/>
  <c r="A22" i="108"/>
  <c r="A23" i="108"/>
  <c r="A24" i="108"/>
  <c r="A25" i="108"/>
  <c r="A26" i="108"/>
  <c r="A27" i="108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3" i="110"/>
  <c r="A4" i="110"/>
  <c r="A5" i="110"/>
  <c r="A6" i="110"/>
  <c r="A7" i="110"/>
  <c r="A8" i="110"/>
  <c r="A9" i="110"/>
  <c r="A10" i="110"/>
  <c r="A11" i="110"/>
  <c r="A12" i="110"/>
  <c r="A13" i="110"/>
  <c r="A14" i="110"/>
  <c r="A16" i="110"/>
  <c r="A17" i="110"/>
  <c r="A18" i="110"/>
  <c r="A19" i="110"/>
  <c r="A20" i="110"/>
  <c r="A21" i="110"/>
  <c r="A3" i="95"/>
  <c r="A4" i="95"/>
  <c r="A5" i="95"/>
  <c r="A6" i="95"/>
  <c r="A7" i="95"/>
  <c r="A8" i="95"/>
  <c r="A9" i="95"/>
  <c r="A10" i="95"/>
  <c r="A11" i="95"/>
  <c r="A12" i="95"/>
  <c r="A13" i="95"/>
  <c r="A14" i="95"/>
  <c r="A15" i="95"/>
  <c r="A16" i="95"/>
  <c r="A17" i="95"/>
  <c r="A18" i="95"/>
  <c r="A19" i="95"/>
  <c r="A20" i="95"/>
  <c r="A21" i="95"/>
  <c r="A22" i="95"/>
  <c r="A23" i="95"/>
  <c r="A24" i="95"/>
  <c r="A25" i="95"/>
  <c r="A26" i="95"/>
  <c r="A27" i="95"/>
  <c r="A3" i="97"/>
  <c r="A4" i="97"/>
  <c r="A5" i="97"/>
  <c r="A6" i="97"/>
  <c r="A7" i="97"/>
  <c r="A8" i="97"/>
  <c r="A9" i="97"/>
  <c r="A10" i="97"/>
  <c r="A11" i="97"/>
  <c r="A12" i="97"/>
  <c r="A13" i="97"/>
  <c r="A14" i="97"/>
  <c r="A15" i="97"/>
  <c r="A16" i="97"/>
  <c r="A17" i="97"/>
  <c r="A18" i="97"/>
  <c r="A19" i="97"/>
  <c r="A20" i="97"/>
  <c r="A21" i="97"/>
  <c r="A22" i="97"/>
  <c r="A23" i="97"/>
  <c r="A24" i="97"/>
  <c r="A25" i="97"/>
  <c r="A26" i="97"/>
  <c r="A27" i="97"/>
  <c r="A28" i="97"/>
  <c r="A3" i="109"/>
  <c r="A4" i="109"/>
  <c r="A5" i="109"/>
  <c r="A6" i="109"/>
  <c r="A7" i="109"/>
  <c r="A8" i="109"/>
  <c r="A9" i="109"/>
  <c r="A10" i="109"/>
  <c r="A11" i="109"/>
  <c r="A12" i="109"/>
  <c r="A13" i="109"/>
  <c r="A14" i="109"/>
  <c r="A15" i="109"/>
  <c r="A16" i="109"/>
  <c r="A17" i="109"/>
  <c r="A18" i="109"/>
  <c r="A19" i="109"/>
  <c r="A20" i="109"/>
  <c r="A21" i="109"/>
  <c r="A22" i="109"/>
  <c r="A23" i="109"/>
  <c r="A24" i="109"/>
  <c r="A25" i="109"/>
  <c r="A26" i="109"/>
  <c r="A27" i="109"/>
  <c r="A3" i="119"/>
  <c r="A4" i="119"/>
  <c r="A5" i="119"/>
  <c r="A6" i="119"/>
  <c r="A7" i="119"/>
  <c r="A8" i="119"/>
  <c r="A9" i="119"/>
  <c r="A10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3" i="107"/>
  <c r="A4" i="107"/>
  <c r="A5" i="107"/>
  <c r="A6" i="107"/>
  <c r="A7" i="107"/>
  <c r="A8" i="107"/>
  <c r="A9" i="107"/>
  <c r="A10" i="107"/>
  <c r="A11" i="107"/>
  <c r="A12" i="107"/>
  <c r="A13" i="107"/>
  <c r="A14" i="107"/>
  <c r="A15" i="107"/>
  <c r="A16" i="107"/>
  <c r="A17" i="107"/>
  <c r="A18" i="107"/>
  <c r="A19" i="107"/>
  <c r="A20" i="107"/>
  <c r="A21" i="107"/>
  <c r="A22" i="107"/>
  <c r="A23" i="107"/>
  <c r="A24" i="107"/>
  <c r="A25" i="107"/>
  <c r="A26" i="107"/>
  <c r="A27" i="107"/>
  <c r="A28" i="107"/>
  <c r="A29" i="107"/>
  <c r="A30" i="107"/>
  <c r="A31" i="107"/>
  <c r="A32" i="107"/>
  <c r="A33" i="107"/>
  <c r="A34" i="107"/>
  <c r="A35" i="107"/>
  <c r="A36" i="107"/>
  <c r="A37" i="107"/>
  <c r="A38" i="107"/>
  <c r="A39" i="107"/>
  <c r="A40" i="107"/>
  <c r="A41" i="107"/>
  <c r="A3" i="120"/>
  <c r="A4" i="120"/>
  <c r="A5" i="120"/>
  <c r="A6" i="120"/>
  <c r="A7" i="120"/>
  <c r="A8" i="120"/>
  <c r="A9" i="120"/>
  <c r="A10" i="120"/>
  <c r="A11" i="120"/>
  <c r="A12" i="120"/>
  <c r="A13" i="120"/>
  <c r="A14" i="120"/>
  <c r="A15" i="120"/>
  <c r="A16" i="120"/>
  <c r="A17" i="120"/>
  <c r="A18" i="120"/>
  <c r="A19" i="120"/>
  <c r="A20" i="120"/>
  <c r="A21" i="120"/>
  <c r="A22" i="120"/>
  <c r="A23" i="120"/>
  <c r="A24" i="120"/>
  <c r="A25" i="120"/>
  <c r="A26" i="120"/>
  <c r="A27" i="120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3" i="87"/>
  <c r="A4" i="87"/>
  <c r="A5" i="87"/>
  <c r="A6" i="87"/>
  <c r="A7" i="87"/>
  <c r="A8" i="87"/>
  <c r="A9" i="87"/>
  <c r="A10" i="87"/>
  <c r="A11" i="87"/>
  <c r="A12" i="87"/>
  <c r="A13" i="87"/>
  <c r="A14" i="87"/>
  <c r="A15" i="87"/>
  <c r="A16" i="87"/>
  <c r="A17" i="87"/>
  <c r="A18" i="87"/>
  <c r="A3" i="112"/>
  <c r="A4" i="112"/>
  <c r="A5" i="112"/>
  <c r="A6" i="112"/>
  <c r="A7" i="112"/>
  <c r="A8" i="112"/>
  <c r="A9" i="112"/>
  <c r="A10" i="112"/>
  <c r="A11" i="112"/>
  <c r="A12" i="112"/>
  <c r="A13" i="112"/>
  <c r="A3" i="86"/>
  <c r="A4" i="86"/>
  <c r="A5" i="86"/>
  <c r="A6" i="86"/>
  <c r="A7" i="86"/>
  <c r="A8" i="86"/>
  <c r="A9" i="86"/>
  <c r="A10" i="86"/>
  <c r="A11" i="86"/>
  <c r="A12" i="86"/>
  <c r="A13" i="86"/>
  <c r="A14" i="86"/>
  <c r="A15" i="86"/>
  <c r="A16" i="86"/>
  <c r="A17" i="86"/>
  <c r="A18" i="86"/>
  <c r="A19" i="86"/>
  <c r="A20" i="86"/>
  <c r="A21" i="86"/>
  <c r="A22" i="86"/>
  <c r="A23" i="86"/>
  <c r="A24" i="86"/>
  <c r="A25" i="86"/>
  <c r="A26" i="86"/>
  <c r="A27" i="86"/>
  <c r="A28" i="86"/>
  <c r="A29" i="86"/>
  <c r="A30" i="86"/>
  <c r="A31" i="86"/>
  <c r="A32" i="86"/>
  <c r="A3" i="79"/>
  <c r="A4" i="79"/>
  <c r="A5" i="79"/>
  <c r="A6" i="79"/>
  <c r="A7" i="79"/>
  <c r="A8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A27" i="94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3" i="104"/>
  <c r="A4" i="104"/>
  <c r="A5" i="104"/>
  <c r="A6" i="104"/>
  <c r="A7" i="104"/>
  <c r="A8" i="104"/>
  <c r="A9" i="104"/>
  <c r="A10" i="104"/>
  <c r="A11" i="104"/>
  <c r="A12" i="104"/>
  <c r="A13" i="104"/>
  <c r="A14" i="104"/>
  <c r="A15" i="104"/>
  <c r="A16" i="104"/>
  <c r="A17" i="104"/>
  <c r="A18" i="104"/>
  <c r="A19" i="104"/>
  <c r="A20" i="104"/>
  <c r="A21" i="104"/>
  <c r="A22" i="104"/>
  <c r="A23" i="104"/>
  <c r="A24" i="104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3" i="113"/>
  <c r="A4" i="113"/>
  <c r="A5" i="113"/>
  <c r="A6" i="113"/>
  <c r="A7" i="113"/>
  <c r="A8" i="113"/>
  <c r="A9" i="113"/>
  <c r="A10" i="113"/>
  <c r="A11" i="113"/>
  <c r="A12" i="113"/>
  <c r="A13" i="113"/>
  <c r="A14" i="113"/>
  <c r="A16" i="113"/>
  <c r="A17" i="113"/>
  <c r="A18" i="113"/>
  <c r="A19" i="113"/>
  <c r="A20" i="113"/>
  <c r="A21" i="113"/>
  <c r="A22" i="113"/>
  <c r="A23" i="113"/>
  <c r="A24" i="113"/>
  <c r="A3" i="80"/>
  <c r="A4" i="80"/>
  <c r="A5" i="80"/>
  <c r="A6" i="80"/>
  <c r="A7" i="80"/>
  <c r="A8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3" i="98"/>
  <c r="A4" i="98"/>
  <c r="A5" i="98"/>
  <c r="A6" i="98"/>
  <c r="A7" i="98"/>
  <c r="A8" i="98"/>
  <c r="A9" i="98"/>
  <c r="A10" i="98"/>
  <c r="A11" i="98"/>
  <c r="A12" i="98"/>
  <c r="A3" i="103"/>
  <c r="A4" i="103"/>
  <c r="A5" i="103"/>
  <c r="A6" i="103"/>
  <c r="A7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3" i="92"/>
  <c r="A4" i="92"/>
  <c r="A5" i="92"/>
  <c r="A6" i="92"/>
  <c r="A7" i="92"/>
  <c r="A8" i="92"/>
  <c r="A9" i="92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3" i="85"/>
  <c r="A4" i="85"/>
  <c r="A5" i="85"/>
  <c r="A6" i="85"/>
  <c r="A7" i="85"/>
  <c r="A8" i="85"/>
  <c r="A9" i="85"/>
  <c r="A10" i="85"/>
  <c r="A11" i="85"/>
  <c r="A12" i="85"/>
  <c r="A13" i="85"/>
  <c r="A14" i="85"/>
  <c r="A16" i="85"/>
  <c r="A17" i="85"/>
  <c r="A18" i="85"/>
  <c r="A19" i="85"/>
  <c r="A20" i="85"/>
  <c r="A21" i="85"/>
  <c r="A22" i="85"/>
  <c r="A23" i="85"/>
  <c r="A24" i="85"/>
  <c r="A25" i="85"/>
  <c r="A3" i="89"/>
  <c r="A4" i="89"/>
  <c r="A5" i="89"/>
  <c r="A6" i="89"/>
  <c r="A7" i="89"/>
  <c r="A8" i="89"/>
  <c r="A9" i="89"/>
  <c r="A10" i="89"/>
  <c r="A11" i="89"/>
  <c r="A12" i="89"/>
  <c r="A13" i="89"/>
  <c r="A14" i="89"/>
  <c r="A15" i="89"/>
  <c r="A16" i="89"/>
  <c r="A17" i="89"/>
  <c r="A18" i="89"/>
  <c r="A19" i="89"/>
  <c r="A20" i="89"/>
  <c r="A21" i="89"/>
  <c r="A22" i="89"/>
  <c r="A23" i="89"/>
  <c r="A24" i="89"/>
  <c r="A25" i="89"/>
  <c r="A26" i="89"/>
  <c r="A27" i="89"/>
  <c r="A28" i="89"/>
  <c r="A29" i="89"/>
  <c r="A3" i="93"/>
  <c r="A4" i="93"/>
  <c r="A5" i="93"/>
  <c r="A6" i="93"/>
  <c r="A7" i="93"/>
  <c r="A8" i="93"/>
  <c r="A9" i="93"/>
  <c r="A10" i="93"/>
  <c r="A11" i="93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3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3" i="122"/>
  <c r="A4" i="122"/>
  <c r="A5" i="122"/>
  <c r="A6" i="122"/>
  <c r="A7" i="122"/>
  <c r="A8" i="122"/>
  <c r="A9" i="122"/>
  <c r="A10" i="122"/>
  <c r="A11" i="122"/>
  <c r="A12" i="122"/>
  <c r="A13" i="122"/>
  <c r="A14" i="122"/>
  <c r="A15" i="122"/>
  <c r="A16" i="122"/>
  <c r="A17" i="122"/>
  <c r="A18" i="122"/>
  <c r="A19" i="122"/>
  <c r="A20" i="122"/>
  <c r="A21" i="122"/>
  <c r="A22" i="122"/>
  <c r="A3" i="91"/>
  <c r="A4" i="91"/>
  <c r="A5" i="91"/>
  <c r="A6" i="91"/>
  <c r="A7" i="91"/>
  <c r="A8" i="91"/>
  <c r="A9" i="91"/>
  <c r="A10" i="91"/>
  <c r="A11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3" i="111"/>
  <c r="A4" i="111"/>
  <c r="A5" i="111"/>
  <c r="A6" i="111"/>
  <c r="A7" i="111"/>
  <c r="A8" i="111"/>
  <c r="A9" i="111"/>
  <c r="A10" i="111"/>
  <c r="A11" i="111"/>
  <c r="A12" i="111"/>
  <c r="A13" i="111"/>
  <c r="A14" i="111"/>
  <c r="A16" i="111"/>
  <c r="A17" i="111"/>
  <c r="A18" i="111"/>
  <c r="A19" i="111"/>
  <c r="A20" i="111"/>
  <c r="A21" i="111"/>
  <c r="A22" i="111"/>
  <c r="A23" i="111"/>
  <c r="A24" i="111"/>
  <c r="A25" i="111"/>
</calcChain>
</file>

<file path=xl/sharedStrings.xml><?xml version="1.0" encoding="utf-8"?>
<sst xmlns="http://schemas.openxmlformats.org/spreadsheetml/2006/main" count="3284" uniqueCount="94">
  <si>
    <t>目录</t>
  </si>
  <si>
    <t>温若春</t>
  </si>
  <si>
    <t>沈宁</t>
  </si>
  <si>
    <t>胡鑫</t>
  </si>
  <si>
    <t>黄恩</t>
  </si>
  <si>
    <t>严亮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</si>
  <si>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</si>
  <si>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</si>
  <si>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</si>
  <si>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</si>
  <si>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</si>
  <si>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</si>
  <si>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</si>
  <si>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</si>
  <si>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</si>
  <si>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</si>
  <si>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</si>
  <si>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</si>
  <si>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</si>
  <si>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</si>
  <si>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</si>
  <si>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</si>
  <si>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</si>
  <si>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</si>
  <si>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</si>
  <si>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</si>
  <si>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</si>
  <si>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</si>
  <si>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</si>
  <si>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</si>
  <si>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</si>
  <si>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</si>
  <si>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白班</t>
    <phoneticPr fontId="15" type="noConversion"/>
  </si>
  <si>
    <t>夜班</t>
    <phoneticPr fontId="15" type="noConversion"/>
  </si>
  <si>
    <t>汇总统计</t>
    <phoneticPr fontId="15" type="noConversion"/>
  </si>
  <si>
    <t>席位</t>
    <phoneticPr fontId="15" type="noConversion"/>
  </si>
  <si>
    <t>教员</t>
    <phoneticPr fontId="15" type="noConversion"/>
  </si>
  <si>
    <t>带班</t>
    <phoneticPr fontId="15" type="noConversion"/>
  </si>
  <si>
    <t>明嘉</t>
    <phoneticPr fontId="15" type="noConversion"/>
  </si>
  <si>
    <t>徐万友</t>
    <phoneticPr fontId="15" type="noConversion"/>
  </si>
  <si>
    <t>李明</t>
    <phoneticPr fontId="15" type="noConversion"/>
  </si>
  <si>
    <t>张虎</t>
    <phoneticPr fontId="15" type="noConversion"/>
  </si>
  <si>
    <t>马莲花</t>
    <phoneticPr fontId="15" type="noConversion"/>
  </si>
  <si>
    <t>刘国莲</t>
    <phoneticPr fontId="15" type="noConversion"/>
  </si>
  <si>
    <t>杜涛</t>
    <phoneticPr fontId="15" type="noConversion"/>
  </si>
  <si>
    <t>张文中</t>
    <phoneticPr fontId="15" type="noConversion"/>
  </si>
  <si>
    <t>李秋实</t>
    <phoneticPr fontId="15" type="noConversion"/>
  </si>
  <si>
    <t>周岸</t>
    <phoneticPr fontId="15" type="noConversion"/>
  </si>
  <si>
    <t>詹泽彬</t>
    <phoneticPr fontId="15" type="noConversion"/>
  </si>
  <si>
    <t>张笑延</t>
    <phoneticPr fontId="15" type="noConversion"/>
  </si>
  <si>
    <t>邓心豪</t>
    <phoneticPr fontId="15" type="noConversion"/>
  </si>
  <si>
    <t>边昊</t>
    <phoneticPr fontId="15" type="noConversion"/>
  </si>
  <si>
    <t>张宗根</t>
    <phoneticPr fontId="15" type="noConversion"/>
  </si>
  <si>
    <t>宋天霖</t>
    <phoneticPr fontId="15" type="noConversion"/>
  </si>
  <si>
    <t>蔡昊霖</t>
    <phoneticPr fontId="15" type="noConversion"/>
  </si>
  <si>
    <t>叶大鹏</t>
    <phoneticPr fontId="15" type="noConversion"/>
  </si>
  <si>
    <t>王建超</t>
    <phoneticPr fontId="15" type="noConversion"/>
  </si>
  <si>
    <t>潘伟生</t>
    <phoneticPr fontId="15" type="noConversion"/>
  </si>
  <si>
    <t>王风瑞</t>
    <phoneticPr fontId="15" type="noConversion"/>
  </si>
  <si>
    <t>金鼎</t>
    <phoneticPr fontId="15" type="noConversion"/>
  </si>
  <si>
    <t>董志华</t>
    <phoneticPr fontId="15" type="noConversion"/>
  </si>
  <si>
    <t>姜文夫</t>
    <phoneticPr fontId="15" type="noConversion"/>
  </si>
  <si>
    <t>郭永杰</t>
    <phoneticPr fontId="15" type="noConversion"/>
  </si>
  <si>
    <t>朱永春</t>
    <phoneticPr fontId="15" type="noConversion"/>
  </si>
  <si>
    <t>刘琦</t>
    <phoneticPr fontId="15" type="noConversion"/>
  </si>
  <si>
    <t>吴疆</t>
    <phoneticPr fontId="15" type="noConversion"/>
  </si>
  <si>
    <t>巴富毅</t>
    <phoneticPr fontId="15" type="noConversion"/>
  </si>
  <si>
    <t>王维华</t>
    <phoneticPr fontId="15" type="noConversion"/>
  </si>
  <si>
    <t>何飞</t>
    <phoneticPr fontId="15" type="noConversion"/>
  </si>
  <si>
    <t>陈宏伟</t>
    <phoneticPr fontId="15" type="noConversion"/>
  </si>
  <si>
    <t>蒋露裕</t>
    <phoneticPr fontId="15" type="noConversion"/>
  </si>
  <si>
    <t>蓝宇航</t>
    <phoneticPr fontId="15" type="noConversion"/>
  </si>
  <si>
    <t>程卓</t>
    <phoneticPr fontId="15" type="noConversion"/>
  </si>
  <si>
    <t>郑文卓</t>
    <phoneticPr fontId="15" type="noConversion"/>
  </si>
  <si>
    <t>耿若岩</t>
    <phoneticPr fontId="15" type="noConversion"/>
  </si>
  <si>
    <t>总小时数</t>
    <phoneticPr fontId="15" type="noConversion"/>
  </si>
  <si>
    <t>航班调度席执勤小时</t>
  </si>
  <si>
    <t>生产调度席执勤小时</t>
  </si>
  <si>
    <t>调度席</t>
    <phoneticPr fontId="15" type="noConversion"/>
  </si>
  <si>
    <t xml:space="preserve"> </t>
    <phoneticPr fontId="15" type="noConversion"/>
  </si>
  <si>
    <t>返回目录</t>
    <phoneticPr fontId="15" type="noConversion"/>
  </si>
  <si>
    <t>带班主任</t>
  </si>
  <si>
    <t>西塔台协调席</t>
  </si>
  <si>
    <t>西塔台管制席</t>
  </si>
  <si>
    <t>完成</t>
  </si>
  <si>
    <t>东塔台协调席</t>
  </si>
  <si>
    <t>东塔台管制席</t>
  </si>
  <si>
    <t>放行席</t>
  </si>
  <si>
    <t>地面席</t>
  </si>
  <si>
    <t>综合协调席</t>
  </si>
  <si>
    <t>航班调度席</t>
  </si>
  <si>
    <t>管制教员席</t>
  </si>
  <si>
    <t>见习管制员</t>
  </si>
  <si>
    <t xml:space="preserve"> 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</si>
</sst>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_ "/>
    <numFmt numFmtId="177" formatCode="0.00_);[Red]\(0.00\)"/>
    <numFmt numFmtId="178" formatCode="h:mm:ss;@"/>
    <numFmt numFmtId="179" formatCode="0.0_);[Red]\(0.0\)"/>
    <numFmt numFmtId="180" formatCode="0.0"/>
  </numFmts>
  <fonts count="20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b/>
      <sz val="14"/>
      <color theme="4"/>
      <name val="宋体"/>
      <family val="3"/>
      <charset val="134"/>
      <scheme val="minor"/>
    </font>
    <font>
      <b/>
      <sz val="14"/>
      <color theme="7"/>
      <name val="宋体"/>
      <family val="3"/>
      <charset val="134"/>
      <scheme val="minor"/>
    </font>
    <font>
      <b/>
      <sz val="14"/>
      <color theme="9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20"/>
      <color theme="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center"/>
    </xf>
  </cellStyleXfs>
  <cellXfs count="73">
    <xf numFmtId="0" fontId="0" fillId="0" borderId="0" xfId="0"/>
    <xf numFmtId="0" fontId="0" fillId="0" borderId="0" xfId="0" applyNumberFormat="1"/>
    <xf numFmtId="176" fontId="0" fillId="0" borderId="0" xfId="0" applyNumberFormat="1"/>
    <xf numFmtId="177" fontId="0" fillId="0" borderId="0" xfId="0" applyNumberFormat="1"/>
    <xf numFmtId="177" fontId="1" fillId="0" borderId="0" xfId="0" applyNumberFormat="1" applyFont="1"/>
    <xf numFmtId="178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7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/>
    <xf numFmtId="177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/>
    <xf numFmtId="177" fontId="8" fillId="0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/>
    <xf numFmtId="177" fontId="11" fillId="0" borderId="2" xfId="0" applyNumberFormat="1" applyFont="1" applyFill="1" applyBorder="1" applyAlignment="1">
      <alignment horizontal="center" vertical="center"/>
    </xf>
    <xf numFmtId="178" fontId="11" fillId="0" borderId="2" xfId="0" applyNumberFormat="1" applyFont="1" applyFill="1" applyBorder="1" applyAlignment="1">
      <alignment horizontal="center" vertical="center" wrapText="1"/>
    </xf>
    <xf numFmtId="178" fontId="11" fillId="2" borderId="2" xfId="0" applyNumberFormat="1" applyFont="1" applyFill="1" applyBorder="1" applyAlignment="1">
      <alignment horizontal="center" vertical="center" wrapText="1"/>
    </xf>
    <xf numFmtId="177" fontId="11" fillId="3" borderId="2" xfId="0" applyNumberFormat="1" applyFont="1" applyFill="1" applyBorder="1" applyAlignment="1">
      <alignment horizontal="center" vertical="center" wrapText="1"/>
    </xf>
    <xf numFmtId="178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79" fontId="12" fillId="0" borderId="1" xfId="0" applyNumberFormat="1" applyFont="1" applyFill="1" applyBorder="1" applyAlignment="1">
      <alignment horizontal="center"/>
    </xf>
    <xf numFmtId="179" fontId="12" fillId="2" borderId="1" xfId="0" applyNumberFormat="1" applyFont="1" applyFill="1" applyBorder="1" applyAlignment="1">
      <alignment horizontal="center"/>
    </xf>
    <xf numFmtId="179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7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0" fillId="0" borderId="1" xfId="0" applyBorder="1"/>
    <xf numFmtId="0" fontId="14" fillId="0" borderId="1" xfId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9" fillId="0" borderId="1" xfId="1" applyFont="1" applyBorder="1" applyAlignment="1"/>
    <xf numFmtId="176" fontId="0" fillId="0" borderId="1" xfId="0" applyNumberFormat="1" applyBorder="1" applyAlignment="1">
      <alignment horizontal="center"/>
    </xf>
    <xf numFmtId="0" fontId="2" fillId="0" borderId="1" xfId="1" applyBorder="1" applyAlignment="1"/>
    <xf numFmtId="0" fontId="18" fillId="0" borderId="1" xfId="1" applyFont="1" applyBorder="1" applyAlignment="1"/>
    <xf numFmtId="0" fontId="11" fillId="0" borderId="1" xfId="0" applyFont="1" applyBorder="1" applyAlignment="1">
      <alignment horizontal="center"/>
    </xf>
    <xf numFmtId="179" fontId="12" fillId="0" borderId="1" xfId="0" applyNumberFormat="1" applyFont="1" applyBorder="1" applyAlignment="1">
      <alignment horizontal="center"/>
    </xf>
    <xf numFmtId="180" fontId="0" fillId="0" borderId="1" xfId="0" applyNumberForma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178" fontId="3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2" fillId="0" borderId="1" xfId="1" applyNumberForma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9" fontId="13" fillId="0" borderId="3" xfId="0" applyNumberFormat="1" applyFont="1" applyFill="1" applyBorder="1" applyAlignment="1">
      <alignment horizontal="center" vertical="center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78" fontId="14" fillId="0" borderId="1" xfId="1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6"/>
  <sheetViews>
    <sheetView workbookViewId="0">
      <selection activeCell="A5" sqref="A5"/>
    </sheetView>
  </sheetViews>
  <sheetFormatPr defaultColWidth="9" defaultRowHeight="13.5" x14ac:dyDescent="0.15"/>
  <sheetData>
    <row r="1" spans="1:15" ht="14.1" customHeight="1" x14ac:dyDescent="0.15">
      <c r="A1" s="46"/>
      <c r="B1" s="59" t="s">
        <v>34</v>
      </c>
      <c r="C1" s="59"/>
      <c r="D1" s="59"/>
      <c r="E1" s="59"/>
      <c r="F1" s="59"/>
      <c r="G1" s="59"/>
    </row>
    <row r="2" spans="1:15" ht="14.1" customHeight="1" x14ac:dyDescent="0.15">
      <c r="A2" s="46"/>
      <c r="B2" s="59"/>
      <c r="C2" s="59"/>
      <c r="D2" s="59"/>
      <c r="E2" s="59"/>
      <c r="F2" s="59"/>
      <c r="G2" s="59"/>
    </row>
    <row r="3" spans="1:15" ht="14.1" customHeight="1" x14ac:dyDescent="0.15">
      <c r="A3" s="46"/>
      <c r="B3" s="60" t="s">
        <v>32</v>
      </c>
      <c r="C3" s="60"/>
      <c r="D3" s="60"/>
      <c r="E3" s="60" t="s">
        <v>33</v>
      </c>
      <c r="F3" s="61"/>
      <c r="G3" s="61"/>
      <c r="H3" s="62" t="s">
        <v>75</v>
      </c>
      <c r="I3" s="62" t="s">
        <v>78</v>
      </c>
    </row>
    <row r="4" spans="1:15" x14ac:dyDescent="0.15">
      <c r="A4" s="46" t="s">
        <v>0</v>
      </c>
      <c r="B4" s="45" t="s">
        <v>37</v>
      </c>
      <c r="C4" s="45" t="s">
        <v>35</v>
      </c>
      <c r="D4" s="45" t="s">
        <v>36</v>
      </c>
      <c r="E4" s="45" t="s">
        <v>37</v>
      </c>
      <c r="F4" s="45" t="s">
        <v>35</v>
      </c>
      <c r="G4" s="45" t="s">
        <v>36</v>
      </c>
      <c r="H4" s="63"/>
      <c r="I4" s="63"/>
    </row>
    <row r="5" spans="1:15" x14ac:dyDescent="0.15">
      <c r="A5" s="47" t="s">
        <v>1</v>
      </c>
      <c r="B5" s="48">
        <f>温若春!K16</f>
        <v>47.625277777777818</v>
      </c>
      <c r="C5" s="48">
        <f>温若春!K17</f>
        <v>0</v>
      </c>
      <c r="D5" s="48">
        <f>温若春!K19</f>
        <v>0</v>
      </c>
      <c r="E5" s="48">
        <f>温若春!L16</f>
        <v>19.088888888888857</v>
      </c>
      <c r="F5" s="48">
        <f>温若春!L17</f>
        <v>0</v>
      </c>
      <c r="G5" s="48">
        <f>温若春!L19</f>
        <v>0</v>
      </c>
      <c r="H5" s="50">
        <f>SUM(B5:G5)</f>
        <v>66.714166666666671</v>
      </c>
      <c r="I5" s="55">
        <f>温若春!J21</f>
        <v>0</v>
      </c>
    </row>
    <row r="6" spans="1:15" x14ac:dyDescent="0.15">
      <c r="A6" s="49" t="s">
        <v>38</v>
      </c>
      <c r="B6" s="50">
        <f>明嘉!K16</f>
        <v>0</v>
      </c>
      <c r="C6" s="50">
        <f>明嘉!K17</f>
        <v>35.752500000000019</v>
      </c>
      <c r="D6" s="50">
        <f>明嘉!K19</f>
        <v>0</v>
      </c>
      <c r="E6" s="48">
        <f>明嘉!L16</f>
        <v>0</v>
      </c>
      <c r="F6" s="48">
        <f>明嘉!L17</f>
        <v>23.233055555555538</v>
      </c>
      <c r="G6" s="48">
        <f>明嘉!L19</f>
        <v>0</v>
      </c>
      <c r="H6" s="50">
        <f t="shared" ref="H6:H41" si="0">SUM(B6:G6)</f>
        <v>58.985555555555557</v>
      </c>
      <c r="I6" s="55">
        <f xml:space="preserve"> 明嘉!J21</f>
        <v>0</v>
      </c>
    </row>
    <row r="7" spans="1:15" x14ac:dyDescent="0.15">
      <c r="A7" s="49" t="s">
        <v>39</v>
      </c>
      <c r="B7" s="48">
        <f>徐万友!K16</f>
        <v>0</v>
      </c>
      <c r="C7" s="48">
        <f>徐万友!K17</f>
        <v>38.850833333333348</v>
      </c>
      <c r="D7" s="48">
        <f>徐万友!K19</f>
        <v>0</v>
      </c>
      <c r="E7" s="48">
        <f>徐万友!L16</f>
        <v>0</v>
      </c>
      <c r="F7" s="48">
        <f>徐万友!L17</f>
        <v>23.629999999999981</v>
      </c>
      <c r="G7" s="48">
        <f>徐万友!L19</f>
        <v>0</v>
      </c>
      <c r="H7" s="50">
        <f t="shared" si="0"/>
        <v>62.480833333333329</v>
      </c>
      <c r="I7" s="55">
        <f xml:space="preserve"> 徐万友!J21</f>
        <v>4.6675000000000004</v>
      </c>
    </row>
    <row r="8" spans="1:15" x14ac:dyDescent="0.15">
      <c r="A8" s="51" t="s">
        <v>74</v>
      </c>
      <c r="B8" s="48">
        <f>耿若岩!K16</f>
        <v>0</v>
      </c>
      <c r="C8" s="48">
        <f>耿若岩!K17</f>
        <v>32.381111111111125</v>
      </c>
      <c r="D8" s="48">
        <f>耿若岩!K19</f>
        <v>0</v>
      </c>
      <c r="E8" s="48">
        <f>耿若岩!L16</f>
        <v>0</v>
      </c>
      <c r="F8" s="48">
        <f>耿若岩!L17</f>
        <v>12.226388888888881</v>
      </c>
      <c r="G8" s="48">
        <f>耿若岩!L19</f>
        <v>0</v>
      </c>
      <c r="H8" s="50">
        <f t="shared" si="0"/>
        <v>44.607500000000002</v>
      </c>
      <c r="I8" s="56">
        <f xml:space="preserve"> 耿若岩!J21</f>
        <v>3.5183333333333331</v>
      </c>
    </row>
    <row r="9" spans="1:15" x14ac:dyDescent="0.15">
      <c r="A9" s="47" t="s">
        <v>40</v>
      </c>
      <c r="B9" s="48">
        <f>李明!K16</f>
        <v>0</v>
      </c>
      <c r="C9" s="48">
        <f>李明!K17</f>
        <v>37.062777777777789</v>
      </c>
      <c r="D9" s="48">
        <f>李明!K19</f>
        <v>0</v>
      </c>
      <c r="E9" s="48">
        <f>李明!L16</f>
        <v>0</v>
      </c>
      <c r="F9" s="48">
        <f>李明!L17</f>
        <v>16.666388888888871</v>
      </c>
      <c r="G9" s="48">
        <f>李明!L19</f>
        <v>0</v>
      </c>
      <c r="H9" s="50">
        <f t="shared" si="0"/>
        <v>53.729166666666657</v>
      </c>
      <c r="I9" s="55">
        <f xml:space="preserve"> 李明!J21</f>
        <v>0</v>
      </c>
    </row>
    <row r="10" spans="1:15" x14ac:dyDescent="0.15">
      <c r="A10" s="49" t="s">
        <v>41</v>
      </c>
      <c r="B10" s="48">
        <f>张虎!K16</f>
        <v>0</v>
      </c>
      <c r="C10" s="48">
        <f>张虎!K17</f>
        <v>25.437500000000018</v>
      </c>
      <c r="D10" s="48">
        <f>张虎!K19</f>
        <v>0</v>
      </c>
      <c r="E10" s="48">
        <f>张虎!L16</f>
        <v>0</v>
      </c>
      <c r="F10" s="48">
        <f>张虎!L17</f>
        <v>27.673333333333321</v>
      </c>
      <c r="G10" s="48">
        <f>张虎!L19</f>
        <v>0</v>
      </c>
      <c r="H10" s="50">
        <f t="shared" si="0"/>
        <v>53.110833333333339</v>
      </c>
      <c r="I10" s="55">
        <f xml:space="preserve"> 张虎!J21</f>
        <v>3.3633333333333355</v>
      </c>
    </row>
    <row r="11" spans="1:15" x14ac:dyDescent="0.15">
      <c r="A11" s="52" t="s">
        <v>42</v>
      </c>
      <c r="B11" s="48">
        <f>马莲花!K16</f>
        <v>64.549166666666707</v>
      </c>
      <c r="C11" s="48">
        <f>马莲花!K17</f>
        <v>2.8333333333337762E-2</v>
      </c>
      <c r="D11" s="48">
        <f>马莲花!K19</f>
        <v>0</v>
      </c>
      <c r="E11" s="48">
        <f>马莲花!L16</f>
        <v>34.007499999999965</v>
      </c>
      <c r="F11" s="48">
        <f>马莲花!L17</f>
        <v>2.0444444444444447</v>
      </c>
      <c r="G11" s="48">
        <f>马莲花!L19</f>
        <v>0</v>
      </c>
      <c r="H11" s="50">
        <f t="shared" si="0"/>
        <v>100.62944444444446</v>
      </c>
      <c r="I11" s="55">
        <f xml:space="preserve"> 马莲花!J21</f>
        <v>0</v>
      </c>
    </row>
    <row r="12" spans="1:15" x14ac:dyDescent="0.15">
      <c r="A12" s="52" t="s">
        <v>43</v>
      </c>
      <c r="B12" s="48">
        <f>刘国莲!K15</f>
        <v>0</v>
      </c>
      <c r="C12" s="48">
        <f>刘国莲!K16</f>
        <v>16.372777777777785</v>
      </c>
      <c r="D12" s="48">
        <f>刘国莲!K18</f>
        <v>0</v>
      </c>
      <c r="E12" s="48">
        <f>刘国莲!L15</f>
        <v>0</v>
      </c>
      <c r="F12" s="48">
        <f>刘国莲!L16</f>
        <v>23.3061111111111</v>
      </c>
      <c r="G12" s="48">
        <f>刘国莲!L18</f>
        <v>0</v>
      </c>
      <c r="H12" s="50">
        <f t="shared" si="0"/>
        <v>39.678888888888885</v>
      </c>
      <c r="I12" s="55">
        <f xml:space="preserve"> 刘国莲!J20</f>
        <v>3.6033333333333317</v>
      </c>
    </row>
    <row r="13" spans="1:15" x14ac:dyDescent="0.15">
      <c r="A13" s="52" t="s">
        <v>44</v>
      </c>
      <c r="B13" s="48">
        <f>杜涛!K16</f>
        <v>0</v>
      </c>
      <c r="C13" s="48">
        <f>杜涛!K17</f>
        <v>33.675555555555576</v>
      </c>
      <c r="D13" s="48">
        <f>杜涛!K19</f>
        <v>0</v>
      </c>
      <c r="E13" s="48">
        <f>杜涛!L16</f>
        <v>0</v>
      </c>
      <c r="F13" s="48">
        <f>杜涛!L17</f>
        <v>21.168888888888873</v>
      </c>
      <c r="G13" s="48">
        <f>杜涛!L19</f>
        <v>0</v>
      </c>
      <c r="H13" s="50">
        <f t="shared" si="0"/>
        <v>54.844444444444449</v>
      </c>
      <c r="I13" s="55">
        <f xml:space="preserve"> 杜涛!J21</f>
        <v>5.2808333333333319</v>
      </c>
    </row>
    <row r="14" spans="1:15" x14ac:dyDescent="0.15">
      <c r="A14" s="49" t="s">
        <v>45</v>
      </c>
      <c r="B14" s="48">
        <f>张文中!K16</f>
        <v>0</v>
      </c>
      <c r="C14" s="48">
        <f>张文中!K17</f>
        <v>40.705833333333345</v>
      </c>
      <c r="D14" s="48">
        <f>张文中!K19</f>
        <v>0</v>
      </c>
      <c r="E14" s="48">
        <f>张文中!L16</f>
        <v>0</v>
      </c>
      <c r="F14" s="48">
        <f>张文中!L17</f>
        <v>18.090277777777764</v>
      </c>
      <c r="G14" s="48">
        <f>张文中!L19</f>
        <v>0</v>
      </c>
      <c r="H14" s="50">
        <f t="shared" si="0"/>
        <v>58.796111111111109</v>
      </c>
      <c r="I14" s="55">
        <f xml:space="preserve"> 张文中!J21</f>
        <v>10.512500000000003</v>
      </c>
      <c r="O14" s="57" t="s">
        <v>79</v>
      </c>
    </row>
    <row r="15" spans="1:15" x14ac:dyDescent="0.15">
      <c r="A15" s="52" t="s">
        <v>46</v>
      </c>
      <c r="B15" s="48">
        <f>李秋实!K16</f>
        <v>0</v>
      </c>
      <c r="C15" s="48">
        <f>李秋实!K17</f>
        <v>30.66916666666669</v>
      </c>
      <c r="D15" s="48">
        <f>李秋实!K19</f>
        <v>0</v>
      </c>
      <c r="E15" s="48">
        <f>李秋实!L16</f>
        <v>0</v>
      </c>
      <c r="F15" s="48">
        <f>李秋实!L17</f>
        <v>6.9449999999999736</v>
      </c>
      <c r="G15" s="48">
        <f>李秋实!L19</f>
        <v>0</v>
      </c>
      <c r="H15" s="50">
        <f t="shared" si="0"/>
        <v>37.614166666666662</v>
      </c>
      <c r="I15" s="55">
        <f xml:space="preserve"> 李秋实!J21</f>
        <v>0</v>
      </c>
    </row>
    <row r="16" spans="1:15" x14ac:dyDescent="0.15">
      <c r="A16" s="49" t="s">
        <v>47</v>
      </c>
      <c r="B16" s="48">
        <f>周岸!K16</f>
        <v>0</v>
      </c>
      <c r="C16" s="48">
        <f>周岸!K17</f>
        <v>36.165833333333339</v>
      </c>
      <c r="D16" s="48">
        <f>周岸!K19</f>
        <v>0</v>
      </c>
      <c r="E16" s="48">
        <f>周岸!L16</f>
        <v>0</v>
      </c>
      <c r="F16" s="48">
        <f>周岸!L17</f>
        <v>26.614999999999995</v>
      </c>
      <c r="G16" s="48">
        <f>周岸!L19</f>
        <v>0</v>
      </c>
      <c r="H16" s="50">
        <f t="shared" si="0"/>
        <v>62.780833333333334</v>
      </c>
      <c r="I16" s="55">
        <f xml:space="preserve"> 周岸!J21</f>
        <v>0</v>
      </c>
    </row>
    <row r="17" spans="1:9" x14ac:dyDescent="0.15">
      <c r="A17" s="52" t="s">
        <v>48</v>
      </c>
      <c r="B17" s="48">
        <f>詹泽彬!K16</f>
        <v>0</v>
      </c>
      <c r="C17" s="48">
        <f>詹泽彬!K17</f>
        <v>29.486944444444461</v>
      </c>
      <c r="D17" s="48">
        <f>詹泽彬!K19</f>
        <v>0</v>
      </c>
      <c r="E17" s="48">
        <f>詹泽彬!L16</f>
        <v>0</v>
      </c>
      <c r="F17" s="48">
        <f>詹泽彬!L17</f>
        <v>18.97305555555554</v>
      </c>
      <c r="G17" s="48">
        <f>詹泽彬!L19</f>
        <v>0</v>
      </c>
      <c r="H17" s="50">
        <f t="shared" si="0"/>
        <v>48.46</v>
      </c>
      <c r="I17" s="55">
        <f xml:space="preserve"> 詹泽彬!J21</f>
        <v>4.4222222222222243</v>
      </c>
    </row>
    <row r="18" spans="1:9" x14ac:dyDescent="0.15">
      <c r="A18" s="49" t="s">
        <v>49</v>
      </c>
      <c r="B18" s="48">
        <f>张笑延!K16</f>
        <v>0</v>
      </c>
      <c r="C18" s="48">
        <f>张笑延!K17</f>
        <v>39.04833333333336</v>
      </c>
      <c r="D18" s="48">
        <f>张笑延!K19</f>
        <v>0</v>
      </c>
      <c r="E18" s="48">
        <f>张笑延!L16</f>
        <v>0</v>
      </c>
      <c r="F18" s="48">
        <f>张笑延!L17</f>
        <v>26.738055555555523</v>
      </c>
      <c r="G18" s="48">
        <f>张笑延!L19</f>
        <v>0</v>
      </c>
      <c r="H18" s="50">
        <f t="shared" si="0"/>
        <v>65.786388888888879</v>
      </c>
      <c r="I18" s="55">
        <f xml:space="preserve"> 张笑延!J21</f>
        <v>0</v>
      </c>
    </row>
    <row r="19" spans="1:9" x14ac:dyDescent="0.15">
      <c r="A19" s="51" t="s">
        <v>2</v>
      </c>
      <c r="B19" s="50">
        <f>沈宁!K16</f>
        <v>0</v>
      </c>
      <c r="C19" s="50">
        <f>沈宁!K17</f>
        <v>43.760555555555598</v>
      </c>
      <c r="D19" s="50">
        <f>沈宁!K19</f>
        <v>0</v>
      </c>
      <c r="E19" s="50">
        <f>沈宁!L16</f>
        <v>0</v>
      </c>
      <c r="F19" s="50">
        <f>沈宁!L17</f>
        <v>26.325555555555511</v>
      </c>
      <c r="G19" s="50">
        <f>沈宁!L19</f>
        <v>0</v>
      </c>
      <c r="H19" s="50">
        <f t="shared" si="0"/>
        <v>70.086111111111109</v>
      </c>
      <c r="I19" s="55">
        <f xml:space="preserve"> 沈宁!J21</f>
        <v>0</v>
      </c>
    </row>
    <row r="20" spans="1:9" x14ac:dyDescent="0.15">
      <c r="A20" s="51" t="s">
        <v>3</v>
      </c>
      <c r="B20" s="50">
        <f>胡鑫!K16</f>
        <v>0</v>
      </c>
      <c r="C20" s="50">
        <f>胡鑫!K17</f>
        <v>8.2561111111111103</v>
      </c>
      <c r="D20" s="50">
        <f>胡鑫!K19</f>
        <v>23.639444444444472</v>
      </c>
      <c r="E20" s="50">
        <f>胡鑫!L16</f>
        <v>0</v>
      </c>
      <c r="F20" s="50">
        <f>胡鑫!L17</f>
        <v>14.328611111111112</v>
      </c>
      <c r="G20" s="50">
        <f>胡鑫!L19</f>
        <v>18.767777777777752</v>
      </c>
      <c r="H20" s="50">
        <f t="shared" si="0"/>
        <v>64.991944444444442</v>
      </c>
      <c r="I20" s="55">
        <f xml:space="preserve"> 胡鑫!J21</f>
        <v>0</v>
      </c>
    </row>
    <row r="21" spans="1:9" x14ac:dyDescent="0.15">
      <c r="A21" s="49" t="s">
        <v>50</v>
      </c>
      <c r="B21" s="50">
        <f>邓心豪!K16</f>
        <v>0</v>
      </c>
      <c r="C21" s="50">
        <f>邓心豪!K17</f>
        <v>45.611111111111114</v>
      </c>
      <c r="D21" s="50">
        <f>邓心豪!K19</f>
        <v>0</v>
      </c>
      <c r="E21" s="50">
        <f>邓心豪!L16</f>
        <v>0</v>
      </c>
      <c r="F21" s="50">
        <f>邓心豪!L17</f>
        <v>19.560555555555545</v>
      </c>
      <c r="G21" s="50">
        <f>邓心豪!L19</f>
        <v>0</v>
      </c>
      <c r="H21" s="50">
        <f t="shared" si="0"/>
        <v>65.171666666666653</v>
      </c>
      <c r="I21" s="55">
        <f xml:space="preserve"> 邓心豪!J21</f>
        <v>1.6716666666666669</v>
      </c>
    </row>
    <row r="22" spans="1:9" x14ac:dyDescent="0.15">
      <c r="A22" s="51" t="s">
        <v>4</v>
      </c>
      <c r="B22" s="50">
        <f>黄恩!K16</f>
        <v>0</v>
      </c>
      <c r="C22" s="50">
        <f>黄恩!K17</f>
        <v>33.075277777777785</v>
      </c>
      <c r="D22" s="50">
        <f>黄恩!K19</f>
        <v>0</v>
      </c>
      <c r="E22" s="50">
        <f>黄恩!L16</f>
        <v>0</v>
      </c>
      <c r="F22" s="50">
        <f>黄恩!L17</f>
        <v>28.730833333333322</v>
      </c>
      <c r="G22" s="50">
        <f>黄恩!L19</f>
        <v>0</v>
      </c>
      <c r="H22" s="50">
        <f t="shared" si="0"/>
        <v>61.806111111111107</v>
      </c>
      <c r="I22" s="55">
        <f xml:space="preserve"> 黄恩!J21</f>
        <v>1.9419444444444447</v>
      </c>
    </row>
    <row r="23" spans="1:9" x14ac:dyDescent="0.15">
      <c r="A23" s="51" t="s">
        <v>5</v>
      </c>
      <c r="B23" s="50">
        <f>严亮!K16</f>
        <v>0</v>
      </c>
      <c r="C23" s="50">
        <f>严亮!K17</f>
        <v>6.0791666666666675</v>
      </c>
      <c r="D23" s="50">
        <f>严亮!K19</f>
        <v>0</v>
      </c>
      <c r="E23" s="50">
        <f>严亮!L16</f>
        <v>0</v>
      </c>
      <c r="F23" s="50">
        <f>严亮!L17</f>
        <v>17.636111111111113</v>
      </c>
      <c r="G23" s="50">
        <f>严亮!L19</f>
        <v>0</v>
      </c>
      <c r="H23" s="50">
        <f t="shared" si="0"/>
        <v>23.715277777777779</v>
      </c>
      <c r="I23" s="55">
        <f xml:space="preserve"> 严亮!J21</f>
        <v>0</v>
      </c>
    </row>
    <row r="24" spans="1:9" x14ac:dyDescent="0.15">
      <c r="A24" s="49" t="s">
        <v>51</v>
      </c>
      <c r="B24" s="50">
        <f>边昊!K16</f>
        <v>46.088888888888903</v>
      </c>
      <c r="C24" s="50">
        <f>边昊!K17</f>
        <v>0</v>
      </c>
      <c r="D24" s="50">
        <f>边昊!K19</f>
        <v>0</v>
      </c>
      <c r="E24" s="50">
        <f>边昊!L16</f>
        <v>25.259444444444419</v>
      </c>
      <c r="F24" s="50">
        <f>边昊!L17</f>
        <v>3.0955555555555554</v>
      </c>
      <c r="G24" s="50">
        <f>边昊!L19</f>
        <v>0</v>
      </c>
      <c r="H24" s="50">
        <f t="shared" si="0"/>
        <v>74.443888888888878</v>
      </c>
      <c r="I24" s="55">
        <f xml:space="preserve"> 边昊!J21</f>
        <v>0</v>
      </c>
    </row>
    <row r="25" spans="1:9" x14ac:dyDescent="0.15">
      <c r="A25" s="49" t="s">
        <v>52</v>
      </c>
      <c r="B25" s="50">
        <f>张宗根!K16</f>
        <v>0</v>
      </c>
      <c r="C25" s="50">
        <f>张宗根!K17</f>
        <v>31.885555555555602</v>
      </c>
      <c r="D25" s="50">
        <f>张宗根!K19</f>
        <v>0</v>
      </c>
      <c r="E25" s="50">
        <f>张宗根!L16</f>
        <v>0</v>
      </c>
      <c r="F25" s="50">
        <f>张宗根!L17</f>
        <v>25.724999999999973</v>
      </c>
      <c r="G25" s="50">
        <f>张宗根!L19</f>
        <v>0</v>
      </c>
      <c r="H25" s="50">
        <f t="shared" si="0"/>
        <v>57.610555555555578</v>
      </c>
      <c r="I25" s="55">
        <f xml:space="preserve"> 张宗根!J21</f>
        <v>0</v>
      </c>
    </row>
    <row r="26" spans="1:9" x14ac:dyDescent="0.15">
      <c r="A26" s="52" t="s">
        <v>53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5">
        <f xml:space="preserve"> 宋天霖!J21</f>
        <v>0</v>
      </c>
    </row>
    <row r="27" spans="1:9" x14ac:dyDescent="0.15">
      <c r="A27" s="49" t="s">
        <v>54</v>
      </c>
      <c r="B27" s="50">
        <f>蔡昊霖!K16</f>
        <v>0</v>
      </c>
      <c r="C27" s="50">
        <f>蔡昊霖!K17</f>
        <v>26.814722222222233</v>
      </c>
      <c r="D27" s="50">
        <f>蔡昊霖!K19</f>
        <v>0</v>
      </c>
      <c r="E27" s="50">
        <f>蔡昊霖!L16</f>
        <v>0</v>
      </c>
      <c r="F27" s="50">
        <f>蔡昊霖!L17</f>
        <v>15.623055555555549</v>
      </c>
      <c r="G27" s="50">
        <f>蔡昊霖!L19</f>
        <v>0</v>
      </c>
      <c r="H27" s="50">
        <f t="shared" si="0"/>
        <v>42.437777777777782</v>
      </c>
      <c r="I27" s="55">
        <f xml:space="preserve"> 蔡昊霖!J21</f>
        <v>0</v>
      </c>
    </row>
    <row r="28" spans="1:9" x14ac:dyDescent="0.15">
      <c r="A28" s="49" t="s">
        <v>55</v>
      </c>
      <c r="B28" s="50">
        <f>叶大鹏!K16</f>
        <v>0</v>
      </c>
      <c r="C28" s="50">
        <f>叶大鹏!K17</f>
        <v>26.339722222222239</v>
      </c>
      <c r="D28" s="50">
        <f>叶大鹏!K19</f>
        <v>0</v>
      </c>
      <c r="E28" s="50">
        <f>叶大鹏!L16</f>
        <v>0</v>
      </c>
      <c r="F28" s="50">
        <f>叶大鹏!L17</f>
        <v>20.596944444444439</v>
      </c>
      <c r="G28" s="50">
        <f>叶大鹏!L19</f>
        <v>0</v>
      </c>
      <c r="H28" s="50">
        <f t="shared" si="0"/>
        <v>46.936666666666682</v>
      </c>
      <c r="I28" s="55">
        <f xml:space="preserve"> 叶大鹏!J21</f>
        <v>0</v>
      </c>
    </row>
    <row r="29" spans="1:9" x14ac:dyDescent="0.15">
      <c r="A29" s="49" t="s">
        <v>56</v>
      </c>
      <c r="B29" s="50">
        <f>王建超!K16</f>
        <v>0</v>
      </c>
      <c r="C29" s="50">
        <f>王建超!K17</f>
        <v>32.656111111111123</v>
      </c>
      <c r="D29" s="50">
        <f>王建超!K19</f>
        <v>0</v>
      </c>
      <c r="E29" s="50">
        <f>王建超!L16</f>
        <v>0</v>
      </c>
      <c r="F29" s="50">
        <f>王建超!L17</f>
        <v>17.340833333333315</v>
      </c>
      <c r="G29" s="50">
        <f>王建超!L19</f>
        <v>0</v>
      </c>
      <c r="H29" s="50">
        <f t="shared" si="0"/>
        <v>49.996944444444438</v>
      </c>
      <c r="I29" s="55">
        <f xml:space="preserve"> 王建超!J21</f>
        <v>2.1022222222222213</v>
      </c>
    </row>
    <row r="30" spans="1:9" x14ac:dyDescent="0.15">
      <c r="A30" s="49" t="s">
        <v>57</v>
      </c>
      <c r="B30" s="50">
        <f>潘伟生!K16</f>
        <v>0</v>
      </c>
      <c r="C30" s="50">
        <f>潘伟生!K17</f>
        <v>43.931111111111122</v>
      </c>
      <c r="D30" s="50">
        <f>潘伟生!K19</f>
        <v>0</v>
      </c>
      <c r="E30" s="50">
        <f>潘伟生!L16</f>
        <v>0</v>
      </c>
      <c r="F30" s="50">
        <f>潘伟生!L17</f>
        <v>9.6433333333333167</v>
      </c>
      <c r="G30" s="50">
        <f>潘伟生!L19</f>
        <v>0</v>
      </c>
      <c r="H30" s="50">
        <f t="shared" si="0"/>
        <v>53.574444444444438</v>
      </c>
      <c r="I30" s="55">
        <f xml:space="preserve"> 潘伟生!J21</f>
        <v>0</v>
      </c>
    </row>
    <row r="31" spans="1:9" x14ac:dyDescent="0.15">
      <c r="A31" s="49" t="s">
        <v>58</v>
      </c>
      <c r="B31" s="50">
        <f>王风瑞!K16</f>
        <v>0</v>
      </c>
      <c r="C31" s="50">
        <f>王风瑞!K17</f>
        <v>33.353055555555571</v>
      </c>
      <c r="D31" s="50">
        <f>王风瑞!K19</f>
        <v>0</v>
      </c>
      <c r="E31" s="50">
        <f>王风瑞!L16</f>
        <v>0</v>
      </c>
      <c r="F31" s="50">
        <f>王风瑞!L17</f>
        <v>18.303888888888871</v>
      </c>
      <c r="G31" s="50">
        <f>王风瑞!L19</f>
        <v>0</v>
      </c>
      <c r="H31" s="50">
        <f t="shared" si="0"/>
        <v>51.656944444444441</v>
      </c>
      <c r="I31" s="55">
        <f xml:space="preserve"> 王风瑞!J21</f>
        <v>1.3800000000000012</v>
      </c>
    </row>
    <row r="32" spans="1:9" x14ac:dyDescent="0.15">
      <c r="A32" s="49" t="s">
        <v>59</v>
      </c>
      <c r="B32" s="50">
        <f>金鼎!K16</f>
        <v>60.861944444444461</v>
      </c>
      <c r="C32" s="50">
        <f>金鼎!K17</f>
        <v>0</v>
      </c>
      <c r="D32" s="50">
        <f>金鼎!K19</f>
        <v>0</v>
      </c>
      <c r="E32" s="50">
        <f>金鼎!L16</f>
        <v>29.224166666666644</v>
      </c>
      <c r="F32" s="50">
        <f>金鼎!L17</f>
        <v>0</v>
      </c>
      <c r="G32" s="50">
        <f>金鼎!L19</f>
        <v>0</v>
      </c>
      <c r="H32" s="50">
        <f t="shared" si="0"/>
        <v>90.086111111111109</v>
      </c>
      <c r="I32" s="55">
        <f xml:space="preserve"> 金鼎!J21</f>
        <v>0</v>
      </c>
    </row>
    <row r="33" spans="1:9" x14ac:dyDescent="0.15">
      <c r="A33" s="49" t="s">
        <v>60</v>
      </c>
      <c r="B33" s="50">
        <f>董志华!K16</f>
        <v>0</v>
      </c>
      <c r="C33" s="50">
        <f>董志华!K17</f>
        <v>44.417500000000018</v>
      </c>
      <c r="D33" s="50">
        <f>董志华!K19</f>
        <v>0</v>
      </c>
      <c r="E33" s="50">
        <f>董志华!L16</f>
        <v>0</v>
      </c>
      <c r="F33" s="50">
        <f>董志华!L17</f>
        <v>12.008888888888873</v>
      </c>
      <c r="G33" s="50">
        <f>董志华!L19</f>
        <v>0</v>
      </c>
      <c r="H33" s="50">
        <f t="shared" si="0"/>
        <v>56.426388888888894</v>
      </c>
      <c r="I33" s="55">
        <f xml:space="preserve"> 董志华!J21</f>
        <v>0</v>
      </c>
    </row>
    <row r="34" spans="1:9" x14ac:dyDescent="0.15">
      <c r="A34" s="49" t="s">
        <v>61</v>
      </c>
      <c r="B34" s="50">
        <f>姜文夫!K16</f>
        <v>64.274722222222266</v>
      </c>
      <c r="C34" s="50">
        <f>姜文夫!K17</f>
        <v>0</v>
      </c>
      <c r="D34" s="50">
        <f>姜文夫!K19</f>
        <v>0</v>
      </c>
      <c r="E34" s="50">
        <f>姜文夫!L16</f>
        <v>23.519999999999953</v>
      </c>
      <c r="F34" s="50">
        <f>姜文夫!L17</f>
        <v>4.0605555555555553</v>
      </c>
      <c r="G34" s="50">
        <f>姜文夫!L19</f>
        <v>0</v>
      </c>
      <c r="H34" s="50">
        <f t="shared" si="0"/>
        <v>91.855277777777772</v>
      </c>
      <c r="I34" s="55">
        <f xml:space="preserve"> 姜文夫!J21</f>
        <v>0</v>
      </c>
    </row>
    <row r="35" spans="1:9" x14ac:dyDescent="0.15">
      <c r="A35" s="49" t="s">
        <v>62</v>
      </c>
      <c r="B35" s="50">
        <f>郭永杰!K16</f>
        <v>43.148611111111116</v>
      </c>
      <c r="C35" s="50">
        <f>郭永杰!K17</f>
        <v>0</v>
      </c>
      <c r="D35" s="50">
        <f>郭永杰!K19</f>
        <v>0</v>
      </c>
      <c r="E35" s="50">
        <f>郭永杰!L16</f>
        <v>28.869166666666658</v>
      </c>
      <c r="F35" s="50">
        <f>郭永杰!L17</f>
        <v>3.962777777777776</v>
      </c>
      <c r="G35" s="50">
        <f>郭永杰!L19</f>
        <v>0</v>
      </c>
      <c r="H35" s="50">
        <f t="shared" si="0"/>
        <v>75.980555555555554</v>
      </c>
      <c r="I35" s="55">
        <f xml:space="preserve"> 郭永杰!J21</f>
        <v>0</v>
      </c>
    </row>
    <row r="36" spans="1:9" x14ac:dyDescent="0.15">
      <c r="A36" s="49" t="s">
        <v>63</v>
      </c>
      <c r="B36" s="50">
        <f>朱永春!K16</f>
        <v>67.14388888888891</v>
      </c>
      <c r="C36" s="50">
        <f>朱永春!K17</f>
        <v>0</v>
      </c>
      <c r="D36" s="50">
        <f>朱永春!K19</f>
        <v>0</v>
      </c>
      <c r="E36" s="50">
        <f>朱永春!L16</f>
        <v>32.670833333333306</v>
      </c>
      <c r="F36" s="50">
        <f>朱永春!L17</f>
        <v>0</v>
      </c>
      <c r="G36" s="50">
        <f>朱永春!L19</f>
        <v>0</v>
      </c>
      <c r="H36" s="50">
        <f t="shared" si="0"/>
        <v>99.814722222222215</v>
      </c>
      <c r="I36" s="55">
        <f xml:space="preserve"> 朱永春!J21</f>
        <v>0</v>
      </c>
    </row>
    <row r="37" spans="1:9" x14ac:dyDescent="0.15">
      <c r="A37" s="49" t="s">
        <v>64</v>
      </c>
      <c r="B37" s="50">
        <f>刘琦!K16</f>
        <v>0</v>
      </c>
      <c r="C37" s="50">
        <f>刘琦!K17</f>
        <v>41.145833333333357</v>
      </c>
      <c r="D37" s="50">
        <f>刘琦!K19</f>
        <v>0</v>
      </c>
      <c r="E37" s="50">
        <f>刘琦!L16</f>
        <v>0</v>
      </c>
      <c r="F37" s="50">
        <f>刘琦!L17</f>
        <v>1.8316666666666415</v>
      </c>
      <c r="G37" s="50">
        <f>刘琦!L19</f>
        <v>0</v>
      </c>
      <c r="H37" s="50">
        <f t="shared" si="0"/>
        <v>42.977499999999999</v>
      </c>
      <c r="I37" s="55">
        <f xml:space="preserve"> 刘琦!J21</f>
        <v>0</v>
      </c>
    </row>
    <row r="38" spans="1:9" x14ac:dyDescent="0.15">
      <c r="A38" s="49" t="s">
        <v>65</v>
      </c>
      <c r="B38" s="50">
        <f>吴疆!K16</f>
        <v>54.327777777777797</v>
      </c>
      <c r="C38" s="50">
        <f>吴疆!K17</f>
        <v>0</v>
      </c>
      <c r="D38" s="50">
        <f>吴疆!K19</f>
        <v>0</v>
      </c>
      <c r="E38" s="50">
        <f>吴疆!L16</f>
        <v>32.41444444444442</v>
      </c>
      <c r="F38" s="50">
        <f>吴疆!L17</f>
        <v>3.8644444444444432</v>
      </c>
      <c r="G38" s="50">
        <f>吴疆!L19</f>
        <v>0</v>
      </c>
      <c r="H38" s="50">
        <f t="shared" si="0"/>
        <v>90.606666666666655</v>
      </c>
      <c r="I38" s="55">
        <f xml:space="preserve"> 吴疆!J21</f>
        <v>0</v>
      </c>
    </row>
    <row r="39" spans="1:9" x14ac:dyDescent="0.15">
      <c r="A39" s="49" t="s">
        <v>66</v>
      </c>
      <c r="B39" s="50">
        <f>巴富毅!K16</f>
        <v>0</v>
      </c>
      <c r="C39" s="50">
        <f>巴富毅!K17</f>
        <v>30.158888888888882</v>
      </c>
      <c r="D39" s="50">
        <f>巴富毅!K19</f>
        <v>0</v>
      </c>
      <c r="E39" s="50">
        <f>巴富毅!L16</f>
        <v>0</v>
      </c>
      <c r="F39" s="50">
        <f>巴富毅!L17</f>
        <v>0</v>
      </c>
      <c r="G39" s="50">
        <f>巴富毅!L19</f>
        <v>0</v>
      </c>
      <c r="H39" s="50">
        <f t="shared" si="0"/>
        <v>30.158888888888882</v>
      </c>
      <c r="I39" s="55">
        <f xml:space="preserve"> 巴富毅!J21</f>
        <v>3.7244444444444436</v>
      </c>
    </row>
    <row r="40" spans="1:9" x14ac:dyDescent="0.15">
      <c r="A40" s="52" t="s">
        <v>67</v>
      </c>
      <c r="B40" s="50">
        <f>王维华!K16</f>
        <v>0</v>
      </c>
      <c r="C40" s="50">
        <f>王维华!K17</f>
        <v>0</v>
      </c>
      <c r="D40" s="50">
        <f>王维华!K19</f>
        <v>0</v>
      </c>
      <c r="E40" s="50">
        <f>王维华!L16</f>
        <v>0</v>
      </c>
      <c r="F40" s="50">
        <f>王维华!L17</f>
        <v>0</v>
      </c>
      <c r="G40" s="50">
        <f>王维华!L19</f>
        <v>0</v>
      </c>
      <c r="H40" s="50">
        <f t="shared" si="0"/>
        <v>0</v>
      </c>
      <c r="I40" s="55">
        <f>王维华!J21</f>
        <v>0</v>
      </c>
    </row>
    <row r="41" spans="1:9" x14ac:dyDescent="0.15">
      <c r="A41" s="49" t="s">
        <v>68</v>
      </c>
      <c r="B41" s="50">
        <f>何飞!K16</f>
        <v>0</v>
      </c>
      <c r="C41" s="50">
        <f>何飞!K17</f>
        <v>0</v>
      </c>
      <c r="D41" s="50">
        <f>何飞!K19</f>
        <v>0</v>
      </c>
      <c r="E41" s="50">
        <f>何飞!L16</f>
        <v>0</v>
      </c>
      <c r="F41" s="50">
        <f>何飞!L17</f>
        <v>0</v>
      </c>
      <c r="G41" s="50">
        <f>何飞!L19</f>
        <v>0</v>
      </c>
      <c r="H41" s="50">
        <f t="shared" si="0"/>
        <v>0</v>
      </c>
      <c r="I41" s="55">
        <f>何飞!J21</f>
        <v>0</v>
      </c>
    </row>
    <row r="42" spans="1:9" x14ac:dyDescent="0.15">
      <c r="A42" s="49" t="s">
        <v>69</v>
      </c>
      <c r="B42" s="50">
        <f>陈宏伟!K16</f>
        <v>0</v>
      </c>
      <c r="C42" s="50">
        <f>陈宏伟!K17</f>
        <v>34.981944444444466</v>
      </c>
      <c r="D42" s="50">
        <f>陈宏伟!K19</f>
        <v>0</v>
      </c>
      <c r="E42" s="50">
        <f>陈宏伟!L16</f>
        <v>0</v>
      </c>
      <c r="F42" s="50">
        <f>陈宏伟!L17</f>
        <v>27.174722222222186</v>
      </c>
      <c r="G42" s="50">
        <f>陈宏伟!L19</f>
        <v>0</v>
      </c>
      <c r="H42" s="50">
        <f>SUM(B42:G42)</f>
        <v>62.156666666666652</v>
      </c>
      <c r="I42" s="55">
        <f xml:space="preserve"> 陈宏伟!J21</f>
        <v>4.058055555555554</v>
      </c>
    </row>
    <row r="43" spans="1:9" x14ac:dyDescent="0.15">
      <c r="A43" s="49" t="s">
        <v>70</v>
      </c>
      <c r="B43" s="50">
        <f>蒋露裕!K16</f>
        <v>0</v>
      </c>
      <c r="C43" s="50">
        <f>蒋露裕!K17</f>
        <v>0</v>
      </c>
      <c r="D43" s="50">
        <f>蒋露裕!K19</f>
        <v>0</v>
      </c>
      <c r="E43" s="50">
        <f>蒋露裕!L16</f>
        <v>0</v>
      </c>
      <c r="F43" s="50">
        <f>蒋露裕!L17</f>
        <v>0</v>
      </c>
      <c r="G43" s="50">
        <f>蒋露裕!L19</f>
        <v>0</v>
      </c>
      <c r="H43" s="50">
        <f t="shared" ref="H43:H46" si="1">SUM(B43:G43)</f>
        <v>0</v>
      </c>
      <c r="I43" s="55">
        <f xml:space="preserve"> 蒋露裕!J21</f>
        <v>16.139722222222218</v>
      </c>
    </row>
    <row r="44" spans="1:9" x14ac:dyDescent="0.15">
      <c r="A44" s="49" t="s">
        <v>71</v>
      </c>
      <c r="B44" s="50">
        <f>蓝宇航!K16</f>
        <v>0</v>
      </c>
      <c r="C44" s="50">
        <f>蓝宇航!K17</f>
        <v>36.140277777777783</v>
      </c>
      <c r="D44" s="50">
        <f>蓝宇航!K19</f>
        <v>0</v>
      </c>
      <c r="E44" s="50">
        <f>蓝宇航!L16</f>
        <v>0</v>
      </c>
      <c r="F44" s="50">
        <f>蓝宇航!L17</f>
        <v>36.249444444444435</v>
      </c>
      <c r="G44" s="50">
        <f>蓝宇航!L19</f>
        <v>0</v>
      </c>
      <c r="H44" s="50">
        <f t="shared" si="1"/>
        <v>72.389722222222218</v>
      </c>
      <c r="I44" s="55">
        <f xml:space="preserve"> 蓝宇航!J21</f>
        <v>1.6013888888888896</v>
      </c>
    </row>
    <row r="45" spans="1:9" x14ac:dyDescent="0.15">
      <c r="A45" s="49" t="s">
        <v>72</v>
      </c>
      <c r="B45" s="50">
        <f>程卓!K16</f>
        <v>0</v>
      </c>
      <c r="C45" s="50">
        <f>程卓!K17</f>
        <v>28.320000000000014</v>
      </c>
      <c r="D45" s="50">
        <f>程卓!K19</f>
        <v>0</v>
      </c>
      <c r="E45" s="50">
        <f>程卓!L16</f>
        <v>0</v>
      </c>
      <c r="F45" s="50">
        <f>程卓!L17</f>
        <v>17.558333333333323</v>
      </c>
      <c r="G45" s="50">
        <f>程卓!L19</f>
        <v>0</v>
      </c>
      <c r="H45" s="50">
        <f t="shared" si="1"/>
        <v>45.878333333333337</v>
      </c>
      <c r="I45" s="55">
        <f xml:space="preserve"> 程卓!J21</f>
        <v>12.692499999999997</v>
      </c>
    </row>
    <row r="46" spans="1:9" x14ac:dyDescent="0.15">
      <c r="A46" s="49" t="s">
        <v>73</v>
      </c>
      <c r="B46" s="50">
        <f>郑文卓!K16</f>
        <v>0</v>
      </c>
      <c r="C46" s="50">
        <f>郑文卓!K17</f>
        <v>35.851666666666688</v>
      </c>
      <c r="D46" s="50">
        <f>郑文卓!K19</f>
        <v>0</v>
      </c>
      <c r="E46" s="50">
        <f>郑文卓!L16</f>
        <v>0</v>
      </c>
      <c r="F46" s="50">
        <f>郑文卓!L17</f>
        <v>26.124999999999982</v>
      </c>
      <c r="G46" s="50">
        <f>郑文卓!L19</f>
        <v>0</v>
      </c>
      <c r="H46" s="50">
        <f t="shared" si="1"/>
        <v>61.976666666666674</v>
      </c>
      <c r="I46" s="55">
        <f xml:space="preserve"> 郑文卓!J21</f>
        <v>0</v>
      </c>
    </row>
  </sheetData>
  <mergeCells count="5">
    <mergeCell ref="B1:G2"/>
    <mergeCell ref="B3:D3"/>
    <mergeCell ref="E3:G3"/>
    <mergeCell ref="H3:H4"/>
    <mergeCell ref="I3:I4"/>
  </mergeCells>
  <phoneticPr fontId="15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王维华'!A1" display="王维华"/>
    <hyperlink ref="A41" location="'何飞'!A1" display="何飞"/>
    <hyperlink ref="A42" location="'陈宏伟'!A1" display="陈宏伟"/>
    <hyperlink ref="A43" location="'蒋露裕'!A1" display="蒋露裕"/>
    <hyperlink ref="A44" location="'蓝宇航'!A1" display="蓝宇航"/>
    <hyperlink ref="A45" location="'程卓'!A1" display="程卓"/>
    <hyperlink ref="A46" location="'郑文卓'!A1" display="郑文卓"/>
  </hyperlink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339"/>
  <sheetViews>
    <sheetView zoomScale="85" zoomScaleNormal="85" workbookViewId="0">
      <selection activeCell="D16" sqref="D1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v>46054</v>
      </c>
      <c r="B3" s="58" t="s">
        <v>81</v>
      </c>
      <c r="C3" s="11">
        <v>9.2592592592592588E-5</v>
      </c>
      <c r="D3" s="11" t="s">
        <v>84</v>
      </c>
      <c r="E3" s="11">
        <v>0.1388888888888889</v>
      </c>
      <c r="F3" s="12">
        <f t="shared" ref="F3:F66" si="0">(IF(E3-C3&lt;0,"24:00"-C3+E3,E3-C3))*24</f>
        <v>3.3311111111111114</v>
      </c>
      <c r="G3" s="13">
        <f t="shared" ref="G3:G66" si="1">F3-H3</f>
        <v>0</v>
      </c>
      <c r="H3" s="13">
        <f t="shared" ref="H3:H66" si="2">(IF(AND(C3&gt;=$O$3,C3&lt;$P$3,E3&gt;=$O$3,E3&lt;$P$3),E3-C3,IF(AND(C3&gt;=$O$3,C3&lt;$P$3,E3&gt;=$P$3,E3&lt;$N$3),$P$3-C3,IF(AND(C3&gt;=$P$3,C3&lt;$N$3,E3&gt;=$O$3,E3&lt;$P$3),E3,IF(AND(C3&gt;=$P$3,C3&lt;$N$3,E3&gt;=$P$3,E3&lt;$N$3),"0","none")))))*24</f>
        <v>3.3311111111111114</v>
      </c>
      <c r="I3" s="16" t="s">
        <v>19</v>
      </c>
      <c r="J3" s="17">
        <f>SUMIF(B:B,"带班主任",F:F)</f>
        <v>66.714166666666657</v>
      </c>
      <c r="K3" s="18">
        <f>SUMIF(B:B,"带班主任",G:G)</f>
        <v>47.625277777777818</v>
      </c>
      <c r="L3" s="18">
        <f>SUMIF(B:B,"带班主任",H:H)</f>
        <v>19.088888888888857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66" ca="1" si="3">IF(B4="","",IF(A4="",NOW(),A4))</f>
        <v>46068.35585162037</v>
      </c>
      <c r="B4" s="58" t="s">
        <v>81</v>
      </c>
      <c r="C4" s="11">
        <v>0.35584490740740743</v>
      </c>
      <c r="D4" s="11" t="s">
        <v>84</v>
      </c>
      <c r="E4" s="11">
        <v>0.54979166666666668</v>
      </c>
      <c r="F4" s="12">
        <f t="shared" si="0"/>
        <v>4.6547222222222224</v>
      </c>
      <c r="G4" s="13">
        <f t="shared" si="1"/>
        <v>4.6547222222222224</v>
      </c>
      <c r="H4" s="13">
        <f t="shared" si="2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3"/>
        <v>46068.792403009262</v>
      </c>
      <c r="B5" s="58" t="s">
        <v>81</v>
      </c>
      <c r="C5" s="11">
        <v>0.7923958333333333</v>
      </c>
      <c r="D5" s="11" t="s">
        <v>84</v>
      </c>
      <c r="E5" s="11">
        <v>0.94453703703703706</v>
      </c>
      <c r="F5" s="12">
        <f t="shared" si="0"/>
        <v>3.6513888888888903</v>
      </c>
      <c r="G5" s="13">
        <f t="shared" si="1"/>
        <v>3.6513888888888903</v>
      </c>
      <c r="H5" s="13">
        <f t="shared" si="2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3"/>
        <v>46069.292941435182</v>
      </c>
      <c r="B6" s="58" t="s">
        <v>81</v>
      </c>
      <c r="C6" s="11">
        <v>0.29293981481481485</v>
      </c>
      <c r="D6" s="11" t="s">
        <v>84</v>
      </c>
      <c r="E6" s="11">
        <v>0.48427083333333337</v>
      </c>
      <c r="F6" s="12">
        <f t="shared" si="0"/>
        <v>4.5919444444444446</v>
      </c>
      <c r="G6" s="13">
        <f t="shared" si="1"/>
        <v>3.6225000000000094</v>
      </c>
      <c r="H6" s="13">
        <f t="shared" si="2"/>
        <v>0.96944444444443523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3"/>
        <v>46069.499248611108</v>
      </c>
      <c r="B7" s="58" t="s">
        <v>81</v>
      </c>
      <c r="C7" s="11">
        <v>0.4992476851851852</v>
      </c>
      <c r="D7" s="11" t="s">
        <v>84</v>
      </c>
      <c r="E7" s="11">
        <v>0.54954861111111108</v>
      </c>
      <c r="F7" s="12">
        <f t="shared" si="0"/>
        <v>1.2072222222222213</v>
      </c>
      <c r="G7" s="13">
        <f t="shared" si="1"/>
        <v>1.2072222222222213</v>
      </c>
      <c r="H7" s="13">
        <f t="shared" si="2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3"/>
        <v>46070.133059027779</v>
      </c>
      <c r="B8" s="58" t="s">
        <v>81</v>
      </c>
      <c r="C8" s="11">
        <v>0.13305555555555557</v>
      </c>
      <c r="D8" s="11" t="s">
        <v>84</v>
      </c>
      <c r="E8" s="11">
        <v>0.29700231481481482</v>
      </c>
      <c r="F8" s="12">
        <f t="shared" si="0"/>
        <v>3.9347222222222218</v>
      </c>
      <c r="G8" s="13">
        <f t="shared" si="1"/>
        <v>0</v>
      </c>
      <c r="H8" s="13">
        <f t="shared" si="2"/>
        <v>3.9347222222222218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3"/>
        <v>46072.544483796293</v>
      </c>
      <c r="B9" s="58" t="s">
        <v>81</v>
      </c>
      <c r="C9" s="11">
        <v>0.54447916666666674</v>
      </c>
      <c r="D9" s="11" t="s">
        <v>84</v>
      </c>
      <c r="E9" s="11">
        <v>0.79749999999999999</v>
      </c>
      <c r="F9" s="12">
        <f t="shared" si="0"/>
        <v>6.072499999999998</v>
      </c>
      <c r="G9" s="13">
        <f t="shared" si="1"/>
        <v>6.072499999999998</v>
      </c>
      <c r="H9" s="13">
        <f t="shared" si="2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3"/>
        <v>46073.134980439812</v>
      </c>
      <c r="B10" s="58" t="s">
        <v>81</v>
      </c>
      <c r="C10" s="11">
        <v>0.13497685185185185</v>
      </c>
      <c r="D10" s="11" t="s">
        <v>84</v>
      </c>
      <c r="E10" s="11">
        <v>0.29782407407407407</v>
      </c>
      <c r="F10" s="12">
        <f t="shared" si="0"/>
        <v>3.9083333333333332</v>
      </c>
      <c r="G10" s="13">
        <f t="shared" si="1"/>
        <v>0</v>
      </c>
      <c r="H10" s="13">
        <f t="shared" si="2"/>
        <v>3.9083333333333332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3"/>
        <v>46073.792949884257</v>
      </c>
      <c r="B11" s="58" t="s">
        <v>81</v>
      </c>
      <c r="C11" s="11">
        <v>0.79293981481481479</v>
      </c>
      <c r="D11" s="11" t="s">
        <v>84</v>
      </c>
      <c r="E11" s="11">
        <v>0.94564814814814813</v>
      </c>
      <c r="F11" s="12">
        <f t="shared" si="0"/>
        <v>3.665</v>
      </c>
      <c r="G11" s="13">
        <f t="shared" si="1"/>
        <v>3.665</v>
      </c>
      <c r="H11" s="13">
        <f t="shared" si="2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3"/>
        <v>46074.292422916667</v>
      </c>
      <c r="B12" s="58" t="s">
        <v>81</v>
      </c>
      <c r="C12" s="11">
        <v>0.29241898148148149</v>
      </c>
      <c r="D12" s="11" t="s">
        <v>84</v>
      </c>
      <c r="E12" s="11">
        <v>0.35668981481481482</v>
      </c>
      <c r="F12" s="12">
        <f t="shared" si="0"/>
        <v>1.5425</v>
      </c>
      <c r="G12" s="13">
        <f t="shared" si="1"/>
        <v>0.56055555555556413</v>
      </c>
      <c r="H12" s="13">
        <f t="shared" si="2"/>
        <v>0.98194444444443585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3"/>
        <v>46076.583129050923</v>
      </c>
      <c r="B13" s="58" t="s">
        <v>81</v>
      </c>
      <c r="C13" s="11">
        <v>0.583125</v>
      </c>
      <c r="D13" s="11" t="s">
        <v>84</v>
      </c>
      <c r="E13" s="11">
        <v>0.79693287037037042</v>
      </c>
      <c r="F13" s="12">
        <f t="shared" si="0"/>
        <v>5.1313888888888899</v>
      </c>
      <c r="G13" s="13">
        <f t="shared" si="1"/>
        <v>5.1313888888888899</v>
      </c>
      <c r="H13" s="13">
        <f t="shared" si="2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3"/>
        <v>46077.129715625</v>
      </c>
      <c r="B14" s="58" t="s">
        <v>81</v>
      </c>
      <c r="C14" s="11">
        <v>0.12971064814814814</v>
      </c>
      <c r="D14" s="11" t="s">
        <v>84</v>
      </c>
      <c r="E14" s="11">
        <v>0.29781249999999998</v>
      </c>
      <c r="F14" s="12">
        <f t="shared" si="0"/>
        <v>4.0344444444444445</v>
      </c>
      <c r="G14" s="13">
        <f t="shared" si="1"/>
        <v>0</v>
      </c>
      <c r="H14" s="13">
        <f t="shared" si="2"/>
        <v>4.0344444444444445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3"/>
        <v>46077.794305208336</v>
      </c>
      <c r="B15" s="58" t="s">
        <v>81</v>
      </c>
      <c r="C15" s="11">
        <v>0.79430555555555549</v>
      </c>
      <c r="D15" s="11" t="s">
        <v>84</v>
      </c>
      <c r="E15" s="11">
        <v>0.94456018518518514</v>
      </c>
      <c r="F15" s="12">
        <f t="shared" si="0"/>
        <v>3.6061111111111117</v>
      </c>
      <c r="G15" s="13">
        <f t="shared" si="1"/>
        <v>3.6061111111111117</v>
      </c>
      <c r="H15" s="13">
        <f t="shared" si="2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3"/>
        <v>46078.293079861112</v>
      </c>
      <c r="B16" s="58" t="s">
        <v>81</v>
      </c>
      <c r="C16" s="11">
        <v>0.2930787037037037</v>
      </c>
      <c r="D16" s="11" t="s">
        <v>84</v>
      </c>
      <c r="E16" s="11">
        <v>0.54791666666666672</v>
      </c>
      <c r="F16" s="12">
        <f t="shared" si="0"/>
        <v>6.1161111111111124</v>
      </c>
      <c r="G16" s="13">
        <f t="shared" si="1"/>
        <v>5.1500000000000092</v>
      </c>
      <c r="H16" s="13">
        <f t="shared" si="2"/>
        <v>0.9661111111111027</v>
      </c>
      <c r="I16" s="35" t="s">
        <v>19</v>
      </c>
      <c r="J16" s="36">
        <f t="shared" ref="J16:L16" si="4">J3</f>
        <v>66.714166666666657</v>
      </c>
      <c r="K16" s="37">
        <f t="shared" si="4"/>
        <v>47.625277777777818</v>
      </c>
      <c r="L16" s="38">
        <f t="shared" si="4"/>
        <v>19.088888888888857</v>
      </c>
      <c r="M16" s="39"/>
    </row>
    <row r="17" spans="1:13" ht="20.25" x14ac:dyDescent="0.25">
      <c r="A17" s="10">
        <f t="shared" ca="1" si="3"/>
        <v>46080.793274421296</v>
      </c>
      <c r="B17" s="58" t="s">
        <v>81</v>
      </c>
      <c r="C17" s="11">
        <v>0.79326388888888888</v>
      </c>
      <c r="D17" s="11" t="s">
        <v>84</v>
      </c>
      <c r="E17" s="11">
        <v>0.94475694444444447</v>
      </c>
      <c r="F17" s="12">
        <f t="shared" si="0"/>
        <v>3.6358333333333341</v>
      </c>
      <c r="G17" s="13">
        <f t="shared" si="1"/>
        <v>3.6358333333333341</v>
      </c>
      <c r="H17" s="13">
        <f t="shared" si="2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3"/>
        <v>46081.293223958332</v>
      </c>
      <c r="B18" s="58" t="s">
        <v>81</v>
      </c>
      <c r="C18" s="11">
        <v>0.29321759259259256</v>
      </c>
      <c r="D18" s="11" t="s">
        <v>84</v>
      </c>
      <c r="E18" s="11">
        <v>0.54925925925925922</v>
      </c>
      <c r="F18" s="12">
        <f t="shared" si="0"/>
        <v>6.1449999999999996</v>
      </c>
      <c r="G18" s="13">
        <f t="shared" si="1"/>
        <v>5.1822222222222294</v>
      </c>
      <c r="H18" s="13">
        <f t="shared" si="2"/>
        <v>0.96277777777777018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3"/>
        <v>46081.966463657409</v>
      </c>
      <c r="B19" s="58" t="s">
        <v>81</v>
      </c>
      <c r="C19" s="11">
        <v>0.93798611111111108</v>
      </c>
      <c r="D19" s="11" t="s">
        <v>84</v>
      </c>
      <c r="E19" s="11">
        <v>0.99989583333333332</v>
      </c>
      <c r="F19" s="12">
        <f t="shared" si="0"/>
        <v>1.4858333333333338</v>
      </c>
      <c r="G19" s="13">
        <f t="shared" si="1"/>
        <v>1.4858333333333338</v>
      </c>
      <c r="H19" s="13">
        <f t="shared" si="2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3"/>
        <v/>
      </c>
      <c r="B20" s="58"/>
      <c r="C20" s="11"/>
      <c r="D20" s="11"/>
      <c r="E20" s="11"/>
      <c r="F20" s="12">
        <f t="shared" si="0"/>
        <v>0</v>
      </c>
      <c r="G20" s="13">
        <f t="shared" si="1"/>
        <v>0</v>
      </c>
      <c r="H20" s="13">
        <f t="shared" si="2"/>
        <v>0</v>
      </c>
      <c r="I20" s="40" t="s">
        <v>31</v>
      </c>
      <c r="J20" s="67">
        <f>J16+J17+J18+J19</f>
        <v>66.714166666666657</v>
      </c>
      <c r="K20" s="68"/>
      <c r="L20" s="69"/>
      <c r="M20" s="41"/>
    </row>
    <row r="21" spans="1:13" ht="20.25" x14ac:dyDescent="0.25">
      <c r="A21" s="10" t="str">
        <f t="shared" ca="1" si="3"/>
        <v/>
      </c>
      <c r="B21" s="58"/>
      <c r="C21" s="11"/>
      <c r="D21" s="11"/>
      <c r="E21" s="11"/>
      <c r="F21" s="12">
        <f t="shared" si="0"/>
        <v>0</v>
      </c>
      <c r="G21" s="13">
        <f t="shared" si="1"/>
        <v>0</v>
      </c>
      <c r="H21" s="13">
        <f t="shared" si="2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3"/>
        <v/>
      </c>
      <c r="B22" s="58"/>
      <c r="C22" s="11"/>
      <c r="D22" s="11"/>
      <c r="E22" s="11"/>
      <c r="F22" s="12">
        <f t="shared" si="0"/>
        <v>0</v>
      </c>
      <c r="G22" s="13">
        <f t="shared" si="1"/>
        <v>0</v>
      </c>
      <c r="H22" s="13">
        <f t="shared" si="2"/>
        <v>0</v>
      </c>
      <c r="I22"/>
      <c r="J22"/>
    </row>
    <row r="23" spans="1:13" ht="18.75" x14ac:dyDescent="0.15">
      <c r="A23" s="10" t="str">
        <f t="shared" ca="1" si="3"/>
        <v/>
      </c>
      <c r="B23" s="58"/>
      <c r="C23" s="11"/>
      <c r="D23" s="11"/>
      <c r="E23" s="11"/>
      <c r="F23" s="12">
        <f t="shared" si="0"/>
        <v>0</v>
      </c>
      <c r="G23" s="13">
        <f t="shared" si="1"/>
        <v>0</v>
      </c>
      <c r="H23" s="13">
        <f t="shared" si="2"/>
        <v>0</v>
      </c>
      <c r="I23"/>
      <c r="J23"/>
    </row>
    <row r="24" spans="1:13" ht="18.75" x14ac:dyDescent="0.15">
      <c r="A24" s="10" t="str">
        <f t="shared" ca="1" si="3"/>
        <v/>
      </c>
      <c r="B24" s="58"/>
      <c r="C24" s="11"/>
      <c r="D24" s="11"/>
      <c r="E24" s="11"/>
      <c r="F24" s="12">
        <f t="shared" si="0"/>
        <v>0</v>
      </c>
      <c r="G24" s="13">
        <f t="shared" si="1"/>
        <v>0</v>
      </c>
      <c r="H24" s="13">
        <f t="shared" si="2"/>
        <v>0</v>
      </c>
      <c r="I24"/>
      <c r="J24"/>
    </row>
    <row r="25" spans="1:13" ht="18.75" x14ac:dyDescent="0.15">
      <c r="A25" s="10" t="str">
        <f t="shared" ca="1" si="3"/>
        <v/>
      </c>
      <c r="B25" s="58"/>
      <c r="C25" s="11"/>
      <c r="D25" s="11"/>
      <c r="E25" s="11"/>
      <c r="F25" s="12">
        <f t="shared" si="0"/>
        <v>0</v>
      </c>
      <c r="G25" s="13">
        <f t="shared" si="1"/>
        <v>0</v>
      </c>
      <c r="H25" s="13">
        <f t="shared" si="2"/>
        <v>0</v>
      </c>
      <c r="I25"/>
      <c r="J25"/>
    </row>
    <row r="26" spans="1:13" ht="18.75" x14ac:dyDescent="0.15">
      <c r="A26" s="10" t="str">
        <f t="shared" ca="1" si="3"/>
        <v/>
      </c>
      <c r="B26" s="58"/>
      <c r="C26" s="11"/>
      <c r="D26" s="11"/>
      <c r="E26" s="11"/>
      <c r="F26" s="12">
        <f t="shared" si="0"/>
        <v>0</v>
      </c>
      <c r="G26" s="13">
        <f t="shared" si="1"/>
        <v>0</v>
      </c>
      <c r="H26" s="13">
        <f t="shared" si="2"/>
        <v>0</v>
      </c>
      <c r="I26"/>
      <c r="J26"/>
    </row>
    <row r="27" spans="1:13" ht="18.75" x14ac:dyDescent="0.15">
      <c r="A27" s="10" t="str">
        <f t="shared" ca="1" si="3"/>
        <v/>
      </c>
      <c r="B27" s="58"/>
      <c r="C27" s="11"/>
      <c r="D27" s="11"/>
      <c r="E27" s="11"/>
      <c r="F27" s="12">
        <f t="shared" si="0"/>
        <v>0</v>
      </c>
      <c r="G27" s="13">
        <f t="shared" si="1"/>
        <v>0</v>
      </c>
      <c r="H27" s="13">
        <f t="shared" si="2"/>
        <v>0</v>
      </c>
      <c r="I27"/>
      <c r="J27"/>
    </row>
    <row r="28" spans="1:13" ht="18.75" x14ac:dyDescent="0.15">
      <c r="A28" s="10" t="str">
        <f t="shared" ca="1" si="3"/>
        <v/>
      </c>
      <c r="B28" s="58"/>
      <c r="C28" s="11"/>
      <c r="D28" s="11"/>
      <c r="E28" s="11"/>
      <c r="F28" s="12">
        <f t="shared" si="0"/>
        <v>0</v>
      </c>
      <c r="G28" s="13">
        <f t="shared" si="1"/>
        <v>0</v>
      </c>
      <c r="H28" s="13">
        <f t="shared" si="2"/>
        <v>0</v>
      </c>
      <c r="I28"/>
      <c r="J28"/>
    </row>
    <row r="29" spans="1:13" ht="18.75" x14ac:dyDescent="0.15">
      <c r="A29" s="10" t="str">
        <f t="shared" ca="1" si="3"/>
        <v/>
      </c>
      <c r="B29" s="58"/>
      <c r="C29" s="11"/>
      <c r="D29" s="11"/>
      <c r="E29" s="11"/>
      <c r="F29" s="12">
        <f t="shared" si="0"/>
        <v>0</v>
      </c>
      <c r="G29" s="13">
        <f t="shared" si="1"/>
        <v>0</v>
      </c>
      <c r="H29" s="13">
        <f t="shared" si="2"/>
        <v>0</v>
      </c>
      <c r="I29"/>
      <c r="J29"/>
    </row>
    <row r="30" spans="1:13" ht="18.75" x14ac:dyDescent="0.15">
      <c r="A30" s="10" t="str">
        <f t="shared" ca="1" si="3"/>
        <v/>
      </c>
      <c r="B30" s="58"/>
      <c r="C30" s="11"/>
      <c r="D30" s="11"/>
      <c r="E30" s="11"/>
      <c r="F30" s="12">
        <f t="shared" si="0"/>
        <v>0</v>
      </c>
      <c r="G30" s="13">
        <f t="shared" si="1"/>
        <v>0</v>
      </c>
      <c r="H30" s="13">
        <f t="shared" si="2"/>
        <v>0</v>
      </c>
      <c r="I30"/>
      <c r="J30"/>
    </row>
    <row r="31" spans="1:13" ht="18.75" x14ac:dyDescent="0.15">
      <c r="A31" s="10" t="str">
        <f t="shared" ca="1" si="3"/>
        <v/>
      </c>
      <c r="B31" s="58"/>
      <c r="C31" s="11"/>
      <c r="D31" s="11"/>
      <c r="E31" s="11"/>
      <c r="F31" s="12">
        <f t="shared" si="0"/>
        <v>0</v>
      </c>
      <c r="G31" s="13">
        <f t="shared" si="1"/>
        <v>0</v>
      </c>
      <c r="H31" s="13">
        <f t="shared" si="2"/>
        <v>0</v>
      </c>
      <c r="I31"/>
      <c r="J31"/>
    </row>
    <row r="32" spans="1:13" ht="18.75" x14ac:dyDescent="0.15">
      <c r="A32" s="10" t="str">
        <f t="shared" ca="1" si="3"/>
        <v/>
      </c>
      <c r="B32" s="58"/>
      <c r="C32" s="11"/>
      <c r="D32" s="11"/>
      <c r="E32" s="11"/>
      <c r="F32" s="12">
        <f t="shared" si="0"/>
        <v>0</v>
      </c>
      <c r="G32" s="13">
        <f t="shared" si="1"/>
        <v>0</v>
      </c>
      <c r="H32" s="13">
        <f t="shared" si="2"/>
        <v>0</v>
      </c>
      <c r="I32"/>
      <c r="J32"/>
    </row>
    <row r="33" spans="1:11" ht="18.75" x14ac:dyDescent="0.15">
      <c r="A33" s="10" t="str">
        <f t="shared" ca="1" si="3"/>
        <v/>
      </c>
      <c r="B33" s="58"/>
      <c r="C33" s="11"/>
      <c r="D33" s="11"/>
      <c r="E33" s="11"/>
      <c r="F33" s="12">
        <f t="shared" si="0"/>
        <v>0</v>
      </c>
      <c r="G33" s="13">
        <f t="shared" si="1"/>
        <v>0</v>
      </c>
      <c r="H33" s="13">
        <f t="shared" si="2"/>
        <v>0</v>
      </c>
      <c r="I33"/>
      <c r="J33"/>
    </row>
    <row r="34" spans="1:11" ht="18.75" x14ac:dyDescent="0.15">
      <c r="A34" s="10" t="str">
        <f t="shared" ca="1" si="3"/>
        <v/>
      </c>
      <c r="B34" s="58"/>
      <c r="C34" s="11"/>
      <c r="D34" s="11"/>
      <c r="E34" s="11"/>
      <c r="F34" s="12">
        <f t="shared" si="0"/>
        <v>0</v>
      </c>
      <c r="G34" s="13">
        <f t="shared" si="1"/>
        <v>0</v>
      </c>
      <c r="H34" s="13">
        <f t="shared" si="2"/>
        <v>0</v>
      </c>
      <c r="I34"/>
      <c r="J34"/>
    </row>
    <row r="35" spans="1:11" ht="18.75" x14ac:dyDescent="0.15">
      <c r="A35" s="10" t="str">
        <f t="shared" ca="1" si="3"/>
        <v/>
      </c>
      <c r="B35" s="58"/>
      <c r="C35" s="11"/>
      <c r="D35" s="11"/>
      <c r="E35" s="11"/>
      <c r="F35" s="12">
        <f t="shared" si="0"/>
        <v>0</v>
      </c>
      <c r="G35" s="13">
        <f t="shared" si="1"/>
        <v>0</v>
      </c>
      <c r="H35" s="13">
        <f t="shared" si="2"/>
        <v>0</v>
      </c>
      <c r="I35"/>
      <c r="J35"/>
    </row>
    <row r="36" spans="1:11" ht="18.75" x14ac:dyDescent="0.15">
      <c r="A36" s="10" t="str">
        <f t="shared" ca="1" si="3"/>
        <v/>
      </c>
      <c r="B36" s="58"/>
      <c r="C36" s="11"/>
      <c r="D36" s="11"/>
      <c r="E36" s="11"/>
      <c r="F36" s="12">
        <f t="shared" si="0"/>
        <v>0</v>
      </c>
      <c r="G36" s="13">
        <f t="shared" si="1"/>
        <v>0</v>
      </c>
      <c r="H36" s="13">
        <f t="shared" si="2"/>
        <v>0</v>
      </c>
      <c r="I36"/>
      <c r="J36"/>
    </row>
    <row r="37" spans="1:11" ht="18.75" x14ac:dyDescent="0.15">
      <c r="A37" s="10" t="str">
        <f t="shared" ca="1" si="3"/>
        <v/>
      </c>
      <c r="B37" s="58"/>
      <c r="C37" s="11"/>
      <c r="D37" s="11"/>
      <c r="E37" s="11"/>
      <c r="F37" s="12">
        <f t="shared" si="0"/>
        <v>0</v>
      </c>
      <c r="G37" s="13">
        <f t="shared" si="1"/>
        <v>0</v>
      </c>
      <c r="H37" s="13">
        <f t="shared" si="2"/>
        <v>0</v>
      </c>
      <c r="I37"/>
      <c r="J37"/>
    </row>
    <row r="38" spans="1:11" ht="18.75" x14ac:dyDescent="0.15">
      <c r="A38" s="10" t="str">
        <f t="shared" ca="1" si="3"/>
        <v/>
      </c>
      <c r="B38" s="58"/>
      <c r="C38" s="11"/>
      <c r="D38" s="11"/>
      <c r="E38" s="11"/>
      <c r="F38" s="12">
        <f t="shared" si="0"/>
        <v>0</v>
      </c>
      <c r="G38" s="13">
        <f t="shared" si="1"/>
        <v>0</v>
      </c>
      <c r="H38" s="13">
        <f t="shared" si="2"/>
        <v>0</v>
      </c>
      <c r="I38" s="42"/>
      <c r="J38" s="43"/>
      <c r="K38" s="11"/>
    </row>
    <row r="39" spans="1:11" ht="18.75" x14ac:dyDescent="0.15">
      <c r="A39" s="10" t="str">
        <f t="shared" ca="1" si="3"/>
        <v/>
      </c>
      <c r="B39" s="58"/>
      <c r="C39" s="11"/>
      <c r="D39" s="11"/>
      <c r="E39" s="11"/>
      <c r="F39" s="12">
        <f t="shared" si="0"/>
        <v>0</v>
      </c>
      <c r="G39" s="13">
        <f t="shared" si="1"/>
        <v>0</v>
      </c>
      <c r="H39" s="13">
        <f t="shared" si="2"/>
        <v>0</v>
      </c>
      <c r="I39" s="42"/>
      <c r="J39" s="43"/>
      <c r="K39" s="11"/>
    </row>
    <row r="40" spans="1:11" ht="18.75" x14ac:dyDescent="0.15">
      <c r="A40" s="10" t="str">
        <f t="shared" ca="1" si="3"/>
        <v/>
      </c>
      <c r="B40" s="58"/>
      <c r="C40" s="11"/>
      <c r="D40" s="11"/>
      <c r="E40" s="11"/>
      <c r="F40" s="12">
        <f t="shared" si="0"/>
        <v>0</v>
      </c>
      <c r="G40" s="13">
        <f t="shared" si="1"/>
        <v>0</v>
      </c>
      <c r="H40" s="13">
        <f t="shared" si="2"/>
        <v>0</v>
      </c>
      <c r="I40" s="42"/>
      <c r="J40" s="43"/>
      <c r="K40" s="11"/>
    </row>
    <row r="41" spans="1:11" ht="18.75" x14ac:dyDescent="0.15">
      <c r="A41" s="10" t="str">
        <f t="shared" ca="1" si="3"/>
        <v/>
      </c>
      <c r="B41" s="58"/>
      <c r="C41" s="11"/>
      <c r="D41" s="11"/>
      <c r="E41" s="11"/>
      <c r="F41" s="12">
        <f t="shared" si="0"/>
        <v>0</v>
      </c>
      <c r="G41" s="13">
        <f t="shared" si="1"/>
        <v>0</v>
      </c>
      <c r="H41" s="13">
        <f t="shared" si="2"/>
        <v>0</v>
      </c>
      <c r="I41" s="42"/>
      <c r="J41" s="43"/>
      <c r="K41" s="11"/>
    </row>
    <row r="42" spans="1:11" ht="18.75" x14ac:dyDescent="0.15">
      <c r="A42" s="10" t="str">
        <f t="shared" ca="1" si="3"/>
        <v/>
      </c>
      <c r="B42" s="58"/>
      <c r="C42" s="11"/>
      <c r="D42" s="11"/>
      <c r="E42" s="11"/>
      <c r="F42" s="12">
        <f t="shared" si="0"/>
        <v>0</v>
      </c>
      <c r="G42" s="13">
        <f t="shared" si="1"/>
        <v>0</v>
      </c>
      <c r="H42" s="13">
        <f t="shared" si="2"/>
        <v>0</v>
      </c>
      <c r="I42" s="42"/>
      <c r="J42" s="43"/>
      <c r="K42" s="11"/>
    </row>
    <row r="43" spans="1:11" ht="18.75" x14ac:dyDescent="0.15">
      <c r="A43" s="10" t="str">
        <f t="shared" ca="1" si="3"/>
        <v/>
      </c>
      <c r="B43" s="58"/>
      <c r="C43" s="11"/>
      <c r="D43" s="11"/>
      <c r="E43" s="11"/>
      <c r="F43" s="12">
        <f t="shared" si="0"/>
        <v>0</v>
      </c>
      <c r="G43" s="13">
        <f t="shared" si="1"/>
        <v>0</v>
      </c>
      <c r="H43" s="13">
        <f t="shared" si="2"/>
        <v>0</v>
      </c>
      <c r="I43" s="42"/>
      <c r="J43" s="43"/>
      <c r="K43" s="11"/>
    </row>
    <row r="44" spans="1:11" ht="18.75" x14ac:dyDescent="0.15">
      <c r="A44" s="10" t="str">
        <f t="shared" ca="1" si="3"/>
        <v/>
      </c>
      <c r="B44" s="58"/>
      <c r="C44" s="11"/>
      <c r="D44" s="11"/>
      <c r="E44" s="11"/>
      <c r="F44" s="12">
        <f t="shared" si="0"/>
        <v>0</v>
      </c>
      <c r="G44" s="13">
        <f t="shared" si="1"/>
        <v>0</v>
      </c>
      <c r="H44" s="13">
        <f t="shared" si="2"/>
        <v>0</v>
      </c>
      <c r="I44" s="42"/>
      <c r="J44" s="43"/>
      <c r="K44" s="11"/>
    </row>
    <row r="45" spans="1:11" ht="18.75" x14ac:dyDescent="0.15">
      <c r="A45" s="10" t="str">
        <f t="shared" ca="1" si="3"/>
        <v/>
      </c>
      <c r="B45" s="58"/>
      <c r="C45" s="11"/>
      <c r="D45" s="11"/>
      <c r="E45" s="11"/>
      <c r="F45" s="12">
        <f t="shared" si="0"/>
        <v>0</v>
      </c>
      <c r="G45" s="13">
        <f t="shared" si="1"/>
        <v>0</v>
      </c>
      <c r="H45" s="13">
        <f t="shared" si="2"/>
        <v>0</v>
      </c>
      <c r="I45" s="42"/>
      <c r="J45" s="43"/>
      <c r="K45" s="11"/>
    </row>
    <row r="46" spans="1:11" ht="18.75" x14ac:dyDescent="0.15">
      <c r="A46" s="10" t="str">
        <f t="shared" ca="1" si="3"/>
        <v/>
      </c>
      <c r="B46" s="58"/>
      <c r="C46" s="11"/>
      <c r="D46" s="11"/>
      <c r="E46" s="11"/>
      <c r="F46" s="12">
        <f t="shared" si="0"/>
        <v>0</v>
      </c>
      <c r="G46" s="13">
        <f t="shared" si="1"/>
        <v>0</v>
      </c>
      <c r="H46" s="13">
        <f t="shared" si="2"/>
        <v>0</v>
      </c>
      <c r="I46" s="42"/>
      <c r="J46" s="43"/>
      <c r="K46" s="11"/>
    </row>
    <row r="47" spans="1:11" ht="18.75" x14ac:dyDescent="0.15">
      <c r="A47" s="10" t="str">
        <f t="shared" ca="1" si="3"/>
        <v/>
      </c>
      <c r="B47" s="58"/>
      <c r="C47" s="11"/>
      <c r="D47" s="11"/>
      <c r="E47" s="11"/>
      <c r="F47" s="12">
        <f t="shared" si="0"/>
        <v>0</v>
      </c>
      <c r="G47" s="13">
        <f t="shared" si="1"/>
        <v>0</v>
      </c>
      <c r="H47" s="13">
        <f t="shared" si="2"/>
        <v>0</v>
      </c>
      <c r="I47" s="42"/>
      <c r="J47" s="43"/>
      <c r="K47" s="11"/>
    </row>
    <row r="48" spans="1:11" ht="18.75" x14ac:dyDescent="0.15">
      <c r="A48" s="10" t="str">
        <f t="shared" ca="1" si="3"/>
        <v/>
      </c>
      <c r="B48" s="58"/>
      <c r="C48" s="11"/>
      <c r="D48" s="11"/>
      <c r="E48" s="11"/>
      <c r="F48" s="12">
        <f t="shared" si="0"/>
        <v>0</v>
      </c>
      <c r="G48" s="13">
        <f t="shared" si="1"/>
        <v>0</v>
      </c>
      <c r="H48" s="13">
        <f t="shared" si="2"/>
        <v>0</v>
      </c>
      <c r="I48" s="42"/>
      <c r="J48" s="43"/>
      <c r="K48" s="11"/>
    </row>
    <row r="49" spans="1:11" ht="18.75" x14ac:dyDescent="0.15">
      <c r="A49" s="10" t="str">
        <f t="shared" ca="1" si="3"/>
        <v/>
      </c>
      <c r="B49" s="58"/>
      <c r="C49" s="11"/>
      <c r="D49" s="11"/>
      <c r="E49" s="11"/>
      <c r="F49" s="12">
        <f t="shared" si="0"/>
        <v>0</v>
      </c>
      <c r="G49" s="13">
        <f t="shared" si="1"/>
        <v>0</v>
      </c>
      <c r="H49" s="13">
        <f t="shared" si="2"/>
        <v>0</v>
      </c>
      <c r="I49" s="42"/>
      <c r="J49" s="43"/>
      <c r="K49" s="11"/>
    </row>
    <row r="50" spans="1:11" ht="18.75" x14ac:dyDescent="0.15">
      <c r="A50" s="10" t="str">
        <f t="shared" ca="1" si="3"/>
        <v/>
      </c>
      <c r="B50" s="58"/>
      <c r="C50" s="11"/>
      <c r="D50" s="11"/>
      <c r="E50" s="11"/>
      <c r="F50" s="12">
        <f t="shared" si="0"/>
        <v>0</v>
      </c>
      <c r="G50" s="13">
        <f t="shared" si="1"/>
        <v>0</v>
      </c>
      <c r="H50" s="13">
        <f t="shared" si="2"/>
        <v>0</v>
      </c>
      <c r="I50" s="42"/>
      <c r="J50" s="43"/>
      <c r="K50" s="11"/>
    </row>
    <row r="51" spans="1:11" ht="18.75" x14ac:dyDescent="0.15">
      <c r="A51" s="10" t="str">
        <f t="shared" ca="1" si="3"/>
        <v/>
      </c>
      <c r="B51" s="58"/>
      <c r="C51" s="11"/>
      <c r="D51" s="11"/>
      <c r="E51" s="11"/>
      <c r="F51" s="12">
        <f t="shared" si="0"/>
        <v>0</v>
      </c>
      <c r="G51" s="13">
        <f t="shared" si="1"/>
        <v>0</v>
      </c>
      <c r="H51" s="13">
        <f t="shared" si="2"/>
        <v>0</v>
      </c>
      <c r="I51" s="42"/>
      <c r="J51" s="43"/>
      <c r="K51" s="11"/>
    </row>
    <row r="52" spans="1:11" ht="18.75" x14ac:dyDescent="0.15">
      <c r="A52" s="10" t="str">
        <f t="shared" ca="1" si="3"/>
        <v/>
      </c>
      <c r="B52" s="58"/>
      <c r="C52" s="11"/>
      <c r="D52" s="11"/>
      <c r="E52" s="11"/>
      <c r="F52" s="12">
        <f t="shared" si="0"/>
        <v>0</v>
      </c>
      <c r="G52" s="13">
        <f t="shared" si="1"/>
        <v>0</v>
      </c>
      <c r="H52" s="13">
        <f t="shared" si="2"/>
        <v>0</v>
      </c>
      <c r="I52" s="42"/>
      <c r="J52" s="43"/>
      <c r="K52" s="11"/>
    </row>
    <row r="53" spans="1:11" ht="18.75" x14ac:dyDescent="0.15">
      <c r="A53" s="10" t="str">
        <f t="shared" ca="1" si="3"/>
        <v/>
      </c>
      <c r="B53" s="58"/>
      <c r="C53" s="11"/>
      <c r="D53" s="11"/>
      <c r="E53" s="11"/>
      <c r="F53" s="12">
        <f t="shared" si="0"/>
        <v>0</v>
      </c>
      <c r="G53" s="13">
        <f t="shared" si="1"/>
        <v>0</v>
      </c>
      <c r="H53" s="13">
        <f t="shared" si="2"/>
        <v>0</v>
      </c>
      <c r="I53" s="42"/>
      <c r="J53" s="43"/>
      <c r="K53" s="11"/>
    </row>
    <row r="54" spans="1:11" ht="18.75" x14ac:dyDescent="0.15">
      <c r="A54" s="10" t="str">
        <f t="shared" ca="1" si="3"/>
        <v/>
      </c>
      <c r="B54" s="58"/>
      <c r="C54" s="11"/>
      <c r="D54" s="11"/>
      <c r="E54" s="11"/>
      <c r="F54" s="12">
        <f t="shared" si="0"/>
        <v>0</v>
      </c>
      <c r="G54" s="13">
        <f t="shared" si="1"/>
        <v>0</v>
      </c>
      <c r="H54" s="13">
        <f t="shared" si="2"/>
        <v>0</v>
      </c>
      <c r="I54" s="42"/>
      <c r="J54" s="43"/>
      <c r="K54" s="11"/>
    </row>
    <row r="55" spans="1:11" ht="18.75" x14ac:dyDescent="0.15">
      <c r="A55" s="10" t="str">
        <f t="shared" ca="1" si="3"/>
        <v/>
      </c>
      <c r="B55" s="58"/>
      <c r="C55" s="11"/>
      <c r="D55" s="11"/>
      <c r="E55" s="11"/>
      <c r="F55" s="12">
        <f t="shared" si="0"/>
        <v>0</v>
      </c>
      <c r="G55" s="13">
        <f t="shared" si="1"/>
        <v>0</v>
      </c>
      <c r="H55" s="13">
        <f t="shared" si="2"/>
        <v>0</v>
      </c>
      <c r="I55" s="42"/>
      <c r="J55" s="43"/>
      <c r="K55" s="11"/>
    </row>
    <row r="56" spans="1:11" ht="18.75" x14ac:dyDescent="0.15">
      <c r="A56" s="10" t="str">
        <f t="shared" ca="1" si="3"/>
        <v/>
      </c>
      <c r="B56" s="58"/>
      <c r="C56" s="11"/>
      <c r="D56" s="11"/>
      <c r="E56" s="11"/>
      <c r="F56" s="12">
        <f t="shared" si="0"/>
        <v>0</v>
      </c>
      <c r="G56" s="13">
        <f t="shared" si="1"/>
        <v>0</v>
      </c>
      <c r="H56" s="13">
        <f t="shared" si="2"/>
        <v>0</v>
      </c>
      <c r="I56" s="42"/>
      <c r="J56" s="43"/>
      <c r="K56" s="11"/>
    </row>
    <row r="57" spans="1:11" ht="18.75" x14ac:dyDescent="0.15">
      <c r="A57" s="10" t="str">
        <f t="shared" ca="1" si="3"/>
        <v/>
      </c>
      <c r="B57" s="58"/>
      <c r="C57" s="11"/>
      <c r="D57" s="11"/>
      <c r="E57" s="11"/>
      <c r="F57" s="12">
        <f t="shared" si="0"/>
        <v>0</v>
      </c>
      <c r="G57" s="13">
        <f t="shared" si="1"/>
        <v>0</v>
      </c>
      <c r="H57" s="13">
        <f t="shared" si="2"/>
        <v>0</v>
      </c>
      <c r="I57" s="42"/>
      <c r="J57" s="43"/>
      <c r="K57" s="11"/>
    </row>
    <row r="58" spans="1:11" ht="18.75" x14ac:dyDescent="0.15">
      <c r="A58" s="10" t="str">
        <f t="shared" ca="1" si="3"/>
        <v/>
      </c>
      <c r="B58" s="58"/>
      <c r="C58" s="11"/>
      <c r="D58" s="11"/>
      <c r="E58" s="11"/>
      <c r="F58" s="12">
        <f t="shared" si="0"/>
        <v>0</v>
      </c>
      <c r="G58" s="13">
        <f t="shared" si="1"/>
        <v>0</v>
      </c>
      <c r="H58" s="13">
        <f t="shared" si="2"/>
        <v>0</v>
      </c>
      <c r="I58" s="42"/>
      <c r="J58" s="43"/>
      <c r="K58" s="11"/>
    </row>
    <row r="59" spans="1:11" ht="18.75" x14ac:dyDescent="0.15">
      <c r="A59" s="10" t="str">
        <f t="shared" ca="1" si="3"/>
        <v/>
      </c>
      <c r="B59" s="58"/>
      <c r="C59" s="11"/>
      <c r="D59" s="11"/>
      <c r="E59" s="11"/>
      <c r="F59" s="12">
        <f t="shared" si="0"/>
        <v>0</v>
      </c>
      <c r="G59" s="13">
        <f t="shared" si="1"/>
        <v>0</v>
      </c>
      <c r="H59" s="13">
        <f t="shared" si="2"/>
        <v>0</v>
      </c>
      <c r="I59" s="42"/>
      <c r="J59" s="43"/>
      <c r="K59" s="11"/>
    </row>
    <row r="60" spans="1:11" ht="18.75" x14ac:dyDescent="0.15">
      <c r="A60" s="10" t="str">
        <f t="shared" ca="1" si="3"/>
        <v/>
      </c>
      <c r="B60" s="58"/>
      <c r="C60" s="11"/>
      <c r="D60" s="11"/>
      <c r="E60" s="11"/>
      <c r="F60" s="12">
        <f t="shared" si="0"/>
        <v>0</v>
      </c>
      <c r="G60" s="13">
        <f t="shared" si="1"/>
        <v>0</v>
      </c>
      <c r="H60" s="13">
        <f t="shared" si="2"/>
        <v>0</v>
      </c>
      <c r="I60" s="42"/>
      <c r="J60" s="43"/>
      <c r="K60" s="11"/>
    </row>
    <row r="61" spans="1:11" ht="18.75" x14ac:dyDescent="0.15">
      <c r="A61" s="10" t="str">
        <f t="shared" ca="1" si="3"/>
        <v/>
      </c>
      <c r="B61" s="58"/>
      <c r="C61" s="11"/>
      <c r="D61" s="11"/>
      <c r="E61" s="11"/>
      <c r="F61" s="12">
        <f t="shared" si="0"/>
        <v>0</v>
      </c>
      <c r="G61" s="13">
        <f t="shared" si="1"/>
        <v>0</v>
      </c>
      <c r="H61" s="13">
        <f t="shared" si="2"/>
        <v>0</v>
      </c>
      <c r="I61" s="42"/>
      <c r="J61" s="43"/>
      <c r="K61" s="11"/>
    </row>
    <row r="62" spans="1:11" ht="18.75" x14ac:dyDescent="0.15">
      <c r="A62" s="10" t="str">
        <f t="shared" ca="1" si="3"/>
        <v/>
      </c>
      <c r="B62" s="58"/>
      <c r="C62" s="11"/>
      <c r="D62" s="11"/>
      <c r="E62" s="11"/>
      <c r="F62" s="12">
        <f t="shared" si="0"/>
        <v>0</v>
      </c>
      <c r="G62" s="13">
        <f t="shared" si="1"/>
        <v>0</v>
      </c>
      <c r="H62" s="13">
        <f t="shared" si="2"/>
        <v>0</v>
      </c>
      <c r="I62" s="42"/>
      <c r="J62" s="43"/>
      <c r="K62" s="11"/>
    </row>
    <row r="63" spans="1:11" ht="18.75" x14ac:dyDescent="0.15">
      <c r="A63" s="10" t="str">
        <f t="shared" ca="1" si="3"/>
        <v/>
      </c>
      <c r="B63" s="58"/>
      <c r="C63" s="11"/>
      <c r="D63" s="11"/>
      <c r="E63" s="11"/>
      <c r="F63" s="12">
        <f t="shared" si="0"/>
        <v>0</v>
      </c>
      <c r="G63" s="13">
        <f t="shared" si="1"/>
        <v>0</v>
      </c>
      <c r="H63" s="13">
        <f t="shared" si="2"/>
        <v>0</v>
      </c>
      <c r="I63" s="42"/>
      <c r="J63" s="43"/>
      <c r="K63" s="11"/>
    </row>
    <row r="64" spans="1:11" ht="18.75" x14ac:dyDescent="0.15">
      <c r="A64" s="10" t="str">
        <f t="shared" ca="1" si="3"/>
        <v/>
      </c>
      <c r="B64" s="58"/>
      <c r="C64" s="11"/>
      <c r="D64" s="11"/>
      <c r="E64" s="11"/>
      <c r="F64" s="12">
        <f t="shared" si="0"/>
        <v>0</v>
      </c>
      <c r="G64" s="13">
        <f t="shared" si="1"/>
        <v>0</v>
      </c>
      <c r="H64" s="13">
        <f t="shared" si="2"/>
        <v>0</v>
      </c>
      <c r="I64" s="42"/>
      <c r="J64" s="43"/>
      <c r="K64" s="11"/>
    </row>
    <row r="65" spans="1:11" ht="18.75" x14ac:dyDescent="0.15">
      <c r="A65" s="10" t="str">
        <f t="shared" ca="1" si="3"/>
        <v/>
      </c>
      <c r="B65" s="58"/>
      <c r="C65" s="11"/>
      <c r="D65" s="11"/>
      <c r="E65" s="11"/>
      <c r="F65" s="12">
        <f t="shared" si="0"/>
        <v>0</v>
      </c>
      <c r="G65" s="13">
        <f t="shared" si="1"/>
        <v>0</v>
      </c>
      <c r="H65" s="13">
        <f t="shared" si="2"/>
        <v>0</v>
      </c>
      <c r="I65" s="42"/>
      <c r="J65" s="43"/>
      <c r="K65" s="11"/>
    </row>
    <row r="66" spans="1:11" ht="18.75" x14ac:dyDescent="0.15">
      <c r="A66" s="10" t="str">
        <f t="shared" ca="1" si="3"/>
        <v/>
      </c>
      <c r="B66" s="58"/>
      <c r="C66" s="11"/>
      <c r="D66" s="11"/>
      <c r="E66" s="11"/>
      <c r="F66" s="12">
        <f t="shared" si="0"/>
        <v>0</v>
      </c>
      <c r="G66" s="13">
        <f t="shared" si="1"/>
        <v>0</v>
      </c>
      <c r="H66" s="13">
        <f t="shared" si="2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5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si="16"/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ref="F196:F205" si="18">(IF(E196-C196&lt;0,"24:00"-C196+E196,E196-C196))*24</f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5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ref="F260:F323" si="21">IF(E260-C260&lt;0,"24:00"-C260+E260,E260-C260)</f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21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21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21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21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21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21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21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21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21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si="21"/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ref="F324:F339" si="23">IF(E324-C324&lt;0,"24:00"-C324+E324,E324-C324)</f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3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3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3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3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3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3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3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3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3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si="23"/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9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46054.015210879632</v>
      </c>
      <c r="B3" s="58" t="s">
        <v>86</v>
      </c>
      <c r="C3" s="11">
        <v>1.5208333333333332E-2</v>
      </c>
      <c r="D3" s="11" t="s">
        <v>84</v>
      </c>
      <c r="E3" s="11">
        <v>0.14444444444444446</v>
      </c>
      <c r="F3" s="12">
        <f t="shared" ref="F3:F66" si="1">(IF(E3-C3&lt;0,"24:00"-C3+E3,E3-C3))*24</f>
        <v>3.1016666666666675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3.1016666666666675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46057.132535648147</v>
      </c>
      <c r="B4" s="58" t="s">
        <v>87</v>
      </c>
      <c r="C4" s="11">
        <v>0.13253472222222221</v>
      </c>
      <c r="D4" s="11" t="s">
        <v>84</v>
      </c>
      <c r="E4" s="11">
        <v>0.23861111111111111</v>
      </c>
      <c r="F4" s="12">
        <f t="shared" si="1"/>
        <v>2.5458333333333334</v>
      </c>
      <c r="G4" s="13">
        <f t="shared" si="2"/>
        <v>0</v>
      </c>
      <c r="H4" s="13">
        <f t="shared" si="3"/>
        <v>2.5458333333333334</v>
      </c>
      <c r="I4" s="21" t="s">
        <v>20</v>
      </c>
      <c r="J4" s="22">
        <f>SUMIF(B:B,"西塔台管制席",F:F)+SUMIF(B:B,"东塔台管制席",F:F)</f>
        <v>24.191388888888895</v>
      </c>
      <c r="K4" s="23">
        <f>SUMIF(B:B,"西塔台管制席",G:G)+SUMIF(B:B,"东塔台管制席",G:G)</f>
        <v>14.396944444444458</v>
      </c>
      <c r="L4" s="23">
        <f>SUMIF(B:B,"西塔台管制席",H:H)+SUMIF(B:B,"东塔台管制席",H:H)</f>
        <v>9.7944444444444354</v>
      </c>
      <c r="M4" s="19"/>
    </row>
    <row r="5" spans="1:16" ht="18.75" x14ac:dyDescent="0.25">
      <c r="A5" s="10">
        <f t="shared" ca="1" si="0"/>
        <v>46057.958113310182</v>
      </c>
      <c r="B5" s="58" t="s">
        <v>83</v>
      </c>
      <c r="C5" s="11">
        <v>0.95811342592592597</v>
      </c>
      <c r="D5" s="11" t="s">
        <v>84</v>
      </c>
      <c r="E5" s="11">
        <v>0.1185648148148148</v>
      </c>
      <c r="F5" s="12">
        <f t="shared" si="1"/>
        <v>3.8508333333333318</v>
      </c>
      <c r="G5" s="13">
        <f t="shared" si="2"/>
        <v>1.0052777777777764</v>
      </c>
      <c r="H5" s="13">
        <f t="shared" si="3"/>
        <v>2.8455555555555554</v>
      </c>
      <c r="I5" s="21" t="s">
        <v>21</v>
      </c>
      <c r="J5" s="22">
        <f>SUMIF(B:B,"西塔台协调席",F:F)+SUMIF(B:B,"东塔台协调席",F:F)</f>
        <v>32.248333333333335</v>
      </c>
      <c r="K5" s="23">
        <f>SUMIF(B:B,"西塔台协调席",G:G)+SUMIF(B:B,"东塔台协调席",G:G)</f>
        <v>21.355555555555561</v>
      </c>
      <c r="L5" s="23">
        <f>SUMIF(B:B,"西塔台协调席",H:H)+SUMIF(B:B,"东塔台协调席",H:H)</f>
        <v>10.89277777777777</v>
      </c>
      <c r="M5" s="19"/>
    </row>
    <row r="6" spans="1:16" ht="18.75" x14ac:dyDescent="0.25">
      <c r="A6" s="10">
        <f t="shared" ca="1" si="0"/>
        <v>46060.353782754632</v>
      </c>
      <c r="B6" s="58" t="s">
        <v>86</v>
      </c>
      <c r="C6" s="11">
        <v>0.35377314814814814</v>
      </c>
      <c r="D6" s="11" t="s">
        <v>84</v>
      </c>
      <c r="E6" s="11">
        <v>0.44164351851851852</v>
      </c>
      <c r="F6" s="12">
        <f t="shared" si="1"/>
        <v>2.108888888888889</v>
      </c>
      <c r="G6" s="13">
        <f t="shared" si="2"/>
        <v>2.108888888888889</v>
      </c>
      <c r="H6" s="13">
        <f t="shared" si="3"/>
        <v>0</v>
      </c>
      <c r="I6" s="21" t="s">
        <v>22</v>
      </c>
      <c r="J6" s="22">
        <f>SUMIF(B:B,"放行席",F:F)</f>
        <v>2.5458333333333334</v>
      </c>
      <c r="K6" s="23">
        <f>SUMIF(B:B,"放行席",G:G)</f>
        <v>0</v>
      </c>
      <c r="L6" s="23">
        <f>SUMIF(B:B,"放行席",H:H)</f>
        <v>2.5458333333333334</v>
      </c>
      <c r="M6" s="19"/>
    </row>
    <row r="7" spans="1:16" ht="18.75" x14ac:dyDescent="0.25">
      <c r="A7" s="10">
        <f t="shared" ca="1" si="0"/>
        <v>46060.453295717591</v>
      </c>
      <c r="B7" s="58" t="s">
        <v>86</v>
      </c>
      <c r="C7" s="11">
        <v>0.45328703703703704</v>
      </c>
      <c r="D7" s="11" t="s">
        <v>84</v>
      </c>
      <c r="E7" s="11">
        <v>0.50383101851851853</v>
      </c>
      <c r="F7" s="12">
        <f t="shared" si="1"/>
        <v>1.2130555555555556</v>
      </c>
      <c r="G7" s="13">
        <f t="shared" si="2"/>
        <v>1.2130555555555556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46060.628436342595</v>
      </c>
      <c r="B8" s="58" t="s">
        <v>85</v>
      </c>
      <c r="C8" s="11">
        <v>0.62842592592592594</v>
      </c>
      <c r="D8" s="11" t="s">
        <v>84</v>
      </c>
      <c r="E8" s="11">
        <v>0.75591435185185185</v>
      </c>
      <c r="F8" s="12">
        <f t="shared" si="1"/>
        <v>3.0597222222222218</v>
      </c>
      <c r="G8" s="13">
        <f t="shared" si="2"/>
        <v>3.0597222222222218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46060.877911226853</v>
      </c>
      <c r="B9" s="58" t="s">
        <v>86</v>
      </c>
      <c r="C9" s="11">
        <v>0.87790509259259253</v>
      </c>
      <c r="D9" s="11" t="s">
        <v>84</v>
      </c>
      <c r="E9" s="11">
        <v>0.96372685185185192</v>
      </c>
      <c r="F9" s="12">
        <f t="shared" si="1"/>
        <v>2.0597222222222253</v>
      </c>
      <c r="G9" s="13">
        <f t="shared" si="2"/>
        <v>2.0597222222222253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46061.299675810187</v>
      </c>
      <c r="B10" s="58" t="s">
        <v>82</v>
      </c>
      <c r="C10" s="11">
        <v>0.2996759259259259</v>
      </c>
      <c r="D10" s="11" t="s">
        <v>84</v>
      </c>
      <c r="E10" s="11">
        <v>0.42188657407407404</v>
      </c>
      <c r="F10" s="12">
        <f t="shared" si="1"/>
        <v>2.9330555555555553</v>
      </c>
      <c r="G10" s="13">
        <f t="shared" si="2"/>
        <v>2.1252777777777854</v>
      </c>
      <c r="H10" s="13">
        <f t="shared" si="3"/>
        <v>0.80777777777776993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46061.500554282407</v>
      </c>
      <c r="B11" s="58" t="s">
        <v>83</v>
      </c>
      <c r="C11" s="11">
        <v>0.50054398148148149</v>
      </c>
      <c r="D11" s="11" t="s">
        <v>84</v>
      </c>
      <c r="E11" s="11">
        <v>0.63136574074074081</v>
      </c>
      <c r="F11" s="12">
        <f t="shared" si="1"/>
        <v>3.1397222222222236</v>
      </c>
      <c r="G11" s="13">
        <f t="shared" si="2"/>
        <v>3.1397222222222236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46061.749709027776</v>
      </c>
      <c r="B12" s="58" t="s">
        <v>82</v>
      </c>
      <c r="C12" s="11">
        <v>0.7496990740740741</v>
      </c>
      <c r="D12" s="11" t="s">
        <v>84</v>
      </c>
      <c r="E12" s="11">
        <v>0.83940972222222221</v>
      </c>
      <c r="F12" s="12">
        <f t="shared" si="1"/>
        <v>2.1530555555555546</v>
      </c>
      <c r="G12" s="13">
        <f t="shared" si="2"/>
        <v>2.1530555555555546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46064.958440393515</v>
      </c>
      <c r="B13" s="58" t="s">
        <v>82</v>
      </c>
      <c r="C13" s="11">
        <v>0.95843750000000005</v>
      </c>
      <c r="D13" s="11" t="s">
        <v>84</v>
      </c>
      <c r="E13" s="11">
        <v>0.12997685185185184</v>
      </c>
      <c r="F13" s="12">
        <f t="shared" si="1"/>
        <v>4.1169444444444432</v>
      </c>
      <c r="G13" s="13">
        <f t="shared" si="2"/>
        <v>0.99749999999999872</v>
      </c>
      <c r="H13" s="13">
        <f t="shared" si="3"/>
        <v>3.1194444444444445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46066.014123148147</v>
      </c>
      <c r="B14" s="58" t="s">
        <v>86</v>
      </c>
      <c r="C14" s="11">
        <v>1.4120370370370368E-2</v>
      </c>
      <c r="D14" s="11" t="s">
        <v>84</v>
      </c>
      <c r="E14" s="11">
        <v>0.13892361111111109</v>
      </c>
      <c r="F14" s="12">
        <f t="shared" si="1"/>
        <v>2.9952777777777775</v>
      </c>
      <c r="G14" s="13">
        <f t="shared" si="2"/>
        <v>0</v>
      </c>
      <c r="H14" s="13">
        <f t="shared" si="3"/>
        <v>2.9952777777777775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46069.13850173611</v>
      </c>
      <c r="B15" s="58" t="s">
        <v>82</v>
      </c>
      <c r="C15" s="11">
        <v>0.13849537037037038</v>
      </c>
      <c r="D15" s="11" t="s">
        <v>84</v>
      </c>
      <c r="E15" s="11">
        <v>0.29576388888888888</v>
      </c>
      <c r="F15" s="12">
        <f t="shared" si="1"/>
        <v>3.7744444444444438</v>
      </c>
      <c r="G15" s="13">
        <f t="shared" si="2"/>
        <v>0</v>
      </c>
      <c r="H15" s="13">
        <f t="shared" si="3"/>
        <v>3.7744444444444438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46069.863810532406</v>
      </c>
      <c r="B16" s="58" t="s">
        <v>82</v>
      </c>
      <c r="C16" s="11">
        <v>0.86380787037037043</v>
      </c>
      <c r="D16" s="11" t="s">
        <v>84</v>
      </c>
      <c r="E16" s="11">
        <v>0.93946759259259249</v>
      </c>
      <c r="F16" s="12">
        <f t="shared" si="1"/>
        <v>1.8158333333333294</v>
      </c>
      <c r="G16" s="13">
        <f t="shared" si="2"/>
        <v>1.8158333333333294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46070.139071874997</v>
      </c>
      <c r="B17" s="58" t="s">
        <v>82</v>
      </c>
      <c r="C17" s="11">
        <v>0.13906250000000001</v>
      </c>
      <c r="D17" s="11" t="s">
        <v>84</v>
      </c>
      <c r="E17" s="11">
        <v>0.24601851851851853</v>
      </c>
      <c r="F17" s="12">
        <f t="shared" si="1"/>
        <v>2.5669444444444443</v>
      </c>
      <c r="G17" s="13">
        <f t="shared" si="2"/>
        <v>0</v>
      </c>
      <c r="H17" s="13">
        <f t="shared" si="3"/>
        <v>2.5669444444444443</v>
      </c>
      <c r="I17" s="35" t="s">
        <v>29</v>
      </c>
      <c r="J17" s="36">
        <f>J4+J5+J6+J7+J10</f>
        <v>58.985555555555564</v>
      </c>
      <c r="K17" s="37">
        <f>K4+K5+K6+K7+K10</f>
        <v>35.752500000000019</v>
      </c>
      <c r="L17" s="38">
        <f>L4+L5+L6+L7+L10</f>
        <v>23.233055555555538</v>
      </c>
      <c r="M17" s="39"/>
    </row>
    <row r="18" spans="1:13" ht="20.25" x14ac:dyDescent="0.25">
      <c r="A18" s="10">
        <f t="shared" ca="1" si="0"/>
        <v>46072.500357638892</v>
      </c>
      <c r="B18" s="58" t="s">
        <v>82</v>
      </c>
      <c r="C18" s="11">
        <v>0.50034722222222217</v>
      </c>
      <c r="D18" s="11" t="s">
        <v>84</v>
      </c>
      <c r="E18" s="11">
        <v>0.62924768518518526</v>
      </c>
      <c r="F18" s="12">
        <f t="shared" si="1"/>
        <v>3.0936111111111142</v>
      </c>
      <c r="G18" s="13">
        <f t="shared" si="2"/>
        <v>3.0936111111111142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46072.751904513891</v>
      </c>
      <c r="B19" s="58" t="s">
        <v>83</v>
      </c>
      <c r="C19" s="11">
        <v>0.75189814814814815</v>
      </c>
      <c r="D19" s="11" t="s">
        <v>84</v>
      </c>
      <c r="E19" s="11">
        <v>0.880925925925926</v>
      </c>
      <c r="F19" s="12">
        <f t="shared" si="1"/>
        <v>3.0966666666666685</v>
      </c>
      <c r="G19" s="13">
        <f t="shared" si="2"/>
        <v>3.0966666666666685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46073.500328587965</v>
      </c>
      <c r="B20" s="58" t="s">
        <v>83</v>
      </c>
      <c r="C20" s="11">
        <v>0.50032407407407409</v>
      </c>
      <c r="D20" s="11" t="s">
        <v>84</v>
      </c>
      <c r="E20" s="11">
        <v>0.54621527777777779</v>
      </c>
      <c r="F20" s="12">
        <f t="shared" si="1"/>
        <v>1.1013888888888888</v>
      </c>
      <c r="G20" s="13">
        <f t="shared" si="2"/>
        <v>1.1013888888888888</v>
      </c>
      <c r="H20" s="13">
        <f t="shared" si="3"/>
        <v>0</v>
      </c>
      <c r="I20" s="40" t="s">
        <v>31</v>
      </c>
      <c r="J20" s="67">
        <f>J16+J17+J18+J19</f>
        <v>58.985555555555564</v>
      </c>
      <c r="K20" s="68"/>
      <c r="L20" s="69"/>
      <c r="M20" s="41"/>
    </row>
    <row r="21" spans="1:13" ht="20.25" x14ac:dyDescent="0.25">
      <c r="A21" s="10">
        <f t="shared" ca="1" si="0"/>
        <v>46073.585182986113</v>
      </c>
      <c r="B21" s="58" t="s">
        <v>82</v>
      </c>
      <c r="C21" s="11">
        <v>0.5851736111111111</v>
      </c>
      <c r="D21" s="11" t="s">
        <v>84</v>
      </c>
      <c r="E21" s="11">
        <v>0.75520833333333337</v>
      </c>
      <c r="F21" s="12">
        <f t="shared" si="1"/>
        <v>4.0808333333333344</v>
      </c>
      <c r="G21" s="13">
        <f t="shared" si="2"/>
        <v>4.0808333333333344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46073.835161805553</v>
      </c>
      <c r="B22" s="58" t="s">
        <v>82</v>
      </c>
      <c r="C22" s="11">
        <v>0.83516203703703706</v>
      </c>
      <c r="D22" s="11" t="s">
        <v>84</v>
      </c>
      <c r="E22" s="11">
        <v>0.96206018518518521</v>
      </c>
      <c r="F22" s="12">
        <f t="shared" si="1"/>
        <v>3.0455555555555556</v>
      </c>
      <c r="G22" s="13">
        <f t="shared" si="2"/>
        <v>3.0455555555555556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46074.297836689817</v>
      </c>
      <c r="B23" s="58" t="s">
        <v>83</v>
      </c>
      <c r="C23" s="11">
        <v>0.29783564814814817</v>
      </c>
      <c r="D23" s="11" t="s">
        <v>84</v>
      </c>
      <c r="E23" s="11">
        <v>0.3613425925925926</v>
      </c>
      <c r="F23" s="12">
        <f t="shared" si="1"/>
        <v>1.5241666666666664</v>
      </c>
      <c r="G23" s="13">
        <f t="shared" si="2"/>
        <v>0.67222222222223094</v>
      </c>
      <c r="H23" s="13">
        <f t="shared" si="3"/>
        <v>0.85194444444443551</v>
      </c>
      <c r="I23"/>
      <c r="J23"/>
    </row>
    <row r="24" spans="1:13" ht="18.75" x14ac:dyDescent="0.15">
      <c r="A24" s="10">
        <f t="shared" ca="1" si="0"/>
        <v>46076.958994560184</v>
      </c>
      <c r="B24" s="58" t="s">
        <v>82</v>
      </c>
      <c r="C24" s="11">
        <v>0.95899305555555558</v>
      </c>
      <c r="D24" s="11" t="s">
        <v>84</v>
      </c>
      <c r="E24" s="11">
        <v>2.6006944444444447E-2</v>
      </c>
      <c r="F24" s="12">
        <f t="shared" si="1"/>
        <v>1.6083333333333325</v>
      </c>
      <c r="G24" s="13">
        <f t="shared" si="2"/>
        <v>0.98416666666666575</v>
      </c>
      <c r="H24" s="13">
        <f t="shared" si="3"/>
        <v>0.62416666666666676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80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46054.140054629628</v>
      </c>
      <c r="B3" s="58" t="s">
        <v>83</v>
      </c>
      <c r="C3" s="11">
        <v>0.14004629629629631</v>
      </c>
      <c r="D3" s="11" t="s">
        <v>84</v>
      </c>
      <c r="E3" s="11">
        <v>0.3054398148148148</v>
      </c>
      <c r="F3" s="12">
        <f t="shared" ref="F3:F66" si="1">(IF(E3-C3&lt;0,"24:00"-C3+E3,E3-C3))*24</f>
        <v>3.9694444444444441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3.9694444444444441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46057.140715624999</v>
      </c>
      <c r="B4" s="58" t="s">
        <v>83</v>
      </c>
      <c r="C4" s="11">
        <v>0.14070601851851852</v>
      </c>
      <c r="D4" s="11" t="s">
        <v>84</v>
      </c>
      <c r="E4" s="11">
        <v>0.30502314814814818</v>
      </c>
      <c r="F4" s="12">
        <f t="shared" si="1"/>
        <v>3.9436111111111121</v>
      </c>
      <c r="G4" s="13">
        <f t="shared" si="2"/>
        <v>0</v>
      </c>
      <c r="H4" s="13">
        <f t="shared" si="3"/>
        <v>3.9436111111111121</v>
      </c>
      <c r="I4" s="21" t="s">
        <v>20</v>
      </c>
      <c r="J4" s="22">
        <f>SUMIF(B:B,"西塔台管制席",F:F)+SUMIF(B:B,"东塔台管制席",F:F)</f>
        <v>32.594166666666666</v>
      </c>
      <c r="K4" s="23">
        <f>SUMIF(B:B,"西塔台管制席",G:G)+SUMIF(B:B,"东塔台管制席",G:G)</f>
        <v>22.545277777777791</v>
      </c>
      <c r="L4" s="23">
        <f>SUMIF(B:B,"西塔台管制席",H:H)+SUMIF(B:B,"东塔台管制席",H:H)</f>
        <v>10.048888888888872</v>
      </c>
      <c r="M4" s="19"/>
    </row>
    <row r="5" spans="1:16" ht="18.75" x14ac:dyDescent="0.25">
      <c r="A5" s="10">
        <f t="shared" ca="1" si="0"/>
        <v>46058.139772337963</v>
      </c>
      <c r="B5" s="58" t="s">
        <v>88</v>
      </c>
      <c r="C5" s="11">
        <v>0.13976851851851851</v>
      </c>
      <c r="D5" s="11" t="s">
        <v>84</v>
      </c>
      <c r="E5" s="11">
        <v>0.22872685185185185</v>
      </c>
      <c r="F5" s="12">
        <f t="shared" si="1"/>
        <v>2.1349999999999998</v>
      </c>
      <c r="G5" s="13">
        <f t="shared" si="2"/>
        <v>0</v>
      </c>
      <c r="H5" s="13">
        <f t="shared" si="3"/>
        <v>2.1349999999999998</v>
      </c>
      <c r="I5" s="21" t="s">
        <v>21</v>
      </c>
      <c r="J5" s="22">
        <f>SUMIF(B:B,"西塔台协调席",F:F)+SUMIF(B:B,"东塔台协调席",F:F)</f>
        <v>25.504722222222227</v>
      </c>
      <c r="K5" s="23">
        <f>SUMIF(B:B,"西塔台协调席",G:G)+SUMIF(B:B,"东塔台协调席",G:G)</f>
        <v>16.305555555555557</v>
      </c>
      <c r="L5" s="23">
        <f>SUMIF(B:B,"西塔台协调席",H:H)+SUMIF(B:B,"东塔台协调席",H:H)</f>
        <v>9.1991666666666667</v>
      </c>
      <c r="M5" s="19"/>
    </row>
    <row r="6" spans="1:16" ht="18.75" x14ac:dyDescent="0.25">
      <c r="A6" s="10">
        <f t="shared" ca="1" si="0"/>
        <v>46060.354223263887</v>
      </c>
      <c r="B6" s="58" t="s">
        <v>85</v>
      </c>
      <c r="C6" s="11">
        <v>0.35421296296296295</v>
      </c>
      <c r="D6" s="11" t="s">
        <v>84</v>
      </c>
      <c r="E6" s="11">
        <v>0.50731481481481489</v>
      </c>
      <c r="F6" s="12">
        <f t="shared" si="1"/>
        <v>3.6744444444444464</v>
      </c>
      <c r="G6" s="13">
        <f t="shared" si="2"/>
        <v>3.6744444444444464</v>
      </c>
      <c r="H6" s="13">
        <f t="shared" si="3"/>
        <v>0</v>
      </c>
      <c r="I6" s="21" t="s">
        <v>22</v>
      </c>
      <c r="J6" s="22">
        <f>SUMIF(B:B,"放行席",F:F)</f>
        <v>2.246944444444444</v>
      </c>
      <c r="K6" s="23">
        <f>SUMIF(B:B,"放行席",G:G)</f>
        <v>0</v>
      </c>
      <c r="L6" s="23">
        <f>SUMIF(B:B,"放行席",H:H)</f>
        <v>2.246944444444444</v>
      </c>
      <c r="M6" s="19"/>
    </row>
    <row r="7" spans="1:16" ht="18.75" x14ac:dyDescent="0.25">
      <c r="A7" s="10">
        <f t="shared" ca="1" si="0"/>
        <v>46060.627174884263</v>
      </c>
      <c r="B7" s="58" t="s">
        <v>86</v>
      </c>
      <c r="C7" s="11">
        <v>0.6272106481481482</v>
      </c>
      <c r="D7" s="11" t="s">
        <v>84</v>
      </c>
      <c r="E7" s="11">
        <v>0.7562268518518519</v>
      </c>
      <c r="F7" s="12">
        <f t="shared" si="1"/>
        <v>3.0963888888888889</v>
      </c>
      <c r="G7" s="13">
        <f t="shared" si="2"/>
        <v>3.0963888888888889</v>
      </c>
      <c r="H7" s="13">
        <f t="shared" si="3"/>
        <v>0</v>
      </c>
      <c r="I7" s="21" t="s">
        <v>23</v>
      </c>
      <c r="J7" s="22">
        <f>SUMIF(B:B,"地面席",F:F)</f>
        <v>2.1349999999999998</v>
      </c>
      <c r="K7" s="23">
        <f>SUMIF(B:B,"地面席",G:G)</f>
        <v>0</v>
      </c>
      <c r="L7" s="23">
        <f>SUMIF(B:B,"地面席",H:H)</f>
        <v>2.1349999999999998</v>
      </c>
      <c r="M7" s="19"/>
    </row>
    <row r="8" spans="1:16" ht="18.75" x14ac:dyDescent="0.25">
      <c r="A8" s="10">
        <f t="shared" ca="1" si="0"/>
        <v>46060.875635185184</v>
      </c>
      <c r="B8" s="58" t="s">
        <v>85</v>
      </c>
      <c r="C8" s="11">
        <v>0.87562499999999999</v>
      </c>
      <c r="D8" s="11" t="s">
        <v>84</v>
      </c>
      <c r="E8" s="11">
        <v>0.96451388888888889</v>
      </c>
      <c r="F8" s="12">
        <f t="shared" si="1"/>
        <v>2.1333333333333337</v>
      </c>
      <c r="G8" s="13">
        <f t="shared" si="2"/>
        <v>2.1333333333333337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46061.30035208333</v>
      </c>
      <c r="B9" s="58" t="s">
        <v>83</v>
      </c>
      <c r="C9" s="11">
        <v>0.30034722222222221</v>
      </c>
      <c r="D9" s="11" t="s">
        <v>84</v>
      </c>
      <c r="E9" s="11">
        <v>0.4229282407407407</v>
      </c>
      <c r="F9" s="12">
        <f t="shared" si="1"/>
        <v>2.9419444444444438</v>
      </c>
      <c r="G9" s="13">
        <f t="shared" si="2"/>
        <v>2.1502777777777853</v>
      </c>
      <c r="H9" s="13">
        <f t="shared" si="3"/>
        <v>0.79166666666665853</v>
      </c>
      <c r="I9" s="21" t="s">
        <v>76</v>
      </c>
      <c r="J9" s="22">
        <f>SUMIF(B:B,"航班调度席",F:F)</f>
        <v>4.6675000000000004</v>
      </c>
      <c r="K9" s="23">
        <f>SUMIF(B:B,"航班调度席",G:G)</f>
        <v>4.6675000000000004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46061.503656365741</v>
      </c>
      <c r="B10" s="58" t="s">
        <v>82</v>
      </c>
      <c r="C10" s="11">
        <v>0.50364583333333335</v>
      </c>
      <c r="D10" s="11" t="s">
        <v>84</v>
      </c>
      <c r="E10" s="11">
        <v>0.63108796296296299</v>
      </c>
      <c r="F10" s="12">
        <f t="shared" si="1"/>
        <v>3.0586111111111114</v>
      </c>
      <c r="G10" s="13">
        <f t="shared" si="2"/>
        <v>3.0586111111111114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46061.749817708333</v>
      </c>
      <c r="B11" s="58" t="s">
        <v>83</v>
      </c>
      <c r="C11" s="11">
        <v>0.74981481481481482</v>
      </c>
      <c r="D11" s="11" t="s">
        <v>84</v>
      </c>
      <c r="E11" s="11">
        <v>0.83719907407407401</v>
      </c>
      <c r="F11" s="12">
        <f t="shared" si="1"/>
        <v>2.0972222222222205</v>
      </c>
      <c r="G11" s="13">
        <f t="shared" si="2"/>
        <v>2.0972222222222205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46064.378842361111</v>
      </c>
      <c r="B12" s="58" t="s">
        <v>90</v>
      </c>
      <c r="C12" s="11">
        <v>0.37884259259259262</v>
      </c>
      <c r="D12" s="11" t="s">
        <v>84</v>
      </c>
      <c r="E12" s="11">
        <v>0.51228009259259266</v>
      </c>
      <c r="F12" s="12">
        <f t="shared" si="1"/>
        <v>3.202500000000001</v>
      </c>
      <c r="G12" s="13">
        <f t="shared" si="2"/>
        <v>3.202500000000001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46064.549720601855</v>
      </c>
      <c r="B13" s="58" t="s">
        <v>83</v>
      </c>
      <c r="C13" s="11">
        <v>0.55090277777777785</v>
      </c>
      <c r="D13" s="11" t="s">
        <v>84</v>
      </c>
      <c r="E13" s="11">
        <v>0.63376157407407407</v>
      </c>
      <c r="F13" s="12">
        <f t="shared" si="1"/>
        <v>1.9886111111111093</v>
      </c>
      <c r="G13" s="13">
        <f t="shared" si="2"/>
        <v>1.9886111111111093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46064.736215393517</v>
      </c>
      <c r="B14" s="58" t="s">
        <v>90</v>
      </c>
      <c r="C14" s="11">
        <v>0.73621527777777773</v>
      </c>
      <c r="D14" s="11" t="s">
        <v>84</v>
      </c>
      <c r="E14" s="11">
        <v>0.79725694444444439</v>
      </c>
      <c r="F14" s="12">
        <f t="shared" si="1"/>
        <v>1.4649999999999999</v>
      </c>
      <c r="G14" s="13">
        <f t="shared" si="2"/>
        <v>1.4649999999999999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46065.015565162037</v>
      </c>
      <c r="B15" s="58" t="s">
        <v>85</v>
      </c>
      <c r="C15" s="11">
        <v>1.5555555555555553E-2</v>
      </c>
      <c r="D15" s="11" t="s">
        <v>84</v>
      </c>
      <c r="E15" s="11">
        <v>0.12427083333333333</v>
      </c>
      <c r="F15" s="12">
        <f t="shared" si="1"/>
        <v>2.6091666666666664</v>
      </c>
      <c r="G15" s="13">
        <f t="shared" si="2"/>
        <v>0</v>
      </c>
      <c r="H15" s="13">
        <f t="shared" si="3"/>
        <v>2.6091666666666664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46065.124305671299</v>
      </c>
      <c r="B16" s="58" t="s">
        <v>83</v>
      </c>
      <c r="C16" s="11">
        <v>0.12430555555555556</v>
      </c>
      <c r="D16" s="11" t="s">
        <v>84</v>
      </c>
      <c r="E16" s="11">
        <v>0.14651620370370369</v>
      </c>
      <c r="F16" s="12">
        <f t="shared" si="1"/>
        <v>0.53305555555555517</v>
      </c>
      <c r="G16" s="13">
        <f t="shared" si="2"/>
        <v>0</v>
      </c>
      <c r="H16" s="13">
        <f t="shared" si="3"/>
        <v>0.53305555555555517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46066.134024884261</v>
      </c>
      <c r="B17" s="58" t="s">
        <v>87</v>
      </c>
      <c r="C17" s="11">
        <v>0.13401620370370371</v>
      </c>
      <c r="D17" s="11" t="s">
        <v>84</v>
      </c>
      <c r="E17" s="11">
        <v>0.22763888888888886</v>
      </c>
      <c r="F17" s="12">
        <f t="shared" si="1"/>
        <v>2.246944444444444</v>
      </c>
      <c r="G17" s="13">
        <f t="shared" si="2"/>
        <v>0</v>
      </c>
      <c r="H17" s="13">
        <f t="shared" si="3"/>
        <v>2.246944444444444</v>
      </c>
      <c r="I17" s="35" t="s">
        <v>29</v>
      </c>
      <c r="J17" s="36">
        <f>J4+J5+J6+J7+J10</f>
        <v>62.480833333333337</v>
      </c>
      <c r="K17" s="37">
        <f>K4+K5+K6+K7+K10</f>
        <v>38.850833333333348</v>
      </c>
      <c r="L17" s="38">
        <f>L4+L5+L6+L7+L10</f>
        <v>23.629999999999981</v>
      </c>
      <c r="M17" s="39"/>
    </row>
    <row r="18" spans="1:13" ht="20.25" x14ac:dyDescent="0.25">
      <c r="A18" s="10">
        <f t="shared" ca="1" si="0"/>
        <v>46068.584096296298</v>
      </c>
      <c r="B18" s="58" t="s">
        <v>83</v>
      </c>
      <c r="C18" s="11">
        <v>0.58408564814814812</v>
      </c>
      <c r="D18" s="11" t="s">
        <v>84</v>
      </c>
      <c r="E18" s="11">
        <v>0.67246527777777787</v>
      </c>
      <c r="F18" s="12">
        <f t="shared" si="1"/>
        <v>2.1211111111111141</v>
      </c>
      <c r="G18" s="13">
        <f t="shared" si="2"/>
        <v>2.1211111111111141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46068.831397916663</v>
      </c>
      <c r="B19" s="58" t="s">
        <v>82</v>
      </c>
      <c r="C19" s="11">
        <v>0.83138888888888884</v>
      </c>
      <c r="D19" s="11" t="s">
        <v>84</v>
      </c>
      <c r="E19" s="11">
        <v>0.96371527777777777</v>
      </c>
      <c r="F19" s="12">
        <f t="shared" si="1"/>
        <v>3.1758333333333342</v>
      </c>
      <c r="G19" s="13">
        <f t="shared" si="2"/>
        <v>3.1758333333333342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46069.299544675923</v>
      </c>
      <c r="B20" s="58" t="s">
        <v>83</v>
      </c>
      <c r="C20" s="11">
        <v>0.29953703703703705</v>
      </c>
      <c r="D20" s="11" t="s">
        <v>84</v>
      </c>
      <c r="E20" s="11">
        <v>0.42042824074074076</v>
      </c>
      <c r="F20" s="12">
        <f t="shared" si="1"/>
        <v>2.901388888888889</v>
      </c>
      <c r="G20" s="13">
        <f t="shared" si="2"/>
        <v>2.0902777777777866</v>
      </c>
      <c r="H20" s="13">
        <f t="shared" si="3"/>
        <v>0.81111111111110246</v>
      </c>
      <c r="I20" s="40" t="s">
        <v>31</v>
      </c>
      <c r="J20" s="67">
        <f>J16+J17+J18+J19</f>
        <v>62.480833333333337</v>
      </c>
      <c r="K20" s="68"/>
      <c r="L20" s="69"/>
      <c r="M20" s="41"/>
    </row>
    <row r="21" spans="1:13" ht="20.25" x14ac:dyDescent="0.25">
      <c r="A21" s="10">
        <f t="shared" ca="1" si="0"/>
        <v>46069.50156921296</v>
      </c>
      <c r="B21" s="58" t="s">
        <v>83</v>
      </c>
      <c r="C21" s="11">
        <v>0.50156250000000002</v>
      </c>
      <c r="D21" s="11" t="s">
        <v>84</v>
      </c>
      <c r="E21" s="11">
        <v>0.58990740740740744</v>
      </c>
      <c r="F21" s="12">
        <f t="shared" si="1"/>
        <v>2.1202777777777779</v>
      </c>
      <c r="G21" s="13">
        <f t="shared" si="2"/>
        <v>2.1202777777777779</v>
      </c>
      <c r="H21" s="13">
        <f t="shared" si="3"/>
        <v>0</v>
      </c>
      <c r="I21" s="53" t="s">
        <v>78</v>
      </c>
      <c r="J21" s="54">
        <f>SUM(J8:J9)</f>
        <v>4.6675000000000004</v>
      </c>
      <c r="K21" s="37">
        <f>SUM(K8:K9)</f>
        <v>4.6675000000000004</v>
      </c>
      <c r="L21" s="38">
        <f>SUM(L8:L9)</f>
        <v>0</v>
      </c>
      <c r="M21" s="46"/>
    </row>
    <row r="22" spans="1:13" ht="18.75" x14ac:dyDescent="0.15">
      <c r="A22" s="10">
        <f t="shared" ca="1" si="0"/>
        <v>46069.959924537034</v>
      </c>
      <c r="B22" s="58" t="s">
        <v>82</v>
      </c>
      <c r="C22" s="11">
        <v>0.95991898148148147</v>
      </c>
      <c r="D22" s="11" t="s">
        <v>84</v>
      </c>
      <c r="E22" s="11">
        <v>0.14258101851851854</v>
      </c>
      <c r="F22" s="12">
        <f t="shared" si="1"/>
        <v>4.3838888888888894</v>
      </c>
      <c r="G22" s="13">
        <f t="shared" si="2"/>
        <v>0.96194444444444471</v>
      </c>
      <c r="H22" s="13">
        <f t="shared" si="3"/>
        <v>3.4219444444444447</v>
      </c>
      <c r="I22"/>
      <c r="J22"/>
    </row>
    <row r="23" spans="1:13" ht="18.75" x14ac:dyDescent="0.15">
      <c r="A23" s="10">
        <f t="shared" ca="1" si="0"/>
        <v>46072.960101851852</v>
      </c>
      <c r="B23" s="58" t="s">
        <v>82</v>
      </c>
      <c r="C23" s="11">
        <v>0.96009259259259261</v>
      </c>
      <c r="D23" s="11" t="s">
        <v>84</v>
      </c>
      <c r="E23" s="11">
        <v>0.1265162037037037</v>
      </c>
      <c r="F23" s="12">
        <f t="shared" si="1"/>
        <v>3.9941666666666662</v>
      </c>
      <c r="G23" s="13">
        <f t="shared" si="2"/>
        <v>0.95777777777777739</v>
      </c>
      <c r="H23" s="13">
        <f t="shared" si="3"/>
        <v>3.0363888888888888</v>
      </c>
      <c r="I23"/>
      <c r="J23"/>
    </row>
    <row r="24" spans="1:13" ht="18.75" x14ac:dyDescent="0.15">
      <c r="A24" s="10">
        <f t="shared" ca="1" si="0"/>
        <v>46073.480627893521</v>
      </c>
      <c r="B24" s="58" t="s">
        <v>82</v>
      </c>
      <c r="C24" s="11">
        <v>0.48062500000000002</v>
      </c>
      <c r="D24" s="11" t="s">
        <v>84</v>
      </c>
      <c r="E24" s="11">
        <v>0.5467129629629629</v>
      </c>
      <c r="F24" s="12">
        <f t="shared" si="1"/>
        <v>1.586111111111109</v>
      </c>
      <c r="G24" s="13">
        <f t="shared" si="2"/>
        <v>1.586111111111109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46073.603022569441</v>
      </c>
      <c r="B25" s="58" t="s">
        <v>83</v>
      </c>
      <c r="C25" s="11">
        <v>0.60302083333333334</v>
      </c>
      <c r="D25" s="11" t="s">
        <v>84</v>
      </c>
      <c r="E25" s="11">
        <v>0.75312499999999993</v>
      </c>
      <c r="F25" s="12">
        <f t="shared" si="1"/>
        <v>3.6024999999999983</v>
      </c>
      <c r="G25" s="13">
        <f t="shared" si="2"/>
        <v>3.6024999999999983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46073.831801273147</v>
      </c>
      <c r="B26" s="58" t="s">
        <v>83</v>
      </c>
      <c r="C26" s="11">
        <v>0.83179398148148154</v>
      </c>
      <c r="D26" s="11" t="s">
        <v>84</v>
      </c>
      <c r="E26" s="11">
        <v>0.96840277777777783</v>
      </c>
      <c r="F26" s="12">
        <f t="shared" si="1"/>
        <v>3.2786111111111111</v>
      </c>
      <c r="G26" s="13">
        <f t="shared" si="2"/>
        <v>3.2786111111111111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46073.968443749996</v>
      </c>
      <c r="B27" s="58" t="s">
        <v>82</v>
      </c>
      <c r="C27" s="11">
        <v>0.96843749999999995</v>
      </c>
      <c r="D27" s="11" t="s">
        <v>84</v>
      </c>
      <c r="E27" s="11">
        <v>5.4861111111111117E-3</v>
      </c>
      <c r="F27" s="12">
        <f t="shared" si="1"/>
        <v>0.88916666666666777</v>
      </c>
      <c r="G27" s="13">
        <f t="shared" si="2"/>
        <v>0.75750000000000106</v>
      </c>
      <c r="H27" s="13">
        <f t="shared" si="3"/>
        <v>0.13166666666666668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46055.132384375</v>
      </c>
      <c r="B3" s="58" t="s">
        <v>87</v>
      </c>
      <c r="C3" s="11">
        <v>0.13238425925925926</v>
      </c>
      <c r="D3" s="11" t="s">
        <v>84</v>
      </c>
      <c r="E3" s="11">
        <v>0.21407407407407408</v>
      </c>
      <c r="F3" s="12">
        <f t="shared" ref="F3:F66" si="1">(IF(E3-C3&lt;0,"24:00"-C3+E3,E3-C3))*24</f>
        <v>1.9605555555555558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1.9605555555555558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46056.013792129626</v>
      </c>
      <c r="B4" s="58" t="s">
        <v>85</v>
      </c>
      <c r="C4" s="11">
        <v>1.3784722222222224E-2</v>
      </c>
      <c r="D4" s="11" t="s">
        <v>84</v>
      </c>
      <c r="E4" s="11">
        <v>0.14406250000000001</v>
      </c>
      <c r="F4" s="12">
        <f t="shared" si="1"/>
        <v>3.1266666666666669</v>
      </c>
      <c r="G4" s="13">
        <f t="shared" si="2"/>
        <v>0</v>
      </c>
      <c r="H4" s="13">
        <f t="shared" si="3"/>
        <v>3.1266666666666669</v>
      </c>
      <c r="I4" s="21" t="s">
        <v>20</v>
      </c>
      <c r="J4" s="22">
        <f>SUMIF(B:B,"西塔台管制席",F:F)+SUMIF(B:B,"东塔台管制席",F:F)</f>
        <v>15.573888888888888</v>
      </c>
      <c r="K4" s="23">
        <f>SUMIF(B:B,"西塔台管制席",G:G)+SUMIF(B:B,"东塔台管制席",G:G)</f>
        <v>14.613888888888898</v>
      </c>
      <c r="L4" s="23">
        <f>SUMIF(B:B,"西塔台管制席",H:H)+SUMIF(B:B,"东塔台管制席",H:H)</f>
        <v>0.95999999999999153</v>
      </c>
      <c r="M4" s="19"/>
    </row>
    <row r="5" spans="1:16" ht="18.75" x14ac:dyDescent="0.25">
      <c r="A5" s="10">
        <f t="shared" ca="1" si="0"/>
        <v>46058.500449305553</v>
      </c>
      <c r="B5" s="58" t="s">
        <v>86</v>
      </c>
      <c r="C5" s="11">
        <v>0.50043981481481481</v>
      </c>
      <c r="D5" s="11" t="s">
        <v>84</v>
      </c>
      <c r="E5" s="11">
        <v>0.63369212962962962</v>
      </c>
      <c r="F5" s="12">
        <f t="shared" si="1"/>
        <v>3.1980555555555554</v>
      </c>
      <c r="G5" s="13">
        <f t="shared" si="2"/>
        <v>3.1980555555555554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24.267500000000002</v>
      </c>
      <c r="K5" s="23">
        <f>SUMIF(B:B,"西塔台协调席",G:G)+SUMIF(B:B,"东塔台协调席",G:G)</f>
        <v>17.767222222222223</v>
      </c>
      <c r="L5" s="23">
        <f>SUMIF(B:B,"西塔台协调席",H:H)+SUMIF(B:B,"东塔台协调席",H:H)</f>
        <v>6.5002777777777778</v>
      </c>
      <c r="M5" s="19"/>
    </row>
    <row r="6" spans="1:16" ht="18.75" x14ac:dyDescent="0.25">
      <c r="A6" s="10">
        <f t="shared" ca="1" si="0"/>
        <v>46058.633747337961</v>
      </c>
      <c r="B6" s="58" t="s">
        <v>90</v>
      </c>
      <c r="C6" s="11">
        <v>0.63373842592592589</v>
      </c>
      <c r="D6" s="11" t="s">
        <v>84</v>
      </c>
      <c r="E6" s="11">
        <v>0.6883217592592592</v>
      </c>
      <c r="F6" s="12">
        <f t="shared" si="1"/>
        <v>1.3099999999999996</v>
      </c>
      <c r="G6" s="13">
        <f t="shared" si="2"/>
        <v>1.3099999999999996</v>
      </c>
      <c r="H6" s="13">
        <f t="shared" si="3"/>
        <v>0</v>
      </c>
      <c r="I6" s="21" t="s">
        <v>22</v>
      </c>
      <c r="J6" s="22">
        <f>SUMIF(B:B,"放行席",F:F)</f>
        <v>1.9605555555555558</v>
      </c>
      <c r="K6" s="23">
        <f>SUMIF(B:B,"放行席",G:G)</f>
        <v>0</v>
      </c>
      <c r="L6" s="23">
        <f>SUMIF(B:B,"放行席",H:H)</f>
        <v>1.9605555555555558</v>
      </c>
      <c r="M6" s="19"/>
    </row>
    <row r="7" spans="1:16" ht="18.75" x14ac:dyDescent="0.25">
      <c r="A7" s="10">
        <f t="shared" ca="1" si="0"/>
        <v>46058.87554641204</v>
      </c>
      <c r="B7" s="58" t="s">
        <v>85</v>
      </c>
      <c r="C7" s="11">
        <v>0.87554398148148149</v>
      </c>
      <c r="D7" s="11" t="s">
        <v>84</v>
      </c>
      <c r="E7" s="11">
        <v>0.95819444444444446</v>
      </c>
      <c r="F7" s="12">
        <f t="shared" si="1"/>
        <v>1.9836111111111112</v>
      </c>
      <c r="G7" s="13">
        <f t="shared" si="2"/>
        <v>1.9836111111111112</v>
      </c>
      <c r="H7" s="13">
        <f t="shared" si="3"/>
        <v>0</v>
      </c>
      <c r="I7" s="21" t="s">
        <v>23</v>
      </c>
      <c r="J7" s="22">
        <f>SUMIF(B:B,"地面席",F:F)</f>
        <v>2.8055555555555562</v>
      </c>
      <c r="K7" s="23">
        <f>SUMIF(B:B,"地面席",G:G)</f>
        <v>0</v>
      </c>
      <c r="L7" s="23">
        <f>SUMIF(B:B,"地面席",H:H)</f>
        <v>2.8055555555555562</v>
      </c>
      <c r="M7" s="19"/>
    </row>
    <row r="8" spans="1:16" ht="18.75" x14ac:dyDescent="0.25">
      <c r="A8" s="10">
        <f t="shared" ca="1" si="0"/>
        <v>46059.420658564813</v>
      </c>
      <c r="B8" s="58" t="s">
        <v>83</v>
      </c>
      <c r="C8" s="11">
        <v>0.42064814814814816</v>
      </c>
      <c r="D8" s="11" t="s">
        <v>84</v>
      </c>
      <c r="E8" s="11">
        <v>0.50678240740740743</v>
      </c>
      <c r="F8" s="12">
        <f t="shared" si="1"/>
        <v>2.0672222222222225</v>
      </c>
      <c r="G8" s="13">
        <f t="shared" si="2"/>
        <v>2.0672222222222225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46059.585138078706</v>
      </c>
      <c r="B9" s="58" t="s">
        <v>82</v>
      </c>
      <c r="C9" s="11">
        <v>0.58512731481481484</v>
      </c>
      <c r="D9" s="11" t="s">
        <v>84</v>
      </c>
      <c r="E9" s="11">
        <v>0.67504629629629631</v>
      </c>
      <c r="F9" s="12">
        <f t="shared" si="1"/>
        <v>2.1580555555555554</v>
      </c>
      <c r="G9" s="13">
        <f t="shared" si="2"/>
        <v>2.1580555555555554</v>
      </c>
      <c r="H9" s="13">
        <f t="shared" si="3"/>
        <v>0</v>
      </c>
      <c r="I9" s="21" t="s">
        <v>76</v>
      </c>
      <c r="J9" s="22">
        <f>SUMIF(B:B,"航班调度席",F:F)</f>
        <v>3.5183333333333331</v>
      </c>
      <c r="K9" s="23">
        <f>SUMIF(B:B,"航班调度席",G:G)</f>
        <v>3.5183333333333331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46059.837792013888</v>
      </c>
      <c r="B10" s="58" t="s">
        <v>83</v>
      </c>
      <c r="C10" s="11">
        <v>0.83778935185185188</v>
      </c>
      <c r="D10" s="11" t="s">
        <v>84</v>
      </c>
      <c r="E10" s="11">
        <v>0.95719907407407412</v>
      </c>
      <c r="F10" s="12">
        <f t="shared" si="1"/>
        <v>2.8658333333333337</v>
      </c>
      <c r="G10" s="13">
        <f t="shared" si="2"/>
        <v>2.8658333333333337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46062.950931712963</v>
      </c>
      <c r="B11" s="58" t="s">
        <v>82</v>
      </c>
      <c r="C11" s="11">
        <v>0.95092592592592595</v>
      </c>
      <c r="D11" s="11" t="s">
        <v>84</v>
      </c>
      <c r="E11" s="11">
        <v>0.14056712962962961</v>
      </c>
      <c r="F11" s="12">
        <f t="shared" si="1"/>
        <v>4.551388888888888</v>
      </c>
      <c r="G11" s="13">
        <f t="shared" si="2"/>
        <v>1.1777777777777771</v>
      </c>
      <c r="H11" s="13">
        <f t="shared" si="3"/>
        <v>3.3736111111111109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46064.140137962961</v>
      </c>
      <c r="B12" s="58" t="s">
        <v>88</v>
      </c>
      <c r="C12" s="11">
        <v>0.1401273148148148</v>
      </c>
      <c r="D12" s="11" t="s">
        <v>84</v>
      </c>
      <c r="E12" s="11">
        <v>0.25702546296296297</v>
      </c>
      <c r="F12" s="12">
        <f t="shared" si="1"/>
        <v>2.8055555555555562</v>
      </c>
      <c r="G12" s="13">
        <f t="shared" si="2"/>
        <v>0</v>
      </c>
      <c r="H12" s="13">
        <f t="shared" si="3"/>
        <v>2.8055555555555562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46074.350964930556</v>
      </c>
      <c r="B13" s="58" t="s">
        <v>82</v>
      </c>
      <c r="C13" s="11">
        <v>0.35096064814814815</v>
      </c>
      <c r="D13" s="11" t="s">
        <v>84</v>
      </c>
      <c r="E13" s="11">
        <v>0.52760416666666665</v>
      </c>
      <c r="F13" s="12">
        <f t="shared" si="1"/>
        <v>4.2394444444444446</v>
      </c>
      <c r="G13" s="13">
        <f t="shared" si="2"/>
        <v>4.2394444444444446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46074.647454166668</v>
      </c>
      <c r="B14" s="58" t="s">
        <v>83</v>
      </c>
      <c r="C14" s="11">
        <v>0.6474537037037037</v>
      </c>
      <c r="D14" s="11" t="s">
        <v>84</v>
      </c>
      <c r="E14" s="11">
        <v>0.77701388888888889</v>
      </c>
      <c r="F14" s="12">
        <f t="shared" si="1"/>
        <v>3.1094444444444447</v>
      </c>
      <c r="G14" s="13">
        <f t="shared" si="2"/>
        <v>3.1094444444444447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46075.417260300928</v>
      </c>
      <c r="B15" s="58" t="s">
        <v>82</v>
      </c>
      <c r="C15" s="11">
        <v>0.41725694444444444</v>
      </c>
      <c r="D15" s="11" t="s">
        <v>84</v>
      </c>
      <c r="E15" s="11">
        <v>0.50577546296296294</v>
      </c>
      <c r="F15" s="12">
        <f t="shared" si="1"/>
        <v>2.1244444444444439</v>
      </c>
      <c r="G15" s="13">
        <f t="shared" si="2"/>
        <v>2.1244444444444439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46075.834628472221</v>
      </c>
      <c r="B16" s="58" t="s">
        <v>82</v>
      </c>
      <c r="C16" s="11">
        <v>0.83461805555555557</v>
      </c>
      <c r="D16" s="11" t="s">
        <v>84</v>
      </c>
      <c r="E16" s="11">
        <v>0.95901620370370377</v>
      </c>
      <c r="F16" s="12">
        <f t="shared" si="1"/>
        <v>2.9855555555555569</v>
      </c>
      <c r="G16" s="13">
        <f t="shared" si="2"/>
        <v>2.9855555555555569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46076.293337847223</v>
      </c>
      <c r="B17" s="58" t="s">
        <v>83</v>
      </c>
      <c r="C17" s="11">
        <v>0.29333333333333333</v>
      </c>
      <c r="D17" s="11" t="s">
        <v>84</v>
      </c>
      <c r="E17" s="11">
        <v>0.36437499999999995</v>
      </c>
      <c r="F17" s="12">
        <f t="shared" si="1"/>
        <v>1.7049999999999987</v>
      </c>
      <c r="G17" s="13">
        <f t="shared" si="2"/>
        <v>0.74500000000000721</v>
      </c>
      <c r="H17" s="13">
        <f t="shared" si="3"/>
        <v>0.95999999999999153</v>
      </c>
      <c r="I17" s="35" t="s">
        <v>29</v>
      </c>
      <c r="J17" s="36">
        <f>J4+J5+J6+J7+J10</f>
        <v>44.607500000000002</v>
      </c>
      <c r="K17" s="37">
        <f>K4+K5+K6+K7+K10</f>
        <v>32.381111111111125</v>
      </c>
      <c r="L17" s="38">
        <f>L4+L5+L6+L7+L10</f>
        <v>12.226388888888881</v>
      </c>
      <c r="M17" s="39"/>
    </row>
    <row r="18" spans="1:13" ht="20.25" x14ac:dyDescent="0.25">
      <c r="A18" s="10">
        <f t="shared" ca="1" si="0"/>
        <v>46078.374520949073</v>
      </c>
      <c r="B18" s="58" t="s">
        <v>90</v>
      </c>
      <c r="C18" s="11">
        <v>0.37451388888888887</v>
      </c>
      <c r="D18" s="11" t="s">
        <v>84</v>
      </c>
      <c r="E18" s="11">
        <v>0.4357638888888889</v>
      </c>
      <c r="F18" s="12">
        <f t="shared" si="1"/>
        <v>1.4700000000000006</v>
      </c>
      <c r="G18" s="13">
        <f t="shared" si="2"/>
        <v>1.4700000000000006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46078.647792824071</v>
      </c>
      <c r="B19" s="58" t="s">
        <v>82</v>
      </c>
      <c r="C19" s="11">
        <v>0.64778935185185182</v>
      </c>
      <c r="D19" s="11" t="s">
        <v>84</v>
      </c>
      <c r="E19" s="11">
        <v>0.77688657407407413</v>
      </c>
      <c r="F19" s="12">
        <f t="shared" si="1"/>
        <v>3.0983333333333354</v>
      </c>
      <c r="G19" s="13">
        <f t="shared" si="2"/>
        <v>3.0983333333333354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46079.38492592593</v>
      </c>
      <c r="B20" s="58" t="s">
        <v>90</v>
      </c>
      <c r="C20" s="11">
        <v>0.38491898148148151</v>
      </c>
      <c r="D20" s="11" t="s">
        <v>84</v>
      </c>
      <c r="E20" s="11">
        <v>0.41568287037037038</v>
      </c>
      <c r="F20" s="12">
        <f t="shared" si="1"/>
        <v>0.73833333333333284</v>
      </c>
      <c r="G20" s="13">
        <f t="shared" si="2"/>
        <v>0.73833333333333284</v>
      </c>
      <c r="H20" s="13">
        <f t="shared" si="3"/>
        <v>0</v>
      </c>
      <c r="I20" s="40" t="s">
        <v>31</v>
      </c>
      <c r="J20" s="67">
        <f>J16+J17+J18+J19</f>
        <v>44.607500000000002</v>
      </c>
      <c r="K20" s="68"/>
      <c r="L20" s="69"/>
      <c r="M20" s="41"/>
    </row>
    <row r="21" spans="1:13" ht="20.25" x14ac:dyDescent="0.25">
      <c r="A21" s="10">
        <f t="shared" ca="1" si="0"/>
        <v>46079.415820023147</v>
      </c>
      <c r="B21" s="58" t="s">
        <v>83</v>
      </c>
      <c r="C21" s="11">
        <v>0.4158101851851852</v>
      </c>
      <c r="D21" s="11" t="s">
        <v>84</v>
      </c>
      <c r="E21" s="11">
        <v>0.52532407407407411</v>
      </c>
      <c r="F21" s="12">
        <f t="shared" si="1"/>
        <v>2.6283333333333339</v>
      </c>
      <c r="G21" s="13">
        <f t="shared" si="2"/>
        <v>2.6283333333333339</v>
      </c>
      <c r="H21" s="13">
        <f t="shared" si="3"/>
        <v>0</v>
      </c>
      <c r="I21" s="53" t="s">
        <v>78</v>
      </c>
      <c r="J21" s="54">
        <f>SUM(J8:J9)</f>
        <v>3.5183333333333331</v>
      </c>
      <c r="K21" s="37">
        <f>SUM(K8:K9)</f>
        <v>3.5183333333333331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39"/>
  <sheetViews>
    <sheetView topLeftCell="A4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46057.014734027776</v>
      </c>
      <c r="B3" s="58" t="s">
        <v>82</v>
      </c>
      <c r="C3" s="11">
        <v>1.4733796296296295E-2</v>
      </c>
      <c r="D3" s="11" t="s">
        <v>84</v>
      </c>
      <c r="E3" s="11">
        <v>0.11375</v>
      </c>
      <c r="F3" s="12">
        <f t="shared" ref="F3:F66" si="1">(IF(E3-C3&lt;0,"24:00"-C3+E3,E3-C3))*24</f>
        <v>2.3763888888888891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2.3763888888888891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46057.113789120369</v>
      </c>
      <c r="B4" s="58" t="s">
        <v>86</v>
      </c>
      <c r="C4" s="11">
        <v>0.11378472222222223</v>
      </c>
      <c r="D4" s="11" t="s">
        <v>84</v>
      </c>
      <c r="E4" s="11">
        <v>0.14644675925925926</v>
      </c>
      <c r="F4" s="12">
        <f t="shared" si="1"/>
        <v>0.78388888888888875</v>
      </c>
      <c r="G4" s="13">
        <f t="shared" si="2"/>
        <v>0</v>
      </c>
      <c r="H4" s="13">
        <f t="shared" si="3"/>
        <v>0.78388888888888875</v>
      </c>
      <c r="I4" s="21" t="s">
        <v>20</v>
      </c>
      <c r="J4" s="22">
        <f>SUMIF(B:B,"西塔台管制席",F:F)+SUMIF(B:B,"东塔台管制席",F:F)</f>
        <v>26.455555555555556</v>
      </c>
      <c r="K4" s="23">
        <f>SUMIF(B:B,"西塔台管制席",G:G)+SUMIF(B:B,"东塔台管制席",G:G)</f>
        <v>16.142500000000013</v>
      </c>
      <c r="L4" s="23">
        <f>SUMIF(B:B,"西塔台管制席",H:H)+SUMIF(B:B,"东塔台管制席",H:H)</f>
        <v>10.313055555555538</v>
      </c>
      <c r="M4" s="19"/>
    </row>
    <row r="5" spans="1:16" ht="18.75" x14ac:dyDescent="0.25">
      <c r="A5" s="10">
        <f t="shared" ca="1" si="0"/>
        <v>46058.014762384257</v>
      </c>
      <c r="B5" s="58" t="s">
        <v>86</v>
      </c>
      <c r="C5" s="11">
        <v>1.4814814814814814E-2</v>
      </c>
      <c r="D5" s="11" t="s">
        <v>84</v>
      </c>
      <c r="E5" s="11">
        <v>0.14895833333333333</v>
      </c>
      <c r="F5" s="12">
        <f t="shared" si="1"/>
        <v>3.2194444444444446</v>
      </c>
      <c r="G5" s="13">
        <f t="shared" si="2"/>
        <v>0</v>
      </c>
      <c r="H5" s="13">
        <f t="shared" si="3"/>
        <v>3.2194444444444446</v>
      </c>
      <c r="I5" s="21" t="s">
        <v>21</v>
      </c>
      <c r="J5" s="22">
        <f>SUMIF(B:B,"西塔台协调席",F:F)+SUMIF(B:B,"东塔台协调席",F:F)</f>
        <v>21.702500000000001</v>
      </c>
      <c r="K5" s="23">
        <f>SUMIF(B:B,"西塔台协调席",G:G)+SUMIF(B:B,"东塔台协调席",G:G)</f>
        <v>17.492777777777778</v>
      </c>
      <c r="L5" s="23">
        <f>SUMIF(B:B,"西塔台协调席",H:H)+SUMIF(B:B,"东塔台协调席",H:H)</f>
        <v>4.2097222222222221</v>
      </c>
      <c r="M5" s="19"/>
    </row>
    <row r="6" spans="1:16" ht="18.75" x14ac:dyDescent="0.25">
      <c r="A6" s="10">
        <f t="shared" ca="1" si="0"/>
        <v>46061.131340972221</v>
      </c>
      <c r="B6" s="58" t="s">
        <v>87</v>
      </c>
      <c r="C6" s="11">
        <v>0.13133101851851853</v>
      </c>
      <c r="D6" s="11" t="s">
        <v>84</v>
      </c>
      <c r="E6" s="11">
        <v>0.22064814814814815</v>
      </c>
      <c r="F6" s="12">
        <f t="shared" si="1"/>
        <v>2.1436111111111109</v>
      </c>
      <c r="G6" s="13">
        <f t="shared" si="2"/>
        <v>0</v>
      </c>
      <c r="H6" s="13">
        <f t="shared" si="3"/>
        <v>2.1436111111111109</v>
      </c>
      <c r="I6" s="21" t="s">
        <v>22</v>
      </c>
      <c r="J6" s="22">
        <f>SUMIF(B:B,"放行席",F:F)</f>
        <v>2.1436111111111109</v>
      </c>
      <c r="K6" s="23">
        <f>SUMIF(B:B,"放行席",G:G)</f>
        <v>0</v>
      </c>
      <c r="L6" s="23">
        <f>SUMIF(B:B,"放行席",H:H)</f>
        <v>2.1436111111111109</v>
      </c>
      <c r="M6" s="19"/>
    </row>
    <row r="7" spans="1:16" ht="18.75" x14ac:dyDescent="0.25">
      <c r="A7" s="10">
        <f t="shared" ca="1" si="0"/>
        <v>46062.139317129629</v>
      </c>
      <c r="B7" s="58" t="s">
        <v>86</v>
      </c>
      <c r="C7" s="11">
        <v>0.13931712962962964</v>
      </c>
      <c r="D7" s="11" t="s">
        <v>84</v>
      </c>
      <c r="E7" s="11">
        <v>0.24322916666666669</v>
      </c>
      <c r="F7" s="12">
        <f t="shared" si="1"/>
        <v>2.4938888888888893</v>
      </c>
      <c r="G7" s="13">
        <f t="shared" si="2"/>
        <v>0</v>
      </c>
      <c r="H7" s="13">
        <f t="shared" si="3"/>
        <v>2.4938888888888893</v>
      </c>
      <c r="I7" s="21" t="s">
        <v>23</v>
      </c>
      <c r="J7" s="22">
        <f>SUMIF(B:B,"地面席",F:F)</f>
        <v>3.4275000000000015</v>
      </c>
      <c r="K7" s="23">
        <f>SUMIF(B:B,"地面席",G:G)</f>
        <v>3.4275000000000015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46062.243260532407</v>
      </c>
      <c r="B8" s="58" t="s">
        <v>82</v>
      </c>
      <c r="C8" s="11">
        <v>0.24325231481481482</v>
      </c>
      <c r="D8" s="11" t="s">
        <v>84</v>
      </c>
      <c r="E8" s="11">
        <v>0.30351851851851852</v>
      </c>
      <c r="F8" s="12">
        <f t="shared" si="1"/>
        <v>1.4463888888888887</v>
      </c>
      <c r="G8" s="13">
        <f t="shared" si="2"/>
        <v>0</v>
      </c>
      <c r="H8" s="13">
        <f t="shared" si="3"/>
        <v>1.4463888888888887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46064.370873148146</v>
      </c>
      <c r="B9" s="58" t="s">
        <v>88</v>
      </c>
      <c r="C9" s="11">
        <v>0.37086805555555552</v>
      </c>
      <c r="D9" s="11" t="s">
        <v>84</v>
      </c>
      <c r="E9" s="11">
        <v>0.51368055555555558</v>
      </c>
      <c r="F9" s="12">
        <f t="shared" si="1"/>
        <v>3.4275000000000015</v>
      </c>
      <c r="G9" s="13">
        <f t="shared" si="2"/>
        <v>3.4275000000000015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46064.513780555557</v>
      </c>
      <c r="B10" s="58" t="s">
        <v>86</v>
      </c>
      <c r="C10" s="11">
        <v>0.51377314814814812</v>
      </c>
      <c r="D10" s="11" t="s">
        <v>84</v>
      </c>
      <c r="E10" s="11">
        <v>0.55937500000000007</v>
      </c>
      <c r="F10" s="12">
        <f t="shared" si="1"/>
        <v>1.0944444444444468</v>
      </c>
      <c r="G10" s="13">
        <f t="shared" si="2"/>
        <v>1.0944444444444468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46064.559413657407</v>
      </c>
      <c r="B11" s="58" t="s">
        <v>82</v>
      </c>
      <c r="C11" s="11">
        <v>0.55940972222222218</v>
      </c>
      <c r="D11" s="11" t="s">
        <v>84</v>
      </c>
      <c r="E11" s="11">
        <v>0.58924768518518522</v>
      </c>
      <c r="F11" s="12">
        <f t="shared" si="1"/>
        <v>0.71611111111111292</v>
      </c>
      <c r="G11" s="13">
        <f t="shared" si="2"/>
        <v>0.71611111111111292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46064.729872569442</v>
      </c>
      <c r="B12" s="58" t="s">
        <v>83</v>
      </c>
      <c r="C12" s="11">
        <v>0.72987268518518522</v>
      </c>
      <c r="D12" s="11" t="s">
        <v>84</v>
      </c>
      <c r="E12" s="11">
        <v>0.88217592592592586</v>
      </c>
      <c r="F12" s="12">
        <f t="shared" si="1"/>
        <v>3.6552777777777754</v>
      </c>
      <c r="G12" s="13">
        <f t="shared" si="2"/>
        <v>3.6552777777777754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46065.418018634256</v>
      </c>
      <c r="B13" s="58" t="s">
        <v>82</v>
      </c>
      <c r="C13" s="11">
        <v>0.41800925925925925</v>
      </c>
      <c r="D13" s="11" t="s">
        <v>84</v>
      </c>
      <c r="E13" s="11">
        <v>0.5105439814814815</v>
      </c>
      <c r="F13" s="12">
        <f t="shared" si="1"/>
        <v>2.2208333333333341</v>
      </c>
      <c r="G13" s="13">
        <f t="shared" si="2"/>
        <v>2.2208333333333341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46065.626338657406</v>
      </c>
      <c r="B14" s="58" t="s">
        <v>83</v>
      </c>
      <c r="C14" s="11">
        <v>0.62633101851851858</v>
      </c>
      <c r="D14" s="11" t="s">
        <v>84</v>
      </c>
      <c r="E14" s="11">
        <v>0.75502314814814808</v>
      </c>
      <c r="F14" s="12">
        <f t="shared" si="1"/>
        <v>3.0886111111111081</v>
      </c>
      <c r="G14" s="13">
        <f t="shared" si="2"/>
        <v>3.0886111111111081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46065.834942013891</v>
      </c>
      <c r="B15" s="58" t="s">
        <v>82</v>
      </c>
      <c r="C15" s="11">
        <v>0.83494212962962966</v>
      </c>
      <c r="D15" s="11" t="s">
        <v>84</v>
      </c>
      <c r="E15" s="11">
        <v>0.87462962962962953</v>
      </c>
      <c r="F15" s="12">
        <f t="shared" si="1"/>
        <v>0.95249999999999702</v>
      </c>
      <c r="G15" s="13">
        <f t="shared" si="2"/>
        <v>0.95249999999999702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46065.891916898145</v>
      </c>
      <c r="B16" s="58" t="s">
        <v>82</v>
      </c>
      <c r="C16" s="11">
        <v>0.8919097222222222</v>
      </c>
      <c r="D16" s="11" t="s">
        <v>84</v>
      </c>
      <c r="E16" s="11">
        <v>0.96412037037037035</v>
      </c>
      <c r="F16" s="12">
        <f t="shared" si="1"/>
        <v>1.7330555555555556</v>
      </c>
      <c r="G16" s="13">
        <f t="shared" si="2"/>
        <v>1.7330555555555556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46066.30082546296</v>
      </c>
      <c r="B17" s="58" t="s">
        <v>83</v>
      </c>
      <c r="C17" s="11">
        <v>0.30082175925925925</v>
      </c>
      <c r="D17" s="11" t="s">
        <v>84</v>
      </c>
      <c r="E17" s="11">
        <v>0.36197916666666669</v>
      </c>
      <c r="F17" s="12">
        <f t="shared" si="1"/>
        <v>1.4677777777777785</v>
      </c>
      <c r="G17" s="13">
        <f t="shared" si="2"/>
        <v>0.68750000000000888</v>
      </c>
      <c r="H17" s="13">
        <f t="shared" si="3"/>
        <v>0.78027777777776963</v>
      </c>
      <c r="I17" s="35" t="s">
        <v>29</v>
      </c>
      <c r="J17" s="36">
        <f>J4+J5+J6+J7+J10</f>
        <v>53.729166666666671</v>
      </c>
      <c r="K17" s="37">
        <f>K4+K5+K6+K7+K10</f>
        <v>37.062777777777789</v>
      </c>
      <c r="L17" s="38">
        <f>L4+L5+L6+L7+L10</f>
        <v>16.666388888888871</v>
      </c>
      <c r="M17" s="39"/>
    </row>
    <row r="18" spans="1:13" ht="20.25" x14ac:dyDescent="0.25">
      <c r="A18" s="10">
        <f t="shared" ca="1" si="0"/>
        <v>46076.354822453701</v>
      </c>
      <c r="B18" s="58" t="s">
        <v>82</v>
      </c>
      <c r="C18" s="11">
        <v>0.35481481481481486</v>
      </c>
      <c r="D18" s="11" t="s">
        <v>84</v>
      </c>
      <c r="E18" s="11">
        <v>0.50791666666666668</v>
      </c>
      <c r="F18" s="12">
        <f t="shared" si="1"/>
        <v>3.6744444444444437</v>
      </c>
      <c r="G18" s="13">
        <f t="shared" si="2"/>
        <v>3.6744444444444437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46076.626933796295</v>
      </c>
      <c r="B19" s="58" t="s">
        <v>83</v>
      </c>
      <c r="C19" s="11">
        <v>0.62693287037037038</v>
      </c>
      <c r="D19" s="11" t="s">
        <v>84</v>
      </c>
      <c r="E19" s="11">
        <v>0.75715277777777779</v>
      </c>
      <c r="F19" s="12">
        <f t="shared" si="1"/>
        <v>3.1252777777777778</v>
      </c>
      <c r="G19" s="13">
        <f t="shared" si="2"/>
        <v>3.1252777777777778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46076.875429629632</v>
      </c>
      <c r="B20" s="58" t="s">
        <v>82</v>
      </c>
      <c r="C20" s="11">
        <v>0.87542824074074066</v>
      </c>
      <c r="D20" s="11" t="s">
        <v>84</v>
      </c>
      <c r="E20" s="11">
        <v>0.96380787037037041</v>
      </c>
      <c r="F20" s="12">
        <f t="shared" si="1"/>
        <v>2.1211111111111141</v>
      </c>
      <c r="G20" s="13">
        <f t="shared" si="2"/>
        <v>2.1211111111111141</v>
      </c>
      <c r="H20" s="13">
        <f t="shared" si="3"/>
        <v>0</v>
      </c>
      <c r="I20" s="40" t="s">
        <v>31</v>
      </c>
      <c r="J20" s="67">
        <f>J16+J17+J18+J19</f>
        <v>53.729166666666671</v>
      </c>
      <c r="K20" s="68"/>
      <c r="L20" s="69"/>
      <c r="M20" s="41"/>
    </row>
    <row r="21" spans="1:13" ht="20.25" x14ac:dyDescent="0.25">
      <c r="A21" s="10">
        <f t="shared" ca="1" si="0"/>
        <v>46077.30052384259</v>
      </c>
      <c r="B21" s="58" t="s">
        <v>83</v>
      </c>
      <c r="C21" s="11">
        <v>0.30052083333333335</v>
      </c>
      <c r="D21" s="11" t="s">
        <v>84</v>
      </c>
      <c r="E21" s="11">
        <v>0.43050925925925926</v>
      </c>
      <c r="F21" s="12">
        <f t="shared" si="1"/>
        <v>3.1197222222222218</v>
      </c>
      <c r="G21" s="13">
        <f t="shared" si="2"/>
        <v>2.3322222222222306</v>
      </c>
      <c r="H21" s="13">
        <f t="shared" si="3"/>
        <v>0.78749999999999121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46077.504987962966</v>
      </c>
      <c r="B22" s="58" t="s">
        <v>82</v>
      </c>
      <c r="C22" s="11">
        <v>0.50498842592592597</v>
      </c>
      <c r="D22" s="11" t="s">
        <v>84</v>
      </c>
      <c r="E22" s="11">
        <v>0.63089120370370366</v>
      </c>
      <c r="F22" s="12">
        <f t="shared" si="1"/>
        <v>3.0216666666666647</v>
      </c>
      <c r="G22" s="13">
        <f t="shared" si="2"/>
        <v>3.0216666666666647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46077.75121412037</v>
      </c>
      <c r="B23" s="58" t="s">
        <v>83</v>
      </c>
      <c r="C23" s="11">
        <v>0.75120370370370371</v>
      </c>
      <c r="D23" s="11" t="s">
        <v>84</v>
      </c>
      <c r="E23" s="11">
        <v>0.83964120370370365</v>
      </c>
      <c r="F23" s="12">
        <f t="shared" si="1"/>
        <v>2.1224999999999987</v>
      </c>
      <c r="G23" s="13">
        <f t="shared" si="2"/>
        <v>2.1224999999999987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46080.959649884258</v>
      </c>
      <c r="B24" s="58" t="s">
        <v>85</v>
      </c>
      <c r="C24" s="11">
        <v>0.95964120370370365</v>
      </c>
      <c r="D24" s="11" t="s">
        <v>84</v>
      </c>
      <c r="E24" s="11">
        <v>1.6122685185185184E-2</v>
      </c>
      <c r="F24" s="12">
        <f t="shared" si="1"/>
        <v>1.355555555555557</v>
      </c>
      <c r="G24" s="13">
        <f t="shared" si="2"/>
        <v>0.96861111111111253</v>
      </c>
      <c r="H24" s="13">
        <f t="shared" si="3"/>
        <v>0.38694444444444442</v>
      </c>
      <c r="I24"/>
      <c r="J24"/>
    </row>
    <row r="25" spans="1:13" ht="18.75" x14ac:dyDescent="0.15">
      <c r="A25" s="10">
        <f t="shared" ca="1" si="0"/>
        <v>46081.016151041666</v>
      </c>
      <c r="B25" s="58" t="s">
        <v>83</v>
      </c>
      <c r="C25" s="11">
        <v>1.6145833333333335E-2</v>
      </c>
      <c r="D25" s="11" t="s">
        <v>84</v>
      </c>
      <c r="E25" s="11">
        <v>0.10981481481481481</v>
      </c>
      <c r="F25" s="12">
        <f t="shared" si="1"/>
        <v>2.2480555555555553</v>
      </c>
      <c r="G25" s="13">
        <f t="shared" si="2"/>
        <v>0</v>
      </c>
      <c r="H25" s="13">
        <f t="shared" si="3"/>
        <v>2.2480555555555553</v>
      </c>
      <c r="I25"/>
      <c r="J25"/>
    </row>
    <row r="26" spans="1:13" ht="18.75" x14ac:dyDescent="0.15">
      <c r="A26" s="10">
        <f t="shared" ca="1" si="0"/>
        <v>46081.751815856478</v>
      </c>
      <c r="B26" s="58" t="s">
        <v>85</v>
      </c>
      <c r="C26" s="11">
        <v>0.7518055555555555</v>
      </c>
      <c r="D26" s="11" t="s">
        <v>84</v>
      </c>
      <c r="E26" s="11">
        <v>0.83865740740740735</v>
      </c>
      <c r="F26" s="12">
        <f t="shared" si="1"/>
        <v>2.0844444444444443</v>
      </c>
      <c r="G26" s="13">
        <f t="shared" si="2"/>
        <v>2.0844444444444443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46081.959729166665</v>
      </c>
      <c r="B27" s="58" t="s">
        <v>86</v>
      </c>
      <c r="C27" s="11">
        <v>0.95972222222222225</v>
      </c>
      <c r="D27" s="11" t="s">
        <v>84</v>
      </c>
      <c r="E27" s="11">
        <v>0.96125000000000005</v>
      </c>
      <c r="F27" s="12">
        <f t="shared" si="1"/>
        <v>3.6666666666667069E-2</v>
      </c>
      <c r="G27" s="13">
        <f t="shared" si="2"/>
        <v>3.6666666666667069E-2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46054.29996365741</v>
      </c>
      <c r="B3" s="58" t="s">
        <v>83</v>
      </c>
      <c r="C3" s="11">
        <v>0.29995370370370372</v>
      </c>
      <c r="D3" s="11" t="s">
        <v>84</v>
      </c>
      <c r="E3" s="11">
        <v>0.36751157407407403</v>
      </c>
      <c r="F3" s="12">
        <f t="shared" ref="F3:F66" si="1">(IF(E3-C3&lt;0,"24:00"-C3+E3,E3-C3))*24</f>
        <v>1.6213888888888874</v>
      </c>
      <c r="G3" s="13">
        <f t="shared" ref="G3:G66" si="2">F3-H3</f>
        <v>0.82027777777778521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0.80111111111110223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46056.37652395833</v>
      </c>
      <c r="B4" s="58" t="s">
        <v>90</v>
      </c>
      <c r="C4" s="11">
        <v>0.3765162037037037</v>
      </c>
      <c r="D4" s="11" t="s">
        <v>84</v>
      </c>
      <c r="E4" s="11">
        <v>0.49027777777777781</v>
      </c>
      <c r="F4" s="12">
        <f t="shared" si="1"/>
        <v>2.7302777777777787</v>
      </c>
      <c r="G4" s="13">
        <f t="shared" si="2"/>
        <v>2.7302777777777787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33.480555555555554</v>
      </c>
      <c r="K4" s="23">
        <f>SUMIF(B:B,"西塔台管制席",G:G)+SUMIF(B:B,"东塔台管制席",G:G)</f>
        <v>11.241388888888899</v>
      </c>
      <c r="L4" s="23">
        <f>SUMIF(B:B,"西塔台管制席",H:H)+SUMIF(B:B,"东塔台管制席",H:H)</f>
        <v>22.239166666666662</v>
      </c>
      <c r="M4" s="19"/>
    </row>
    <row r="5" spans="1:16" ht="18.75" x14ac:dyDescent="0.25">
      <c r="A5" s="10">
        <f t="shared" ca="1" si="0"/>
        <v>46056.51124699074</v>
      </c>
      <c r="B5" s="58" t="s">
        <v>85</v>
      </c>
      <c r="C5" s="11">
        <v>0.51149305555555558</v>
      </c>
      <c r="D5" s="11" t="s">
        <v>84</v>
      </c>
      <c r="E5" s="11">
        <v>0.60524305555555558</v>
      </c>
      <c r="F5" s="12">
        <f t="shared" si="1"/>
        <v>2.25</v>
      </c>
      <c r="G5" s="13">
        <f t="shared" si="2"/>
        <v>2.25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17.528333333333332</v>
      </c>
      <c r="K5" s="23">
        <f>SUMIF(B:B,"西塔台协调席",G:G)+SUMIF(B:B,"东塔台协调席",G:G)</f>
        <v>14.196111111111119</v>
      </c>
      <c r="L5" s="23">
        <f>SUMIF(B:B,"西塔台协调席",H:H)+SUMIF(B:B,"东塔台协调席",H:H)</f>
        <v>3.3322222222222138</v>
      </c>
      <c r="M5" s="19"/>
    </row>
    <row r="6" spans="1:16" ht="18.75" x14ac:dyDescent="0.25">
      <c r="A6" s="10">
        <f t="shared" ca="1" si="0"/>
        <v>46056.605273379631</v>
      </c>
      <c r="B6" s="58" t="s">
        <v>90</v>
      </c>
      <c r="C6" s="11">
        <v>0.60526620370370365</v>
      </c>
      <c r="D6" s="11" t="s">
        <v>84</v>
      </c>
      <c r="E6" s="11">
        <v>0.63164351851851852</v>
      </c>
      <c r="F6" s="12">
        <f t="shared" si="1"/>
        <v>0.63305555555555681</v>
      </c>
      <c r="G6" s="13">
        <f t="shared" si="2"/>
        <v>0.63305555555555681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46056.959284259261</v>
      </c>
      <c r="B7" s="58" t="s">
        <v>86</v>
      </c>
      <c r="C7" s="11">
        <v>0.95928240740740733</v>
      </c>
      <c r="D7" s="11" t="s">
        <v>84</v>
      </c>
      <c r="E7" s="11">
        <v>0.11969907407407408</v>
      </c>
      <c r="F7" s="12">
        <f t="shared" si="1"/>
        <v>3.8500000000000023</v>
      </c>
      <c r="G7" s="13">
        <f t="shared" si="2"/>
        <v>0.97722222222222443</v>
      </c>
      <c r="H7" s="13">
        <f t="shared" si="3"/>
        <v>2.8727777777777779</v>
      </c>
      <c r="I7" s="21" t="s">
        <v>23</v>
      </c>
      <c r="J7" s="22">
        <f>SUMIF(B:B,"地面席",F:F)</f>
        <v>2.1019444444444444</v>
      </c>
      <c r="K7" s="23">
        <f>SUMIF(B:B,"地面席",G:G)</f>
        <v>0</v>
      </c>
      <c r="L7" s="23">
        <f>SUMIF(B:B,"地面席",H:H)</f>
        <v>2.1019444444444444</v>
      </c>
      <c r="M7" s="19"/>
    </row>
    <row r="8" spans="1:16" ht="18.75" x14ac:dyDescent="0.25">
      <c r="A8" s="10">
        <f t="shared" ca="1" si="0"/>
        <v>46058.141121990739</v>
      </c>
      <c r="B8" s="58" t="s">
        <v>86</v>
      </c>
      <c r="C8" s="11">
        <v>0.1411111111111111</v>
      </c>
      <c r="D8" s="11" t="s">
        <v>84</v>
      </c>
      <c r="E8" s="11">
        <v>0.30597222222222226</v>
      </c>
      <c r="F8" s="12">
        <f t="shared" si="1"/>
        <v>3.9566666666666679</v>
      </c>
      <c r="G8" s="13">
        <f t="shared" si="2"/>
        <v>0</v>
      </c>
      <c r="H8" s="13">
        <f t="shared" si="3"/>
        <v>3.9566666666666679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46061.140432060187</v>
      </c>
      <c r="B9" s="58" t="s">
        <v>83</v>
      </c>
      <c r="C9" s="11">
        <v>0.14042824074074076</v>
      </c>
      <c r="D9" s="11" t="s">
        <v>84</v>
      </c>
      <c r="E9" s="11">
        <v>0.30578703703703702</v>
      </c>
      <c r="F9" s="12">
        <f t="shared" si="1"/>
        <v>3.9686111111111106</v>
      </c>
      <c r="G9" s="13">
        <f t="shared" si="2"/>
        <v>0</v>
      </c>
      <c r="H9" s="13">
        <f t="shared" si="3"/>
        <v>3.9686111111111106</v>
      </c>
      <c r="I9" s="21" t="s">
        <v>76</v>
      </c>
      <c r="J9" s="22">
        <f>SUMIF(B:B,"航班调度席",F:F)</f>
        <v>3.3633333333333355</v>
      </c>
      <c r="K9" s="23">
        <f>SUMIF(B:B,"航班调度席",G:G)</f>
        <v>3.3633333333333355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46062.140075462965</v>
      </c>
      <c r="B10" s="58" t="s">
        <v>88</v>
      </c>
      <c r="C10" s="11">
        <v>0.14006944444444444</v>
      </c>
      <c r="D10" s="11" t="s">
        <v>84</v>
      </c>
      <c r="E10" s="11">
        <v>0.22765046296296296</v>
      </c>
      <c r="F10" s="12">
        <f t="shared" si="1"/>
        <v>2.1019444444444444</v>
      </c>
      <c r="G10" s="13">
        <f t="shared" si="2"/>
        <v>0</v>
      </c>
      <c r="H10" s="13">
        <f t="shared" si="3"/>
        <v>2.1019444444444444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46064.959335763888</v>
      </c>
      <c r="B11" s="58" t="s">
        <v>83</v>
      </c>
      <c r="C11" s="11">
        <v>0.9593287037037036</v>
      </c>
      <c r="D11" s="11" t="s">
        <v>84</v>
      </c>
      <c r="E11" s="11">
        <v>0.12979166666666667</v>
      </c>
      <c r="F11" s="12">
        <f t="shared" si="1"/>
        <v>4.0911111111111138</v>
      </c>
      <c r="G11" s="13">
        <f t="shared" si="2"/>
        <v>0.97611111111111359</v>
      </c>
      <c r="H11" s="13">
        <f t="shared" si="3"/>
        <v>3.1150000000000002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46066.014923958333</v>
      </c>
      <c r="B12" s="58" t="s">
        <v>85</v>
      </c>
      <c r="C12" s="11">
        <v>1.4918981481481483E-2</v>
      </c>
      <c r="D12" s="11" t="s">
        <v>84</v>
      </c>
      <c r="E12" s="11">
        <v>0.12005787037037037</v>
      </c>
      <c r="F12" s="12">
        <f t="shared" si="1"/>
        <v>2.5233333333333334</v>
      </c>
      <c r="G12" s="13">
        <f t="shared" si="2"/>
        <v>0</v>
      </c>
      <c r="H12" s="13">
        <f t="shared" si="3"/>
        <v>2.5233333333333334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46066.120092824072</v>
      </c>
      <c r="B13" s="58" t="s">
        <v>83</v>
      </c>
      <c r="C13" s="11">
        <v>0.12009259259259258</v>
      </c>
      <c r="D13" s="11" t="s">
        <v>84</v>
      </c>
      <c r="E13" s="11">
        <v>0.14356481481481481</v>
      </c>
      <c r="F13" s="12">
        <f t="shared" si="1"/>
        <v>0.56333333333333346</v>
      </c>
      <c r="G13" s="13">
        <f t="shared" si="2"/>
        <v>0</v>
      </c>
      <c r="H13" s="13">
        <f t="shared" si="3"/>
        <v>0.56333333333333346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46068.355543287034</v>
      </c>
      <c r="B14" s="58" t="s">
        <v>83</v>
      </c>
      <c r="C14" s="11">
        <v>0.35553240740740738</v>
      </c>
      <c r="D14" s="11" t="s">
        <v>84</v>
      </c>
      <c r="E14" s="11">
        <v>0.46372685185185186</v>
      </c>
      <c r="F14" s="12">
        <f t="shared" si="1"/>
        <v>2.5966666666666676</v>
      </c>
      <c r="G14" s="13">
        <f t="shared" si="2"/>
        <v>2.5966666666666676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 t="s">
        <v>93</v>
      </c>
      <c r="F15" s="12" t="e">
        <f t="shared" si="1"/>
        <v>#VALUE!</v>
      </c>
      <c r="G15" s="13" t="e">
        <f t="shared" si="2"/>
        <v>#VALUE!</v>
      </c>
      <c r="H15" s="13" t="e">
        <f t="shared" si="3"/>
        <v>#VALUE!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46068.752190624997</v>
      </c>
      <c r="B16" s="58" t="s">
        <v>82</v>
      </c>
      <c r="C16" s="11">
        <v>0.75259259259259259</v>
      </c>
      <c r="D16" s="11" t="s">
        <v>84</v>
      </c>
      <c r="E16" s="11">
        <v>0.78281250000000002</v>
      </c>
      <c r="F16" s="12">
        <f t="shared" si="1"/>
        <v>0.72527777777777835</v>
      </c>
      <c r="G16" s="13">
        <f t="shared" si="2"/>
        <v>0.72527777777777835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46068.796354861108</v>
      </c>
      <c r="B17" s="58" t="s">
        <v>82</v>
      </c>
      <c r="C17" s="11">
        <v>0.7963541666666667</v>
      </c>
      <c r="D17" s="11" t="s">
        <v>84</v>
      </c>
      <c r="E17" s="11">
        <v>0.8383449074074073</v>
      </c>
      <c r="F17" s="12">
        <f t="shared" si="1"/>
        <v>1.0077777777777746</v>
      </c>
      <c r="G17" s="13">
        <f t="shared" si="2"/>
        <v>1.0077777777777746</v>
      </c>
      <c r="H17" s="13">
        <f t="shared" si="3"/>
        <v>0</v>
      </c>
      <c r="I17" s="35" t="s">
        <v>29</v>
      </c>
      <c r="J17" s="36">
        <f>J4+J5+J6+J7+J10</f>
        <v>53.110833333333332</v>
      </c>
      <c r="K17" s="37">
        <f>K4+K5+K6+K7+K10</f>
        <v>25.437500000000018</v>
      </c>
      <c r="L17" s="38">
        <f>L4+L5+L6+L7+L10</f>
        <v>27.673333333333321</v>
      </c>
      <c r="M17" s="39"/>
    </row>
    <row r="18" spans="1:13" ht="20.25" x14ac:dyDescent="0.25">
      <c r="A18" s="10">
        <f t="shared" ca="1" si="0"/>
        <v>46068.961654976854</v>
      </c>
      <c r="B18" s="58" t="s">
        <v>83</v>
      </c>
      <c r="C18" s="11">
        <v>0.96165509259259263</v>
      </c>
      <c r="D18" s="11" t="s">
        <v>84</v>
      </c>
      <c r="E18" s="11">
        <v>0.14384259259259261</v>
      </c>
      <c r="F18" s="12">
        <f t="shared" si="1"/>
        <v>4.3724999999999996</v>
      </c>
      <c r="G18" s="13">
        <f t="shared" si="2"/>
        <v>0.92027777777777686</v>
      </c>
      <c r="H18" s="13">
        <f t="shared" si="3"/>
        <v>3.4522222222222227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46069.584707175927</v>
      </c>
      <c r="B19" s="58" t="s">
        <v>82</v>
      </c>
      <c r="C19" s="11">
        <v>0.58469907407407407</v>
      </c>
      <c r="D19" s="11" t="s">
        <v>84</v>
      </c>
      <c r="E19" s="11">
        <v>0.75501157407407404</v>
      </c>
      <c r="F19" s="12">
        <f t="shared" si="1"/>
        <v>4.0874999999999995</v>
      </c>
      <c r="G19" s="13">
        <f t="shared" si="2"/>
        <v>4.0874999999999995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46077.418541782405</v>
      </c>
      <c r="B20" s="58" t="s">
        <v>82</v>
      </c>
      <c r="C20" s="11">
        <v>0.41854166666666665</v>
      </c>
      <c r="D20" s="11" t="s">
        <v>84</v>
      </c>
      <c r="E20" s="11">
        <v>0.51108796296296299</v>
      </c>
      <c r="F20" s="12">
        <f t="shared" si="1"/>
        <v>2.2211111111111124</v>
      </c>
      <c r="G20" s="13">
        <f t="shared" si="2"/>
        <v>2.2211111111111124</v>
      </c>
      <c r="H20" s="13">
        <f t="shared" si="3"/>
        <v>0</v>
      </c>
      <c r="I20" s="40" t="s">
        <v>31</v>
      </c>
      <c r="J20" s="67">
        <f>J16+J17+J18+J19</f>
        <v>53.110833333333332</v>
      </c>
      <c r="K20" s="68"/>
      <c r="L20" s="69"/>
      <c r="M20" s="41"/>
    </row>
    <row r="21" spans="1:13" ht="20.25" x14ac:dyDescent="0.25">
      <c r="A21" s="10">
        <f t="shared" ca="1" si="0"/>
        <v>46077.627550347221</v>
      </c>
      <c r="B21" s="58" t="s">
        <v>83</v>
      </c>
      <c r="C21" s="11">
        <v>0.62769675925925927</v>
      </c>
      <c r="D21" s="11" t="s">
        <v>84</v>
      </c>
      <c r="E21" s="11">
        <v>0.75505787037037031</v>
      </c>
      <c r="F21" s="12">
        <f t="shared" si="1"/>
        <v>3.0566666666666649</v>
      </c>
      <c r="G21" s="13">
        <f t="shared" si="2"/>
        <v>3.0566666666666649</v>
      </c>
      <c r="H21" s="13">
        <f t="shared" si="3"/>
        <v>0</v>
      </c>
      <c r="I21" s="53" t="s">
        <v>78</v>
      </c>
      <c r="J21" s="54">
        <f>SUM(J8:J9)</f>
        <v>3.3633333333333355</v>
      </c>
      <c r="K21" s="37">
        <f>SUM(K8:K9)</f>
        <v>3.3633333333333355</v>
      </c>
      <c r="L21" s="38">
        <f>SUM(L8:L9)</f>
        <v>0</v>
      </c>
      <c r="M21" s="46"/>
    </row>
    <row r="22" spans="1:13" ht="18.75" x14ac:dyDescent="0.15">
      <c r="A22" s="10">
        <f t="shared" ca="1" si="0"/>
        <v>46077.833471527774</v>
      </c>
      <c r="B22" s="58" t="s">
        <v>82</v>
      </c>
      <c r="C22" s="11">
        <v>0.83346064814814813</v>
      </c>
      <c r="D22" s="11" t="s">
        <v>84</v>
      </c>
      <c r="E22" s="11">
        <v>0.9651967592592593</v>
      </c>
      <c r="F22" s="12">
        <f t="shared" si="1"/>
        <v>3.161666666666668</v>
      </c>
      <c r="G22" s="13">
        <f t="shared" si="2"/>
        <v>3.161666666666668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46078.299631018519</v>
      </c>
      <c r="B23" s="58" t="s">
        <v>85</v>
      </c>
      <c r="C23" s="11">
        <v>0.29962962962962963</v>
      </c>
      <c r="D23" s="11" t="s">
        <v>84</v>
      </c>
      <c r="E23" s="11">
        <v>0.36428240740740742</v>
      </c>
      <c r="F23" s="12">
        <f t="shared" si="1"/>
        <v>1.5516666666666667</v>
      </c>
      <c r="G23" s="13">
        <f t="shared" si="2"/>
        <v>0.74277777777778642</v>
      </c>
      <c r="H23" s="13">
        <f t="shared" si="3"/>
        <v>0.80888888888888033</v>
      </c>
      <c r="I23"/>
      <c r="J23"/>
    </row>
    <row r="24" spans="1:13" ht="18.75" x14ac:dyDescent="0.15">
      <c r="A24" s="10">
        <f t="shared" ca="1" si="0"/>
        <v>46080.959459259262</v>
      </c>
      <c r="B24" s="58" t="s">
        <v>86</v>
      </c>
      <c r="C24" s="11">
        <v>0.95953703703703708</v>
      </c>
      <c r="D24" s="11" t="s">
        <v>84</v>
      </c>
      <c r="E24" s="11">
        <v>0.14622685185185186</v>
      </c>
      <c r="F24" s="12">
        <f t="shared" si="1"/>
        <v>4.4805555555555543</v>
      </c>
      <c r="G24" s="13">
        <f t="shared" si="2"/>
        <v>0.9711111111111097</v>
      </c>
      <c r="H24" s="13">
        <f t="shared" si="3"/>
        <v>3.5094444444444446</v>
      </c>
      <c r="I24"/>
      <c r="J24"/>
    </row>
    <row r="25" spans="1:13" ht="18.75" x14ac:dyDescent="0.15">
      <c r="A25" s="10">
        <f t="shared" ca="1" si="0"/>
        <v>46081.961425694448</v>
      </c>
      <c r="B25" s="58" t="s">
        <v>86</v>
      </c>
      <c r="C25" s="11">
        <v>0.96142361111111108</v>
      </c>
      <c r="D25" s="11" t="s">
        <v>84</v>
      </c>
      <c r="E25" s="11">
        <v>0.99988425925925928</v>
      </c>
      <c r="F25" s="12">
        <f t="shared" si="1"/>
        <v>0.92305555555555685</v>
      </c>
      <c r="G25" s="13">
        <f t="shared" si="2"/>
        <v>0.92305555555555685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46054.133156597221</v>
      </c>
      <c r="B3" s="58" t="s">
        <v>81</v>
      </c>
      <c r="C3" s="11">
        <v>0.13314814814814815</v>
      </c>
      <c r="D3" s="11" t="s">
        <v>84</v>
      </c>
      <c r="E3" s="11">
        <v>0.30018518518518517</v>
      </c>
      <c r="F3" s="12">
        <f t="shared" ref="F3:F66" si="1">(IF(E3-C3&lt;0,"24:00"-C3+E3,E3-C3))*24</f>
        <v>4.0088888888888885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4.0088888888888885</v>
      </c>
      <c r="I3" s="16" t="s">
        <v>19</v>
      </c>
      <c r="J3" s="17">
        <f>SUMIF(B:B,"带班主任",F:F)</f>
        <v>98.556666666666672</v>
      </c>
      <c r="K3" s="18">
        <f>SUMIF(B:B,"带班主任",G:G)</f>
        <v>64.549166666666707</v>
      </c>
      <c r="L3" s="18">
        <f>SUMIF(B:B,"带班主任",H:H)</f>
        <v>34.007499999999965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46056.5436505787</v>
      </c>
      <c r="B4" s="58" t="s">
        <v>81</v>
      </c>
      <c r="C4" s="11">
        <v>0.54364583333333327</v>
      </c>
      <c r="D4" s="11" t="s">
        <v>84</v>
      </c>
      <c r="E4" s="11">
        <v>0.80018518518518522</v>
      </c>
      <c r="F4" s="12">
        <f t="shared" si="1"/>
        <v>6.1569444444444468</v>
      </c>
      <c r="G4" s="13">
        <f t="shared" si="2"/>
        <v>6.1569444444444468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46057.13173912037</v>
      </c>
      <c r="B5" s="58" t="s">
        <v>81</v>
      </c>
      <c r="C5" s="11">
        <v>0.13173611111111111</v>
      </c>
      <c r="D5" s="11" t="s">
        <v>84</v>
      </c>
      <c r="E5" s="11">
        <v>0.29875000000000002</v>
      </c>
      <c r="F5" s="12">
        <f t="shared" si="1"/>
        <v>4.0083333333333337</v>
      </c>
      <c r="G5" s="13">
        <f t="shared" si="2"/>
        <v>0</v>
      </c>
      <c r="H5" s="13">
        <f t="shared" si="3"/>
        <v>4.0083333333333337</v>
      </c>
      <c r="I5" s="21" t="s">
        <v>21</v>
      </c>
      <c r="J5" s="22">
        <f>SUMIF(B:B,"西塔台协调席",F:F)+SUMIF(B:B,"东塔台协调席",F:F)</f>
        <v>2.0727777777777825</v>
      </c>
      <c r="K5" s="23">
        <f>SUMIF(B:B,"西塔台协调席",G:G)+SUMIF(B:B,"东塔台协调席",G:G)</f>
        <v>2.8333333333337762E-2</v>
      </c>
      <c r="L5" s="23">
        <f>SUMIF(B:B,"西塔台协调席",H:H)+SUMIF(B:B,"东塔台协调席",H:H)</f>
        <v>2.0444444444444447</v>
      </c>
      <c r="M5" s="19"/>
    </row>
    <row r="6" spans="1:16" ht="18.75" x14ac:dyDescent="0.25">
      <c r="A6" s="10">
        <f t="shared" ca="1" si="0"/>
        <v>46057.79111111111</v>
      </c>
      <c r="B6" s="58" t="s">
        <v>81</v>
      </c>
      <c r="C6" s="11">
        <v>0.79111111111111121</v>
      </c>
      <c r="D6" s="11" t="s">
        <v>84</v>
      </c>
      <c r="E6" s="11">
        <v>0.94380787037037039</v>
      </c>
      <c r="F6" s="12">
        <f t="shared" si="1"/>
        <v>3.6647222222222204</v>
      </c>
      <c r="G6" s="13">
        <f t="shared" si="2"/>
        <v>3.6647222222222204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46058.293394328706</v>
      </c>
      <c r="B7" s="58" t="s">
        <v>81</v>
      </c>
      <c r="C7" s="11">
        <v>0.2933912037037037</v>
      </c>
      <c r="D7" s="11" t="s">
        <v>84</v>
      </c>
      <c r="E7" s="11">
        <v>0.36243055555555559</v>
      </c>
      <c r="F7" s="12">
        <f t="shared" si="1"/>
        <v>1.6569444444444454</v>
      </c>
      <c r="G7" s="13">
        <f t="shared" si="2"/>
        <v>0.69833333333334258</v>
      </c>
      <c r="H7" s="13">
        <f t="shared" si="3"/>
        <v>0.95861111111110286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46060.353595717592</v>
      </c>
      <c r="B8" s="58" t="s">
        <v>81</v>
      </c>
      <c r="C8" s="11">
        <v>0.35358796296296297</v>
      </c>
      <c r="D8" s="11" t="s">
        <v>84</v>
      </c>
      <c r="E8" s="11">
        <v>0.55065972222222215</v>
      </c>
      <c r="F8" s="12">
        <f t="shared" si="1"/>
        <v>4.7297222222222199</v>
      </c>
      <c r="G8" s="13">
        <f t="shared" si="2"/>
        <v>4.7297222222222199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46060.791858449076</v>
      </c>
      <c r="B9" s="58" t="s">
        <v>81</v>
      </c>
      <c r="C9" s="11">
        <v>0.79185185185185192</v>
      </c>
      <c r="D9" s="11" t="s">
        <v>84</v>
      </c>
      <c r="E9" s="11">
        <v>0.94784722222222229</v>
      </c>
      <c r="F9" s="12">
        <f t="shared" si="1"/>
        <v>3.7438888888888888</v>
      </c>
      <c r="G9" s="13">
        <f t="shared" si="2"/>
        <v>3.7438888888888888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46061.29363738426</v>
      </c>
      <c r="B10" s="58" t="s">
        <v>81</v>
      </c>
      <c r="C10" s="11">
        <v>0.29363425925925929</v>
      </c>
      <c r="D10" s="11" t="s">
        <v>84</v>
      </c>
      <c r="E10" s="11">
        <v>0.55045138888888889</v>
      </c>
      <c r="F10" s="12">
        <f t="shared" si="1"/>
        <v>6.1636111111111109</v>
      </c>
      <c r="G10" s="13">
        <f t="shared" si="2"/>
        <v>5.2108333333333423</v>
      </c>
      <c r="H10" s="13">
        <f t="shared" si="3"/>
        <v>0.95277777777776862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46061.935464467591</v>
      </c>
      <c r="B11" s="58" t="s">
        <v>81</v>
      </c>
      <c r="C11" s="11">
        <v>0.93546296296296294</v>
      </c>
      <c r="D11" s="11" t="s">
        <v>84</v>
      </c>
      <c r="E11" s="11">
        <v>0.14039351851851853</v>
      </c>
      <c r="F11" s="12">
        <f t="shared" si="1"/>
        <v>4.9183333333333339</v>
      </c>
      <c r="G11" s="13">
        <f t="shared" si="2"/>
        <v>1.5488888888888894</v>
      </c>
      <c r="H11" s="13">
        <f t="shared" si="3"/>
        <v>3.3694444444444445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46064.540668865739</v>
      </c>
      <c r="B12" s="58" t="s">
        <v>81</v>
      </c>
      <c r="C12" s="11">
        <v>0.54065972222222225</v>
      </c>
      <c r="D12" s="11" t="s">
        <v>84</v>
      </c>
      <c r="E12" s="11">
        <v>0.7976967592592592</v>
      </c>
      <c r="F12" s="12">
        <f t="shared" si="1"/>
        <v>6.1688888888888869</v>
      </c>
      <c r="G12" s="13">
        <f t="shared" si="2"/>
        <v>6.1688888888888869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46065.13305960648</v>
      </c>
      <c r="B13" s="58" t="s">
        <v>81</v>
      </c>
      <c r="C13" s="11">
        <v>0.13305555555555557</v>
      </c>
      <c r="D13" s="11" t="s">
        <v>84</v>
      </c>
      <c r="E13" s="11">
        <v>0.30027777777777781</v>
      </c>
      <c r="F13" s="12">
        <f t="shared" si="1"/>
        <v>4.0133333333333336</v>
      </c>
      <c r="G13" s="13">
        <f t="shared" si="2"/>
        <v>0</v>
      </c>
      <c r="H13" s="13">
        <f t="shared" si="3"/>
        <v>4.0133333333333336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46065.793278356483</v>
      </c>
      <c r="B14" s="58" t="s">
        <v>81</v>
      </c>
      <c r="C14" s="11">
        <v>0.79327546296296303</v>
      </c>
      <c r="D14" s="11" t="s">
        <v>84</v>
      </c>
      <c r="E14" s="11">
        <v>0.9439467592592593</v>
      </c>
      <c r="F14" s="12">
        <f t="shared" si="1"/>
        <v>3.6161111111111106</v>
      </c>
      <c r="G14" s="13">
        <f t="shared" si="2"/>
        <v>3.6161111111111106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46066.296032754632</v>
      </c>
      <c r="B15" s="58" t="s">
        <v>81</v>
      </c>
      <c r="C15" s="11">
        <v>0.29255787037037034</v>
      </c>
      <c r="D15" s="11" t="s">
        <v>84</v>
      </c>
      <c r="E15" s="11">
        <v>0.3596064814814815</v>
      </c>
      <c r="F15" s="12">
        <f t="shared" si="1"/>
        <v>1.6091666666666677</v>
      </c>
      <c r="G15" s="13">
        <f t="shared" si="2"/>
        <v>0.63055555555556442</v>
      </c>
      <c r="H15" s="13">
        <f t="shared" si="3"/>
        <v>0.97861111111110333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46068.939309259258</v>
      </c>
      <c r="B16" s="58" t="s">
        <v>81</v>
      </c>
      <c r="C16" s="11">
        <v>0.9393055555555555</v>
      </c>
      <c r="D16" s="11" t="s">
        <v>84</v>
      </c>
      <c r="E16" s="11">
        <v>7.7928240740740742E-2</v>
      </c>
      <c r="F16" s="12">
        <f t="shared" si="1"/>
        <v>3.3269444444444454</v>
      </c>
      <c r="G16" s="13">
        <f t="shared" si="2"/>
        <v>1.4566666666666674</v>
      </c>
      <c r="H16" s="13">
        <f t="shared" si="3"/>
        <v>1.8702777777777779</v>
      </c>
      <c r="I16" s="35" t="s">
        <v>19</v>
      </c>
      <c r="J16" s="36">
        <f t="shared" ref="J16:L16" si="4">J3</f>
        <v>98.556666666666672</v>
      </c>
      <c r="K16" s="37">
        <f t="shared" si="4"/>
        <v>64.549166666666707</v>
      </c>
      <c r="L16" s="38">
        <f t="shared" si="4"/>
        <v>34.007499999999965</v>
      </c>
      <c r="M16" s="39"/>
    </row>
    <row r="17" spans="1:13" ht="20.25" x14ac:dyDescent="0.25">
      <c r="A17" s="10">
        <f t="shared" ca="1" si="0"/>
        <v>46069.107371296297</v>
      </c>
      <c r="B17" s="58" t="s">
        <v>81</v>
      </c>
      <c r="C17" s="11">
        <v>0.10736111111111112</v>
      </c>
      <c r="D17" s="11" t="s">
        <v>84</v>
      </c>
      <c r="E17" s="11">
        <v>0.14078703703703704</v>
      </c>
      <c r="F17" s="12">
        <f t="shared" si="1"/>
        <v>0.80222222222222228</v>
      </c>
      <c r="G17" s="13">
        <f t="shared" si="2"/>
        <v>0</v>
      </c>
      <c r="H17" s="13">
        <f t="shared" si="3"/>
        <v>0.80222222222222228</v>
      </c>
      <c r="I17" s="35" t="s">
        <v>29</v>
      </c>
      <c r="J17" s="36">
        <f>J4+J5+J6+J7+J10</f>
        <v>2.0727777777777825</v>
      </c>
      <c r="K17" s="37">
        <f>K4+K5+K6+K7+K10</f>
        <v>2.8333333333337762E-2</v>
      </c>
      <c r="L17" s="38">
        <f>L4+L5+L6+L7+L10</f>
        <v>2.0444444444444447</v>
      </c>
      <c r="M17" s="39"/>
    </row>
    <row r="18" spans="1:13" ht="20.25" x14ac:dyDescent="0.25">
      <c r="A18" s="10">
        <f t="shared" ca="1" si="0"/>
        <v>46069.543073842593</v>
      </c>
      <c r="B18" s="58" t="s">
        <v>81</v>
      </c>
      <c r="C18" s="11">
        <v>0.54306712962962966</v>
      </c>
      <c r="D18" s="11" t="s">
        <v>84</v>
      </c>
      <c r="E18" s="11">
        <v>0.56372685185185178</v>
      </c>
      <c r="F18" s="12">
        <f t="shared" si="1"/>
        <v>0.49583333333333091</v>
      </c>
      <c r="G18" s="13">
        <f t="shared" si="2"/>
        <v>0.49583333333333091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46069.595873379629</v>
      </c>
      <c r="B19" s="58" t="s">
        <v>81</v>
      </c>
      <c r="C19" s="11">
        <v>0.59586805555555555</v>
      </c>
      <c r="D19" s="11" t="s">
        <v>84</v>
      </c>
      <c r="E19" s="11">
        <v>0.67693287037037031</v>
      </c>
      <c r="F19" s="12">
        <f t="shared" si="1"/>
        <v>1.9455555555555542</v>
      </c>
      <c r="G19" s="13">
        <f t="shared" si="2"/>
        <v>1.9455555555555542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46069.732400347224</v>
      </c>
      <c r="B20" s="58" t="s">
        <v>81</v>
      </c>
      <c r="C20" s="11">
        <v>0.73239583333333336</v>
      </c>
      <c r="D20" s="11" t="s">
        <v>84</v>
      </c>
      <c r="E20" s="11">
        <v>0.79533564814814817</v>
      </c>
      <c r="F20" s="12">
        <f t="shared" si="1"/>
        <v>1.5105555555555554</v>
      </c>
      <c r="G20" s="13">
        <f t="shared" si="2"/>
        <v>1.5105555555555554</v>
      </c>
      <c r="H20" s="13">
        <f t="shared" si="3"/>
        <v>0</v>
      </c>
      <c r="I20" s="40" t="s">
        <v>31</v>
      </c>
      <c r="J20" s="67">
        <f>J16+J17+J18+J19</f>
        <v>100.62944444444446</v>
      </c>
      <c r="K20" s="68"/>
      <c r="L20" s="69"/>
      <c r="M20" s="41"/>
    </row>
    <row r="21" spans="1:13" ht="20.25" x14ac:dyDescent="0.25">
      <c r="A21" s="10">
        <f t="shared" ca="1" si="0"/>
        <v>46069.939090972221</v>
      </c>
      <c r="B21" s="58" t="s">
        <v>81</v>
      </c>
      <c r="C21" s="11">
        <v>0.9390856481481481</v>
      </c>
      <c r="D21" s="11" t="s">
        <v>84</v>
      </c>
      <c r="E21" s="11">
        <v>6.4259259259259252E-2</v>
      </c>
      <c r="F21" s="12">
        <f t="shared" si="1"/>
        <v>3.0041666666666673</v>
      </c>
      <c r="G21" s="13">
        <f t="shared" si="2"/>
        <v>1.4619444444444452</v>
      </c>
      <c r="H21" s="13">
        <f t="shared" si="3"/>
        <v>1.5422222222222222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46070.07402777778</v>
      </c>
      <c r="B22" s="58" t="s">
        <v>81</v>
      </c>
      <c r="C22" s="11">
        <v>7.402777777777779E-2</v>
      </c>
      <c r="D22" s="11" t="s">
        <v>84</v>
      </c>
      <c r="E22" s="11">
        <v>0.14146990740740742</v>
      </c>
      <c r="F22" s="12">
        <f t="shared" si="1"/>
        <v>1.618611111111111</v>
      </c>
      <c r="G22" s="13">
        <f t="shared" si="2"/>
        <v>0</v>
      </c>
      <c r="H22" s="13">
        <f t="shared" si="3"/>
        <v>1.618611111111111</v>
      </c>
      <c r="I22"/>
      <c r="J22"/>
    </row>
    <row r="23" spans="1:13" ht="18.75" x14ac:dyDescent="0.15">
      <c r="A23" s="10">
        <f t="shared" ca="1" si="0"/>
        <v>46073.140296874997</v>
      </c>
      <c r="B23" s="58" t="s">
        <v>82</v>
      </c>
      <c r="C23" s="11">
        <v>0.14028935185185185</v>
      </c>
      <c r="D23" s="11" t="s">
        <v>84</v>
      </c>
      <c r="E23" s="11">
        <v>0.22547453703703704</v>
      </c>
      <c r="F23" s="12">
        <f t="shared" si="1"/>
        <v>2.0444444444444447</v>
      </c>
      <c r="G23" s="13">
        <f t="shared" si="2"/>
        <v>0</v>
      </c>
      <c r="H23" s="13">
        <f t="shared" si="3"/>
        <v>2.0444444444444447</v>
      </c>
      <c r="I23"/>
      <c r="J23"/>
    </row>
    <row r="24" spans="1:13" ht="18.75" x14ac:dyDescent="0.15">
      <c r="A24" s="10">
        <f t="shared" ca="1" si="0"/>
        <v>46073.751751620373</v>
      </c>
      <c r="B24" s="58" t="s">
        <v>82</v>
      </c>
      <c r="C24" s="11">
        <v>0.75174768518518509</v>
      </c>
      <c r="D24" s="11" t="s">
        <v>84</v>
      </c>
      <c r="E24" s="11">
        <v>0.75292824074074083</v>
      </c>
      <c r="F24" s="12">
        <f t="shared" si="1"/>
        <v>2.8333333333337762E-2</v>
      </c>
      <c r="G24" s="13">
        <f t="shared" si="2"/>
        <v>2.8333333333337762E-2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46074.230271064815</v>
      </c>
      <c r="B25" s="58" t="s">
        <v>81</v>
      </c>
      <c r="C25" s="11">
        <v>0.23026620370370368</v>
      </c>
      <c r="D25" s="11" t="s">
        <v>84</v>
      </c>
      <c r="E25" s="11">
        <v>0.29656250000000001</v>
      </c>
      <c r="F25" s="12">
        <f t="shared" si="1"/>
        <v>1.5911111111111118</v>
      </c>
      <c r="G25" s="13">
        <f t="shared" si="2"/>
        <v>0</v>
      </c>
      <c r="H25" s="13">
        <f t="shared" si="3"/>
        <v>1.5911111111111118</v>
      </c>
      <c r="I25"/>
      <c r="J25"/>
    </row>
    <row r="26" spans="1:13" ht="18.75" x14ac:dyDescent="0.15">
      <c r="A26" s="10">
        <f t="shared" ca="1" si="0"/>
        <v>46076.354338657409</v>
      </c>
      <c r="B26" s="58" t="s">
        <v>81</v>
      </c>
      <c r="C26" s="11">
        <v>0.35432870370370373</v>
      </c>
      <c r="D26" s="11" t="s">
        <v>84</v>
      </c>
      <c r="E26" s="11">
        <v>0.52711805555555558</v>
      </c>
      <c r="F26" s="12">
        <f t="shared" si="1"/>
        <v>4.1469444444444443</v>
      </c>
      <c r="G26" s="13">
        <f t="shared" si="2"/>
        <v>4.1469444444444443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46076.555335532408</v>
      </c>
      <c r="B27" s="58" t="s">
        <v>81</v>
      </c>
      <c r="C27" s="11">
        <v>0.55533564814814818</v>
      </c>
      <c r="D27" s="11" t="s">
        <v>84</v>
      </c>
      <c r="E27" s="11">
        <v>0.59043981481481478</v>
      </c>
      <c r="F27" s="12">
        <f t="shared" si="1"/>
        <v>0.84249999999999847</v>
      </c>
      <c r="G27" s="13">
        <f t="shared" si="2"/>
        <v>0.84249999999999847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46076.79261261574</v>
      </c>
      <c r="B28" s="58" t="s">
        <v>81</v>
      </c>
      <c r="C28" s="11">
        <v>0.79260416666666667</v>
      </c>
      <c r="D28" s="11" t="s">
        <v>84</v>
      </c>
      <c r="E28" s="11">
        <v>0.94672453703703707</v>
      </c>
      <c r="F28" s="12">
        <f t="shared" si="1"/>
        <v>3.6988888888888898</v>
      </c>
      <c r="G28" s="13">
        <f t="shared" si="2"/>
        <v>3.6988888888888898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46077.293080208336</v>
      </c>
      <c r="B29" s="58" t="s">
        <v>81</v>
      </c>
      <c r="C29" s="11">
        <v>0.2930787037037037</v>
      </c>
      <c r="D29" s="11" t="s">
        <v>84</v>
      </c>
      <c r="E29" s="11">
        <v>0.54951388888888886</v>
      </c>
      <c r="F29" s="12">
        <f t="shared" si="1"/>
        <v>6.1544444444444437</v>
      </c>
      <c r="G29" s="13">
        <f t="shared" si="2"/>
        <v>5.1883333333333415</v>
      </c>
      <c r="H29" s="13">
        <f t="shared" si="3"/>
        <v>0.9661111111111027</v>
      </c>
      <c r="I29"/>
      <c r="J29"/>
    </row>
    <row r="30" spans="1:13" ht="18.75" x14ac:dyDescent="0.15">
      <c r="A30" s="10">
        <f t="shared" ca="1" si="0"/>
        <v>46077.938787384257</v>
      </c>
      <c r="B30" s="58" t="s">
        <v>81</v>
      </c>
      <c r="C30" s="11">
        <v>0.9387847222222222</v>
      </c>
      <c r="D30" s="11" t="s">
        <v>84</v>
      </c>
      <c r="E30" s="11">
        <v>0.13891203703703703</v>
      </c>
      <c r="F30" s="12">
        <f t="shared" si="1"/>
        <v>4.8030555555555559</v>
      </c>
      <c r="G30" s="13">
        <f t="shared" si="2"/>
        <v>1.4691666666666672</v>
      </c>
      <c r="H30" s="13">
        <f t="shared" si="3"/>
        <v>3.3338888888888887</v>
      </c>
      <c r="I30"/>
      <c r="J30"/>
    </row>
    <row r="31" spans="1:13" ht="18.75" x14ac:dyDescent="0.15">
      <c r="A31" s="10">
        <f t="shared" ca="1" si="0"/>
        <v>46080.541822685183</v>
      </c>
      <c r="B31" s="58" t="s">
        <v>81</v>
      </c>
      <c r="C31" s="11">
        <v>0.54181712962962958</v>
      </c>
      <c r="D31" s="11" t="s">
        <v>84</v>
      </c>
      <c r="E31" s="11">
        <v>0.79864583333333339</v>
      </c>
      <c r="F31" s="12">
        <f t="shared" si="1"/>
        <v>6.1638888888888914</v>
      </c>
      <c r="G31" s="13">
        <f t="shared" si="2"/>
        <v>6.1638888888888914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46081.131368750001</v>
      </c>
      <c r="B32" s="58" t="s">
        <v>81</v>
      </c>
      <c r="C32" s="11">
        <v>0.13136574074074073</v>
      </c>
      <c r="D32" s="11" t="s">
        <v>84</v>
      </c>
      <c r="E32" s="11">
        <v>0.29774305555555552</v>
      </c>
      <c r="F32" s="12">
        <f t="shared" si="1"/>
        <v>3.9930555555555554</v>
      </c>
      <c r="G32" s="13">
        <f t="shared" si="2"/>
        <v>0</v>
      </c>
      <c r="H32" s="13">
        <f t="shared" si="3"/>
        <v>3.9930555555555554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38"/>
  <sheetViews>
    <sheetView zoomScale="85" zoomScaleNormal="85" workbookViewId="0">
      <selection activeCell="D22" sqref="D2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46054.006904050926</v>
      </c>
      <c r="B3" s="58" t="s">
        <v>82</v>
      </c>
      <c r="C3" s="11">
        <v>6.9444444444444444E-5</v>
      </c>
      <c r="D3" s="11" t="s">
        <v>84</v>
      </c>
      <c r="E3" s="11">
        <v>0.11311342592592592</v>
      </c>
      <c r="F3" s="12">
        <f t="shared" ref="F3:F66" si="1">(IF(E3-C3&lt;0,"24:00"-C3+E3,E3-C3))*24</f>
        <v>2.7130555555555556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2.7130555555555556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46057.13932696759</v>
      </c>
      <c r="B4" s="58" t="s">
        <v>86</v>
      </c>
      <c r="C4" s="11">
        <v>0.13931712962962964</v>
      </c>
      <c r="D4" s="11" t="s">
        <v>84</v>
      </c>
      <c r="E4" s="11">
        <v>0.25806712962962963</v>
      </c>
      <c r="F4" s="12">
        <f t="shared" si="1"/>
        <v>2.8499999999999996</v>
      </c>
      <c r="G4" s="13">
        <f t="shared" si="2"/>
        <v>0</v>
      </c>
      <c r="H4" s="13">
        <f t="shared" si="3"/>
        <v>2.8499999999999996</v>
      </c>
      <c r="I4" s="21" t="s">
        <v>20</v>
      </c>
      <c r="J4" s="22">
        <f>SUMIF(B:B,"西塔台管制席",F:F)+SUMIF(B:B,"东塔台管制席",F:F)</f>
        <v>21.061111111111106</v>
      </c>
      <c r="K4" s="23">
        <f>SUMIF(B:B,"西塔台管制席",G:G)+SUMIF(B:B,"东塔台管制席",G:G)</f>
        <v>7.000277777777784</v>
      </c>
      <c r="L4" s="23">
        <f>SUMIF(B:B,"西塔台管制席",H:H)+SUMIF(B:B,"东塔台管制席",H:H)</f>
        <v>14.060833333333324</v>
      </c>
      <c r="M4" s="19"/>
    </row>
    <row r="5" spans="1:16" ht="18.75" x14ac:dyDescent="0.25">
      <c r="A5" s="10">
        <f t="shared" ca="1" si="0"/>
        <v>46057.258110879629</v>
      </c>
      <c r="B5" s="58" t="s">
        <v>82</v>
      </c>
      <c r="C5" s="11">
        <v>0.25810185185185186</v>
      </c>
      <c r="D5" s="11" t="s">
        <v>84</v>
      </c>
      <c r="E5" s="11">
        <v>0.30473379629629632</v>
      </c>
      <c r="F5" s="12">
        <f t="shared" si="1"/>
        <v>1.1191666666666671</v>
      </c>
      <c r="G5" s="13">
        <f t="shared" si="2"/>
        <v>0</v>
      </c>
      <c r="H5" s="13">
        <f t="shared" si="3"/>
        <v>1.1191666666666671</v>
      </c>
      <c r="I5" s="21" t="s">
        <v>21</v>
      </c>
      <c r="J5" s="22">
        <f>SUMIF(B:B,"西塔台协调席",F:F)+SUMIF(B:B,"东塔台协调席",F:F)</f>
        <v>14.14638888888889</v>
      </c>
      <c r="K5" s="23">
        <f>SUMIF(B:B,"西塔台协调席",G:G)+SUMIF(B:B,"东塔台协调席",G:G)</f>
        <v>9.3724999999999987</v>
      </c>
      <c r="L5" s="23">
        <f>SUMIF(B:B,"西塔台协调席",H:H)+SUMIF(B:B,"东塔台协调席",H:H)</f>
        <v>4.7738888888888891</v>
      </c>
      <c r="M5" s="19"/>
    </row>
    <row r="6" spans="1:16" ht="18.75" x14ac:dyDescent="0.25">
      <c r="A6" s="10">
        <f t="shared" ca="1" si="0"/>
        <v>46058.133139699072</v>
      </c>
      <c r="B6" s="58" t="s">
        <v>87</v>
      </c>
      <c r="C6" s="11">
        <v>0.13313657407407406</v>
      </c>
      <c r="D6" s="11" t="s">
        <v>84</v>
      </c>
      <c r="E6" s="11">
        <v>0.22892361111111112</v>
      </c>
      <c r="F6" s="12">
        <f t="shared" si="1"/>
        <v>2.2988888888888894</v>
      </c>
      <c r="G6" s="13">
        <f t="shared" si="2"/>
        <v>0</v>
      </c>
      <c r="H6" s="13">
        <f t="shared" si="3"/>
        <v>2.2988888888888894</v>
      </c>
      <c r="I6" s="21" t="s">
        <v>22</v>
      </c>
      <c r="J6" s="22">
        <f>SUMIF(B:B,"放行席",F:F)</f>
        <v>4.4713888888888889</v>
      </c>
      <c r="K6" s="23">
        <f>SUMIF(B:B,"放行席",G:G)</f>
        <v>0</v>
      </c>
      <c r="L6" s="23">
        <f>SUMIF(B:B,"放行席",H:H)</f>
        <v>4.4713888888888889</v>
      </c>
      <c r="M6" s="19"/>
    </row>
    <row r="7" spans="1:16" ht="18.75" x14ac:dyDescent="0.25">
      <c r="A7" s="10">
        <f t="shared" ca="1" si="0"/>
        <v>46060.502033912038</v>
      </c>
      <c r="B7" s="58" t="s">
        <v>85</v>
      </c>
      <c r="C7" s="11">
        <v>0.50377314814814811</v>
      </c>
      <c r="D7" s="11" t="s">
        <v>84</v>
      </c>
      <c r="E7" s="11">
        <v>0.63471064814814815</v>
      </c>
      <c r="F7" s="12">
        <f t="shared" si="1"/>
        <v>3.142500000000001</v>
      </c>
      <c r="G7" s="13">
        <f t="shared" si="2"/>
        <v>3.142500000000001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46060.752855208331</v>
      </c>
      <c r="B8" s="58" t="s">
        <v>86</v>
      </c>
      <c r="C8" s="11">
        <v>0.75145833333333334</v>
      </c>
      <c r="D8" s="11" t="s">
        <v>84</v>
      </c>
      <c r="E8" s="11">
        <v>0.88299768518518518</v>
      </c>
      <c r="F8" s="12">
        <f t="shared" si="1"/>
        <v>3.1569444444444441</v>
      </c>
      <c r="G8" s="13">
        <f t="shared" si="2"/>
        <v>3.1569444444444441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46061.417501157404</v>
      </c>
      <c r="B9" s="58" t="s">
        <v>82</v>
      </c>
      <c r="C9" s="11">
        <v>0.41749999999999998</v>
      </c>
      <c r="D9" s="11" t="s">
        <v>84</v>
      </c>
      <c r="E9" s="11">
        <v>0.50745370370370368</v>
      </c>
      <c r="F9" s="12">
        <f t="shared" si="1"/>
        <v>2.1588888888888889</v>
      </c>
      <c r="G9" s="13">
        <f t="shared" si="2"/>
        <v>2.1588888888888889</v>
      </c>
      <c r="H9" s="13">
        <f t="shared" si="3"/>
        <v>0</v>
      </c>
      <c r="I9" s="21" t="s">
        <v>76</v>
      </c>
      <c r="J9" s="22">
        <f>SUMIF(B:B,"航班调度席",F:F)</f>
        <v>3.6033333333333317</v>
      </c>
      <c r="K9" s="23">
        <f>SUMIF(B:B,"航班调度席",G:G)</f>
        <v>3.6033333333333317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46061.625972106478</v>
      </c>
      <c r="B10" s="58" t="s">
        <v>83</v>
      </c>
      <c r="C10" s="11">
        <v>0.62597222222222226</v>
      </c>
      <c r="D10" s="11" t="s">
        <v>84</v>
      </c>
      <c r="E10" s="11">
        <v>0.75521990740740741</v>
      </c>
      <c r="F10" s="12">
        <f t="shared" si="1"/>
        <v>3.1019444444444435</v>
      </c>
      <c r="G10" s="13">
        <f t="shared" si="2"/>
        <v>3.1019444444444435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46061.834511689813</v>
      </c>
      <c r="B11" s="58" t="s">
        <v>82</v>
      </c>
      <c r="C11" s="11">
        <v>0.83453703703703708</v>
      </c>
      <c r="D11" s="11" t="s">
        <v>84</v>
      </c>
      <c r="E11" s="11">
        <v>0.96476851851851853</v>
      </c>
      <c r="F11" s="12">
        <f t="shared" si="1"/>
        <v>3.1255555555555548</v>
      </c>
      <c r="G11" s="13">
        <f t="shared" si="2"/>
        <v>3.1255555555555548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46062.299100810182</v>
      </c>
      <c r="B12" s="58" t="s">
        <v>83</v>
      </c>
      <c r="C12" s="11">
        <v>0.29909722222222224</v>
      </c>
      <c r="D12" s="11" t="s">
        <v>84</v>
      </c>
      <c r="E12" s="11">
        <v>0.364224537037037</v>
      </c>
      <c r="F12" s="12">
        <f t="shared" si="1"/>
        <v>1.5630555555555543</v>
      </c>
      <c r="G12" s="13">
        <f t="shared" si="2"/>
        <v>0.74138888888889642</v>
      </c>
      <c r="H12" s="13">
        <f t="shared" si="3"/>
        <v>0.82166666666665789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46065.133245138888</v>
      </c>
      <c r="B13" s="58" t="s">
        <v>87</v>
      </c>
      <c r="C13" s="11">
        <v>0.13324074074074074</v>
      </c>
      <c r="D13" s="11" t="s">
        <v>84</v>
      </c>
      <c r="E13" s="11">
        <v>0.22376157407407407</v>
      </c>
      <c r="F13" s="12">
        <f t="shared" si="1"/>
        <v>2.1724999999999999</v>
      </c>
      <c r="G13" s="13">
        <f t="shared" si="2"/>
        <v>0</v>
      </c>
      <c r="H13" s="13">
        <f t="shared" si="3"/>
        <v>2.1724999999999999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46065.562426504628</v>
      </c>
      <c r="B14" s="58" t="s">
        <v>90</v>
      </c>
      <c r="C14" s="11">
        <v>0.56241898148148151</v>
      </c>
      <c r="D14" s="11" t="s">
        <v>84</v>
      </c>
      <c r="E14" s="11">
        <v>0.71255787037037033</v>
      </c>
      <c r="F14" s="12">
        <f t="shared" si="1"/>
        <v>3.6033333333333317</v>
      </c>
      <c r="G14" s="13">
        <f t="shared" si="2"/>
        <v>3.6033333333333317</v>
      </c>
      <c r="H14" s="13">
        <f t="shared" si="3"/>
        <v>0</v>
      </c>
      <c r="I14" s="71"/>
      <c r="J14" s="71"/>
      <c r="K14" s="71"/>
      <c r="L14" s="71"/>
      <c r="M14" s="71"/>
    </row>
    <row r="15" spans="1:16" ht="20.25" x14ac:dyDescent="0.25">
      <c r="A15" s="10">
        <f t="shared" ca="1" si="0"/>
        <v>46077.140406828701</v>
      </c>
      <c r="B15" s="58" t="s">
        <v>83</v>
      </c>
      <c r="C15" s="11">
        <v>0.1404050925925926</v>
      </c>
      <c r="D15" s="11" t="s">
        <v>84</v>
      </c>
      <c r="E15" s="11">
        <v>0.30541666666666667</v>
      </c>
      <c r="F15" s="12">
        <f t="shared" si="1"/>
        <v>3.9602777777777778</v>
      </c>
      <c r="G15" s="13">
        <f t="shared" si="2"/>
        <v>0</v>
      </c>
      <c r="H15" s="13">
        <f t="shared" si="3"/>
        <v>3.9602777777777778</v>
      </c>
      <c r="I15" s="35" t="s">
        <v>19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46077.960605092594</v>
      </c>
      <c r="B16" s="58" t="s">
        <v>82</v>
      </c>
      <c r="C16" s="11">
        <v>0.96060185185185187</v>
      </c>
      <c r="D16" s="11" t="s">
        <v>84</v>
      </c>
      <c r="E16" s="11">
        <v>3.923611111111111E-2</v>
      </c>
      <c r="F16" s="12">
        <f t="shared" si="1"/>
        <v>1.8872222222222217</v>
      </c>
      <c r="G16" s="13">
        <f t="shared" si="2"/>
        <v>0.94555555555555504</v>
      </c>
      <c r="H16" s="13">
        <f t="shared" si="3"/>
        <v>0.94166666666666665</v>
      </c>
      <c r="I16" s="35" t="s">
        <v>29</v>
      </c>
      <c r="J16" s="36">
        <f>J4+J5+J6+J7+J10</f>
        <v>39.678888888888885</v>
      </c>
      <c r="K16" s="37">
        <f>K4+K5+K6+K7+K10</f>
        <v>16.372777777777785</v>
      </c>
      <c r="L16" s="38">
        <f>L4+L5+L6+L7+L10</f>
        <v>23.3061111111111</v>
      </c>
      <c r="M16" s="39"/>
    </row>
    <row r="17" spans="1:13" ht="20.25" x14ac:dyDescent="0.25">
      <c r="A17" s="10">
        <f t="shared" ca="1" si="0"/>
        <v>46078.039137268519</v>
      </c>
      <c r="B17" s="58" t="s">
        <v>86</v>
      </c>
      <c r="C17" s="11">
        <v>3.9317129629629625E-2</v>
      </c>
      <c r="D17" s="11" t="s">
        <v>84</v>
      </c>
      <c r="E17" s="11">
        <v>0.14224537037037036</v>
      </c>
      <c r="F17" s="12">
        <f t="shared" si="1"/>
        <v>2.4702777777777776</v>
      </c>
      <c r="G17" s="13">
        <f t="shared" si="2"/>
        <v>0</v>
      </c>
      <c r="H17" s="13">
        <f t="shared" si="3"/>
        <v>2.4702777777777776</v>
      </c>
      <c r="I17" s="35" t="s">
        <v>25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46081.140063425926</v>
      </c>
      <c r="B18" s="58" t="s">
        <v>86</v>
      </c>
      <c r="C18" s="11">
        <v>0.14005787037037037</v>
      </c>
      <c r="D18" s="11" t="s">
        <v>84</v>
      </c>
      <c r="E18" s="11">
        <v>0.30499999999999999</v>
      </c>
      <c r="F18" s="12">
        <f t="shared" si="1"/>
        <v>3.9586111111111109</v>
      </c>
      <c r="G18" s="13">
        <f t="shared" si="2"/>
        <v>0</v>
      </c>
      <c r="H18" s="13">
        <f t="shared" si="3"/>
        <v>3.9586111111111109</v>
      </c>
      <c r="I18" s="35" t="s">
        <v>30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40" t="s">
        <v>31</v>
      </c>
      <c r="J19" s="67">
        <f>J15+J16+J17+J18</f>
        <v>39.678888888888885</v>
      </c>
      <c r="K19" s="68"/>
      <c r="L19" s="69"/>
      <c r="M19" s="41"/>
    </row>
    <row r="20" spans="1:13" ht="20.25" x14ac:dyDescent="0.2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53" t="s">
        <v>78</v>
      </c>
      <c r="J20" s="54">
        <f>SUM(J8:J9)</f>
        <v>3.6033333333333317</v>
      </c>
      <c r="K20" s="37">
        <f>SUM(K8:K9)</f>
        <v>3.6033333333333317</v>
      </c>
      <c r="L20" s="38">
        <f>SUM(L8:L9)</f>
        <v>0</v>
      </c>
      <c r="M20" s="46"/>
    </row>
    <row r="21" spans="1:13" ht="18.75" x14ac:dyDescent="0.1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/>
      <c r="J21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2"/>
      <c r="J37" s="43"/>
      <c r="K37" s="11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5">IF(B67="","",IF(A67="",NOW(),A67))</f>
        <v/>
      </c>
      <c r="B67" s="58"/>
      <c r="C67" s="11"/>
      <c r="D67" s="11"/>
      <c r="E67" s="11"/>
      <c r="F67" s="12">
        <f t="shared" ref="F67:F130" si="6">(IF(E67-C67&lt;0,"24:00"-C67+E67,E67-C67))*24</f>
        <v>0</v>
      </c>
      <c r="G67" s="13">
        <f t="shared" ref="G67:G130" si="7">F67-H67</f>
        <v>0</v>
      </c>
      <c r="H67" s="13">
        <f t="shared" ref="H67:H130" si="8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5"/>
        <v/>
      </c>
      <c r="B68" s="58"/>
      <c r="C68" s="11"/>
      <c r="D68" s="11"/>
      <c r="E68" s="11"/>
      <c r="F68" s="12">
        <f t="shared" si="6"/>
        <v>0</v>
      </c>
      <c r="G68" s="13">
        <f t="shared" si="7"/>
        <v>0</v>
      </c>
      <c r="H68" s="13">
        <f t="shared" si="8"/>
        <v>0</v>
      </c>
      <c r="I68" s="42"/>
      <c r="J68" s="43"/>
      <c r="K68" s="11"/>
    </row>
    <row r="69" spans="1:11" ht="18.75" x14ac:dyDescent="0.15">
      <c r="A69" s="10" t="str">
        <f t="shared" ca="1" si="5"/>
        <v/>
      </c>
      <c r="B69" s="58"/>
      <c r="C69" s="11"/>
      <c r="D69" s="11"/>
      <c r="E69" s="11"/>
      <c r="F69" s="12">
        <f t="shared" si="6"/>
        <v>0</v>
      </c>
      <c r="G69" s="13">
        <f t="shared" si="7"/>
        <v>0</v>
      </c>
      <c r="H69" s="13">
        <f t="shared" si="8"/>
        <v>0</v>
      </c>
      <c r="I69" s="42"/>
      <c r="J69" s="43"/>
      <c r="K69" s="11"/>
    </row>
    <row r="70" spans="1:11" ht="18.75" x14ac:dyDescent="0.15">
      <c r="A70" s="10" t="str">
        <f t="shared" ca="1" si="5"/>
        <v/>
      </c>
      <c r="B70" s="58"/>
      <c r="C70" s="11"/>
      <c r="D70" s="11"/>
      <c r="E70" s="11"/>
      <c r="F70" s="12">
        <f t="shared" si="6"/>
        <v>0</v>
      </c>
      <c r="G70" s="13">
        <f t="shared" si="7"/>
        <v>0</v>
      </c>
      <c r="H70" s="13">
        <f t="shared" si="8"/>
        <v>0</v>
      </c>
      <c r="I70" s="42"/>
      <c r="J70" s="43"/>
      <c r="K70" s="11"/>
    </row>
    <row r="71" spans="1:11" ht="18.75" x14ac:dyDescent="0.15">
      <c r="A71" s="10" t="str">
        <f t="shared" ca="1" si="5"/>
        <v/>
      </c>
      <c r="B71" s="58"/>
      <c r="C71" s="11"/>
      <c r="D71" s="11"/>
      <c r="E71" s="11"/>
      <c r="F71" s="12">
        <f t="shared" si="6"/>
        <v>0</v>
      </c>
      <c r="G71" s="13">
        <f t="shared" si="7"/>
        <v>0</v>
      </c>
      <c r="H71" s="13">
        <f t="shared" si="8"/>
        <v>0</v>
      </c>
      <c r="I71" s="42"/>
      <c r="J71" s="43"/>
      <c r="K71" s="11"/>
    </row>
    <row r="72" spans="1:11" ht="18.75" x14ac:dyDescent="0.15">
      <c r="A72" s="10" t="str">
        <f t="shared" ca="1" si="5"/>
        <v/>
      </c>
      <c r="B72" s="58"/>
      <c r="C72" s="11"/>
      <c r="D72" s="11"/>
      <c r="E72" s="11"/>
      <c r="F72" s="12">
        <f t="shared" si="6"/>
        <v>0</v>
      </c>
      <c r="G72" s="13">
        <f t="shared" si="7"/>
        <v>0</v>
      </c>
      <c r="H72" s="13">
        <f t="shared" si="8"/>
        <v>0</v>
      </c>
      <c r="I72" s="42"/>
      <c r="J72" s="43"/>
      <c r="K72" s="11"/>
    </row>
    <row r="73" spans="1:11" ht="18.75" x14ac:dyDescent="0.15">
      <c r="A73" s="10" t="str">
        <f t="shared" ca="1" si="5"/>
        <v/>
      </c>
      <c r="B73" s="58"/>
      <c r="C73" s="11"/>
      <c r="D73" s="11"/>
      <c r="E73" s="11"/>
      <c r="F73" s="12">
        <f t="shared" si="6"/>
        <v>0</v>
      </c>
      <c r="G73" s="13">
        <f t="shared" si="7"/>
        <v>0</v>
      </c>
      <c r="H73" s="13">
        <f t="shared" si="8"/>
        <v>0</v>
      </c>
      <c r="I73" s="42"/>
      <c r="J73" s="43"/>
      <c r="K73" s="11"/>
    </row>
    <row r="74" spans="1:11" ht="18.75" x14ac:dyDescent="0.15">
      <c r="A74" s="10" t="str">
        <f t="shared" ca="1" si="5"/>
        <v/>
      </c>
      <c r="B74" s="58"/>
      <c r="C74" s="11"/>
      <c r="D74" s="11"/>
      <c r="E74" s="11"/>
      <c r="F74" s="12">
        <f t="shared" si="6"/>
        <v>0</v>
      </c>
      <c r="G74" s="13">
        <f t="shared" si="7"/>
        <v>0</v>
      </c>
      <c r="H74" s="13">
        <f t="shared" si="8"/>
        <v>0</v>
      </c>
      <c r="I74" s="42"/>
      <c r="J74" s="43"/>
      <c r="K74" s="11"/>
    </row>
    <row r="75" spans="1:11" ht="18.75" x14ac:dyDescent="0.15">
      <c r="A75" s="10" t="str">
        <f t="shared" ca="1" si="5"/>
        <v/>
      </c>
      <c r="B75" s="58"/>
      <c r="C75" s="11"/>
      <c r="D75" s="11"/>
      <c r="E75" s="11"/>
      <c r="F75" s="12">
        <f t="shared" si="6"/>
        <v>0</v>
      </c>
      <c r="G75" s="13">
        <f t="shared" si="7"/>
        <v>0</v>
      </c>
      <c r="H75" s="13">
        <f t="shared" si="8"/>
        <v>0</v>
      </c>
      <c r="I75" s="42"/>
      <c r="J75" s="43"/>
      <c r="K75" s="11"/>
    </row>
    <row r="76" spans="1:11" ht="18.75" x14ac:dyDescent="0.15">
      <c r="A76" s="10" t="str">
        <f t="shared" ca="1" si="5"/>
        <v/>
      </c>
      <c r="B76" s="58"/>
      <c r="C76" s="11"/>
      <c r="D76" s="11"/>
      <c r="E76" s="11"/>
      <c r="F76" s="12">
        <f t="shared" si="6"/>
        <v>0</v>
      </c>
      <c r="G76" s="13">
        <f t="shared" si="7"/>
        <v>0</v>
      </c>
      <c r="H76" s="13">
        <f t="shared" si="8"/>
        <v>0</v>
      </c>
      <c r="I76" s="42"/>
      <c r="J76" s="43"/>
      <c r="K76" s="11"/>
    </row>
    <row r="77" spans="1:11" ht="18.75" x14ac:dyDescent="0.15">
      <c r="A77" s="10" t="str">
        <f t="shared" ca="1" si="5"/>
        <v/>
      </c>
      <c r="B77" s="58"/>
      <c r="C77" s="11"/>
      <c r="D77" s="11"/>
      <c r="E77" s="11"/>
      <c r="F77" s="12">
        <f t="shared" si="6"/>
        <v>0</v>
      </c>
      <c r="G77" s="13">
        <f t="shared" si="7"/>
        <v>0</v>
      </c>
      <c r="H77" s="13">
        <f t="shared" si="8"/>
        <v>0</v>
      </c>
      <c r="I77" s="42"/>
      <c r="J77" s="43"/>
      <c r="K77" s="11"/>
    </row>
    <row r="78" spans="1:11" ht="18.75" x14ac:dyDescent="0.15">
      <c r="A78" s="10" t="str">
        <f t="shared" ca="1" si="5"/>
        <v/>
      </c>
      <c r="B78" s="58"/>
      <c r="C78" s="11"/>
      <c r="D78" s="11"/>
      <c r="E78" s="11"/>
      <c r="F78" s="12">
        <f t="shared" si="6"/>
        <v>0</v>
      </c>
      <c r="G78" s="13">
        <f t="shared" si="7"/>
        <v>0</v>
      </c>
      <c r="H78" s="13">
        <f t="shared" si="8"/>
        <v>0</v>
      </c>
      <c r="I78" s="42"/>
      <c r="J78" s="43"/>
      <c r="K78" s="11"/>
    </row>
    <row r="79" spans="1:11" ht="18.75" x14ac:dyDescent="0.15">
      <c r="A79" s="10" t="str">
        <f t="shared" ca="1" si="5"/>
        <v/>
      </c>
      <c r="B79" s="58"/>
      <c r="C79" s="11"/>
      <c r="D79" s="11"/>
      <c r="E79" s="11"/>
      <c r="F79" s="12">
        <f t="shared" si="6"/>
        <v>0</v>
      </c>
      <c r="G79" s="13">
        <f t="shared" si="7"/>
        <v>0</v>
      </c>
      <c r="H79" s="13">
        <f t="shared" si="8"/>
        <v>0</v>
      </c>
      <c r="I79" s="42"/>
      <c r="J79" s="43"/>
      <c r="K79" s="11"/>
    </row>
    <row r="80" spans="1:11" ht="18.75" x14ac:dyDescent="0.15">
      <c r="A80" s="10" t="str">
        <f t="shared" ca="1" si="5"/>
        <v/>
      </c>
      <c r="B80" s="58"/>
      <c r="C80" s="11"/>
      <c r="D80" s="11"/>
      <c r="E80" s="11"/>
      <c r="F80" s="12">
        <f t="shared" si="6"/>
        <v>0</v>
      </c>
      <c r="G80" s="13">
        <f t="shared" si="7"/>
        <v>0</v>
      </c>
      <c r="H80" s="13">
        <f t="shared" si="8"/>
        <v>0</v>
      </c>
      <c r="I80" s="42"/>
      <c r="J80" s="43"/>
      <c r="K80" s="11"/>
    </row>
    <row r="81" spans="1:11" ht="18.75" x14ac:dyDescent="0.15">
      <c r="A81" s="10" t="str">
        <f t="shared" ca="1" si="5"/>
        <v/>
      </c>
      <c r="B81" s="58"/>
      <c r="C81" s="11"/>
      <c r="D81" s="11"/>
      <c r="E81" s="11"/>
      <c r="F81" s="12">
        <f t="shared" si="6"/>
        <v>0</v>
      </c>
      <c r="G81" s="13">
        <f t="shared" si="7"/>
        <v>0</v>
      </c>
      <c r="H81" s="13">
        <f t="shared" si="8"/>
        <v>0</v>
      </c>
      <c r="I81" s="42"/>
      <c r="J81" s="43"/>
      <c r="K81" s="11"/>
    </row>
    <row r="82" spans="1:11" ht="18.75" x14ac:dyDescent="0.15">
      <c r="A82" s="10" t="str">
        <f t="shared" ca="1" si="5"/>
        <v/>
      </c>
      <c r="B82" s="58"/>
      <c r="C82" s="11"/>
      <c r="D82" s="11"/>
      <c r="E82" s="11"/>
      <c r="F82" s="12">
        <f t="shared" si="6"/>
        <v>0</v>
      </c>
      <c r="G82" s="13">
        <f t="shared" si="7"/>
        <v>0</v>
      </c>
      <c r="H82" s="13">
        <f t="shared" si="8"/>
        <v>0</v>
      </c>
      <c r="I82" s="42"/>
      <c r="J82" s="43"/>
      <c r="K82" s="11"/>
    </row>
    <row r="83" spans="1:11" ht="18.75" x14ac:dyDescent="0.15">
      <c r="A83" s="10" t="str">
        <f t="shared" ca="1" si="5"/>
        <v/>
      </c>
      <c r="B83" s="58"/>
      <c r="C83" s="11"/>
      <c r="D83" s="11"/>
      <c r="E83" s="11"/>
      <c r="F83" s="12">
        <f t="shared" si="6"/>
        <v>0</v>
      </c>
      <c r="G83" s="13">
        <f t="shared" si="7"/>
        <v>0</v>
      </c>
      <c r="H83" s="13">
        <f t="shared" si="8"/>
        <v>0</v>
      </c>
      <c r="I83" s="42"/>
      <c r="J83" s="43"/>
      <c r="K83" s="11"/>
    </row>
    <row r="84" spans="1:11" ht="18.75" x14ac:dyDescent="0.15">
      <c r="A84" s="10" t="str">
        <f t="shared" ca="1" si="5"/>
        <v/>
      </c>
      <c r="B84" s="58"/>
      <c r="C84" s="11"/>
      <c r="D84" s="11"/>
      <c r="E84" s="11"/>
      <c r="F84" s="12">
        <f t="shared" si="6"/>
        <v>0</v>
      </c>
      <c r="G84" s="13">
        <f t="shared" si="7"/>
        <v>0</v>
      </c>
      <c r="H84" s="13">
        <f t="shared" si="8"/>
        <v>0</v>
      </c>
      <c r="I84" s="42"/>
      <c r="J84" s="44"/>
      <c r="K84" s="11"/>
    </row>
    <row r="85" spans="1:11" ht="18.75" x14ac:dyDescent="0.15">
      <c r="A85" s="10" t="str">
        <f t="shared" ca="1" si="5"/>
        <v/>
      </c>
      <c r="B85" s="58"/>
      <c r="C85" s="11"/>
      <c r="D85" s="11"/>
      <c r="E85" s="11"/>
      <c r="F85" s="12">
        <f t="shared" si="6"/>
        <v>0</v>
      </c>
      <c r="G85" s="13">
        <f t="shared" si="7"/>
        <v>0</v>
      </c>
      <c r="H85" s="13">
        <f t="shared" si="8"/>
        <v>0</v>
      </c>
      <c r="I85" s="42"/>
      <c r="J85" s="44"/>
      <c r="K85" s="11"/>
    </row>
    <row r="86" spans="1:11" ht="18.75" x14ac:dyDescent="0.15">
      <c r="A86" s="10" t="str">
        <f t="shared" ca="1" si="5"/>
        <v/>
      </c>
      <c r="B86" s="58"/>
      <c r="C86" s="11"/>
      <c r="D86" s="11"/>
      <c r="E86" s="11"/>
      <c r="F86" s="12">
        <f t="shared" si="6"/>
        <v>0</v>
      </c>
      <c r="G86" s="13">
        <f t="shared" si="7"/>
        <v>0</v>
      </c>
      <c r="H86" s="13">
        <f t="shared" si="8"/>
        <v>0</v>
      </c>
      <c r="I86" s="42"/>
      <c r="J86" s="44"/>
      <c r="K86" s="11"/>
    </row>
    <row r="87" spans="1:11" ht="18.75" x14ac:dyDescent="0.15">
      <c r="A87" s="10" t="str">
        <f t="shared" ca="1" si="5"/>
        <v/>
      </c>
      <c r="B87" s="58"/>
      <c r="C87" s="11"/>
      <c r="D87" s="11"/>
      <c r="E87" s="11"/>
      <c r="F87" s="12">
        <f t="shared" si="6"/>
        <v>0</v>
      </c>
      <c r="G87" s="13">
        <f t="shared" si="7"/>
        <v>0</v>
      </c>
      <c r="H87" s="13">
        <f t="shared" si="8"/>
        <v>0</v>
      </c>
      <c r="I87" s="42"/>
      <c r="J87" s="44"/>
      <c r="K87" s="11"/>
    </row>
    <row r="88" spans="1:11" ht="18.75" x14ac:dyDescent="0.15">
      <c r="A88" s="10" t="str">
        <f t="shared" ca="1" si="5"/>
        <v/>
      </c>
      <c r="B88" s="58"/>
      <c r="C88" s="11"/>
      <c r="D88" s="11"/>
      <c r="E88" s="11"/>
      <c r="F88" s="12">
        <f t="shared" si="6"/>
        <v>0</v>
      </c>
      <c r="G88" s="13">
        <f t="shared" si="7"/>
        <v>0</v>
      </c>
      <c r="H88" s="13">
        <f t="shared" si="8"/>
        <v>0</v>
      </c>
      <c r="I88" s="42"/>
      <c r="J88" s="44"/>
      <c r="K88" s="11"/>
    </row>
    <row r="89" spans="1:11" ht="18.75" x14ac:dyDescent="0.15">
      <c r="A89" s="10" t="str">
        <f t="shared" ca="1" si="5"/>
        <v/>
      </c>
      <c r="B89" s="58"/>
      <c r="C89" s="11"/>
      <c r="D89" s="11"/>
      <c r="E89" s="11"/>
      <c r="F89" s="12">
        <f t="shared" si="6"/>
        <v>0</v>
      </c>
      <c r="G89" s="13">
        <f t="shared" si="7"/>
        <v>0</v>
      </c>
      <c r="H89" s="13">
        <f t="shared" si="8"/>
        <v>0</v>
      </c>
      <c r="I89" s="42"/>
      <c r="J89" s="44"/>
      <c r="K89" s="11"/>
    </row>
    <row r="90" spans="1:11" ht="18.75" x14ac:dyDescent="0.15">
      <c r="A90" s="10" t="str">
        <f t="shared" ca="1" si="5"/>
        <v/>
      </c>
      <c r="B90" s="58"/>
      <c r="C90" s="11"/>
      <c r="D90" s="11"/>
      <c r="E90" s="11"/>
      <c r="F90" s="12">
        <f t="shared" si="6"/>
        <v>0</v>
      </c>
      <c r="G90" s="13">
        <f t="shared" si="7"/>
        <v>0</v>
      </c>
      <c r="H90" s="13">
        <f t="shared" si="8"/>
        <v>0</v>
      </c>
      <c r="I90" s="42"/>
      <c r="J90" s="44"/>
      <c r="K90" s="11"/>
    </row>
    <row r="91" spans="1:11" ht="18.75" x14ac:dyDescent="0.15">
      <c r="A91" s="10" t="str">
        <f t="shared" ca="1" si="5"/>
        <v/>
      </c>
      <c r="B91" s="58"/>
      <c r="C91" s="11"/>
      <c r="D91" s="11"/>
      <c r="E91" s="11"/>
      <c r="F91" s="12">
        <f t="shared" si="6"/>
        <v>0</v>
      </c>
      <c r="G91" s="13">
        <f t="shared" si="7"/>
        <v>0</v>
      </c>
      <c r="H91" s="13">
        <f t="shared" si="8"/>
        <v>0</v>
      </c>
      <c r="I91" s="42"/>
      <c r="J91" s="44"/>
      <c r="K91" s="11"/>
    </row>
    <row r="92" spans="1:11" ht="18.75" x14ac:dyDescent="0.15">
      <c r="A92" s="10" t="str">
        <f t="shared" ca="1" si="5"/>
        <v/>
      </c>
      <c r="B92" s="58"/>
      <c r="C92" s="11"/>
      <c r="D92" s="11"/>
      <c r="E92" s="11"/>
      <c r="F92" s="12">
        <f t="shared" si="6"/>
        <v>0</v>
      </c>
      <c r="G92" s="13">
        <f t="shared" si="7"/>
        <v>0</v>
      </c>
      <c r="H92" s="13">
        <f t="shared" si="8"/>
        <v>0</v>
      </c>
      <c r="I92" s="42"/>
      <c r="J92" s="44"/>
      <c r="K92" s="11"/>
    </row>
    <row r="93" spans="1:11" ht="18.75" x14ac:dyDescent="0.15">
      <c r="A93" s="10" t="str">
        <f t="shared" ca="1" si="5"/>
        <v/>
      </c>
      <c r="B93" s="58"/>
      <c r="C93" s="11"/>
      <c r="D93" s="11"/>
      <c r="E93" s="11"/>
      <c r="F93" s="12">
        <f t="shared" si="6"/>
        <v>0</v>
      </c>
      <c r="G93" s="13">
        <f t="shared" si="7"/>
        <v>0</v>
      </c>
      <c r="H93" s="13">
        <f t="shared" si="8"/>
        <v>0</v>
      </c>
      <c r="I93" s="42"/>
      <c r="J93" s="44"/>
      <c r="K93" s="11"/>
    </row>
    <row r="94" spans="1:11" ht="18.75" x14ac:dyDescent="0.15">
      <c r="A94" s="10" t="str">
        <f t="shared" ca="1" si="5"/>
        <v/>
      </c>
      <c r="B94" s="58"/>
      <c r="C94" s="11"/>
      <c r="D94" s="11"/>
      <c r="E94" s="11"/>
      <c r="F94" s="12">
        <f t="shared" si="6"/>
        <v>0</v>
      </c>
      <c r="G94" s="13">
        <f t="shared" si="7"/>
        <v>0</v>
      </c>
      <c r="H94" s="13">
        <f t="shared" si="8"/>
        <v>0</v>
      </c>
      <c r="I94" s="42"/>
      <c r="J94" s="44"/>
      <c r="K94" s="11"/>
    </row>
    <row r="95" spans="1:11" ht="18.75" x14ac:dyDescent="0.15">
      <c r="A95" s="10" t="str">
        <f t="shared" ca="1" si="5"/>
        <v/>
      </c>
      <c r="B95" s="58"/>
      <c r="C95" s="11"/>
      <c r="D95" s="11"/>
      <c r="E95" s="11"/>
      <c r="F95" s="12">
        <f t="shared" si="6"/>
        <v>0</v>
      </c>
      <c r="G95" s="13">
        <f t="shared" si="7"/>
        <v>0</v>
      </c>
      <c r="H95" s="13">
        <f t="shared" si="8"/>
        <v>0</v>
      </c>
      <c r="I95" s="42"/>
      <c r="J95" s="44"/>
      <c r="K95" s="11"/>
    </row>
    <row r="96" spans="1:11" ht="18.75" x14ac:dyDescent="0.15">
      <c r="A96" s="10" t="str">
        <f t="shared" ca="1" si="5"/>
        <v/>
      </c>
      <c r="B96" s="58"/>
      <c r="C96" s="11"/>
      <c r="D96" s="11"/>
      <c r="E96" s="11"/>
      <c r="F96" s="12">
        <f t="shared" si="6"/>
        <v>0</v>
      </c>
      <c r="G96" s="13">
        <f t="shared" si="7"/>
        <v>0</v>
      </c>
      <c r="H96" s="13">
        <f t="shared" si="8"/>
        <v>0</v>
      </c>
      <c r="I96" s="42"/>
      <c r="J96" s="44"/>
      <c r="K96" s="11"/>
    </row>
    <row r="97" spans="1:11" ht="18.75" x14ac:dyDescent="0.15">
      <c r="A97" s="10" t="str">
        <f t="shared" ca="1" si="5"/>
        <v/>
      </c>
      <c r="B97" s="58"/>
      <c r="C97" s="11"/>
      <c r="D97" s="11"/>
      <c r="E97" s="11"/>
      <c r="F97" s="12">
        <f t="shared" si="6"/>
        <v>0</v>
      </c>
      <c r="G97" s="13">
        <f t="shared" si="7"/>
        <v>0</v>
      </c>
      <c r="H97" s="13">
        <f t="shared" si="8"/>
        <v>0</v>
      </c>
      <c r="I97" s="42"/>
      <c r="J97" s="44"/>
      <c r="K97" s="11"/>
    </row>
    <row r="98" spans="1:11" ht="18.75" x14ac:dyDescent="0.15">
      <c r="A98" s="10" t="str">
        <f t="shared" ca="1" si="5"/>
        <v/>
      </c>
      <c r="B98" s="58"/>
      <c r="C98" s="11"/>
      <c r="D98" s="11"/>
      <c r="E98" s="11"/>
      <c r="F98" s="12">
        <f t="shared" si="6"/>
        <v>0</v>
      </c>
      <c r="G98" s="13">
        <f t="shared" si="7"/>
        <v>0</v>
      </c>
      <c r="H98" s="13">
        <f t="shared" si="8"/>
        <v>0</v>
      </c>
      <c r="I98" s="42"/>
      <c r="J98" s="44"/>
      <c r="K98" s="11"/>
    </row>
    <row r="99" spans="1:11" ht="18.75" x14ac:dyDescent="0.15">
      <c r="A99" s="10" t="str">
        <f t="shared" ca="1" si="5"/>
        <v/>
      </c>
      <c r="B99" s="58"/>
      <c r="C99" s="11"/>
      <c r="D99" s="11"/>
      <c r="E99" s="11"/>
      <c r="F99" s="12">
        <f t="shared" si="6"/>
        <v>0</v>
      </c>
      <c r="G99" s="13">
        <f t="shared" si="7"/>
        <v>0</v>
      </c>
      <c r="H99" s="13">
        <f t="shared" si="8"/>
        <v>0</v>
      </c>
      <c r="I99" s="42"/>
      <c r="J99" s="44"/>
      <c r="K99" s="11"/>
    </row>
    <row r="100" spans="1:11" ht="18.75" x14ac:dyDescent="0.15">
      <c r="A100" s="10" t="str">
        <f t="shared" ca="1" si="5"/>
        <v/>
      </c>
      <c r="B100" s="58"/>
      <c r="C100" s="11"/>
      <c r="D100" s="11"/>
      <c r="E100" s="11"/>
      <c r="F100" s="12">
        <f t="shared" si="6"/>
        <v>0</v>
      </c>
      <c r="G100" s="13">
        <f t="shared" si="7"/>
        <v>0</v>
      </c>
      <c r="H100" s="13">
        <f t="shared" si="8"/>
        <v>0</v>
      </c>
      <c r="I100" s="42"/>
      <c r="J100" s="44"/>
      <c r="K100" s="11"/>
    </row>
    <row r="101" spans="1:11" ht="18.75" x14ac:dyDescent="0.15">
      <c r="A101" s="10" t="str">
        <f t="shared" ca="1" si="5"/>
        <v/>
      </c>
      <c r="B101" s="58"/>
      <c r="C101" s="11"/>
      <c r="D101" s="11"/>
      <c r="E101" s="11"/>
      <c r="F101" s="12">
        <f t="shared" si="6"/>
        <v>0</v>
      </c>
      <c r="G101" s="13">
        <f t="shared" si="7"/>
        <v>0</v>
      </c>
      <c r="H101" s="13">
        <f t="shared" si="8"/>
        <v>0</v>
      </c>
      <c r="I101" s="42"/>
      <c r="J101" s="44"/>
      <c r="K101" s="11"/>
    </row>
    <row r="102" spans="1:11" ht="18.75" x14ac:dyDescent="0.15">
      <c r="A102" s="10" t="str">
        <f t="shared" ca="1" si="5"/>
        <v/>
      </c>
      <c r="B102" s="58"/>
      <c r="C102" s="11"/>
      <c r="D102" s="11"/>
      <c r="E102" s="11"/>
      <c r="F102" s="12">
        <f t="shared" si="6"/>
        <v>0</v>
      </c>
      <c r="G102" s="13">
        <f t="shared" si="7"/>
        <v>0</v>
      </c>
      <c r="H102" s="13">
        <f t="shared" si="8"/>
        <v>0</v>
      </c>
      <c r="I102" s="42"/>
      <c r="J102" s="44"/>
      <c r="K102" s="11"/>
    </row>
    <row r="103" spans="1:11" ht="18.75" x14ac:dyDescent="0.15">
      <c r="A103" s="10" t="str">
        <f t="shared" ca="1" si="5"/>
        <v/>
      </c>
      <c r="B103" s="58"/>
      <c r="C103" s="11"/>
      <c r="D103" s="11"/>
      <c r="E103" s="11"/>
      <c r="F103" s="12">
        <f t="shared" si="6"/>
        <v>0</v>
      </c>
      <c r="G103" s="13">
        <f t="shared" si="7"/>
        <v>0</v>
      </c>
      <c r="H103" s="13">
        <f t="shared" si="8"/>
        <v>0</v>
      </c>
      <c r="I103" s="42"/>
      <c r="J103" s="44"/>
      <c r="K103" s="11"/>
    </row>
    <row r="104" spans="1:11" ht="18.75" x14ac:dyDescent="0.15">
      <c r="A104" s="10" t="str">
        <f t="shared" ca="1" si="5"/>
        <v/>
      </c>
      <c r="B104" s="58"/>
      <c r="C104" s="11"/>
      <c r="D104" s="11"/>
      <c r="E104" s="11"/>
      <c r="F104" s="12">
        <f t="shared" si="6"/>
        <v>0</v>
      </c>
      <c r="G104" s="13">
        <f t="shared" si="7"/>
        <v>0</v>
      </c>
      <c r="H104" s="13">
        <f t="shared" si="8"/>
        <v>0</v>
      </c>
      <c r="I104" s="42"/>
      <c r="J104" s="44"/>
      <c r="K104" s="11"/>
    </row>
    <row r="105" spans="1:11" ht="18.75" x14ac:dyDescent="0.15">
      <c r="A105" s="10" t="str">
        <f t="shared" ca="1" si="5"/>
        <v/>
      </c>
      <c r="B105" s="58"/>
      <c r="C105" s="11"/>
      <c r="D105" s="11"/>
      <c r="E105" s="11"/>
      <c r="F105" s="12">
        <f t="shared" si="6"/>
        <v>0</v>
      </c>
      <c r="G105" s="13">
        <f t="shared" si="7"/>
        <v>0</v>
      </c>
      <c r="H105" s="13">
        <f t="shared" si="8"/>
        <v>0</v>
      </c>
      <c r="I105" s="42"/>
      <c r="J105" s="44"/>
      <c r="K105" s="11"/>
    </row>
    <row r="106" spans="1:11" ht="18.75" x14ac:dyDescent="0.15">
      <c r="A106" s="10" t="str">
        <f t="shared" ca="1" si="5"/>
        <v/>
      </c>
      <c r="B106" s="58"/>
      <c r="C106" s="11"/>
      <c r="D106" s="11"/>
      <c r="E106" s="11"/>
      <c r="F106" s="12">
        <f t="shared" si="6"/>
        <v>0</v>
      </c>
      <c r="G106" s="13">
        <f t="shared" si="7"/>
        <v>0</v>
      </c>
      <c r="H106" s="13">
        <f t="shared" si="8"/>
        <v>0</v>
      </c>
      <c r="I106" s="42"/>
      <c r="J106" s="44"/>
      <c r="K106" s="11"/>
    </row>
    <row r="107" spans="1:11" ht="18.75" x14ac:dyDescent="0.15">
      <c r="A107" s="10" t="str">
        <f t="shared" ca="1" si="5"/>
        <v/>
      </c>
      <c r="B107" s="58"/>
      <c r="C107" s="11"/>
      <c r="D107" s="11"/>
      <c r="E107" s="11"/>
      <c r="F107" s="12">
        <f t="shared" si="6"/>
        <v>0</v>
      </c>
      <c r="G107" s="13">
        <f t="shared" si="7"/>
        <v>0</v>
      </c>
      <c r="H107" s="13">
        <f t="shared" si="8"/>
        <v>0</v>
      </c>
      <c r="I107" s="42"/>
      <c r="J107" s="44"/>
      <c r="K107" s="11"/>
    </row>
    <row r="108" spans="1:11" ht="18.75" x14ac:dyDescent="0.15">
      <c r="A108" s="10" t="str">
        <f t="shared" ca="1" si="5"/>
        <v/>
      </c>
      <c r="B108" s="58"/>
      <c r="C108" s="11"/>
      <c r="D108" s="11"/>
      <c r="E108" s="11"/>
      <c r="F108" s="12">
        <f t="shared" si="6"/>
        <v>0</v>
      </c>
      <c r="G108" s="13">
        <f t="shared" si="7"/>
        <v>0</v>
      </c>
      <c r="H108" s="13">
        <f t="shared" si="8"/>
        <v>0</v>
      </c>
      <c r="I108" s="42"/>
      <c r="J108" s="44"/>
      <c r="K108" s="11"/>
    </row>
    <row r="109" spans="1:11" ht="18.75" x14ac:dyDescent="0.15">
      <c r="A109" s="10" t="str">
        <f t="shared" ca="1" si="5"/>
        <v/>
      </c>
      <c r="B109" s="58"/>
      <c r="C109" s="11"/>
      <c r="D109" s="11"/>
      <c r="E109" s="11"/>
      <c r="F109" s="12">
        <f t="shared" si="6"/>
        <v>0</v>
      </c>
      <c r="G109" s="13">
        <f t="shared" si="7"/>
        <v>0</v>
      </c>
      <c r="H109" s="13">
        <f t="shared" si="8"/>
        <v>0</v>
      </c>
      <c r="I109" s="42"/>
      <c r="J109" s="44"/>
      <c r="K109" s="11"/>
    </row>
    <row r="110" spans="1:11" ht="18.75" x14ac:dyDescent="0.15">
      <c r="A110" s="10" t="str">
        <f t="shared" ca="1" si="5"/>
        <v/>
      </c>
      <c r="B110" s="58"/>
      <c r="C110" s="11"/>
      <c r="D110" s="11"/>
      <c r="E110" s="11"/>
      <c r="F110" s="12">
        <f t="shared" si="6"/>
        <v>0</v>
      </c>
      <c r="G110" s="13">
        <f t="shared" si="7"/>
        <v>0</v>
      </c>
      <c r="H110" s="13">
        <f t="shared" si="8"/>
        <v>0</v>
      </c>
      <c r="I110" s="42"/>
      <c r="J110" s="44"/>
      <c r="K110" s="11"/>
    </row>
    <row r="111" spans="1:11" ht="18.75" x14ac:dyDescent="0.15">
      <c r="A111" s="10" t="str">
        <f t="shared" ca="1" si="5"/>
        <v/>
      </c>
      <c r="B111" s="58"/>
      <c r="C111" s="11"/>
      <c r="D111" s="11"/>
      <c r="E111" s="11"/>
      <c r="F111" s="12">
        <f t="shared" si="6"/>
        <v>0</v>
      </c>
      <c r="G111" s="13">
        <f t="shared" si="7"/>
        <v>0</v>
      </c>
      <c r="H111" s="13">
        <f t="shared" si="8"/>
        <v>0</v>
      </c>
      <c r="I111" s="42"/>
      <c r="J111" s="44"/>
      <c r="K111" s="11"/>
    </row>
    <row r="112" spans="1:11" ht="18.75" x14ac:dyDescent="0.15">
      <c r="A112" s="10" t="str">
        <f t="shared" ca="1" si="5"/>
        <v/>
      </c>
      <c r="B112" s="58"/>
      <c r="C112" s="11"/>
      <c r="D112" s="11"/>
      <c r="E112" s="11"/>
      <c r="F112" s="12">
        <f t="shared" si="6"/>
        <v>0</v>
      </c>
      <c r="G112" s="13">
        <f t="shared" si="7"/>
        <v>0</v>
      </c>
      <c r="H112" s="13">
        <f t="shared" si="8"/>
        <v>0</v>
      </c>
      <c r="I112" s="42"/>
      <c r="J112" s="44"/>
      <c r="K112" s="11"/>
    </row>
    <row r="113" spans="1:11" ht="18.75" x14ac:dyDescent="0.15">
      <c r="A113" s="10" t="str">
        <f t="shared" ca="1" si="5"/>
        <v/>
      </c>
      <c r="B113" s="58"/>
      <c r="C113" s="11"/>
      <c r="D113" s="11"/>
      <c r="E113" s="11"/>
      <c r="F113" s="12">
        <f t="shared" si="6"/>
        <v>0</v>
      </c>
      <c r="G113" s="13">
        <f t="shared" si="7"/>
        <v>0</v>
      </c>
      <c r="H113" s="13">
        <f t="shared" si="8"/>
        <v>0</v>
      </c>
      <c r="I113" s="42"/>
      <c r="J113" s="44"/>
      <c r="K113" s="11"/>
    </row>
    <row r="114" spans="1:11" ht="18.75" x14ac:dyDescent="0.15">
      <c r="A114" s="10" t="str">
        <f t="shared" ca="1" si="5"/>
        <v/>
      </c>
      <c r="B114" s="58"/>
      <c r="C114" s="11"/>
      <c r="D114" s="11"/>
      <c r="E114" s="11"/>
      <c r="F114" s="12">
        <f t="shared" si="6"/>
        <v>0</v>
      </c>
      <c r="G114" s="13">
        <f t="shared" si="7"/>
        <v>0</v>
      </c>
      <c r="H114" s="13">
        <f t="shared" si="8"/>
        <v>0</v>
      </c>
      <c r="I114" s="42"/>
      <c r="J114" s="44"/>
      <c r="K114" s="11"/>
    </row>
    <row r="115" spans="1:11" ht="18.75" x14ac:dyDescent="0.15">
      <c r="A115" s="10" t="str">
        <f t="shared" ca="1" si="5"/>
        <v/>
      </c>
      <c r="B115" s="58"/>
      <c r="C115" s="11"/>
      <c r="D115" s="11"/>
      <c r="E115" s="11"/>
      <c r="F115" s="12">
        <f t="shared" si="6"/>
        <v>0</v>
      </c>
      <c r="G115" s="13">
        <f t="shared" si="7"/>
        <v>0</v>
      </c>
      <c r="H115" s="13">
        <f t="shared" si="8"/>
        <v>0</v>
      </c>
      <c r="I115" s="42"/>
      <c r="J115" s="44"/>
      <c r="K115" s="11"/>
    </row>
    <row r="116" spans="1:11" ht="18.75" x14ac:dyDescent="0.15">
      <c r="A116" s="10" t="str">
        <f t="shared" ca="1" si="5"/>
        <v/>
      </c>
      <c r="B116" s="58"/>
      <c r="C116" s="11"/>
      <c r="D116" s="11"/>
      <c r="E116" s="11"/>
      <c r="F116" s="12">
        <f t="shared" si="6"/>
        <v>0</v>
      </c>
      <c r="G116" s="13">
        <f t="shared" si="7"/>
        <v>0</v>
      </c>
      <c r="H116" s="13">
        <f t="shared" si="8"/>
        <v>0</v>
      </c>
      <c r="I116" s="42"/>
      <c r="J116" s="44"/>
      <c r="K116" s="11"/>
    </row>
    <row r="117" spans="1:11" ht="18.75" x14ac:dyDescent="0.15">
      <c r="A117" s="10" t="str">
        <f t="shared" ca="1" si="5"/>
        <v/>
      </c>
      <c r="B117" s="58"/>
      <c r="C117" s="11"/>
      <c r="D117" s="11"/>
      <c r="E117" s="11"/>
      <c r="F117" s="12">
        <f t="shared" si="6"/>
        <v>0</v>
      </c>
      <c r="G117" s="13">
        <f t="shared" si="7"/>
        <v>0</v>
      </c>
      <c r="H117" s="13">
        <f t="shared" si="8"/>
        <v>0</v>
      </c>
      <c r="I117" s="42"/>
      <c r="J117" s="44"/>
      <c r="K117" s="11"/>
    </row>
    <row r="118" spans="1:11" ht="18.75" x14ac:dyDescent="0.15">
      <c r="A118" s="10" t="str">
        <f t="shared" ca="1" si="5"/>
        <v/>
      </c>
      <c r="B118" s="58"/>
      <c r="C118" s="11"/>
      <c r="D118" s="11"/>
      <c r="E118" s="11"/>
      <c r="F118" s="12">
        <f t="shared" si="6"/>
        <v>0</v>
      </c>
      <c r="G118" s="13">
        <f t="shared" si="7"/>
        <v>0</v>
      </c>
      <c r="H118" s="13">
        <f t="shared" si="8"/>
        <v>0</v>
      </c>
      <c r="I118" s="42"/>
      <c r="J118" s="44"/>
      <c r="K118" s="11"/>
    </row>
    <row r="119" spans="1:11" ht="18.75" x14ac:dyDescent="0.15">
      <c r="A119" s="10" t="str">
        <f t="shared" ca="1" si="5"/>
        <v/>
      </c>
      <c r="B119" s="58"/>
      <c r="C119" s="11"/>
      <c r="D119" s="11"/>
      <c r="E119" s="11"/>
      <c r="F119" s="12">
        <f t="shared" si="6"/>
        <v>0</v>
      </c>
      <c r="G119" s="13">
        <f t="shared" si="7"/>
        <v>0</v>
      </c>
      <c r="H119" s="13">
        <f t="shared" si="8"/>
        <v>0</v>
      </c>
      <c r="I119" s="42"/>
      <c r="J119" s="44"/>
      <c r="K119" s="11"/>
    </row>
    <row r="120" spans="1:11" ht="18.75" x14ac:dyDescent="0.15">
      <c r="A120" s="10" t="str">
        <f t="shared" ca="1" si="5"/>
        <v/>
      </c>
      <c r="B120" s="58"/>
      <c r="C120" s="11"/>
      <c r="D120" s="11"/>
      <c r="E120" s="11"/>
      <c r="F120" s="12">
        <f t="shared" si="6"/>
        <v>0</v>
      </c>
      <c r="G120" s="13">
        <f t="shared" si="7"/>
        <v>0</v>
      </c>
      <c r="H120" s="13">
        <f t="shared" si="8"/>
        <v>0</v>
      </c>
      <c r="I120" s="42"/>
      <c r="J120" s="44"/>
      <c r="K120" s="11"/>
    </row>
    <row r="121" spans="1:11" ht="18.75" x14ac:dyDescent="0.15">
      <c r="A121" s="10" t="str">
        <f t="shared" ca="1" si="5"/>
        <v/>
      </c>
      <c r="B121" s="58"/>
      <c r="C121" s="11"/>
      <c r="D121" s="11"/>
      <c r="E121" s="11"/>
      <c r="F121" s="12">
        <f t="shared" si="6"/>
        <v>0</v>
      </c>
      <c r="G121" s="13">
        <f t="shared" si="7"/>
        <v>0</v>
      </c>
      <c r="H121" s="13">
        <f t="shared" si="8"/>
        <v>0</v>
      </c>
      <c r="I121" s="42"/>
      <c r="J121" s="44"/>
      <c r="K121" s="11"/>
    </row>
    <row r="122" spans="1:11" ht="18.75" x14ac:dyDescent="0.15">
      <c r="A122" s="10" t="str">
        <f t="shared" ca="1" si="5"/>
        <v/>
      </c>
      <c r="B122" s="58"/>
      <c r="C122" s="11"/>
      <c r="D122" s="11"/>
      <c r="E122" s="11"/>
      <c r="F122" s="12">
        <f t="shared" si="6"/>
        <v>0</v>
      </c>
      <c r="G122" s="13">
        <f t="shared" si="7"/>
        <v>0</v>
      </c>
      <c r="H122" s="13">
        <f t="shared" si="8"/>
        <v>0</v>
      </c>
      <c r="I122" s="42"/>
      <c r="J122" s="44"/>
      <c r="K122" s="11"/>
    </row>
    <row r="123" spans="1:11" ht="18.75" x14ac:dyDescent="0.15">
      <c r="A123" s="10" t="str">
        <f t="shared" ca="1" si="5"/>
        <v/>
      </c>
      <c r="B123" s="58"/>
      <c r="C123" s="11"/>
      <c r="D123" s="11"/>
      <c r="E123" s="11"/>
      <c r="F123" s="12">
        <f t="shared" si="6"/>
        <v>0</v>
      </c>
      <c r="G123" s="13">
        <f t="shared" si="7"/>
        <v>0</v>
      </c>
      <c r="H123" s="13">
        <f t="shared" si="8"/>
        <v>0</v>
      </c>
      <c r="I123" s="42"/>
      <c r="J123" s="44"/>
      <c r="K123" s="11"/>
    </row>
    <row r="124" spans="1:11" ht="18.75" x14ac:dyDescent="0.15">
      <c r="A124" s="10" t="str">
        <f t="shared" ca="1" si="5"/>
        <v/>
      </c>
      <c r="B124" s="58"/>
      <c r="C124" s="11"/>
      <c r="D124" s="11"/>
      <c r="E124" s="11"/>
      <c r="F124" s="12">
        <f t="shared" si="6"/>
        <v>0</v>
      </c>
      <c r="G124" s="13">
        <f t="shared" si="7"/>
        <v>0</v>
      </c>
      <c r="H124" s="13">
        <f t="shared" si="8"/>
        <v>0</v>
      </c>
      <c r="I124" s="42"/>
      <c r="J124" s="44"/>
      <c r="K124" s="11"/>
    </row>
    <row r="125" spans="1:11" ht="18.75" x14ac:dyDescent="0.15">
      <c r="A125" s="10" t="str">
        <f t="shared" ca="1" si="5"/>
        <v/>
      </c>
      <c r="B125" s="58"/>
      <c r="C125" s="11"/>
      <c r="D125" s="11"/>
      <c r="E125" s="11"/>
      <c r="F125" s="12">
        <f t="shared" si="6"/>
        <v>0</v>
      </c>
      <c r="G125" s="13">
        <f t="shared" si="7"/>
        <v>0</v>
      </c>
      <c r="H125" s="13">
        <f t="shared" si="8"/>
        <v>0</v>
      </c>
      <c r="I125" s="42"/>
      <c r="J125" s="44"/>
      <c r="K125" s="11"/>
    </row>
    <row r="126" spans="1:11" ht="18.75" x14ac:dyDescent="0.15">
      <c r="A126" s="10" t="str">
        <f t="shared" ca="1" si="5"/>
        <v/>
      </c>
      <c r="B126" s="58"/>
      <c r="C126" s="11"/>
      <c r="D126" s="11"/>
      <c r="E126" s="11"/>
      <c r="F126" s="12">
        <f t="shared" si="6"/>
        <v>0</v>
      </c>
      <c r="G126" s="13">
        <f t="shared" si="7"/>
        <v>0</v>
      </c>
      <c r="H126" s="13">
        <f t="shared" si="8"/>
        <v>0</v>
      </c>
      <c r="I126" s="42"/>
      <c r="J126" s="44"/>
      <c r="K126" s="11"/>
    </row>
    <row r="127" spans="1:11" ht="18.75" x14ac:dyDescent="0.15">
      <c r="A127" s="10" t="str">
        <f t="shared" ca="1" si="5"/>
        <v/>
      </c>
      <c r="B127" s="58"/>
      <c r="C127" s="11"/>
      <c r="D127" s="11"/>
      <c r="E127" s="11"/>
      <c r="F127" s="12">
        <f t="shared" si="6"/>
        <v>0</v>
      </c>
      <c r="G127" s="13">
        <f t="shared" si="7"/>
        <v>0</v>
      </c>
      <c r="H127" s="13">
        <f t="shared" si="8"/>
        <v>0</v>
      </c>
      <c r="I127" s="42"/>
      <c r="J127" s="44"/>
      <c r="K127" s="11"/>
    </row>
    <row r="128" spans="1:11" ht="18.75" x14ac:dyDescent="0.15">
      <c r="A128" s="10" t="str">
        <f t="shared" ca="1" si="5"/>
        <v/>
      </c>
      <c r="B128" s="58"/>
      <c r="C128" s="11"/>
      <c r="D128" s="11"/>
      <c r="E128" s="11"/>
      <c r="F128" s="12">
        <f t="shared" si="6"/>
        <v>0</v>
      </c>
      <c r="G128" s="13">
        <f t="shared" si="7"/>
        <v>0</v>
      </c>
      <c r="H128" s="13">
        <f t="shared" si="8"/>
        <v>0</v>
      </c>
      <c r="I128" s="42"/>
      <c r="J128" s="44"/>
      <c r="K128" s="11"/>
    </row>
    <row r="129" spans="1:11" ht="18.75" x14ac:dyDescent="0.15">
      <c r="A129" s="10" t="str">
        <f t="shared" ca="1" si="5"/>
        <v/>
      </c>
      <c r="B129" s="58"/>
      <c r="C129" s="11"/>
      <c r="D129" s="11"/>
      <c r="E129" s="11"/>
      <c r="F129" s="12">
        <f t="shared" si="6"/>
        <v>0</v>
      </c>
      <c r="G129" s="13">
        <f t="shared" si="7"/>
        <v>0</v>
      </c>
      <c r="H129" s="13">
        <f t="shared" si="8"/>
        <v>0</v>
      </c>
      <c r="I129" s="42"/>
      <c r="J129" s="44"/>
      <c r="K129" s="11"/>
    </row>
    <row r="130" spans="1:11" ht="18.75" x14ac:dyDescent="0.15">
      <c r="A130" s="10" t="str">
        <f t="shared" ca="1" si="5"/>
        <v/>
      </c>
      <c r="B130" s="58"/>
      <c r="C130" s="11"/>
      <c r="D130" s="11"/>
      <c r="E130" s="11"/>
      <c r="F130" s="12">
        <f t="shared" si="6"/>
        <v>0</v>
      </c>
      <c r="G130" s="13">
        <f t="shared" si="7"/>
        <v>0</v>
      </c>
      <c r="H130" s="13">
        <f t="shared" si="8"/>
        <v>0</v>
      </c>
      <c r="I130" s="42"/>
      <c r="J130" s="44"/>
      <c r="K130" s="11"/>
    </row>
    <row r="131" spans="1:11" ht="18.75" x14ac:dyDescent="0.15">
      <c r="A131" s="10" t="str">
        <f t="shared" ref="A131:A160" ca="1" si="9">IF(B131="","",IF(A131="",NOW(),A131))</f>
        <v/>
      </c>
      <c r="B131" s="58"/>
      <c r="C131" s="11"/>
      <c r="D131" s="11"/>
      <c r="E131" s="11"/>
      <c r="F131" s="12">
        <f t="shared" ref="F131:F160" si="10">(IF(E131-C131&lt;0,"24:00"-C131+E131,E131-C131))*24</f>
        <v>0</v>
      </c>
      <c r="G131" s="13">
        <f t="shared" ref="G131:G160" si="11">F131-H131</f>
        <v>0</v>
      </c>
      <c r="H131" s="13">
        <f t="shared" ref="H131:H160" si="12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9"/>
        <v/>
      </c>
      <c r="B132" s="58"/>
      <c r="C132" s="11"/>
      <c r="D132" s="11"/>
      <c r="E132" s="11"/>
      <c r="F132" s="12">
        <f t="shared" si="10"/>
        <v>0</v>
      </c>
      <c r="G132" s="13">
        <f t="shared" si="11"/>
        <v>0</v>
      </c>
      <c r="H132" s="13">
        <f t="shared" si="12"/>
        <v>0</v>
      </c>
      <c r="I132" s="42"/>
      <c r="J132" s="44"/>
      <c r="K132" s="11"/>
    </row>
    <row r="133" spans="1:11" ht="18.75" x14ac:dyDescent="0.15">
      <c r="A133" s="10" t="str">
        <f t="shared" ca="1" si="9"/>
        <v/>
      </c>
      <c r="B133" s="58"/>
      <c r="C133" s="11"/>
      <c r="D133" s="11"/>
      <c r="E133" s="11"/>
      <c r="F133" s="12">
        <f t="shared" si="10"/>
        <v>0</v>
      </c>
      <c r="G133" s="13">
        <f t="shared" si="11"/>
        <v>0</v>
      </c>
      <c r="H133" s="13">
        <f t="shared" si="12"/>
        <v>0</v>
      </c>
      <c r="I133" s="42"/>
      <c r="J133" s="44"/>
      <c r="K133" s="11"/>
    </row>
    <row r="134" spans="1:11" ht="18.75" x14ac:dyDescent="0.15">
      <c r="A134" s="10" t="str">
        <f t="shared" ca="1" si="9"/>
        <v/>
      </c>
      <c r="B134" s="58"/>
      <c r="C134" s="11"/>
      <c r="D134" s="11"/>
      <c r="E134" s="11"/>
      <c r="F134" s="12">
        <f t="shared" si="10"/>
        <v>0</v>
      </c>
      <c r="G134" s="13">
        <f t="shared" si="11"/>
        <v>0</v>
      </c>
      <c r="H134" s="13">
        <f t="shared" si="12"/>
        <v>0</v>
      </c>
      <c r="I134" s="42"/>
      <c r="J134" s="44"/>
      <c r="K134" s="11"/>
    </row>
    <row r="135" spans="1:11" ht="18.75" x14ac:dyDescent="0.15">
      <c r="A135" s="10" t="str">
        <f t="shared" ca="1" si="9"/>
        <v/>
      </c>
      <c r="B135" s="58"/>
      <c r="C135" s="11"/>
      <c r="D135" s="11"/>
      <c r="E135" s="11"/>
      <c r="F135" s="12">
        <f t="shared" si="10"/>
        <v>0</v>
      </c>
      <c r="G135" s="13">
        <f t="shared" si="11"/>
        <v>0</v>
      </c>
      <c r="H135" s="13">
        <f t="shared" si="12"/>
        <v>0</v>
      </c>
      <c r="I135" s="42"/>
      <c r="J135" s="44"/>
      <c r="K135" s="11"/>
    </row>
    <row r="136" spans="1:11" ht="18.75" x14ac:dyDescent="0.15">
      <c r="A136" s="10" t="str">
        <f t="shared" ca="1" si="9"/>
        <v/>
      </c>
      <c r="B136" s="58"/>
      <c r="C136" s="11"/>
      <c r="D136" s="11"/>
      <c r="E136" s="11"/>
      <c r="F136" s="12">
        <f t="shared" si="10"/>
        <v>0</v>
      </c>
      <c r="G136" s="13">
        <f t="shared" si="11"/>
        <v>0</v>
      </c>
      <c r="H136" s="13">
        <f t="shared" si="12"/>
        <v>0</v>
      </c>
      <c r="I136" s="42"/>
      <c r="J136" s="44"/>
      <c r="K136" s="11"/>
    </row>
    <row r="137" spans="1:11" ht="18.75" x14ac:dyDescent="0.15">
      <c r="A137" s="10" t="str">
        <f t="shared" ca="1" si="9"/>
        <v/>
      </c>
      <c r="B137" s="58"/>
      <c r="C137" s="11"/>
      <c r="D137" s="11"/>
      <c r="E137" s="11"/>
      <c r="F137" s="12">
        <f t="shared" si="10"/>
        <v>0</v>
      </c>
      <c r="G137" s="13">
        <f t="shared" si="11"/>
        <v>0</v>
      </c>
      <c r="H137" s="13">
        <f t="shared" si="12"/>
        <v>0</v>
      </c>
      <c r="I137" s="42"/>
      <c r="J137" s="44"/>
      <c r="K137" s="11"/>
    </row>
    <row r="138" spans="1:11" ht="18.75" x14ac:dyDescent="0.15">
      <c r="A138" s="10" t="str">
        <f t="shared" ca="1" si="9"/>
        <v/>
      </c>
      <c r="B138" s="58"/>
      <c r="C138" s="11"/>
      <c r="D138" s="11"/>
      <c r="E138" s="11"/>
      <c r="F138" s="12">
        <f t="shared" si="10"/>
        <v>0</v>
      </c>
      <c r="G138" s="13">
        <f t="shared" si="11"/>
        <v>0</v>
      </c>
      <c r="H138" s="13">
        <f t="shared" si="12"/>
        <v>0</v>
      </c>
      <c r="I138" s="42"/>
      <c r="J138" s="44"/>
      <c r="K138" s="11"/>
    </row>
    <row r="139" spans="1:11" ht="18.75" x14ac:dyDescent="0.15">
      <c r="A139" s="10" t="str">
        <f t="shared" ca="1" si="9"/>
        <v/>
      </c>
      <c r="B139" s="58"/>
      <c r="C139" s="11"/>
      <c r="D139" s="11"/>
      <c r="E139" s="11"/>
      <c r="F139" s="12">
        <f t="shared" si="10"/>
        <v>0</v>
      </c>
      <c r="G139" s="13">
        <f t="shared" si="11"/>
        <v>0</v>
      </c>
      <c r="H139" s="13">
        <f t="shared" si="12"/>
        <v>0</v>
      </c>
      <c r="I139" s="42"/>
      <c r="J139" s="44"/>
      <c r="K139" s="11"/>
    </row>
    <row r="140" spans="1:11" ht="18.75" x14ac:dyDescent="0.15">
      <c r="A140" s="10" t="str">
        <f t="shared" ca="1" si="9"/>
        <v/>
      </c>
      <c r="B140" s="58"/>
      <c r="C140" s="11"/>
      <c r="D140" s="11"/>
      <c r="E140" s="11"/>
      <c r="F140" s="12">
        <f t="shared" si="10"/>
        <v>0</v>
      </c>
      <c r="G140" s="13">
        <f t="shared" si="11"/>
        <v>0</v>
      </c>
      <c r="H140" s="13">
        <f t="shared" si="12"/>
        <v>0</v>
      </c>
      <c r="I140" s="42"/>
      <c r="J140" s="44"/>
      <c r="K140" s="11"/>
    </row>
    <row r="141" spans="1:11" ht="18.75" x14ac:dyDescent="0.15">
      <c r="A141" s="10" t="str">
        <f t="shared" ca="1" si="9"/>
        <v/>
      </c>
      <c r="B141" s="58"/>
      <c r="C141" s="11"/>
      <c r="D141" s="11"/>
      <c r="E141" s="11"/>
      <c r="F141" s="12">
        <f t="shared" si="10"/>
        <v>0</v>
      </c>
      <c r="G141" s="13">
        <f t="shared" si="11"/>
        <v>0</v>
      </c>
      <c r="H141" s="13">
        <f t="shared" si="12"/>
        <v>0</v>
      </c>
      <c r="I141" s="42"/>
      <c r="J141" s="44"/>
      <c r="K141" s="11"/>
    </row>
    <row r="142" spans="1:11" ht="18.75" x14ac:dyDescent="0.15">
      <c r="A142" s="10" t="str">
        <f t="shared" ca="1" si="9"/>
        <v/>
      </c>
      <c r="B142" s="58"/>
      <c r="C142" s="11"/>
      <c r="D142" s="11"/>
      <c r="E142" s="11"/>
      <c r="F142" s="12">
        <f t="shared" si="10"/>
        <v>0</v>
      </c>
      <c r="G142" s="13">
        <f t="shared" si="11"/>
        <v>0</v>
      </c>
      <c r="H142" s="13">
        <f t="shared" si="12"/>
        <v>0</v>
      </c>
      <c r="I142" s="42"/>
      <c r="J142" s="44"/>
      <c r="K142" s="11"/>
    </row>
    <row r="143" spans="1:11" ht="18.75" x14ac:dyDescent="0.15">
      <c r="A143" s="10" t="str">
        <f t="shared" ca="1" si="9"/>
        <v/>
      </c>
      <c r="B143" s="58"/>
      <c r="C143" s="11"/>
      <c r="D143" s="11"/>
      <c r="E143" s="11"/>
      <c r="F143" s="12">
        <f t="shared" si="10"/>
        <v>0</v>
      </c>
      <c r="G143" s="13">
        <f t="shared" si="11"/>
        <v>0</v>
      </c>
      <c r="H143" s="13">
        <f t="shared" si="12"/>
        <v>0</v>
      </c>
      <c r="I143" s="42"/>
      <c r="J143" s="44"/>
      <c r="K143" s="11"/>
    </row>
    <row r="144" spans="1:11" ht="18.75" x14ac:dyDescent="0.15">
      <c r="A144" s="10" t="str">
        <f t="shared" ca="1" si="9"/>
        <v/>
      </c>
      <c r="B144" s="58"/>
      <c r="C144" s="11"/>
      <c r="D144" s="11"/>
      <c r="E144" s="11"/>
      <c r="F144" s="12">
        <f t="shared" si="10"/>
        <v>0</v>
      </c>
      <c r="G144" s="13">
        <f t="shared" si="11"/>
        <v>0</v>
      </c>
      <c r="H144" s="13">
        <f t="shared" si="12"/>
        <v>0</v>
      </c>
      <c r="I144" s="42"/>
      <c r="J144" s="44"/>
      <c r="K144" s="11"/>
    </row>
    <row r="145" spans="1:11" ht="18.75" x14ac:dyDescent="0.15">
      <c r="A145" s="10" t="str">
        <f t="shared" ca="1" si="9"/>
        <v/>
      </c>
      <c r="B145" s="58"/>
      <c r="C145" s="11"/>
      <c r="D145" s="11"/>
      <c r="E145" s="11"/>
      <c r="F145" s="12">
        <f t="shared" si="10"/>
        <v>0</v>
      </c>
      <c r="G145" s="13">
        <f t="shared" si="11"/>
        <v>0</v>
      </c>
      <c r="H145" s="13">
        <f t="shared" si="12"/>
        <v>0</v>
      </c>
      <c r="I145" s="42"/>
      <c r="J145" s="44"/>
      <c r="K145" s="11"/>
    </row>
    <row r="146" spans="1:11" ht="18.75" x14ac:dyDescent="0.15">
      <c r="A146" s="10" t="str">
        <f t="shared" ca="1" si="9"/>
        <v/>
      </c>
      <c r="B146" s="58"/>
      <c r="C146" s="11"/>
      <c r="D146" s="11"/>
      <c r="E146" s="11"/>
      <c r="F146" s="12">
        <f t="shared" si="10"/>
        <v>0</v>
      </c>
      <c r="G146" s="13">
        <f t="shared" si="11"/>
        <v>0</v>
      </c>
      <c r="H146" s="13">
        <f t="shared" si="12"/>
        <v>0</v>
      </c>
      <c r="I146" s="42"/>
      <c r="J146" s="44"/>
      <c r="K146" s="11"/>
    </row>
    <row r="147" spans="1:11" ht="18.75" x14ac:dyDescent="0.15">
      <c r="A147" s="10" t="str">
        <f t="shared" ca="1" si="9"/>
        <v/>
      </c>
      <c r="B147" s="58"/>
      <c r="C147" s="11"/>
      <c r="D147" s="11"/>
      <c r="E147" s="11"/>
      <c r="F147" s="12">
        <f t="shared" si="10"/>
        <v>0</v>
      </c>
      <c r="G147" s="13">
        <f t="shared" si="11"/>
        <v>0</v>
      </c>
      <c r="H147" s="13">
        <f t="shared" si="12"/>
        <v>0</v>
      </c>
      <c r="I147" s="42"/>
      <c r="J147" s="44"/>
      <c r="K147" s="11"/>
    </row>
    <row r="148" spans="1:11" ht="18.75" x14ac:dyDescent="0.15">
      <c r="A148" s="10" t="str">
        <f t="shared" ca="1" si="9"/>
        <v/>
      </c>
      <c r="B148" s="58"/>
      <c r="C148" s="11"/>
      <c r="D148" s="11"/>
      <c r="E148" s="11"/>
      <c r="F148" s="12">
        <f t="shared" si="10"/>
        <v>0</v>
      </c>
      <c r="G148" s="13">
        <f t="shared" si="11"/>
        <v>0</v>
      </c>
      <c r="H148" s="13">
        <f t="shared" si="12"/>
        <v>0</v>
      </c>
      <c r="I148" s="42"/>
      <c r="J148" s="44"/>
      <c r="K148" s="11"/>
    </row>
    <row r="149" spans="1:11" ht="18.75" x14ac:dyDescent="0.15">
      <c r="A149" s="10" t="str">
        <f t="shared" ca="1" si="9"/>
        <v/>
      </c>
      <c r="B149" s="58"/>
      <c r="C149" s="11"/>
      <c r="D149" s="11"/>
      <c r="E149" s="11"/>
      <c r="F149" s="12">
        <f t="shared" si="10"/>
        <v>0</v>
      </c>
      <c r="G149" s="13">
        <f t="shared" si="11"/>
        <v>0</v>
      </c>
      <c r="H149" s="13">
        <f t="shared" si="12"/>
        <v>0</v>
      </c>
      <c r="I149" s="42"/>
      <c r="J149" s="44"/>
      <c r="K149" s="11"/>
    </row>
    <row r="150" spans="1:11" ht="18.75" x14ac:dyDescent="0.15">
      <c r="A150" s="10" t="str">
        <f t="shared" ca="1" si="9"/>
        <v/>
      </c>
      <c r="B150" s="58"/>
      <c r="C150" s="11"/>
      <c r="D150" s="11"/>
      <c r="E150" s="11"/>
      <c r="F150" s="12">
        <f t="shared" si="10"/>
        <v>0</v>
      </c>
      <c r="G150" s="13">
        <f t="shared" si="11"/>
        <v>0</v>
      </c>
      <c r="H150" s="13">
        <f t="shared" si="12"/>
        <v>0</v>
      </c>
      <c r="I150" s="42"/>
      <c r="J150" s="44"/>
      <c r="K150" s="11"/>
    </row>
    <row r="151" spans="1:11" ht="18.75" x14ac:dyDescent="0.15">
      <c r="A151" s="10" t="str">
        <f t="shared" ca="1" si="9"/>
        <v/>
      </c>
      <c r="B151" s="58"/>
      <c r="C151" s="11"/>
      <c r="D151" s="11"/>
      <c r="E151" s="11"/>
      <c r="F151" s="12">
        <f t="shared" si="10"/>
        <v>0</v>
      </c>
      <c r="G151" s="13">
        <f t="shared" si="11"/>
        <v>0</v>
      </c>
      <c r="H151" s="13">
        <f t="shared" si="12"/>
        <v>0</v>
      </c>
      <c r="I151" s="42"/>
      <c r="J151" s="44"/>
      <c r="K151" s="11"/>
    </row>
    <row r="152" spans="1:11" ht="18.75" x14ac:dyDescent="0.15">
      <c r="A152" s="10" t="str">
        <f t="shared" ca="1" si="9"/>
        <v/>
      </c>
      <c r="B152" s="58"/>
      <c r="C152" s="11"/>
      <c r="D152" s="11"/>
      <c r="E152" s="11"/>
      <c r="F152" s="12">
        <f t="shared" si="10"/>
        <v>0</v>
      </c>
      <c r="G152" s="13">
        <f t="shared" si="11"/>
        <v>0</v>
      </c>
      <c r="H152" s="13">
        <f t="shared" si="12"/>
        <v>0</v>
      </c>
      <c r="I152" s="42"/>
      <c r="J152" s="44"/>
      <c r="K152" s="11"/>
    </row>
    <row r="153" spans="1:11" ht="18.75" x14ac:dyDescent="0.15">
      <c r="A153" s="10" t="str">
        <f t="shared" ca="1" si="9"/>
        <v/>
      </c>
      <c r="B153" s="58"/>
      <c r="C153" s="11"/>
      <c r="D153" s="11"/>
      <c r="E153" s="11"/>
      <c r="F153" s="12">
        <f t="shared" si="10"/>
        <v>0</v>
      </c>
      <c r="G153" s="13">
        <f t="shared" si="11"/>
        <v>0</v>
      </c>
      <c r="H153" s="13">
        <f t="shared" si="12"/>
        <v>0</v>
      </c>
      <c r="I153" s="42"/>
      <c r="J153" s="44"/>
      <c r="K153" s="11"/>
    </row>
    <row r="154" spans="1:11" ht="18.75" x14ac:dyDescent="0.15">
      <c r="A154" s="10" t="str">
        <f t="shared" ca="1" si="9"/>
        <v/>
      </c>
      <c r="B154" s="58"/>
      <c r="C154" s="11"/>
      <c r="D154" s="11"/>
      <c r="E154" s="11"/>
      <c r="F154" s="12">
        <f t="shared" si="10"/>
        <v>0</v>
      </c>
      <c r="G154" s="13">
        <f t="shared" si="11"/>
        <v>0</v>
      </c>
      <c r="H154" s="13">
        <f t="shared" si="12"/>
        <v>0</v>
      </c>
      <c r="I154" s="42"/>
      <c r="J154" s="44"/>
      <c r="K154" s="11"/>
    </row>
    <row r="155" spans="1:11" ht="18.75" x14ac:dyDescent="0.15">
      <c r="A155" s="10" t="str">
        <f t="shared" ca="1" si="9"/>
        <v/>
      </c>
      <c r="B155" s="58"/>
      <c r="C155" s="11"/>
      <c r="D155" s="11"/>
      <c r="E155" s="11"/>
      <c r="F155" s="12">
        <f t="shared" si="10"/>
        <v>0</v>
      </c>
      <c r="G155" s="13">
        <f t="shared" si="11"/>
        <v>0</v>
      </c>
      <c r="H155" s="13">
        <f t="shared" si="12"/>
        <v>0</v>
      </c>
      <c r="I155" s="42"/>
      <c r="J155" s="44"/>
      <c r="K155" s="11"/>
    </row>
    <row r="156" spans="1:11" ht="18.75" x14ac:dyDescent="0.15">
      <c r="A156" s="10" t="str">
        <f t="shared" ca="1" si="9"/>
        <v/>
      </c>
      <c r="B156" s="58"/>
      <c r="C156" s="11"/>
      <c r="D156" s="11"/>
      <c r="E156" s="11"/>
      <c r="F156" s="12">
        <f t="shared" si="10"/>
        <v>0</v>
      </c>
      <c r="G156" s="13">
        <f t="shared" si="11"/>
        <v>0</v>
      </c>
      <c r="H156" s="13">
        <f t="shared" si="12"/>
        <v>0</v>
      </c>
      <c r="I156" s="42"/>
      <c r="J156" s="44"/>
      <c r="K156" s="11"/>
    </row>
    <row r="157" spans="1:11" ht="18.75" x14ac:dyDescent="0.15">
      <c r="A157" s="10" t="str">
        <f t="shared" ca="1" si="9"/>
        <v/>
      </c>
      <c r="B157" s="58"/>
      <c r="C157" s="11"/>
      <c r="D157" s="11"/>
      <c r="E157" s="11"/>
      <c r="F157" s="12">
        <f t="shared" si="10"/>
        <v>0</v>
      </c>
      <c r="G157" s="13">
        <f t="shared" si="11"/>
        <v>0</v>
      </c>
      <c r="H157" s="13">
        <f t="shared" si="12"/>
        <v>0</v>
      </c>
      <c r="I157" s="42"/>
      <c r="J157" s="44"/>
      <c r="K157" s="11"/>
    </row>
    <row r="158" spans="1:11" ht="18.75" x14ac:dyDescent="0.15">
      <c r="A158" s="10" t="str">
        <f t="shared" ca="1" si="9"/>
        <v/>
      </c>
      <c r="B158" s="58"/>
      <c r="C158" s="11"/>
      <c r="D158" s="11"/>
      <c r="E158" s="11"/>
      <c r="F158" s="12">
        <f t="shared" si="10"/>
        <v>0</v>
      </c>
      <c r="G158" s="13">
        <f t="shared" si="11"/>
        <v>0</v>
      </c>
      <c r="H158" s="13">
        <f t="shared" si="12"/>
        <v>0</v>
      </c>
      <c r="I158" s="42"/>
      <c r="J158" s="44"/>
      <c r="K158" s="11"/>
    </row>
    <row r="159" spans="1:11" ht="18.75" x14ac:dyDescent="0.15">
      <c r="A159" s="10" t="str">
        <f t="shared" ca="1" si="9"/>
        <v/>
      </c>
      <c r="B159" s="58"/>
      <c r="C159" s="11"/>
      <c r="D159" s="11"/>
      <c r="E159" s="11"/>
      <c r="F159" s="12">
        <f t="shared" si="10"/>
        <v>0</v>
      </c>
      <c r="G159" s="13">
        <f t="shared" si="11"/>
        <v>0</v>
      </c>
      <c r="H159" s="13">
        <f t="shared" si="12"/>
        <v>0</v>
      </c>
      <c r="I159" s="42"/>
      <c r="J159" s="44"/>
      <c r="K159" s="11"/>
    </row>
    <row r="160" spans="1:11" ht="18.75" x14ac:dyDescent="0.15">
      <c r="A160" s="10" t="str">
        <f t="shared" ca="1" si="9"/>
        <v/>
      </c>
      <c r="B160" s="58"/>
      <c r="C160" s="11"/>
      <c r="D160" s="11"/>
      <c r="E160" s="11"/>
      <c r="F160" s="12">
        <f t="shared" si="10"/>
        <v>0</v>
      </c>
      <c r="G160" s="13">
        <f t="shared" si="11"/>
        <v>0</v>
      </c>
      <c r="H160" s="13">
        <f t="shared" si="12"/>
        <v>0</v>
      </c>
      <c r="I160" s="42"/>
      <c r="J160" s="44"/>
      <c r="K160" s="11"/>
    </row>
    <row r="161" spans="1:11" ht="18.75" x14ac:dyDescent="0.15">
      <c r="A161" s="10" t="str">
        <f t="shared" ref="A161:A193" ca="1" si="13">IF(B161="","",IF(A161="",NOW(),A161))</f>
        <v/>
      </c>
      <c r="B161" s="5"/>
      <c r="C161" s="11"/>
      <c r="D161" s="11"/>
      <c r="E161" s="11"/>
      <c r="F161" s="12">
        <f t="shared" ref="F161:F193" si="14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ref="A194:A257" ca="1" si="15">IF(B194="","",IF(A194="",NOW(),A194))</f>
        <v/>
      </c>
      <c r="B194" s="5"/>
      <c r="C194" s="11"/>
      <c r="D194" s="11"/>
      <c r="E194" s="11"/>
      <c r="F194" s="12">
        <f t="shared" ref="F194:F204" si="16">(IF(E194-C194&lt;0,"24:00"-C194+E194,E194-C194))*24</f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ca="1" si="15"/>
        <v/>
      </c>
      <c r="B195" s="5"/>
      <c r="C195" s="11"/>
      <c r="D195" s="11"/>
      <c r="E195" s="11"/>
      <c r="F195" s="12">
        <f t="shared" si="16"/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5"/>
        <v/>
      </c>
      <c r="B196" s="5"/>
      <c r="C196" s="11"/>
      <c r="D196" s="11"/>
      <c r="E196" s="11"/>
      <c r="F196" s="12">
        <f t="shared" si="16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5"/>
        <v/>
      </c>
      <c r="B197" s="5"/>
      <c r="C197" s="11"/>
      <c r="D197" s="11"/>
      <c r="E197" s="11"/>
      <c r="F197" s="12">
        <f t="shared" si="16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5"/>
        <v/>
      </c>
      <c r="B198" s="5"/>
      <c r="C198" s="11"/>
      <c r="D198" s="11"/>
      <c r="E198" s="11"/>
      <c r="F198" s="12">
        <f t="shared" si="16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5"/>
        <v/>
      </c>
      <c r="B199" s="5"/>
      <c r="C199" s="11"/>
      <c r="D199" s="11"/>
      <c r="E199" s="11"/>
      <c r="F199" s="12">
        <f t="shared" si="16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5"/>
        <v/>
      </c>
      <c r="B200" s="5"/>
      <c r="C200" s="11"/>
      <c r="D200" s="11"/>
      <c r="E200" s="11"/>
      <c r="F200" s="12">
        <f t="shared" si="16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5"/>
        <v/>
      </c>
      <c r="B201" s="5"/>
      <c r="C201" s="11"/>
      <c r="D201" s="11"/>
      <c r="E201" s="11"/>
      <c r="F201" s="12">
        <f t="shared" si="16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5"/>
        <v/>
      </c>
      <c r="B202" s="5"/>
      <c r="C202" s="11"/>
      <c r="D202" s="11"/>
      <c r="E202" s="11"/>
      <c r="F202" s="12">
        <f t="shared" si="16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5"/>
        <v/>
      </c>
      <c r="B203" s="5"/>
      <c r="C203" s="11"/>
      <c r="D203" s="11"/>
      <c r="E203" s="11"/>
      <c r="F203" s="12">
        <f t="shared" si="16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5"/>
        <v/>
      </c>
      <c r="B204" s="5"/>
      <c r="C204" s="11"/>
      <c r="D204" s="11"/>
      <c r="E204" s="11"/>
      <c r="F204" s="12">
        <f t="shared" si="16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5"/>
        <v/>
      </c>
      <c r="B205" s="5"/>
      <c r="C205" s="11"/>
      <c r="D205" s="11"/>
      <c r="E205" s="11"/>
      <c r="F205" s="12">
        <f t="shared" ref="F205:F268" si="17">IF(E205-C205&lt;0,"24:00"-C205+E205,E205-C205)</f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5"/>
        <v/>
      </c>
      <c r="B206" s="5"/>
      <c r="C206" s="11"/>
      <c r="D206" s="11"/>
      <c r="E206" s="11"/>
      <c r="F206" s="12">
        <f t="shared" si="17"/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5"/>
        <v/>
      </c>
      <c r="B207" s="5"/>
      <c r="C207" s="11"/>
      <c r="D207" s="11"/>
      <c r="E207" s="11"/>
      <c r="F207" s="12">
        <f t="shared" si="17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5"/>
        <v/>
      </c>
      <c r="B208" s="5"/>
      <c r="C208" s="11"/>
      <c r="D208" s="11"/>
      <c r="E208" s="11"/>
      <c r="F208" s="12">
        <f t="shared" si="17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5"/>
        <v/>
      </c>
      <c r="B209" s="5"/>
      <c r="C209" s="11"/>
      <c r="D209" s="11"/>
      <c r="E209" s="11"/>
      <c r="F209" s="12">
        <f t="shared" si="17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5"/>
        <v/>
      </c>
      <c r="B210" s="5"/>
      <c r="C210" s="11"/>
      <c r="D210" s="11"/>
      <c r="E210" s="11"/>
      <c r="F210" s="12">
        <f t="shared" si="17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5"/>
        <v/>
      </c>
      <c r="B211" s="5"/>
      <c r="C211" s="11"/>
      <c r="D211" s="11"/>
      <c r="E211" s="11"/>
      <c r="F211" s="12">
        <f t="shared" si="17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5"/>
        <v/>
      </c>
      <c r="B212" s="5"/>
      <c r="C212" s="11"/>
      <c r="D212" s="11"/>
      <c r="E212" s="11"/>
      <c r="F212" s="12">
        <f t="shared" si="17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5"/>
        <v/>
      </c>
      <c r="B213" s="5"/>
      <c r="C213" s="11"/>
      <c r="D213" s="11"/>
      <c r="E213" s="11"/>
      <c r="F213" s="12">
        <f t="shared" si="17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5"/>
        <v/>
      </c>
      <c r="B214" s="5"/>
      <c r="C214" s="11"/>
      <c r="D214" s="11"/>
      <c r="E214" s="11"/>
      <c r="F214" s="12">
        <f t="shared" si="17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5"/>
        <v/>
      </c>
      <c r="B215" s="5"/>
      <c r="C215" s="11"/>
      <c r="D215" s="11"/>
      <c r="E215" s="11"/>
      <c r="F215" s="12">
        <f t="shared" si="17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5"/>
        <v/>
      </c>
      <c r="B216" s="5"/>
      <c r="C216" s="11"/>
      <c r="D216" s="11"/>
      <c r="E216" s="11"/>
      <c r="F216" s="12">
        <f t="shared" si="17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5"/>
        <v/>
      </c>
      <c r="B217" s="5"/>
      <c r="C217" s="11"/>
      <c r="D217" s="11"/>
      <c r="E217" s="11"/>
      <c r="F217" s="12">
        <f t="shared" si="17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5"/>
        <v/>
      </c>
      <c r="B218" s="5"/>
      <c r="C218" s="11"/>
      <c r="D218" s="11"/>
      <c r="E218" s="11"/>
      <c r="F218" s="12">
        <f t="shared" si="17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5"/>
        <v/>
      </c>
      <c r="B219" s="5"/>
      <c r="C219" s="11"/>
      <c r="D219" s="11"/>
      <c r="E219" s="11"/>
      <c r="F219" s="12">
        <f t="shared" si="17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5"/>
        <v/>
      </c>
      <c r="B220" s="5"/>
      <c r="C220" s="11"/>
      <c r="D220" s="11"/>
      <c r="E220" s="11"/>
      <c r="F220" s="12">
        <f t="shared" si="17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5"/>
        <v/>
      </c>
      <c r="B221" s="5"/>
      <c r="C221" s="11"/>
      <c r="D221" s="11"/>
      <c r="E221" s="11"/>
      <c r="F221" s="12">
        <f t="shared" si="17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5"/>
        <v/>
      </c>
      <c r="B222" s="5"/>
      <c r="C222" s="11"/>
      <c r="D222" s="11"/>
      <c r="E222" s="11"/>
      <c r="F222" s="12">
        <f t="shared" si="17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5"/>
        <v/>
      </c>
      <c r="B223" s="5"/>
      <c r="C223" s="11"/>
      <c r="D223" s="11"/>
      <c r="E223" s="11"/>
      <c r="F223" s="12">
        <f t="shared" si="17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5"/>
        <v/>
      </c>
      <c r="B224" s="5"/>
      <c r="C224" s="11"/>
      <c r="D224" s="11"/>
      <c r="E224" s="11"/>
      <c r="F224" s="12">
        <f t="shared" si="17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5"/>
        <v/>
      </c>
      <c r="B225" s="5"/>
      <c r="C225" s="11"/>
      <c r="D225" s="11"/>
      <c r="E225" s="11"/>
      <c r="F225" s="12">
        <f t="shared" si="17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5"/>
        <v/>
      </c>
      <c r="B226" s="5"/>
      <c r="C226" s="11"/>
      <c r="D226" s="11"/>
      <c r="E226" s="11"/>
      <c r="F226" s="12">
        <f t="shared" si="17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5"/>
        <v/>
      </c>
      <c r="B227" s="5"/>
      <c r="C227" s="11"/>
      <c r="D227" s="11"/>
      <c r="E227" s="11"/>
      <c r="F227" s="12">
        <f t="shared" si="17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5"/>
        <v/>
      </c>
      <c r="B228" s="5"/>
      <c r="C228" s="11"/>
      <c r="D228" s="11"/>
      <c r="E228" s="11"/>
      <c r="F228" s="12">
        <f t="shared" si="17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5"/>
        <v/>
      </c>
      <c r="B229" s="5"/>
      <c r="C229" s="11"/>
      <c r="D229" s="11"/>
      <c r="E229" s="11"/>
      <c r="F229" s="12">
        <f t="shared" si="17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5"/>
        <v/>
      </c>
      <c r="B230" s="5"/>
      <c r="C230" s="11"/>
      <c r="D230" s="11"/>
      <c r="E230" s="11"/>
      <c r="F230" s="12">
        <f t="shared" si="17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5"/>
        <v/>
      </c>
      <c r="B231" s="5"/>
      <c r="C231" s="11"/>
      <c r="D231" s="11"/>
      <c r="E231" s="11"/>
      <c r="F231" s="12">
        <f t="shared" si="17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5"/>
        <v/>
      </c>
      <c r="B232" s="5"/>
      <c r="C232" s="11"/>
      <c r="D232" s="11"/>
      <c r="E232" s="11"/>
      <c r="F232" s="12">
        <f t="shared" si="17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5"/>
        <v/>
      </c>
      <c r="B233" s="5"/>
      <c r="C233" s="11"/>
      <c r="D233" s="11"/>
      <c r="E233" s="11"/>
      <c r="F233" s="12">
        <f t="shared" si="17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5"/>
        <v/>
      </c>
      <c r="B234" s="5"/>
      <c r="C234" s="11"/>
      <c r="D234" s="11"/>
      <c r="E234" s="11"/>
      <c r="F234" s="12">
        <f t="shared" si="17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5"/>
        <v/>
      </c>
      <c r="B235" s="5"/>
      <c r="C235" s="11"/>
      <c r="D235" s="11"/>
      <c r="E235" s="11"/>
      <c r="F235" s="12">
        <f t="shared" si="17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5"/>
        <v/>
      </c>
      <c r="B236" s="5"/>
      <c r="C236" s="11"/>
      <c r="D236" s="11"/>
      <c r="E236" s="11"/>
      <c r="F236" s="12">
        <f t="shared" si="17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5"/>
        <v/>
      </c>
      <c r="B237" s="5"/>
      <c r="C237" s="11"/>
      <c r="D237" s="11"/>
      <c r="E237" s="11"/>
      <c r="F237" s="12">
        <f t="shared" si="17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5"/>
        <v/>
      </c>
      <c r="B238" s="5"/>
      <c r="C238" s="11"/>
      <c r="D238" s="11"/>
      <c r="E238" s="11"/>
      <c r="F238" s="12">
        <f t="shared" si="17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5"/>
        <v/>
      </c>
      <c r="B239" s="5"/>
      <c r="C239" s="11"/>
      <c r="D239" s="11"/>
      <c r="E239" s="11"/>
      <c r="F239" s="12">
        <f t="shared" si="17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5"/>
        <v/>
      </c>
      <c r="B240" s="5"/>
      <c r="C240" s="11"/>
      <c r="D240" s="11"/>
      <c r="E240" s="11"/>
      <c r="F240" s="12">
        <f t="shared" si="17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5"/>
        <v/>
      </c>
      <c r="B241" s="5"/>
      <c r="C241" s="11"/>
      <c r="D241" s="11"/>
      <c r="E241" s="11"/>
      <c r="F241" s="12">
        <f t="shared" si="17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5"/>
        <v/>
      </c>
      <c r="B242" s="5"/>
      <c r="C242" s="11"/>
      <c r="D242" s="11"/>
      <c r="E242" s="11"/>
      <c r="F242" s="12">
        <f t="shared" si="17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5"/>
        <v/>
      </c>
      <c r="B243" s="5"/>
      <c r="C243" s="11"/>
      <c r="D243" s="11"/>
      <c r="E243" s="11"/>
      <c r="F243" s="12">
        <f t="shared" si="17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5"/>
        <v/>
      </c>
      <c r="B244" s="5"/>
      <c r="C244" s="11"/>
      <c r="D244" s="11"/>
      <c r="E244" s="11"/>
      <c r="F244" s="12">
        <f t="shared" si="17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5"/>
        <v/>
      </c>
      <c r="B245" s="5"/>
      <c r="C245" s="11"/>
      <c r="D245" s="11"/>
      <c r="E245" s="11"/>
      <c r="F245" s="12">
        <f t="shared" si="17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5"/>
        <v/>
      </c>
      <c r="B246" s="5"/>
      <c r="C246" s="11"/>
      <c r="D246" s="11"/>
      <c r="E246" s="11"/>
      <c r="F246" s="12">
        <f t="shared" si="17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5"/>
        <v/>
      </c>
      <c r="B247" s="5"/>
      <c r="C247" s="11"/>
      <c r="D247" s="11"/>
      <c r="E247" s="11"/>
      <c r="F247" s="12">
        <f t="shared" si="17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5"/>
        <v/>
      </c>
      <c r="B248" s="5"/>
      <c r="C248" s="11"/>
      <c r="D248" s="11"/>
      <c r="E248" s="11"/>
      <c r="F248" s="12">
        <f t="shared" si="17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5"/>
        <v/>
      </c>
      <c r="B249" s="5"/>
      <c r="C249" s="11"/>
      <c r="D249" s="11"/>
      <c r="E249" s="11"/>
      <c r="F249" s="12">
        <f t="shared" si="17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5"/>
        <v/>
      </c>
      <c r="B250" s="5"/>
      <c r="C250" s="11"/>
      <c r="D250" s="11"/>
      <c r="E250" s="11"/>
      <c r="F250" s="12">
        <f t="shared" si="17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5"/>
        <v/>
      </c>
      <c r="B251" s="5"/>
      <c r="C251" s="11"/>
      <c r="D251" s="11"/>
      <c r="E251" s="11"/>
      <c r="F251" s="12">
        <f t="shared" si="17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5"/>
        <v/>
      </c>
      <c r="B252" s="5"/>
      <c r="C252" s="11"/>
      <c r="D252" s="11"/>
      <c r="E252" s="11"/>
      <c r="F252" s="12">
        <f t="shared" si="17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5"/>
        <v/>
      </c>
      <c r="B253" s="5"/>
      <c r="C253" s="11"/>
      <c r="D253" s="11"/>
      <c r="E253" s="11"/>
      <c r="F253" s="12">
        <f t="shared" si="17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5"/>
        <v/>
      </c>
      <c r="B254" s="5"/>
      <c r="C254" s="11"/>
      <c r="D254" s="11"/>
      <c r="E254" s="11"/>
      <c r="F254" s="12">
        <f t="shared" si="17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5"/>
        <v/>
      </c>
      <c r="B255" s="5"/>
      <c r="C255" s="11"/>
      <c r="D255" s="11"/>
      <c r="E255" s="11"/>
      <c r="F255" s="12">
        <f t="shared" si="17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5"/>
        <v/>
      </c>
      <c r="B256" s="5"/>
      <c r="C256" s="11"/>
      <c r="D256" s="11"/>
      <c r="E256" s="11"/>
      <c r="F256" s="12">
        <f t="shared" si="17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5"/>
        <v/>
      </c>
      <c r="B257" s="5"/>
      <c r="C257" s="11"/>
      <c r="D257" s="11"/>
      <c r="E257" s="11"/>
      <c r="F257" s="12">
        <f t="shared" si="17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ref="A258:A321" ca="1" si="18">IF(B258="","",IF(A258="",NOW(),A258))</f>
        <v/>
      </c>
      <c r="B258" s="5"/>
      <c r="C258" s="11"/>
      <c r="D258" s="11"/>
      <c r="E258" s="11"/>
      <c r="F258" s="12">
        <f t="shared" si="17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ca="1" si="18"/>
        <v/>
      </c>
      <c r="B259" s="5"/>
      <c r="C259" s="11"/>
      <c r="D259" s="11"/>
      <c r="E259" s="11"/>
      <c r="F259" s="12">
        <f t="shared" si="17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18"/>
        <v/>
      </c>
      <c r="B260" s="5"/>
      <c r="C260" s="11"/>
      <c r="D260" s="11"/>
      <c r="E260" s="11"/>
      <c r="F260" s="12">
        <f t="shared" si="17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18"/>
        <v/>
      </c>
      <c r="B261" s="5"/>
      <c r="C261" s="11"/>
      <c r="D261" s="11"/>
      <c r="E261" s="11"/>
      <c r="F261" s="12">
        <f t="shared" si="17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18"/>
        <v/>
      </c>
      <c r="B262" s="5"/>
      <c r="C262" s="11"/>
      <c r="D262" s="11"/>
      <c r="E262" s="11"/>
      <c r="F262" s="12">
        <f t="shared" si="17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18"/>
        <v/>
      </c>
      <c r="B263" s="5"/>
      <c r="C263" s="11"/>
      <c r="D263" s="11"/>
      <c r="E263" s="11"/>
      <c r="F263" s="12">
        <f t="shared" si="17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18"/>
        <v/>
      </c>
      <c r="B264" s="5"/>
      <c r="C264" s="11"/>
      <c r="D264" s="11"/>
      <c r="E264" s="11"/>
      <c r="F264" s="12">
        <f t="shared" si="17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18"/>
        <v/>
      </c>
      <c r="B265" s="5"/>
      <c r="C265" s="11"/>
      <c r="D265" s="11"/>
      <c r="E265" s="11"/>
      <c r="F265" s="12">
        <f t="shared" si="17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18"/>
        <v/>
      </c>
      <c r="B266" s="5"/>
      <c r="C266" s="11"/>
      <c r="D266" s="11"/>
      <c r="E266" s="11"/>
      <c r="F266" s="12">
        <f t="shared" si="17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18"/>
        <v/>
      </c>
      <c r="B267" s="5"/>
      <c r="C267" s="11"/>
      <c r="D267" s="11"/>
      <c r="E267" s="11"/>
      <c r="F267" s="12">
        <f t="shared" si="17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18"/>
        <v/>
      </c>
      <c r="B268" s="5"/>
      <c r="C268" s="11"/>
      <c r="D268" s="11"/>
      <c r="E268" s="11"/>
      <c r="F268" s="12">
        <f t="shared" si="17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18"/>
        <v/>
      </c>
      <c r="B269" s="5"/>
      <c r="C269" s="11"/>
      <c r="D269" s="11"/>
      <c r="E269" s="11"/>
      <c r="F269" s="12">
        <f t="shared" ref="F269:F332" si="19">IF(E269-C269&lt;0,"24:00"-C269+E269,E269-C269)</f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18"/>
        <v/>
      </c>
      <c r="B270" s="5"/>
      <c r="C270" s="11"/>
      <c r="D270" s="11"/>
      <c r="E270" s="11"/>
      <c r="F270" s="12">
        <f t="shared" si="19"/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18"/>
        <v/>
      </c>
      <c r="B271" s="5"/>
      <c r="C271" s="11"/>
      <c r="D271" s="11"/>
      <c r="E271" s="11"/>
      <c r="F271" s="12">
        <f t="shared" si="19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18"/>
        <v/>
      </c>
      <c r="B272" s="5"/>
      <c r="C272" s="11"/>
      <c r="D272" s="11"/>
      <c r="E272" s="11"/>
      <c r="F272" s="12">
        <f t="shared" si="19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18"/>
        <v/>
      </c>
      <c r="B273" s="5"/>
      <c r="C273" s="11"/>
      <c r="D273" s="11"/>
      <c r="E273" s="11"/>
      <c r="F273" s="12">
        <f t="shared" si="19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18"/>
        <v/>
      </c>
      <c r="B274" s="5"/>
      <c r="C274" s="11"/>
      <c r="D274" s="11"/>
      <c r="E274" s="11"/>
      <c r="F274" s="12">
        <f t="shared" si="19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18"/>
        <v/>
      </c>
      <c r="B275" s="5"/>
      <c r="C275" s="11"/>
      <c r="D275" s="11"/>
      <c r="E275" s="11"/>
      <c r="F275" s="12">
        <f t="shared" si="19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18"/>
        <v/>
      </c>
      <c r="B276" s="5"/>
      <c r="C276" s="11"/>
      <c r="D276" s="11"/>
      <c r="E276" s="11"/>
      <c r="F276" s="12">
        <f t="shared" si="19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18"/>
        <v/>
      </c>
      <c r="B277" s="5"/>
      <c r="C277" s="11"/>
      <c r="D277" s="11"/>
      <c r="E277" s="11"/>
      <c r="F277" s="12">
        <f t="shared" si="19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18"/>
        <v/>
      </c>
      <c r="B278" s="5"/>
      <c r="C278" s="11"/>
      <c r="D278" s="11"/>
      <c r="E278" s="11"/>
      <c r="F278" s="12">
        <f t="shared" si="19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18"/>
        <v/>
      </c>
      <c r="B279" s="5"/>
      <c r="C279" s="11"/>
      <c r="D279" s="11"/>
      <c r="E279" s="11"/>
      <c r="F279" s="12">
        <f t="shared" si="19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18"/>
        <v/>
      </c>
      <c r="B280" s="5"/>
      <c r="C280" s="11"/>
      <c r="D280" s="11"/>
      <c r="E280" s="11"/>
      <c r="F280" s="12">
        <f t="shared" si="19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18"/>
        <v/>
      </c>
      <c r="B281" s="5"/>
      <c r="C281" s="11"/>
      <c r="D281" s="11"/>
      <c r="E281" s="11"/>
      <c r="F281" s="12">
        <f t="shared" si="19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18"/>
        <v/>
      </c>
      <c r="B282" s="5"/>
      <c r="C282" s="11"/>
      <c r="D282" s="11"/>
      <c r="E282" s="11"/>
      <c r="F282" s="12">
        <f t="shared" si="19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18"/>
        <v/>
      </c>
      <c r="B283" s="5"/>
      <c r="C283" s="11"/>
      <c r="D283" s="11"/>
      <c r="E283" s="11"/>
      <c r="F283" s="12">
        <f t="shared" si="19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18"/>
        <v/>
      </c>
      <c r="B284" s="5"/>
      <c r="C284" s="11"/>
      <c r="D284" s="11"/>
      <c r="E284" s="11"/>
      <c r="F284" s="12">
        <f t="shared" si="19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18"/>
        <v/>
      </c>
      <c r="B285" s="5"/>
      <c r="C285" s="11"/>
      <c r="D285" s="11"/>
      <c r="E285" s="11"/>
      <c r="F285" s="12">
        <f t="shared" si="19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18"/>
        <v/>
      </c>
      <c r="B286" s="5"/>
      <c r="C286" s="11"/>
      <c r="D286" s="11"/>
      <c r="E286" s="11"/>
      <c r="F286" s="12">
        <f t="shared" si="19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18"/>
        <v/>
      </c>
      <c r="B287" s="5"/>
      <c r="C287" s="11"/>
      <c r="D287" s="11"/>
      <c r="E287" s="11"/>
      <c r="F287" s="12">
        <f t="shared" si="19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18"/>
        <v/>
      </c>
      <c r="B288" s="5"/>
      <c r="C288" s="11"/>
      <c r="D288" s="11"/>
      <c r="E288" s="11"/>
      <c r="F288" s="12">
        <f t="shared" si="19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18"/>
        <v/>
      </c>
      <c r="B289" s="5"/>
      <c r="C289" s="11"/>
      <c r="D289" s="11"/>
      <c r="E289" s="11"/>
      <c r="F289" s="12">
        <f t="shared" si="19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18"/>
        <v/>
      </c>
      <c r="B290" s="5"/>
      <c r="C290" s="11"/>
      <c r="D290" s="11"/>
      <c r="E290" s="11"/>
      <c r="F290" s="12">
        <f t="shared" si="19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18"/>
        <v/>
      </c>
      <c r="B291" s="5"/>
      <c r="C291" s="11"/>
      <c r="D291" s="11"/>
      <c r="E291" s="11"/>
      <c r="F291" s="12">
        <f t="shared" si="19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18"/>
        <v/>
      </c>
      <c r="B292" s="5"/>
      <c r="C292" s="11"/>
      <c r="D292" s="11"/>
      <c r="E292" s="11"/>
      <c r="F292" s="12">
        <f t="shared" si="19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18"/>
        <v/>
      </c>
      <c r="B293" s="5"/>
      <c r="C293" s="11"/>
      <c r="D293" s="11"/>
      <c r="E293" s="11"/>
      <c r="F293" s="12">
        <f t="shared" si="19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18"/>
        <v/>
      </c>
      <c r="B294" s="5"/>
      <c r="C294" s="11"/>
      <c r="D294" s="11"/>
      <c r="E294" s="11"/>
      <c r="F294" s="12">
        <f t="shared" si="19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18"/>
        <v/>
      </c>
      <c r="B295" s="5"/>
      <c r="C295" s="11"/>
      <c r="D295" s="11"/>
      <c r="E295" s="11"/>
      <c r="F295" s="12">
        <f t="shared" si="19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18"/>
        <v/>
      </c>
      <c r="B296" s="5"/>
      <c r="C296" s="11"/>
      <c r="D296" s="11"/>
      <c r="E296" s="11"/>
      <c r="F296" s="12">
        <f t="shared" si="19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18"/>
        <v/>
      </c>
      <c r="B297" s="5"/>
      <c r="C297" s="11"/>
      <c r="D297" s="11"/>
      <c r="E297" s="11"/>
      <c r="F297" s="12">
        <f t="shared" si="19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18"/>
        <v/>
      </c>
      <c r="B298" s="5"/>
      <c r="C298" s="11"/>
      <c r="D298" s="11"/>
      <c r="E298" s="11"/>
      <c r="F298" s="12">
        <f t="shared" si="19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18"/>
        <v/>
      </c>
      <c r="B299" s="5"/>
      <c r="C299" s="11"/>
      <c r="D299" s="11"/>
      <c r="E299" s="11"/>
      <c r="F299" s="12">
        <f t="shared" si="19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18"/>
        <v/>
      </c>
      <c r="B300" s="5"/>
      <c r="C300" s="11"/>
      <c r="D300" s="11"/>
      <c r="E300" s="11"/>
      <c r="F300" s="12">
        <f t="shared" si="19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18"/>
        <v/>
      </c>
      <c r="B301" s="5"/>
      <c r="C301" s="11"/>
      <c r="D301" s="11"/>
      <c r="E301" s="11"/>
      <c r="F301" s="12">
        <f t="shared" si="19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18"/>
        <v/>
      </c>
      <c r="B302" s="5"/>
      <c r="C302" s="11"/>
      <c r="D302" s="11"/>
      <c r="E302" s="11"/>
      <c r="F302" s="12">
        <f t="shared" si="19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18"/>
        <v/>
      </c>
      <c r="B303" s="5"/>
      <c r="C303" s="11"/>
      <c r="D303" s="11"/>
      <c r="E303" s="11"/>
      <c r="F303" s="12">
        <f t="shared" si="19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18"/>
        <v/>
      </c>
      <c r="B304" s="5"/>
      <c r="C304" s="11"/>
      <c r="D304" s="11"/>
      <c r="E304" s="11"/>
      <c r="F304" s="12">
        <f t="shared" si="19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18"/>
        <v/>
      </c>
      <c r="B305" s="5"/>
      <c r="C305" s="11"/>
      <c r="D305" s="11"/>
      <c r="E305" s="11"/>
      <c r="F305" s="12">
        <f t="shared" si="19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18"/>
        <v/>
      </c>
      <c r="B306" s="5"/>
      <c r="C306" s="11"/>
      <c r="D306" s="11"/>
      <c r="E306" s="11"/>
      <c r="F306" s="12">
        <f t="shared" si="19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18"/>
        <v/>
      </c>
      <c r="B307" s="5"/>
      <c r="C307" s="11"/>
      <c r="D307" s="11"/>
      <c r="E307" s="11"/>
      <c r="F307" s="12">
        <f t="shared" si="19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18"/>
        <v/>
      </c>
      <c r="B308" s="5"/>
      <c r="C308" s="11"/>
      <c r="D308" s="11"/>
      <c r="E308" s="11"/>
      <c r="F308" s="12">
        <f t="shared" si="19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18"/>
        <v/>
      </c>
      <c r="B309" s="5"/>
      <c r="C309" s="11"/>
      <c r="D309" s="11"/>
      <c r="E309" s="11"/>
      <c r="F309" s="12">
        <f t="shared" si="19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18"/>
        <v/>
      </c>
      <c r="B310" s="5"/>
      <c r="C310" s="11"/>
      <c r="D310" s="11"/>
      <c r="E310" s="11"/>
      <c r="F310" s="12">
        <f t="shared" si="19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18"/>
        <v/>
      </c>
      <c r="B311" s="5"/>
      <c r="C311" s="11"/>
      <c r="D311" s="11"/>
      <c r="E311" s="11"/>
      <c r="F311" s="12">
        <f t="shared" si="19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18"/>
        <v/>
      </c>
      <c r="B312" s="5"/>
      <c r="C312" s="11"/>
      <c r="D312" s="11"/>
      <c r="E312" s="11"/>
      <c r="F312" s="12">
        <f t="shared" si="19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18"/>
        <v/>
      </c>
      <c r="B313" s="5"/>
      <c r="C313" s="11"/>
      <c r="D313" s="11"/>
      <c r="E313" s="11"/>
      <c r="F313" s="12">
        <f t="shared" si="19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18"/>
        <v/>
      </c>
      <c r="B314" s="5"/>
      <c r="C314" s="11"/>
      <c r="D314" s="11"/>
      <c r="E314" s="11"/>
      <c r="F314" s="12">
        <f t="shared" si="19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18"/>
        <v/>
      </c>
      <c r="B315" s="5"/>
      <c r="C315" s="11"/>
      <c r="D315" s="11"/>
      <c r="E315" s="11"/>
      <c r="F315" s="12">
        <f t="shared" si="19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18"/>
        <v/>
      </c>
      <c r="B316" s="5"/>
      <c r="C316" s="11"/>
      <c r="D316" s="11"/>
      <c r="E316" s="11"/>
      <c r="F316" s="12">
        <f t="shared" si="19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18"/>
        <v/>
      </c>
      <c r="B317" s="5"/>
      <c r="C317" s="11"/>
      <c r="D317" s="11"/>
      <c r="E317" s="11"/>
      <c r="F317" s="12">
        <f t="shared" si="19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18"/>
        <v/>
      </c>
      <c r="B318" s="5"/>
      <c r="C318" s="11"/>
      <c r="D318" s="11"/>
      <c r="E318" s="11"/>
      <c r="F318" s="12">
        <f t="shared" si="19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18"/>
        <v/>
      </c>
      <c r="B319" s="5"/>
      <c r="C319" s="11"/>
      <c r="D319" s="11"/>
      <c r="E319" s="11"/>
      <c r="F319" s="12">
        <f t="shared" si="19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18"/>
        <v/>
      </c>
      <c r="B320" s="5"/>
      <c r="C320" s="11"/>
      <c r="D320" s="11"/>
      <c r="E320" s="11"/>
      <c r="F320" s="12">
        <f t="shared" si="19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18"/>
        <v/>
      </c>
      <c r="B321" s="5"/>
      <c r="C321" s="11"/>
      <c r="D321" s="11"/>
      <c r="E321" s="11"/>
      <c r="F321" s="12">
        <f t="shared" si="19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ref="A322:A338" ca="1" si="20">IF(B322="","",IF(A322="",NOW(),A322))</f>
        <v/>
      </c>
      <c r="B322" s="5"/>
      <c r="C322" s="11"/>
      <c r="D322" s="11"/>
      <c r="E322" s="11"/>
      <c r="F322" s="12">
        <f t="shared" si="19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ca="1" si="20"/>
        <v/>
      </c>
      <c r="B323" s="5"/>
      <c r="C323" s="11"/>
      <c r="D323" s="11"/>
      <c r="E323" s="11"/>
      <c r="F323" s="12">
        <f t="shared" si="19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0"/>
        <v/>
      </c>
      <c r="B324" s="5"/>
      <c r="C324" s="11"/>
      <c r="D324" s="11"/>
      <c r="E324" s="11"/>
      <c r="F324" s="12">
        <f t="shared" si="19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0"/>
        <v/>
      </c>
      <c r="B325" s="5"/>
      <c r="C325" s="11"/>
      <c r="D325" s="11"/>
      <c r="E325" s="11"/>
      <c r="F325" s="12">
        <f t="shared" si="19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0"/>
        <v/>
      </c>
      <c r="B326" s="5"/>
      <c r="C326" s="11"/>
      <c r="D326" s="11"/>
      <c r="E326" s="11"/>
      <c r="F326" s="12">
        <f t="shared" si="19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0"/>
        <v/>
      </c>
      <c r="B327" s="5"/>
      <c r="C327" s="11"/>
      <c r="D327" s="11"/>
      <c r="E327" s="11"/>
      <c r="F327" s="12">
        <f t="shared" si="19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0"/>
        <v/>
      </c>
      <c r="B328" s="5"/>
      <c r="C328" s="11"/>
      <c r="D328" s="11"/>
      <c r="E328" s="11"/>
      <c r="F328" s="12">
        <f t="shared" si="19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0"/>
        <v/>
      </c>
      <c r="B329" s="5"/>
      <c r="C329" s="11"/>
      <c r="D329" s="11"/>
      <c r="E329" s="11"/>
      <c r="F329" s="12">
        <f t="shared" si="19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0"/>
        <v/>
      </c>
      <c r="B330" s="5"/>
      <c r="C330" s="11"/>
      <c r="D330" s="11"/>
      <c r="E330" s="11"/>
      <c r="F330" s="12">
        <f t="shared" si="19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0"/>
        <v/>
      </c>
      <c r="B331" s="5"/>
      <c r="C331" s="11"/>
      <c r="D331" s="11"/>
      <c r="E331" s="11"/>
      <c r="F331" s="12">
        <f t="shared" si="19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0"/>
        <v/>
      </c>
      <c r="B332" s="5"/>
      <c r="C332" s="11"/>
      <c r="D332" s="11"/>
      <c r="E332" s="11"/>
      <c r="F332" s="12">
        <f t="shared" si="19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0"/>
        <v/>
      </c>
      <c r="B333" s="5"/>
      <c r="C333" s="11"/>
      <c r="D333" s="11"/>
      <c r="E333" s="11"/>
      <c r="F333" s="12">
        <f t="shared" ref="F333:F338" si="21">IF(E333-C333&lt;0,"24:00"-C333+E333,E333-C333)</f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0"/>
        <v/>
      </c>
      <c r="B334" s="5"/>
      <c r="C334" s="11"/>
      <c r="D334" s="11"/>
      <c r="E334" s="11"/>
      <c r="F334" s="12">
        <f t="shared" si="21"/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0"/>
        <v/>
      </c>
      <c r="B335" s="5"/>
      <c r="C335" s="11"/>
      <c r="D335" s="11"/>
      <c r="E335" s="11"/>
      <c r="F335" s="12">
        <f t="shared" si="21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0"/>
        <v/>
      </c>
      <c r="B336" s="5"/>
      <c r="C336" s="11"/>
      <c r="D336" s="11"/>
      <c r="E336" s="11"/>
      <c r="F336" s="12">
        <f t="shared" si="21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0"/>
        <v/>
      </c>
      <c r="B337" s="5"/>
      <c r="C337" s="11"/>
      <c r="D337" s="11"/>
      <c r="E337" s="11"/>
      <c r="F337" s="12">
        <f t="shared" si="21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0"/>
        <v/>
      </c>
      <c r="B338" s="5"/>
      <c r="C338" s="11"/>
      <c r="D338" s="11"/>
      <c r="E338" s="11"/>
      <c r="F338" s="12">
        <f t="shared" si="21"/>
        <v>0</v>
      </c>
      <c r="G338" s="11"/>
      <c r="H338" s="42"/>
      <c r="I338" s="42"/>
      <c r="J338" s="44"/>
      <c r="K338" s="11"/>
    </row>
  </sheetData>
  <autoFilter ref="A2:K338"/>
  <mergeCells count="3">
    <mergeCell ref="A1:K1"/>
    <mergeCell ref="J19:L19"/>
    <mergeCell ref="I13:M14"/>
  </mergeCells>
  <phoneticPr fontId="15" type="noConversion"/>
  <dataValidations count="3">
    <dataValidation type="list" allowBlank="1" showInputMessage="1" showErrorMessage="1" sqref="K37:K338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8">
      <formula1>"完成"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39"/>
  <sheetViews>
    <sheetView topLeftCell="A4" zoomScale="85" zoomScaleNormal="85" workbookViewId="0">
      <selection activeCell="L30" sqref="L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46054.015062615741</v>
      </c>
      <c r="B3" s="58" t="s">
        <v>85</v>
      </c>
      <c r="C3" s="11">
        <v>1.2974537037037036E-2</v>
      </c>
      <c r="D3" s="11" t="s">
        <v>84</v>
      </c>
      <c r="E3" s="11">
        <v>0.10738425925925926</v>
      </c>
      <c r="F3" s="12">
        <f t="shared" ref="F3:F66" si="1">(IF(E3-C3&lt;0,"24:00"-C3+E3,E3-C3))*24</f>
        <v>2.2658333333333336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2.2658333333333336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46054.107437615741</v>
      </c>
      <c r="B4" s="58" t="s">
        <v>83</v>
      </c>
      <c r="C4" s="11">
        <v>0.10752314814814816</v>
      </c>
      <c r="D4" s="11" t="s">
        <v>84</v>
      </c>
      <c r="E4" s="11">
        <v>0.14512731481481481</v>
      </c>
      <c r="F4" s="12">
        <f t="shared" si="1"/>
        <v>0.90249999999999952</v>
      </c>
      <c r="G4" s="13">
        <f t="shared" si="2"/>
        <v>0</v>
      </c>
      <c r="H4" s="13">
        <f t="shared" si="3"/>
        <v>0.90249999999999952</v>
      </c>
      <c r="I4" s="21" t="s">
        <v>20</v>
      </c>
      <c r="J4" s="22">
        <f>SUMIF(B:B,"西塔台管制席",F:F)+SUMIF(B:B,"东塔台管制席",F:F)</f>
        <v>23.30361111111111</v>
      </c>
      <c r="K4" s="23">
        <f>SUMIF(B:B,"西塔台管制席",G:G)+SUMIF(B:B,"东塔台管制席",G:G)</f>
        <v>20.433055555555555</v>
      </c>
      <c r="L4" s="23">
        <f>SUMIF(B:B,"西塔台管制席",H:H)+SUMIF(B:B,"东塔台管制席",H:H)</f>
        <v>2.8705555555555544</v>
      </c>
      <c r="M4" s="19"/>
    </row>
    <row r="5" spans="1:16" ht="18.75" x14ac:dyDescent="0.25">
      <c r="A5" s="10">
        <f t="shared" ca="1" si="0"/>
        <v>46056.957987152775</v>
      </c>
      <c r="B5" s="58" t="s">
        <v>85</v>
      </c>
      <c r="C5" s="11">
        <v>0.95798611111111109</v>
      </c>
      <c r="D5" s="11" t="s">
        <v>84</v>
      </c>
      <c r="E5" s="11">
        <v>0.11818287037037038</v>
      </c>
      <c r="F5" s="12">
        <f t="shared" si="1"/>
        <v>3.8447222222222233</v>
      </c>
      <c r="G5" s="13">
        <f t="shared" si="2"/>
        <v>1.0083333333333342</v>
      </c>
      <c r="H5" s="13">
        <f t="shared" si="3"/>
        <v>2.8363888888888891</v>
      </c>
      <c r="I5" s="21" t="s">
        <v>21</v>
      </c>
      <c r="J5" s="22">
        <f>SUMIF(B:B,"西塔台协调席",F:F)+SUMIF(B:B,"东塔台协调席",F:F)</f>
        <v>29.260555555555559</v>
      </c>
      <c r="K5" s="23">
        <f>SUMIF(B:B,"西塔台协调席",G:G)+SUMIF(B:B,"东塔台协调席",G:G)</f>
        <v>13.242500000000021</v>
      </c>
      <c r="L5" s="23">
        <f>SUMIF(B:B,"西塔台协调席",H:H)+SUMIF(B:B,"东塔台协调席",H:H)</f>
        <v>16.018055555555538</v>
      </c>
      <c r="M5" s="19"/>
    </row>
    <row r="6" spans="1:16" ht="18.75" x14ac:dyDescent="0.25">
      <c r="A6" s="10">
        <f t="shared" ca="1" si="0"/>
        <v>46057.429810995367</v>
      </c>
      <c r="B6" s="58" t="s">
        <v>90</v>
      </c>
      <c r="C6" s="11">
        <v>0.42980324074074078</v>
      </c>
      <c r="D6" s="11" t="s">
        <v>84</v>
      </c>
      <c r="E6" s="11">
        <v>0.50467592592592592</v>
      </c>
      <c r="F6" s="12">
        <f t="shared" si="1"/>
        <v>1.7969444444444433</v>
      </c>
      <c r="G6" s="13">
        <f t="shared" si="2"/>
        <v>1.7969444444444433</v>
      </c>
      <c r="H6" s="13">
        <f t="shared" si="3"/>
        <v>0</v>
      </c>
      <c r="I6" s="21" t="s">
        <v>22</v>
      </c>
      <c r="J6" s="22">
        <f>SUMIF(B:B,"放行席",F:F)</f>
        <v>2.2802777777777781</v>
      </c>
      <c r="K6" s="23">
        <f>SUMIF(B:B,"放行席",G:G)</f>
        <v>0</v>
      </c>
      <c r="L6" s="23">
        <f>SUMIF(B:B,"放行席",H:H)</f>
        <v>2.2802777777777781</v>
      </c>
      <c r="M6" s="19"/>
    </row>
    <row r="7" spans="1:16" ht="18.75" x14ac:dyDescent="0.25">
      <c r="A7" s="10">
        <f t="shared" ca="1" si="0"/>
        <v>46057.610293518519</v>
      </c>
      <c r="B7" s="58" t="s">
        <v>90</v>
      </c>
      <c r="C7" s="11">
        <v>0.61028935185185185</v>
      </c>
      <c r="D7" s="11" t="s">
        <v>84</v>
      </c>
      <c r="E7" s="11">
        <v>0.75545138888888885</v>
      </c>
      <c r="F7" s="12">
        <f t="shared" si="1"/>
        <v>3.4838888888888881</v>
      </c>
      <c r="G7" s="13">
        <f t="shared" si="2"/>
        <v>3.4838888888888881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46057.957218518517</v>
      </c>
      <c r="B8" s="58" t="s">
        <v>82</v>
      </c>
      <c r="C8" s="11">
        <v>0.95721064814814805</v>
      </c>
      <c r="D8" s="11" t="s">
        <v>84</v>
      </c>
      <c r="E8" s="11">
        <v>0.11826388888888889</v>
      </c>
      <c r="F8" s="12">
        <f t="shared" si="1"/>
        <v>3.8652777777777803</v>
      </c>
      <c r="G8" s="13">
        <f t="shared" si="2"/>
        <v>1.0269444444444469</v>
      </c>
      <c r="H8" s="13">
        <f t="shared" si="3"/>
        <v>2.8383333333333334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46061.138543865738</v>
      </c>
      <c r="B9" s="58" t="s">
        <v>86</v>
      </c>
      <c r="C9" s="11">
        <v>0.13854166666666667</v>
      </c>
      <c r="D9" s="11" t="s">
        <v>84</v>
      </c>
      <c r="E9" s="11">
        <v>0.22054398148148147</v>
      </c>
      <c r="F9" s="12">
        <f t="shared" si="1"/>
        <v>1.968055555555555</v>
      </c>
      <c r="G9" s="13">
        <f t="shared" si="2"/>
        <v>0</v>
      </c>
      <c r="H9" s="13">
        <f t="shared" si="3"/>
        <v>1.968055555555555</v>
      </c>
      <c r="I9" s="21" t="s">
        <v>76</v>
      </c>
      <c r="J9" s="22">
        <f>SUMIF(B:B,"航班调度席",F:F)</f>
        <v>5.2808333333333319</v>
      </c>
      <c r="K9" s="23">
        <f>SUMIF(B:B,"航班调度席",G:G)</f>
        <v>5.2808333333333319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46061.30605983796</v>
      </c>
      <c r="B10" s="58" t="s">
        <v>82</v>
      </c>
      <c r="C10" s="11">
        <v>0.22063657407407408</v>
      </c>
      <c r="D10" s="11" t="s">
        <v>84</v>
      </c>
      <c r="E10" s="11">
        <v>0.30630787037037038</v>
      </c>
      <c r="F10" s="12">
        <f t="shared" si="1"/>
        <v>2.056111111111111</v>
      </c>
      <c r="G10" s="13">
        <f t="shared" si="2"/>
        <v>0</v>
      </c>
      <c r="H10" s="13">
        <f t="shared" si="3"/>
        <v>2.056111111111111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46062.132383449076</v>
      </c>
      <c r="B11" s="58" t="s">
        <v>87</v>
      </c>
      <c r="C11" s="11">
        <v>0.13237268518518519</v>
      </c>
      <c r="D11" s="11" t="s">
        <v>84</v>
      </c>
      <c r="E11" s="11">
        <v>0.22738425925925929</v>
      </c>
      <c r="F11" s="12">
        <f>(IF(E11-C11&lt;0,"24:00"-C11+E11,E11-C11))*24</f>
        <v>2.2802777777777781</v>
      </c>
      <c r="G11" s="13">
        <f t="shared" si="2"/>
        <v>0</v>
      </c>
      <c r="H11" s="13">
        <f t="shared" si="3"/>
        <v>2.2802777777777781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46064.361594444446</v>
      </c>
      <c r="B12" s="58" t="s">
        <v>83</v>
      </c>
      <c r="C12" s="11">
        <v>0.36158564814814814</v>
      </c>
      <c r="D12" s="11" t="s">
        <v>84</v>
      </c>
      <c r="E12" s="11">
        <v>0.55609953703703707</v>
      </c>
      <c r="F12" s="12">
        <f t="shared" si="1"/>
        <v>4.6683333333333348</v>
      </c>
      <c r="G12" s="13">
        <f t="shared" si="2"/>
        <v>4.6683333333333348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46064.655443171294</v>
      </c>
      <c r="B13" s="58" t="s">
        <v>82</v>
      </c>
      <c r="C13" s="11">
        <v>0.625</v>
      </c>
      <c r="D13" s="11" t="s">
        <v>84</v>
      </c>
      <c r="E13" s="11">
        <v>0.73553240740740744</v>
      </c>
      <c r="F13" s="12">
        <f t="shared" si="1"/>
        <v>2.6527777777777786</v>
      </c>
      <c r="G13" s="13">
        <f t="shared" si="2"/>
        <v>2.6527777777777786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46064.87478784722</v>
      </c>
      <c r="B14" s="58" t="s">
        <v>83</v>
      </c>
      <c r="C14" s="11">
        <v>0.8747800925925926</v>
      </c>
      <c r="D14" s="11" t="s">
        <v>84</v>
      </c>
      <c r="E14" s="11">
        <v>0.96407407407407408</v>
      </c>
      <c r="F14" s="12">
        <f t="shared" si="1"/>
        <v>2.1430555555555557</v>
      </c>
      <c r="G14" s="13">
        <f t="shared" si="2"/>
        <v>2.1430555555555557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46065.297883101855</v>
      </c>
      <c r="B15" s="58" t="s">
        <v>82</v>
      </c>
      <c r="C15" s="11">
        <v>0.29788194444444444</v>
      </c>
      <c r="D15" s="11" t="s">
        <v>84</v>
      </c>
      <c r="E15" s="11">
        <v>0.42359953703703707</v>
      </c>
      <c r="F15" s="12">
        <f t="shared" si="1"/>
        <v>3.0172222222222231</v>
      </c>
      <c r="G15" s="13">
        <f t="shared" si="2"/>
        <v>2.166388888888898</v>
      </c>
      <c r="H15" s="13">
        <f t="shared" si="3"/>
        <v>0.85083333333332511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46065.505227083333</v>
      </c>
      <c r="B16" s="58" t="s">
        <v>83</v>
      </c>
      <c r="C16" s="11">
        <v>0.50521990740740741</v>
      </c>
      <c r="D16" s="11" t="s">
        <v>84</v>
      </c>
      <c r="E16" s="11">
        <v>0.63121527777777775</v>
      </c>
      <c r="F16" s="12">
        <f t="shared" si="1"/>
        <v>3.0238888888888882</v>
      </c>
      <c r="G16" s="13">
        <f t="shared" si="2"/>
        <v>3.0238888888888882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46076.35444166667</v>
      </c>
      <c r="B17" s="58" t="s">
        <v>83</v>
      </c>
      <c r="C17" s="11">
        <v>0.35443287037037036</v>
      </c>
      <c r="D17" s="11" t="s">
        <v>84</v>
      </c>
      <c r="E17" s="11">
        <v>0.50925925925925919</v>
      </c>
      <c r="F17" s="12">
        <f t="shared" si="1"/>
        <v>3.715833333333332</v>
      </c>
      <c r="G17" s="13">
        <f t="shared" si="2"/>
        <v>3.715833333333332</v>
      </c>
      <c r="H17" s="13">
        <f t="shared" si="3"/>
        <v>0</v>
      </c>
      <c r="I17" s="35" t="s">
        <v>29</v>
      </c>
      <c r="J17" s="36">
        <f>J4+J5+J6+J7+J10</f>
        <v>54.844444444444441</v>
      </c>
      <c r="K17" s="37">
        <f>K4+K5+K6+K7+K10</f>
        <v>33.675555555555576</v>
      </c>
      <c r="L17" s="38">
        <f>L4+L5+L6+L7+L10</f>
        <v>21.168888888888873</v>
      </c>
      <c r="M17" s="39"/>
    </row>
    <row r="18" spans="1:13" ht="20.25" x14ac:dyDescent="0.25">
      <c r="A18" s="10">
        <f t="shared" ca="1" si="0"/>
        <v>46076.626305439815</v>
      </c>
      <c r="B18" s="58" t="s">
        <v>82</v>
      </c>
      <c r="C18" s="11">
        <v>0.62629629629629624</v>
      </c>
      <c r="D18" s="11" t="s">
        <v>84</v>
      </c>
      <c r="E18" s="11">
        <v>0.76151620370370365</v>
      </c>
      <c r="F18" s="12">
        <f t="shared" si="1"/>
        <v>3.2452777777777779</v>
      </c>
      <c r="G18" s="13">
        <f t="shared" si="2"/>
        <v>3.2452777777777779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46076.875942708335</v>
      </c>
      <c r="B19" s="58" t="s">
        <v>83</v>
      </c>
      <c r="C19" s="11">
        <v>0.87593750000000004</v>
      </c>
      <c r="D19" s="11" t="s">
        <v>84</v>
      </c>
      <c r="E19" s="11">
        <v>0.96281250000000007</v>
      </c>
      <c r="F19" s="12">
        <f t="shared" si="1"/>
        <v>2.0850000000000009</v>
      </c>
      <c r="G19" s="13">
        <f t="shared" si="2"/>
        <v>2.0850000000000009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46077.300336921297</v>
      </c>
      <c r="B20" s="58" t="s">
        <v>82</v>
      </c>
      <c r="C20" s="11">
        <v>0.30033564814814812</v>
      </c>
      <c r="D20" s="11" t="s">
        <v>84</v>
      </c>
      <c r="E20" s="11">
        <v>0.42299768518518516</v>
      </c>
      <c r="F20" s="12">
        <f t="shared" si="1"/>
        <v>2.943888888888889</v>
      </c>
      <c r="G20" s="13">
        <f t="shared" si="2"/>
        <v>2.1519444444444522</v>
      </c>
      <c r="H20" s="13">
        <f t="shared" si="3"/>
        <v>0.79194444444443679</v>
      </c>
      <c r="I20" s="40" t="s">
        <v>31</v>
      </c>
      <c r="J20" s="67">
        <f>J16+J17+J18+J19</f>
        <v>54.844444444444441</v>
      </c>
      <c r="K20" s="68"/>
      <c r="L20" s="69"/>
      <c r="M20" s="41"/>
    </row>
    <row r="21" spans="1:13" ht="20.25" x14ac:dyDescent="0.25">
      <c r="A21" s="10">
        <f t="shared" ca="1" si="0"/>
        <v>46077.505230902774</v>
      </c>
      <c r="B21" s="58" t="s">
        <v>83</v>
      </c>
      <c r="C21" s="11">
        <v>0.50521990740740741</v>
      </c>
      <c r="D21" s="11" t="s">
        <v>84</v>
      </c>
      <c r="E21" s="11">
        <v>0.63187499999999996</v>
      </c>
      <c r="F21" s="12">
        <f t="shared" si="1"/>
        <v>3.0397222222222213</v>
      </c>
      <c r="G21" s="13">
        <f t="shared" si="2"/>
        <v>3.0397222222222213</v>
      </c>
      <c r="H21" s="13">
        <f t="shared" si="3"/>
        <v>0</v>
      </c>
      <c r="I21" s="53" t="s">
        <v>78</v>
      </c>
      <c r="J21" s="54">
        <f>SUM(J8:J9)</f>
        <v>5.2808333333333319</v>
      </c>
      <c r="K21" s="37">
        <f>SUM(K8:K9)</f>
        <v>5.2808333333333319</v>
      </c>
      <c r="L21" s="38">
        <f>SUM(L8:L9)</f>
        <v>0</v>
      </c>
      <c r="M21" s="46"/>
    </row>
    <row r="22" spans="1:13" ht="18.75" x14ac:dyDescent="0.15">
      <c r="A22" s="10">
        <f t="shared" ca="1" si="0"/>
        <v>46077.766156597223</v>
      </c>
      <c r="B22" s="58" t="s">
        <v>86</v>
      </c>
      <c r="C22" s="11">
        <v>0.7661458333333333</v>
      </c>
      <c r="D22" s="11" t="s">
        <v>84</v>
      </c>
      <c r="E22" s="11">
        <v>0.83936342592592583</v>
      </c>
      <c r="F22" s="12">
        <f t="shared" si="1"/>
        <v>1.7572222222222207</v>
      </c>
      <c r="G22" s="13">
        <f t="shared" si="2"/>
        <v>1.7572222222222207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46078.033555092596</v>
      </c>
      <c r="B23" s="58" t="s">
        <v>85</v>
      </c>
      <c r="C23" s="11">
        <v>3.3553240740740745E-2</v>
      </c>
      <c r="D23" s="11" t="s">
        <v>84</v>
      </c>
      <c r="E23" s="11">
        <v>8.2928240740740733E-2</v>
      </c>
      <c r="F23" s="12">
        <f t="shared" si="1"/>
        <v>1.1849999999999996</v>
      </c>
      <c r="G23" s="13">
        <f t="shared" si="2"/>
        <v>0</v>
      </c>
      <c r="H23" s="13">
        <f t="shared" si="3"/>
        <v>1.1849999999999996</v>
      </c>
      <c r="I23"/>
      <c r="J23"/>
    </row>
    <row r="24" spans="1:13" ht="18.75" x14ac:dyDescent="0.15">
      <c r="A24" s="10">
        <f t="shared" ca="1" si="0"/>
        <v>46081.013459837966</v>
      </c>
      <c r="B24" s="58" t="s">
        <v>85</v>
      </c>
      <c r="C24" s="11">
        <v>1.3449074074074073E-2</v>
      </c>
      <c r="D24" s="11" t="s">
        <v>84</v>
      </c>
      <c r="E24" s="11">
        <v>0.14651620370370369</v>
      </c>
      <c r="F24" s="12">
        <f t="shared" si="1"/>
        <v>3.1936111111111103</v>
      </c>
      <c r="G24" s="13">
        <f t="shared" si="2"/>
        <v>0</v>
      </c>
      <c r="H24" s="13">
        <f t="shared" si="3"/>
        <v>3.1936111111111103</v>
      </c>
      <c r="I24"/>
      <c r="J24"/>
    </row>
    <row r="25" spans="1:13" ht="18.75" x14ac:dyDescent="0.15">
      <c r="A25" s="10">
        <f t="shared" ca="1" si="0"/>
        <v>46081.958836574071</v>
      </c>
      <c r="B25" s="58" t="s">
        <v>85</v>
      </c>
      <c r="C25" s="11">
        <v>0.95859953703703704</v>
      </c>
      <c r="D25" s="11" t="s">
        <v>84</v>
      </c>
      <c r="E25" s="11">
        <v>0.99988425925925928</v>
      </c>
      <c r="F25" s="12">
        <f t="shared" si="1"/>
        <v>0.99083333333333368</v>
      </c>
      <c r="G25" s="13">
        <f t="shared" si="2"/>
        <v>0.99083333333333368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46056.627773958331</v>
      </c>
      <c r="B3" s="58" t="s">
        <v>90</v>
      </c>
      <c r="C3" s="11">
        <v>0.62707175925925929</v>
      </c>
      <c r="D3" s="11" t="s">
        <v>84</v>
      </c>
      <c r="E3" s="11">
        <v>0.74199074074074067</v>
      </c>
      <c r="F3" s="12">
        <f t="shared" ref="F3:F66" si="1">(IF(E3-C3&lt;0,"24:00"-C3+E3,E3-C3))*24</f>
        <v>2.7580555555555533</v>
      </c>
      <c r="G3" s="13">
        <f t="shared" ref="G3:G66" si="2">F3-H3</f>
        <v>2.7580555555555533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46056.749812152775</v>
      </c>
      <c r="B4" s="58" t="s">
        <v>86</v>
      </c>
      <c r="C4" s="11">
        <v>0.74980324074074067</v>
      </c>
      <c r="D4" s="11" t="s">
        <v>84</v>
      </c>
      <c r="E4" s="11">
        <v>0.87865740740740739</v>
      </c>
      <c r="F4" s="12">
        <f t="shared" si="1"/>
        <v>3.0925000000000011</v>
      </c>
      <c r="G4" s="13">
        <f t="shared" si="2"/>
        <v>3.0925000000000011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36.916944444444439</v>
      </c>
      <c r="K4" s="23">
        <f>SUMIF(B:B,"西塔台管制席",G:G)+SUMIF(B:B,"东塔台管制席",G:G)</f>
        <v>25.268611111111113</v>
      </c>
      <c r="L4" s="23">
        <f>SUMIF(B:B,"西塔台管制席",H:H)+SUMIF(B:B,"东塔台管制席",H:H)</f>
        <v>11.648333333333326</v>
      </c>
      <c r="M4" s="19"/>
    </row>
    <row r="5" spans="1:16" ht="18.75" x14ac:dyDescent="0.25">
      <c r="A5" s="10">
        <f t="shared" ca="1" si="0"/>
        <v>46057.417631828706</v>
      </c>
      <c r="B5" s="58" t="s">
        <v>82</v>
      </c>
      <c r="C5" s="11">
        <v>0.4176273148148148</v>
      </c>
      <c r="D5" s="11" t="s">
        <v>84</v>
      </c>
      <c r="E5" s="11">
        <v>0.5078125</v>
      </c>
      <c r="F5" s="12">
        <f t="shared" si="1"/>
        <v>2.1644444444444448</v>
      </c>
      <c r="G5" s="13">
        <f t="shared" si="2"/>
        <v>2.1644444444444448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19.698055555555563</v>
      </c>
      <c r="K5" s="23">
        <f>SUMIF(B:B,"西塔台协调席",G:G)+SUMIF(B:B,"东塔台协调席",G:G)</f>
        <v>15.437222222222236</v>
      </c>
      <c r="L5" s="23">
        <f>SUMIF(B:B,"西塔台协调席",H:H)+SUMIF(B:B,"东塔台协调席",H:H)</f>
        <v>4.2608333333333253</v>
      </c>
      <c r="M5" s="19"/>
    </row>
    <row r="6" spans="1:16" ht="18.75" x14ac:dyDescent="0.25">
      <c r="A6" s="10">
        <f t="shared" ca="1" si="0"/>
        <v>46057.62489363426</v>
      </c>
      <c r="B6" s="58" t="s">
        <v>83</v>
      </c>
      <c r="C6" s="11">
        <v>0.62488425925925928</v>
      </c>
      <c r="D6" s="11" t="s">
        <v>84</v>
      </c>
      <c r="E6" s="11">
        <v>0.75567129629629637</v>
      </c>
      <c r="F6" s="12">
        <f t="shared" si="1"/>
        <v>3.1388888888888902</v>
      </c>
      <c r="G6" s="13">
        <f t="shared" si="2"/>
        <v>3.1388888888888902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46057.963742708336</v>
      </c>
      <c r="B7" s="58" t="s">
        <v>86</v>
      </c>
      <c r="C7" s="11">
        <v>0.83248842592592587</v>
      </c>
      <c r="D7" s="11" t="s">
        <v>84</v>
      </c>
      <c r="E7" s="11">
        <v>0.96376157407407403</v>
      </c>
      <c r="F7" s="12">
        <f t="shared" si="1"/>
        <v>3.150555555555556</v>
      </c>
      <c r="G7" s="13">
        <f t="shared" si="2"/>
        <v>3.150555555555556</v>
      </c>
      <c r="H7" s="13">
        <f t="shared" si="3"/>
        <v>0</v>
      </c>
      <c r="I7" s="21" t="s">
        <v>23</v>
      </c>
      <c r="J7" s="22">
        <f>SUMIF(B:B,"地面席",F:F)</f>
        <v>2.181111111111111</v>
      </c>
      <c r="K7" s="23">
        <f>SUMIF(B:B,"地面席",G:G)</f>
        <v>0</v>
      </c>
      <c r="L7" s="23">
        <f>SUMIF(B:B,"地面席",H:H)</f>
        <v>2.181111111111111</v>
      </c>
      <c r="M7" s="19"/>
    </row>
    <row r="8" spans="1:16" ht="18.75" x14ac:dyDescent="0.25">
      <c r="A8" s="10">
        <f t="shared" ca="1" si="0"/>
        <v>46058.299427777776</v>
      </c>
      <c r="B8" s="58" t="s">
        <v>86</v>
      </c>
      <c r="C8" s="11">
        <v>0.29942129629629627</v>
      </c>
      <c r="D8" s="11" t="s">
        <v>84</v>
      </c>
      <c r="E8" s="11">
        <v>0.36471064814814813</v>
      </c>
      <c r="F8" s="12">
        <f t="shared" si="1"/>
        <v>1.5669444444444447</v>
      </c>
      <c r="G8" s="13">
        <f t="shared" si="2"/>
        <v>0.75305555555556358</v>
      </c>
      <c r="H8" s="13">
        <f t="shared" si="3"/>
        <v>0.81388888888888111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46060.375620486113</v>
      </c>
      <c r="B9" s="58" t="s">
        <v>90</v>
      </c>
      <c r="C9" s="11">
        <v>0.37503472222222217</v>
      </c>
      <c r="D9" s="11" t="s">
        <v>84</v>
      </c>
      <c r="E9" s="11">
        <v>0.50746527777777783</v>
      </c>
      <c r="F9" s="12">
        <f t="shared" si="1"/>
        <v>3.1783333333333359</v>
      </c>
      <c r="G9" s="13">
        <f t="shared" si="2"/>
        <v>3.1783333333333359</v>
      </c>
      <c r="H9" s="13">
        <f t="shared" si="3"/>
        <v>0</v>
      </c>
      <c r="I9" s="21" t="s">
        <v>76</v>
      </c>
      <c r="J9" s="22">
        <f>SUMIF(B:B,"航班调度席",F:F)</f>
        <v>10.512500000000003</v>
      </c>
      <c r="K9" s="23">
        <f>SUMIF(B:B,"航班调度席",G:G)</f>
        <v>10.512500000000003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46060.565328009259</v>
      </c>
      <c r="B10" s="58" t="s">
        <v>90</v>
      </c>
      <c r="C10" s="11">
        <v>0.56393518518518515</v>
      </c>
      <c r="D10" s="11" t="s">
        <v>84</v>
      </c>
      <c r="E10" s="11">
        <v>0.75460648148148157</v>
      </c>
      <c r="F10" s="12">
        <f t="shared" si="1"/>
        <v>4.5761111111111141</v>
      </c>
      <c r="G10" s="13">
        <f t="shared" si="2"/>
        <v>4.5761111111111141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46061.958314236108</v>
      </c>
      <c r="B11" s="58" t="s">
        <v>83</v>
      </c>
      <c r="C11" s="11">
        <v>0.95831018518518529</v>
      </c>
      <c r="D11" s="11" t="s">
        <v>84</v>
      </c>
      <c r="E11" s="11">
        <v>0.11284722222222222</v>
      </c>
      <c r="F11" s="12">
        <f t="shared" si="1"/>
        <v>3.708888888888886</v>
      </c>
      <c r="G11" s="13">
        <f t="shared" si="2"/>
        <v>1.0005555555555525</v>
      </c>
      <c r="H11" s="13">
        <f t="shared" si="3"/>
        <v>2.7083333333333335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46065.137432523145</v>
      </c>
      <c r="B12" s="58" t="s">
        <v>83</v>
      </c>
      <c r="C12" s="11">
        <v>0.13743055555555556</v>
      </c>
      <c r="D12" s="11" t="s">
        <v>84</v>
      </c>
      <c r="E12" s="11">
        <v>0.30424768518518519</v>
      </c>
      <c r="F12" s="12">
        <f t="shared" si="1"/>
        <v>4.0036111111111108</v>
      </c>
      <c r="G12" s="13">
        <f t="shared" si="2"/>
        <v>0</v>
      </c>
      <c r="H12" s="13">
        <f t="shared" si="3"/>
        <v>4.0036111111111108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46065.751644791664</v>
      </c>
      <c r="B13" s="58" t="s">
        <v>83</v>
      </c>
      <c r="C13" s="11">
        <v>0.75164351851851852</v>
      </c>
      <c r="D13" s="11" t="s">
        <v>84</v>
      </c>
      <c r="E13" s="11">
        <v>0.83903935185185186</v>
      </c>
      <c r="F13" s="12">
        <f t="shared" si="1"/>
        <v>2.0975000000000001</v>
      </c>
      <c r="G13" s="13">
        <f t="shared" si="2"/>
        <v>2.0975000000000001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46066.137973958335</v>
      </c>
      <c r="B14" s="58" t="s">
        <v>88</v>
      </c>
      <c r="C14" s="11">
        <v>0.13726851851851851</v>
      </c>
      <c r="D14" s="11" t="s">
        <v>84</v>
      </c>
      <c r="E14" s="11">
        <v>0.22814814814814813</v>
      </c>
      <c r="F14" s="12">
        <f t="shared" si="1"/>
        <v>2.181111111111111</v>
      </c>
      <c r="G14" s="13">
        <f t="shared" si="2"/>
        <v>0</v>
      </c>
      <c r="H14" s="13">
        <f t="shared" si="3"/>
        <v>2.181111111111111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46068.459839583331</v>
      </c>
      <c r="B15" s="58" t="s">
        <v>83</v>
      </c>
      <c r="C15" s="11">
        <v>0.45844907407407409</v>
      </c>
      <c r="D15" s="11" t="s">
        <v>84</v>
      </c>
      <c r="E15" s="11">
        <v>0.58832175925925922</v>
      </c>
      <c r="F15" s="12">
        <f t="shared" si="1"/>
        <v>3.1169444444444432</v>
      </c>
      <c r="G15" s="13">
        <f t="shared" si="2"/>
        <v>3.1169444444444432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46068.608503009258</v>
      </c>
      <c r="B16" s="58" t="s">
        <v>82</v>
      </c>
      <c r="C16" s="11">
        <v>0.60789351851851847</v>
      </c>
      <c r="D16" s="11" t="s">
        <v>84</v>
      </c>
      <c r="E16" s="11">
        <v>0.71351851851851855</v>
      </c>
      <c r="F16" s="12">
        <f t="shared" si="1"/>
        <v>2.5350000000000019</v>
      </c>
      <c r="G16" s="13">
        <f t="shared" si="2"/>
        <v>2.5350000000000019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46068.958840046296</v>
      </c>
      <c r="B17" s="58" t="s">
        <v>82</v>
      </c>
      <c r="C17" s="11">
        <v>0.95836805555555549</v>
      </c>
      <c r="D17" s="11" t="s">
        <v>84</v>
      </c>
      <c r="E17" s="11">
        <v>0.98075231481481484</v>
      </c>
      <c r="F17" s="12">
        <f t="shared" si="1"/>
        <v>0.53722222222222449</v>
      </c>
      <c r="G17" s="13">
        <f t="shared" si="2"/>
        <v>0.53722222222222449</v>
      </c>
      <c r="H17" s="13">
        <f t="shared" si="3"/>
        <v>0</v>
      </c>
      <c r="I17" s="35" t="s">
        <v>29</v>
      </c>
      <c r="J17" s="36">
        <f>J4+J5+J6+J7+J10</f>
        <v>58.796111111111117</v>
      </c>
      <c r="K17" s="37">
        <f>K4+K5+K6+K7+K10</f>
        <v>40.705833333333345</v>
      </c>
      <c r="L17" s="38">
        <f>L4+L5+L6+L7+L10</f>
        <v>18.090277777777764</v>
      </c>
      <c r="M17" s="39"/>
    </row>
    <row r="18" spans="1:13" ht="20.25" x14ac:dyDescent="0.25">
      <c r="A18" s="10">
        <f t="shared" ca="1" si="0"/>
        <v>46068.990966435187</v>
      </c>
      <c r="B18" s="58" t="s">
        <v>82</v>
      </c>
      <c r="C18" s="11">
        <v>0.99099537037037033</v>
      </c>
      <c r="D18" s="11" t="s">
        <v>84</v>
      </c>
      <c r="E18" s="11">
        <v>0.14246527777777776</v>
      </c>
      <c r="F18" s="12">
        <f t="shared" si="1"/>
        <v>3.6352777777777785</v>
      </c>
      <c r="G18" s="13">
        <f t="shared" si="2"/>
        <v>0.21611111111111203</v>
      </c>
      <c r="H18" s="13">
        <f t="shared" si="3"/>
        <v>3.4191666666666665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46069.478875347224</v>
      </c>
      <c r="B19" s="58" t="s">
        <v>82</v>
      </c>
      <c r="C19" s="11">
        <v>0.47886574074074079</v>
      </c>
      <c r="D19" s="11" t="s">
        <v>84</v>
      </c>
      <c r="E19" s="11">
        <v>0.49994212962962964</v>
      </c>
      <c r="F19" s="12">
        <f t="shared" si="1"/>
        <v>0.50583333333333247</v>
      </c>
      <c r="G19" s="13">
        <f t="shared" si="2"/>
        <v>0.50583333333333247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46069.520899537034</v>
      </c>
      <c r="B20" s="58" t="s">
        <v>82</v>
      </c>
      <c r="C20" s="11">
        <v>0.52089120370370368</v>
      </c>
      <c r="D20" s="11" t="s">
        <v>84</v>
      </c>
      <c r="E20" s="11">
        <v>0.5889699074074074</v>
      </c>
      <c r="F20" s="12">
        <f t="shared" si="1"/>
        <v>1.6338888888888894</v>
      </c>
      <c r="G20" s="13">
        <f t="shared" si="2"/>
        <v>1.6338888888888894</v>
      </c>
      <c r="H20" s="13">
        <f t="shared" si="3"/>
        <v>0</v>
      </c>
      <c r="I20" s="40" t="s">
        <v>31</v>
      </c>
      <c r="J20" s="67">
        <f>J16+J17+J18+J19</f>
        <v>58.796111111111117</v>
      </c>
      <c r="K20" s="68"/>
      <c r="L20" s="69"/>
      <c r="M20" s="41"/>
    </row>
    <row r="21" spans="1:13" ht="20.25" x14ac:dyDescent="0.25">
      <c r="A21" s="10">
        <f t="shared" ca="1" si="0"/>
        <v>46069.667504745368</v>
      </c>
      <c r="B21" s="58" t="s">
        <v>83</v>
      </c>
      <c r="C21" s="11">
        <v>0.66680555555555554</v>
      </c>
      <c r="D21" s="11" t="s">
        <v>84</v>
      </c>
      <c r="E21" s="11">
        <v>0.77488425925925919</v>
      </c>
      <c r="F21" s="12">
        <f t="shared" si="1"/>
        <v>2.5938888888888876</v>
      </c>
      <c r="G21" s="13">
        <f t="shared" si="2"/>
        <v>2.5938888888888876</v>
      </c>
      <c r="H21" s="13">
        <f t="shared" si="3"/>
        <v>0</v>
      </c>
      <c r="I21" s="53" t="s">
        <v>78</v>
      </c>
      <c r="J21" s="54">
        <f>SUM(J8:J9)</f>
        <v>10.512500000000003</v>
      </c>
      <c r="K21" s="37">
        <f>SUM(K8:K9)</f>
        <v>10.512500000000003</v>
      </c>
      <c r="L21" s="38">
        <f>SUM(L8:L9)</f>
        <v>0</v>
      </c>
      <c r="M21" s="46"/>
    </row>
    <row r="22" spans="1:13" ht="18.75" x14ac:dyDescent="0.15">
      <c r="A22" s="10">
        <f t="shared" ca="1" si="0"/>
        <v>46069.805885879628</v>
      </c>
      <c r="B22" s="58" t="s">
        <v>83</v>
      </c>
      <c r="C22" s="11">
        <v>0.80518518518518523</v>
      </c>
      <c r="D22" s="11" t="s">
        <v>84</v>
      </c>
      <c r="E22" s="11">
        <v>0.82700231481481479</v>
      </c>
      <c r="F22" s="12">
        <f t="shared" si="1"/>
        <v>0.52361111111110947</v>
      </c>
      <c r="G22" s="13">
        <f t="shared" si="2"/>
        <v>0.52361111111110947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46078.135966782407</v>
      </c>
      <c r="B23" s="58" t="s">
        <v>86</v>
      </c>
      <c r="C23" s="11">
        <v>0.13596064814814815</v>
      </c>
      <c r="D23" s="11" t="s">
        <v>84</v>
      </c>
      <c r="E23" s="11">
        <v>0.30773148148148149</v>
      </c>
      <c r="F23" s="12">
        <f t="shared" si="1"/>
        <v>4.1225000000000005</v>
      </c>
      <c r="G23" s="13">
        <f t="shared" si="2"/>
        <v>0</v>
      </c>
      <c r="H23" s="13">
        <f t="shared" si="3"/>
        <v>4.1225000000000005</v>
      </c>
      <c r="I23"/>
      <c r="J23"/>
    </row>
    <row r="24" spans="1:13" ht="18.75" x14ac:dyDescent="0.15">
      <c r="A24" s="10">
        <f t="shared" ca="1" si="0"/>
        <v>46080.353117245373</v>
      </c>
      <c r="B24" s="58" t="s">
        <v>83</v>
      </c>
      <c r="C24" s="11">
        <v>0.35311342592592593</v>
      </c>
      <c r="D24" s="11" t="s">
        <v>84</v>
      </c>
      <c r="E24" s="11">
        <v>0.49562499999999998</v>
      </c>
      <c r="F24" s="12">
        <f t="shared" si="1"/>
        <v>3.4202777777777773</v>
      </c>
      <c r="G24" s="13">
        <f t="shared" si="2"/>
        <v>3.4202777777777773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46080.495664699076</v>
      </c>
      <c r="B25" s="58" t="s">
        <v>86</v>
      </c>
      <c r="C25" s="11">
        <v>0.49565972222222227</v>
      </c>
      <c r="D25" s="11" t="s">
        <v>84</v>
      </c>
      <c r="E25" s="11">
        <v>0.50596064814814812</v>
      </c>
      <c r="F25" s="12">
        <f t="shared" si="1"/>
        <v>0.24722222222222046</v>
      </c>
      <c r="G25" s="13">
        <f t="shared" si="2"/>
        <v>0.24722222222222046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46080.646621180553</v>
      </c>
      <c r="B26" s="58" t="s">
        <v>85</v>
      </c>
      <c r="C26" s="11">
        <v>0.64662037037037035</v>
      </c>
      <c r="D26" s="11" t="s">
        <v>84</v>
      </c>
      <c r="E26" s="11">
        <v>0.75450231481481478</v>
      </c>
      <c r="F26" s="12">
        <f t="shared" si="1"/>
        <v>2.5891666666666664</v>
      </c>
      <c r="G26" s="13">
        <f t="shared" si="2"/>
        <v>2.5891666666666664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46080.875297222221</v>
      </c>
      <c r="B27" s="58" t="s">
        <v>86</v>
      </c>
      <c r="C27" s="11">
        <v>0.87528935185185175</v>
      </c>
      <c r="D27" s="11" t="s">
        <v>84</v>
      </c>
      <c r="E27" s="11">
        <v>0.96418981481481481</v>
      </c>
      <c r="F27" s="12">
        <f t="shared" si="1"/>
        <v>2.1336111111111133</v>
      </c>
      <c r="G27" s="13">
        <f t="shared" si="2"/>
        <v>2.1336111111111133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46081.430147569445</v>
      </c>
      <c r="B28" s="58" t="s">
        <v>85</v>
      </c>
      <c r="C28" s="11">
        <v>0.29826388888888888</v>
      </c>
      <c r="D28" s="11" t="s">
        <v>84</v>
      </c>
      <c r="E28" s="11">
        <v>0.46369212962962963</v>
      </c>
      <c r="F28" s="12">
        <f t="shared" si="1"/>
        <v>3.970277777777778</v>
      </c>
      <c r="G28" s="13">
        <f t="shared" si="2"/>
        <v>3.1286111111111197</v>
      </c>
      <c r="H28" s="13">
        <f t="shared" si="3"/>
        <v>0.84166666666665835</v>
      </c>
      <c r="I28"/>
      <c r="J28"/>
    </row>
    <row r="29" spans="1:13" ht="18.75" x14ac:dyDescent="0.15">
      <c r="A29" s="10">
        <f t="shared" ca="1" si="0"/>
        <v>46081.542276273147</v>
      </c>
      <c r="B29" s="58" t="s">
        <v>85</v>
      </c>
      <c r="C29" s="11">
        <v>0.54168981481481482</v>
      </c>
      <c r="D29" s="11" t="s">
        <v>84</v>
      </c>
      <c r="E29" s="11">
        <v>0.63031249999999994</v>
      </c>
      <c r="F29" s="12">
        <f t="shared" si="1"/>
        <v>2.126944444444443</v>
      </c>
      <c r="G29" s="13">
        <f t="shared" si="2"/>
        <v>2.126944444444443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39"/>
  <sheetViews>
    <sheetView zoomScale="85" zoomScaleNormal="85" workbookViewId="0">
      <selection activeCell="D21" sqref="D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46054.300381944442</v>
      </c>
      <c r="B3" s="58" t="s">
        <v>82</v>
      </c>
      <c r="C3" s="11">
        <v>0.30038194444444444</v>
      </c>
      <c r="D3" s="11" t="s">
        <v>84</v>
      </c>
      <c r="E3" s="11">
        <v>0.36634259259259255</v>
      </c>
      <c r="F3" s="12">
        <f t="shared" ref="F3:F66" si="1">(IF(E3-C3&lt;0,"24:00"-C3+E3,E3-C3))*24</f>
        <v>1.5830555555555548</v>
      </c>
      <c r="G3" s="13">
        <f t="shared" ref="G3:G66" si="2">F3-H3</f>
        <v>0.79222222222222971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0.79083333333332506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46056.394900231484</v>
      </c>
      <c r="B4" s="58" t="s">
        <v>83</v>
      </c>
      <c r="C4" s="11">
        <v>0.39489583333333328</v>
      </c>
      <c r="D4" s="11" t="s">
        <v>84</v>
      </c>
      <c r="E4" s="11">
        <v>0.41552083333333334</v>
      </c>
      <c r="F4" s="12">
        <f t="shared" si="1"/>
        <v>0.49500000000000144</v>
      </c>
      <c r="G4" s="13">
        <f t="shared" si="2"/>
        <v>0.49500000000000144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19.293888888888887</v>
      </c>
      <c r="K4" s="23">
        <f>SUMIF(B:B,"西塔台管制席",G:G)+SUMIF(B:B,"东塔台管制席",G:G)</f>
        <v>17.691944444444459</v>
      </c>
      <c r="L4" s="23">
        <f>SUMIF(B:B,"西塔台管制席",H:H)+SUMIF(B:B,"东塔台管制席",H:H)</f>
        <v>1.6019444444444275</v>
      </c>
      <c r="M4" s="19"/>
    </row>
    <row r="5" spans="1:16" ht="18.75" x14ac:dyDescent="0.25">
      <c r="A5" s="10">
        <f t="shared" ca="1" si="0"/>
        <v>46061.959527199077</v>
      </c>
      <c r="B5" s="58" t="s">
        <v>82</v>
      </c>
      <c r="C5" s="11">
        <v>0.95952546296296293</v>
      </c>
      <c r="D5" s="11" t="s">
        <v>84</v>
      </c>
      <c r="E5" s="11">
        <v>0.11623842592592593</v>
      </c>
      <c r="F5" s="12">
        <f t="shared" si="1"/>
        <v>3.761111111111112</v>
      </c>
      <c r="G5" s="13">
        <f t="shared" si="2"/>
        <v>0.97138888888888975</v>
      </c>
      <c r="H5" s="13">
        <f t="shared" si="3"/>
        <v>2.7897222222222222</v>
      </c>
      <c r="I5" s="21" t="s">
        <v>21</v>
      </c>
      <c r="J5" s="22">
        <f>SUMIF(B:B,"西塔台协调席",F:F)+SUMIF(B:B,"东塔台协调席",F:F)</f>
        <v>16.557777777777773</v>
      </c>
      <c r="K5" s="23">
        <f>SUMIF(B:B,"西塔台协调席",G:G)+SUMIF(B:B,"东塔台协调席",G:G)</f>
        <v>12.977222222222229</v>
      </c>
      <c r="L5" s="23">
        <f>SUMIF(B:B,"西塔台协调席",H:H)+SUMIF(B:B,"东塔台协调席",H:H)</f>
        <v>3.5805555555555473</v>
      </c>
      <c r="M5" s="19"/>
    </row>
    <row r="6" spans="1:16" ht="18.75" x14ac:dyDescent="0.25">
      <c r="A6" s="10">
        <f t="shared" ca="1" si="0"/>
        <v>46064.361777199076</v>
      </c>
      <c r="B6" s="58" t="s">
        <v>86</v>
      </c>
      <c r="C6" s="11">
        <v>0.36177083333333332</v>
      </c>
      <c r="D6" s="11" t="s">
        <v>84</v>
      </c>
      <c r="E6" s="11">
        <v>0.51910879629629625</v>
      </c>
      <c r="F6" s="12">
        <f t="shared" si="1"/>
        <v>3.7761111111111103</v>
      </c>
      <c r="G6" s="13">
        <f t="shared" si="2"/>
        <v>3.7761111111111103</v>
      </c>
      <c r="H6" s="13">
        <f t="shared" si="3"/>
        <v>0</v>
      </c>
      <c r="I6" s="21" t="s">
        <v>22</v>
      </c>
      <c r="J6" s="22">
        <f>SUMIF(B:B,"放行席",F:F)</f>
        <v>1.7624999999999997</v>
      </c>
      <c r="K6" s="23">
        <f>SUMIF(B:B,"放行席",G:G)</f>
        <v>0</v>
      </c>
      <c r="L6" s="23">
        <f>SUMIF(B:B,"放行席",H:H)</f>
        <v>1.7624999999999997</v>
      </c>
      <c r="M6" s="19"/>
    </row>
    <row r="7" spans="1:16" ht="18.75" x14ac:dyDescent="0.25">
      <c r="A7" s="10">
        <f t="shared" ca="1" si="0"/>
        <v>46064.627576851854</v>
      </c>
      <c r="B7" s="58" t="s">
        <v>83</v>
      </c>
      <c r="C7" s="11">
        <v>0.62756944444444451</v>
      </c>
      <c r="D7" s="11" t="s">
        <v>84</v>
      </c>
      <c r="E7" s="11">
        <v>0.73498842592592595</v>
      </c>
      <c r="F7" s="12">
        <f t="shared" si="1"/>
        <v>2.5780555555555544</v>
      </c>
      <c r="G7" s="13">
        <f t="shared" si="2"/>
        <v>2.5780555555555544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46064.876706134259</v>
      </c>
      <c r="B8" s="58" t="s">
        <v>82</v>
      </c>
      <c r="C8" s="11">
        <v>0.87670138888888882</v>
      </c>
      <c r="D8" s="11" t="s">
        <v>84</v>
      </c>
      <c r="E8" s="11">
        <v>0.962824074074074</v>
      </c>
      <c r="F8" s="12">
        <f t="shared" si="1"/>
        <v>2.0669444444444443</v>
      </c>
      <c r="G8" s="13">
        <f t="shared" si="2"/>
        <v>2.0669444444444443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46065.300057523149</v>
      </c>
      <c r="B9" s="58" t="s">
        <v>83</v>
      </c>
      <c r="C9" s="11">
        <v>0.30005787037037041</v>
      </c>
      <c r="D9" s="11" t="s">
        <v>84</v>
      </c>
      <c r="E9" s="11">
        <v>0.4233912037037037</v>
      </c>
      <c r="F9" s="12">
        <f t="shared" si="1"/>
        <v>2.9599999999999991</v>
      </c>
      <c r="G9" s="13">
        <f t="shared" si="2"/>
        <v>2.1613888888888972</v>
      </c>
      <c r="H9" s="13">
        <f t="shared" si="3"/>
        <v>0.79861111111110183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46065.506469328706</v>
      </c>
      <c r="B10" s="58" t="s">
        <v>82</v>
      </c>
      <c r="C10" s="11">
        <v>0.50645833333333334</v>
      </c>
      <c r="D10" s="11" t="s">
        <v>84</v>
      </c>
      <c r="E10" s="11">
        <v>0.53156250000000005</v>
      </c>
      <c r="F10" s="12">
        <f t="shared" si="1"/>
        <v>0.60250000000000092</v>
      </c>
      <c r="G10" s="13">
        <f t="shared" si="2"/>
        <v>0.60250000000000092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46065.542123032406</v>
      </c>
      <c r="B11" s="58" t="s">
        <v>82</v>
      </c>
      <c r="C11" s="11">
        <v>0.54211805555555559</v>
      </c>
      <c r="D11" s="11" t="s">
        <v>84</v>
      </c>
      <c r="E11" s="11">
        <v>0.63023148148148145</v>
      </c>
      <c r="F11" s="12">
        <f t="shared" si="1"/>
        <v>2.1147222222222206</v>
      </c>
      <c r="G11" s="13">
        <f t="shared" si="2"/>
        <v>2.1147222222222206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46076.504305902781</v>
      </c>
      <c r="B12" s="58" t="s">
        <v>83</v>
      </c>
      <c r="C12" s="11">
        <v>0.50430555555555556</v>
      </c>
      <c r="D12" s="11" t="s">
        <v>84</v>
      </c>
      <c r="E12" s="11">
        <v>0.63248842592592591</v>
      </c>
      <c r="F12" s="12">
        <f t="shared" si="1"/>
        <v>3.0763888888888884</v>
      </c>
      <c r="G12" s="13">
        <f t="shared" si="2"/>
        <v>3.0763888888888884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46076.756696296296</v>
      </c>
      <c r="B13" s="58" t="s">
        <v>82</v>
      </c>
      <c r="C13" s="11">
        <v>0.75668981481481479</v>
      </c>
      <c r="D13" s="11" t="s">
        <v>84</v>
      </c>
      <c r="E13" s="11">
        <v>0.88118055555555552</v>
      </c>
      <c r="F13" s="12">
        <f t="shared" si="1"/>
        <v>2.9877777777777776</v>
      </c>
      <c r="G13" s="13">
        <f t="shared" si="2"/>
        <v>2.9877777777777776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46077.426414699075</v>
      </c>
      <c r="B14" s="58" t="s">
        <v>83</v>
      </c>
      <c r="C14" s="11">
        <v>0.42641203703703701</v>
      </c>
      <c r="D14" s="11" t="s">
        <v>84</v>
      </c>
      <c r="E14" s="11">
        <v>0.51129629629629625</v>
      </c>
      <c r="F14" s="12">
        <f t="shared" si="1"/>
        <v>2.0372222222222218</v>
      </c>
      <c r="G14" s="13">
        <f t="shared" si="2"/>
        <v>2.0372222222222218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46077.627038541665</v>
      </c>
      <c r="B15" s="58" t="s">
        <v>82</v>
      </c>
      <c r="C15" s="11">
        <v>0.62703703703703706</v>
      </c>
      <c r="D15" s="11" t="s">
        <v>84</v>
      </c>
      <c r="E15" s="11">
        <v>0.77043981481481483</v>
      </c>
      <c r="F15" s="12">
        <f t="shared" si="1"/>
        <v>3.4416666666666664</v>
      </c>
      <c r="G15" s="13">
        <f t="shared" si="2"/>
        <v>3.4416666666666664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46077.833731250001</v>
      </c>
      <c r="B16" s="58" t="s">
        <v>83</v>
      </c>
      <c r="C16" s="11">
        <v>0.8337268518518518</v>
      </c>
      <c r="D16" s="11" t="s">
        <v>84</v>
      </c>
      <c r="E16" s="11">
        <v>0.88471064814814815</v>
      </c>
      <c r="F16" s="12">
        <f t="shared" si="1"/>
        <v>1.2236111111111123</v>
      </c>
      <c r="G16" s="13">
        <f t="shared" si="2"/>
        <v>1.2236111111111123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46077.898884837959</v>
      </c>
      <c r="B17" s="58" t="s">
        <v>83</v>
      </c>
      <c r="C17" s="11">
        <v>0.89887731481481481</v>
      </c>
      <c r="D17" s="11" t="s">
        <v>84</v>
      </c>
      <c r="E17" s="11">
        <v>0.96568287037037026</v>
      </c>
      <c r="F17" s="12">
        <f t="shared" si="1"/>
        <v>1.6033333333333308</v>
      </c>
      <c r="G17" s="13">
        <f t="shared" si="2"/>
        <v>1.6033333333333308</v>
      </c>
      <c r="H17" s="13">
        <f t="shared" si="3"/>
        <v>0</v>
      </c>
      <c r="I17" s="35" t="s">
        <v>29</v>
      </c>
      <c r="J17" s="36">
        <f>J4+J5+J6+J7+J10</f>
        <v>37.614166666666662</v>
      </c>
      <c r="K17" s="37">
        <f>K4+K5+K6+K7+K10</f>
        <v>30.66916666666669</v>
      </c>
      <c r="L17" s="38">
        <f>L4+L5+L6+L7+L10</f>
        <v>6.9449999999999736</v>
      </c>
      <c r="M17" s="39"/>
    </row>
    <row r="18" spans="1:13" ht="20.25" x14ac:dyDescent="0.25">
      <c r="A18" s="10">
        <f t="shared" ca="1" si="0"/>
        <v>46078.299867592592</v>
      </c>
      <c r="B18" s="58" t="s">
        <v>86</v>
      </c>
      <c r="C18" s="11">
        <v>0.29986111111111108</v>
      </c>
      <c r="D18" s="11" t="s">
        <v>84</v>
      </c>
      <c r="E18" s="11">
        <v>0.36420138888888887</v>
      </c>
      <c r="F18" s="12">
        <f t="shared" si="1"/>
        <v>1.5441666666666669</v>
      </c>
      <c r="G18" s="13">
        <f t="shared" si="2"/>
        <v>0.74083333333334123</v>
      </c>
      <c r="H18" s="13">
        <f t="shared" si="3"/>
        <v>0.80333333333332568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46081.13315173611</v>
      </c>
      <c r="B19" s="58" t="s">
        <v>87</v>
      </c>
      <c r="C19" s="11">
        <v>0.13314814814814815</v>
      </c>
      <c r="D19" s="11" t="s">
        <v>84</v>
      </c>
      <c r="E19" s="11">
        <v>0.20658564814814814</v>
      </c>
      <c r="F19" s="12">
        <f t="shared" si="1"/>
        <v>1.7624999999999997</v>
      </c>
      <c r="G19" s="13">
        <f t="shared" si="2"/>
        <v>0</v>
      </c>
      <c r="H19" s="13">
        <f t="shared" si="3"/>
        <v>1.7624999999999997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37.614166666666662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339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46054.132641898148</v>
      </c>
      <c r="B3" s="58" t="s">
        <v>87</v>
      </c>
      <c r="C3" s="11">
        <v>0.13263888888888889</v>
      </c>
      <c r="D3" s="11" t="s">
        <v>84</v>
      </c>
      <c r="E3" s="11">
        <v>0.22366898148148148</v>
      </c>
      <c r="F3" s="12">
        <f t="shared" ref="F3:F66" si="1">(IF(E3-C3&lt;0,"24:00"-C3+E3,E3-C3))*24</f>
        <v>2.1847222222222222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2.1847222222222222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46056.356413310183</v>
      </c>
      <c r="B4" s="58" t="s">
        <v>85</v>
      </c>
      <c r="C4" s="11">
        <v>0.35693287037037041</v>
      </c>
      <c r="D4" s="11" t="s">
        <v>84</v>
      </c>
      <c r="E4" s="11">
        <v>0.51611111111111108</v>
      </c>
      <c r="F4" s="12">
        <f t="shared" si="1"/>
        <v>3.8202777777777759</v>
      </c>
      <c r="G4" s="13">
        <f t="shared" si="2"/>
        <v>3.8202777777777759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27.572222222222223</v>
      </c>
      <c r="K4" s="23">
        <f>SUMIF(B:B,"西塔台管制席",G:G)+SUMIF(B:B,"东塔台管制席",G:G)</f>
        <v>17.078888888888891</v>
      </c>
      <c r="L4" s="23">
        <f>SUMIF(B:B,"西塔台管制席",H:H)+SUMIF(B:B,"东塔台管制席",H:H)</f>
        <v>10.493333333333332</v>
      </c>
      <c r="M4" s="19"/>
    </row>
    <row r="5" spans="1:16" ht="18.75" x14ac:dyDescent="0.25">
      <c r="A5" s="10">
        <f t="shared" ca="1" si="0"/>
        <v>46056.599355787039</v>
      </c>
      <c r="B5" s="58" t="s">
        <v>85</v>
      </c>
      <c r="C5" s="11">
        <v>0.5993518518518518</v>
      </c>
      <c r="D5" s="11" t="s">
        <v>84</v>
      </c>
      <c r="E5" s="11">
        <v>0.75601851851851853</v>
      </c>
      <c r="F5" s="12">
        <f t="shared" si="1"/>
        <v>3.7600000000000016</v>
      </c>
      <c r="G5" s="13">
        <f t="shared" si="2"/>
        <v>3.7600000000000016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31.093611111111109</v>
      </c>
      <c r="K5" s="23">
        <f>SUMIF(B:B,"西塔台协调席",G:G)+SUMIF(B:B,"东塔台协调席",G:G)</f>
        <v>19.086944444444448</v>
      </c>
      <c r="L5" s="23">
        <f>SUMIF(B:B,"西塔台协调席",H:H)+SUMIF(B:B,"东塔台协调席",H:H)</f>
        <v>12.006666666666659</v>
      </c>
      <c r="M5" s="19"/>
    </row>
    <row r="6" spans="1:16" ht="18.75" x14ac:dyDescent="0.25">
      <c r="A6" s="10">
        <f t="shared" ca="1" si="0"/>
        <v>46056.873715162037</v>
      </c>
      <c r="B6" s="58" t="s">
        <v>86</v>
      </c>
      <c r="C6" s="11">
        <v>0.8737152777777778</v>
      </c>
      <c r="D6" s="11" t="s">
        <v>84</v>
      </c>
      <c r="E6" s="11">
        <v>0.96337962962962964</v>
      </c>
      <c r="F6" s="12">
        <f t="shared" si="1"/>
        <v>2.1519444444444442</v>
      </c>
      <c r="G6" s="13">
        <f t="shared" si="2"/>
        <v>2.1519444444444442</v>
      </c>
      <c r="H6" s="13">
        <f t="shared" si="3"/>
        <v>0</v>
      </c>
      <c r="I6" s="21" t="s">
        <v>22</v>
      </c>
      <c r="J6" s="22">
        <f>SUMIF(B:B,"放行席",F:F)</f>
        <v>2.1847222222222222</v>
      </c>
      <c r="K6" s="23">
        <f>SUMIF(B:B,"放行席",G:G)</f>
        <v>0</v>
      </c>
      <c r="L6" s="23">
        <f>SUMIF(B:B,"放行席",H:H)</f>
        <v>2.1847222222222222</v>
      </c>
      <c r="M6" s="19"/>
    </row>
    <row r="7" spans="1:16" ht="18.75" x14ac:dyDescent="0.25">
      <c r="A7" s="10">
        <f t="shared" ca="1" si="0"/>
        <v>46057.299495486113</v>
      </c>
      <c r="B7" s="58" t="s">
        <v>82</v>
      </c>
      <c r="C7" s="11">
        <v>0.29949074074074072</v>
      </c>
      <c r="D7" s="11" t="s">
        <v>84</v>
      </c>
      <c r="E7" s="11">
        <v>0.34431712962962963</v>
      </c>
      <c r="F7" s="12">
        <f t="shared" si="1"/>
        <v>1.0758333333333336</v>
      </c>
      <c r="G7" s="13">
        <f t="shared" si="2"/>
        <v>0.26361111111111946</v>
      </c>
      <c r="H7" s="13">
        <f t="shared" si="3"/>
        <v>0.81222222222221419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46057.355777662036</v>
      </c>
      <c r="B8" s="58" t="s">
        <v>82</v>
      </c>
      <c r="C8" s="11">
        <v>0.34813657407407406</v>
      </c>
      <c r="D8" s="11" t="s">
        <v>84</v>
      </c>
      <c r="E8" s="11">
        <v>0.42410879629629633</v>
      </c>
      <c r="F8" s="12">
        <f t="shared" si="1"/>
        <v>1.8233333333333346</v>
      </c>
      <c r="G8" s="13">
        <f t="shared" si="2"/>
        <v>1.8233333333333346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46057.498923842591</v>
      </c>
      <c r="B9" s="58" t="s">
        <v>83</v>
      </c>
      <c r="C9" s="11">
        <v>0.49892361111111111</v>
      </c>
      <c r="D9" s="11" t="s">
        <v>84</v>
      </c>
      <c r="E9" s="11">
        <v>0.63062499999999999</v>
      </c>
      <c r="F9" s="12">
        <f t="shared" si="1"/>
        <v>3.1608333333333332</v>
      </c>
      <c r="G9" s="13">
        <f t="shared" si="2"/>
        <v>3.1608333333333332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46057.750406828702</v>
      </c>
      <c r="B10" s="58" t="s">
        <v>82</v>
      </c>
      <c r="C10" s="11">
        <v>0.75040509259259258</v>
      </c>
      <c r="D10" s="11" t="s">
        <v>84</v>
      </c>
      <c r="E10" s="11">
        <v>0.83890046296296295</v>
      </c>
      <c r="F10" s="12">
        <f t="shared" si="1"/>
        <v>2.1238888888888887</v>
      </c>
      <c r="G10" s="13">
        <f t="shared" si="2"/>
        <v>2.1238888888888887</v>
      </c>
      <c r="H10" s="13">
        <f t="shared" si="3"/>
        <v>0</v>
      </c>
      <c r="I10" s="21" t="s">
        <v>24</v>
      </c>
      <c r="J10" s="22">
        <f>SUMIF(B:B,"综合协调席",F:F)</f>
        <v>1.9302777777777775</v>
      </c>
      <c r="K10" s="23">
        <f>SUMIF(B:B,"综合协调席",G:G)</f>
        <v>0</v>
      </c>
      <c r="L10" s="23">
        <f>SUMIF(B:B,"综合协调席",H:H)</f>
        <v>1.9302777777777775</v>
      </c>
      <c r="M10" s="19"/>
    </row>
    <row r="11" spans="1:16" ht="18.75" x14ac:dyDescent="0.25">
      <c r="A11" s="10">
        <f t="shared" ca="1" si="0"/>
        <v>46060.957582523151</v>
      </c>
      <c r="B11" s="58" t="s">
        <v>86</v>
      </c>
      <c r="C11" s="11">
        <v>0.95758101851851851</v>
      </c>
      <c r="D11" s="11" t="s">
        <v>84</v>
      </c>
      <c r="E11" s="11">
        <v>0.12166666666666666</v>
      </c>
      <c r="F11" s="12">
        <f t="shared" si="1"/>
        <v>3.9380555555555552</v>
      </c>
      <c r="G11" s="13">
        <f t="shared" si="2"/>
        <v>1.0180555555555553</v>
      </c>
      <c r="H11" s="13">
        <f t="shared" si="3"/>
        <v>2.92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46062.013836574071</v>
      </c>
      <c r="B12" s="58" t="s">
        <v>85</v>
      </c>
      <c r="C12" s="11">
        <v>1.383101851851852E-2</v>
      </c>
      <c r="D12" s="11" t="s">
        <v>84</v>
      </c>
      <c r="E12" s="11">
        <v>0.10914351851851851</v>
      </c>
      <c r="F12" s="12">
        <f t="shared" si="1"/>
        <v>2.2874999999999996</v>
      </c>
      <c r="G12" s="13">
        <f t="shared" si="2"/>
        <v>0</v>
      </c>
      <c r="H12" s="13">
        <f t="shared" si="3"/>
        <v>2.2874999999999996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46062.109172569442</v>
      </c>
      <c r="B13" s="58" t="s">
        <v>83</v>
      </c>
      <c r="C13" s="11">
        <v>0.10916666666666668</v>
      </c>
      <c r="D13" s="11" t="s">
        <v>84</v>
      </c>
      <c r="E13" s="11">
        <v>0.14391203703703703</v>
      </c>
      <c r="F13" s="12">
        <f t="shared" si="1"/>
        <v>0.83388888888888857</v>
      </c>
      <c r="G13" s="13">
        <f t="shared" si="2"/>
        <v>0</v>
      </c>
      <c r="H13" s="13">
        <f t="shared" si="3"/>
        <v>0.83388888888888857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46065.139920138892</v>
      </c>
      <c r="B14" s="58" t="s">
        <v>89</v>
      </c>
      <c r="C14" s="11">
        <v>0.13991898148148149</v>
      </c>
      <c r="D14" s="11" t="s">
        <v>84</v>
      </c>
      <c r="E14" s="11">
        <v>0.22034722222222222</v>
      </c>
      <c r="F14" s="12">
        <f t="shared" si="1"/>
        <v>1.9302777777777775</v>
      </c>
      <c r="G14" s="13">
        <f t="shared" si="2"/>
        <v>0</v>
      </c>
      <c r="H14" s="13">
        <f t="shared" si="3"/>
        <v>1.9302777777777775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46065.220397916666</v>
      </c>
      <c r="B15" s="58" t="s">
        <v>82</v>
      </c>
      <c r="C15" s="11">
        <v>0.22039351851851852</v>
      </c>
      <c r="D15" s="11" t="s">
        <v>84</v>
      </c>
      <c r="E15" s="11">
        <v>0.30239583333333336</v>
      </c>
      <c r="F15" s="12">
        <f t="shared" si="1"/>
        <v>1.9680555555555563</v>
      </c>
      <c r="G15" s="13">
        <f t="shared" si="2"/>
        <v>0</v>
      </c>
      <c r="H15" s="13">
        <f t="shared" si="3"/>
        <v>1.9680555555555563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46065.958496527775</v>
      </c>
      <c r="B16" s="58" t="s">
        <v>82</v>
      </c>
      <c r="C16" s="11">
        <v>0.95849537037037036</v>
      </c>
      <c r="D16" s="11" t="s">
        <v>84</v>
      </c>
      <c r="E16" s="11">
        <v>0.12412037037037038</v>
      </c>
      <c r="F16" s="12">
        <f t="shared" si="1"/>
        <v>3.9750000000000005</v>
      </c>
      <c r="G16" s="13">
        <f t="shared" si="2"/>
        <v>0.99611111111111139</v>
      </c>
      <c r="H16" s="13">
        <f t="shared" si="3"/>
        <v>2.9788888888888891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46072.968624189816</v>
      </c>
      <c r="B17" s="58" t="s">
        <v>83</v>
      </c>
      <c r="C17" s="11">
        <v>0.96862268518518524</v>
      </c>
      <c r="D17" s="11" t="s">
        <v>84</v>
      </c>
      <c r="E17" s="11">
        <v>0.14753472222222222</v>
      </c>
      <c r="F17" s="12">
        <f t="shared" si="1"/>
        <v>4.2938888888888878</v>
      </c>
      <c r="G17" s="13">
        <f t="shared" si="2"/>
        <v>0.75305555555555426</v>
      </c>
      <c r="H17" s="13">
        <f t="shared" si="3"/>
        <v>3.5408333333333335</v>
      </c>
      <c r="I17" s="35" t="s">
        <v>29</v>
      </c>
      <c r="J17" s="36">
        <f>J4+J5+J6+J7+J10</f>
        <v>62.780833333333327</v>
      </c>
      <c r="K17" s="37">
        <f>K4+K5+K6+K7+K10</f>
        <v>36.165833333333339</v>
      </c>
      <c r="L17" s="38">
        <f>L4+L5+L6+L7+L10</f>
        <v>26.614999999999995</v>
      </c>
      <c r="M17" s="39"/>
    </row>
    <row r="18" spans="1:13" ht="20.25" x14ac:dyDescent="0.25">
      <c r="A18" s="10">
        <f t="shared" ca="1" si="0"/>
        <v>46073.957206481478</v>
      </c>
      <c r="B18" s="58" t="s">
        <v>83</v>
      </c>
      <c r="C18" s="11">
        <v>0.95567129629629621</v>
      </c>
      <c r="D18" s="11" t="s">
        <v>84</v>
      </c>
      <c r="E18" s="11">
        <v>0.13327546296296297</v>
      </c>
      <c r="F18" s="12">
        <f t="shared" si="1"/>
        <v>4.262500000000002</v>
      </c>
      <c r="G18" s="13">
        <f t="shared" si="2"/>
        <v>1.0638888888888909</v>
      </c>
      <c r="H18" s="13">
        <f t="shared" si="3"/>
        <v>3.1986111111111111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46077.13936238426</v>
      </c>
      <c r="B19" s="58" t="s">
        <v>82</v>
      </c>
      <c r="C19" s="11">
        <v>0.13935185185185187</v>
      </c>
      <c r="D19" s="11" t="s">
        <v>84</v>
      </c>
      <c r="E19" s="11">
        <v>0.30435185185185182</v>
      </c>
      <c r="F19" s="12">
        <f t="shared" si="1"/>
        <v>3.9599999999999991</v>
      </c>
      <c r="G19" s="13">
        <f t="shared" si="2"/>
        <v>0</v>
      </c>
      <c r="H19" s="13">
        <f t="shared" si="3"/>
        <v>3.9599999999999991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46080.500127777777</v>
      </c>
      <c r="B20" s="58" t="s">
        <v>86</v>
      </c>
      <c r="C20" s="11">
        <v>0.50012731481481476</v>
      </c>
      <c r="D20" s="11" t="s">
        <v>84</v>
      </c>
      <c r="E20" s="11">
        <v>0.6501851851851852</v>
      </c>
      <c r="F20" s="12">
        <f t="shared" si="1"/>
        <v>3.6013888888888905</v>
      </c>
      <c r="G20" s="13">
        <f t="shared" si="2"/>
        <v>3.6013888888888905</v>
      </c>
      <c r="H20" s="13">
        <f t="shared" si="3"/>
        <v>0</v>
      </c>
      <c r="I20" s="40" t="s">
        <v>31</v>
      </c>
      <c r="J20" s="67">
        <f>J16+J17+J18+J19</f>
        <v>62.780833333333327</v>
      </c>
      <c r="K20" s="68"/>
      <c r="L20" s="69"/>
      <c r="M20" s="41"/>
    </row>
    <row r="21" spans="1:13" ht="20.25" x14ac:dyDescent="0.25">
      <c r="A21" s="10">
        <f t="shared" ca="1" si="0"/>
        <v>46080.749884837962</v>
      </c>
      <c r="B21" s="58" t="s">
        <v>85</v>
      </c>
      <c r="C21" s="11">
        <v>0.74988425925925928</v>
      </c>
      <c r="D21" s="11" t="s">
        <v>84</v>
      </c>
      <c r="E21" s="11">
        <v>0.87966435185185177</v>
      </c>
      <c r="F21" s="12">
        <f t="shared" si="1"/>
        <v>3.1147222222222197</v>
      </c>
      <c r="G21" s="13">
        <f t="shared" si="2"/>
        <v>3.1147222222222197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46081.429434375001</v>
      </c>
      <c r="B22" s="58" t="s">
        <v>86</v>
      </c>
      <c r="C22" s="11">
        <v>0.42943287037037042</v>
      </c>
      <c r="D22" s="11" t="s">
        <v>84</v>
      </c>
      <c r="E22" s="11">
        <v>0.51978009259259261</v>
      </c>
      <c r="F22" s="12">
        <f t="shared" si="1"/>
        <v>2.1683333333333326</v>
      </c>
      <c r="G22" s="13">
        <f t="shared" si="2"/>
        <v>2.1683333333333326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46081.624390740741</v>
      </c>
      <c r="B23" s="58" t="s">
        <v>85</v>
      </c>
      <c r="C23" s="11">
        <v>0.62438657407407405</v>
      </c>
      <c r="D23" s="11" t="s">
        <v>84</v>
      </c>
      <c r="E23" s="11">
        <v>0.75709490740740737</v>
      </c>
      <c r="F23" s="12">
        <f t="shared" si="1"/>
        <v>3.1849999999999996</v>
      </c>
      <c r="G23" s="13">
        <f t="shared" si="2"/>
        <v>3.1849999999999996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46081.833349074077</v>
      </c>
      <c r="B24" s="58" t="s">
        <v>86</v>
      </c>
      <c r="C24" s="11">
        <v>0.83334490740740741</v>
      </c>
      <c r="D24" s="11" t="s">
        <v>84</v>
      </c>
      <c r="E24" s="11">
        <v>0.96506944444444442</v>
      </c>
      <c r="F24" s="12">
        <f t="shared" si="1"/>
        <v>3.1613888888888884</v>
      </c>
      <c r="G24" s="13">
        <f t="shared" si="2"/>
        <v>3.1613888888888884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339"/>
  <sheetViews>
    <sheetView zoomScale="85" zoomScaleNormal="85" workbookViewId="0">
      <selection activeCell="H18" sqref="H1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46054.138942245372</v>
      </c>
      <c r="B3" s="58" t="s">
        <v>86</v>
      </c>
      <c r="C3" s="11">
        <v>0.13893518518518519</v>
      </c>
      <c r="D3" s="11" t="s">
        <v>84</v>
      </c>
      <c r="E3" s="11">
        <v>0.23949074074074073</v>
      </c>
      <c r="F3" s="12">
        <f t="shared" ref="F3:F66" si="1">(IF(E3-C3&lt;0,"24:00"-C3+E3,E3-C3))*24</f>
        <v>2.4133333333333331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2.4133333333333331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46054.239528356484</v>
      </c>
      <c r="B4" s="58" t="s">
        <v>82</v>
      </c>
      <c r="C4" s="11">
        <v>0.23952546296296295</v>
      </c>
      <c r="D4" s="11" t="s">
        <v>84</v>
      </c>
      <c r="E4" s="11">
        <v>0.30535879629629631</v>
      </c>
      <c r="F4" s="12">
        <f t="shared" si="1"/>
        <v>1.5800000000000005</v>
      </c>
      <c r="G4" s="13">
        <f t="shared" si="2"/>
        <v>0</v>
      </c>
      <c r="H4" s="13">
        <f t="shared" si="3"/>
        <v>1.5800000000000005</v>
      </c>
      <c r="I4" s="21" t="s">
        <v>20</v>
      </c>
      <c r="J4" s="22">
        <f>SUMIF(B:B,"西塔台管制席",F:F)+SUMIF(B:B,"东塔台管制席",F:F)</f>
        <v>23.648888888888891</v>
      </c>
      <c r="K4" s="23">
        <f>SUMIF(B:B,"西塔台管制席",G:G)+SUMIF(B:B,"东塔台管制席",G:G)</f>
        <v>16.099722222222233</v>
      </c>
      <c r="L4" s="23">
        <f>SUMIF(B:B,"西塔台管制席",H:H)+SUMIF(B:B,"东塔台管制席",H:H)</f>
        <v>7.5491666666666593</v>
      </c>
      <c r="M4" s="19"/>
    </row>
    <row r="5" spans="1:16" ht="18.75" x14ac:dyDescent="0.25">
      <c r="A5" s="10">
        <f t="shared" ca="1" si="0"/>
        <v>46056.500960763886</v>
      </c>
      <c r="B5" s="58" t="s">
        <v>86</v>
      </c>
      <c r="C5" s="11">
        <v>0.50096064814814811</v>
      </c>
      <c r="D5" s="11" t="s">
        <v>84</v>
      </c>
      <c r="E5" s="11">
        <v>0.64918981481481486</v>
      </c>
      <c r="F5" s="12">
        <f t="shared" si="1"/>
        <v>3.5575000000000019</v>
      </c>
      <c r="G5" s="13">
        <f t="shared" si="2"/>
        <v>3.5575000000000019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22.786111111111111</v>
      </c>
      <c r="K5" s="23">
        <f>SUMIF(B:B,"西塔台协调席",G:G)+SUMIF(B:B,"东塔台协调席",G:G)</f>
        <v>13.387222222222228</v>
      </c>
      <c r="L5" s="23">
        <f>SUMIF(B:B,"西塔台协调席",H:H)+SUMIF(B:B,"东塔台协调席",H:H)</f>
        <v>9.3988888888888802</v>
      </c>
      <c r="M5" s="19"/>
    </row>
    <row r="6" spans="1:16" ht="18.75" x14ac:dyDescent="0.25">
      <c r="A6" s="10">
        <f t="shared" ca="1" si="0"/>
        <v>46056.750807986115</v>
      </c>
      <c r="B6" s="58" t="s">
        <v>85</v>
      </c>
      <c r="C6" s="11">
        <v>0.75079861111111112</v>
      </c>
      <c r="D6" s="11" t="s">
        <v>84</v>
      </c>
      <c r="E6" s="11">
        <v>0.8793171296296296</v>
      </c>
      <c r="F6" s="12">
        <f t="shared" si="1"/>
        <v>3.0844444444444434</v>
      </c>
      <c r="G6" s="13">
        <f t="shared" si="2"/>
        <v>3.0844444444444434</v>
      </c>
      <c r="H6" s="13">
        <f t="shared" si="3"/>
        <v>0</v>
      </c>
      <c r="I6" s="21" t="s">
        <v>22</v>
      </c>
      <c r="J6" s="22">
        <f>SUMIF(B:B,"放行席",F:F)</f>
        <v>2.0250000000000004</v>
      </c>
      <c r="K6" s="23">
        <f>SUMIF(B:B,"放行席",G:G)</f>
        <v>0</v>
      </c>
      <c r="L6" s="23">
        <f>SUMIF(B:B,"放行席",H:H)</f>
        <v>2.0250000000000004</v>
      </c>
      <c r="M6" s="19"/>
    </row>
    <row r="7" spans="1:16" ht="18.75" x14ac:dyDescent="0.25">
      <c r="A7" s="10">
        <f t="shared" ca="1" si="0"/>
        <v>46057.417753125002</v>
      </c>
      <c r="B7" s="58" t="s">
        <v>83</v>
      </c>
      <c r="C7" s="11">
        <v>0.41787037037037034</v>
      </c>
      <c r="D7" s="11" t="s">
        <v>84</v>
      </c>
      <c r="E7" s="11">
        <v>0.50398148148148147</v>
      </c>
      <c r="F7" s="12">
        <f t="shared" si="1"/>
        <v>2.0666666666666673</v>
      </c>
      <c r="G7" s="13">
        <f t="shared" si="2"/>
        <v>2.0666666666666673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46057.623764467593</v>
      </c>
      <c r="B8" s="58" t="s">
        <v>82</v>
      </c>
      <c r="C8" s="11">
        <v>0.62376157407407407</v>
      </c>
      <c r="D8" s="11" t="s">
        <v>84</v>
      </c>
      <c r="E8" s="11">
        <v>0.68193287037037031</v>
      </c>
      <c r="F8" s="12">
        <f t="shared" si="1"/>
        <v>1.39611111111111</v>
      </c>
      <c r="G8" s="13">
        <f t="shared" si="2"/>
        <v>1.39611111111111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46057.696600000003</v>
      </c>
      <c r="B9" s="58" t="s">
        <v>82</v>
      </c>
      <c r="C9" s="11">
        <v>0.6965972222222222</v>
      </c>
      <c r="D9" s="11" t="s">
        <v>84</v>
      </c>
      <c r="E9" s="11">
        <v>0.75574074074074071</v>
      </c>
      <c r="F9" s="12">
        <f t="shared" si="1"/>
        <v>1.4194444444444443</v>
      </c>
      <c r="G9" s="13">
        <f t="shared" si="2"/>
        <v>1.4194444444444443</v>
      </c>
      <c r="H9" s="13">
        <f t="shared" si="3"/>
        <v>0</v>
      </c>
      <c r="I9" s="21" t="s">
        <v>76</v>
      </c>
      <c r="J9" s="22">
        <f>SUMIF(B:B,"航班调度席",F:F)</f>
        <v>4.4222222222222243</v>
      </c>
      <c r="K9" s="23">
        <f>SUMIF(B:B,"航班调度席",G:G)</f>
        <v>4.4222222222222243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46057.83332824074</v>
      </c>
      <c r="B10" s="58" t="s">
        <v>83</v>
      </c>
      <c r="C10" s="11">
        <v>0.83332175925925922</v>
      </c>
      <c r="D10" s="11" t="s">
        <v>84</v>
      </c>
      <c r="E10" s="11">
        <v>0.96333333333333337</v>
      </c>
      <c r="F10" s="12">
        <f t="shared" si="1"/>
        <v>3.1202777777777797</v>
      </c>
      <c r="G10" s="13">
        <f t="shared" si="2"/>
        <v>3.1202777777777797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46058.299717592592</v>
      </c>
      <c r="B11" s="58" t="s">
        <v>85</v>
      </c>
      <c r="C11" s="11">
        <v>0.29971064814814813</v>
      </c>
      <c r="D11" s="11" t="s">
        <v>84</v>
      </c>
      <c r="E11" s="11">
        <v>0.362337962962963</v>
      </c>
      <c r="F11" s="12">
        <f t="shared" si="1"/>
        <v>1.5030555555555569</v>
      </c>
      <c r="G11" s="13">
        <f t="shared" si="2"/>
        <v>0.69611111111112045</v>
      </c>
      <c r="H11" s="13">
        <f t="shared" si="3"/>
        <v>0.80694444444443647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46060.958656944444</v>
      </c>
      <c r="B12" s="58" t="s">
        <v>85</v>
      </c>
      <c r="C12" s="11">
        <v>0.95865740740740746</v>
      </c>
      <c r="D12" s="11" t="s">
        <v>84</v>
      </c>
      <c r="E12" s="11">
        <v>0.12125000000000001</v>
      </c>
      <c r="F12" s="12">
        <f t="shared" si="1"/>
        <v>3.9022222222222216</v>
      </c>
      <c r="G12" s="13">
        <f t="shared" si="2"/>
        <v>0.99222222222222145</v>
      </c>
      <c r="H12" s="13">
        <f t="shared" si="3"/>
        <v>2.91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46061.459925462965</v>
      </c>
      <c r="B13" s="58" t="s">
        <v>90</v>
      </c>
      <c r="C13" s="11">
        <v>0.45991898148148147</v>
      </c>
      <c r="D13" s="11" t="s">
        <v>84</v>
      </c>
      <c r="E13" s="11">
        <v>0.55010416666666673</v>
      </c>
      <c r="F13" s="12">
        <f t="shared" si="1"/>
        <v>2.1644444444444462</v>
      </c>
      <c r="G13" s="13">
        <f t="shared" si="2"/>
        <v>2.1644444444444462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46061.648233333333</v>
      </c>
      <c r="B14" s="58" t="s">
        <v>90</v>
      </c>
      <c r="C14" s="11">
        <v>0.64822916666666663</v>
      </c>
      <c r="D14" s="11" t="s">
        <v>84</v>
      </c>
      <c r="E14" s="11">
        <v>0.74230324074074072</v>
      </c>
      <c r="F14" s="12">
        <f t="shared" si="1"/>
        <v>2.2577777777777781</v>
      </c>
      <c r="G14" s="13">
        <f t="shared" si="2"/>
        <v>2.2577777777777781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46065.13959421296</v>
      </c>
      <c r="B15" s="58" t="s">
        <v>86</v>
      </c>
      <c r="C15" s="11">
        <v>0.13958333333333334</v>
      </c>
      <c r="D15" s="11" t="s">
        <v>84</v>
      </c>
      <c r="E15" s="11">
        <v>0.22664351851851852</v>
      </c>
      <c r="F15" s="12">
        <f t="shared" si="1"/>
        <v>2.0894444444444442</v>
      </c>
      <c r="G15" s="13">
        <f t="shared" si="2"/>
        <v>0</v>
      </c>
      <c r="H15" s="13">
        <f t="shared" si="3"/>
        <v>2.0894444444444442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46066.132229745373</v>
      </c>
      <c r="B16" s="58" t="s">
        <v>86</v>
      </c>
      <c r="C16" s="11">
        <v>0.13289351851851852</v>
      </c>
      <c r="D16" s="11" t="s">
        <v>84</v>
      </c>
      <c r="E16" s="11">
        <v>0.22618055555555558</v>
      </c>
      <c r="F16" s="12">
        <f t="shared" si="1"/>
        <v>2.2388888888888894</v>
      </c>
      <c r="G16" s="13">
        <f t="shared" si="2"/>
        <v>0</v>
      </c>
      <c r="H16" s="13">
        <f t="shared" si="3"/>
        <v>2.2388888888888894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46066.295734722225</v>
      </c>
      <c r="B17" s="58" t="s">
        <v>82</v>
      </c>
      <c r="C17" s="11">
        <v>0.22628472222222221</v>
      </c>
      <c r="D17" s="11" t="s">
        <v>84</v>
      </c>
      <c r="E17" s="11">
        <v>0.30638888888888888</v>
      </c>
      <c r="F17" s="12">
        <f t="shared" si="1"/>
        <v>1.9225000000000001</v>
      </c>
      <c r="G17" s="13">
        <f t="shared" si="2"/>
        <v>0</v>
      </c>
      <c r="H17" s="13">
        <f t="shared" si="3"/>
        <v>1.9225000000000001</v>
      </c>
      <c r="I17" s="35" t="s">
        <v>29</v>
      </c>
      <c r="J17" s="36">
        <f>J4+J5+J6+J7+J10</f>
        <v>48.46</v>
      </c>
      <c r="K17" s="37">
        <f>K4+K5+K6+K7+K10</f>
        <v>29.486944444444461</v>
      </c>
      <c r="L17" s="38">
        <f>L4+L5+L6+L7+L10</f>
        <v>18.97305555555554</v>
      </c>
      <c r="M17" s="39"/>
    </row>
    <row r="18" spans="1:13" ht="20.25" x14ac:dyDescent="0.25">
      <c r="A18" s="10">
        <f t="shared" ca="1" si="0"/>
        <v>46078.136314004631</v>
      </c>
      <c r="B18" s="58" t="s">
        <v>87</v>
      </c>
      <c r="C18" s="11">
        <v>0.13075231481481481</v>
      </c>
      <c r="D18" s="11" t="s">
        <v>84</v>
      </c>
      <c r="E18" s="11">
        <v>0.21512731481481481</v>
      </c>
      <c r="F18" s="12">
        <f t="shared" si="1"/>
        <v>2.0250000000000004</v>
      </c>
      <c r="G18" s="13">
        <f t="shared" si="2"/>
        <v>0</v>
      </c>
      <c r="H18" s="13">
        <f t="shared" si="3"/>
        <v>2.0250000000000004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46078.215245833337</v>
      </c>
      <c r="B19" s="58" t="s">
        <v>85</v>
      </c>
      <c r="C19" s="11">
        <v>0.21524305555555556</v>
      </c>
      <c r="D19" s="11" t="s">
        <v>84</v>
      </c>
      <c r="E19" s="11">
        <v>0.30605324074074075</v>
      </c>
      <c r="F19" s="12">
        <f t="shared" si="1"/>
        <v>2.1794444444444445</v>
      </c>
      <c r="G19" s="13">
        <f t="shared" si="2"/>
        <v>0</v>
      </c>
      <c r="H19" s="13">
        <f t="shared" si="3"/>
        <v>2.1794444444444445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46080.352682523146</v>
      </c>
      <c r="B20" s="58" t="s">
        <v>82</v>
      </c>
      <c r="C20" s="11">
        <v>0.35318287037037038</v>
      </c>
      <c r="D20" s="11" t="s">
        <v>84</v>
      </c>
      <c r="E20" s="11">
        <v>0.49553240740740739</v>
      </c>
      <c r="F20" s="12">
        <f t="shared" si="1"/>
        <v>3.4163888888888883</v>
      </c>
      <c r="G20" s="13">
        <f t="shared" si="2"/>
        <v>3.4163888888888883</v>
      </c>
      <c r="H20" s="13">
        <f t="shared" si="3"/>
        <v>0</v>
      </c>
      <c r="I20" s="40" t="s">
        <v>31</v>
      </c>
      <c r="J20" s="67">
        <f>J16+J17+J18+J19</f>
        <v>48.46</v>
      </c>
      <c r="K20" s="68"/>
      <c r="L20" s="69"/>
      <c r="M20" s="41"/>
    </row>
    <row r="21" spans="1:13" ht="20.25" x14ac:dyDescent="0.25">
      <c r="A21" s="10">
        <f t="shared" ca="1" si="0"/>
        <v>46080.495569560182</v>
      </c>
      <c r="B21" s="58" t="s">
        <v>85</v>
      </c>
      <c r="C21" s="11">
        <v>0.49556712962962962</v>
      </c>
      <c r="D21" s="11" t="s">
        <v>84</v>
      </c>
      <c r="E21" s="11">
        <v>0.50592592592592589</v>
      </c>
      <c r="F21" s="12">
        <f t="shared" si="1"/>
        <v>0.24861111111111045</v>
      </c>
      <c r="G21" s="13">
        <f t="shared" si="2"/>
        <v>0.24861111111111045</v>
      </c>
      <c r="H21" s="13">
        <f t="shared" si="3"/>
        <v>0</v>
      </c>
      <c r="I21" s="53" t="s">
        <v>78</v>
      </c>
      <c r="J21" s="54">
        <f>SUM(J8:J9)</f>
        <v>4.4222222222222243</v>
      </c>
      <c r="K21" s="37">
        <f>SUM(K8:K9)</f>
        <v>4.4222222222222243</v>
      </c>
      <c r="L21" s="38">
        <f>SUM(L8:L9)</f>
        <v>0</v>
      </c>
      <c r="M21" s="46"/>
    </row>
    <row r="22" spans="1:13" ht="18.75" x14ac:dyDescent="0.15">
      <c r="A22" s="10">
        <f t="shared" ca="1" si="0"/>
        <v>46080.645704861112</v>
      </c>
      <c r="B22" s="58" t="s">
        <v>86</v>
      </c>
      <c r="C22" s="11">
        <v>0.64569444444444446</v>
      </c>
      <c r="D22" s="11" t="s">
        <v>84</v>
      </c>
      <c r="E22" s="11">
        <v>0.75824074074074066</v>
      </c>
      <c r="F22" s="12">
        <f t="shared" si="1"/>
        <v>2.7011111111111088</v>
      </c>
      <c r="G22" s="13">
        <f t="shared" si="2"/>
        <v>2.7011111111111088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46080.875253009261</v>
      </c>
      <c r="B23" s="58" t="s">
        <v>85</v>
      </c>
      <c r="C23" s="11">
        <v>0.87524305555555548</v>
      </c>
      <c r="D23" s="11" t="s">
        <v>84</v>
      </c>
      <c r="E23" s="11">
        <v>0.96415509259259258</v>
      </c>
      <c r="F23" s="12">
        <f t="shared" si="1"/>
        <v>2.1338888888888903</v>
      </c>
      <c r="G23" s="13">
        <f t="shared" si="2"/>
        <v>2.1338888888888903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46081.299690740743</v>
      </c>
      <c r="B24" s="58" t="s">
        <v>86</v>
      </c>
      <c r="C24" s="11">
        <v>0.2996875</v>
      </c>
      <c r="D24" s="11" t="s">
        <v>84</v>
      </c>
      <c r="E24" s="11">
        <v>0.43445601851851851</v>
      </c>
      <c r="F24" s="12">
        <f t="shared" si="1"/>
        <v>3.2344444444444442</v>
      </c>
      <c r="G24" s="13">
        <f t="shared" si="2"/>
        <v>2.4269444444444526</v>
      </c>
      <c r="H24" s="13">
        <f t="shared" si="3"/>
        <v>0.80749999999999167</v>
      </c>
      <c r="I24"/>
      <c r="J24"/>
    </row>
    <row r="25" spans="1:13" ht="18.75" x14ac:dyDescent="0.15">
      <c r="A25" s="10">
        <f t="shared" ca="1" si="0"/>
        <v>46081.516477546298</v>
      </c>
      <c r="B25" s="58" t="s">
        <v>86</v>
      </c>
      <c r="C25" s="11">
        <v>0.51646990740740739</v>
      </c>
      <c r="D25" s="11" t="s">
        <v>84</v>
      </c>
      <c r="E25" s="11">
        <v>0.52679398148148149</v>
      </c>
      <c r="F25" s="12">
        <f t="shared" si="1"/>
        <v>0.24777777777777832</v>
      </c>
      <c r="G25" s="13">
        <f t="shared" si="2"/>
        <v>0.24777777777777832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46081.547804050926</v>
      </c>
      <c r="B26" s="58" t="s">
        <v>86</v>
      </c>
      <c r="C26" s="11">
        <v>0.54780092592592589</v>
      </c>
      <c r="D26" s="11" t="s">
        <v>84</v>
      </c>
      <c r="E26" s="11">
        <v>0.63027777777777783</v>
      </c>
      <c r="F26" s="12">
        <f t="shared" si="1"/>
        <v>1.9794444444444466</v>
      </c>
      <c r="G26" s="13">
        <f t="shared" si="2"/>
        <v>1.9794444444444466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9"/>
  <sheetViews>
    <sheetView zoomScale="85" zoomScaleNormal="85" workbookViewId="0">
      <selection activeCell="J32" sqref="J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46057.138655208335</v>
      </c>
      <c r="B3" s="58" t="s">
        <v>88</v>
      </c>
      <c r="C3" s="11">
        <v>0.13864583333333333</v>
      </c>
      <c r="D3" s="11" t="s">
        <v>84</v>
      </c>
      <c r="E3" s="11">
        <v>0.23614583333333336</v>
      </c>
      <c r="F3" s="12">
        <f t="shared" ref="F3:F66" si="1">(IF(E3-C3&lt;0,"24:00"-C3+E3,E3-C3))*24</f>
        <v>2.3400000000000007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2.3400000000000007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46058.138802314817</v>
      </c>
      <c r="B4" s="58" t="s">
        <v>83</v>
      </c>
      <c r="C4" s="11">
        <v>0.13879629629629631</v>
      </c>
      <c r="D4" s="11" t="s">
        <v>84</v>
      </c>
      <c r="E4" s="11">
        <v>0.23255787037037037</v>
      </c>
      <c r="F4" s="12">
        <f t="shared" si="1"/>
        <v>2.2502777777777778</v>
      </c>
      <c r="G4" s="13">
        <f t="shared" si="2"/>
        <v>0</v>
      </c>
      <c r="H4" s="13">
        <f t="shared" si="3"/>
        <v>2.2502777777777778</v>
      </c>
      <c r="I4" s="21" t="s">
        <v>20</v>
      </c>
      <c r="J4" s="22">
        <f>SUMIF(B:B,"西塔台管制席",F:F)+SUMIF(B:B,"东塔台管制席",F:F)</f>
        <v>40.013888888888893</v>
      </c>
      <c r="K4" s="23">
        <f>SUMIF(B:B,"西塔台管制席",G:G)+SUMIF(B:B,"东塔台管制席",G:G)</f>
        <v>19.966944444444454</v>
      </c>
      <c r="L4" s="23">
        <f>SUMIF(B:B,"西塔台管制席",H:H)+SUMIF(B:B,"东塔台管制席",H:H)</f>
        <v>20.046944444444435</v>
      </c>
      <c r="M4" s="19"/>
    </row>
    <row r="5" spans="1:16" ht="18.75" x14ac:dyDescent="0.25">
      <c r="A5" s="10">
        <f t="shared" ca="1" si="0"/>
        <v>46058.232602314813</v>
      </c>
      <c r="B5" s="58" t="s">
        <v>85</v>
      </c>
      <c r="C5" s="11">
        <v>0.2325925925925926</v>
      </c>
      <c r="D5" s="11" t="s">
        <v>84</v>
      </c>
      <c r="E5" s="11">
        <v>0.30444444444444446</v>
      </c>
      <c r="F5" s="12">
        <f t="shared" si="1"/>
        <v>1.7244444444444447</v>
      </c>
      <c r="G5" s="13">
        <f t="shared" si="2"/>
        <v>0</v>
      </c>
      <c r="H5" s="13">
        <f t="shared" si="3"/>
        <v>1.7244444444444447</v>
      </c>
      <c r="I5" s="21" t="s">
        <v>21</v>
      </c>
      <c r="J5" s="22">
        <f>SUMIF(B:B,"西塔台协调席",F:F)+SUMIF(B:B,"东塔台协调席",F:F)</f>
        <v>23.432499999999997</v>
      </c>
      <c r="K5" s="23">
        <f>SUMIF(B:B,"西塔台协调席",G:G)+SUMIF(B:B,"东塔台协调席",G:G)</f>
        <v>19.081388888888906</v>
      </c>
      <c r="L5" s="23">
        <f>SUMIF(B:B,"西塔台协调席",H:H)+SUMIF(B:B,"东塔台协调席",H:H)</f>
        <v>4.3511111111110861</v>
      </c>
      <c r="M5" s="19"/>
    </row>
    <row r="6" spans="1:16" ht="18.75" x14ac:dyDescent="0.25">
      <c r="A6" s="10">
        <f t="shared" ca="1" si="0"/>
        <v>46060.499539004632</v>
      </c>
      <c r="B6" s="58" t="s">
        <v>86</v>
      </c>
      <c r="C6" s="11">
        <v>0.49953703703703706</v>
      </c>
      <c r="D6" s="11" t="s">
        <v>84</v>
      </c>
      <c r="E6" s="11">
        <v>0.63483796296296291</v>
      </c>
      <c r="F6" s="12">
        <f t="shared" si="1"/>
        <v>3.2472222222222205</v>
      </c>
      <c r="G6" s="13">
        <f t="shared" si="2"/>
        <v>3.2472222222222205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46060.750862152781</v>
      </c>
      <c r="B7" s="58" t="s">
        <v>85</v>
      </c>
      <c r="C7" s="11">
        <v>0.75085648148148154</v>
      </c>
      <c r="D7" s="11" t="s">
        <v>84</v>
      </c>
      <c r="E7" s="11">
        <v>0.88037037037037036</v>
      </c>
      <c r="F7" s="12">
        <f t="shared" si="1"/>
        <v>3.1083333333333316</v>
      </c>
      <c r="G7" s="13">
        <f t="shared" si="2"/>
        <v>3.1083333333333316</v>
      </c>
      <c r="H7" s="13">
        <f t="shared" si="3"/>
        <v>0</v>
      </c>
      <c r="I7" s="21" t="s">
        <v>23</v>
      </c>
      <c r="J7" s="22">
        <f>SUMIF(B:B,"地面席",F:F)</f>
        <v>2.3400000000000007</v>
      </c>
      <c r="K7" s="23">
        <f>SUMIF(B:B,"地面席",G:G)</f>
        <v>0</v>
      </c>
      <c r="L7" s="23">
        <f>SUMIF(B:B,"地面席",H:H)</f>
        <v>2.3400000000000007</v>
      </c>
      <c r="M7" s="19"/>
    </row>
    <row r="8" spans="1:16" ht="18.75" x14ac:dyDescent="0.25">
      <c r="A8" s="10">
        <f t="shared" ca="1" si="0"/>
        <v>46061.417069791663</v>
      </c>
      <c r="B8" s="58" t="s">
        <v>83</v>
      </c>
      <c r="C8" s="11">
        <v>0.41706018518518517</v>
      </c>
      <c r="D8" s="11" t="s">
        <v>84</v>
      </c>
      <c r="E8" s="11">
        <v>0.50435185185185183</v>
      </c>
      <c r="F8" s="12">
        <f t="shared" si="1"/>
        <v>2.0949999999999998</v>
      </c>
      <c r="G8" s="13">
        <f t="shared" si="2"/>
        <v>2.0949999999999998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46061.625228935183</v>
      </c>
      <c r="B9" s="58" t="s">
        <v>82</v>
      </c>
      <c r="C9" s="11">
        <v>0.6252199074074074</v>
      </c>
      <c r="D9" s="11" t="s">
        <v>84</v>
      </c>
      <c r="E9" s="11">
        <v>0.75453703703703701</v>
      </c>
      <c r="F9" s="12">
        <f t="shared" si="1"/>
        <v>3.1036111111111104</v>
      </c>
      <c r="G9" s="13">
        <f t="shared" si="2"/>
        <v>3.1036111111111104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46061.833271990741</v>
      </c>
      <c r="B10" s="58" t="s">
        <v>83</v>
      </c>
      <c r="C10" s="11">
        <v>0.83326388888888892</v>
      </c>
      <c r="D10" s="11" t="s">
        <v>84</v>
      </c>
      <c r="E10" s="11">
        <v>0.96350694444444451</v>
      </c>
      <c r="F10" s="12">
        <f t="shared" si="1"/>
        <v>3.1258333333333344</v>
      </c>
      <c r="G10" s="13">
        <f t="shared" si="2"/>
        <v>3.1258333333333344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46062.299191666665</v>
      </c>
      <c r="B11" s="58" t="s">
        <v>82</v>
      </c>
      <c r="C11" s="11">
        <v>0.29918981481481483</v>
      </c>
      <c r="D11" s="11" t="s">
        <v>84</v>
      </c>
      <c r="E11" s="11">
        <v>0.36278935185185185</v>
      </c>
      <c r="F11" s="12">
        <f t="shared" si="1"/>
        <v>1.5263888888888886</v>
      </c>
      <c r="G11" s="13">
        <f t="shared" si="2"/>
        <v>0.70694444444445281</v>
      </c>
      <c r="H11" s="13">
        <f t="shared" si="3"/>
        <v>0.81944444444443576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46063.292446180552</v>
      </c>
      <c r="B12" s="58" t="s">
        <v>82</v>
      </c>
      <c r="C12" s="11">
        <v>0.29244212962962962</v>
      </c>
      <c r="D12" s="11" t="s">
        <v>84</v>
      </c>
      <c r="E12" s="11">
        <v>0.42313657407407407</v>
      </c>
      <c r="F12" s="12">
        <f t="shared" si="1"/>
        <v>3.1366666666666667</v>
      </c>
      <c r="G12" s="13">
        <f t="shared" si="2"/>
        <v>2.1552777777777861</v>
      </c>
      <c r="H12" s="13">
        <f t="shared" si="3"/>
        <v>0.98138888888888065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46063.521203472221</v>
      </c>
      <c r="B13" s="58" t="s">
        <v>83</v>
      </c>
      <c r="C13" s="11">
        <v>0.52120370370370372</v>
      </c>
      <c r="D13" s="11" t="s">
        <v>84</v>
      </c>
      <c r="E13" s="11">
        <v>0.65371527777777783</v>
      </c>
      <c r="F13" s="12">
        <f t="shared" si="1"/>
        <v>3.1802777777777784</v>
      </c>
      <c r="G13" s="13">
        <f t="shared" si="2"/>
        <v>3.1802777777777784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46065.014464814813</v>
      </c>
      <c r="B14" s="58" t="s">
        <v>86</v>
      </c>
      <c r="C14" s="11">
        <v>1.4456018518518519E-2</v>
      </c>
      <c r="D14" s="11" t="s">
        <v>84</v>
      </c>
      <c r="E14" s="11">
        <v>0.14546296296296296</v>
      </c>
      <c r="F14" s="12">
        <f t="shared" si="1"/>
        <v>3.1441666666666666</v>
      </c>
      <c r="G14" s="13">
        <f t="shared" si="2"/>
        <v>0</v>
      </c>
      <c r="H14" s="13">
        <f t="shared" si="3"/>
        <v>3.1441666666666666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46065.750381597223</v>
      </c>
      <c r="B15" s="58" t="s">
        <v>82</v>
      </c>
      <c r="C15" s="11">
        <v>0.75038194444444439</v>
      </c>
      <c r="D15" s="11" t="s">
        <v>84</v>
      </c>
      <c r="E15" s="11">
        <v>0.83914351851851843</v>
      </c>
      <c r="F15" s="12">
        <f t="shared" si="1"/>
        <v>2.1302777777777768</v>
      </c>
      <c r="G15" s="13">
        <f t="shared" si="2"/>
        <v>2.1302777777777768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46066.138667129628</v>
      </c>
      <c r="B16" s="58" t="s">
        <v>83</v>
      </c>
      <c r="C16" s="11">
        <v>0.13865740740740742</v>
      </c>
      <c r="D16" s="11" t="s">
        <v>84</v>
      </c>
      <c r="E16" s="11">
        <v>0.3064236111111111</v>
      </c>
      <c r="F16" s="12">
        <f t="shared" si="1"/>
        <v>4.0263888888888886</v>
      </c>
      <c r="G16" s="13">
        <f t="shared" si="2"/>
        <v>0</v>
      </c>
      <c r="H16" s="13">
        <f t="shared" si="3"/>
        <v>4.0263888888888886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46068.014308796293</v>
      </c>
      <c r="B17" s="58" t="s">
        <v>86</v>
      </c>
      <c r="C17" s="11">
        <v>1.4305555555555557E-2</v>
      </c>
      <c r="D17" s="11" t="s">
        <v>84</v>
      </c>
      <c r="E17" s="11">
        <v>0.14465277777777777</v>
      </c>
      <c r="F17" s="12">
        <f t="shared" si="1"/>
        <v>3.1283333333333334</v>
      </c>
      <c r="G17" s="13">
        <f t="shared" si="2"/>
        <v>0</v>
      </c>
      <c r="H17" s="13">
        <f t="shared" si="3"/>
        <v>3.1283333333333334</v>
      </c>
      <c r="I17" s="35" t="s">
        <v>29</v>
      </c>
      <c r="J17" s="36">
        <f>J4+J5+J6+J7+J10</f>
        <v>65.786388888888894</v>
      </c>
      <c r="K17" s="37">
        <f>K4+K5+K6+K7+K10</f>
        <v>39.04833333333336</v>
      </c>
      <c r="L17" s="38">
        <f>L4+L5+L6+L7+L10</f>
        <v>26.738055555555523</v>
      </c>
      <c r="M17" s="39"/>
    </row>
    <row r="18" spans="1:13" ht="20.25" x14ac:dyDescent="0.25">
      <c r="A18" s="10">
        <f t="shared" ca="1" si="0"/>
        <v>46069.139680208333</v>
      </c>
      <c r="B18" s="58" t="s">
        <v>83</v>
      </c>
      <c r="C18" s="11">
        <v>0.13975694444444445</v>
      </c>
      <c r="D18" s="11" t="s">
        <v>84</v>
      </c>
      <c r="E18" s="11">
        <v>0.30298611111111112</v>
      </c>
      <c r="F18" s="12">
        <f t="shared" si="1"/>
        <v>3.9175000000000004</v>
      </c>
      <c r="G18" s="13">
        <f t="shared" si="2"/>
        <v>0</v>
      </c>
      <c r="H18" s="13">
        <f t="shared" si="3"/>
        <v>3.9175000000000004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46069.751188310183</v>
      </c>
      <c r="B19" s="58" t="s">
        <v>82</v>
      </c>
      <c r="C19" s="11">
        <v>0.75118055555555552</v>
      </c>
      <c r="D19" s="11" t="s">
        <v>84</v>
      </c>
      <c r="E19" s="11">
        <v>0.77494212962962961</v>
      </c>
      <c r="F19" s="12">
        <f t="shared" si="1"/>
        <v>0.57027777777777811</v>
      </c>
      <c r="G19" s="13">
        <f t="shared" si="2"/>
        <v>0.57027777777777811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46069.802306481484</v>
      </c>
      <c r="B20" s="58" t="s">
        <v>82</v>
      </c>
      <c r="C20" s="11">
        <v>0.80230324074074078</v>
      </c>
      <c r="D20" s="11" t="s">
        <v>84</v>
      </c>
      <c r="E20" s="11">
        <v>0.8273611111111111</v>
      </c>
      <c r="F20" s="12">
        <f t="shared" si="1"/>
        <v>0.60138888888888786</v>
      </c>
      <c r="G20" s="13">
        <f t="shared" si="2"/>
        <v>0.60138888888888786</v>
      </c>
      <c r="H20" s="13">
        <f t="shared" si="3"/>
        <v>0</v>
      </c>
      <c r="I20" s="40" t="s">
        <v>31</v>
      </c>
      <c r="J20" s="67">
        <f>J16+J17+J18+J19</f>
        <v>65.786388888888894</v>
      </c>
      <c r="K20" s="68"/>
      <c r="L20" s="69"/>
      <c r="M20" s="41"/>
    </row>
    <row r="21" spans="1:13" ht="20.25" x14ac:dyDescent="0.25">
      <c r="A21" s="10">
        <f t="shared" ca="1" si="0"/>
        <v>46069.827390856481</v>
      </c>
      <c r="B21" s="58" t="s">
        <v>83</v>
      </c>
      <c r="C21" s="11">
        <v>0.82738425925925929</v>
      </c>
      <c r="D21" s="11" t="s">
        <v>84</v>
      </c>
      <c r="E21" s="11">
        <v>0.83718750000000008</v>
      </c>
      <c r="F21" s="12">
        <f t="shared" si="1"/>
        <v>0.23527777777777903</v>
      </c>
      <c r="G21" s="13">
        <f t="shared" si="2"/>
        <v>0.23527777777777903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46070.139378356478</v>
      </c>
      <c r="B22" s="58" t="s">
        <v>83</v>
      </c>
      <c r="C22" s="11">
        <v>0.139375</v>
      </c>
      <c r="D22" s="11" t="s">
        <v>84</v>
      </c>
      <c r="E22" s="11">
        <v>0.24608796296296295</v>
      </c>
      <c r="F22" s="12">
        <f t="shared" si="1"/>
        <v>2.5611111111111109</v>
      </c>
      <c r="G22" s="13">
        <f t="shared" si="2"/>
        <v>0</v>
      </c>
      <c r="H22" s="13">
        <f t="shared" si="3"/>
        <v>2.5611111111111109</v>
      </c>
      <c r="I22"/>
      <c r="J22"/>
    </row>
    <row r="23" spans="1:13" ht="18.75" x14ac:dyDescent="0.15">
      <c r="A23" s="10">
        <f t="shared" ca="1" si="0"/>
        <v>46070.290871874997</v>
      </c>
      <c r="B23" s="58" t="s">
        <v>83</v>
      </c>
      <c r="C23" s="11">
        <v>0.29086805555555556</v>
      </c>
      <c r="D23" s="11" t="s">
        <v>84</v>
      </c>
      <c r="E23" s="11">
        <v>0.36399305555555556</v>
      </c>
      <c r="F23" s="12">
        <f t="shared" si="1"/>
        <v>1.7549999999999999</v>
      </c>
      <c r="G23" s="13">
        <f t="shared" si="2"/>
        <v>0.73583333333334178</v>
      </c>
      <c r="H23" s="13">
        <f t="shared" si="3"/>
        <v>1.0191666666666581</v>
      </c>
      <c r="I23"/>
      <c r="J23"/>
    </row>
    <row r="24" spans="1:13" ht="18.75" x14ac:dyDescent="0.15">
      <c r="A24" s="10">
        <f t="shared" ca="1" si="0"/>
        <v>46072.354515509258</v>
      </c>
      <c r="B24" s="58" t="s">
        <v>83</v>
      </c>
      <c r="C24" s="11">
        <v>0.35451388888888885</v>
      </c>
      <c r="D24" s="11" t="s">
        <v>84</v>
      </c>
      <c r="E24" s="11">
        <v>0.50722222222222224</v>
      </c>
      <c r="F24" s="12">
        <f t="shared" si="1"/>
        <v>3.6650000000000014</v>
      </c>
      <c r="G24" s="13">
        <f t="shared" si="2"/>
        <v>3.6650000000000014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46072.624503703701</v>
      </c>
      <c r="B25" s="58" t="s">
        <v>82</v>
      </c>
      <c r="C25" s="11">
        <v>0.62450231481481489</v>
      </c>
      <c r="D25" s="11" t="s">
        <v>84</v>
      </c>
      <c r="E25" s="11">
        <v>0.75291666666666668</v>
      </c>
      <c r="F25" s="12">
        <f t="shared" si="1"/>
        <v>3.081944444444443</v>
      </c>
      <c r="G25" s="13">
        <f t="shared" si="2"/>
        <v>3.081944444444443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46072.875237384258</v>
      </c>
      <c r="B26" s="58" t="s">
        <v>83</v>
      </c>
      <c r="C26" s="11">
        <v>0.87523148148148155</v>
      </c>
      <c r="D26" s="11" t="s">
        <v>84</v>
      </c>
      <c r="E26" s="11">
        <v>0.96408564814814823</v>
      </c>
      <c r="F26" s="12">
        <f t="shared" si="1"/>
        <v>2.1325000000000003</v>
      </c>
      <c r="G26" s="13">
        <f t="shared" si="2"/>
        <v>2.1325000000000003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46073.298926157404</v>
      </c>
      <c r="B27" s="58" t="s">
        <v>82</v>
      </c>
      <c r="C27" s="11">
        <v>0.2989236111111111</v>
      </c>
      <c r="D27" s="11" t="s">
        <v>84</v>
      </c>
      <c r="E27" s="11">
        <v>0.48430555555555554</v>
      </c>
      <c r="F27" s="12">
        <f t="shared" si="1"/>
        <v>4.4491666666666667</v>
      </c>
      <c r="G27" s="13">
        <f t="shared" si="2"/>
        <v>3.6233333333333415</v>
      </c>
      <c r="H27" s="13">
        <f t="shared" si="3"/>
        <v>0.8258333333333252</v>
      </c>
      <c r="I27"/>
      <c r="J27"/>
    </row>
    <row r="28" spans="1:13" ht="18.75" x14ac:dyDescent="0.15">
      <c r="A28" s="10">
        <f t="shared" ca="1" si="0"/>
        <v>46073.541997453707</v>
      </c>
      <c r="B28" s="58" t="s">
        <v>83</v>
      </c>
      <c r="C28" s="11">
        <v>0.54199074074074072</v>
      </c>
      <c r="D28" s="11" t="s">
        <v>84</v>
      </c>
      <c r="E28" s="11">
        <v>0.60657407407407404</v>
      </c>
      <c r="F28" s="12">
        <f t="shared" si="1"/>
        <v>1.5499999999999998</v>
      </c>
      <c r="G28" s="13">
        <f t="shared" si="2"/>
        <v>1.5499999999999998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36"/>
  <sheetViews>
    <sheetView tabSelected="1" zoomScale="85" zoomScaleNormal="85" workbookViewId="0">
      <selection activeCell="E10" sqref="E1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36" ca="1" si="0">IF(B3="","",IF(A3="",NOW(),A3))</f>
        <v>46054.894591898148</v>
      </c>
      <c r="B3" s="58" t="s">
        <v>82</v>
      </c>
      <c r="C3" s="11">
        <v>0.89458333333333329</v>
      </c>
      <c r="D3" s="11" t="s">
        <v>84</v>
      </c>
      <c r="E3" s="11">
        <v>0.95922453703703703</v>
      </c>
      <c r="F3" s="12">
        <f t="shared" ref="F3:F36" si="1">(IF(E3-C3&lt;0,"24:00"-C3+E3,E3-C3))*24</f>
        <v>1.5513888888888898</v>
      </c>
      <c r="G3" s="13">
        <f t="shared" ref="G3:G36" si="2">F3-H3</f>
        <v>1.5513888888888898</v>
      </c>
      <c r="H3" s="13">
        <f t="shared" ref="H3:H3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46055.293469328702</v>
      </c>
      <c r="B4" s="58" t="s">
        <v>82</v>
      </c>
      <c r="C4" s="11">
        <v>0.29346064814814815</v>
      </c>
      <c r="D4" s="11" t="s">
        <v>84</v>
      </c>
      <c r="E4" s="11">
        <v>0.42601851851851852</v>
      </c>
      <c r="F4" s="12">
        <f t="shared" si="1"/>
        <v>3.1813888888888888</v>
      </c>
      <c r="G4" s="13">
        <f t="shared" si="2"/>
        <v>2.2244444444444529</v>
      </c>
      <c r="H4" s="13">
        <f t="shared" si="3"/>
        <v>0.95694444444443594</v>
      </c>
      <c r="I4" s="21" t="s">
        <v>20</v>
      </c>
      <c r="J4" s="22">
        <f>SUMIF(B:B,"西塔台管制席",F:F)+SUMIF(B:B,"东塔台管制席",F:F)</f>
        <v>18.514999999999997</v>
      </c>
      <c r="K4" s="23">
        <f>SUMIF(B:B,"西塔台管制席",G:G)+SUMIF(B:B,"东塔台管制席",G:G)</f>
        <v>13.886666666666679</v>
      </c>
      <c r="L4" s="23">
        <f>SUMIF(B:B,"西塔台管制席",H:H)+SUMIF(B:B,"东塔台管制席",H:H)</f>
        <v>4.628333333333317</v>
      </c>
      <c r="M4" s="19"/>
    </row>
    <row r="5" spans="1:16" ht="18.75" x14ac:dyDescent="0.25">
      <c r="A5" s="10">
        <f t="shared" ca="1" si="0"/>
        <v>46055.535167939815</v>
      </c>
      <c r="B5" s="58" t="s">
        <v>82</v>
      </c>
      <c r="C5" s="11">
        <v>0.53516203703703702</v>
      </c>
      <c r="D5" s="11" t="s">
        <v>84</v>
      </c>
      <c r="E5" s="11">
        <v>0.67280092592592589</v>
      </c>
      <c r="F5" s="12">
        <f t="shared" si="1"/>
        <v>3.3033333333333328</v>
      </c>
      <c r="G5" s="13">
        <f t="shared" si="2"/>
        <v>3.3033333333333328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47.286111111111119</v>
      </c>
      <c r="K5" s="23">
        <f>SUMIF(B:B,"西塔台协调席",G:G)+SUMIF(B:B,"东塔台协调席",G:G)</f>
        <v>29.873888888888921</v>
      </c>
      <c r="L5" s="23">
        <f>SUMIF(B:B,"西塔台协调席",H:H)+SUMIF(B:B,"东塔台协调席",H:H)</f>
        <v>17.412222222222198</v>
      </c>
      <c r="M5" s="19"/>
    </row>
    <row r="6" spans="1:16" ht="18.75" x14ac:dyDescent="0.25">
      <c r="A6" s="10">
        <f t="shared" ca="1" si="0"/>
        <v>46055.875219791669</v>
      </c>
      <c r="B6" s="58" t="s">
        <v>82</v>
      </c>
      <c r="C6" s="11">
        <v>0.8752199074074074</v>
      </c>
      <c r="D6" s="11" t="s">
        <v>84</v>
      </c>
      <c r="E6" s="11">
        <v>0.95730324074074069</v>
      </c>
      <c r="F6" s="12">
        <f t="shared" si="1"/>
        <v>1.9699999999999989</v>
      </c>
      <c r="G6" s="13">
        <f t="shared" si="2"/>
        <v>1.9699999999999989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46056.292700694445</v>
      </c>
      <c r="B7" s="58" t="s">
        <v>83</v>
      </c>
      <c r="C7" s="11">
        <v>0.29269675925925925</v>
      </c>
      <c r="D7" s="11" t="s">
        <v>84</v>
      </c>
      <c r="E7" s="11">
        <v>0.36800925925925926</v>
      </c>
      <c r="F7" s="12">
        <f t="shared" si="1"/>
        <v>1.8075000000000001</v>
      </c>
      <c r="G7" s="13">
        <f t="shared" si="2"/>
        <v>0.83222222222223063</v>
      </c>
      <c r="H7" s="13">
        <f t="shared" si="3"/>
        <v>0.97527777777776947</v>
      </c>
      <c r="I7" s="21" t="s">
        <v>23</v>
      </c>
      <c r="J7" s="22">
        <f>SUMIF(B:B,"地面席",F:F)</f>
        <v>4.2849999999999984</v>
      </c>
      <c r="K7" s="23">
        <f>SUMIF(B:B,"地面席",G:G)</f>
        <v>0</v>
      </c>
      <c r="L7" s="23">
        <f>SUMIF(B:B,"地面席",H:H)</f>
        <v>4.2849999999999984</v>
      </c>
      <c r="M7" s="19"/>
    </row>
    <row r="8" spans="1:16" ht="18.75" x14ac:dyDescent="0.25">
      <c r="A8" s="10">
        <f t="shared" ca="1" si="0"/>
        <v>46058.951585532406</v>
      </c>
      <c r="B8" s="58" t="s">
        <v>82</v>
      </c>
      <c r="C8" s="11">
        <v>0.95158564814814817</v>
      </c>
      <c r="D8" s="11" t="s">
        <v>84</v>
      </c>
      <c r="E8" s="11">
        <v>0.15407407407407406</v>
      </c>
      <c r="F8" s="12">
        <f t="shared" si="1"/>
        <v>4.8597222222222216</v>
      </c>
      <c r="G8" s="13">
        <f t="shared" si="2"/>
        <v>1.161944444444444</v>
      </c>
      <c r="H8" s="13">
        <f t="shared" si="3"/>
        <v>3.6977777777777776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46060.134470949073</v>
      </c>
      <c r="B9" s="58" t="s">
        <v>88</v>
      </c>
      <c r="C9" s="11">
        <v>0.13446759259259258</v>
      </c>
      <c r="D9" s="11" t="s">
        <v>84</v>
      </c>
      <c r="E9" s="11">
        <v>0.22339120370370369</v>
      </c>
      <c r="F9" s="12">
        <f t="shared" si="1"/>
        <v>2.1341666666666663</v>
      </c>
      <c r="G9" s="13">
        <f t="shared" si="2"/>
        <v>0</v>
      </c>
      <c r="H9" s="13">
        <f t="shared" si="3"/>
        <v>2.1341666666666663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46063.138574999997</v>
      </c>
      <c r="B10" s="58" t="s">
        <v>88</v>
      </c>
      <c r="C10" s="11">
        <v>0.13856481481481484</v>
      </c>
      <c r="D10" s="11" t="s">
        <v>84</v>
      </c>
      <c r="E10" s="11">
        <v>0.22818287037037036</v>
      </c>
      <c r="F10" s="12">
        <f t="shared" si="1"/>
        <v>2.1508333333333325</v>
      </c>
      <c r="G10" s="13">
        <f t="shared" si="2"/>
        <v>0</v>
      </c>
      <c r="H10" s="13">
        <f t="shared" si="3"/>
        <v>2.1508333333333325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46063.9495193287</v>
      </c>
      <c r="B11" s="58" t="s">
        <v>82</v>
      </c>
      <c r="C11" s="11">
        <v>0.94951388888888888</v>
      </c>
      <c r="D11" s="11" t="s">
        <v>84</v>
      </c>
      <c r="E11" s="11">
        <v>0.14597222222222223</v>
      </c>
      <c r="F11" s="12">
        <f t="shared" si="1"/>
        <v>4.7149999999999999</v>
      </c>
      <c r="G11" s="13">
        <f t="shared" si="2"/>
        <v>1.2116666666666664</v>
      </c>
      <c r="H11" s="13">
        <f t="shared" si="3"/>
        <v>3.5033333333333334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46064.292779050927</v>
      </c>
      <c r="B12" s="58" t="s">
        <v>86</v>
      </c>
      <c r="C12" s="11">
        <v>0.29277777777777775</v>
      </c>
      <c r="D12" s="11" t="s">
        <v>84</v>
      </c>
      <c r="E12" s="11">
        <v>0.37096064814814816</v>
      </c>
      <c r="F12" s="12">
        <f t="shared" si="1"/>
        <v>1.87638888888889</v>
      </c>
      <c r="G12" s="13">
        <f t="shared" si="2"/>
        <v>0.90305555555556438</v>
      </c>
      <c r="H12" s="13">
        <f t="shared" si="3"/>
        <v>0.97333333333332561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46066.352606828703</v>
      </c>
      <c r="B13" s="58" t="s">
        <v>82</v>
      </c>
      <c r="C13" s="11">
        <v>0.35260416666666666</v>
      </c>
      <c r="D13" s="11" t="s">
        <v>84</v>
      </c>
      <c r="E13" s="11">
        <v>0.49084490740740744</v>
      </c>
      <c r="F13" s="12">
        <f t="shared" si="1"/>
        <v>3.3177777777777786</v>
      </c>
      <c r="G13" s="13">
        <f t="shared" si="2"/>
        <v>3.3177777777777786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46066.562616203701</v>
      </c>
      <c r="B14" s="58" t="s">
        <v>82</v>
      </c>
      <c r="C14" s="11">
        <v>0.56261574074074072</v>
      </c>
      <c r="D14" s="11" t="s">
        <v>84</v>
      </c>
      <c r="E14" s="11">
        <v>0.73496527777777787</v>
      </c>
      <c r="F14" s="12">
        <f t="shared" si="1"/>
        <v>4.1363888888888916</v>
      </c>
      <c r="G14" s="13">
        <f t="shared" si="2"/>
        <v>4.1363888888888916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46067.013741666669</v>
      </c>
      <c r="B15" s="58" t="s">
        <v>86</v>
      </c>
      <c r="C15" s="11">
        <v>1.3738425925925926E-2</v>
      </c>
      <c r="D15" s="11" t="s">
        <v>84</v>
      </c>
      <c r="E15" s="11">
        <v>0.12539351851851852</v>
      </c>
      <c r="F15" s="12">
        <f t="shared" si="1"/>
        <v>2.6797222222222219</v>
      </c>
      <c r="G15" s="13">
        <f t="shared" si="2"/>
        <v>0</v>
      </c>
      <c r="H15" s="13">
        <f t="shared" si="3"/>
        <v>2.6797222222222219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46067.51923622685</v>
      </c>
      <c r="B16" s="58" t="s">
        <v>85</v>
      </c>
      <c r="C16" s="11">
        <v>0.51923611111111112</v>
      </c>
      <c r="D16" s="11" t="s">
        <v>84</v>
      </c>
      <c r="E16" s="11">
        <v>0.56968750000000001</v>
      </c>
      <c r="F16" s="12">
        <f t="shared" si="1"/>
        <v>1.2108333333333334</v>
      </c>
      <c r="G16" s="13">
        <f t="shared" si="2"/>
        <v>1.2108333333333334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46067.833288425929</v>
      </c>
      <c r="B17" s="58" t="s">
        <v>86</v>
      </c>
      <c r="C17" s="11">
        <v>0.83328703703703699</v>
      </c>
      <c r="D17" s="11" t="s">
        <v>84</v>
      </c>
      <c r="E17" s="11">
        <v>0.95690972222222215</v>
      </c>
      <c r="F17" s="12">
        <f t="shared" si="1"/>
        <v>2.9669444444444437</v>
      </c>
      <c r="G17" s="13">
        <f t="shared" si="2"/>
        <v>2.9669444444444437</v>
      </c>
      <c r="H17" s="13">
        <f t="shared" si="3"/>
        <v>0</v>
      </c>
      <c r="I17" s="35" t="s">
        <v>29</v>
      </c>
      <c r="J17" s="36">
        <f>J4+J5+J6+J7+J10</f>
        <v>70.086111111111109</v>
      </c>
      <c r="K17" s="37">
        <f>K4+K5+K6+K7+K10</f>
        <v>43.760555555555598</v>
      </c>
      <c r="L17" s="38">
        <f>L4+L5+L6+L7+L10</f>
        <v>26.325555555555511</v>
      </c>
      <c r="M17" s="39"/>
    </row>
    <row r="18" spans="1:13" ht="20.25" x14ac:dyDescent="0.25">
      <c r="A18" s="10">
        <f t="shared" ca="1" si="0"/>
        <v>46068.292372569442</v>
      </c>
      <c r="B18" s="58" t="s">
        <v>82</v>
      </c>
      <c r="C18" s="11">
        <v>0.29320601851851852</v>
      </c>
      <c r="D18" s="11" t="s">
        <v>84</v>
      </c>
      <c r="E18" s="11">
        <v>0.36402777777777778</v>
      </c>
      <c r="F18" s="12">
        <f t="shared" si="1"/>
        <v>1.6997222222222224</v>
      </c>
      <c r="G18" s="13">
        <f t="shared" si="2"/>
        <v>0.73666666666667524</v>
      </c>
      <c r="H18" s="13">
        <f t="shared" si="3"/>
        <v>0.96305555555554712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46070.906916550928</v>
      </c>
      <c r="B19" s="58" t="s">
        <v>83</v>
      </c>
      <c r="C19" s="11">
        <v>0.90690972222222221</v>
      </c>
      <c r="D19" s="11" t="s">
        <v>84</v>
      </c>
      <c r="E19" s="11">
        <v>0.95734953703703696</v>
      </c>
      <c r="F19" s="12">
        <f t="shared" si="1"/>
        <v>1.2105555555555538</v>
      </c>
      <c r="G19" s="13">
        <f t="shared" si="2"/>
        <v>1.2105555555555538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46071.137575810186</v>
      </c>
      <c r="B20" s="58" t="s">
        <v>82</v>
      </c>
      <c r="C20" s="11">
        <v>0.13756944444444444</v>
      </c>
      <c r="D20" s="11" t="s">
        <v>84</v>
      </c>
      <c r="E20" s="11">
        <v>0.29886574074074074</v>
      </c>
      <c r="F20" s="12">
        <f t="shared" si="1"/>
        <v>3.8711111111111114</v>
      </c>
      <c r="G20" s="13">
        <f t="shared" si="2"/>
        <v>0</v>
      </c>
      <c r="H20" s="13">
        <f t="shared" si="3"/>
        <v>3.8711111111111114</v>
      </c>
      <c r="I20" s="40" t="s">
        <v>31</v>
      </c>
      <c r="J20" s="67">
        <f>J16+J17+J18+J19</f>
        <v>70.086111111111109</v>
      </c>
      <c r="K20" s="68"/>
      <c r="L20" s="69"/>
      <c r="M20" s="41"/>
    </row>
    <row r="21" spans="1:13" ht="20.25" x14ac:dyDescent="0.25">
      <c r="A21" s="10">
        <f t="shared" ca="1" si="0"/>
        <v>46071.672592129631</v>
      </c>
      <c r="B21" s="58" t="s">
        <v>83</v>
      </c>
      <c r="C21" s="11">
        <v>0.67259259259259263</v>
      </c>
      <c r="D21" s="11" t="s">
        <v>84</v>
      </c>
      <c r="E21" s="11">
        <v>0.79951388888888886</v>
      </c>
      <c r="F21" s="12">
        <f t="shared" si="1"/>
        <v>3.0461111111111094</v>
      </c>
      <c r="G21" s="13">
        <f t="shared" si="2"/>
        <v>3.0461111111111094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46071.950537615739</v>
      </c>
      <c r="B22" s="58" t="s">
        <v>82</v>
      </c>
      <c r="C22" s="11">
        <v>0.95053240740740741</v>
      </c>
      <c r="D22" s="11" t="s">
        <v>84</v>
      </c>
      <c r="E22" s="11">
        <v>0.14591435185185184</v>
      </c>
      <c r="F22" s="12">
        <f t="shared" si="1"/>
        <v>4.689166666666666</v>
      </c>
      <c r="G22" s="13">
        <f t="shared" si="2"/>
        <v>1.1872222222222222</v>
      </c>
      <c r="H22" s="13">
        <f t="shared" si="3"/>
        <v>3.5019444444444439</v>
      </c>
      <c r="I22"/>
      <c r="J22"/>
    </row>
    <row r="23" spans="1:13" ht="18.75" x14ac:dyDescent="0.15">
      <c r="A23" s="10">
        <f t="shared" ca="1" si="0"/>
        <v>46078.354536226849</v>
      </c>
      <c r="B23" s="58" t="s">
        <v>82</v>
      </c>
      <c r="C23" s="11">
        <v>0.354525462962963</v>
      </c>
      <c r="D23" s="11" t="s">
        <v>84</v>
      </c>
      <c r="E23" s="11">
        <v>0.5273958333333334</v>
      </c>
      <c r="F23" s="12">
        <f t="shared" si="1"/>
        <v>4.1488888888888891</v>
      </c>
      <c r="G23" s="13">
        <f t="shared" si="2"/>
        <v>4.1488888888888891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46078.892740277777</v>
      </c>
      <c r="B24" s="58" t="s">
        <v>82</v>
      </c>
      <c r="C24" s="11">
        <v>0.8927314814814814</v>
      </c>
      <c r="D24" s="11" t="s">
        <v>84</v>
      </c>
      <c r="E24" s="11">
        <v>0.95825231481481488</v>
      </c>
      <c r="F24" s="12">
        <f t="shared" si="1"/>
        <v>1.5725000000000033</v>
      </c>
      <c r="G24" s="13">
        <f t="shared" si="2"/>
        <v>1.5725000000000033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46079.295084027777</v>
      </c>
      <c r="B25" s="58" t="s">
        <v>82</v>
      </c>
      <c r="C25" s="11">
        <v>0.29508101851851853</v>
      </c>
      <c r="D25" s="11" t="s">
        <v>84</v>
      </c>
      <c r="E25" s="11">
        <v>0.42253472222222221</v>
      </c>
      <c r="F25" s="12">
        <f t="shared" si="1"/>
        <v>3.0588888888888883</v>
      </c>
      <c r="G25" s="13">
        <f t="shared" si="2"/>
        <v>2.1408333333333416</v>
      </c>
      <c r="H25" s="13">
        <f t="shared" si="3"/>
        <v>0.91805555555554674</v>
      </c>
      <c r="I25"/>
      <c r="J25"/>
    </row>
    <row r="26" spans="1:13" ht="18.75" x14ac:dyDescent="0.15">
      <c r="A26" s="10">
        <f t="shared" ca="1" si="0"/>
        <v>46079.522646527781</v>
      </c>
      <c r="B26" s="58" t="s">
        <v>83</v>
      </c>
      <c r="C26" s="11">
        <v>0.52263888888888888</v>
      </c>
      <c r="D26" s="11" t="s">
        <v>84</v>
      </c>
      <c r="E26" s="11">
        <v>0.63777777777777778</v>
      </c>
      <c r="F26" s="12">
        <f t="shared" si="1"/>
        <v>2.7633333333333336</v>
      </c>
      <c r="G26" s="13">
        <f t="shared" si="2"/>
        <v>2.7633333333333336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46079.791411458333</v>
      </c>
      <c r="B27" s="58" t="s">
        <v>83</v>
      </c>
      <c r="C27" s="11">
        <v>0.79141203703703711</v>
      </c>
      <c r="D27" s="11" t="s">
        <v>84</v>
      </c>
      <c r="E27" s="11">
        <v>0.88159722222222225</v>
      </c>
      <c r="F27" s="12">
        <f t="shared" si="1"/>
        <v>2.1644444444444435</v>
      </c>
      <c r="G27" s="13">
        <f t="shared" si="2"/>
        <v>2.1644444444444435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0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0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0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0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</sheetData>
  <autoFilter ref="A2:K36"/>
  <mergeCells count="3">
    <mergeCell ref="A1:K1"/>
    <mergeCell ref="J20:L20"/>
    <mergeCell ref="I13:M14"/>
  </mergeCells>
  <phoneticPr fontId="15" type="noConversion"/>
  <dataValidations count="2">
    <dataValidation type="list" allowBlank="1" showInputMessage="1" showErrorMessage="1" sqref="D3:D36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46054.896749189815</v>
      </c>
      <c r="B3" s="58" t="s">
        <v>91</v>
      </c>
      <c r="C3" s="11">
        <v>0.89674768518518511</v>
      </c>
      <c r="D3" s="11" t="s">
        <v>84</v>
      </c>
      <c r="E3" s="11">
        <v>0.95927083333333341</v>
      </c>
      <c r="F3" s="12">
        <f t="shared" ref="F3:F66" si="1">(IF(E3-C3&lt;0,"24:00"-C3+E3,E3-C3))*24</f>
        <v>1.5005555555555592</v>
      </c>
      <c r="G3" s="13">
        <f t="shared" ref="G3:G66" si="2">F3-H3</f>
        <v>1.5005555555555592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46055.293389120372</v>
      </c>
      <c r="B4" s="58" t="s">
        <v>91</v>
      </c>
      <c r="C4" s="11">
        <v>0.29337962962962966</v>
      </c>
      <c r="D4" s="11" t="s">
        <v>84</v>
      </c>
      <c r="E4" s="11">
        <v>0.42387731481481478</v>
      </c>
      <c r="F4" s="12">
        <f t="shared" si="1"/>
        <v>3.1319444444444429</v>
      </c>
      <c r="G4" s="13">
        <f t="shared" si="2"/>
        <v>2.1730555555555631</v>
      </c>
      <c r="H4" s="13">
        <f t="shared" si="3"/>
        <v>0.9588888888888798</v>
      </c>
      <c r="I4" s="21" t="s">
        <v>20</v>
      </c>
      <c r="J4" s="22">
        <f>SUMIF(B:B,"西塔台管制席",F:F)+SUMIF(B:B,"东塔台管制席",F:F)</f>
        <v>17.125</v>
      </c>
      <c r="K4" s="23">
        <f>SUMIF(B:B,"西塔台管制席",G:G)+SUMIF(B:B,"东塔台管制席",G:G)</f>
        <v>6.1994444444444454</v>
      </c>
      <c r="L4" s="23">
        <f>SUMIF(B:B,"西塔台管制席",H:H)+SUMIF(B:B,"东塔台管制席",H:H)</f>
        <v>10.925555555555556</v>
      </c>
      <c r="M4" s="19"/>
    </row>
    <row r="5" spans="1:16" ht="18.75" x14ac:dyDescent="0.25">
      <c r="A5" s="10">
        <f t="shared" ca="1" si="0"/>
        <v>46055.67610902778</v>
      </c>
      <c r="B5" s="58" t="s">
        <v>83</v>
      </c>
      <c r="C5" s="11">
        <v>0.673761574074074</v>
      </c>
      <c r="D5" s="11" t="s">
        <v>84</v>
      </c>
      <c r="E5" s="11">
        <v>0.7524074074074073</v>
      </c>
      <c r="F5" s="12">
        <f t="shared" si="1"/>
        <v>1.8874999999999993</v>
      </c>
      <c r="G5" s="13">
        <f t="shared" si="2"/>
        <v>1.8874999999999993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5.4597222222222213</v>
      </c>
      <c r="K5" s="23">
        <f>SUMIF(B:B,"西塔台协调席",G:G)+SUMIF(B:B,"东塔台协调席",G:G)</f>
        <v>2.0566666666666658</v>
      </c>
      <c r="L5" s="23">
        <f>SUMIF(B:B,"西塔台协调席",H:H)+SUMIF(B:B,"东塔台协调席",H:H)</f>
        <v>3.4030555555555555</v>
      </c>
      <c r="M5" s="19"/>
    </row>
    <row r="6" spans="1:16" ht="18.75" x14ac:dyDescent="0.25">
      <c r="A6" s="10">
        <f t="shared" ca="1" si="0"/>
        <v>46055.752441435186</v>
      </c>
      <c r="B6" s="58" t="s">
        <v>91</v>
      </c>
      <c r="C6" s="11">
        <v>0.75246527777777772</v>
      </c>
      <c r="D6" s="11" t="s">
        <v>84</v>
      </c>
      <c r="E6" s="11">
        <v>0.77649305555555559</v>
      </c>
      <c r="F6" s="12">
        <f t="shared" si="1"/>
        <v>0.57666666666666888</v>
      </c>
      <c r="G6" s="13">
        <f t="shared" si="2"/>
        <v>0.57666666666666888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46055.855359027781</v>
      </c>
      <c r="B7" s="58" t="s">
        <v>91</v>
      </c>
      <c r="C7" s="11">
        <v>0.8553587962962963</v>
      </c>
      <c r="D7" s="11" t="s">
        <v>84</v>
      </c>
      <c r="E7" s="11">
        <v>0.95726851851851846</v>
      </c>
      <c r="F7" s="12">
        <f t="shared" si="1"/>
        <v>2.445833333333332</v>
      </c>
      <c r="G7" s="13">
        <f t="shared" si="2"/>
        <v>2.445833333333332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46056.292491435182</v>
      </c>
      <c r="B8" s="58" t="s">
        <v>91</v>
      </c>
      <c r="C8" s="11">
        <v>0.29248842592592594</v>
      </c>
      <c r="D8" s="11" t="s">
        <v>84</v>
      </c>
      <c r="E8" s="11">
        <v>0.36548611111111112</v>
      </c>
      <c r="F8" s="12">
        <f t="shared" si="1"/>
        <v>1.7519444444444443</v>
      </c>
      <c r="G8" s="13">
        <f t="shared" si="2"/>
        <v>0.77166666666667538</v>
      </c>
      <c r="H8" s="13">
        <f t="shared" si="3"/>
        <v>0.98027777777776892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46059.012283101853</v>
      </c>
      <c r="B9" s="58" t="s">
        <v>91</v>
      </c>
      <c r="C9" s="11">
        <v>1.2280092592592592E-2</v>
      </c>
      <c r="D9" s="11" t="s">
        <v>84</v>
      </c>
      <c r="E9" s="11">
        <v>0.13280092592592593</v>
      </c>
      <c r="F9" s="12">
        <f t="shared" si="1"/>
        <v>2.8925000000000001</v>
      </c>
      <c r="G9" s="13">
        <f t="shared" si="2"/>
        <v>0</v>
      </c>
      <c r="H9" s="13">
        <f t="shared" si="3"/>
        <v>2.8925000000000001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46060.140391550929</v>
      </c>
      <c r="B10" s="58" t="s">
        <v>91</v>
      </c>
      <c r="C10" s="11">
        <v>0.14038194444444443</v>
      </c>
      <c r="D10" s="11" t="s">
        <v>84</v>
      </c>
      <c r="E10" s="11">
        <v>0.30027777777777781</v>
      </c>
      <c r="F10" s="12">
        <f t="shared" si="1"/>
        <v>3.8375000000000012</v>
      </c>
      <c r="G10" s="13">
        <f t="shared" si="2"/>
        <v>0</v>
      </c>
      <c r="H10" s="13">
        <f t="shared" si="3"/>
        <v>3.8375000000000012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46063.13685787037</v>
      </c>
      <c r="B11" s="58" t="s">
        <v>91</v>
      </c>
      <c r="C11" s="11">
        <v>0.13685185185185186</v>
      </c>
      <c r="D11" s="11" t="s">
        <v>84</v>
      </c>
      <c r="E11" s="11">
        <v>0.22825231481481481</v>
      </c>
      <c r="F11" s="12">
        <f t="shared" si="1"/>
        <v>2.1936111111111107</v>
      </c>
      <c r="G11" s="13">
        <f t="shared" si="2"/>
        <v>0</v>
      </c>
      <c r="H11" s="13">
        <f t="shared" si="3"/>
        <v>2.1936111111111107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46063.952086342593</v>
      </c>
      <c r="B12" s="58" t="s">
        <v>91</v>
      </c>
      <c r="C12" s="11">
        <v>0.95208333333333339</v>
      </c>
      <c r="D12" s="11" t="s">
        <v>84</v>
      </c>
      <c r="E12" s="11">
        <v>0.14570601851851853</v>
      </c>
      <c r="F12" s="12">
        <f t="shared" si="1"/>
        <v>4.6469444444444434</v>
      </c>
      <c r="G12" s="13">
        <f t="shared" si="2"/>
        <v>1.1499999999999986</v>
      </c>
      <c r="H12" s="13">
        <f t="shared" si="3"/>
        <v>3.4969444444444449</v>
      </c>
      <c r="I12" s="27" t="s">
        <v>26</v>
      </c>
      <c r="J12" s="28">
        <f>SUMIF(B:B,"管制教员席",F:F)</f>
        <v>42.407222222222217</v>
      </c>
      <c r="K12" s="29">
        <f>SUMIF(B:B,"管制教员席",G:G)</f>
        <v>23.639444444444472</v>
      </c>
      <c r="L12" s="29">
        <f>SUMIF(B:B,"管制教员席",H:H)</f>
        <v>18.767777777777752</v>
      </c>
      <c r="M12" s="19"/>
    </row>
    <row r="13" spans="1:16" ht="18.75" x14ac:dyDescent="0.15">
      <c r="A13" s="10">
        <f t="shared" ca="1" si="0"/>
        <v>46066.770642013886</v>
      </c>
      <c r="B13" s="58" t="s">
        <v>83</v>
      </c>
      <c r="C13" s="11">
        <v>0.77063657407407404</v>
      </c>
      <c r="D13" s="11" t="s">
        <v>84</v>
      </c>
      <c r="E13" s="11">
        <v>0.90195601851851848</v>
      </c>
      <c r="F13" s="12">
        <f t="shared" si="1"/>
        <v>3.1516666666666664</v>
      </c>
      <c r="G13" s="13">
        <f t="shared" si="2"/>
        <v>3.1516666666666664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46066.951639814812</v>
      </c>
      <c r="B14" s="58" t="s">
        <v>82</v>
      </c>
      <c r="C14" s="11">
        <v>0.95163194444444443</v>
      </c>
      <c r="D14" s="11" t="s">
        <v>84</v>
      </c>
      <c r="E14" s="11">
        <v>0.14179398148148148</v>
      </c>
      <c r="F14" s="12">
        <f t="shared" si="1"/>
        <v>4.5638888888888891</v>
      </c>
      <c r="G14" s="13">
        <f t="shared" si="2"/>
        <v>1.1608333333333336</v>
      </c>
      <c r="H14" s="13">
        <f t="shared" si="3"/>
        <v>3.4030555555555555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46070.951764699072</v>
      </c>
      <c r="B15" s="58" t="s">
        <v>91</v>
      </c>
      <c r="C15" s="11">
        <v>0.9517592592592593</v>
      </c>
      <c r="D15" s="11" t="s">
        <v>84</v>
      </c>
      <c r="E15" s="11">
        <v>0.14278935185185185</v>
      </c>
      <c r="F15" s="12">
        <f t="shared" si="1"/>
        <v>4.5847222222222213</v>
      </c>
      <c r="G15" s="13">
        <f t="shared" si="2"/>
        <v>1.1577777777777767</v>
      </c>
      <c r="H15" s="13">
        <f t="shared" si="3"/>
        <v>3.4269444444444446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46071.458796643521</v>
      </c>
      <c r="B16" s="58" t="s">
        <v>91</v>
      </c>
      <c r="C16" s="11">
        <v>0.45879629629629631</v>
      </c>
      <c r="D16" s="11" t="s">
        <v>84</v>
      </c>
      <c r="E16" s="11">
        <v>0.51782407407407405</v>
      </c>
      <c r="F16" s="12">
        <f t="shared" si="1"/>
        <v>1.4166666666666656</v>
      </c>
      <c r="G16" s="13">
        <f t="shared" si="2"/>
        <v>1.4166666666666656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46071.538086111112</v>
      </c>
      <c r="B17" s="58" t="s">
        <v>91</v>
      </c>
      <c r="C17" s="11">
        <v>0.5380787037037037</v>
      </c>
      <c r="D17" s="11" t="s">
        <v>84</v>
      </c>
      <c r="E17" s="11">
        <v>0.54894675925925929</v>
      </c>
      <c r="F17" s="12">
        <f t="shared" si="1"/>
        <v>0.26083333333333414</v>
      </c>
      <c r="G17" s="13">
        <f t="shared" si="2"/>
        <v>0.26083333333333414</v>
      </c>
      <c r="H17" s="13">
        <f t="shared" si="3"/>
        <v>0</v>
      </c>
      <c r="I17" s="35" t="s">
        <v>29</v>
      </c>
      <c r="J17" s="36">
        <f>J4+J5+J6+J7+J10</f>
        <v>22.584722222222222</v>
      </c>
      <c r="K17" s="37">
        <f>K4+K5+K6+K7+K10</f>
        <v>8.2561111111111103</v>
      </c>
      <c r="L17" s="38">
        <f>L4+L5+L6+L7+L10</f>
        <v>14.328611111111112</v>
      </c>
      <c r="M17" s="39"/>
    </row>
    <row r="18" spans="1:13" ht="20.25" x14ac:dyDescent="0.25">
      <c r="A18" s="10">
        <f t="shared" ca="1" si="0"/>
        <v>46071.951664930559</v>
      </c>
      <c r="B18" s="58" t="s">
        <v>83</v>
      </c>
      <c r="C18" s="11">
        <v>0.95165509259259251</v>
      </c>
      <c r="D18" s="11" t="s">
        <v>84</v>
      </c>
      <c r="E18" s="11">
        <v>5.2696759259259263E-2</v>
      </c>
      <c r="F18" s="12">
        <f t="shared" si="1"/>
        <v>2.425000000000002</v>
      </c>
      <c r="G18" s="13">
        <f t="shared" si="2"/>
        <v>1.1602777777777797</v>
      </c>
      <c r="H18" s="13">
        <f t="shared" si="3"/>
        <v>1.2647222222222223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46072.056731712961</v>
      </c>
      <c r="B19" s="58" t="s">
        <v>83</v>
      </c>
      <c r="C19" s="11">
        <v>5.6909722222222216E-2</v>
      </c>
      <c r="D19" s="11" t="s">
        <v>84</v>
      </c>
      <c r="E19" s="11">
        <v>0.13958333333333334</v>
      </c>
      <c r="F19" s="12">
        <f t="shared" si="1"/>
        <v>1.9841666666666671</v>
      </c>
      <c r="G19" s="13">
        <f t="shared" si="2"/>
        <v>0</v>
      </c>
      <c r="H19" s="13">
        <f t="shared" si="3"/>
        <v>1.9841666666666671</v>
      </c>
      <c r="I19" s="35" t="s">
        <v>30</v>
      </c>
      <c r="J19" s="36">
        <f t="shared" ref="J19:L19" si="6">J12</f>
        <v>42.407222222222217</v>
      </c>
      <c r="K19" s="37">
        <f t="shared" si="6"/>
        <v>23.639444444444472</v>
      </c>
      <c r="L19" s="38">
        <f t="shared" si="6"/>
        <v>18.767777777777752</v>
      </c>
      <c r="M19" s="39"/>
    </row>
    <row r="20" spans="1:13" ht="20.25" x14ac:dyDescent="0.15">
      <c r="A20" s="10">
        <f t="shared" ca="1" si="0"/>
        <v>46075.140801851849</v>
      </c>
      <c r="B20" s="58" t="s">
        <v>83</v>
      </c>
      <c r="C20" s="11">
        <v>0.14079861111111111</v>
      </c>
      <c r="D20" s="11" t="s">
        <v>84</v>
      </c>
      <c r="E20" s="11">
        <v>0.29714120370370373</v>
      </c>
      <c r="F20" s="12">
        <f t="shared" si="1"/>
        <v>3.7522222222222226</v>
      </c>
      <c r="G20" s="13">
        <f t="shared" si="2"/>
        <v>0</v>
      </c>
      <c r="H20" s="13">
        <f t="shared" si="3"/>
        <v>3.7522222222222226</v>
      </c>
      <c r="I20" s="40" t="s">
        <v>31</v>
      </c>
      <c r="J20" s="67">
        <f>J16+J17+J18+J19</f>
        <v>64.991944444444442</v>
      </c>
      <c r="K20" s="68"/>
      <c r="L20" s="69"/>
      <c r="M20" s="41"/>
    </row>
    <row r="21" spans="1:13" ht="20.25" x14ac:dyDescent="0.25">
      <c r="A21" s="10">
        <f t="shared" ca="1" si="0"/>
        <v>46076.135348148149</v>
      </c>
      <c r="B21" s="58" t="s">
        <v>83</v>
      </c>
      <c r="C21" s="11">
        <v>0.13534722222222223</v>
      </c>
      <c r="D21" s="11" t="s">
        <v>84</v>
      </c>
      <c r="E21" s="11">
        <v>0.29886574074074074</v>
      </c>
      <c r="F21" s="12">
        <f t="shared" si="1"/>
        <v>3.9244444444444442</v>
      </c>
      <c r="G21" s="13">
        <f t="shared" si="2"/>
        <v>0</v>
      </c>
      <c r="H21" s="13">
        <f t="shared" si="3"/>
        <v>3.9244444444444442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46078.522547106484</v>
      </c>
      <c r="B22" s="58" t="s">
        <v>91</v>
      </c>
      <c r="C22" s="11">
        <v>0.52254629629629623</v>
      </c>
      <c r="D22" s="11" t="s">
        <v>84</v>
      </c>
      <c r="E22" s="11">
        <v>0.65402777777777776</v>
      </c>
      <c r="F22" s="12">
        <f t="shared" si="1"/>
        <v>3.1555555555555568</v>
      </c>
      <c r="G22" s="13">
        <f t="shared" si="2"/>
        <v>3.1555555555555568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46078.771727314816</v>
      </c>
      <c r="B23" s="58" t="s">
        <v>91</v>
      </c>
      <c r="C23" s="11">
        <v>0.77172453703703703</v>
      </c>
      <c r="D23" s="11" t="s">
        <v>84</v>
      </c>
      <c r="E23" s="11">
        <v>0.8992592592592592</v>
      </c>
      <c r="F23" s="12">
        <f t="shared" si="1"/>
        <v>3.0608333333333322</v>
      </c>
      <c r="G23" s="13">
        <f t="shared" si="2"/>
        <v>3.0608333333333322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46079.625021180553</v>
      </c>
      <c r="B24" s="58" t="s">
        <v>91</v>
      </c>
      <c r="C24" s="11">
        <v>0.62501157407407404</v>
      </c>
      <c r="D24" s="11" t="s">
        <v>84</v>
      </c>
      <c r="E24" s="11">
        <v>0.76103009259259258</v>
      </c>
      <c r="F24" s="12">
        <f t="shared" si="1"/>
        <v>3.2644444444444449</v>
      </c>
      <c r="G24" s="13">
        <f t="shared" si="2"/>
        <v>3.2644444444444449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46079.761097453702</v>
      </c>
      <c r="B25" s="58" t="s">
        <v>82</v>
      </c>
      <c r="C25" s="11">
        <v>0.76108796296296299</v>
      </c>
      <c r="D25" s="11" t="s">
        <v>84</v>
      </c>
      <c r="E25" s="11">
        <v>0.79841435185185183</v>
      </c>
      <c r="F25" s="12">
        <f t="shared" si="1"/>
        <v>0.89583333333333215</v>
      </c>
      <c r="G25" s="13">
        <f t="shared" si="2"/>
        <v>0.89583333333333215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46079.87728252315</v>
      </c>
      <c r="B26" s="58" t="s">
        <v>91</v>
      </c>
      <c r="C26" s="11">
        <v>0.87728009259259254</v>
      </c>
      <c r="D26" s="11" t="s">
        <v>84</v>
      </c>
      <c r="E26" s="11">
        <v>0.96065972222222218</v>
      </c>
      <c r="F26" s="12">
        <f t="shared" si="1"/>
        <v>2.0011111111111113</v>
      </c>
      <c r="G26" s="13">
        <f t="shared" si="2"/>
        <v>2.0011111111111113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46080.292460879631</v>
      </c>
      <c r="B27" s="58" t="s">
        <v>91</v>
      </c>
      <c r="C27" s="11">
        <v>0.29245370370370372</v>
      </c>
      <c r="D27" s="11" t="s">
        <v>84</v>
      </c>
      <c r="E27" s="11">
        <v>0.36268518518518517</v>
      </c>
      <c r="F27" s="12">
        <f t="shared" si="1"/>
        <v>1.6855555555555548</v>
      </c>
      <c r="G27" s="13">
        <f t="shared" si="2"/>
        <v>0.70444444444445242</v>
      </c>
      <c r="H27" s="13">
        <f t="shared" si="3"/>
        <v>0.98111111111110239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39"/>
  <sheetViews>
    <sheetView topLeftCell="A7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46054.407044328706</v>
      </c>
      <c r="B3" s="58" t="s">
        <v>90</v>
      </c>
      <c r="C3" s="11">
        <v>0.40703703703703703</v>
      </c>
      <c r="D3" s="11" t="s">
        <v>84</v>
      </c>
      <c r="E3" s="11">
        <v>0.47668981481481482</v>
      </c>
      <c r="F3" s="12">
        <f t="shared" ref="F3:F66" si="1">(IF(E3-C3&lt;0,"24:00"-C3+E3,E3-C3))*24</f>
        <v>1.6716666666666669</v>
      </c>
      <c r="G3" s="13">
        <f t="shared" ref="G3:G66" si="2">F3-H3</f>
        <v>1.6716666666666669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46054.52086099537</v>
      </c>
      <c r="B4" s="58" t="s">
        <v>83</v>
      </c>
      <c r="C4" s="11">
        <v>0.52085648148148145</v>
      </c>
      <c r="D4" s="11" t="s">
        <v>84</v>
      </c>
      <c r="E4" s="11">
        <v>0.65390046296296289</v>
      </c>
      <c r="F4" s="12">
        <f t="shared" si="1"/>
        <v>3.1930555555555546</v>
      </c>
      <c r="G4" s="13">
        <f t="shared" si="2"/>
        <v>3.1930555555555546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40.550555555555555</v>
      </c>
      <c r="K4" s="23">
        <f>SUMIF(B:B,"西塔台管制席",G:G)+SUMIF(B:B,"东塔台管制席",G:G)</f>
        <v>25.701666666666664</v>
      </c>
      <c r="L4" s="23">
        <f>SUMIF(B:B,"西塔台管制席",H:H)+SUMIF(B:B,"东塔台管制席",H:H)</f>
        <v>14.848888888888888</v>
      </c>
      <c r="M4" s="19"/>
    </row>
    <row r="5" spans="1:16" ht="18.75" x14ac:dyDescent="0.25">
      <c r="A5" s="10">
        <f t="shared" ca="1" si="0"/>
        <v>46054.772095949076</v>
      </c>
      <c r="B5" s="58" t="s">
        <v>82</v>
      </c>
      <c r="C5" s="11">
        <v>0.77209490740740738</v>
      </c>
      <c r="D5" s="11" t="s">
        <v>84</v>
      </c>
      <c r="E5" s="11">
        <v>0.90068287037037031</v>
      </c>
      <c r="F5" s="12">
        <f t="shared" si="1"/>
        <v>3.0861111111111104</v>
      </c>
      <c r="G5" s="13">
        <f t="shared" si="2"/>
        <v>3.0861111111111104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22.613055555555555</v>
      </c>
      <c r="K5" s="23">
        <f>SUMIF(B:B,"西塔台协调席",G:G)+SUMIF(B:B,"东塔台协调席",G:G)</f>
        <v>19.909444444444453</v>
      </c>
      <c r="L5" s="23">
        <f>SUMIF(B:B,"西塔台协调席",H:H)+SUMIF(B:B,"东塔台协调席",H:H)</f>
        <v>2.7036111111111025</v>
      </c>
      <c r="M5" s="19"/>
    </row>
    <row r="6" spans="1:16" ht="18.75" x14ac:dyDescent="0.25">
      <c r="A6" s="10">
        <f t="shared" ca="1" si="0"/>
        <v>46055.526818749997</v>
      </c>
      <c r="B6" s="58" t="s">
        <v>83</v>
      </c>
      <c r="C6" s="11">
        <v>0.52681712962962968</v>
      </c>
      <c r="D6" s="11" t="s">
        <v>84</v>
      </c>
      <c r="E6" s="11">
        <v>0.68059027777777781</v>
      </c>
      <c r="F6" s="12">
        <f t="shared" si="1"/>
        <v>3.6905555555555551</v>
      </c>
      <c r="G6" s="13">
        <f t="shared" si="2"/>
        <v>3.6905555555555551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46055.771951504626</v>
      </c>
      <c r="B7" s="58" t="s">
        <v>83</v>
      </c>
      <c r="C7" s="11">
        <v>0.77194444444444443</v>
      </c>
      <c r="D7" s="11" t="s">
        <v>84</v>
      </c>
      <c r="E7" s="11">
        <v>0.85993055555555553</v>
      </c>
      <c r="F7" s="12">
        <f t="shared" si="1"/>
        <v>2.1116666666666664</v>
      </c>
      <c r="G7" s="13">
        <f t="shared" si="2"/>
        <v>2.1116666666666664</v>
      </c>
      <c r="H7" s="13">
        <f t="shared" si="3"/>
        <v>0</v>
      </c>
      <c r="I7" s="21" t="s">
        <v>23</v>
      </c>
      <c r="J7" s="22">
        <f>SUMIF(B:B,"地面席",F:F)</f>
        <v>2.0080555555555559</v>
      </c>
      <c r="K7" s="23">
        <f>SUMIF(B:B,"地面席",G:G)</f>
        <v>0</v>
      </c>
      <c r="L7" s="23">
        <f>SUMIF(B:B,"地面席",H:H)</f>
        <v>2.0080555555555559</v>
      </c>
      <c r="M7" s="19"/>
    </row>
    <row r="8" spans="1:16" ht="18.75" x14ac:dyDescent="0.25">
      <c r="A8" s="10">
        <f t="shared" ca="1" si="0"/>
        <v>46058.951526504628</v>
      </c>
      <c r="B8" s="58" t="s">
        <v>83</v>
      </c>
      <c r="C8" s="11">
        <v>0.9515162037037036</v>
      </c>
      <c r="D8" s="11" t="s">
        <v>84</v>
      </c>
      <c r="E8" s="11">
        <v>0.14866898148148147</v>
      </c>
      <c r="F8" s="12">
        <f t="shared" si="1"/>
        <v>4.7316666666666691</v>
      </c>
      <c r="G8" s="13">
        <f t="shared" si="2"/>
        <v>1.1636111111111136</v>
      </c>
      <c r="H8" s="13">
        <f t="shared" si="3"/>
        <v>3.5680555555555555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46060.139527546293</v>
      </c>
      <c r="B9" s="58" t="s">
        <v>88</v>
      </c>
      <c r="C9" s="11">
        <v>0.13952546296296295</v>
      </c>
      <c r="D9" s="11" t="s">
        <v>84</v>
      </c>
      <c r="E9" s="11">
        <v>0.22319444444444445</v>
      </c>
      <c r="F9" s="12">
        <f t="shared" si="1"/>
        <v>2.0080555555555559</v>
      </c>
      <c r="G9" s="13">
        <f t="shared" si="2"/>
        <v>0</v>
      </c>
      <c r="H9" s="13">
        <f t="shared" si="3"/>
        <v>2.0080555555555559</v>
      </c>
      <c r="I9" s="21" t="s">
        <v>76</v>
      </c>
      <c r="J9" s="22">
        <f>SUMIF(B:B,"航班调度席",F:F)</f>
        <v>1.6716666666666669</v>
      </c>
      <c r="K9" s="23">
        <f>SUMIF(B:B,"航班调度席",G:G)</f>
        <v>1.6716666666666669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46063.13734212963</v>
      </c>
      <c r="B10" s="58" t="s">
        <v>83</v>
      </c>
      <c r="C10" s="11">
        <v>0.13733796296296297</v>
      </c>
      <c r="D10" s="11" t="s">
        <v>84</v>
      </c>
      <c r="E10" s="11">
        <v>0.29802083333333335</v>
      </c>
      <c r="F10" s="12">
        <f t="shared" si="1"/>
        <v>3.8563888888888891</v>
      </c>
      <c r="G10" s="13">
        <f t="shared" si="2"/>
        <v>0</v>
      </c>
      <c r="H10" s="13">
        <f t="shared" si="3"/>
        <v>3.8563888888888891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46064.015179050926</v>
      </c>
      <c r="B11" s="58" t="s">
        <v>86</v>
      </c>
      <c r="C11" s="11">
        <v>1.5173611111111112E-2</v>
      </c>
      <c r="D11" s="11" t="s">
        <v>84</v>
      </c>
      <c r="E11" s="11">
        <v>0.14605324074074075</v>
      </c>
      <c r="F11" s="12">
        <f t="shared" si="1"/>
        <v>3.141111111111111</v>
      </c>
      <c r="G11" s="13">
        <f t="shared" si="2"/>
        <v>0</v>
      </c>
      <c r="H11" s="13">
        <f t="shared" si="3"/>
        <v>3.141111111111111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46066.770739814812</v>
      </c>
      <c r="B12" s="58" t="s">
        <v>82</v>
      </c>
      <c r="C12" s="11">
        <v>0.77072916666666658</v>
      </c>
      <c r="D12" s="11" t="s">
        <v>84</v>
      </c>
      <c r="E12" s="11">
        <v>0.90188657407407413</v>
      </c>
      <c r="F12" s="12">
        <f t="shared" si="1"/>
        <v>3.1477777777777813</v>
      </c>
      <c r="G12" s="13">
        <f t="shared" si="2"/>
        <v>3.1477777777777813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46067.139927546297</v>
      </c>
      <c r="B13" s="58" t="s">
        <v>86</v>
      </c>
      <c r="C13" s="11">
        <v>0.13991898148148149</v>
      </c>
      <c r="D13" s="11" t="s">
        <v>84</v>
      </c>
      <c r="E13" s="11">
        <v>0.29993055555555553</v>
      </c>
      <c r="F13" s="12">
        <f t="shared" si="1"/>
        <v>3.8402777777777768</v>
      </c>
      <c r="G13" s="13">
        <f t="shared" si="2"/>
        <v>0</v>
      </c>
      <c r="H13" s="13">
        <f t="shared" si="3"/>
        <v>3.8402777777777768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46067.667355787038</v>
      </c>
      <c r="B14" s="58" t="s">
        <v>85</v>
      </c>
      <c r="C14" s="11">
        <v>0.66734953703703714</v>
      </c>
      <c r="D14" s="11" t="s">
        <v>84</v>
      </c>
      <c r="E14" s="11">
        <v>0.79767361111111112</v>
      </c>
      <c r="F14" s="12">
        <f t="shared" si="1"/>
        <v>3.1277777777777755</v>
      </c>
      <c r="G14" s="13">
        <f t="shared" si="2"/>
        <v>3.1277777777777755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46067.951095370372</v>
      </c>
      <c r="B15" s="58" t="s">
        <v>86</v>
      </c>
      <c r="C15" s="11">
        <v>0.95108796296296294</v>
      </c>
      <c r="D15" s="11" t="s">
        <v>84</v>
      </c>
      <c r="E15" s="11">
        <v>1.8460648148148146E-2</v>
      </c>
      <c r="F15" s="12">
        <f t="shared" si="1"/>
        <v>1.616944444444445</v>
      </c>
      <c r="G15" s="13">
        <f t="shared" si="2"/>
        <v>1.1738888888888894</v>
      </c>
      <c r="H15" s="13">
        <f t="shared" si="3"/>
        <v>0.44305555555555554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46068.018499305559</v>
      </c>
      <c r="B16" s="58" t="s">
        <v>82</v>
      </c>
      <c r="C16" s="11">
        <v>1.849537037037037E-2</v>
      </c>
      <c r="D16" s="11" t="s">
        <v>84</v>
      </c>
      <c r="E16" s="11">
        <v>9.0416666666666659E-2</v>
      </c>
      <c r="F16" s="12">
        <f t="shared" si="1"/>
        <v>1.7261111111111109</v>
      </c>
      <c r="G16" s="13">
        <f t="shared" si="2"/>
        <v>0</v>
      </c>
      <c r="H16" s="13">
        <f t="shared" si="3"/>
        <v>1.7261111111111109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46070.355306481484</v>
      </c>
      <c r="B17" s="58" t="s">
        <v>83</v>
      </c>
      <c r="C17" s="11">
        <v>0.35530092592592594</v>
      </c>
      <c r="D17" s="11" t="s">
        <v>84</v>
      </c>
      <c r="E17" s="11">
        <v>0.5247222222222222</v>
      </c>
      <c r="F17" s="12">
        <f t="shared" si="1"/>
        <v>4.0661111111111108</v>
      </c>
      <c r="G17" s="13">
        <f t="shared" si="2"/>
        <v>4.0661111111111108</v>
      </c>
      <c r="H17" s="13">
        <f t="shared" si="3"/>
        <v>0</v>
      </c>
      <c r="I17" s="35" t="s">
        <v>29</v>
      </c>
      <c r="J17" s="36">
        <f>J4+J5+J6+J7+J10</f>
        <v>65.171666666666667</v>
      </c>
      <c r="K17" s="37">
        <f>K4+K5+K6+K7+K10</f>
        <v>45.611111111111114</v>
      </c>
      <c r="L17" s="38">
        <f>L4+L5+L6+L7+L10</f>
        <v>19.560555555555545</v>
      </c>
      <c r="M17" s="39"/>
    </row>
    <row r="18" spans="1:13" ht="20.25" x14ac:dyDescent="0.25">
      <c r="A18" s="10">
        <f t="shared" ca="1" si="0"/>
        <v>46070.893345370372</v>
      </c>
      <c r="B18" s="58" t="s">
        <v>82</v>
      </c>
      <c r="C18" s="11">
        <v>0.89334490740740735</v>
      </c>
      <c r="D18" s="11" t="s">
        <v>84</v>
      </c>
      <c r="E18" s="11">
        <v>0.95581018518518512</v>
      </c>
      <c r="F18" s="12">
        <f t="shared" si="1"/>
        <v>1.4991666666666665</v>
      </c>
      <c r="G18" s="13">
        <f t="shared" si="2"/>
        <v>1.4991666666666665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46071.45673888889</v>
      </c>
      <c r="B19" s="58" t="s">
        <v>82</v>
      </c>
      <c r="C19" s="11">
        <v>0.45673611111111106</v>
      </c>
      <c r="D19" s="11" t="s">
        <v>84</v>
      </c>
      <c r="E19" s="11">
        <v>0.54810185185185178</v>
      </c>
      <c r="F19" s="12">
        <f t="shared" si="1"/>
        <v>2.1927777777777773</v>
      </c>
      <c r="G19" s="13">
        <f t="shared" si="2"/>
        <v>2.1927777777777773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46071.877599537038</v>
      </c>
      <c r="B20" s="58" t="s">
        <v>83</v>
      </c>
      <c r="C20" s="11">
        <v>0.87759259259259259</v>
      </c>
      <c r="D20" s="11" t="s">
        <v>84</v>
      </c>
      <c r="E20" s="11">
        <v>0.95665509259259263</v>
      </c>
      <c r="F20" s="12">
        <f t="shared" si="1"/>
        <v>1.8975000000000009</v>
      </c>
      <c r="G20" s="13">
        <f t="shared" si="2"/>
        <v>1.8975000000000009</v>
      </c>
      <c r="H20" s="13">
        <f t="shared" si="3"/>
        <v>0</v>
      </c>
      <c r="I20" s="40" t="s">
        <v>31</v>
      </c>
      <c r="J20" s="67">
        <f>J16+J17+J18+J19</f>
        <v>65.171666666666667</v>
      </c>
      <c r="K20" s="68"/>
      <c r="L20" s="69"/>
      <c r="M20" s="41"/>
    </row>
    <row r="21" spans="1:13" ht="20.25" x14ac:dyDescent="0.25">
      <c r="A21" s="10">
        <f t="shared" ca="1" si="0"/>
        <v>46078.354472453706</v>
      </c>
      <c r="B21" s="58" t="s">
        <v>83</v>
      </c>
      <c r="C21" s="11">
        <v>0.35446759259259258</v>
      </c>
      <c r="D21" s="11" t="s">
        <v>84</v>
      </c>
      <c r="E21" s="11">
        <v>0.52744212962962966</v>
      </c>
      <c r="F21" s="12">
        <f t="shared" si="1"/>
        <v>4.1513888888888903</v>
      </c>
      <c r="G21" s="13">
        <f t="shared" si="2"/>
        <v>4.1513888888888903</v>
      </c>
      <c r="H21" s="13">
        <f t="shared" si="3"/>
        <v>0</v>
      </c>
      <c r="I21" s="53" t="s">
        <v>78</v>
      </c>
      <c r="J21" s="54">
        <f>SUM(J8:J9)</f>
        <v>1.6716666666666669</v>
      </c>
      <c r="K21" s="37">
        <f>SUM(K8:K9)</f>
        <v>1.6716666666666669</v>
      </c>
      <c r="L21" s="38">
        <f>SUM(L8:L9)</f>
        <v>0</v>
      </c>
      <c r="M21" s="46"/>
    </row>
    <row r="22" spans="1:13" ht="18.75" x14ac:dyDescent="0.15">
      <c r="A22" s="10">
        <f t="shared" ca="1" si="0"/>
        <v>46078.648822800926</v>
      </c>
      <c r="B22" s="58" t="s">
        <v>83</v>
      </c>
      <c r="C22" s="11">
        <v>0.6488194444444445</v>
      </c>
      <c r="D22" s="11" t="s">
        <v>84</v>
      </c>
      <c r="E22" s="11">
        <v>0.75230324074074073</v>
      </c>
      <c r="F22" s="12">
        <f t="shared" si="1"/>
        <v>2.4836111111111094</v>
      </c>
      <c r="G22" s="13">
        <f t="shared" si="2"/>
        <v>2.4836111111111094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46078.765774537038</v>
      </c>
      <c r="B23" s="58" t="s">
        <v>83</v>
      </c>
      <c r="C23" s="11">
        <v>0.76576388888888891</v>
      </c>
      <c r="D23" s="11" t="s">
        <v>84</v>
      </c>
      <c r="E23" s="11">
        <v>0.77806712962962965</v>
      </c>
      <c r="F23" s="12">
        <f t="shared" si="1"/>
        <v>0.29527777777777775</v>
      </c>
      <c r="G23" s="13">
        <f t="shared" si="2"/>
        <v>0.29527777777777775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46078.895144444446</v>
      </c>
      <c r="B24" s="58" t="s">
        <v>83</v>
      </c>
      <c r="C24" s="11">
        <v>0.89513888888888893</v>
      </c>
      <c r="D24" s="11" t="s">
        <v>84</v>
      </c>
      <c r="E24" s="11">
        <v>0.95659722222222221</v>
      </c>
      <c r="F24" s="12">
        <f t="shared" si="1"/>
        <v>1.4749999999999988</v>
      </c>
      <c r="G24" s="13">
        <f t="shared" si="2"/>
        <v>1.4749999999999988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46079.292605092596</v>
      </c>
      <c r="B25" s="58" t="s">
        <v>82</v>
      </c>
      <c r="C25" s="11">
        <v>0.29260416666666667</v>
      </c>
      <c r="D25" s="11" t="s">
        <v>84</v>
      </c>
      <c r="E25" s="11">
        <v>0.42248842592592589</v>
      </c>
      <c r="F25" s="12">
        <f t="shared" si="1"/>
        <v>3.1172222222222215</v>
      </c>
      <c r="G25" s="13">
        <f t="shared" si="2"/>
        <v>2.1397222222222299</v>
      </c>
      <c r="H25" s="13">
        <f t="shared" si="3"/>
        <v>0.9774999999999916</v>
      </c>
      <c r="I25"/>
      <c r="J25"/>
    </row>
    <row r="26" spans="1:13" ht="18.75" x14ac:dyDescent="0.15">
      <c r="A26" s="10">
        <f t="shared" ca="1" si="0"/>
        <v>46079.521656597222</v>
      </c>
      <c r="B26" s="58" t="s">
        <v>82</v>
      </c>
      <c r="C26" s="11">
        <v>0.52165509259259257</v>
      </c>
      <c r="D26" s="11" t="s">
        <v>84</v>
      </c>
      <c r="E26" s="11">
        <v>0.62938657407407406</v>
      </c>
      <c r="F26" s="12">
        <f t="shared" si="1"/>
        <v>2.5855555555555556</v>
      </c>
      <c r="G26" s="13">
        <f t="shared" si="2"/>
        <v>2.5855555555555556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46079.791359027775</v>
      </c>
      <c r="B27" s="58" t="s">
        <v>82</v>
      </c>
      <c r="C27" s="11">
        <v>0.79135416666666669</v>
      </c>
      <c r="D27" s="11" t="s">
        <v>84</v>
      </c>
      <c r="E27" s="11">
        <v>0.88012731481481488</v>
      </c>
      <c r="F27" s="12">
        <f t="shared" si="1"/>
        <v>2.1305555555555564</v>
      </c>
      <c r="G27" s="13">
        <f t="shared" si="2"/>
        <v>2.1305555555555564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339"/>
  <sheetViews>
    <sheetView topLeftCell="A10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46054.952234375</v>
      </c>
      <c r="B3" s="58" t="s">
        <v>83</v>
      </c>
      <c r="C3" s="11">
        <v>0.95223379629629623</v>
      </c>
      <c r="D3" s="11" t="s">
        <v>84</v>
      </c>
      <c r="E3" s="11">
        <v>0.12028935185185186</v>
      </c>
      <c r="F3" s="12">
        <f t="shared" ref="F3:F66" si="1">(IF(E3-C3&lt;0,"24:00"-C3+E3,E3-C3))*24</f>
        <v>4.033333333333335</v>
      </c>
      <c r="G3" s="13">
        <f t="shared" ref="G3:G66" si="2">F3-H3</f>
        <v>1.1463888888888905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2.8869444444444445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46056.139178819445</v>
      </c>
      <c r="B4" s="58" t="s">
        <v>88</v>
      </c>
      <c r="C4" s="11">
        <v>0.13917824074074073</v>
      </c>
      <c r="D4" s="11" t="s">
        <v>84</v>
      </c>
      <c r="E4" s="11">
        <v>0.22314814814814812</v>
      </c>
      <c r="F4" s="12">
        <f t="shared" si="1"/>
        <v>2.0152777777777775</v>
      </c>
      <c r="G4" s="13">
        <f t="shared" si="2"/>
        <v>0</v>
      </c>
      <c r="H4" s="13">
        <f t="shared" si="3"/>
        <v>2.0152777777777775</v>
      </c>
      <c r="I4" s="21" t="s">
        <v>20</v>
      </c>
      <c r="J4" s="22">
        <f>SUMIF(B:B,"西塔台管制席",F:F)+SUMIF(B:B,"东塔台管制席",F:F)</f>
        <v>21.111666666666668</v>
      </c>
      <c r="K4" s="23">
        <f>SUMIF(B:B,"西塔台管制席",G:G)+SUMIF(B:B,"东塔台管制席",G:G)</f>
        <v>5.7966666666666695</v>
      </c>
      <c r="L4" s="23">
        <f>SUMIF(B:B,"西塔台管制席",H:H)+SUMIF(B:B,"东塔台管制席",H:H)</f>
        <v>15.314999999999998</v>
      </c>
      <c r="M4" s="19"/>
    </row>
    <row r="5" spans="1:16" ht="18.75" x14ac:dyDescent="0.25">
      <c r="A5" s="10">
        <f t="shared" ca="1" si="0"/>
        <v>46059.140222453701</v>
      </c>
      <c r="B5" s="58" t="s">
        <v>83</v>
      </c>
      <c r="C5" s="11">
        <v>0.14021990740740742</v>
      </c>
      <c r="D5" s="11" t="s">
        <v>84</v>
      </c>
      <c r="E5" s="11">
        <v>0.30038194444444444</v>
      </c>
      <c r="F5" s="12">
        <f t="shared" si="1"/>
        <v>3.8438888888888885</v>
      </c>
      <c r="G5" s="13">
        <f t="shared" si="2"/>
        <v>0</v>
      </c>
      <c r="H5" s="13">
        <f t="shared" si="3"/>
        <v>3.8438888888888885</v>
      </c>
      <c r="I5" s="21" t="s">
        <v>21</v>
      </c>
      <c r="J5" s="22">
        <f>SUMIF(B:B,"西塔台协调席",F:F)+SUMIF(B:B,"东塔台协调席",F:F)</f>
        <v>38.679166666666667</v>
      </c>
      <c r="K5" s="23">
        <f>SUMIF(B:B,"西塔台协调席",G:G)+SUMIF(B:B,"东塔台协调席",G:G)</f>
        <v>27.278611111111118</v>
      </c>
      <c r="L5" s="23">
        <f>SUMIF(B:B,"西塔台协调席",H:H)+SUMIF(B:B,"东塔台协调席",H:H)</f>
        <v>11.400555555555545</v>
      </c>
      <c r="M5" s="19"/>
    </row>
    <row r="6" spans="1:16" ht="18.75" x14ac:dyDescent="0.25">
      <c r="A6" s="10">
        <f t="shared" ca="1" si="0"/>
        <v>46060.014012731481</v>
      </c>
      <c r="B6" s="58" t="s">
        <v>85</v>
      </c>
      <c r="C6" s="11">
        <v>1.4004629629629631E-2</v>
      </c>
      <c r="D6" s="11" t="s">
        <v>84</v>
      </c>
      <c r="E6" s="11">
        <v>0.14221064814814816</v>
      </c>
      <c r="F6" s="12">
        <f t="shared" si="1"/>
        <v>3.0769444444444449</v>
      </c>
      <c r="G6" s="13">
        <f t="shared" si="2"/>
        <v>0</v>
      </c>
      <c r="H6" s="13">
        <f t="shared" si="3"/>
        <v>3.0769444444444449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46062.388505555558</v>
      </c>
      <c r="B7" s="58" t="s">
        <v>90</v>
      </c>
      <c r="C7" s="11">
        <v>0.38849537037037035</v>
      </c>
      <c r="D7" s="11" t="s">
        <v>84</v>
      </c>
      <c r="E7" s="11">
        <v>0.46940972222222221</v>
      </c>
      <c r="F7" s="12">
        <f t="shared" si="1"/>
        <v>1.9419444444444447</v>
      </c>
      <c r="G7" s="13">
        <f t="shared" si="2"/>
        <v>1.9419444444444447</v>
      </c>
      <c r="H7" s="13">
        <f t="shared" si="3"/>
        <v>0</v>
      </c>
      <c r="I7" s="21" t="s">
        <v>23</v>
      </c>
      <c r="J7" s="22">
        <f>SUMIF(B:B,"地面席",F:F)</f>
        <v>2.0152777777777775</v>
      </c>
      <c r="K7" s="23">
        <f>SUMIF(B:B,"地面席",G:G)</f>
        <v>0</v>
      </c>
      <c r="L7" s="23">
        <f>SUMIF(B:B,"地面席",H:H)</f>
        <v>2.0152777777777775</v>
      </c>
      <c r="M7" s="19"/>
    </row>
    <row r="8" spans="1:16" ht="18.75" x14ac:dyDescent="0.25">
      <c r="A8" s="10">
        <f t="shared" ca="1" si="0"/>
        <v>46062.647279976853</v>
      </c>
      <c r="B8" s="58" t="s">
        <v>82</v>
      </c>
      <c r="C8" s="11">
        <v>0.64728009259259256</v>
      </c>
      <c r="D8" s="11" t="s">
        <v>84</v>
      </c>
      <c r="E8" s="11">
        <v>0.77829861111111109</v>
      </c>
      <c r="F8" s="12">
        <f t="shared" si="1"/>
        <v>3.1444444444444448</v>
      </c>
      <c r="G8" s="13">
        <f t="shared" si="2"/>
        <v>3.1444444444444448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46062.876310300926</v>
      </c>
      <c r="B9" s="58" t="s">
        <v>83</v>
      </c>
      <c r="C9" s="11">
        <v>0.87630787037037028</v>
      </c>
      <c r="D9" s="11" t="s">
        <v>84</v>
      </c>
      <c r="E9" s="11">
        <v>0.95855324074074078</v>
      </c>
      <c r="F9" s="12">
        <f t="shared" si="1"/>
        <v>1.9738888888888919</v>
      </c>
      <c r="G9" s="13">
        <f t="shared" si="2"/>
        <v>1.9738888888888919</v>
      </c>
      <c r="H9" s="13">
        <f t="shared" si="3"/>
        <v>0</v>
      </c>
      <c r="I9" s="21" t="s">
        <v>76</v>
      </c>
      <c r="J9" s="22">
        <f>SUMIF(B:B,"航班调度席",F:F)</f>
        <v>1.9419444444444447</v>
      </c>
      <c r="K9" s="23">
        <f>SUMIF(B:B,"航班调度席",G:G)</f>
        <v>1.9419444444444447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46063.419016435182</v>
      </c>
      <c r="B10" s="58" t="s">
        <v>82</v>
      </c>
      <c r="C10" s="11">
        <v>0.41901620370370374</v>
      </c>
      <c r="D10" s="11" t="s">
        <v>84</v>
      </c>
      <c r="E10" s="11">
        <v>0.52584490740740741</v>
      </c>
      <c r="F10" s="12">
        <f t="shared" si="1"/>
        <v>2.5638888888888882</v>
      </c>
      <c r="G10" s="13">
        <f t="shared" si="2"/>
        <v>2.5638888888888882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46063.772768981478</v>
      </c>
      <c r="B11" s="58" t="s">
        <v>82</v>
      </c>
      <c r="C11" s="11">
        <v>0.77276620370370364</v>
      </c>
      <c r="D11" s="11" t="s">
        <v>84</v>
      </c>
      <c r="E11" s="11">
        <v>0.88361111111111112</v>
      </c>
      <c r="F11" s="12">
        <f t="shared" si="1"/>
        <v>2.6602777777777797</v>
      </c>
      <c r="G11" s="13">
        <f t="shared" si="2"/>
        <v>2.6602777777777797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46064.015314699071</v>
      </c>
      <c r="B12" s="58" t="s">
        <v>85</v>
      </c>
      <c r="C12" s="11">
        <v>1.53125E-2</v>
      </c>
      <c r="D12" s="11" t="s">
        <v>84</v>
      </c>
      <c r="E12" s="11">
        <v>0.1461226851851852</v>
      </c>
      <c r="F12" s="12">
        <f t="shared" si="1"/>
        <v>3.1394444444444449</v>
      </c>
      <c r="G12" s="13">
        <f t="shared" si="2"/>
        <v>0</v>
      </c>
      <c r="H12" s="13">
        <f t="shared" si="3"/>
        <v>3.1394444444444449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46067.223039467593</v>
      </c>
      <c r="B13" s="58" t="s">
        <v>83</v>
      </c>
      <c r="C13" s="11">
        <v>0.13761574074074076</v>
      </c>
      <c r="D13" s="11" t="s">
        <v>84</v>
      </c>
      <c r="E13" s="11">
        <v>0.22331018518518519</v>
      </c>
      <c r="F13" s="12">
        <f t="shared" si="1"/>
        <v>2.0566666666666666</v>
      </c>
      <c r="G13" s="13">
        <f t="shared" si="2"/>
        <v>0</v>
      </c>
      <c r="H13" s="13">
        <f t="shared" si="3"/>
        <v>2.0566666666666666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46067.562981365743</v>
      </c>
      <c r="B14" s="58" t="s">
        <v>85</v>
      </c>
      <c r="C14" s="11">
        <v>0.56311342592592595</v>
      </c>
      <c r="D14" s="11" t="s">
        <v>84</v>
      </c>
      <c r="E14" s="11">
        <v>0.6728587962962963</v>
      </c>
      <c r="F14" s="12">
        <f t="shared" si="1"/>
        <v>2.6338888888888885</v>
      </c>
      <c r="G14" s="13">
        <f t="shared" si="2"/>
        <v>2.6338888888888885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46068.139806712963</v>
      </c>
      <c r="B15" s="58" t="s">
        <v>86</v>
      </c>
      <c r="C15" s="11">
        <v>0.13980324074074074</v>
      </c>
      <c r="D15" s="11" t="s">
        <v>84</v>
      </c>
      <c r="E15" s="11">
        <v>0.26003472222222224</v>
      </c>
      <c r="F15" s="12">
        <f t="shared" si="1"/>
        <v>2.8855555555555559</v>
      </c>
      <c r="G15" s="13">
        <f t="shared" si="2"/>
        <v>0</v>
      </c>
      <c r="H15" s="13">
        <f t="shared" si="3"/>
        <v>2.8855555555555559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46068.285569560183</v>
      </c>
      <c r="B16" s="58" t="s">
        <v>86</v>
      </c>
      <c r="C16" s="11">
        <v>0.28556712962962966</v>
      </c>
      <c r="D16" s="11" t="s">
        <v>84</v>
      </c>
      <c r="E16" s="11">
        <v>0.29753472222222221</v>
      </c>
      <c r="F16" s="12">
        <f t="shared" si="1"/>
        <v>0.28722222222222138</v>
      </c>
      <c r="G16" s="13">
        <f t="shared" si="2"/>
        <v>0</v>
      </c>
      <c r="H16" s="13">
        <f t="shared" si="3"/>
        <v>0.28722222222222138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46070.355142939814</v>
      </c>
      <c r="B17" s="58" t="s">
        <v>82</v>
      </c>
      <c r="C17" s="11">
        <v>0.35513888888888889</v>
      </c>
      <c r="D17" s="11" t="s">
        <v>84</v>
      </c>
      <c r="E17" s="11">
        <v>0.52625</v>
      </c>
      <c r="F17" s="12">
        <f t="shared" si="1"/>
        <v>4.1066666666666665</v>
      </c>
      <c r="G17" s="13">
        <f t="shared" si="2"/>
        <v>4.1066666666666665</v>
      </c>
      <c r="H17" s="13">
        <f t="shared" si="3"/>
        <v>0</v>
      </c>
      <c r="I17" s="35" t="s">
        <v>29</v>
      </c>
      <c r="J17" s="36">
        <f>J4+J5+J6+J7+J10</f>
        <v>61.806111111111115</v>
      </c>
      <c r="K17" s="37">
        <f>K4+K5+K6+K7+K10</f>
        <v>33.075277777777785</v>
      </c>
      <c r="L17" s="38">
        <f>L4+L5+L6+L7+L10</f>
        <v>28.730833333333322</v>
      </c>
      <c r="M17" s="39"/>
    </row>
    <row r="18" spans="1:13" ht="20.25" x14ac:dyDescent="0.25">
      <c r="A18" s="10">
        <f t="shared" ca="1" si="0"/>
        <v>46070.647561574071</v>
      </c>
      <c r="B18" s="58" t="s">
        <v>82</v>
      </c>
      <c r="C18" s="11">
        <v>0.64755787037037038</v>
      </c>
      <c r="D18" s="11" t="s">
        <v>84</v>
      </c>
      <c r="E18" s="11">
        <v>0.77762731481481484</v>
      </c>
      <c r="F18" s="12">
        <f t="shared" si="1"/>
        <v>3.121666666666667</v>
      </c>
      <c r="G18" s="13">
        <f t="shared" si="2"/>
        <v>3.121666666666667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46071.793078356481</v>
      </c>
      <c r="B19" s="58" t="s">
        <v>82</v>
      </c>
      <c r="C19" s="11">
        <v>0.7930787037037037</v>
      </c>
      <c r="D19" s="11" t="s">
        <v>84</v>
      </c>
      <c r="E19" s="11">
        <v>0.95668981481481474</v>
      </c>
      <c r="F19" s="12">
        <f t="shared" si="1"/>
        <v>3.926666666666665</v>
      </c>
      <c r="G19" s="13">
        <f t="shared" si="2"/>
        <v>3.926666666666665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46072.294145254629</v>
      </c>
      <c r="B20" s="58" t="s">
        <v>82</v>
      </c>
      <c r="C20" s="11">
        <v>0.29414351851851855</v>
      </c>
      <c r="D20" s="11" t="s">
        <v>84</v>
      </c>
      <c r="E20" s="11">
        <v>0.36178240740740741</v>
      </c>
      <c r="F20" s="12">
        <f t="shared" si="1"/>
        <v>1.6233333333333326</v>
      </c>
      <c r="G20" s="13">
        <f t="shared" si="2"/>
        <v>0.68277777777778637</v>
      </c>
      <c r="H20" s="13">
        <f t="shared" si="3"/>
        <v>0.94055555555554626</v>
      </c>
      <c r="I20" s="40" t="s">
        <v>31</v>
      </c>
      <c r="J20" s="67">
        <f>J16+J17+J18+J19</f>
        <v>61.806111111111115</v>
      </c>
      <c r="K20" s="68"/>
      <c r="L20" s="69"/>
      <c r="M20" s="41"/>
    </row>
    <row r="21" spans="1:13" ht="20.25" x14ac:dyDescent="0.25">
      <c r="A21" s="10">
        <f t="shared" ca="1" si="0"/>
        <v>46074.773174074071</v>
      </c>
      <c r="B21" s="58" t="s">
        <v>82</v>
      </c>
      <c r="C21" s="11">
        <v>0.77317129629629633</v>
      </c>
      <c r="D21" s="11" t="s">
        <v>84</v>
      </c>
      <c r="E21" s="11">
        <v>0.88326388888888896</v>
      </c>
      <c r="F21" s="12">
        <f t="shared" si="1"/>
        <v>2.6422222222222231</v>
      </c>
      <c r="G21" s="13">
        <f t="shared" si="2"/>
        <v>2.6422222222222231</v>
      </c>
      <c r="H21" s="13">
        <f t="shared" si="3"/>
        <v>0</v>
      </c>
      <c r="I21" s="53" t="s">
        <v>78</v>
      </c>
      <c r="J21" s="54">
        <f>SUM(J8:J9)</f>
        <v>1.9419444444444447</v>
      </c>
      <c r="K21" s="37">
        <f>SUM(K8:K9)</f>
        <v>1.9419444444444447</v>
      </c>
      <c r="L21" s="38">
        <f>SUM(L8:L9)</f>
        <v>0</v>
      </c>
      <c r="M21" s="46"/>
    </row>
    <row r="22" spans="1:13" ht="18.75" x14ac:dyDescent="0.15">
      <c r="A22" s="10">
        <f t="shared" ca="1" si="0"/>
        <v>46074.900237037036</v>
      </c>
      <c r="B22" s="58" t="s">
        <v>82</v>
      </c>
      <c r="C22" s="11">
        <v>0.89259259259259249</v>
      </c>
      <c r="D22" s="11" t="s">
        <v>84</v>
      </c>
      <c r="E22" s="11">
        <v>0.90173611111111107</v>
      </c>
      <c r="F22" s="12">
        <f t="shared" si="1"/>
        <v>0.21944444444444589</v>
      </c>
      <c r="G22" s="13">
        <f t="shared" si="2"/>
        <v>0.21944444444444589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46074.952360069445</v>
      </c>
      <c r="B23" s="58" t="s">
        <v>82</v>
      </c>
      <c r="C23" s="11">
        <v>0.95234953703703706</v>
      </c>
      <c r="D23" s="11" t="s">
        <v>84</v>
      </c>
      <c r="E23" s="11">
        <v>0.97187499999999993</v>
      </c>
      <c r="F23" s="12">
        <f t="shared" si="1"/>
        <v>0.46861111111110887</v>
      </c>
      <c r="G23" s="13">
        <f t="shared" si="2"/>
        <v>0.46861111111110887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46075.057443055557</v>
      </c>
      <c r="B24" s="58" t="s">
        <v>82</v>
      </c>
      <c r="C24" s="11">
        <v>5.7442129629629628E-2</v>
      </c>
      <c r="D24" s="11" t="s">
        <v>84</v>
      </c>
      <c r="E24" s="11">
        <v>0.14600694444444443</v>
      </c>
      <c r="F24" s="12">
        <f t="shared" si="1"/>
        <v>2.1255555555555548</v>
      </c>
      <c r="G24" s="13">
        <f t="shared" si="2"/>
        <v>0</v>
      </c>
      <c r="H24" s="13">
        <f t="shared" si="3"/>
        <v>2.1255555555555548</v>
      </c>
      <c r="I24"/>
      <c r="J24"/>
    </row>
    <row r="25" spans="1:13" ht="18.75" x14ac:dyDescent="0.15">
      <c r="A25" s="10">
        <f t="shared" ca="1" si="0"/>
        <v>46075.627351620373</v>
      </c>
      <c r="B25" s="58" t="s">
        <v>83</v>
      </c>
      <c r="C25" s="11">
        <v>0.62734953703703711</v>
      </c>
      <c r="D25" s="11" t="s">
        <v>84</v>
      </c>
      <c r="E25" s="11">
        <v>0.68206018518518519</v>
      </c>
      <c r="F25" s="12">
        <f t="shared" si="1"/>
        <v>1.3130555555555539</v>
      </c>
      <c r="G25" s="13">
        <f t="shared" si="2"/>
        <v>1.3130555555555539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46075.74791273148</v>
      </c>
      <c r="B26" s="58" t="s">
        <v>83</v>
      </c>
      <c r="C26" s="11">
        <v>0.74790509259259252</v>
      </c>
      <c r="D26" s="11" t="s">
        <v>84</v>
      </c>
      <c r="E26" s="11">
        <v>0.75805555555555548</v>
      </c>
      <c r="F26" s="12">
        <f t="shared" si="1"/>
        <v>0.243611111111111</v>
      </c>
      <c r="G26" s="13">
        <f t="shared" si="2"/>
        <v>0.243611111111111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46075.953352083336</v>
      </c>
      <c r="B27" s="58" t="s">
        <v>83</v>
      </c>
      <c r="C27" s="11">
        <v>0.9533449074074074</v>
      </c>
      <c r="D27" s="11" t="s">
        <v>84</v>
      </c>
      <c r="E27" s="11">
        <v>0.13978009259259258</v>
      </c>
      <c r="F27" s="12">
        <f t="shared" si="1"/>
        <v>4.474444444444444</v>
      </c>
      <c r="G27" s="13">
        <f t="shared" si="2"/>
        <v>1.1197222222222223</v>
      </c>
      <c r="H27" s="13">
        <f t="shared" si="3"/>
        <v>3.3547222222222217</v>
      </c>
      <c r="I27"/>
      <c r="J27"/>
    </row>
    <row r="28" spans="1:13" ht="18.75" x14ac:dyDescent="0.15">
      <c r="A28" s="10">
        <f t="shared" ca="1" si="0"/>
        <v>46078.953835416665</v>
      </c>
      <c r="B28" s="58" t="s">
        <v>82</v>
      </c>
      <c r="C28" s="11">
        <v>0.95383101851851848</v>
      </c>
      <c r="D28" s="11" t="s">
        <v>84</v>
      </c>
      <c r="E28" s="11">
        <v>8.8252314814814811E-2</v>
      </c>
      <c r="F28" s="12">
        <f t="shared" si="1"/>
        <v>3.2261111111111123</v>
      </c>
      <c r="G28" s="13">
        <f t="shared" si="2"/>
        <v>1.1080555555555569</v>
      </c>
      <c r="H28" s="13">
        <f t="shared" si="3"/>
        <v>2.1180555555555554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46055.00806990741</v>
      </c>
      <c r="B3" s="58" t="s">
        <v>85</v>
      </c>
      <c r="C3" s="11">
        <v>8.0671296296296307E-3</v>
      </c>
      <c r="D3" s="11" t="s">
        <v>84</v>
      </c>
      <c r="E3" s="11">
        <v>0.11331018518518519</v>
      </c>
      <c r="F3" s="12">
        <f t="shared" ref="F3:F66" si="1">(IF(E3-C3&lt;0,"24:00"-C3+E3,E3-C3))*24</f>
        <v>2.5258333333333334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2.5258333333333334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46055.113354398149</v>
      </c>
      <c r="B4" s="58" t="s">
        <v>82</v>
      </c>
      <c r="C4" s="11">
        <v>0.11334490740740739</v>
      </c>
      <c r="D4" s="11" t="s">
        <v>84</v>
      </c>
      <c r="E4" s="11">
        <v>0.14186342592592593</v>
      </c>
      <c r="F4" s="12">
        <f t="shared" si="1"/>
        <v>0.68444444444444497</v>
      </c>
      <c r="G4" s="13">
        <f t="shared" si="2"/>
        <v>0</v>
      </c>
      <c r="H4" s="13">
        <f t="shared" si="3"/>
        <v>0.68444444444444497</v>
      </c>
      <c r="I4" s="21" t="s">
        <v>20</v>
      </c>
      <c r="J4" s="22">
        <f>SUMIF(B:B,"西塔台管制席",F:F)+SUMIF(B:B,"东塔台管制席",F:F)</f>
        <v>13.301944444444446</v>
      </c>
      <c r="K4" s="23">
        <f>SUMIF(B:B,"西塔台管制席",G:G)+SUMIF(B:B,"东塔台管制席",G:G)</f>
        <v>4.1441666666666688</v>
      </c>
      <c r="L4" s="23">
        <f>SUMIF(B:B,"西塔台管制席",H:H)+SUMIF(B:B,"东塔台管制席",H:H)</f>
        <v>9.1577777777777776</v>
      </c>
      <c r="M4" s="19"/>
    </row>
    <row r="5" spans="1:16" ht="18.75" x14ac:dyDescent="0.25">
      <c r="A5" s="10">
        <f t="shared" ca="1" si="0"/>
        <v>46056.13947303241</v>
      </c>
      <c r="B5" s="58" t="s">
        <v>83</v>
      </c>
      <c r="C5" s="11">
        <v>0.13946759259259259</v>
      </c>
      <c r="D5" s="11" t="s">
        <v>84</v>
      </c>
      <c r="E5" s="11">
        <v>0.30096064814814816</v>
      </c>
      <c r="F5" s="12">
        <f t="shared" si="1"/>
        <v>3.8758333333333335</v>
      </c>
      <c r="G5" s="13">
        <f t="shared" si="2"/>
        <v>0</v>
      </c>
      <c r="H5" s="13">
        <f t="shared" si="3"/>
        <v>3.8758333333333335</v>
      </c>
      <c r="I5" s="21" t="s">
        <v>21</v>
      </c>
      <c r="J5" s="22">
        <f>SUMIF(B:B,"西塔台协调席",F:F)+SUMIF(B:B,"东塔台协调席",F:F)</f>
        <v>8.2744444444444447</v>
      </c>
      <c r="K5" s="23">
        <f>SUMIF(B:B,"西塔台协调席",G:G)+SUMIF(B:B,"东塔台协调席",G:G)</f>
        <v>1.9349999999999987</v>
      </c>
      <c r="L5" s="23">
        <f>SUMIF(B:B,"西塔台协调席",H:H)+SUMIF(B:B,"东塔台协调席",H:H)</f>
        <v>6.3394444444444451</v>
      </c>
      <c r="M5" s="19"/>
    </row>
    <row r="6" spans="1:16" ht="18.75" x14ac:dyDescent="0.25">
      <c r="A6" s="10">
        <f t="shared" ca="1" si="0"/>
        <v>46059.13856122685</v>
      </c>
      <c r="B6" s="58" t="s">
        <v>88</v>
      </c>
      <c r="C6" s="11">
        <v>0.13855324074074074</v>
      </c>
      <c r="D6" s="11" t="s">
        <v>84</v>
      </c>
      <c r="E6" s="11">
        <v>0.22767361111111109</v>
      </c>
      <c r="F6" s="12">
        <f t="shared" si="1"/>
        <v>2.1388888888888884</v>
      </c>
      <c r="G6" s="13">
        <f t="shared" si="2"/>
        <v>0</v>
      </c>
      <c r="H6" s="13">
        <f t="shared" si="3"/>
        <v>2.1388888888888884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46060.136201041663</v>
      </c>
      <c r="B7" s="58" t="s">
        <v>86</v>
      </c>
      <c r="C7" s="11">
        <v>0.13619212962962965</v>
      </c>
      <c r="D7" s="11" t="s">
        <v>84</v>
      </c>
      <c r="E7" s="11">
        <v>0.13749999999999998</v>
      </c>
      <c r="F7" s="12">
        <f t="shared" si="1"/>
        <v>3.1388888888888022E-2</v>
      </c>
      <c r="G7" s="13">
        <f t="shared" si="2"/>
        <v>0</v>
      </c>
      <c r="H7" s="13">
        <f t="shared" si="3"/>
        <v>3.1388888888888022E-2</v>
      </c>
      <c r="I7" s="21" t="s">
        <v>23</v>
      </c>
      <c r="J7" s="22">
        <f>SUMIF(B:B,"地面席",F:F)</f>
        <v>2.1388888888888884</v>
      </c>
      <c r="K7" s="23">
        <f>SUMIF(B:B,"地面席",G:G)</f>
        <v>0</v>
      </c>
      <c r="L7" s="23">
        <f>SUMIF(B:B,"地面席",H:H)</f>
        <v>2.1388888888888884</v>
      </c>
      <c r="M7" s="19"/>
    </row>
    <row r="8" spans="1:16" ht="18.75" x14ac:dyDescent="0.25">
      <c r="A8" s="10">
        <f t="shared" ca="1" si="0"/>
        <v>46060.240517824073</v>
      </c>
      <c r="B8" s="58" t="s">
        <v>86</v>
      </c>
      <c r="C8" s="11">
        <v>0.24050925925925926</v>
      </c>
      <c r="D8" s="11" t="s">
        <v>84</v>
      </c>
      <c r="E8" s="11">
        <v>0.29994212962962963</v>
      </c>
      <c r="F8" s="12">
        <f t="shared" si="1"/>
        <v>1.4263888888888889</v>
      </c>
      <c r="G8" s="13">
        <f t="shared" si="2"/>
        <v>0</v>
      </c>
      <c r="H8" s="13">
        <f t="shared" si="3"/>
        <v>1.4263888888888889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46062.355616319444</v>
      </c>
      <c r="B9" s="58" t="s">
        <v>83</v>
      </c>
      <c r="C9" s="11">
        <v>0.35561342592592587</v>
      </c>
      <c r="D9" s="11" t="s">
        <v>84</v>
      </c>
      <c r="E9" s="11">
        <v>0.52828703703703705</v>
      </c>
      <c r="F9" s="12">
        <f t="shared" si="1"/>
        <v>4.1441666666666688</v>
      </c>
      <c r="G9" s="13">
        <f t="shared" si="2"/>
        <v>4.1441666666666688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46062.876062037038</v>
      </c>
      <c r="B10" s="58" t="s">
        <v>82</v>
      </c>
      <c r="C10" s="11">
        <v>0.87605324074074076</v>
      </c>
      <c r="D10" s="11" t="s">
        <v>84</v>
      </c>
      <c r="E10" s="11">
        <v>0.9566782407407407</v>
      </c>
      <c r="F10" s="12">
        <f t="shared" si="1"/>
        <v>1.9349999999999987</v>
      </c>
      <c r="G10" s="13">
        <f t="shared" si="2"/>
        <v>1.9349999999999987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46079.013304745371</v>
      </c>
      <c r="B11" s="58" t="s">
        <v>85</v>
      </c>
      <c r="C11" s="11">
        <v>1.329861111111111E-2</v>
      </c>
      <c r="D11" s="11" t="s">
        <v>84</v>
      </c>
      <c r="E11" s="11">
        <v>0.14368055555555556</v>
      </c>
      <c r="F11" s="12">
        <f t="shared" si="1"/>
        <v>3.1291666666666669</v>
      </c>
      <c r="G11" s="13">
        <f t="shared" si="2"/>
        <v>0</v>
      </c>
      <c r="H11" s="13">
        <f t="shared" si="3"/>
        <v>3.1291666666666669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46080.139667592593</v>
      </c>
      <c r="B12" s="58" t="s">
        <v>86</v>
      </c>
      <c r="C12" s="11">
        <v>0.13966435185185186</v>
      </c>
      <c r="D12" s="11" t="s">
        <v>84</v>
      </c>
      <c r="E12" s="11">
        <v>0.29900462962962965</v>
      </c>
      <c r="F12" s="12">
        <f t="shared" si="1"/>
        <v>3.8241666666666667</v>
      </c>
      <c r="G12" s="13">
        <f t="shared" si="2"/>
        <v>0</v>
      </c>
      <c r="H12" s="13">
        <f t="shared" si="3"/>
        <v>3.8241666666666667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8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23.715277777777782</v>
      </c>
      <c r="K17" s="37">
        <f>K4+K5+K6+K7+K10</f>
        <v>6.0791666666666675</v>
      </c>
      <c r="L17" s="38">
        <f>L4+L5+L6+L7+L10</f>
        <v>17.636111111111113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23.715277777777782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339"/>
  <sheetViews>
    <sheetView zoomScale="85" zoomScaleNormal="85" workbookViewId="0">
      <selection activeCell="O27" sqref="O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46054.940725925924</v>
      </c>
      <c r="B3" s="58" t="s">
        <v>81</v>
      </c>
      <c r="C3" s="11">
        <v>0.94071759259259258</v>
      </c>
      <c r="D3" s="11" t="s">
        <v>84</v>
      </c>
      <c r="E3" s="11">
        <v>0.13748842592592592</v>
      </c>
      <c r="F3" s="12">
        <f t="shared" ref="F3:F66" si="1">(IF(E3-C3&lt;0,"24:00"-C3+E3,E3-C3))*24</f>
        <v>4.7225000000000001</v>
      </c>
      <c r="G3" s="13">
        <f t="shared" ref="G3:G66" si="2">F3-H3</f>
        <v>1.4227777777777781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3.299722222222222</v>
      </c>
      <c r="I3" s="16" t="s">
        <v>19</v>
      </c>
      <c r="J3" s="17">
        <f>SUMIF(B:B,"带班主任",F:F)</f>
        <v>71.348333333333329</v>
      </c>
      <c r="K3" s="18">
        <f>SUMIF(B:B,"带班主任",G:G)</f>
        <v>46.088888888888903</v>
      </c>
      <c r="L3" s="18">
        <f>SUMIF(B:B,"带班主任",H:H)</f>
        <v>25.259444444444419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46056.132442361108</v>
      </c>
      <c r="B4" s="58" t="s">
        <v>81</v>
      </c>
      <c r="C4" s="11">
        <v>0.13244212962962962</v>
      </c>
      <c r="D4" s="11" t="s">
        <v>84</v>
      </c>
      <c r="E4" s="11">
        <v>0.29989583333333331</v>
      </c>
      <c r="F4" s="12">
        <f t="shared" si="1"/>
        <v>4.0188888888888883</v>
      </c>
      <c r="G4" s="13">
        <f t="shared" si="2"/>
        <v>0</v>
      </c>
      <c r="H4" s="13">
        <f t="shared" si="3"/>
        <v>4.0188888888888883</v>
      </c>
      <c r="I4" s="21" t="s">
        <v>20</v>
      </c>
      <c r="J4" s="22">
        <f>SUMIF(B:B,"西塔台管制席",F:F)+SUMIF(B:B,"东塔台管制席",F:F)</f>
        <v>3.0955555555555554</v>
      </c>
      <c r="K4" s="23">
        <f>SUMIF(B:B,"西塔台管制席",G:G)+SUMIF(B:B,"东塔台管制席",G:G)</f>
        <v>0</v>
      </c>
      <c r="L4" s="23">
        <f>SUMIF(B:B,"西塔台管制席",H:H)+SUMIF(B:B,"东塔台管制席",H:H)</f>
        <v>3.0955555555555554</v>
      </c>
      <c r="M4" s="19"/>
    </row>
    <row r="5" spans="1:16" ht="18.75" x14ac:dyDescent="0.25">
      <c r="A5" s="10">
        <f t="shared" ca="1" si="0"/>
        <v>46060.014196875003</v>
      </c>
      <c r="B5" s="58" t="s">
        <v>86</v>
      </c>
      <c r="C5" s="11">
        <v>1.4189814814814815E-2</v>
      </c>
      <c r="D5" s="11" t="s">
        <v>84</v>
      </c>
      <c r="E5" s="11">
        <v>0.1431712962962963</v>
      </c>
      <c r="F5" s="12">
        <f t="shared" si="1"/>
        <v>3.0955555555555554</v>
      </c>
      <c r="G5" s="13">
        <f t="shared" si="2"/>
        <v>0</v>
      </c>
      <c r="H5" s="13">
        <f t="shared" si="3"/>
        <v>3.0955555555555554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46062.352068981483</v>
      </c>
      <c r="B6" s="58" t="s">
        <v>81</v>
      </c>
      <c r="C6" s="11">
        <v>0.35206018518518517</v>
      </c>
      <c r="D6" s="11" t="s">
        <v>84</v>
      </c>
      <c r="E6" s="11">
        <v>0.58853009259259259</v>
      </c>
      <c r="F6" s="12">
        <f t="shared" si="1"/>
        <v>5.6752777777777776</v>
      </c>
      <c r="G6" s="13">
        <f t="shared" si="2"/>
        <v>5.6752777777777776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46062.875732638888</v>
      </c>
      <c r="B7" s="58" t="s">
        <v>81</v>
      </c>
      <c r="C7" s="11">
        <v>0.87572916666666656</v>
      </c>
      <c r="D7" s="11" t="s">
        <v>84</v>
      </c>
      <c r="E7" s="11">
        <v>0.9432060185185186</v>
      </c>
      <c r="F7" s="12">
        <f t="shared" si="1"/>
        <v>1.6194444444444489</v>
      </c>
      <c r="G7" s="13">
        <f t="shared" si="2"/>
        <v>1.6194444444444489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46063.286443865742</v>
      </c>
      <c r="B8" s="58" t="s">
        <v>81</v>
      </c>
      <c r="C8" s="11">
        <v>0.28643518518518518</v>
      </c>
      <c r="D8" s="11" t="s">
        <v>84</v>
      </c>
      <c r="E8" s="11">
        <v>0.54861111111111105</v>
      </c>
      <c r="F8" s="12">
        <f t="shared" si="1"/>
        <v>6.2922222222222208</v>
      </c>
      <c r="G8" s="13">
        <f t="shared" si="2"/>
        <v>5.1666666666666732</v>
      </c>
      <c r="H8" s="13">
        <f t="shared" si="3"/>
        <v>1.1255555555555472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46070.936577546294</v>
      </c>
      <c r="B9" s="58" t="s">
        <v>81</v>
      </c>
      <c r="C9" s="11">
        <v>0.93657407407407411</v>
      </c>
      <c r="D9" s="11" t="s">
        <v>84</v>
      </c>
      <c r="E9" s="11">
        <v>0.13930555555555554</v>
      </c>
      <c r="F9" s="12">
        <f t="shared" si="1"/>
        <v>4.8655555555555541</v>
      </c>
      <c r="G9" s="13">
        <f t="shared" si="2"/>
        <v>1.5222222222222213</v>
      </c>
      <c r="H9" s="13">
        <f t="shared" si="3"/>
        <v>3.3433333333333328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46071.542255324071</v>
      </c>
      <c r="B10" s="58" t="s">
        <v>81</v>
      </c>
      <c r="C10" s="11">
        <v>0.54231481481481481</v>
      </c>
      <c r="D10" s="11" t="s">
        <v>84</v>
      </c>
      <c r="E10" s="11">
        <v>0.79509259259259257</v>
      </c>
      <c r="F10" s="12">
        <f t="shared" si="1"/>
        <v>6.0666666666666664</v>
      </c>
      <c r="G10" s="13">
        <f t="shared" si="2"/>
        <v>6.0666666666666664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46072.128212384261</v>
      </c>
      <c r="B11" s="58" t="s">
        <v>81</v>
      </c>
      <c r="C11" s="11">
        <v>0.12820601851851851</v>
      </c>
      <c r="D11" s="11" t="s">
        <v>84</v>
      </c>
      <c r="E11" s="11">
        <v>0.29662037037037037</v>
      </c>
      <c r="F11" s="12">
        <f t="shared" si="1"/>
        <v>4.0419444444444448</v>
      </c>
      <c r="G11" s="13">
        <f t="shared" si="2"/>
        <v>0</v>
      </c>
      <c r="H11" s="13">
        <f t="shared" si="3"/>
        <v>4.0419444444444448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46074.350494444443</v>
      </c>
      <c r="B12" s="58" t="s">
        <v>81</v>
      </c>
      <c r="C12" s="11">
        <v>0.35048611111111111</v>
      </c>
      <c r="D12" s="11" t="s">
        <v>84</v>
      </c>
      <c r="E12" s="11">
        <v>0.58274305555555561</v>
      </c>
      <c r="F12" s="12">
        <f t="shared" si="1"/>
        <v>5.5741666666666685</v>
      </c>
      <c r="G12" s="13">
        <f t="shared" si="2"/>
        <v>5.5741666666666685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46074.608225578704</v>
      </c>
      <c r="B13" s="58" t="s">
        <v>81</v>
      </c>
      <c r="C13" s="11">
        <v>0.60821759259259256</v>
      </c>
      <c r="D13" s="11" t="s">
        <v>84</v>
      </c>
      <c r="E13" s="11">
        <v>0.69178240740740737</v>
      </c>
      <c r="F13" s="12">
        <f t="shared" si="1"/>
        <v>2.0055555555555555</v>
      </c>
      <c r="G13" s="13">
        <f t="shared" si="2"/>
        <v>2.0055555555555555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46075.292626388888</v>
      </c>
      <c r="B14" s="58" t="s">
        <v>81</v>
      </c>
      <c r="C14" s="11">
        <v>0.29261574074074076</v>
      </c>
      <c r="D14" s="11" t="s">
        <v>84</v>
      </c>
      <c r="E14" s="11">
        <v>0.50453703703703701</v>
      </c>
      <c r="F14" s="12">
        <f t="shared" si="1"/>
        <v>5.0861111111111104</v>
      </c>
      <c r="G14" s="13">
        <f t="shared" si="2"/>
        <v>4.108888888888897</v>
      </c>
      <c r="H14" s="13">
        <f t="shared" si="3"/>
        <v>0.97722222222221333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46075.525137268516</v>
      </c>
      <c r="B15" s="58" t="s">
        <v>81</v>
      </c>
      <c r="C15" s="11">
        <v>0.52512731481481478</v>
      </c>
      <c r="D15" s="11" t="s">
        <v>84</v>
      </c>
      <c r="E15" s="11">
        <v>0.54865740740740743</v>
      </c>
      <c r="F15" s="12">
        <f t="shared" si="1"/>
        <v>0.56472222222222346</v>
      </c>
      <c r="G15" s="13">
        <f t="shared" si="2"/>
        <v>0.56472222222222346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46075.934502546297</v>
      </c>
      <c r="B16" s="58" t="s">
        <v>81</v>
      </c>
      <c r="C16" s="11">
        <v>0.93450231481481483</v>
      </c>
      <c r="D16" s="11" t="s">
        <v>84</v>
      </c>
      <c r="E16" s="11">
        <v>0.14092592592592593</v>
      </c>
      <c r="F16" s="12">
        <f t="shared" si="1"/>
        <v>4.9541666666666666</v>
      </c>
      <c r="G16" s="13">
        <f t="shared" si="2"/>
        <v>1.5719444444444441</v>
      </c>
      <c r="H16" s="13">
        <f t="shared" si="3"/>
        <v>3.3822222222222225</v>
      </c>
      <c r="I16" s="35" t="s">
        <v>19</v>
      </c>
      <c r="J16" s="36">
        <f t="shared" ref="J16:L16" si="4">J3</f>
        <v>71.348333333333329</v>
      </c>
      <c r="K16" s="37">
        <f t="shared" si="4"/>
        <v>46.088888888888903</v>
      </c>
      <c r="L16" s="38">
        <f t="shared" si="4"/>
        <v>25.259444444444419</v>
      </c>
      <c r="M16" s="39"/>
    </row>
    <row r="17" spans="1:13" ht="20.25" x14ac:dyDescent="0.25">
      <c r="A17" s="10">
        <f t="shared" ca="1" si="0"/>
        <v>46078.542831481478</v>
      </c>
      <c r="B17" s="58" t="s">
        <v>81</v>
      </c>
      <c r="C17" s="11">
        <v>0.54282407407407407</v>
      </c>
      <c r="D17" s="11" t="s">
        <v>84</v>
      </c>
      <c r="E17" s="11">
        <v>0.79775462962962962</v>
      </c>
      <c r="F17" s="12">
        <f t="shared" si="1"/>
        <v>6.1183333333333332</v>
      </c>
      <c r="G17" s="13">
        <f t="shared" si="2"/>
        <v>6.1183333333333332</v>
      </c>
      <c r="H17" s="13">
        <f t="shared" si="3"/>
        <v>0</v>
      </c>
      <c r="I17" s="35" t="s">
        <v>29</v>
      </c>
      <c r="J17" s="36">
        <f>J4+J5+J6+J7+J10</f>
        <v>3.0955555555555554</v>
      </c>
      <c r="K17" s="37">
        <f>K4+K5+K6+K7+K10</f>
        <v>0</v>
      </c>
      <c r="L17" s="38">
        <f>L4+L5+L6+L7+L10</f>
        <v>3.0955555555555554</v>
      </c>
      <c r="M17" s="39"/>
    </row>
    <row r="18" spans="1:13" ht="20.25" x14ac:dyDescent="0.25">
      <c r="A18" s="10">
        <f t="shared" ca="1" si="0"/>
        <v>46079.129780208335</v>
      </c>
      <c r="B18" s="58" t="s">
        <v>81</v>
      </c>
      <c r="C18" s="11">
        <v>0.1297800925925926</v>
      </c>
      <c r="D18" s="11" t="s">
        <v>84</v>
      </c>
      <c r="E18" s="11">
        <v>0.29969907407407409</v>
      </c>
      <c r="F18" s="12">
        <f t="shared" si="1"/>
        <v>4.0780555555555562</v>
      </c>
      <c r="G18" s="13">
        <f t="shared" si="2"/>
        <v>0</v>
      </c>
      <c r="H18" s="13">
        <f t="shared" si="3"/>
        <v>4.0780555555555562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46079.775717013887</v>
      </c>
      <c r="B19" s="58" t="s">
        <v>81</v>
      </c>
      <c r="C19" s="11">
        <v>0.77570601851851861</v>
      </c>
      <c r="D19" s="11" t="s">
        <v>84</v>
      </c>
      <c r="E19" s="11">
        <v>0.9434027777777777</v>
      </c>
      <c r="F19" s="12">
        <f t="shared" si="1"/>
        <v>4.0247222222222181</v>
      </c>
      <c r="G19" s="13">
        <f t="shared" si="2"/>
        <v>4.0247222222222181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46080.357259259261</v>
      </c>
      <c r="B20" s="58" t="s">
        <v>81</v>
      </c>
      <c r="C20" s="11">
        <v>0.29197916666666668</v>
      </c>
      <c r="D20" s="11" t="s">
        <v>84</v>
      </c>
      <c r="E20" s="11">
        <v>0.36031250000000004</v>
      </c>
      <c r="F20" s="12">
        <f t="shared" si="1"/>
        <v>1.6400000000000006</v>
      </c>
      <c r="G20" s="13">
        <f t="shared" si="2"/>
        <v>0.64750000000000929</v>
      </c>
      <c r="H20" s="13">
        <f t="shared" si="3"/>
        <v>0.99249999999999128</v>
      </c>
      <c r="I20" s="40" t="s">
        <v>31</v>
      </c>
      <c r="J20" s="67">
        <f>J16+J17+J18+J19</f>
        <v>74.443888888888878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46055.138209259261</v>
      </c>
      <c r="B3" s="58" t="s">
        <v>83</v>
      </c>
      <c r="C3" s="11">
        <v>0.13820601851851852</v>
      </c>
      <c r="D3" s="11" t="s">
        <v>84</v>
      </c>
      <c r="E3" s="11">
        <v>0.29986111111111108</v>
      </c>
      <c r="F3" s="12">
        <f t="shared" ref="F3:F66" si="1">(IF(E3-C3&lt;0,"24:00"-C3+E3,E3-C3))*24</f>
        <v>3.8797222222222212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3.8797222222222212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46055.952048726853</v>
      </c>
      <c r="B4" s="58" t="s">
        <v>82</v>
      </c>
      <c r="C4" s="11">
        <v>0.95204861111111105</v>
      </c>
      <c r="D4" s="11" t="s">
        <v>84</v>
      </c>
      <c r="E4" s="11">
        <v>0.14434027777777778</v>
      </c>
      <c r="F4" s="12">
        <f t="shared" si="1"/>
        <v>4.6150000000000011</v>
      </c>
      <c r="G4" s="13">
        <f t="shared" si="2"/>
        <v>1.1508333333333347</v>
      </c>
      <c r="H4" s="13">
        <f t="shared" si="3"/>
        <v>3.4641666666666664</v>
      </c>
      <c r="I4" s="21" t="s">
        <v>20</v>
      </c>
      <c r="J4" s="22">
        <f>SUMIF(B:B,"西塔台管制席",F:F)+SUMIF(B:B,"东塔台管制席",F:F)</f>
        <v>19.520555555555564</v>
      </c>
      <c r="K4" s="23">
        <f>SUMIF(B:B,"西塔台管制席",G:G)+SUMIF(B:B,"东塔台管制席",G:G)</f>
        <v>9.9208333333333449</v>
      </c>
      <c r="L4" s="23">
        <f>SUMIF(B:B,"西塔台管制席",H:H)+SUMIF(B:B,"东塔台管制席",H:H)</f>
        <v>9.5997222222222209</v>
      </c>
      <c r="M4" s="19"/>
    </row>
    <row r="5" spans="1:16" ht="18.75" x14ac:dyDescent="0.25">
      <c r="A5" s="10">
        <f t="shared" ca="1" si="0"/>
        <v>46058.500340509258</v>
      </c>
      <c r="B5" s="58" t="s">
        <v>85</v>
      </c>
      <c r="C5" s="11">
        <v>0.50033564814814813</v>
      </c>
      <c r="D5" s="11" t="s">
        <v>84</v>
      </c>
      <c r="E5" s="11">
        <v>0.63209490740740748</v>
      </c>
      <c r="F5" s="12">
        <f t="shared" si="1"/>
        <v>3.1622222222222245</v>
      </c>
      <c r="G5" s="13">
        <f t="shared" si="2"/>
        <v>3.1622222222222245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32.376388888888897</v>
      </c>
      <c r="K5" s="23">
        <f>SUMIF(B:B,"西塔台协调席",G:G)+SUMIF(B:B,"东塔台协调席",G:G)</f>
        <v>21.964722222222257</v>
      </c>
      <c r="L5" s="23">
        <f>SUMIF(B:B,"西塔台协调席",H:H)+SUMIF(B:B,"东塔台协调席",H:H)</f>
        <v>10.41166666666664</v>
      </c>
      <c r="M5" s="19"/>
    </row>
    <row r="6" spans="1:16" ht="18.75" x14ac:dyDescent="0.25">
      <c r="A6" s="10">
        <f t="shared" ca="1" si="0"/>
        <v>46058.716443287034</v>
      </c>
      <c r="B6" s="58" t="s">
        <v>85</v>
      </c>
      <c r="C6" s="11">
        <v>0.71643518518518512</v>
      </c>
      <c r="D6" s="11" t="s">
        <v>84</v>
      </c>
      <c r="E6" s="11">
        <v>0.80186342592592597</v>
      </c>
      <c r="F6" s="12">
        <f t="shared" si="1"/>
        <v>2.0502777777777803</v>
      </c>
      <c r="G6" s="13">
        <f t="shared" si="2"/>
        <v>2.0502777777777803</v>
      </c>
      <c r="H6" s="13">
        <f t="shared" si="3"/>
        <v>0</v>
      </c>
      <c r="I6" s="21" t="s">
        <v>22</v>
      </c>
      <c r="J6" s="22">
        <f>SUMIF(B:B,"放行席",F:F)</f>
        <v>2.0933333333333328</v>
      </c>
      <c r="K6" s="23">
        <f>SUMIF(B:B,"放行席",G:G)</f>
        <v>0</v>
      </c>
      <c r="L6" s="23">
        <f>SUMIF(B:B,"放行席",H:H)</f>
        <v>2.0933333333333328</v>
      </c>
      <c r="M6" s="19"/>
    </row>
    <row r="7" spans="1:16" ht="18.75" x14ac:dyDescent="0.25">
      <c r="A7" s="10">
        <f t="shared" ca="1" si="0"/>
        <v>46058.875625578701</v>
      </c>
      <c r="B7" s="58" t="s">
        <v>86</v>
      </c>
      <c r="C7" s="11">
        <v>0.87562499999999999</v>
      </c>
      <c r="D7" s="11" t="s">
        <v>84</v>
      </c>
      <c r="E7" s="11">
        <v>0.95825231481481488</v>
      </c>
      <c r="F7" s="12">
        <f t="shared" si="1"/>
        <v>1.9830555555555573</v>
      </c>
      <c r="G7" s="13">
        <f t="shared" si="2"/>
        <v>1.9830555555555573</v>
      </c>
      <c r="H7" s="13">
        <f t="shared" si="3"/>
        <v>0</v>
      </c>
      <c r="I7" s="21" t="s">
        <v>23</v>
      </c>
      <c r="J7" s="22">
        <f>SUMIF(B:B,"地面席",F:F)</f>
        <v>3.6202777777777788</v>
      </c>
      <c r="K7" s="23">
        <f>SUMIF(B:B,"地面席",G:G)</f>
        <v>0</v>
      </c>
      <c r="L7" s="23">
        <f>SUMIF(B:B,"地面席",H:H)</f>
        <v>3.6202777777777788</v>
      </c>
      <c r="M7" s="19"/>
    </row>
    <row r="8" spans="1:16" ht="18.75" x14ac:dyDescent="0.25">
      <c r="A8" s="10">
        <f t="shared" ca="1" si="0"/>
        <v>46059.292415162039</v>
      </c>
      <c r="B8" s="58" t="s">
        <v>82</v>
      </c>
      <c r="C8" s="11">
        <v>0.29240740740740739</v>
      </c>
      <c r="D8" s="11" t="s">
        <v>84</v>
      </c>
      <c r="E8" s="11">
        <v>0.38157407407407407</v>
      </c>
      <c r="F8" s="12">
        <f t="shared" si="1"/>
        <v>2.14</v>
      </c>
      <c r="G8" s="13">
        <f t="shared" si="2"/>
        <v>1.157777777777786</v>
      </c>
      <c r="H8" s="13">
        <f t="shared" si="3"/>
        <v>0.98222222222221411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46059.501567245374</v>
      </c>
      <c r="B9" s="58" t="s">
        <v>82</v>
      </c>
      <c r="C9" s="11">
        <v>0.50156250000000002</v>
      </c>
      <c r="D9" s="11" t="s">
        <v>84</v>
      </c>
      <c r="E9" s="11">
        <v>0.59026620370370375</v>
      </c>
      <c r="F9" s="12">
        <f t="shared" si="1"/>
        <v>2.1288888888888895</v>
      </c>
      <c r="G9" s="13">
        <f t="shared" si="2"/>
        <v>2.1288888888888895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46059.667493865738</v>
      </c>
      <c r="B10" s="58" t="s">
        <v>83</v>
      </c>
      <c r="C10" s="11">
        <v>0.66748842592592583</v>
      </c>
      <c r="D10" s="11" t="s">
        <v>84</v>
      </c>
      <c r="E10" s="11">
        <v>0.77579861111111104</v>
      </c>
      <c r="F10" s="12">
        <f t="shared" si="1"/>
        <v>2.5994444444444449</v>
      </c>
      <c r="G10" s="13">
        <f t="shared" si="2"/>
        <v>2.5994444444444449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46060.293234027777</v>
      </c>
      <c r="B11" s="58" t="s">
        <v>82</v>
      </c>
      <c r="C11" s="11">
        <v>0.29322916666666665</v>
      </c>
      <c r="D11" s="11" t="s">
        <v>84</v>
      </c>
      <c r="E11" s="11">
        <v>0.36290509259259257</v>
      </c>
      <c r="F11" s="12">
        <f t="shared" si="1"/>
        <v>1.6722222222222221</v>
      </c>
      <c r="G11" s="13">
        <f t="shared" si="2"/>
        <v>0.70972222222223014</v>
      </c>
      <c r="H11" s="13">
        <f t="shared" si="3"/>
        <v>0.96249999999999192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46063.131952199074</v>
      </c>
      <c r="B12" s="58" t="s">
        <v>87</v>
      </c>
      <c r="C12" s="11">
        <v>0.13194444444444445</v>
      </c>
      <c r="D12" s="11" t="s">
        <v>84</v>
      </c>
      <c r="E12" s="11">
        <v>0.21916666666666665</v>
      </c>
      <c r="F12" s="12">
        <f t="shared" si="1"/>
        <v>2.0933333333333328</v>
      </c>
      <c r="G12" s="13">
        <f t="shared" si="2"/>
        <v>0</v>
      </c>
      <c r="H12" s="13">
        <f t="shared" si="3"/>
        <v>2.0933333333333328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46064.139164814813</v>
      </c>
      <c r="B13" s="58" t="s">
        <v>83</v>
      </c>
      <c r="C13" s="11">
        <v>0.13915509259259259</v>
      </c>
      <c r="D13" s="11" t="s">
        <v>84</v>
      </c>
      <c r="E13" s="11">
        <v>0.29868055555555556</v>
      </c>
      <c r="F13" s="12">
        <f t="shared" si="1"/>
        <v>3.828611111111111</v>
      </c>
      <c r="G13" s="13">
        <f t="shared" si="2"/>
        <v>0</v>
      </c>
      <c r="H13" s="13">
        <f t="shared" si="3"/>
        <v>3.828611111111111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46067.140080092591</v>
      </c>
      <c r="B14" s="58" t="s">
        <v>88</v>
      </c>
      <c r="C14" s="11">
        <v>0.14006944444444444</v>
      </c>
      <c r="D14" s="11" t="s">
        <v>84</v>
      </c>
      <c r="E14" s="11">
        <v>0.21861111111111112</v>
      </c>
      <c r="F14" s="12">
        <f t="shared" si="1"/>
        <v>1.8850000000000002</v>
      </c>
      <c r="G14" s="13">
        <f t="shared" si="2"/>
        <v>0</v>
      </c>
      <c r="H14" s="13">
        <f t="shared" si="3"/>
        <v>1.8850000000000002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46067.229959027776</v>
      </c>
      <c r="B15" s="58" t="s">
        <v>85</v>
      </c>
      <c r="C15" s="11">
        <v>0.21814814814814817</v>
      </c>
      <c r="D15" s="11" t="s">
        <v>84</v>
      </c>
      <c r="E15" s="11">
        <v>0.29943287037037036</v>
      </c>
      <c r="F15" s="12">
        <f t="shared" si="1"/>
        <v>1.9508333333333325</v>
      </c>
      <c r="G15" s="13">
        <f t="shared" si="2"/>
        <v>0</v>
      </c>
      <c r="H15" s="13">
        <f t="shared" si="3"/>
        <v>1.9508333333333325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46067.667412847222</v>
      </c>
      <c r="B16" s="58" t="s">
        <v>86</v>
      </c>
      <c r="C16" s="11">
        <v>0.66740740740740734</v>
      </c>
      <c r="D16" s="11" t="s">
        <v>84</v>
      </c>
      <c r="E16" s="11">
        <v>0.74233796296296306</v>
      </c>
      <c r="F16" s="12">
        <f t="shared" si="1"/>
        <v>1.7983333333333373</v>
      </c>
      <c r="G16" s="13">
        <f t="shared" si="2"/>
        <v>1.7983333333333373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46067.755292824077</v>
      </c>
      <c r="B17" s="58" t="s">
        <v>86</v>
      </c>
      <c r="C17" s="11">
        <v>0.75528935185185186</v>
      </c>
      <c r="D17" s="11" t="s">
        <v>84</v>
      </c>
      <c r="E17" s="11">
        <v>0.79987268518518517</v>
      </c>
      <c r="F17" s="12">
        <f t="shared" si="1"/>
        <v>1.0699999999999994</v>
      </c>
      <c r="G17" s="13">
        <f t="shared" si="2"/>
        <v>1.0699999999999994</v>
      </c>
      <c r="H17" s="13">
        <f t="shared" si="3"/>
        <v>0</v>
      </c>
      <c r="I17" s="35" t="s">
        <v>29</v>
      </c>
      <c r="J17" s="36">
        <f>J4+J5+J6+J7+J10</f>
        <v>57.610555555555571</v>
      </c>
      <c r="K17" s="37">
        <f>K4+K5+K6+K7+K10</f>
        <v>31.885555555555602</v>
      </c>
      <c r="L17" s="38">
        <f>L4+L5+L6+L7+L10</f>
        <v>25.724999999999973</v>
      </c>
      <c r="M17" s="39"/>
    </row>
    <row r="18" spans="1:13" ht="20.25" x14ac:dyDescent="0.25">
      <c r="A18" s="10">
        <f t="shared" ca="1" si="0"/>
        <v>46067.951663078704</v>
      </c>
      <c r="B18" s="58" t="s">
        <v>85</v>
      </c>
      <c r="C18" s="11">
        <v>0.95165509259259251</v>
      </c>
      <c r="D18" s="11" t="s">
        <v>84</v>
      </c>
      <c r="E18" s="11">
        <v>1.1724537037037035E-2</v>
      </c>
      <c r="F18" s="12">
        <f t="shared" si="1"/>
        <v>1.4416666666666687</v>
      </c>
      <c r="G18" s="13">
        <f t="shared" si="2"/>
        <v>1.1602777777777797</v>
      </c>
      <c r="H18" s="13">
        <f t="shared" si="3"/>
        <v>0.28138888888888886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46068.011802199071</v>
      </c>
      <c r="B19" s="58" t="s">
        <v>83</v>
      </c>
      <c r="C19" s="11">
        <v>1.1793981481481482E-2</v>
      </c>
      <c r="D19" s="11" t="s">
        <v>84</v>
      </c>
      <c r="E19" s="11">
        <v>9.0601851851851864E-2</v>
      </c>
      <c r="F19" s="12">
        <f t="shared" si="1"/>
        <v>1.891388888888889</v>
      </c>
      <c r="G19" s="13">
        <f t="shared" si="2"/>
        <v>0</v>
      </c>
      <c r="H19" s="13">
        <f t="shared" si="3"/>
        <v>1.891388888888889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46070.520790625</v>
      </c>
      <c r="B20" s="58" t="s">
        <v>82</v>
      </c>
      <c r="C20" s="11">
        <v>0.52145833333333336</v>
      </c>
      <c r="D20" s="11" t="s">
        <v>84</v>
      </c>
      <c r="E20" s="11">
        <v>0.6519907407407407</v>
      </c>
      <c r="F20" s="12">
        <f t="shared" si="1"/>
        <v>3.1327777777777763</v>
      </c>
      <c r="G20" s="13">
        <f t="shared" si="2"/>
        <v>3.1327777777777763</v>
      </c>
      <c r="H20" s="13">
        <f t="shared" si="3"/>
        <v>0</v>
      </c>
      <c r="I20" s="40" t="s">
        <v>31</v>
      </c>
      <c r="J20" s="67">
        <f>J16+J17+J18+J19</f>
        <v>57.610555555555571</v>
      </c>
      <c r="K20" s="68"/>
      <c r="L20" s="69"/>
      <c r="M20" s="41"/>
    </row>
    <row r="21" spans="1:13" ht="20.25" x14ac:dyDescent="0.25">
      <c r="A21" s="10">
        <f t="shared" ca="1" si="0"/>
        <v>46070.771844907409</v>
      </c>
      <c r="B21" s="58" t="s">
        <v>83</v>
      </c>
      <c r="C21" s="11">
        <v>0.77184027777777775</v>
      </c>
      <c r="D21" s="11" t="s">
        <v>84</v>
      </c>
      <c r="E21" s="11">
        <v>0.79668981481481482</v>
      </c>
      <c r="F21" s="12">
        <f t="shared" si="1"/>
        <v>0.59638888888888975</v>
      </c>
      <c r="G21" s="13">
        <f t="shared" si="2"/>
        <v>0.59638888888888975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46070.834119444444</v>
      </c>
      <c r="B22" s="58" t="s">
        <v>83</v>
      </c>
      <c r="C22" s="11">
        <v>0.8341087962962962</v>
      </c>
      <c r="D22" s="11" t="s">
        <v>84</v>
      </c>
      <c r="E22" s="11">
        <v>0.912175925925926</v>
      </c>
      <c r="F22" s="12">
        <f t="shared" si="1"/>
        <v>1.8736111111111153</v>
      </c>
      <c r="G22" s="13">
        <f t="shared" si="2"/>
        <v>1.8736111111111153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46071.293046643521</v>
      </c>
      <c r="B23" s="58" t="s">
        <v>82</v>
      </c>
      <c r="C23" s="11">
        <v>0.29304398148148147</v>
      </c>
      <c r="D23" s="11" t="s">
        <v>84</v>
      </c>
      <c r="E23" s="11">
        <v>0.30126157407407406</v>
      </c>
      <c r="F23" s="12">
        <f t="shared" si="1"/>
        <v>0.19722222222222197</v>
      </c>
      <c r="G23" s="13">
        <f t="shared" si="2"/>
        <v>0</v>
      </c>
      <c r="H23" s="13">
        <f t="shared" si="3"/>
        <v>0.19722222222222197</v>
      </c>
      <c r="I23"/>
      <c r="J23"/>
    </row>
    <row r="24" spans="1:13" ht="18.75" x14ac:dyDescent="0.15">
      <c r="A24" s="10">
        <f t="shared" ca="1" si="0"/>
        <v>46071.32964895833</v>
      </c>
      <c r="B24" s="58" t="s">
        <v>82</v>
      </c>
      <c r="C24" s="11">
        <v>0.3296412037037037</v>
      </c>
      <c r="D24" s="11" t="s">
        <v>84</v>
      </c>
      <c r="E24" s="11">
        <v>0.46081018518518518</v>
      </c>
      <c r="F24" s="12">
        <f t="shared" si="1"/>
        <v>3.1480555555555556</v>
      </c>
      <c r="G24" s="13">
        <f t="shared" si="2"/>
        <v>3.0594444444444528</v>
      </c>
      <c r="H24" s="13">
        <f t="shared" si="3"/>
        <v>8.8611111111102758E-2</v>
      </c>
      <c r="I24"/>
      <c r="J24"/>
    </row>
    <row r="25" spans="1:13" ht="18.75" x14ac:dyDescent="0.15">
      <c r="A25" s="10">
        <f t="shared" ca="1" si="0"/>
        <v>46071.542725810184</v>
      </c>
      <c r="B25" s="58" t="s">
        <v>82</v>
      </c>
      <c r="C25" s="11">
        <v>0.54271990740740739</v>
      </c>
      <c r="D25" s="11" t="s">
        <v>84</v>
      </c>
      <c r="E25" s="11">
        <v>0.6726388888888889</v>
      </c>
      <c r="F25" s="12">
        <f t="shared" si="1"/>
        <v>3.1180555555555562</v>
      </c>
      <c r="G25" s="13">
        <f t="shared" si="2"/>
        <v>3.1180555555555562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46079.138239699074</v>
      </c>
      <c r="B26" s="58" t="s">
        <v>88</v>
      </c>
      <c r="C26" s="11">
        <v>0.13822916666666665</v>
      </c>
      <c r="D26" s="11" t="s">
        <v>84</v>
      </c>
      <c r="E26" s="11">
        <v>0.21053240740740742</v>
      </c>
      <c r="F26" s="12">
        <f t="shared" si="1"/>
        <v>1.7352777777777784</v>
      </c>
      <c r="G26" s="13">
        <f t="shared" si="2"/>
        <v>0</v>
      </c>
      <c r="H26" s="13">
        <f t="shared" si="3"/>
        <v>1.7352777777777784</v>
      </c>
      <c r="I26"/>
      <c r="J26"/>
    </row>
    <row r="27" spans="1:13" ht="18.75" x14ac:dyDescent="0.15">
      <c r="A27" s="10">
        <f t="shared" ca="1" si="0"/>
        <v>46079.952741319445</v>
      </c>
      <c r="B27" s="58" t="s">
        <v>82</v>
      </c>
      <c r="C27" s="11">
        <v>0.95273148148148146</v>
      </c>
      <c r="D27" s="11" t="s">
        <v>84</v>
      </c>
      <c r="E27" s="11">
        <v>0.10353009259259259</v>
      </c>
      <c r="F27" s="12">
        <f t="shared" si="1"/>
        <v>3.6191666666666675</v>
      </c>
      <c r="G27" s="13">
        <f t="shared" si="2"/>
        <v>1.1344444444444455</v>
      </c>
      <c r="H27" s="13">
        <f t="shared" si="3"/>
        <v>2.4847222222222221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339"/>
  <sheetViews>
    <sheetView zoomScale="85" zoomScaleNormal="85" workbookViewId="0">
      <selection activeCell="D21" sqref="D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ca="1">IF(B3="","",IF(A3="",NOW(),A3))</f>
        <v>46054.356886921298</v>
      </c>
      <c r="B3" s="58" t="s">
        <v>82</v>
      </c>
      <c r="C3" s="11">
        <v>0.35688657407407409</v>
      </c>
      <c r="D3" s="11" t="s">
        <v>84</v>
      </c>
      <c r="E3" s="11">
        <v>0.52738425925925925</v>
      </c>
      <c r="F3" s="12">
        <f>(IF(E3-C3&lt;0,"24:00"-C3+E3,E3-C3))*24</f>
        <v>4.0919444444444437</v>
      </c>
      <c r="G3" s="13">
        <f>F3-H3</f>
        <v>4.0919444444444437</v>
      </c>
      <c r="H3" s="13">
        <f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66" ca="1" si="0">IF(B4="","",IF(A4="",NOW(),A4))</f>
        <v>46054.646961574072</v>
      </c>
      <c r="B4" s="58" t="s">
        <v>83</v>
      </c>
      <c r="C4" s="11">
        <v>0.64695601851851847</v>
      </c>
      <c r="D4" s="11" t="s">
        <v>84</v>
      </c>
      <c r="E4" s="11">
        <v>0.77883101851851855</v>
      </c>
      <c r="F4" s="12">
        <f t="shared" ref="F4:F66" si="1">(IF(E4-C4&lt;0,"24:00"-C4+E4,E4-C4))*24</f>
        <v>3.1650000000000018</v>
      </c>
      <c r="G4" s="13">
        <f t="shared" ref="G4:G66" si="2">F4-H4</f>
        <v>3.1650000000000018</v>
      </c>
      <c r="H4" s="13">
        <f t="shared" ref="H4:H66" si="3">(IF(AND(C4&gt;=$O$3,C4&lt;$P$3,E4&gt;=$O$3,E4&lt;$P$3),E4-C4,IF(AND(C4&gt;=$O$3,C4&lt;$P$3,E4&gt;=$P$3,E4&lt;$N$3),$P$3-C4,IF(AND(C4&gt;=$P$3,C4&lt;$N$3,E4&gt;=$O$3,E4&lt;$P$3),E4,IF(AND(C4&gt;=$P$3,C4&lt;$N$3,E4&gt;=$P$3,E4&lt;$N$3),"0","none")))))*24</f>
        <v>0</v>
      </c>
      <c r="I4" s="21" t="s">
        <v>20</v>
      </c>
      <c r="J4" s="22">
        <f>SUMIF(B:B,"西塔台管制席",F:F)+SUMIF(B:B,"东塔台管制席",F:F)</f>
        <v>22.015555555555558</v>
      </c>
      <c r="K4" s="23">
        <f>SUMIF(B:B,"西塔台管制席",G:G)+SUMIF(B:B,"东塔台管制席",G:G)</f>
        <v>18.171388888888895</v>
      </c>
      <c r="L4" s="23">
        <f>SUMIF(B:B,"西塔台管制席",H:H)+SUMIF(B:B,"东塔台管制席",H:H)</f>
        <v>3.8441666666666663</v>
      </c>
      <c r="M4" s="19"/>
    </row>
    <row r="5" spans="1:16" ht="18.75" x14ac:dyDescent="0.25">
      <c r="A5" s="10">
        <f t="shared" ca="1" si="0"/>
        <v>46055.41717685185</v>
      </c>
      <c r="B5" s="58" t="s">
        <v>82</v>
      </c>
      <c r="C5" s="11">
        <v>0.41717592592592595</v>
      </c>
      <c r="D5" s="11" t="s">
        <v>84</v>
      </c>
      <c r="E5" s="11">
        <v>0.54100694444444442</v>
      </c>
      <c r="F5" s="12">
        <f t="shared" si="1"/>
        <v>2.9719444444444432</v>
      </c>
      <c r="G5" s="13">
        <f t="shared" si="2"/>
        <v>2.9719444444444432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31.558888888888884</v>
      </c>
      <c r="K5" s="23">
        <f>SUMIF(B:B,"西塔台协调席",G:G)+SUMIF(B:B,"东塔台协调席",G:G)</f>
        <v>25.75972222222223</v>
      </c>
      <c r="L5" s="23">
        <f>SUMIF(B:B,"西塔台协调席",H:H)+SUMIF(B:B,"东塔台协调席",H:H)</f>
        <v>5.7991666666666504</v>
      </c>
      <c r="M5" s="19"/>
    </row>
    <row r="6" spans="1:16" ht="18.75" x14ac:dyDescent="0.25">
      <c r="A6" s="10">
        <f t="shared" ca="1" si="0"/>
        <v>46055.666958217589</v>
      </c>
      <c r="B6" s="58" t="s">
        <v>82</v>
      </c>
      <c r="C6" s="11">
        <v>0.66695601851851849</v>
      </c>
      <c r="D6" s="11" t="s">
        <v>84</v>
      </c>
      <c r="E6" s="11">
        <v>0.79956018518518512</v>
      </c>
      <c r="F6" s="12">
        <f t="shared" si="1"/>
        <v>3.1824999999999992</v>
      </c>
      <c r="G6" s="13">
        <f t="shared" si="2"/>
        <v>3.1824999999999992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46071.138113425928</v>
      </c>
      <c r="B7" s="58" t="s">
        <v>83</v>
      </c>
      <c r="C7" s="11">
        <v>0.1386226851851852</v>
      </c>
      <c r="D7" s="11" t="s">
        <v>84</v>
      </c>
      <c r="E7" s="11">
        <v>0.29879629629629628</v>
      </c>
      <c r="F7" s="12">
        <f t="shared" si="1"/>
        <v>3.8441666666666663</v>
      </c>
      <c r="G7" s="13">
        <f t="shared" si="2"/>
        <v>0</v>
      </c>
      <c r="H7" s="13">
        <f t="shared" si="3"/>
        <v>3.8441666666666663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46071.667184027778</v>
      </c>
      <c r="B8" s="58" t="s">
        <v>82</v>
      </c>
      <c r="C8" s="11">
        <v>0.66717592592592589</v>
      </c>
      <c r="D8" s="11" t="s">
        <v>84</v>
      </c>
      <c r="E8" s="11">
        <v>0.79956018518518512</v>
      </c>
      <c r="F8" s="12">
        <f t="shared" si="1"/>
        <v>3.1772222222222215</v>
      </c>
      <c r="G8" s="13">
        <f t="shared" si="2"/>
        <v>3.1772222222222215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46072.140199884256</v>
      </c>
      <c r="B9" s="58" t="s">
        <v>82</v>
      </c>
      <c r="C9" s="11">
        <v>0.14019675925925926</v>
      </c>
      <c r="D9" s="11" t="s">
        <v>84</v>
      </c>
      <c r="E9" s="11">
        <v>0.29981481481481481</v>
      </c>
      <c r="F9" s="12">
        <f t="shared" si="1"/>
        <v>3.8308333333333335</v>
      </c>
      <c r="G9" s="13">
        <f t="shared" si="2"/>
        <v>0</v>
      </c>
      <c r="H9" s="13">
        <f t="shared" si="3"/>
        <v>3.8308333333333335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46074.522090162034</v>
      </c>
      <c r="B10" s="58" t="s">
        <v>82</v>
      </c>
      <c r="C10" s="11">
        <v>0.52208333333333334</v>
      </c>
      <c r="D10" s="11" t="s">
        <v>84</v>
      </c>
      <c r="E10" s="11">
        <v>0.53386574074074067</v>
      </c>
      <c r="F10" s="12">
        <f t="shared" si="1"/>
        <v>0.2827777777777758</v>
      </c>
      <c r="G10" s="13">
        <f t="shared" si="2"/>
        <v>0.2827777777777758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46074.545470254627</v>
      </c>
      <c r="B11" s="58" t="s">
        <v>82</v>
      </c>
      <c r="C11" s="11">
        <v>0.54546296296296293</v>
      </c>
      <c r="D11" s="11" t="s">
        <v>84</v>
      </c>
      <c r="E11" s="11">
        <v>0.65186342592592594</v>
      </c>
      <c r="F11" s="12">
        <f t="shared" si="1"/>
        <v>2.5536111111111124</v>
      </c>
      <c r="G11" s="13">
        <f t="shared" si="2"/>
        <v>2.5536111111111124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46074.958720486109</v>
      </c>
      <c r="B12" s="58" t="s">
        <v>82</v>
      </c>
      <c r="C12" s="11">
        <v>0.89413194444444455</v>
      </c>
      <c r="D12" s="11" t="s">
        <v>84</v>
      </c>
      <c r="E12" s="11">
        <v>0.95873842592592595</v>
      </c>
      <c r="F12" s="12">
        <f t="shared" si="1"/>
        <v>1.5505555555555537</v>
      </c>
      <c r="G12" s="13">
        <f t="shared" si="2"/>
        <v>1.5505555555555537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46075.291980902781</v>
      </c>
      <c r="B13" s="58" t="s">
        <v>82</v>
      </c>
      <c r="C13" s="11">
        <v>0.29197916666666668</v>
      </c>
      <c r="D13" s="11" t="s">
        <v>84</v>
      </c>
      <c r="E13" s="11">
        <v>0.42260416666666667</v>
      </c>
      <c r="F13" s="12">
        <f t="shared" si="1"/>
        <v>3.1349999999999998</v>
      </c>
      <c r="G13" s="13">
        <f t="shared" si="2"/>
        <v>2.1425000000000085</v>
      </c>
      <c r="H13" s="13">
        <f t="shared" si="3"/>
        <v>0.99249999999999128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46075.520082523151</v>
      </c>
      <c r="B14" s="58" t="s">
        <v>83</v>
      </c>
      <c r="C14" s="11">
        <v>0.52008101851851851</v>
      </c>
      <c r="D14" s="11" t="s">
        <v>84</v>
      </c>
      <c r="E14" s="11">
        <v>0.63254629629629633</v>
      </c>
      <c r="F14" s="12">
        <f t="shared" si="1"/>
        <v>2.6991666666666676</v>
      </c>
      <c r="G14" s="13">
        <f t="shared" si="2"/>
        <v>2.6991666666666676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46075.75513784722</v>
      </c>
      <c r="B15" s="58" t="s">
        <v>83</v>
      </c>
      <c r="C15" s="11">
        <v>0.75512731481481488</v>
      </c>
      <c r="D15" s="11" t="s">
        <v>84</v>
      </c>
      <c r="E15" s="11">
        <v>0.86239583333333336</v>
      </c>
      <c r="F15" s="12">
        <f t="shared" si="1"/>
        <v>2.5744444444444436</v>
      </c>
      <c r="G15" s="13">
        <f t="shared" si="2"/>
        <v>2.5744444444444436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46078.522642245371</v>
      </c>
      <c r="B16" s="58" t="s">
        <v>82</v>
      </c>
      <c r="C16" s="11">
        <v>0.52263888888888888</v>
      </c>
      <c r="D16" s="11" t="s">
        <v>84</v>
      </c>
      <c r="E16" s="11">
        <v>0.6538194444444444</v>
      </c>
      <c r="F16" s="12">
        <f t="shared" si="1"/>
        <v>3.1483333333333325</v>
      </c>
      <c r="G16" s="13">
        <f t="shared" si="2"/>
        <v>3.1483333333333325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46078.772457291663</v>
      </c>
      <c r="B17" s="58" t="s">
        <v>83</v>
      </c>
      <c r="C17" s="11">
        <v>0.7724537037037037</v>
      </c>
      <c r="D17" s="11" t="s">
        <v>84</v>
      </c>
      <c r="E17" s="11">
        <v>0.90128472222222233</v>
      </c>
      <c r="F17" s="12">
        <f t="shared" si="1"/>
        <v>3.0919444444444473</v>
      </c>
      <c r="G17" s="13">
        <f t="shared" si="2"/>
        <v>3.0919444444444473</v>
      </c>
      <c r="H17" s="13">
        <f t="shared" si="3"/>
        <v>0</v>
      </c>
      <c r="I17" s="35" t="s">
        <v>29</v>
      </c>
      <c r="J17" s="36">
        <f>J4+J5+J6+J7+J10</f>
        <v>53.574444444444438</v>
      </c>
      <c r="K17" s="37">
        <f>K4+K5+K6+K7+K10</f>
        <v>43.931111111111122</v>
      </c>
      <c r="L17" s="38">
        <f>L4+L5+L6+L7+L10</f>
        <v>9.6433333333333167</v>
      </c>
      <c r="M17" s="39"/>
    </row>
    <row r="18" spans="1:13" ht="20.25" x14ac:dyDescent="0.25">
      <c r="A18" s="10">
        <f t="shared" ca="1" si="0"/>
        <v>46079.418210069445</v>
      </c>
      <c r="B18" s="58" t="s">
        <v>83</v>
      </c>
      <c r="C18" s="11">
        <v>0.41820601851851852</v>
      </c>
      <c r="D18" s="11" t="s">
        <v>84</v>
      </c>
      <c r="E18" s="11">
        <v>0.52825231481481483</v>
      </c>
      <c r="F18" s="12">
        <f t="shared" si="1"/>
        <v>2.6411111111111114</v>
      </c>
      <c r="G18" s="13">
        <f t="shared" si="2"/>
        <v>2.6411111111111114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46079.632868055553</v>
      </c>
      <c r="B19" s="58" t="s">
        <v>83</v>
      </c>
      <c r="C19" s="11">
        <v>0.63285879629629627</v>
      </c>
      <c r="D19" s="11" t="s">
        <v>84</v>
      </c>
      <c r="E19" s="11">
        <v>0.79951388888888886</v>
      </c>
      <c r="F19" s="12">
        <f t="shared" si="1"/>
        <v>3.9997222222222222</v>
      </c>
      <c r="G19" s="13">
        <f t="shared" si="2"/>
        <v>3.9997222222222222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46079.875417013885</v>
      </c>
      <c r="B20" s="58" t="s">
        <v>82</v>
      </c>
      <c r="C20" s="11">
        <v>0.87541666666666673</v>
      </c>
      <c r="D20" s="11" t="s">
        <v>84</v>
      </c>
      <c r="E20" s="11">
        <v>0.95813657407407404</v>
      </c>
      <c r="F20" s="12">
        <f t="shared" si="1"/>
        <v>1.9852777777777755</v>
      </c>
      <c r="G20" s="13">
        <f t="shared" si="2"/>
        <v>1.9852777777777755</v>
      </c>
      <c r="H20" s="13">
        <f t="shared" si="3"/>
        <v>0</v>
      </c>
      <c r="I20" s="40" t="s">
        <v>31</v>
      </c>
      <c r="J20" s="67">
        <f>J16+J17+J18+J19</f>
        <v>53.574444444444438</v>
      </c>
      <c r="K20" s="68"/>
      <c r="L20" s="69"/>
      <c r="M20" s="41"/>
    </row>
    <row r="21" spans="1:13" ht="20.25" x14ac:dyDescent="0.25">
      <c r="A21" s="10">
        <f t="shared" ca="1" si="0"/>
        <v>46080.292676273151</v>
      </c>
      <c r="B21" s="58" t="s">
        <v>82</v>
      </c>
      <c r="C21" s="11">
        <v>0.29267361111111112</v>
      </c>
      <c r="D21" s="11" t="s">
        <v>84</v>
      </c>
      <c r="E21" s="11">
        <v>0.36137731481481478</v>
      </c>
      <c r="F21" s="12">
        <f t="shared" si="1"/>
        <v>1.6488888888888877</v>
      </c>
      <c r="G21" s="13">
        <f t="shared" si="2"/>
        <v>0.67305555555556307</v>
      </c>
      <c r="H21" s="13">
        <f t="shared" si="3"/>
        <v>0.97583333333332467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  <dataValidation type="list" allowBlank="1" showInputMessage="1" showErrorMessage="1" sqref="B62:B1048576 B1:B60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62:D339 D3:D60">
      <formula1>"完成"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339"/>
  <sheetViews>
    <sheetView zoomScale="85" zoomScaleNormal="85" workbookViewId="0">
      <selection activeCell="D20" sqref="D2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46054.520935879627</v>
      </c>
      <c r="B3" s="58" t="s">
        <v>82</v>
      </c>
      <c r="C3" s="11">
        <v>0.5209259259259259</v>
      </c>
      <c r="D3" s="11" t="s">
        <v>84</v>
      </c>
      <c r="E3" s="11">
        <v>0.65244212962962966</v>
      </c>
      <c r="F3" s="12">
        <f t="shared" ref="F3:F66" si="1">(IF(E3-C3&lt;0,"24:00"-C3+E3,E3-C3))*24</f>
        <v>3.1563888888888902</v>
      </c>
      <c r="G3" s="13">
        <f t="shared" ref="G3:G66" si="2">F3-H3</f>
        <v>3.1563888888888902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46054.772532870367</v>
      </c>
      <c r="B4" s="58" t="s">
        <v>83</v>
      </c>
      <c r="C4" s="11">
        <v>0.77252314814814815</v>
      </c>
      <c r="D4" s="11" t="s">
        <v>84</v>
      </c>
      <c r="E4" s="11">
        <v>0.9014699074074074</v>
      </c>
      <c r="F4" s="12">
        <f t="shared" si="1"/>
        <v>3.0947222222222219</v>
      </c>
      <c r="G4" s="13">
        <f t="shared" si="2"/>
        <v>3.0947222222222219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16.797777777777782</v>
      </c>
      <c r="K4" s="23">
        <f>SUMIF(B:B,"西塔台管制席",G:G)+SUMIF(B:B,"东塔台管制席",G:G)</f>
        <v>9.9061111111111124</v>
      </c>
      <c r="L4" s="23">
        <f>SUMIF(B:B,"西塔台管制席",H:H)+SUMIF(B:B,"东塔台管制席",H:H)</f>
        <v>6.8916666666666675</v>
      </c>
      <c r="M4" s="19"/>
    </row>
    <row r="5" spans="1:16" ht="18.75" x14ac:dyDescent="0.25">
      <c r="A5" s="10">
        <f t="shared" ca="1" si="0"/>
        <v>46056.138607986111</v>
      </c>
      <c r="B5" s="58" t="s">
        <v>88</v>
      </c>
      <c r="C5" s="11">
        <v>0.13859953703703703</v>
      </c>
      <c r="D5" s="11" t="s">
        <v>84</v>
      </c>
      <c r="E5" s="11">
        <v>0.2242939814814815</v>
      </c>
      <c r="F5" s="12">
        <f t="shared" si="1"/>
        <v>2.0566666666666671</v>
      </c>
      <c r="G5" s="13">
        <f t="shared" si="2"/>
        <v>0</v>
      </c>
      <c r="H5" s="13">
        <f t="shared" si="3"/>
        <v>2.0566666666666671</v>
      </c>
      <c r="I5" s="21" t="s">
        <v>21</v>
      </c>
      <c r="J5" s="22">
        <f>SUMIF(B:B,"西塔台协调席",F:F)+SUMIF(B:B,"东塔台协调席",F:F)</f>
        <v>23.583333333333336</v>
      </c>
      <c r="K5" s="23">
        <f>SUMIF(B:B,"西塔台协调席",G:G)+SUMIF(B:B,"东塔台协调席",G:G)</f>
        <v>16.908611111111121</v>
      </c>
      <c r="L5" s="23">
        <f>SUMIF(B:B,"西塔台协调席",H:H)+SUMIF(B:B,"东塔台协调席",H:H)</f>
        <v>6.6747222222222149</v>
      </c>
      <c r="M5" s="19"/>
    </row>
    <row r="6" spans="1:16" ht="18.75" x14ac:dyDescent="0.25">
      <c r="A6" s="10">
        <f t="shared" ca="1" si="0"/>
        <v>46058.355214351854</v>
      </c>
      <c r="B6" s="58" t="s">
        <v>85</v>
      </c>
      <c r="C6" s="11">
        <v>0.35520833333333335</v>
      </c>
      <c r="D6" s="11" t="s">
        <v>84</v>
      </c>
      <c r="E6" s="11">
        <v>0.44511574074074073</v>
      </c>
      <c r="F6" s="12">
        <f t="shared" si="1"/>
        <v>2.1577777777777771</v>
      </c>
      <c r="G6" s="13">
        <f t="shared" si="2"/>
        <v>2.1577777777777771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46058.7931193287</v>
      </c>
      <c r="B7" s="58" t="s">
        <v>86</v>
      </c>
      <c r="C7" s="11">
        <v>0.79341435185185183</v>
      </c>
      <c r="D7" s="11" t="s">
        <v>84</v>
      </c>
      <c r="E7" s="11">
        <v>0.88239583333333327</v>
      </c>
      <c r="F7" s="12">
        <f t="shared" si="1"/>
        <v>2.1355555555555545</v>
      </c>
      <c r="G7" s="13">
        <f t="shared" si="2"/>
        <v>2.1355555555555545</v>
      </c>
      <c r="H7" s="13">
        <f t="shared" si="3"/>
        <v>0</v>
      </c>
      <c r="I7" s="21" t="s">
        <v>23</v>
      </c>
      <c r="J7" s="22">
        <f>SUMIF(B:B,"地面席",F:F)</f>
        <v>2.0566666666666671</v>
      </c>
      <c r="K7" s="23">
        <f>SUMIF(B:B,"地面席",G:G)</f>
        <v>0</v>
      </c>
      <c r="L7" s="23">
        <f>SUMIF(B:B,"地面席",H:H)</f>
        <v>2.0566666666666671</v>
      </c>
      <c r="M7" s="19"/>
    </row>
    <row r="8" spans="1:16" ht="18.75" x14ac:dyDescent="0.25">
      <c r="A8" s="10">
        <f t="shared" ca="1" si="0"/>
        <v>46059.014835879629</v>
      </c>
      <c r="B8" s="58" t="s">
        <v>82</v>
      </c>
      <c r="C8" s="11">
        <v>1.4826388888888889E-2</v>
      </c>
      <c r="D8" s="11" t="s">
        <v>84</v>
      </c>
      <c r="E8" s="11">
        <v>0.13292824074074075</v>
      </c>
      <c r="F8" s="12">
        <f t="shared" si="1"/>
        <v>2.8344444444444448</v>
      </c>
      <c r="G8" s="13">
        <f t="shared" si="2"/>
        <v>0</v>
      </c>
      <c r="H8" s="13">
        <f t="shared" si="3"/>
        <v>2.8344444444444448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46059.50165578704</v>
      </c>
      <c r="B9" s="58" t="s">
        <v>83</v>
      </c>
      <c r="C9" s="11">
        <v>0.50165509259259256</v>
      </c>
      <c r="D9" s="11" t="s">
        <v>84</v>
      </c>
      <c r="E9" s="11">
        <v>0.59031250000000002</v>
      </c>
      <c r="F9" s="12">
        <f t="shared" si="1"/>
        <v>2.1277777777777791</v>
      </c>
      <c r="G9" s="13">
        <f t="shared" si="2"/>
        <v>2.1277777777777791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46059.668765162038</v>
      </c>
      <c r="B10" s="58" t="s">
        <v>82</v>
      </c>
      <c r="C10" s="11">
        <v>0.66876157407407411</v>
      </c>
      <c r="D10" s="11" t="s">
        <v>84</v>
      </c>
      <c r="E10" s="11">
        <v>0.75681712962962966</v>
      </c>
      <c r="F10" s="12">
        <f t="shared" si="1"/>
        <v>2.1133333333333333</v>
      </c>
      <c r="G10" s="13">
        <f t="shared" si="2"/>
        <v>2.1133333333333333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46059.834809953703</v>
      </c>
      <c r="B11" s="58" t="s">
        <v>82</v>
      </c>
      <c r="C11" s="11">
        <v>0.83480324074074075</v>
      </c>
      <c r="D11" s="11" t="s">
        <v>84</v>
      </c>
      <c r="E11" s="11">
        <v>0.95624999999999993</v>
      </c>
      <c r="F11" s="12">
        <f t="shared" si="1"/>
        <v>2.9147222222222204</v>
      </c>
      <c r="G11" s="13">
        <f t="shared" si="2"/>
        <v>2.9147222222222204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46066.485129976849</v>
      </c>
      <c r="B12" s="58" t="s">
        <v>82</v>
      </c>
      <c r="C12" s="11">
        <v>0.4851273148148148</v>
      </c>
      <c r="D12" s="11" t="s">
        <v>84</v>
      </c>
      <c r="E12" s="11">
        <v>0.56807870370370372</v>
      </c>
      <c r="F12" s="12">
        <f t="shared" si="1"/>
        <v>1.9908333333333341</v>
      </c>
      <c r="G12" s="13">
        <f t="shared" si="2"/>
        <v>1.9908333333333341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46066.896782407406</v>
      </c>
      <c r="B13" s="58" t="s">
        <v>83</v>
      </c>
      <c r="C13" s="11">
        <v>0.89678240740740733</v>
      </c>
      <c r="D13" s="11" t="s">
        <v>84</v>
      </c>
      <c r="E13" s="11">
        <v>0.95754629629629628</v>
      </c>
      <c r="F13" s="12">
        <f t="shared" si="1"/>
        <v>1.4583333333333348</v>
      </c>
      <c r="G13" s="13">
        <f t="shared" si="2"/>
        <v>1.4583333333333348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46067.292699305559</v>
      </c>
      <c r="B14" s="58" t="s">
        <v>82</v>
      </c>
      <c r="C14" s="11">
        <v>0.29269675925925925</v>
      </c>
      <c r="D14" s="11" t="s">
        <v>84</v>
      </c>
      <c r="E14" s="11">
        <v>0.52398148148148149</v>
      </c>
      <c r="F14" s="12">
        <f t="shared" si="1"/>
        <v>5.5508333333333333</v>
      </c>
      <c r="G14" s="13">
        <f t="shared" si="2"/>
        <v>4.5755555555555638</v>
      </c>
      <c r="H14" s="13">
        <f t="shared" si="3"/>
        <v>0.97527777777776947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46067.792753009257</v>
      </c>
      <c r="B15" s="58" t="s">
        <v>86</v>
      </c>
      <c r="C15" s="11">
        <v>0.79274305555555558</v>
      </c>
      <c r="D15" s="11" t="s">
        <v>84</v>
      </c>
      <c r="E15" s="11">
        <v>0.8381481481481482</v>
      </c>
      <c r="F15" s="12">
        <f t="shared" si="1"/>
        <v>1.0897222222222229</v>
      </c>
      <c r="G15" s="13">
        <f t="shared" si="2"/>
        <v>1.0897222222222229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46068.014388425923</v>
      </c>
      <c r="B16" s="58" t="s">
        <v>85</v>
      </c>
      <c r="C16" s="11">
        <v>1.4386574074074072E-2</v>
      </c>
      <c r="D16" s="11" t="s">
        <v>84</v>
      </c>
      <c r="E16" s="11">
        <v>0.13376157407407407</v>
      </c>
      <c r="F16" s="12">
        <f t="shared" si="1"/>
        <v>2.8650000000000002</v>
      </c>
      <c r="G16" s="13">
        <f t="shared" si="2"/>
        <v>0</v>
      </c>
      <c r="H16" s="13">
        <f t="shared" si="3"/>
        <v>2.8650000000000002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46079.140166666664</v>
      </c>
      <c r="B17" s="58" t="s">
        <v>86</v>
      </c>
      <c r="C17" s="11">
        <v>0.14016203703703703</v>
      </c>
      <c r="D17" s="11" t="s">
        <v>84</v>
      </c>
      <c r="E17" s="11">
        <v>0.27130787037037035</v>
      </c>
      <c r="F17" s="12">
        <f t="shared" si="1"/>
        <v>3.1475</v>
      </c>
      <c r="G17" s="13">
        <f t="shared" si="2"/>
        <v>0</v>
      </c>
      <c r="H17" s="13">
        <f t="shared" si="3"/>
        <v>3.1475</v>
      </c>
      <c r="I17" s="35" t="s">
        <v>29</v>
      </c>
      <c r="J17" s="36">
        <f>J4+J5+J6+J7+J10</f>
        <v>42.437777777777782</v>
      </c>
      <c r="K17" s="37">
        <f>K4+K5+K6+K7+K10</f>
        <v>26.814722222222233</v>
      </c>
      <c r="L17" s="38">
        <f>L4+L5+L6+L7+L10</f>
        <v>15.623055555555549</v>
      </c>
      <c r="M17" s="39"/>
    </row>
    <row r="18" spans="1:13" ht="20.25" x14ac:dyDescent="0.25">
      <c r="A18" s="10">
        <f t="shared" ca="1" si="0"/>
        <v>46079.271347453701</v>
      </c>
      <c r="B18" s="58" t="s">
        <v>83</v>
      </c>
      <c r="C18" s="11">
        <v>0.27134259259259258</v>
      </c>
      <c r="D18" s="11" t="s">
        <v>84</v>
      </c>
      <c r="E18" s="11">
        <v>0.29840277777777779</v>
      </c>
      <c r="F18" s="12">
        <f t="shared" si="1"/>
        <v>0.64944444444444516</v>
      </c>
      <c r="G18" s="13">
        <f t="shared" si="2"/>
        <v>0</v>
      </c>
      <c r="H18" s="13">
        <f t="shared" si="3"/>
        <v>0.64944444444444516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46080.015504513889</v>
      </c>
      <c r="B19" s="58" t="s">
        <v>86</v>
      </c>
      <c r="C19" s="11">
        <v>1.5497685185185186E-2</v>
      </c>
      <c r="D19" s="11" t="s">
        <v>84</v>
      </c>
      <c r="E19" s="11">
        <v>0.14444444444444446</v>
      </c>
      <c r="F19" s="12">
        <f t="shared" si="1"/>
        <v>3.0947222222222228</v>
      </c>
      <c r="G19" s="13">
        <f t="shared" si="2"/>
        <v>0</v>
      </c>
      <c r="H19" s="13">
        <f t="shared" si="3"/>
        <v>3.0947222222222228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42.437777777777782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339"/>
  <sheetViews>
    <sheetView zoomScale="85" zoomScaleNormal="85" workbookViewId="0">
      <selection activeCell="D20" sqref="D2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46055.135004166666</v>
      </c>
      <c r="B3" s="58" t="s">
        <v>88</v>
      </c>
      <c r="C3" s="11">
        <v>0.13500000000000001</v>
      </c>
      <c r="D3" s="11" t="s">
        <v>84</v>
      </c>
      <c r="E3" s="11">
        <v>0.22034722222222222</v>
      </c>
      <c r="F3" s="12">
        <f t="shared" ref="F3:F66" si="1">(IF(E3-C3&lt;0,"24:00"-C3+E3,E3-C3))*24</f>
        <v>2.0483333333333329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2.0483333333333329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46056.014080787034</v>
      </c>
      <c r="B4" s="58" t="s">
        <v>86</v>
      </c>
      <c r="C4" s="11">
        <v>1.4074074074074074E-2</v>
      </c>
      <c r="D4" s="11" t="s">
        <v>84</v>
      </c>
      <c r="E4" s="11">
        <v>0.14376157407407408</v>
      </c>
      <c r="F4" s="12">
        <f t="shared" si="1"/>
        <v>3.1125000000000003</v>
      </c>
      <c r="G4" s="13">
        <f t="shared" si="2"/>
        <v>0</v>
      </c>
      <c r="H4" s="13">
        <f t="shared" si="3"/>
        <v>3.1125000000000003</v>
      </c>
      <c r="I4" s="21" t="s">
        <v>20</v>
      </c>
      <c r="J4" s="22">
        <f>SUMIF(B:B,"西塔台管制席",F:F)+SUMIF(B:B,"东塔台管制席",F:F)</f>
        <v>24.133611111111119</v>
      </c>
      <c r="K4" s="23">
        <f>SUMIF(B:B,"西塔台管制席",G:G)+SUMIF(B:B,"东塔台管制席",G:G)</f>
        <v>16.613333333333347</v>
      </c>
      <c r="L4" s="23">
        <f>SUMIF(B:B,"西塔台管制席",H:H)+SUMIF(B:B,"东塔台管制席",H:H)</f>
        <v>7.5202777777777703</v>
      </c>
      <c r="M4" s="19"/>
    </row>
    <row r="5" spans="1:16" ht="18.75" x14ac:dyDescent="0.25">
      <c r="A5" s="10">
        <f t="shared" ca="1" si="0"/>
        <v>46058.355141203705</v>
      </c>
      <c r="B5" s="58" t="s">
        <v>86</v>
      </c>
      <c r="C5" s="11">
        <v>0.35513888888888889</v>
      </c>
      <c r="D5" s="11" t="s">
        <v>84</v>
      </c>
      <c r="E5" s="11">
        <v>0.50482638888888887</v>
      </c>
      <c r="F5" s="12">
        <f t="shared" si="1"/>
        <v>3.5924999999999994</v>
      </c>
      <c r="G5" s="13">
        <f t="shared" si="2"/>
        <v>3.5924999999999994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13.411944444444448</v>
      </c>
      <c r="K5" s="23">
        <f>SUMIF(B:B,"西塔台协调席",G:G)+SUMIF(B:B,"东塔台协调席",G:G)</f>
        <v>9.7263888888888914</v>
      </c>
      <c r="L5" s="23">
        <f>SUMIF(B:B,"西塔台协调席",H:H)+SUMIF(B:B,"东塔台协调席",H:H)</f>
        <v>3.6855555555555548</v>
      </c>
      <c r="M5" s="19"/>
    </row>
    <row r="6" spans="1:16" ht="18.75" x14ac:dyDescent="0.25">
      <c r="A6" s="10">
        <f t="shared" ca="1" si="0"/>
        <v>46058.625402662037</v>
      </c>
      <c r="B6" s="58" t="s">
        <v>85</v>
      </c>
      <c r="C6" s="11">
        <v>0.62539351851851854</v>
      </c>
      <c r="D6" s="11" t="s">
        <v>84</v>
      </c>
      <c r="E6" s="11">
        <v>0.72092592592592597</v>
      </c>
      <c r="F6" s="12">
        <f t="shared" si="1"/>
        <v>2.2927777777777782</v>
      </c>
      <c r="G6" s="13">
        <f t="shared" si="2"/>
        <v>2.2927777777777782</v>
      </c>
      <c r="H6" s="13">
        <f t="shared" si="3"/>
        <v>0</v>
      </c>
      <c r="I6" s="21" t="s">
        <v>22</v>
      </c>
      <c r="J6" s="22">
        <f>SUMIF(B:B,"放行席",F:F)</f>
        <v>3.3250000000000002</v>
      </c>
      <c r="K6" s="23">
        <f>SUMIF(B:B,"放行席",G:G)</f>
        <v>0</v>
      </c>
      <c r="L6" s="23">
        <f>SUMIF(B:B,"放行席",H:H)</f>
        <v>3.3250000000000002</v>
      </c>
      <c r="M6" s="19"/>
    </row>
    <row r="7" spans="1:16" ht="18.75" x14ac:dyDescent="0.25">
      <c r="A7" s="10">
        <f t="shared" ca="1" si="0"/>
        <v>46058.795931597226</v>
      </c>
      <c r="B7" s="58" t="s">
        <v>85</v>
      </c>
      <c r="C7" s="11">
        <v>0.79612268518518514</v>
      </c>
      <c r="D7" s="11" t="s">
        <v>84</v>
      </c>
      <c r="E7" s="11">
        <v>0.88245370370370368</v>
      </c>
      <c r="F7" s="12">
        <f t="shared" si="1"/>
        <v>2.071944444444445</v>
      </c>
      <c r="G7" s="13">
        <f t="shared" si="2"/>
        <v>2.071944444444445</v>
      </c>
      <c r="H7" s="13">
        <f t="shared" si="3"/>
        <v>0</v>
      </c>
      <c r="I7" s="21" t="s">
        <v>23</v>
      </c>
      <c r="J7" s="22">
        <f>SUMIF(B:B,"地面席",F:F)</f>
        <v>6.0661111111111108</v>
      </c>
      <c r="K7" s="23">
        <f>SUMIF(B:B,"地面席",G:G)</f>
        <v>0</v>
      </c>
      <c r="L7" s="23">
        <f>SUMIF(B:B,"地面席",H:H)</f>
        <v>6.0661111111111108</v>
      </c>
      <c r="M7" s="19"/>
    </row>
    <row r="8" spans="1:16" ht="18.75" x14ac:dyDescent="0.25">
      <c r="A8" s="10">
        <f t="shared" ca="1" si="0"/>
        <v>46059.376618402777</v>
      </c>
      <c r="B8" s="58" t="s">
        <v>82</v>
      </c>
      <c r="C8" s="11">
        <v>0.37660879629629629</v>
      </c>
      <c r="D8" s="11" t="s">
        <v>84</v>
      </c>
      <c r="E8" s="11">
        <v>0.50631944444444443</v>
      </c>
      <c r="F8" s="12">
        <f t="shared" si="1"/>
        <v>3.1130555555555555</v>
      </c>
      <c r="G8" s="13">
        <f t="shared" si="2"/>
        <v>3.1130555555555555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46059.585027083333</v>
      </c>
      <c r="B9" s="58" t="s">
        <v>83</v>
      </c>
      <c r="C9" s="11">
        <v>0.58502314814814815</v>
      </c>
      <c r="D9" s="11" t="s">
        <v>84</v>
      </c>
      <c r="E9" s="11">
        <v>0.67518518518518522</v>
      </c>
      <c r="F9" s="12">
        <f t="shared" si="1"/>
        <v>2.1638888888888896</v>
      </c>
      <c r="G9" s="13">
        <f t="shared" si="2"/>
        <v>2.1638888888888896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46059.771978240744</v>
      </c>
      <c r="B10" s="58" t="s">
        <v>83</v>
      </c>
      <c r="C10" s="11">
        <v>0.77196759259259251</v>
      </c>
      <c r="D10" s="11" t="s">
        <v>84</v>
      </c>
      <c r="E10" s="11">
        <v>0.84226851851851858</v>
      </c>
      <c r="F10" s="12">
        <f t="shared" si="1"/>
        <v>1.6872222222222257</v>
      </c>
      <c r="G10" s="13">
        <f t="shared" si="2"/>
        <v>1.6872222222222257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46062.952770949072</v>
      </c>
      <c r="B11" s="58" t="s">
        <v>83</v>
      </c>
      <c r="C11" s="11">
        <v>0.95276620370370368</v>
      </c>
      <c r="D11" s="11" t="s">
        <v>84</v>
      </c>
      <c r="E11" s="11">
        <v>0.14406250000000001</v>
      </c>
      <c r="F11" s="12">
        <f t="shared" si="1"/>
        <v>4.591111111111112</v>
      </c>
      <c r="G11" s="13">
        <f t="shared" si="2"/>
        <v>1.1336111111111116</v>
      </c>
      <c r="H11" s="13">
        <f t="shared" si="3"/>
        <v>3.4575000000000005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46064.13997916667</v>
      </c>
      <c r="B12" s="58" t="s">
        <v>88</v>
      </c>
      <c r="C12" s="11">
        <v>0.13997685185185185</v>
      </c>
      <c r="D12" s="11" t="s">
        <v>84</v>
      </c>
      <c r="E12" s="11">
        <v>0.30738425925925927</v>
      </c>
      <c r="F12" s="12">
        <f t="shared" si="1"/>
        <v>4.0177777777777779</v>
      </c>
      <c r="G12" s="13">
        <f t="shared" si="2"/>
        <v>0</v>
      </c>
      <c r="H12" s="13">
        <f t="shared" si="3"/>
        <v>4.0177777777777779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46066.522844560182</v>
      </c>
      <c r="B13" s="58" t="s">
        <v>83</v>
      </c>
      <c r="C13" s="11">
        <v>0.52283564814814809</v>
      </c>
      <c r="D13" s="11" t="s">
        <v>84</v>
      </c>
      <c r="E13" s="11">
        <v>0.71214120370370371</v>
      </c>
      <c r="F13" s="12">
        <f t="shared" si="1"/>
        <v>4.5433333333333348</v>
      </c>
      <c r="G13" s="13">
        <f t="shared" si="2"/>
        <v>4.5433333333333348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46066.72613333333</v>
      </c>
      <c r="B14" s="58" t="s">
        <v>82</v>
      </c>
      <c r="C14" s="11">
        <v>0.72612268518518519</v>
      </c>
      <c r="D14" s="11" t="s">
        <v>84</v>
      </c>
      <c r="E14" s="11">
        <v>0.77512731481481489</v>
      </c>
      <c r="F14" s="12">
        <f t="shared" si="1"/>
        <v>1.1761111111111129</v>
      </c>
      <c r="G14" s="13">
        <f t="shared" si="2"/>
        <v>1.1761111111111129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46067.293745370371</v>
      </c>
      <c r="B15" s="58" t="s">
        <v>86</v>
      </c>
      <c r="C15" s="11">
        <v>0.29373842592592592</v>
      </c>
      <c r="D15" s="11" t="s">
        <v>84</v>
      </c>
      <c r="E15" s="11">
        <v>0.35767361111111112</v>
      </c>
      <c r="F15" s="12">
        <f t="shared" si="1"/>
        <v>1.5344444444444449</v>
      </c>
      <c r="G15" s="13">
        <f t="shared" si="2"/>
        <v>0.58416666666667538</v>
      </c>
      <c r="H15" s="13">
        <f t="shared" si="3"/>
        <v>0.95027777777776956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46067.369023611114</v>
      </c>
      <c r="B16" s="58" t="s">
        <v>86</v>
      </c>
      <c r="C16" s="11">
        <v>0.36901620370370369</v>
      </c>
      <c r="D16" s="11" t="s">
        <v>84</v>
      </c>
      <c r="E16" s="11">
        <v>0.49020833333333336</v>
      </c>
      <c r="F16" s="12">
        <f t="shared" si="1"/>
        <v>2.9086111111111119</v>
      </c>
      <c r="G16" s="13">
        <f t="shared" si="2"/>
        <v>2.9086111111111119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46067.792692708332</v>
      </c>
      <c r="B17" s="58" t="s">
        <v>85</v>
      </c>
      <c r="C17" s="11">
        <v>0.79268518518518516</v>
      </c>
      <c r="D17" s="11" t="s">
        <v>84</v>
      </c>
      <c r="E17" s="11">
        <v>0.83737268518518515</v>
      </c>
      <c r="F17" s="12">
        <f t="shared" si="1"/>
        <v>1.0724999999999998</v>
      </c>
      <c r="G17" s="13">
        <f t="shared" si="2"/>
        <v>1.0724999999999998</v>
      </c>
      <c r="H17" s="13">
        <f t="shared" si="3"/>
        <v>0</v>
      </c>
      <c r="I17" s="35" t="s">
        <v>29</v>
      </c>
      <c r="J17" s="36">
        <f>J4+J5+J6+J7+J10</f>
        <v>46.936666666666682</v>
      </c>
      <c r="K17" s="37">
        <f>K4+K5+K6+K7+K10</f>
        <v>26.339722222222239</v>
      </c>
      <c r="L17" s="38">
        <f>L4+L5+L6+L7+L10</f>
        <v>20.596944444444439</v>
      </c>
      <c r="M17" s="39"/>
    </row>
    <row r="18" spans="1:13" ht="20.25" x14ac:dyDescent="0.25">
      <c r="A18" s="10">
        <f t="shared" ca="1" si="0"/>
        <v>46079.132850810187</v>
      </c>
      <c r="B18" s="58" t="s">
        <v>87</v>
      </c>
      <c r="C18" s="11">
        <v>0.13284722222222223</v>
      </c>
      <c r="D18" s="11" t="s">
        <v>84</v>
      </c>
      <c r="E18" s="11">
        <v>0.2713888888888889</v>
      </c>
      <c r="F18" s="12">
        <f t="shared" si="1"/>
        <v>3.3250000000000002</v>
      </c>
      <c r="G18" s="13">
        <f t="shared" si="2"/>
        <v>0</v>
      </c>
      <c r="H18" s="13">
        <f t="shared" si="3"/>
        <v>3.3250000000000002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46079.271441550925</v>
      </c>
      <c r="B19" s="58" t="s">
        <v>82</v>
      </c>
      <c r="C19" s="11">
        <v>0.27143518518518522</v>
      </c>
      <c r="D19" s="11" t="s">
        <v>84</v>
      </c>
      <c r="E19" s="11">
        <v>0.29899305555555555</v>
      </c>
      <c r="F19" s="12">
        <f t="shared" si="1"/>
        <v>0.66138888888888792</v>
      </c>
      <c r="G19" s="13">
        <f t="shared" si="2"/>
        <v>0</v>
      </c>
      <c r="H19" s="13">
        <f t="shared" si="3"/>
        <v>0.66138888888888792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46080.015431944441</v>
      </c>
      <c r="B20" s="58" t="s">
        <v>85</v>
      </c>
      <c r="C20" s="11">
        <v>1.5428240740740741E-2</v>
      </c>
      <c r="D20" s="11" t="s">
        <v>84</v>
      </c>
      <c r="E20" s="11">
        <v>0.14143518518518519</v>
      </c>
      <c r="F20" s="12">
        <f t="shared" si="1"/>
        <v>3.0241666666666669</v>
      </c>
      <c r="G20" s="13">
        <f t="shared" si="2"/>
        <v>0</v>
      </c>
      <c r="H20" s="13">
        <f t="shared" si="3"/>
        <v>3.0241666666666669</v>
      </c>
      <c r="I20" s="40" t="s">
        <v>31</v>
      </c>
      <c r="J20" s="67">
        <f>J16+J17+J18+J19</f>
        <v>46.936666666666682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46054.356545023147</v>
      </c>
      <c r="B3" s="58" t="s">
        <v>83</v>
      </c>
      <c r="C3" s="11">
        <v>0.35653935185185182</v>
      </c>
      <c r="D3" s="11" t="s">
        <v>84</v>
      </c>
      <c r="E3" s="11">
        <v>0.43141203703703707</v>
      </c>
      <c r="F3" s="12">
        <f t="shared" ref="F3:F66" si="1">(IF(E3-C3&lt;0,"24:00"-C3+E3,E3-C3))*24</f>
        <v>1.796944444444446</v>
      </c>
      <c r="G3" s="13">
        <f t="shared" ref="G3:G66" si="2">F3-H3</f>
        <v>1.796944444444446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46054.446002662036</v>
      </c>
      <c r="B4" s="58" t="s">
        <v>83</v>
      </c>
      <c r="C4" s="11">
        <v>0.44599537037037035</v>
      </c>
      <c r="D4" s="11" t="s">
        <v>84</v>
      </c>
      <c r="E4" s="11">
        <v>0.52732638888888894</v>
      </c>
      <c r="F4" s="12">
        <f t="shared" si="1"/>
        <v>1.9519444444444463</v>
      </c>
      <c r="G4" s="13">
        <f t="shared" si="2"/>
        <v>1.9519444444444463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26.494722222222222</v>
      </c>
      <c r="K4" s="23">
        <f>SUMIF(B:B,"西塔台管制席",G:G)+SUMIF(B:B,"东塔台管制席",G:G)</f>
        <v>18.816388888888905</v>
      </c>
      <c r="L4" s="23">
        <f>SUMIF(B:B,"西塔台管制席",H:H)+SUMIF(B:B,"东塔台管制席",H:H)</f>
        <v>7.6783333333333159</v>
      </c>
      <c r="M4" s="19"/>
    </row>
    <row r="5" spans="1:16" ht="18.75" x14ac:dyDescent="0.25">
      <c r="A5" s="10">
        <f t="shared" ca="1" si="0"/>
        <v>46054.646889814816</v>
      </c>
      <c r="B5" s="58" t="s">
        <v>82</v>
      </c>
      <c r="C5" s="11">
        <v>0.64688657407407402</v>
      </c>
      <c r="D5" s="11" t="s">
        <v>84</v>
      </c>
      <c r="E5" s="11">
        <v>0.77733796296296298</v>
      </c>
      <c r="F5" s="12">
        <f t="shared" si="1"/>
        <v>3.1308333333333351</v>
      </c>
      <c r="G5" s="13">
        <f t="shared" si="2"/>
        <v>3.1308333333333351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21.16333333333333</v>
      </c>
      <c r="K5" s="23">
        <f>SUMIF(B:B,"西塔台协调席",G:G)+SUMIF(B:B,"东塔台协调席",G:G)</f>
        <v>13.839722222222218</v>
      </c>
      <c r="L5" s="23">
        <f>SUMIF(B:B,"西塔台协调席",H:H)+SUMIF(B:B,"东塔台协调席",H:H)</f>
        <v>7.3236111111111111</v>
      </c>
      <c r="M5" s="19"/>
    </row>
    <row r="6" spans="1:16" ht="18.75" x14ac:dyDescent="0.25">
      <c r="A6" s="10">
        <f t="shared" ca="1" si="0"/>
        <v>46056.138479861111</v>
      </c>
      <c r="B6" s="58" t="s">
        <v>86</v>
      </c>
      <c r="C6" s="11">
        <v>0.13847222222222222</v>
      </c>
      <c r="D6" s="11" t="s">
        <v>84</v>
      </c>
      <c r="E6" s="11">
        <v>0.23356481481481484</v>
      </c>
      <c r="F6" s="12">
        <f t="shared" si="1"/>
        <v>2.2822222222222228</v>
      </c>
      <c r="G6" s="13">
        <f t="shared" si="2"/>
        <v>0</v>
      </c>
      <c r="H6" s="13">
        <f t="shared" si="3"/>
        <v>2.2822222222222228</v>
      </c>
      <c r="I6" s="21" t="s">
        <v>22</v>
      </c>
      <c r="J6" s="22">
        <f>SUMIF(B:B,"放行席",F:F)</f>
        <v>2.338888888888889</v>
      </c>
      <c r="K6" s="23">
        <f>SUMIF(B:B,"放行席",G:G)</f>
        <v>0</v>
      </c>
      <c r="L6" s="23">
        <f>SUMIF(B:B,"放行席",H:H)</f>
        <v>2.338888888888889</v>
      </c>
      <c r="M6" s="19"/>
    </row>
    <row r="7" spans="1:16" ht="18.75" x14ac:dyDescent="0.25">
      <c r="A7" s="10">
        <f t="shared" ca="1" si="0"/>
        <v>46056.233624537039</v>
      </c>
      <c r="B7" s="58" t="s">
        <v>82</v>
      </c>
      <c r="C7" s="11">
        <v>0.23362268518518517</v>
      </c>
      <c r="D7" s="11" t="s">
        <v>84</v>
      </c>
      <c r="E7" s="11">
        <v>0.29957175925925927</v>
      </c>
      <c r="F7" s="12">
        <f t="shared" si="1"/>
        <v>1.5827777777777785</v>
      </c>
      <c r="G7" s="13">
        <f t="shared" si="2"/>
        <v>0</v>
      </c>
      <c r="H7" s="13">
        <f t="shared" si="3"/>
        <v>1.5827777777777785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46059.131044560185</v>
      </c>
      <c r="B8" s="58" t="s">
        <v>87</v>
      </c>
      <c r="C8" s="11">
        <v>0.13104166666666667</v>
      </c>
      <c r="D8" s="11" t="s">
        <v>84</v>
      </c>
      <c r="E8" s="11">
        <v>0.22849537037037038</v>
      </c>
      <c r="F8" s="12">
        <f t="shared" si="1"/>
        <v>2.338888888888889</v>
      </c>
      <c r="G8" s="13">
        <f t="shared" si="2"/>
        <v>0</v>
      </c>
      <c r="H8" s="13">
        <f t="shared" si="3"/>
        <v>2.338888888888889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46059.951547106481</v>
      </c>
      <c r="B9" s="58" t="s">
        <v>83</v>
      </c>
      <c r="C9" s="11">
        <v>0.9515393518518519</v>
      </c>
      <c r="D9" s="11" t="s">
        <v>84</v>
      </c>
      <c r="E9" s="11">
        <v>0.14430555555555555</v>
      </c>
      <c r="F9" s="12">
        <f t="shared" si="1"/>
        <v>4.6263888888888873</v>
      </c>
      <c r="G9" s="13">
        <f t="shared" si="2"/>
        <v>1.1630555555555544</v>
      </c>
      <c r="H9" s="13">
        <f t="shared" si="3"/>
        <v>3.4633333333333329</v>
      </c>
      <c r="I9" s="21" t="s">
        <v>76</v>
      </c>
      <c r="J9" s="22">
        <f>SUMIF(B:B,"航班调度席",F:F)</f>
        <v>2.1022222222222213</v>
      </c>
      <c r="K9" s="23">
        <f>SUMIF(B:B,"航班调度席",G:G)</f>
        <v>2.1022222222222213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46062.521770601852</v>
      </c>
      <c r="B10" s="58" t="s">
        <v>82</v>
      </c>
      <c r="C10" s="11">
        <v>0.52177083333333341</v>
      </c>
      <c r="D10" s="11" t="s">
        <v>84</v>
      </c>
      <c r="E10" s="11">
        <v>0.65265046296296292</v>
      </c>
      <c r="F10" s="12">
        <f t="shared" si="1"/>
        <v>3.1411111111111083</v>
      </c>
      <c r="G10" s="13">
        <f t="shared" si="2"/>
        <v>3.1411111111111083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46062.772310416665</v>
      </c>
      <c r="B11" s="58" t="s">
        <v>83</v>
      </c>
      <c r="C11" s="11">
        <v>0.77230324074074075</v>
      </c>
      <c r="D11" s="11" t="s">
        <v>84</v>
      </c>
      <c r="E11" s="11">
        <v>0.88321759259259258</v>
      </c>
      <c r="F11" s="12">
        <f t="shared" si="1"/>
        <v>2.661944444444444</v>
      </c>
      <c r="G11" s="13">
        <f t="shared" si="2"/>
        <v>2.661944444444444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46063.013589930553</v>
      </c>
      <c r="B12" s="58" t="s">
        <v>85</v>
      </c>
      <c r="C12" s="11">
        <v>1.3587962962962963E-2</v>
      </c>
      <c r="D12" s="11" t="s">
        <v>84</v>
      </c>
      <c r="E12" s="11">
        <v>0.14094907407407406</v>
      </c>
      <c r="F12" s="12">
        <f t="shared" si="1"/>
        <v>3.0566666666666662</v>
      </c>
      <c r="G12" s="13">
        <f t="shared" si="2"/>
        <v>0</v>
      </c>
      <c r="H12" s="13">
        <f t="shared" si="3"/>
        <v>3.0566666666666662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46063.542427777778</v>
      </c>
      <c r="B13" s="58" t="s">
        <v>90</v>
      </c>
      <c r="C13" s="11">
        <v>0.54241898148148149</v>
      </c>
      <c r="D13" s="11" t="s">
        <v>84</v>
      </c>
      <c r="E13" s="11">
        <v>0.63001157407407404</v>
      </c>
      <c r="F13" s="12">
        <f t="shared" si="1"/>
        <v>2.1022222222222213</v>
      </c>
      <c r="G13" s="13">
        <f t="shared" si="2"/>
        <v>2.1022222222222213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46063.647874652779</v>
      </c>
      <c r="B14" s="58" t="s">
        <v>82</v>
      </c>
      <c r="C14" s="11">
        <v>0.64787037037037043</v>
      </c>
      <c r="D14" s="11" t="s">
        <v>84</v>
      </c>
      <c r="E14" s="11">
        <v>0.7780555555555555</v>
      </c>
      <c r="F14" s="12">
        <f t="shared" si="1"/>
        <v>3.1244444444444417</v>
      </c>
      <c r="G14" s="13">
        <f t="shared" si="2"/>
        <v>3.1244444444444417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46063.95670949074</v>
      </c>
      <c r="B15" s="58" t="s">
        <v>83</v>
      </c>
      <c r="C15" s="11">
        <v>0.87545138888888896</v>
      </c>
      <c r="D15" s="11" t="s">
        <v>84</v>
      </c>
      <c r="E15" s="11">
        <v>0.95699074074074064</v>
      </c>
      <c r="F15" s="12">
        <f t="shared" si="1"/>
        <v>1.9569444444444404</v>
      </c>
      <c r="G15" s="13">
        <f t="shared" si="2"/>
        <v>1.9569444444444404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46064.292844560186</v>
      </c>
      <c r="B16" s="58" t="s">
        <v>83</v>
      </c>
      <c r="C16" s="11">
        <v>0.29283564814814816</v>
      </c>
      <c r="D16" s="11" t="s">
        <v>84</v>
      </c>
      <c r="E16" s="11">
        <v>0.37270833333333336</v>
      </c>
      <c r="F16" s="12">
        <f t="shared" si="1"/>
        <v>1.9169444444444448</v>
      </c>
      <c r="G16" s="13">
        <f t="shared" si="2"/>
        <v>0.94500000000000917</v>
      </c>
      <c r="H16" s="13">
        <f t="shared" si="3"/>
        <v>0.97194444444443562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46066.352666550927</v>
      </c>
      <c r="B17" s="58" t="s">
        <v>83</v>
      </c>
      <c r="C17" s="11">
        <v>0.35266203703703702</v>
      </c>
      <c r="D17" s="11" t="s">
        <v>84</v>
      </c>
      <c r="E17" s="11">
        <v>0.47449074074074077</v>
      </c>
      <c r="F17" s="12">
        <f t="shared" si="1"/>
        <v>2.9238888888888899</v>
      </c>
      <c r="G17" s="13">
        <f t="shared" si="2"/>
        <v>2.9238888888888899</v>
      </c>
      <c r="H17" s="13">
        <f t="shared" si="3"/>
        <v>0</v>
      </c>
      <c r="I17" s="35" t="s">
        <v>29</v>
      </c>
      <c r="J17" s="36">
        <f>J4+J5+J6+J7+J10</f>
        <v>49.996944444444438</v>
      </c>
      <c r="K17" s="37">
        <f>K4+K5+K6+K7+K10</f>
        <v>32.656111111111123</v>
      </c>
      <c r="L17" s="38">
        <f>L4+L5+L6+L7+L10</f>
        <v>17.340833333333315</v>
      </c>
      <c r="M17" s="39"/>
    </row>
    <row r="18" spans="1:13" ht="20.25" x14ac:dyDescent="0.25">
      <c r="A18" s="10">
        <f t="shared" ca="1" si="0"/>
        <v>46066.487971180555</v>
      </c>
      <c r="B18" s="58" t="s">
        <v>83</v>
      </c>
      <c r="C18" s="11">
        <v>0.48796296296296293</v>
      </c>
      <c r="D18" s="11" t="s">
        <v>84</v>
      </c>
      <c r="E18" s="11">
        <v>0.52740740740740744</v>
      </c>
      <c r="F18" s="12">
        <f t="shared" si="1"/>
        <v>0.9466666666666681</v>
      </c>
      <c r="G18" s="13">
        <f t="shared" si="2"/>
        <v>0.9466666666666681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46066.708548958333</v>
      </c>
      <c r="B19" s="58" t="s">
        <v>83</v>
      </c>
      <c r="C19" s="11">
        <v>0.70854166666666663</v>
      </c>
      <c r="D19" s="11" t="s">
        <v>84</v>
      </c>
      <c r="E19" s="11">
        <v>0.77850694444444446</v>
      </c>
      <c r="F19" s="12">
        <f t="shared" si="1"/>
        <v>1.679166666666668</v>
      </c>
      <c r="G19" s="13">
        <f t="shared" si="2"/>
        <v>1.679166666666668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46066.896715509261</v>
      </c>
      <c r="B20" s="58" t="s">
        <v>82</v>
      </c>
      <c r="C20" s="11">
        <v>0.89671296296296299</v>
      </c>
      <c r="D20" s="11" t="s">
        <v>84</v>
      </c>
      <c r="E20" s="11">
        <v>0.95659722222222221</v>
      </c>
      <c r="F20" s="12">
        <f t="shared" si="1"/>
        <v>1.4372222222222213</v>
      </c>
      <c r="G20" s="13">
        <f t="shared" si="2"/>
        <v>1.4372222222222213</v>
      </c>
      <c r="H20" s="13">
        <f t="shared" si="3"/>
        <v>0</v>
      </c>
      <c r="I20" s="40" t="s">
        <v>31</v>
      </c>
      <c r="J20" s="67">
        <f>J16+J17+J18+J19</f>
        <v>49.996944444444438</v>
      </c>
      <c r="K20" s="68"/>
      <c r="L20" s="69"/>
      <c r="M20" s="41"/>
    </row>
    <row r="21" spans="1:13" ht="20.25" x14ac:dyDescent="0.25">
      <c r="A21" s="10">
        <f t="shared" ca="1" si="0"/>
        <v>46067.013626388885</v>
      </c>
      <c r="B21" s="58" t="s">
        <v>85</v>
      </c>
      <c r="C21" s="11">
        <v>1.3622685185185184E-2</v>
      </c>
      <c r="D21" s="11" t="s">
        <v>84</v>
      </c>
      <c r="E21" s="11">
        <v>0.12546296296296297</v>
      </c>
      <c r="F21" s="12">
        <f t="shared" si="1"/>
        <v>2.684166666666667</v>
      </c>
      <c r="G21" s="13">
        <f t="shared" si="2"/>
        <v>0</v>
      </c>
      <c r="H21" s="13">
        <f t="shared" si="3"/>
        <v>2.684166666666667</v>
      </c>
      <c r="I21" s="53" t="s">
        <v>78</v>
      </c>
      <c r="J21" s="54">
        <f>SUM(J8:J9)</f>
        <v>2.1022222222222213</v>
      </c>
      <c r="K21" s="37">
        <f>SUM(K8:K9)</f>
        <v>2.1022222222222213</v>
      </c>
      <c r="L21" s="38">
        <f>SUM(L8:L9)</f>
        <v>0</v>
      </c>
      <c r="M21" s="46"/>
    </row>
    <row r="22" spans="1:13" ht="18.75" x14ac:dyDescent="0.15">
      <c r="A22" s="10">
        <f t="shared" ca="1" si="0"/>
        <v>46067.48555636574</v>
      </c>
      <c r="B22" s="58" t="s">
        <v>86</v>
      </c>
      <c r="C22" s="11">
        <v>0.48555555555555557</v>
      </c>
      <c r="D22" s="11" t="s">
        <v>84</v>
      </c>
      <c r="E22" s="11">
        <v>0.56953703703703706</v>
      </c>
      <c r="F22" s="12">
        <f t="shared" si="1"/>
        <v>2.0155555555555558</v>
      </c>
      <c r="G22" s="13">
        <f t="shared" si="2"/>
        <v>2.0155555555555558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46067.832009837963</v>
      </c>
      <c r="B23" s="58" t="s">
        <v>85</v>
      </c>
      <c r="C23" s="11">
        <v>0.83200231481481479</v>
      </c>
      <c r="D23" s="11" t="s">
        <v>84</v>
      </c>
      <c r="E23" s="11">
        <v>0.95725694444444442</v>
      </c>
      <c r="F23" s="12">
        <f t="shared" si="1"/>
        <v>3.0061111111111112</v>
      </c>
      <c r="G23" s="13">
        <f t="shared" si="2"/>
        <v>3.0061111111111112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46068.292244212964</v>
      </c>
      <c r="B24" s="58" t="s">
        <v>83</v>
      </c>
      <c r="C24" s="11">
        <v>0.29329861111111111</v>
      </c>
      <c r="D24" s="11" t="s">
        <v>84</v>
      </c>
      <c r="E24" s="11">
        <v>0.36563657407407407</v>
      </c>
      <c r="F24" s="12">
        <f t="shared" si="1"/>
        <v>1.7361111111111112</v>
      </c>
      <c r="G24" s="13">
        <f t="shared" si="2"/>
        <v>0.77527777777778617</v>
      </c>
      <c r="H24" s="13">
        <f t="shared" si="3"/>
        <v>0.96083333333332499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46055.291349074076</v>
      </c>
      <c r="B3" s="58" t="s">
        <v>81</v>
      </c>
      <c r="C3" s="11">
        <v>0.2913425925925926</v>
      </c>
      <c r="D3" s="11" t="s">
        <v>84</v>
      </c>
      <c r="E3" s="11">
        <v>0.54454861111111108</v>
      </c>
      <c r="F3" s="12">
        <f t="shared" ref="F3:F66" si="1">(IF(E3-C3&lt;0,"24:00"-C3+E3,E3-C3))*24</f>
        <v>6.0769444444444431</v>
      </c>
      <c r="G3" s="13">
        <f t="shared" ref="G3:G66" si="2">F3-H3</f>
        <v>5.0691666666666739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1.0077777777777692</v>
      </c>
      <c r="I3" s="16" t="s">
        <v>19</v>
      </c>
      <c r="J3" s="17">
        <f>SUMIF(B:B,"带班主任",F:F)</f>
        <v>87.794722222222219</v>
      </c>
      <c r="K3" s="18">
        <f>SUMIF(B:B,"带班主任",G:G)</f>
        <v>64.274722222222266</v>
      </c>
      <c r="L3" s="18">
        <f>SUMIF(B:B,"带班主任",H:H)</f>
        <v>23.519999999999953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46055.790620138891</v>
      </c>
      <c r="B4" s="58" t="s">
        <v>81</v>
      </c>
      <c r="C4" s="11">
        <v>0.79061342592592598</v>
      </c>
      <c r="D4" s="11" t="s">
        <v>84</v>
      </c>
      <c r="E4" s="11">
        <v>0.94100694444444455</v>
      </c>
      <c r="F4" s="12">
        <f t="shared" si="1"/>
        <v>3.6094444444444456</v>
      </c>
      <c r="G4" s="13">
        <f t="shared" si="2"/>
        <v>3.6094444444444456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46056.291537500001</v>
      </c>
      <c r="B5" s="58" t="s">
        <v>81</v>
      </c>
      <c r="C5" s="11">
        <v>0.29152777777777777</v>
      </c>
      <c r="D5" s="11" t="s">
        <v>84</v>
      </c>
      <c r="E5" s="11">
        <v>0.37042824074074071</v>
      </c>
      <c r="F5" s="12">
        <f t="shared" si="1"/>
        <v>1.8936111111111105</v>
      </c>
      <c r="G5" s="13">
        <f t="shared" si="2"/>
        <v>0.8902777777777855</v>
      </c>
      <c r="H5" s="13">
        <f t="shared" si="3"/>
        <v>1.003333333333325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46058.355005787038</v>
      </c>
      <c r="B6" s="58" t="s">
        <v>81</v>
      </c>
      <c r="C6" s="11">
        <v>0.35499999999999998</v>
      </c>
      <c r="D6" s="11" t="s">
        <v>84</v>
      </c>
      <c r="E6" s="11">
        <v>0.5412731481481482</v>
      </c>
      <c r="F6" s="12">
        <f t="shared" si="1"/>
        <v>4.4705555555555572</v>
      </c>
      <c r="G6" s="13">
        <f t="shared" si="2"/>
        <v>4.4705555555555572</v>
      </c>
      <c r="H6" s="13">
        <f t="shared" si="3"/>
        <v>0</v>
      </c>
      <c r="I6" s="21" t="s">
        <v>22</v>
      </c>
      <c r="J6" s="22">
        <f>SUMIF(B:B,"放行席",F:F)</f>
        <v>4.0605555555555553</v>
      </c>
      <c r="K6" s="23">
        <f>SUMIF(B:B,"放行席",G:G)</f>
        <v>0</v>
      </c>
      <c r="L6" s="23">
        <f>SUMIF(B:B,"放行席",H:H)</f>
        <v>4.0605555555555553</v>
      </c>
      <c r="M6" s="19"/>
    </row>
    <row r="7" spans="1:16" ht="18.75" x14ac:dyDescent="0.25">
      <c r="A7" s="10">
        <f t="shared" ca="1" si="0"/>
        <v>46058.787957523149</v>
      </c>
      <c r="B7" s="58" t="s">
        <v>81</v>
      </c>
      <c r="C7" s="11">
        <v>0.78795138888888883</v>
      </c>
      <c r="D7" s="11" t="s">
        <v>84</v>
      </c>
      <c r="E7" s="11">
        <v>0.94502314814814825</v>
      </c>
      <c r="F7" s="12">
        <f t="shared" si="1"/>
        <v>3.7697222222222262</v>
      </c>
      <c r="G7" s="13">
        <f t="shared" si="2"/>
        <v>3.7697222222222262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46059.291465740738</v>
      </c>
      <c r="B8" s="58" t="s">
        <v>81</v>
      </c>
      <c r="C8" s="11">
        <v>0.29145833333333332</v>
      </c>
      <c r="D8" s="11" t="s">
        <v>84</v>
      </c>
      <c r="E8" s="11">
        <v>0.55028935185185179</v>
      </c>
      <c r="F8" s="12">
        <f t="shared" si="1"/>
        <v>6.2119444444444429</v>
      </c>
      <c r="G8" s="13">
        <f t="shared" si="2"/>
        <v>5.206944444444451</v>
      </c>
      <c r="H8" s="13">
        <f t="shared" si="3"/>
        <v>1.0049999999999919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46059.938067129631</v>
      </c>
      <c r="B9" s="58" t="s">
        <v>81</v>
      </c>
      <c r="C9" s="11">
        <v>0.93806712962962957</v>
      </c>
      <c r="D9" s="11" t="s">
        <v>84</v>
      </c>
      <c r="E9" s="11">
        <v>0.13613425925925926</v>
      </c>
      <c r="F9" s="12">
        <f t="shared" si="1"/>
        <v>4.7536111111111126</v>
      </c>
      <c r="G9" s="13">
        <f t="shared" si="2"/>
        <v>1.4863888888888903</v>
      </c>
      <c r="H9" s="13">
        <f t="shared" si="3"/>
        <v>3.2672222222222222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46062.582615856481</v>
      </c>
      <c r="B10" s="58" t="s">
        <v>81</v>
      </c>
      <c r="C10" s="11">
        <v>0.58261574074074074</v>
      </c>
      <c r="D10" s="11" t="s">
        <v>84</v>
      </c>
      <c r="E10" s="11">
        <v>0.73151620370370374</v>
      </c>
      <c r="F10" s="12">
        <f t="shared" si="1"/>
        <v>3.573611111111112</v>
      </c>
      <c r="G10" s="13">
        <f t="shared" si="2"/>
        <v>3.573611111111112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46063.133518865739</v>
      </c>
      <c r="B11" s="58" t="s">
        <v>81</v>
      </c>
      <c r="C11" s="11">
        <v>0.13351851851851851</v>
      </c>
      <c r="D11" s="11" t="s">
        <v>84</v>
      </c>
      <c r="E11" s="11">
        <v>0.29305555555555557</v>
      </c>
      <c r="F11" s="12">
        <f t="shared" si="1"/>
        <v>3.8288888888888897</v>
      </c>
      <c r="G11" s="13">
        <f t="shared" si="2"/>
        <v>0</v>
      </c>
      <c r="H11" s="13">
        <f t="shared" si="3"/>
        <v>3.8288888888888897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46063.789856597221</v>
      </c>
      <c r="B12" s="58" t="s">
        <v>81</v>
      </c>
      <c r="C12" s="11">
        <v>0.78984953703703698</v>
      </c>
      <c r="D12" s="11" t="s">
        <v>84</v>
      </c>
      <c r="E12" s="11">
        <v>0.94745370370370363</v>
      </c>
      <c r="F12" s="12">
        <f t="shared" si="1"/>
        <v>3.7824999999999998</v>
      </c>
      <c r="G12" s="13">
        <f t="shared" si="2"/>
        <v>3.7824999999999998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46064.130492013886</v>
      </c>
      <c r="B13" s="58" t="s">
        <v>87</v>
      </c>
      <c r="C13" s="11">
        <v>0.13048611111111111</v>
      </c>
      <c r="D13" s="11" t="s">
        <v>84</v>
      </c>
      <c r="E13" s="11">
        <v>0.2996759259259259</v>
      </c>
      <c r="F13" s="12">
        <f t="shared" si="1"/>
        <v>4.0605555555555553</v>
      </c>
      <c r="G13" s="13">
        <f t="shared" si="2"/>
        <v>0</v>
      </c>
      <c r="H13" s="13">
        <f t="shared" si="3"/>
        <v>4.0605555555555553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46066.934579398148</v>
      </c>
      <c r="B14" s="58" t="s">
        <v>81</v>
      </c>
      <c r="C14" s="11">
        <v>0.93457175925925917</v>
      </c>
      <c r="D14" s="11" t="s">
        <v>84</v>
      </c>
      <c r="E14" s="11">
        <v>0.13841435185185186</v>
      </c>
      <c r="F14" s="12">
        <f t="shared" si="1"/>
        <v>4.8922222222222249</v>
      </c>
      <c r="G14" s="13">
        <f t="shared" si="2"/>
        <v>1.5702777777777803</v>
      </c>
      <c r="H14" s="13">
        <f t="shared" si="3"/>
        <v>3.3219444444444446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46067.540383796295</v>
      </c>
      <c r="B15" s="58" t="s">
        <v>81</v>
      </c>
      <c r="C15" s="11">
        <v>0.54038194444444443</v>
      </c>
      <c r="D15" s="11" t="s">
        <v>84</v>
      </c>
      <c r="E15" s="11">
        <v>0.77652777777777782</v>
      </c>
      <c r="F15" s="12">
        <f t="shared" si="1"/>
        <v>5.6675000000000013</v>
      </c>
      <c r="G15" s="13">
        <f t="shared" si="2"/>
        <v>5.6675000000000013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46068.298460763886</v>
      </c>
      <c r="B16" s="58" t="s">
        <v>81</v>
      </c>
      <c r="C16" s="11">
        <v>0.1317939814814815</v>
      </c>
      <c r="D16" s="11" t="s">
        <v>84</v>
      </c>
      <c r="E16" s="11">
        <v>0.29848379629629629</v>
      </c>
      <c r="F16" s="12">
        <f t="shared" si="1"/>
        <v>4.0005555555555548</v>
      </c>
      <c r="G16" s="13">
        <f t="shared" si="2"/>
        <v>0</v>
      </c>
      <c r="H16" s="13">
        <f t="shared" si="3"/>
        <v>4.0005555555555548</v>
      </c>
      <c r="I16" s="35" t="s">
        <v>19</v>
      </c>
      <c r="J16" s="36">
        <f t="shared" ref="J16:L16" si="4">J3</f>
        <v>87.794722222222219</v>
      </c>
      <c r="K16" s="37">
        <f t="shared" si="4"/>
        <v>64.274722222222266</v>
      </c>
      <c r="L16" s="38">
        <f t="shared" si="4"/>
        <v>23.519999999999953</v>
      </c>
      <c r="M16" s="39"/>
    </row>
    <row r="17" spans="1:13" ht="20.25" x14ac:dyDescent="0.25">
      <c r="A17" s="10">
        <f t="shared" ca="1" si="0"/>
        <v>46070.354417245369</v>
      </c>
      <c r="B17" s="58" t="s">
        <v>81</v>
      </c>
      <c r="C17" s="11">
        <v>0.35440972222222222</v>
      </c>
      <c r="D17" s="11" t="s">
        <v>84</v>
      </c>
      <c r="E17" s="11">
        <v>0.54704861111111114</v>
      </c>
      <c r="F17" s="12">
        <f t="shared" si="1"/>
        <v>4.623333333333334</v>
      </c>
      <c r="G17" s="13">
        <f t="shared" si="2"/>
        <v>4.623333333333334</v>
      </c>
      <c r="H17" s="13">
        <f t="shared" si="3"/>
        <v>0</v>
      </c>
      <c r="I17" s="35" t="s">
        <v>29</v>
      </c>
      <c r="J17" s="36">
        <f>J4+J5+J6+J7+J10</f>
        <v>4.0605555555555553</v>
      </c>
      <c r="K17" s="37">
        <f>K4+K5+K6+K7+K10</f>
        <v>0</v>
      </c>
      <c r="L17" s="38">
        <f>L4+L5+L6+L7+L10</f>
        <v>4.0605555555555553</v>
      </c>
      <c r="M17" s="39"/>
    </row>
    <row r="18" spans="1:13" ht="20.25" x14ac:dyDescent="0.25">
      <c r="A18" s="10">
        <f t="shared" ca="1" si="0"/>
        <v>46070.789392939812</v>
      </c>
      <c r="B18" s="58" t="s">
        <v>81</v>
      </c>
      <c r="C18" s="11">
        <v>0.78938657407407409</v>
      </c>
      <c r="D18" s="11" t="s">
        <v>84</v>
      </c>
      <c r="E18" s="11">
        <v>0.94322916666666667</v>
      </c>
      <c r="F18" s="12">
        <f t="shared" si="1"/>
        <v>3.6922222222222221</v>
      </c>
      <c r="G18" s="13">
        <f t="shared" si="2"/>
        <v>3.6922222222222221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46071.290649074072</v>
      </c>
      <c r="B19" s="58" t="s">
        <v>81</v>
      </c>
      <c r="C19" s="11">
        <v>0.29064814814814816</v>
      </c>
      <c r="D19" s="11" t="s">
        <v>84</v>
      </c>
      <c r="E19" s="11">
        <v>0.54819444444444443</v>
      </c>
      <c r="F19" s="12">
        <f t="shared" si="1"/>
        <v>6.181111111111111</v>
      </c>
      <c r="G19" s="13">
        <f t="shared" si="2"/>
        <v>5.1566666666666752</v>
      </c>
      <c r="H19" s="13">
        <f t="shared" si="3"/>
        <v>1.0244444444444358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46071.935928125</v>
      </c>
      <c r="B20" s="58" t="s">
        <v>81</v>
      </c>
      <c r="C20" s="11">
        <v>0.93592592592592594</v>
      </c>
      <c r="D20" s="11" t="s">
        <v>84</v>
      </c>
      <c r="E20" s="11">
        <v>0.99649305555555545</v>
      </c>
      <c r="F20" s="12">
        <f t="shared" si="1"/>
        <v>1.4536111111111083</v>
      </c>
      <c r="G20" s="13">
        <f t="shared" si="2"/>
        <v>1.4536111111111083</v>
      </c>
      <c r="H20" s="13">
        <f t="shared" si="3"/>
        <v>0</v>
      </c>
      <c r="I20" s="40" t="s">
        <v>31</v>
      </c>
      <c r="J20" s="67">
        <f>J16+J17+J18+J19</f>
        <v>91.855277777777772</v>
      </c>
      <c r="K20" s="68"/>
      <c r="L20" s="69"/>
      <c r="M20" s="41"/>
    </row>
    <row r="21" spans="1:13" ht="20.25" x14ac:dyDescent="0.25">
      <c r="A21" s="10">
        <f t="shared" ca="1" si="0"/>
        <v>46072.068028819442</v>
      </c>
      <c r="B21" s="58" t="s">
        <v>81</v>
      </c>
      <c r="C21" s="11">
        <v>6.8020833333333336E-2</v>
      </c>
      <c r="D21" s="11" t="s">
        <v>84</v>
      </c>
      <c r="E21" s="11">
        <v>0.13688657407407409</v>
      </c>
      <c r="F21" s="12">
        <f t="shared" si="1"/>
        <v>1.6527777777777781</v>
      </c>
      <c r="G21" s="13">
        <f t="shared" si="2"/>
        <v>0</v>
      </c>
      <c r="H21" s="13">
        <f t="shared" si="3"/>
        <v>1.6527777777777781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46074.686854282409</v>
      </c>
      <c r="B22" s="58" t="s">
        <v>81</v>
      </c>
      <c r="C22" s="11">
        <v>0.68685185185185194</v>
      </c>
      <c r="D22" s="11" t="s">
        <v>84</v>
      </c>
      <c r="E22" s="11">
        <v>0.79715277777777782</v>
      </c>
      <c r="F22" s="12">
        <f t="shared" si="1"/>
        <v>2.6472222222222213</v>
      </c>
      <c r="G22" s="13">
        <f t="shared" si="2"/>
        <v>2.6472222222222213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46074.812140972223</v>
      </c>
      <c r="B23" s="58" t="s">
        <v>81</v>
      </c>
      <c r="C23" s="11">
        <v>0.81214120370370368</v>
      </c>
      <c r="D23" s="11" t="s">
        <v>84</v>
      </c>
      <c r="E23" s="11">
        <v>0.94503472222222218</v>
      </c>
      <c r="F23" s="12">
        <f t="shared" si="1"/>
        <v>3.1894444444444439</v>
      </c>
      <c r="G23" s="13">
        <f t="shared" si="2"/>
        <v>3.1894444444444439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46075.130429166667</v>
      </c>
      <c r="B24" s="58" t="s">
        <v>81</v>
      </c>
      <c r="C24" s="11">
        <v>0.13042824074074075</v>
      </c>
      <c r="D24" s="11" t="s">
        <v>84</v>
      </c>
      <c r="E24" s="11">
        <v>0.14748842592592593</v>
      </c>
      <c r="F24" s="12">
        <f t="shared" si="1"/>
        <v>0.40944444444444428</v>
      </c>
      <c r="G24" s="13">
        <f t="shared" si="2"/>
        <v>0</v>
      </c>
      <c r="H24" s="13">
        <f t="shared" si="3"/>
        <v>0.40944444444444428</v>
      </c>
      <c r="I24"/>
      <c r="J24"/>
    </row>
    <row r="25" spans="1:13" ht="18.75" x14ac:dyDescent="0.15">
      <c r="A25" s="10">
        <f t="shared" ca="1" si="0"/>
        <v>46075.215709374999</v>
      </c>
      <c r="B25" s="58" t="s">
        <v>81</v>
      </c>
      <c r="C25" s="11">
        <v>0.21570601851851853</v>
      </c>
      <c r="D25" s="11" t="s">
        <v>84</v>
      </c>
      <c r="E25" s="11">
        <v>0.29733796296296294</v>
      </c>
      <c r="F25" s="12">
        <f t="shared" si="1"/>
        <v>1.9591666666666658</v>
      </c>
      <c r="G25" s="13">
        <f t="shared" si="2"/>
        <v>0</v>
      </c>
      <c r="H25" s="13">
        <f t="shared" si="3"/>
        <v>1.9591666666666658</v>
      </c>
      <c r="I25"/>
      <c r="J25"/>
    </row>
    <row r="26" spans="1:13" ht="18.75" x14ac:dyDescent="0.15">
      <c r="A26" s="10">
        <f t="shared" ca="1" si="0"/>
        <v>46075.791376157409</v>
      </c>
      <c r="B26" s="58" t="s">
        <v>81</v>
      </c>
      <c r="C26" s="11">
        <v>0.79136574074074073</v>
      </c>
      <c r="D26" s="11" t="s">
        <v>84</v>
      </c>
      <c r="E26" s="11">
        <v>0.94515046296296301</v>
      </c>
      <c r="F26" s="12">
        <f t="shared" si="1"/>
        <v>3.6908333333333347</v>
      </c>
      <c r="G26" s="13">
        <f t="shared" si="2"/>
        <v>3.6908333333333347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46076.290024074071</v>
      </c>
      <c r="B27" s="58" t="s">
        <v>81</v>
      </c>
      <c r="C27" s="11">
        <v>0.29002314814814817</v>
      </c>
      <c r="D27" s="11" t="s">
        <v>84</v>
      </c>
      <c r="E27" s="11">
        <v>0.36354166666666665</v>
      </c>
      <c r="F27" s="12">
        <f t="shared" si="1"/>
        <v>1.7644444444444436</v>
      </c>
      <c r="G27" s="13">
        <f t="shared" si="2"/>
        <v>0.72500000000000808</v>
      </c>
      <c r="H27" s="13">
        <f t="shared" si="3"/>
        <v>1.0394444444444355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339"/>
  <sheetViews>
    <sheetView zoomScale="85" zoomScaleNormal="85" workbookViewId="0">
      <selection activeCell="D23" sqref="D2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46055.007980439812</v>
      </c>
      <c r="B3" s="58" t="s">
        <v>86</v>
      </c>
      <c r="C3" s="11">
        <v>7.9745370370370369E-3</v>
      </c>
      <c r="D3" s="11" t="s">
        <v>84</v>
      </c>
      <c r="E3" s="11">
        <v>0.11368055555555556</v>
      </c>
      <c r="F3" s="12">
        <f t="shared" ref="F3:F66" si="1">(IF(E3-C3&lt;0,"24:00"-C3+E3,E3-C3))*24</f>
        <v>2.5369444444444444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2.5369444444444444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46055.11377546296</v>
      </c>
      <c r="B4" s="58" t="s">
        <v>83</v>
      </c>
      <c r="C4" s="11">
        <v>0.11377314814814815</v>
      </c>
      <c r="D4" s="11" t="s">
        <v>84</v>
      </c>
      <c r="E4" s="11">
        <v>0.14465277777777777</v>
      </c>
      <c r="F4" s="12">
        <f t="shared" si="1"/>
        <v>0.74111111111111083</v>
      </c>
      <c r="G4" s="13">
        <f t="shared" si="2"/>
        <v>0</v>
      </c>
      <c r="H4" s="13">
        <f t="shared" si="3"/>
        <v>0.74111111111111083</v>
      </c>
      <c r="I4" s="21" t="s">
        <v>20</v>
      </c>
      <c r="J4" s="22">
        <f>SUMIF(B:B,"西塔台管制席",F:F)+SUMIF(B:B,"东塔台管制席",F:F)</f>
        <v>29.50194444444444</v>
      </c>
      <c r="K4" s="23">
        <f>SUMIF(B:B,"西塔台管制席",G:G)+SUMIF(B:B,"东塔台管制席",G:G)</f>
        <v>19.994166666666679</v>
      </c>
      <c r="L4" s="23">
        <f>SUMIF(B:B,"西塔台管制席",H:H)+SUMIF(B:B,"东塔台管制席",H:H)</f>
        <v>9.5077777777777683</v>
      </c>
      <c r="M4" s="19"/>
    </row>
    <row r="5" spans="1:16" ht="18.75" x14ac:dyDescent="0.25">
      <c r="A5" s="10">
        <f t="shared" ca="1" si="0"/>
        <v>46055.417822685187</v>
      </c>
      <c r="B5" s="58" t="s">
        <v>83</v>
      </c>
      <c r="C5" s="11">
        <v>0.41781249999999998</v>
      </c>
      <c r="D5" s="11" t="s">
        <v>84</v>
      </c>
      <c r="E5" s="11">
        <v>0.53150462962962963</v>
      </c>
      <c r="F5" s="12">
        <f t="shared" si="1"/>
        <v>2.7286111111111118</v>
      </c>
      <c r="G5" s="13">
        <f t="shared" si="2"/>
        <v>2.7286111111111118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18.208333333333332</v>
      </c>
      <c r="K5" s="23">
        <f>SUMIF(B:B,"西塔台协调席",G:G)+SUMIF(B:B,"东塔台协调席",G:G)</f>
        <v>13.358888888888895</v>
      </c>
      <c r="L5" s="23">
        <f>SUMIF(B:B,"西塔台协调席",H:H)+SUMIF(B:B,"东塔台协调席",H:H)</f>
        <v>4.8494444444444351</v>
      </c>
      <c r="M5" s="19"/>
    </row>
    <row r="6" spans="1:16" ht="18.75" x14ac:dyDescent="0.25">
      <c r="A6" s="10">
        <f t="shared" ca="1" si="0"/>
        <v>46055.792959143517</v>
      </c>
      <c r="B6" s="58" t="s">
        <v>82</v>
      </c>
      <c r="C6" s="11">
        <v>0.79295138888888894</v>
      </c>
      <c r="D6" s="11" t="s">
        <v>84</v>
      </c>
      <c r="E6" s="11">
        <v>0.88016203703703699</v>
      </c>
      <c r="F6" s="12">
        <f t="shared" si="1"/>
        <v>2.0930555555555532</v>
      </c>
      <c r="G6" s="13">
        <f t="shared" si="2"/>
        <v>2.0930555555555532</v>
      </c>
      <c r="H6" s="13">
        <f t="shared" si="3"/>
        <v>0</v>
      </c>
      <c r="I6" s="21" t="s">
        <v>22</v>
      </c>
      <c r="J6" s="22">
        <f>SUMIF(B:B,"放行席",F:F)</f>
        <v>3.9466666666666663</v>
      </c>
      <c r="K6" s="23">
        <f>SUMIF(B:B,"放行席",G:G)</f>
        <v>0</v>
      </c>
      <c r="L6" s="23">
        <f>SUMIF(B:B,"放行席",H:H)</f>
        <v>3.9466666666666663</v>
      </c>
      <c r="M6" s="19"/>
    </row>
    <row r="7" spans="1:16" ht="18.75" x14ac:dyDescent="0.25">
      <c r="A7" s="10">
        <f t="shared" ca="1" si="0"/>
        <v>46059.141377430555</v>
      </c>
      <c r="B7" s="58" t="s">
        <v>86</v>
      </c>
      <c r="C7" s="11">
        <v>0.14137731481481483</v>
      </c>
      <c r="D7" s="11" t="s">
        <v>84</v>
      </c>
      <c r="E7" s="11">
        <v>0.2283449074074074</v>
      </c>
      <c r="F7" s="12">
        <f t="shared" si="1"/>
        <v>2.0872222222222216</v>
      </c>
      <c r="G7" s="13">
        <f t="shared" si="2"/>
        <v>0</v>
      </c>
      <c r="H7" s="13">
        <f t="shared" si="3"/>
        <v>2.0872222222222216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46059.22839502315</v>
      </c>
      <c r="B8" s="58" t="s">
        <v>82</v>
      </c>
      <c r="C8" s="11">
        <v>0.22839120370370369</v>
      </c>
      <c r="D8" s="11" t="s">
        <v>84</v>
      </c>
      <c r="E8" s="11">
        <v>0.30011574074074071</v>
      </c>
      <c r="F8" s="12">
        <f t="shared" si="1"/>
        <v>1.7213888888888884</v>
      </c>
      <c r="G8" s="13">
        <f t="shared" si="2"/>
        <v>0</v>
      </c>
      <c r="H8" s="13">
        <f t="shared" si="3"/>
        <v>1.7213888888888884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46060.134246296293</v>
      </c>
      <c r="B9" s="58" t="s">
        <v>87</v>
      </c>
      <c r="C9" s="11">
        <v>0.13423611111111111</v>
      </c>
      <c r="D9" s="11" t="s">
        <v>84</v>
      </c>
      <c r="E9" s="11">
        <v>0.22309027777777779</v>
      </c>
      <c r="F9" s="12">
        <f t="shared" si="1"/>
        <v>2.1325000000000003</v>
      </c>
      <c r="G9" s="13">
        <f t="shared" si="2"/>
        <v>0</v>
      </c>
      <c r="H9" s="13">
        <f t="shared" si="3"/>
        <v>2.1325000000000003</v>
      </c>
      <c r="I9" s="21" t="s">
        <v>76</v>
      </c>
      <c r="J9" s="22">
        <f>SUMIF(B:B,"航班调度席",F:F)</f>
        <v>1.3800000000000012</v>
      </c>
      <c r="K9" s="23">
        <f>SUMIF(B:B,"航班调度席",G:G)</f>
        <v>1.3800000000000012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46062.355530092595</v>
      </c>
      <c r="B10" s="58" t="s">
        <v>82</v>
      </c>
      <c r="C10" s="11">
        <v>0.35552083333333334</v>
      </c>
      <c r="D10" s="11" t="s">
        <v>84</v>
      </c>
      <c r="E10" s="11">
        <v>0.52817129629629633</v>
      </c>
      <c r="F10" s="12">
        <f t="shared" si="1"/>
        <v>4.1436111111111114</v>
      </c>
      <c r="G10" s="13">
        <f t="shared" si="2"/>
        <v>4.1436111111111114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46062.647339814815</v>
      </c>
      <c r="B11" s="58" t="s">
        <v>83</v>
      </c>
      <c r="C11" s="11">
        <v>0.64733796296296298</v>
      </c>
      <c r="D11" s="11" t="s">
        <v>84</v>
      </c>
      <c r="E11" s="11">
        <v>0.77819444444444441</v>
      </c>
      <c r="F11" s="12">
        <f t="shared" si="1"/>
        <v>3.1405555555555544</v>
      </c>
      <c r="G11" s="13">
        <f t="shared" si="2"/>
        <v>3.1405555555555544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46063.292589583332</v>
      </c>
      <c r="B12" s="58" t="s">
        <v>83</v>
      </c>
      <c r="C12" s="11">
        <v>0.29258101851851853</v>
      </c>
      <c r="D12" s="11" t="s">
        <v>84</v>
      </c>
      <c r="E12" s="11">
        <v>0.42366898148148152</v>
      </c>
      <c r="F12" s="12">
        <f t="shared" si="1"/>
        <v>3.1461111111111117</v>
      </c>
      <c r="G12" s="13">
        <f t="shared" si="2"/>
        <v>2.168055555555565</v>
      </c>
      <c r="H12" s="13">
        <f t="shared" si="3"/>
        <v>0.9780555555555468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46063.432772800923</v>
      </c>
      <c r="B13" s="58" t="s">
        <v>90</v>
      </c>
      <c r="C13" s="11">
        <v>0.43276620370370367</v>
      </c>
      <c r="D13" s="11" t="s">
        <v>84</v>
      </c>
      <c r="E13" s="11">
        <v>0.49026620370370372</v>
      </c>
      <c r="F13" s="12">
        <f t="shared" si="1"/>
        <v>1.3800000000000012</v>
      </c>
      <c r="G13" s="13">
        <f t="shared" si="2"/>
        <v>1.3800000000000012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46063.521276620369</v>
      </c>
      <c r="B14" s="58" t="s">
        <v>82</v>
      </c>
      <c r="C14" s="11">
        <v>0.52127314814814818</v>
      </c>
      <c r="D14" s="11" t="s">
        <v>84</v>
      </c>
      <c r="E14" s="11">
        <v>0.6524537037037037</v>
      </c>
      <c r="F14" s="12">
        <f t="shared" si="1"/>
        <v>3.1483333333333325</v>
      </c>
      <c r="G14" s="13">
        <f t="shared" si="2"/>
        <v>3.1483333333333325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46063.772823611114</v>
      </c>
      <c r="B15" s="58" t="s">
        <v>83</v>
      </c>
      <c r="C15" s="11">
        <v>0.77281250000000001</v>
      </c>
      <c r="D15" s="11" t="s">
        <v>84</v>
      </c>
      <c r="E15" s="11">
        <v>0.88354166666666656</v>
      </c>
      <c r="F15" s="12">
        <f t="shared" si="1"/>
        <v>2.6574999999999971</v>
      </c>
      <c r="G15" s="13">
        <f t="shared" si="2"/>
        <v>2.6574999999999971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46074.350623032406</v>
      </c>
      <c r="B16" s="58" t="s">
        <v>83</v>
      </c>
      <c r="C16" s="11">
        <v>0.35061342592592593</v>
      </c>
      <c r="D16" s="11" t="s">
        <v>84</v>
      </c>
      <c r="E16" s="11">
        <v>0.52732638888888894</v>
      </c>
      <c r="F16" s="12">
        <f t="shared" si="1"/>
        <v>4.2411111111111124</v>
      </c>
      <c r="G16" s="13">
        <f t="shared" si="2"/>
        <v>4.2411111111111124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46074.646151851855</v>
      </c>
      <c r="B17" s="58" t="s">
        <v>82</v>
      </c>
      <c r="C17" s="11">
        <v>0.64614583333333331</v>
      </c>
      <c r="D17" s="11" t="s">
        <v>84</v>
      </c>
      <c r="E17" s="11">
        <v>0.78143518518518518</v>
      </c>
      <c r="F17" s="12">
        <f t="shared" si="1"/>
        <v>3.2469444444444449</v>
      </c>
      <c r="G17" s="13">
        <f t="shared" si="2"/>
        <v>3.2469444444444449</v>
      </c>
      <c r="H17" s="13">
        <f t="shared" si="3"/>
        <v>0</v>
      </c>
      <c r="I17" s="35" t="s">
        <v>29</v>
      </c>
      <c r="J17" s="36">
        <f>J4+J5+J6+J7+J10</f>
        <v>51.656944444444441</v>
      </c>
      <c r="K17" s="37">
        <f>K4+K5+K6+K7+K10</f>
        <v>33.353055555555571</v>
      </c>
      <c r="L17" s="38">
        <f>L4+L5+L6+L7+L10</f>
        <v>18.303888888888871</v>
      </c>
      <c r="M17" s="39"/>
    </row>
    <row r="18" spans="1:13" ht="20.25" x14ac:dyDescent="0.25">
      <c r="A18" s="10">
        <f t="shared" ca="1" si="0"/>
        <v>46075.417147106484</v>
      </c>
      <c r="B18" s="58" t="s">
        <v>83</v>
      </c>
      <c r="C18" s="11">
        <v>0.41714120370370367</v>
      </c>
      <c r="D18" s="11" t="s">
        <v>84</v>
      </c>
      <c r="E18" s="11">
        <v>0.52453703703703702</v>
      </c>
      <c r="F18" s="12">
        <f t="shared" si="1"/>
        <v>2.5775000000000006</v>
      </c>
      <c r="G18" s="13">
        <f t="shared" si="2"/>
        <v>2.5775000000000006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46075.856253819446</v>
      </c>
      <c r="B19" s="58" t="s">
        <v>83</v>
      </c>
      <c r="C19" s="11">
        <v>0.85636574074074068</v>
      </c>
      <c r="D19" s="11" t="s">
        <v>84</v>
      </c>
      <c r="E19" s="11">
        <v>0.95973379629629629</v>
      </c>
      <c r="F19" s="12">
        <f t="shared" si="1"/>
        <v>2.4808333333333348</v>
      </c>
      <c r="G19" s="13">
        <f t="shared" si="2"/>
        <v>2.4808333333333348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46076.293187847223</v>
      </c>
      <c r="B20" s="58" t="s">
        <v>82</v>
      </c>
      <c r="C20" s="11">
        <v>0.29318287037037039</v>
      </c>
      <c r="D20" s="11" t="s">
        <v>84</v>
      </c>
      <c r="E20" s="11">
        <v>0.3636226851851852</v>
      </c>
      <c r="F20" s="12">
        <f t="shared" si="1"/>
        <v>1.6905555555555556</v>
      </c>
      <c r="G20" s="13">
        <f t="shared" si="2"/>
        <v>0.72694444444445327</v>
      </c>
      <c r="H20" s="13">
        <f t="shared" si="3"/>
        <v>0.96361111111110231</v>
      </c>
      <c r="I20" s="40" t="s">
        <v>31</v>
      </c>
      <c r="J20" s="67">
        <f>J16+J17+J18+J19</f>
        <v>51.656944444444441</v>
      </c>
      <c r="K20" s="68"/>
      <c r="L20" s="69"/>
      <c r="M20" s="41"/>
    </row>
    <row r="21" spans="1:13" ht="20.25" x14ac:dyDescent="0.25">
      <c r="A21" s="10">
        <f t="shared" ca="1" si="0"/>
        <v>46079.013188773148</v>
      </c>
      <c r="B21" s="58" t="s">
        <v>86</v>
      </c>
      <c r="C21" s="11">
        <v>1.3182870370370371E-2</v>
      </c>
      <c r="D21" s="11" t="s">
        <v>84</v>
      </c>
      <c r="E21" s="11">
        <v>0.14503472222222222</v>
      </c>
      <c r="F21" s="12">
        <f t="shared" si="1"/>
        <v>3.1644444444444444</v>
      </c>
      <c r="G21" s="13">
        <f t="shared" si="2"/>
        <v>0</v>
      </c>
      <c r="H21" s="13">
        <f t="shared" si="3"/>
        <v>3.1644444444444444</v>
      </c>
      <c r="I21" s="53" t="s">
        <v>78</v>
      </c>
      <c r="J21" s="54">
        <f>SUM(J8:J9)</f>
        <v>1.3800000000000012</v>
      </c>
      <c r="K21" s="37">
        <f>SUM(K8:K9)</f>
        <v>1.3800000000000012</v>
      </c>
      <c r="L21" s="38">
        <f>SUM(L8:L9)</f>
        <v>0</v>
      </c>
      <c r="M21" s="46"/>
    </row>
    <row r="22" spans="1:13" ht="18.75" x14ac:dyDescent="0.15">
      <c r="A22" s="10">
        <f t="shared" ca="1" si="0"/>
        <v>46080.133106250003</v>
      </c>
      <c r="B22" s="58" t="s">
        <v>87</v>
      </c>
      <c r="C22" s="11">
        <v>0.13310185185185186</v>
      </c>
      <c r="D22" s="11" t="s">
        <v>84</v>
      </c>
      <c r="E22" s="11">
        <v>0.2086921296296296</v>
      </c>
      <c r="F22" s="12">
        <f t="shared" si="1"/>
        <v>1.8141666666666658</v>
      </c>
      <c r="G22" s="13">
        <f t="shared" si="2"/>
        <v>0</v>
      </c>
      <c r="H22" s="13">
        <f t="shared" si="3"/>
        <v>1.8141666666666658</v>
      </c>
      <c r="I22"/>
      <c r="J22"/>
    </row>
    <row r="23" spans="1:13" ht="18.75" x14ac:dyDescent="0.15">
      <c r="A23" s="10">
        <f t="shared" ca="1" si="0"/>
        <v>46080.208745023148</v>
      </c>
      <c r="B23" s="58" t="s">
        <v>85</v>
      </c>
      <c r="C23" s="11">
        <v>0.20873842592592592</v>
      </c>
      <c r="D23" s="11" t="s">
        <v>84</v>
      </c>
      <c r="E23" s="11">
        <v>0.2989236111111111</v>
      </c>
      <c r="F23" s="12">
        <f t="shared" si="1"/>
        <v>2.1644444444444444</v>
      </c>
      <c r="G23" s="13">
        <f t="shared" si="2"/>
        <v>0</v>
      </c>
      <c r="H23" s="13">
        <f t="shared" si="3"/>
        <v>2.1644444444444444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39"/>
  <sheetViews>
    <sheetView topLeftCell="A16" zoomScale="85" zoomScaleNormal="85" workbookViewId="0">
      <selection activeCell="E42" sqref="E4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46054.292994791664</v>
      </c>
      <c r="B3" s="58" t="s">
        <v>81</v>
      </c>
      <c r="C3" s="11">
        <v>0.29298611111111111</v>
      </c>
      <c r="D3" s="11" t="s">
        <v>84</v>
      </c>
      <c r="E3" s="11">
        <v>0.36251157407407408</v>
      </c>
      <c r="F3" s="12">
        <f t="shared" ref="F3:F66" si="1">(IF(E3-C3&lt;0,"24:00"-C3+E3,E3-C3))*24</f>
        <v>1.6686111111111113</v>
      </c>
      <c r="G3" s="13">
        <f t="shared" ref="G3:G66" si="2">F3-H3</f>
        <v>0.70027777777778644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0.96833333333332483</v>
      </c>
      <c r="I3" s="16" t="s">
        <v>19</v>
      </c>
      <c r="J3" s="17">
        <f>SUMIF(B:B,"带班主任",F:F)</f>
        <v>90.086111111111109</v>
      </c>
      <c r="K3" s="18">
        <f>SUMIF(B:B,"带班主任",G:G)</f>
        <v>60.861944444444461</v>
      </c>
      <c r="L3" s="18">
        <f>SUMIF(B:B,"带班主任",H:H)</f>
        <v>29.224166666666644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46056.35623125</v>
      </c>
      <c r="B4" s="58" t="s">
        <v>81</v>
      </c>
      <c r="C4" s="11">
        <v>0.35622685185185188</v>
      </c>
      <c r="D4" s="11" t="s">
        <v>84</v>
      </c>
      <c r="E4" s="11">
        <v>0.53123842592592596</v>
      </c>
      <c r="F4" s="12">
        <f t="shared" si="1"/>
        <v>4.200277777777778</v>
      </c>
      <c r="G4" s="13">
        <f t="shared" si="2"/>
        <v>4.200277777777778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46056.791342476849</v>
      </c>
      <c r="B5" s="58" t="s">
        <v>81</v>
      </c>
      <c r="C5" s="11">
        <v>0.79134259259259254</v>
      </c>
      <c r="D5" s="11" t="s">
        <v>84</v>
      </c>
      <c r="E5" s="11">
        <v>0.94238425925925917</v>
      </c>
      <c r="F5" s="12">
        <f t="shared" si="1"/>
        <v>3.6249999999999991</v>
      </c>
      <c r="G5" s="13">
        <f t="shared" si="2"/>
        <v>3.6249999999999991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46057.293703587966</v>
      </c>
      <c r="B6" s="58" t="s">
        <v>81</v>
      </c>
      <c r="C6" s="11">
        <v>0.29300925925925925</v>
      </c>
      <c r="D6" s="11" t="s">
        <v>84</v>
      </c>
      <c r="E6" s="11">
        <v>0.50190972222222219</v>
      </c>
      <c r="F6" s="12">
        <f t="shared" si="1"/>
        <v>5.0136111111111106</v>
      </c>
      <c r="G6" s="13">
        <f t="shared" si="2"/>
        <v>4.0458333333333414</v>
      </c>
      <c r="H6" s="13">
        <f t="shared" si="3"/>
        <v>0.96777777777776963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46057.522414236111</v>
      </c>
      <c r="B7" s="58" t="s">
        <v>81</v>
      </c>
      <c r="C7" s="11">
        <v>0.52240740740740743</v>
      </c>
      <c r="D7" s="11" t="s">
        <v>84</v>
      </c>
      <c r="E7" s="11">
        <v>0.54731481481481481</v>
      </c>
      <c r="F7" s="12">
        <f t="shared" si="1"/>
        <v>0.59777777777777708</v>
      </c>
      <c r="G7" s="13">
        <f t="shared" si="2"/>
        <v>0.59777777777777708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46057.938990277777</v>
      </c>
      <c r="B8" s="58" t="s">
        <v>81</v>
      </c>
      <c r="C8" s="11">
        <v>0.93898148148148142</v>
      </c>
      <c r="D8" s="11" t="s">
        <v>84</v>
      </c>
      <c r="E8" s="11">
        <v>0.13414351851851852</v>
      </c>
      <c r="F8" s="12">
        <f t="shared" si="1"/>
        <v>4.683888888888891</v>
      </c>
      <c r="G8" s="13">
        <f t="shared" si="2"/>
        <v>1.4644444444444464</v>
      </c>
      <c r="H8" s="13">
        <f t="shared" si="3"/>
        <v>3.2194444444444446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46060.542562847222</v>
      </c>
      <c r="B9" s="58" t="s">
        <v>81</v>
      </c>
      <c r="C9" s="11">
        <v>0.5425578703703704</v>
      </c>
      <c r="D9" s="11" t="s">
        <v>84</v>
      </c>
      <c r="E9" s="11">
        <v>0.79487268518518517</v>
      </c>
      <c r="F9" s="12">
        <f t="shared" si="1"/>
        <v>6.0555555555555545</v>
      </c>
      <c r="G9" s="13">
        <f t="shared" si="2"/>
        <v>6.0555555555555545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46061.133254745371</v>
      </c>
      <c r="B10" s="58" t="s">
        <v>81</v>
      </c>
      <c r="C10" s="11">
        <v>0.13325231481481481</v>
      </c>
      <c r="D10" s="11" t="s">
        <v>84</v>
      </c>
      <c r="E10" s="11">
        <v>0.29659722222222223</v>
      </c>
      <c r="F10" s="12">
        <f t="shared" si="1"/>
        <v>3.9202777777777782</v>
      </c>
      <c r="G10" s="13">
        <f t="shared" si="2"/>
        <v>0</v>
      </c>
      <c r="H10" s="13">
        <f t="shared" si="3"/>
        <v>3.9202777777777782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46061.79059178241</v>
      </c>
      <c r="B11" s="58" t="s">
        <v>81</v>
      </c>
      <c r="C11" s="11">
        <v>0.79059027777777768</v>
      </c>
      <c r="D11" s="11" t="s">
        <v>84</v>
      </c>
      <c r="E11" s="11">
        <v>0.93843750000000004</v>
      </c>
      <c r="F11" s="12">
        <f t="shared" si="1"/>
        <v>3.5483333333333364</v>
      </c>
      <c r="G11" s="13">
        <f t="shared" si="2"/>
        <v>3.5483333333333364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46062.291776967591</v>
      </c>
      <c r="B12" s="58" t="s">
        <v>81</v>
      </c>
      <c r="C12" s="11">
        <v>0.29177083333333337</v>
      </c>
      <c r="D12" s="11" t="s">
        <v>84</v>
      </c>
      <c r="E12" s="11">
        <v>0.35872685185185182</v>
      </c>
      <c r="F12" s="12">
        <f t="shared" si="1"/>
        <v>1.606944444444443</v>
      </c>
      <c r="G12" s="13">
        <f t="shared" si="2"/>
        <v>0.60944444444445223</v>
      </c>
      <c r="H12" s="13">
        <f t="shared" si="3"/>
        <v>0.99749999999999073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46063.938892129627</v>
      </c>
      <c r="B13" s="58" t="s">
        <v>81</v>
      </c>
      <c r="C13" s="11">
        <v>0.93888888888888899</v>
      </c>
      <c r="D13" s="11" t="s">
        <v>84</v>
      </c>
      <c r="E13" s="11">
        <v>0.13665509259259259</v>
      </c>
      <c r="F13" s="12">
        <f t="shared" si="1"/>
        <v>4.7463888888888865</v>
      </c>
      <c r="G13" s="13">
        <f t="shared" si="2"/>
        <v>1.4666666666666641</v>
      </c>
      <c r="H13" s="13">
        <f t="shared" si="3"/>
        <v>3.2797222222222224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46064.937727893521</v>
      </c>
      <c r="B14" s="58" t="s">
        <v>81</v>
      </c>
      <c r="C14" s="11">
        <v>0.9377199074074074</v>
      </c>
      <c r="D14" s="11" t="s">
        <v>84</v>
      </c>
      <c r="E14" s="11">
        <v>0.13642361111111112</v>
      </c>
      <c r="F14" s="12">
        <f t="shared" si="1"/>
        <v>4.7688888888888892</v>
      </c>
      <c r="G14" s="13">
        <f t="shared" si="2"/>
        <v>1.4947222222222223</v>
      </c>
      <c r="H14" s="13">
        <f t="shared" si="3"/>
        <v>3.2741666666666669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46065.542056597224</v>
      </c>
      <c r="B15" s="58" t="s">
        <v>81</v>
      </c>
      <c r="C15" s="11">
        <v>0.54204861111111113</v>
      </c>
      <c r="D15" s="11" t="s">
        <v>84</v>
      </c>
      <c r="E15" s="11">
        <v>0.75135416666666666</v>
      </c>
      <c r="F15" s="12">
        <f t="shared" si="1"/>
        <v>5.0233333333333325</v>
      </c>
      <c r="G15" s="13">
        <f t="shared" si="2"/>
        <v>5.0233333333333325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46065.767510879632</v>
      </c>
      <c r="B16" s="58" t="s">
        <v>81</v>
      </c>
      <c r="C16" s="11">
        <v>0.76750000000000007</v>
      </c>
      <c r="D16" s="11" t="s">
        <v>84</v>
      </c>
      <c r="E16" s="11">
        <v>0.79667824074074067</v>
      </c>
      <c r="F16" s="12">
        <f t="shared" si="1"/>
        <v>0.70027777777777445</v>
      </c>
      <c r="G16" s="13">
        <f t="shared" si="2"/>
        <v>0.70027777777777445</v>
      </c>
      <c r="H16" s="13">
        <f t="shared" si="3"/>
        <v>0</v>
      </c>
      <c r="I16" s="35" t="s">
        <v>19</v>
      </c>
      <c r="J16" s="36">
        <f t="shared" ref="J16:L16" si="4">J3</f>
        <v>90.086111111111109</v>
      </c>
      <c r="K16" s="37">
        <f t="shared" si="4"/>
        <v>60.861944444444461</v>
      </c>
      <c r="L16" s="38">
        <f t="shared" si="4"/>
        <v>29.224166666666644</v>
      </c>
      <c r="M16" s="39"/>
    </row>
    <row r="17" spans="1:13" ht="20.25" x14ac:dyDescent="0.25">
      <c r="A17" s="10">
        <f t="shared" ca="1" si="0"/>
        <v>46066.132973495369</v>
      </c>
      <c r="B17" s="58" t="s">
        <v>81</v>
      </c>
      <c r="C17" s="11">
        <v>0.13296296296296298</v>
      </c>
      <c r="D17" s="11" t="s">
        <v>84</v>
      </c>
      <c r="E17" s="11">
        <v>0.29608796296296297</v>
      </c>
      <c r="F17" s="12">
        <f t="shared" si="1"/>
        <v>3.915</v>
      </c>
      <c r="G17" s="13">
        <f t="shared" si="2"/>
        <v>0</v>
      </c>
      <c r="H17" s="13">
        <f t="shared" si="3"/>
        <v>3.915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46068.54202789352</v>
      </c>
      <c r="B18" s="58" t="s">
        <v>81</v>
      </c>
      <c r="C18" s="11">
        <v>0.54202546296296295</v>
      </c>
      <c r="D18" s="11" t="s">
        <v>84</v>
      </c>
      <c r="E18" s="11">
        <v>0.73938657407407404</v>
      </c>
      <c r="F18" s="12">
        <f t="shared" si="1"/>
        <v>4.7366666666666664</v>
      </c>
      <c r="G18" s="13">
        <f t="shared" si="2"/>
        <v>4.7366666666666664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46068.764707986113</v>
      </c>
      <c r="B19" s="58" t="s">
        <v>81</v>
      </c>
      <c r="C19" s="11">
        <v>0.76469907407407411</v>
      </c>
      <c r="D19" s="11" t="s">
        <v>84</v>
      </c>
      <c r="E19" s="11">
        <v>0.79555555555555557</v>
      </c>
      <c r="F19" s="12">
        <f t="shared" si="1"/>
        <v>0.74055555555555497</v>
      </c>
      <c r="G19" s="13">
        <f t="shared" si="2"/>
        <v>0.74055555555555497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46069.133473263886</v>
      </c>
      <c r="B20" s="58" t="s">
        <v>81</v>
      </c>
      <c r="C20" s="11">
        <v>0.13347222222222221</v>
      </c>
      <c r="D20" s="11" t="s">
        <v>84</v>
      </c>
      <c r="E20" s="11">
        <v>0.18120370370370373</v>
      </c>
      <c r="F20" s="12">
        <f t="shared" si="1"/>
        <v>1.1455555555555563</v>
      </c>
      <c r="G20" s="13">
        <f t="shared" si="2"/>
        <v>0</v>
      </c>
      <c r="H20" s="13">
        <f t="shared" si="3"/>
        <v>1.1455555555555563</v>
      </c>
      <c r="I20" s="40" t="s">
        <v>31</v>
      </c>
      <c r="J20" s="67">
        <f>J16+J17+J18+J19</f>
        <v>90.086111111111109</v>
      </c>
      <c r="K20" s="68"/>
      <c r="L20" s="69"/>
      <c r="M20" s="41"/>
    </row>
    <row r="21" spans="1:13" ht="20.25" x14ac:dyDescent="0.25">
      <c r="A21" s="10">
        <f t="shared" ca="1" si="0"/>
        <v>46069.22599097222</v>
      </c>
      <c r="B21" s="58" t="s">
        <v>81</v>
      </c>
      <c r="C21" s="11">
        <v>0.22598379629629628</v>
      </c>
      <c r="D21" s="11" t="s">
        <v>84</v>
      </c>
      <c r="E21" s="11">
        <v>0.29619212962962965</v>
      </c>
      <c r="F21" s="12">
        <f t="shared" si="1"/>
        <v>1.6850000000000009</v>
      </c>
      <c r="G21" s="13">
        <f t="shared" si="2"/>
        <v>0</v>
      </c>
      <c r="H21" s="13">
        <f t="shared" si="3"/>
        <v>1.6850000000000009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46069.790546180557</v>
      </c>
      <c r="B22" s="58" t="s">
        <v>81</v>
      </c>
      <c r="C22" s="11">
        <v>0.79054398148148142</v>
      </c>
      <c r="D22" s="11" t="s">
        <v>84</v>
      </c>
      <c r="E22" s="11">
        <v>0.8224421296296297</v>
      </c>
      <c r="F22" s="12">
        <f t="shared" si="1"/>
        <v>0.76555555555555888</v>
      </c>
      <c r="G22" s="13">
        <f t="shared" si="2"/>
        <v>0.76555555555555888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46069.884466319447</v>
      </c>
      <c r="B23" s="58" t="s">
        <v>81</v>
      </c>
      <c r="C23" s="11">
        <v>0.88445601851851852</v>
      </c>
      <c r="D23" s="11" t="s">
        <v>84</v>
      </c>
      <c r="E23" s="11">
        <v>0.94186342592592587</v>
      </c>
      <c r="F23" s="12">
        <f t="shared" si="1"/>
        <v>1.3777777777777764</v>
      </c>
      <c r="G23" s="13">
        <f t="shared" si="2"/>
        <v>1.3777777777777764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46070.292971990741</v>
      </c>
      <c r="B24" s="58" t="s">
        <v>81</v>
      </c>
      <c r="C24" s="11">
        <v>0.29296296296296298</v>
      </c>
      <c r="D24" s="11" t="s">
        <v>84</v>
      </c>
      <c r="E24" s="11">
        <v>0.30790509259259258</v>
      </c>
      <c r="F24" s="12">
        <f t="shared" si="1"/>
        <v>0.35861111111111033</v>
      </c>
      <c r="G24" s="13">
        <f t="shared" si="2"/>
        <v>0</v>
      </c>
      <c r="H24" s="13">
        <f t="shared" si="3"/>
        <v>0.35861111111111033</v>
      </c>
      <c r="I24"/>
      <c r="J24"/>
    </row>
    <row r="25" spans="1:13" ht="18.75" x14ac:dyDescent="0.15">
      <c r="A25" s="10">
        <f t="shared" ca="1" si="0"/>
        <v>46070.343620486114</v>
      </c>
      <c r="B25" s="58" t="s">
        <v>81</v>
      </c>
      <c r="C25" s="11">
        <v>0.34361111111111109</v>
      </c>
      <c r="D25" s="11" t="s">
        <v>84</v>
      </c>
      <c r="E25" s="11">
        <v>0.36085648148148147</v>
      </c>
      <c r="F25" s="12">
        <f t="shared" si="1"/>
        <v>0.41388888888888919</v>
      </c>
      <c r="G25" s="13">
        <f t="shared" si="2"/>
        <v>0.41388888888888919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46072.351240625001</v>
      </c>
      <c r="B26" s="58" t="s">
        <v>81</v>
      </c>
      <c r="C26" s="11">
        <v>0.35123842592592597</v>
      </c>
      <c r="D26" s="11" t="s">
        <v>84</v>
      </c>
      <c r="E26" s="11">
        <v>0.4074652777777778</v>
      </c>
      <c r="F26" s="12">
        <f t="shared" si="1"/>
        <v>1.349444444444444</v>
      </c>
      <c r="G26" s="13">
        <f t="shared" si="2"/>
        <v>1.349444444444444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46072.453556828703</v>
      </c>
      <c r="B27" s="58" t="s">
        <v>81</v>
      </c>
      <c r="C27" s="11">
        <v>0.45355324074074077</v>
      </c>
      <c r="D27" s="11" t="s">
        <v>84</v>
      </c>
      <c r="E27" s="11">
        <v>0.49276620370370372</v>
      </c>
      <c r="F27" s="12">
        <f t="shared" si="1"/>
        <v>0.94111111111111079</v>
      </c>
      <c r="G27" s="13">
        <f t="shared" si="2"/>
        <v>0.94111111111111079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46072.519649652779</v>
      </c>
      <c r="B28" s="58" t="s">
        <v>81</v>
      </c>
      <c r="C28" s="11">
        <v>0.5196412037037037</v>
      </c>
      <c r="D28" s="11" t="s">
        <v>84</v>
      </c>
      <c r="E28" s="11">
        <v>0.54754629629629636</v>
      </c>
      <c r="F28" s="12">
        <f t="shared" si="1"/>
        <v>0.66972222222222388</v>
      </c>
      <c r="G28" s="13">
        <f t="shared" si="2"/>
        <v>0.66972222222222388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46072.790315162034</v>
      </c>
      <c r="B29" s="58" t="s">
        <v>81</v>
      </c>
      <c r="C29" s="11">
        <v>0.79031250000000008</v>
      </c>
      <c r="D29" s="11" t="s">
        <v>84</v>
      </c>
      <c r="E29" s="11">
        <v>0.90021990740740743</v>
      </c>
      <c r="F29" s="12">
        <f t="shared" si="1"/>
        <v>2.6377777777777762</v>
      </c>
      <c r="G29" s="13">
        <f t="shared" si="2"/>
        <v>2.6377777777777762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46072.934255324071</v>
      </c>
      <c r="B30" s="58" t="s">
        <v>81</v>
      </c>
      <c r="C30" s="11">
        <v>0.93424768518518519</v>
      </c>
      <c r="D30" s="11" t="s">
        <v>84</v>
      </c>
      <c r="E30" s="11">
        <v>0.94268518518518529</v>
      </c>
      <c r="F30" s="12">
        <f t="shared" si="1"/>
        <v>0.20250000000000234</v>
      </c>
      <c r="G30" s="13">
        <f t="shared" si="2"/>
        <v>0.20250000000000234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46073.292978472222</v>
      </c>
      <c r="B31" s="58" t="s">
        <v>81</v>
      </c>
      <c r="C31" s="11">
        <v>0.29297453703703702</v>
      </c>
      <c r="D31" s="11" t="s">
        <v>84</v>
      </c>
      <c r="E31" s="11">
        <v>0.30687500000000001</v>
      </c>
      <c r="F31" s="12">
        <f t="shared" si="1"/>
        <v>0.33361111111111175</v>
      </c>
      <c r="G31" s="13">
        <f t="shared" si="2"/>
        <v>0</v>
      </c>
      <c r="H31" s="13">
        <f t="shared" si="3"/>
        <v>0.33361111111111175</v>
      </c>
      <c r="I31"/>
      <c r="J31"/>
    </row>
    <row r="32" spans="1:13" ht="18.75" x14ac:dyDescent="0.15">
      <c r="A32" s="10">
        <f t="shared" ca="1" si="0"/>
        <v>46073.344483912035</v>
      </c>
      <c r="B32" s="58" t="s">
        <v>81</v>
      </c>
      <c r="C32" s="11">
        <v>0.34309027777777779</v>
      </c>
      <c r="D32" s="11" t="s">
        <v>84</v>
      </c>
      <c r="E32" s="11">
        <v>0.49101851851851852</v>
      </c>
      <c r="F32" s="12">
        <f t="shared" si="1"/>
        <v>3.5502777777777776</v>
      </c>
      <c r="G32" s="13">
        <f t="shared" si="2"/>
        <v>3.5502777777777776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46073.515627777779</v>
      </c>
      <c r="B33" s="58" t="s">
        <v>81</v>
      </c>
      <c r="C33" s="11">
        <v>0.515625</v>
      </c>
      <c r="D33" s="11" t="s">
        <v>84</v>
      </c>
      <c r="E33" s="11">
        <v>0.54604166666666665</v>
      </c>
      <c r="F33" s="12">
        <f t="shared" si="1"/>
        <v>0.72999999999999954</v>
      </c>
      <c r="G33" s="13">
        <f t="shared" si="2"/>
        <v>0.72999999999999954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46073.938757175929</v>
      </c>
      <c r="B34" s="58" t="s">
        <v>81</v>
      </c>
      <c r="C34" s="11">
        <v>0.93875000000000008</v>
      </c>
      <c r="D34" s="11" t="s">
        <v>84</v>
      </c>
      <c r="E34" s="11">
        <v>0.99603009259259256</v>
      </c>
      <c r="F34" s="12">
        <f t="shared" si="1"/>
        <v>1.3747222222222195</v>
      </c>
      <c r="G34" s="13">
        <f t="shared" si="2"/>
        <v>1.3747222222222195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46074.026467129632</v>
      </c>
      <c r="B35" s="58" t="s">
        <v>81</v>
      </c>
      <c r="C35" s="11">
        <v>2.6458333333333334E-2</v>
      </c>
      <c r="D35" s="11" t="s">
        <v>84</v>
      </c>
      <c r="E35" s="11">
        <v>5.2222222222222225E-2</v>
      </c>
      <c r="F35" s="12">
        <f t="shared" si="1"/>
        <v>0.6183333333333334</v>
      </c>
      <c r="G35" s="13">
        <f t="shared" si="2"/>
        <v>0</v>
      </c>
      <c r="H35" s="13">
        <f t="shared" si="3"/>
        <v>0.6183333333333334</v>
      </c>
      <c r="I35"/>
      <c r="J35"/>
    </row>
    <row r="36" spans="1:11" ht="18.75" x14ac:dyDescent="0.15">
      <c r="A36" s="10">
        <f t="shared" ca="1" si="0"/>
        <v>46074.074829398145</v>
      </c>
      <c r="B36" s="58" t="s">
        <v>81</v>
      </c>
      <c r="C36" s="11">
        <v>7.4826388888888887E-2</v>
      </c>
      <c r="D36" s="11" t="s">
        <v>84</v>
      </c>
      <c r="E36" s="11">
        <v>0.1304976851851852</v>
      </c>
      <c r="F36" s="12">
        <f t="shared" si="1"/>
        <v>1.3361111111111117</v>
      </c>
      <c r="G36" s="13">
        <f t="shared" si="2"/>
        <v>0</v>
      </c>
      <c r="H36" s="13">
        <f t="shared" si="3"/>
        <v>1.3361111111111117</v>
      </c>
      <c r="I36"/>
      <c r="J36"/>
    </row>
    <row r="37" spans="1:11" ht="18.75" x14ac:dyDescent="0.15">
      <c r="A37" s="10">
        <f t="shared" ca="1" si="0"/>
        <v>46080.938991898147</v>
      </c>
      <c r="B37" s="58" t="s">
        <v>81</v>
      </c>
      <c r="C37" s="11">
        <v>0.93898148148148142</v>
      </c>
      <c r="D37" s="11" t="s">
        <v>84</v>
      </c>
      <c r="E37" s="11">
        <v>0.1335300925925926</v>
      </c>
      <c r="F37" s="12">
        <f t="shared" si="1"/>
        <v>4.6691666666666682</v>
      </c>
      <c r="G37" s="13">
        <f t="shared" si="2"/>
        <v>1.464444444444446</v>
      </c>
      <c r="H37" s="13">
        <f t="shared" si="3"/>
        <v>3.2047222222222222</v>
      </c>
      <c r="I37"/>
      <c r="J37"/>
    </row>
    <row r="38" spans="1:11" ht="18.75" x14ac:dyDescent="0.15">
      <c r="A38" s="10">
        <f t="shared" ca="1" si="0"/>
        <v>46081.541902777775</v>
      </c>
      <c r="B38" s="58" t="s">
        <v>81</v>
      </c>
      <c r="C38" s="11">
        <v>0.54189814814814818</v>
      </c>
      <c r="D38" s="11" t="s">
        <v>84</v>
      </c>
      <c r="E38" s="11">
        <v>0.69619212962962962</v>
      </c>
      <c r="F38" s="12">
        <f t="shared" si="1"/>
        <v>3.7030555555555544</v>
      </c>
      <c r="G38" s="13">
        <f t="shared" si="2"/>
        <v>3.7030555555555544</v>
      </c>
      <c r="H38" s="13">
        <f t="shared" si="3"/>
        <v>0</v>
      </c>
      <c r="I38" s="42"/>
      <c r="J38" s="43"/>
      <c r="K38" s="11"/>
    </row>
    <row r="39" spans="1:11" ht="18.75" x14ac:dyDescent="0.15">
      <c r="A39" s="10">
        <f t="shared" ca="1" si="0"/>
        <v>46081.764670833334</v>
      </c>
      <c r="B39" s="58" t="s">
        <v>81</v>
      </c>
      <c r="C39" s="11">
        <v>0.76466435185185189</v>
      </c>
      <c r="D39" s="11" t="s">
        <v>84</v>
      </c>
      <c r="E39" s="11">
        <v>0.78964120370370372</v>
      </c>
      <c r="F39" s="12">
        <f t="shared" si="1"/>
        <v>0.599444444444444</v>
      </c>
      <c r="G39" s="13">
        <f t="shared" si="2"/>
        <v>0.599444444444444</v>
      </c>
      <c r="H39" s="13">
        <f t="shared" si="3"/>
        <v>0</v>
      </c>
      <c r="I39" s="42"/>
      <c r="J39" s="43"/>
      <c r="K39" s="11"/>
    </row>
    <row r="40" spans="1:11" ht="18.75" x14ac:dyDescent="0.15">
      <c r="A40" s="10">
        <f t="shared" ca="1" si="0"/>
        <v>46081.827208680559</v>
      </c>
      <c r="B40" s="58" t="s">
        <v>81</v>
      </c>
      <c r="C40" s="11">
        <v>0.82719907407407411</v>
      </c>
      <c r="D40" s="11" t="s">
        <v>84</v>
      </c>
      <c r="E40" s="11">
        <v>0.86438657407407404</v>
      </c>
      <c r="F40" s="12">
        <f t="shared" si="1"/>
        <v>0.89249999999999829</v>
      </c>
      <c r="G40" s="13">
        <f t="shared" si="2"/>
        <v>0.89249999999999829</v>
      </c>
      <c r="H40" s="13">
        <f t="shared" si="3"/>
        <v>0</v>
      </c>
      <c r="I40" s="42"/>
      <c r="J40" s="43"/>
      <c r="K40" s="11"/>
    </row>
    <row r="41" spans="1:11" ht="18.75" x14ac:dyDescent="0.15">
      <c r="A41" s="10">
        <f t="shared" ca="1" si="0"/>
        <v>46081.892281018518</v>
      </c>
      <c r="B41" s="58" t="s">
        <v>81</v>
      </c>
      <c r="C41" s="11">
        <v>0.89228009259259267</v>
      </c>
      <c r="D41" s="11" t="s">
        <v>84</v>
      </c>
      <c r="E41" s="11">
        <v>0.94146990740740744</v>
      </c>
      <c r="F41" s="12">
        <f t="shared" si="1"/>
        <v>1.1805555555555545</v>
      </c>
      <c r="G41" s="13">
        <f t="shared" si="2"/>
        <v>1.1805555555555545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339"/>
  <sheetViews>
    <sheetView topLeftCell="A10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46054.138064004626</v>
      </c>
      <c r="B3" s="58" t="s">
        <v>88</v>
      </c>
      <c r="C3" s="11">
        <v>0.13805555555555557</v>
      </c>
      <c r="D3" s="11" t="s">
        <v>84</v>
      </c>
      <c r="E3" s="11">
        <v>0.23221064814814815</v>
      </c>
      <c r="F3" s="12">
        <f t="shared" ref="F3:F66" si="1">(IF(E3-C3&lt;0,"24:00"-C3+E3,E3-C3))*24</f>
        <v>2.259722222222222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2.259722222222222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46061.012245138889</v>
      </c>
      <c r="B4" s="58" t="s">
        <v>82</v>
      </c>
      <c r="C4" s="11">
        <v>1.224537037037037E-2</v>
      </c>
      <c r="D4" s="11" t="s">
        <v>84</v>
      </c>
      <c r="E4" s="11">
        <v>0.1170486111111111</v>
      </c>
      <c r="F4" s="12">
        <f t="shared" si="1"/>
        <v>2.5152777777777775</v>
      </c>
      <c r="G4" s="13">
        <f t="shared" si="2"/>
        <v>0</v>
      </c>
      <c r="H4" s="13">
        <f t="shared" si="3"/>
        <v>2.5152777777777775</v>
      </c>
      <c r="I4" s="21" t="s">
        <v>20</v>
      </c>
      <c r="J4" s="22">
        <f>SUMIF(B:B,"西塔台管制席",F:F)+SUMIF(B:B,"东塔台管制席",F:F)</f>
        <v>28.529444444444447</v>
      </c>
      <c r="K4" s="23">
        <f>SUMIF(B:B,"西塔台管制席",G:G)+SUMIF(B:B,"东塔台管制席",G:G)</f>
        <v>24.398333333333348</v>
      </c>
      <c r="L4" s="23">
        <f>SUMIF(B:B,"西塔台管制席",H:H)+SUMIF(B:B,"东塔台管制席",H:H)</f>
        <v>4.1311111111111032</v>
      </c>
      <c r="M4" s="19"/>
    </row>
    <row r="5" spans="1:16" ht="18.75" x14ac:dyDescent="0.25">
      <c r="A5" s="10">
        <f t="shared" ca="1" si="0"/>
        <v>46061.117197685184</v>
      </c>
      <c r="B5" s="58" t="s">
        <v>86</v>
      </c>
      <c r="C5" s="11">
        <v>0.1171875</v>
      </c>
      <c r="D5" s="11" t="s">
        <v>84</v>
      </c>
      <c r="E5" s="11">
        <v>0.14451388888888889</v>
      </c>
      <c r="F5" s="12">
        <f t="shared" si="1"/>
        <v>0.65583333333333327</v>
      </c>
      <c r="G5" s="13">
        <f t="shared" si="2"/>
        <v>0</v>
      </c>
      <c r="H5" s="13">
        <f t="shared" si="3"/>
        <v>0.65583333333333327</v>
      </c>
      <c r="I5" s="21" t="s">
        <v>21</v>
      </c>
      <c r="J5" s="22">
        <f>SUMIF(B:B,"西塔台协调席",F:F)+SUMIF(B:B,"东塔台协调席",F:F)</f>
        <v>25.637222222222217</v>
      </c>
      <c r="K5" s="23">
        <f>SUMIF(B:B,"西塔台协调席",G:G)+SUMIF(B:B,"东塔台协调席",G:G)</f>
        <v>20.019166666666671</v>
      </c>
      <c r="L5" s="23">
        <f>SUMIF(B:B,"西塔台协调席",H:H)+SUMIF(B:B,"东塔台协调席",H:H)</f>
        <v>5.6180555555555456</v>
      </c>
      <c r="M5" s="19"/>
    </row>
    <row r="6" spans="1:16" ht="18.75" x14ac:dyDescent="0.25">
      <c r="A6" s="10">
        <f t="shared" ca="1" si="0"/>
        <v>46068.549254745369</v>
      </c>
      <c r="B6" s="58" t="s">
        <v>82</v>
      </c>
      <c r="C6" s="11">
        <v>0.4992476851851852</v>
      </c>
      <c r="D6" s="11" t="s">
        <v>84</v>
      </c>
      <c r="E6" s="11">
        <v>0.54939814814814814</v>
      </c>
      <c r="F6" s="12">
        <f t="shared" si="1"/>
        <v>1.2036111111111105</v>
      </c>
      <c r="G6" s="13">
        <f t="shared" si="2"/>
        <v>1.2036111111111105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46068.562640625001</v>
      </c>
      <c r="B7" s="58" t="s">
        <v>82</v>
      </c>
      <c r="C7" s="11">
        <v>0.56263888888888891</v>
      </c>
      <c r="D7" s="11" t="s">
        <v>84</v>
      </c>
      <c r="E7" s="11">
        <v>0.61253472222222227</v>
      </c>
      <c r="F7" s="12">
        <f t="shared" si="1"/>
        <v>1.1975000000000007</v>
      </c>
      <c r="G7" s="13">
        <f t="shared" si="2"/>
        <v>1.1975000000000007</v>
      </c>
      <c r="H7" s="13">
        <f t="shared" si="3"/>
        <v>0</v>
      </c>
      <c r="I7" s="21" t="s">
        <v>23</v>
      </c>
      <c r="J7" s="22">
        <f>SUMIF(B:B,"地面席",F:F)</f>
        <v>2.259722222222222</v>
      </c>
      <c r="K7" s="23">
        <f>SUMIF(B:B,"地面席",G:G)</f>
        <v>0</v>
      </c>
      <c r="L7" s="23">
        <f>SUMIF(B:B,"地面席",H:H)</f>
        <v>2.259722222222222</v>
      </c>
      <c r="M7" s="19"/>
    </row>
    <row r="8" spans="1:16" ht="18.75" x14ac:dyDescent="0.25">
      <c r="A8" s="10">
        <f t="shared" ca="1" si="0"/>
        <v>46068.708683101853</v>
      </c>
      <c r="B8" s="58" t="s">
        <v>82</v>
      </c>
      <c r="C8" s="11">
        <v>0.70868055555555554</v>
      </c>
      <c r="D8" s="11" t="s">
        <v>84</v>
      </c>
      <c r="E8" s="11">
        <v>0.75559027777777776</v>
      </c>
      <c r="F8" s="12">
        <f t="shared" si="1"/>
        <v>1.1258333333333335</v>
      </c>
      <c r="G8" s="13">
        <f t="shared" si="2"/>
        <v>1.1258333333333335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46068.835355787036</v>
      </c>
      <c r="B9" s="58" t="s">
        <v>83</v>
      </c>
      <c r="C9" s="11">
        <v>0.83534722222222213</v>
      </c>
      <c r="D9" s="11" t="s">
        <v>84</v>
      </c>
      <c r="E9" s="11">
        <v>0.96651620370370372</v>
      </c>
      <c r="F9" s="12">
        <f t="shared" si="1"/>
        <v>3.1480555555555583</v>
      </c>
      <c r="G9" s="13">
        <f t="shared" si="2"/>
        <v>3.1480555555555583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46069.416264583335</v>
      </c>
      <c r="B10" s="58" t="s">
        <v>83</v>
      </c>
      <c r="C10" s="11">
        <v>0.41626157407407405</v>
      </c>
      <c r="D10" s="11" t="s">
        <v>84</v>
      </c>
      <c r="E10" s="11">
        <v>0.50539351851851855</v>
      </c>
      <c r="F10" s="12">
        <f t="shared" si="1"/>
        <v>2.139166666666668</v>
      </c>
      <c r="G10" s="13">
        <f t="shared" si="2"/>
        <v>2.139166666666668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46069.585482291666</v>
      </c>
      <c r="B11" s="58" t="s">
        <v>83</v>
      </c>
      <c r="C11" s="11">
        <v>0.585474537037037</v>
      </c>
      <c r="D11" s="11" t="s">
        <v>84</v>
      </c>
      <c r="E11" s="11">
        <v>0.67216435185185175</v>
      </c>
      <c r="F11" s="12">
        <f t="shared" si="1"/>
        <v>2.0805555555555539</v>
      </c>
      <c r="G11" s="13">
        <f t="shared" si="2"/>
        <v>2.0805555555555539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46069.832949537034</v>
      </c>
      <c r="B12" s="58" t="s">
        <v>83</v>
      </c>
      <c r="C12" s="11">
        <v>0.83293981481481483</v>
      </c>
      <c r="D12" s="11" t="s">
        <v>84</v>
      </c>
      <c r="E12" s="11">
        <v>0.93921296296296297</v>
      </c>
      <c r="F12" s="12">
        <f t="shared" si="1"/>
        <v>2.5505555555555555</v>
      </c>
      <c r="G12" s="13">
        <f t="shared" si="2"/>
        <v>2.5505555555555555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46070.299574652781</v>
      </c>
      <c r="B13" s="58" t="s">
        <v>82</v>
      </c>
      <c r="C13" s="11">
        <v>0.29957175925925927</v>
      </c>
      <c r="D13" s="11" t="s">
        <v>84</v>
      </c>
      <c r="E13" s="11">
        <v>0.3639236111111111</v>
      </c>
      <c r="F13" s="12">
        <f t="shared" si="1"/>
        <v>1.5444444444444438</v>
      </c>
      <c r="G13" s="13">
        <f t="shared" si="2"/>
        <v>0.73416666666667485</v>
      </c>
      <c r="H13" s="13">
        <f t="shared" si="3"/>
        <v>0.81027777777776899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46072.353980439817</v>
      </c>
      <c r="B14" s="58" t="s">
        <v>82</v>
      </c>
      <c r="C14" s="11">
        <v>0.35396990740740741</v>
      </c>
      <c r="D14" s="11" t="s">
        <v>84</v>
      </c>
      <c r="E14" s="11">
        <v>0.50717592592592597</v>
      </c>
      <c r="F14" s="12">
        <f t="shared" si="1"/>
        <v>3.6769444444444455</v>
      </c>
      <c r="G14" s="13">
        <f t="shared" si="2"/>
        <v>3.6769444444444455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46072.626353009262</v>
      </c>
      <c r="B15" s="58" t="s">
        <v>83</v>
      </c>
      <c r="C15" s="11">
        <v>0.6263657407407407</v>
      </c>
      <c r="D15" s="11" t="s">
        <v>84</v>
      </c>
      <c r="E15" s="11">
        <v>0.7557060185185186</v>
      </c>
      <c r="F15" s="12">
        <f t="shared" si="1"/>
        <v>3.1041666666666696</v>
      </c>
      <c r="G15" s="13">
        <f t="shared" si="2"/>
        <v>3.1041666666666696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46072.876737268518</v>
      </c>
      <c r="B16" s="58" t="s">
        <v>82</v>
      </c>
      <c r="C16" s="11">
        <v>0.87673611111111116</v>
      </c>
      <c r="D16" s="11" t="s">
        <v>84</v>
      </c>
      <c r="E16" s="11">
        <v>0.97006944444444443</v>
      </c>
      <c r="F16" s="12">
        <f t="shared" si="1"/>
        <v>2.2399999999999984</v>
      </c>
      <c r="G16" s="13">
        <f t="shared" si="2"/>
        <v>2.2399999999999984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46073.298458680554</v>
      </c>
      <c r="B17" s="58" t="s">
        <v>83</v>
      </c>
      <c r="C17" s="11">
        <v>0.29844907407407406</v>
      </c>
      <c r="D17" s="11" t="s">
        <v>84</v>
      </c>
      <c r="E17" s="11">
        <v>0.5062268518518519</v>
      </c>
      <c r="F17" s="12">
        <f t="shared" si="1"/>
        <v>4.9866666666666681</v>
      </c>
      <c r="G17" s="13">
        <f t="shared" si="2"/>
        <v>4.1494444444444536</v>
      </c>
      <c r="H17" s="13">
        <f t="shared" si="3"/>
        <v>0.8372222222222141</v>
      </c>
      <c r="I17" s="35" t="s">
        <v>29</v>
      </c>
      <c r="J17" s="36">
        <f>J4+J5+J6+J7+J10</f>
        <v>56.426388888888887</v>
      </c>
      <c r="K17" s="37">
        <f>K4+K5+K6+K7+K10</f>
        <v>44.417500000000018</v>
      </c>
      <c r="L17" s="38">
        <f>L4+L5+L6+L7+L10</f>
        <v>12.008888888888873</v>
      </c>
      <c r="M17" s="39"/>
    </row>
    <row r="18" spans="1:13" ht="20.25" x14ac:dyDescent="0.25">
      <c r="A18" s="10">
        <f t="shared" ca="1" si="0"/>
        <v>46073.541899189811</v>
      </c>
      <c r="B18" s="58" t="s">
        <v>82</v>
      </c>
      <c r="C18" s="11">
        <v>0.54189814814814818</v>
      </c>
      <c r="D18" s="11" t="s">
        <v>84</v>
      </c>
      <c r="E18" s="11">
        <v>0.58950231481481474</v>
      </c>
      <c r="F18" s="12">
        <f t="shared" si="1"/>
        <v>1.1424999999999974</v>
      </c>
      <c r="G18" s="13">
        <f t="shared" si="2"/>
        <v>1.1424999999999974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46077.959271874999</v>
      </c>
      <c r="B19" s="58" t="s">
        <v>83</v>
      </c>
      <c r="C19" s="11">
        <v>0.95927083333333341</v>
      </c>
      <c r="D19" s="11" t="s">
        <v>84</v>
      </c>
      <c r="E19" s="11">
        <v>0.10991898148148148</v>
      </c>
      <c r="F19" s="12">
        <f t="shared" si="1"/>
        <v>3.6155555555555541</v>
      </c>
      <c r="G19" s="13">
        <f t="shared" si="2"/>
        <v>0.9774999999999987</v>
      </c>
      <c r="H19" s="13">
        <f t="shared" si="3"/>
        <v>2.6380555555555554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46078.10997164352</v>
      </c>
      <c r="B20" s="58" t="s">
        <v>85</v>
      </c>
      <c r="C20" s="11">
        <v>0.10996527777777777</v>
      </c>
      <c r="D20" s="11" t="s">
        <v>84</v>
      </c>
      <c r="E20" s="11">
        <v>0.13475694444444444</v>
      </c>
      <c r="F20" s="12">
        <f t="shared" si="1"/>
        <v>0.59500000000000008</v>
      </c>
      <c r="G20" s="13">
        <f t="shared" si="2"/>
        <v>0</v>
      </c>
      <c r="H20" s="13">
        <f t="shared" si="3"/>
        <v>0.59500000000000008</v>
      </c>
      <c r="I20" s="40" t="s">
        <v>31</v>
      </c>
      <c r="J20" s="67">
        <f>J16+J17+J18+J19</f>
        <v>56.426388888888887</v>
      </c>
      <c r="K20" s="68"/>
      <c r="L20" s="69"/>
      <c r="M20" s="41"/>
    </row>
    <row r="21" spans="1:13" ht="20.25" x14ac:dyDescent="0.25">
      <c r="A21" s="10">
        <f t="shared" ca="1" si="0"/>
        <v>46080.499868287035</v>
      </c>
      <c r="B21" s="58" t="s">
        <v>85</v>
      </c>
      <c r="C21" s="11">
        <v>0.49986111111111109</v>
      </c>
      <c r="D21" s="11" t="s">
        <v>84</v>
      </c>
      <c r="E21" s="11">
        <v>0.55497685185185186</v>
      </c>
      <c r="F21" s="12">
        <f t="shared" si="1"/>
        <v>1.3227777777777785</v>
      </c>
      <c r="G21" s="13">
        <f t="shared" si="2"/>
        <v>1.3227777777777785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46080.564176967593</v>
      </c>
      <c r="B22" s="58" t="s">
        <v>85</v>
      </c>
      <c r="C22" s="11">
        <v>0.56416666666666659</v>
      </c>
      <c r="D22" s="11" t="s">
        <v>84</v>
      </c>
      <c r="E22" s="11">
        <v>0.65126157407407403</v>
      </c>
      <c r="F22" s="12">
        <f t="shared" si="1"/>
        <v>2.0902777777777786</v>
      </c>
      <c r="G22" s="13">
        <f t="shared" si="2"/>
        <v>2.0902777777777786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46080.753716550927</v>
      </c>
      <c r="B23" s="58" t="s">
        <v>86</v>
      </c>
      <c r="C23" s="11">
        <v>0.7537152777777778</v>
      </c>
      <c r="D23" s="11" t="s">
        <v>84</v>
      </c>
      <c r="E23" s="11">
        <v>0.88096064814814812</v>
      </c>
      <c r="F23" s="12">
        <f t="shared" si="1"/>
        <v>3.0538888888888875</v>
      </c>
      <c r="G23" s="13">
        <f t="shared" si="2"/>
        <v>3.0538888888888875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46081.012442939813</v>
      </c>
      <c r="B24" s="58" t="s">
        <v>82</v>
      </c>
      <c r="C24" s="11">
        <v>1.2442129629629629E-2</v>
      </c>
      <c r="D24" s="11" t="s">
        <v>84</v>
      </c>
      <c r="E24" s="11">
        <v>8.3171296296296285E-2</v>
      </c>
      <c r="F24" s="12">
        <f t="shared" si="1"/>
        <v>1.6974999999999996</v>
      </c>
      <c r="G24" s="13">
        <f t="shared" si="2"/>
        <v>0</v>
      </c>
      <c r="H24" s="13">
        <f t="shared" si="3"/>
        <v>1.6974999999999996</v>
      </c>
      <c r="I24"/>
      <c r="J24"/>
    </row>
    <row r="25" spans="1:13" ht="18.75" x14ac:dyDescent="0.15">
      <c r="A25" s="10">
        <f t="shared" ca="1" si="0"/>
        <v>46081.459402893517</v>
      </c>
      <c r="B25" s="58" t="s">
        <v>85</v>
      </c>
      <c r="C25" s="11">
        <v>0.45939814814814817</v>
      </c>
      <c r="D25" s="11" t="s">
        <v>84</v>
      </c>
      <c r="E25" s="11">
        <v>0.54759259259259252</v>
      </c>
      <c r="F25" s="12">
        <f t="shared" si="1"/>
        <v>2.1166666666666645</v>
      </c>
      <c r="G25" s="13">
        <f t="shared" si="2"/>
        <v>2.1166666666666645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46081.624070486112</v>
      </c>
      <c r="B26" s="58" t="s">
        <v>86</v>
      </c>
      <c r="C26" s="11">
        <v>0.62406249999999996</v>
      </c>
      <c r="D26" s="11" t="s">
        <v>84</v>
      </c>
      <c r="E26" s="11">
        <v>0.75718750000000001</v>
      </c>
      <c r="F26" s="12">
        <f t="shared" si="1"/>
        <v>3.1950000000000012</v>
      </c>
      <c r="G26" s="13">
        <f t="shared" si="2"/>
        <v>3.1950000000000012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46081.833249768519</v>
      </c>
      <c r="B27" s="58" t="s">
        <v>85</v>
      </c>
      <c r="C27" s="11">
        <v>0.83324074074074073</v>
      </c>
      <c r="D27" s="11" t="s">
        <v>84</v>
      </c>
      <c r="E27" s="11">
        <v>0.96527777777777779</v>
      </c>
      <c r="F27" s="12">
        <f t="shared" si="1"/>
        <v>3.1688888888888895</v>
      </c>
      <c r="G27" s="13">
        <f t="shared" si="2"/>
        <v>3.1688888888888895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38"/>
  <sheetViews>
    <sheetView zoomScale="85" zoomScaleNormal="85" workbookViewId="0">
      <selection activeCell="L35" sqref="L3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38" ca="1" si="0">IF(B3="","",IF(A3="",NOW(),A3))</f>
        <v>46056.938714467593</v>
      </c>
      <c r="B3" s="58" t="s">
        <v>81</v>
      </c>
      <c r="C3" s="11">
        <v>0.93870370370370371</v>
      </c>
      <c r="D3" s="11" t="s">
        <v>84</v>
      </c>
      <c r="E3" s="11">
        <v>0.13865740740740742</v>
      </c>
      <c r="F3" s="12">
        <f t="shared" ref="F3:F38" si="1">(IF(E3-C3&lt;0,"24:00"-C3+E3,E3-C3))*24</f>
        <v>4.7988888888888894</v>
      </c>
      <c r="G3" s="13">
        <f t="shared" ref="G3:G38" si="2">F3-H3</f>
        <v>1.471111111111111</v>
      </c>
      <c r="H3" s="13">
        <f t="shared" ref="H3:H38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3.3277777777777784</v>
      </c>
      <c r="I3" s="16" t="s">
        <v>19</v>
      </c>
      <c r="J3" s="17">
        <f>SUMIF(B:B,"带班主任",F:F)</f>
        <v>72.017777777777795</v>
      </c>
      <c r="K3" s="18">
        <f>SUMIF(B:B,"带班主任",G:G)</f>
        <v>43.148611111111116</v>
      </c>
      <c r="L3" s="18">
        <f>SUMIF(B:B,"带班主任",H:H)</f>
        <v>28.869166666666658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46057.543768634256</v>
      </c>
      <c r="B4" s="58" t="s">
        <v>81</v>
      </c>
      <c r="C4" s="11">
        <v>0.54376157407407411</v>
      </c>
      <c r="D4" s="11" t="s">
        <v>84</v>
      </c>
      <c r="E4" s="11">
        <v>0.79832175925925919</v>
      </c>
      <c r="F4" s="12">
        <f t="shared" si="1"/>
        <v>6.109444444444442</v>
      </c>
      <c r="G4" s="13">
        <f t="shared" si="2"/>
        <v>6.109444444444442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46058.130977199071</v>
      </c>
      <c r="B5" s="58" t="s">
        <v>81</v>
      </c>
      <c r="C5" s="11">
        <v>0.13097222222222224</v>
      </c>
      <c r="D5" s="11" t="s">
        <v>84</v>
      </c>
      <c r="E5" s="11">
        <v>0.29878472222222224</v>
      </c>
      <c r="F5" s="12">
        <f t="shared" si="1"/>
        <v>4.0274999999999999</v>
      </c>
      <c r="G5" s="13">
        <f t="shared" si="2"/>
        <v>0</v>
      </c>
      <c r="H5" s="13">
        <f t="shared" si="3"/>
        <v>4.0274999999999999</v>
      </c>
      <c r="I5" s="21" t="s">
        <v>21</v>
      </c>
      <c r="J5" s="22">
        <f>SUMIF(B:B,"西塔台协调席",F:F)+SUMIF(B:B,"东塔台协调席",F:F)</f>
        <v>2.1230555555555544</v>
      </c>
      <c r="K5" s="23">
        <f>SUMIF(B:B,"西塔台协调席",G:G)+SUMIF(B:B,"东塔台协调席",G:G)</f>
        <v>0</v>
      </c>
      <c r="L5" s="23">
        <f>SUMIF(B:B,"西塔台协调席",H:H)+SUMIF(B:B,"东塔台协调席",H:H)</f>
        <v>2.1230555555555544</v>
      </c>
      <c r="M5" s="19"/>
    </row>
    <row r="6" spans="1:16" ht="18.75" x14ac:dyDescent="0.25">
      <c r="A6" s="10">
        <f t="shared" ca="1" si="0"/>
        <v>46060.940768171298</v>
      </c>
      <c r="B6" s="58" t="s">
        <v>81</v>
      </c>
      <c r="C6" s="11">
        <v>0.94076388888888884</v>
      </c>
      <c r="D6" s="11" t="s">
        <v>84</v>
      </c>
      <c r="E6" s="11">
        <v>0.13895833333333332</v>
      </c>
      <c r="F6" s="12">
        <f t="shared" si="1"/>
        <v>4.7566666666666677</v>
      </c>
      <c r="G6" s="13">
        <f t="shared" si="2"/>
        <v>1.4216666666666677</v>
      </c>
      <c r="H6" s="13">
        <f t="shared" si="3"/>
        <v>3.335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46061.543759375003</v>
      </c>
      <c r="B7" s="58" t="s">
        <v>81</v>
      </c>
      <c r="C7" s="11">
        <v>0.54379629629629633</v>
      </c>
      <c r="D7" s="11" t="s">
        <v>84</v>
      </c>
      <c r="E7" s="11">
        <v>0.79863425925925924</v>
      </c>
      <c r="F7" s="12">
        <f t="shared" si="1"/>
        <v>6.1161111111111097</v>
      </c>
      <c r="G7" s="13">
        <f t="shared" si="2"/>
        <v>6.1161111111111097</v>
      </c>
      <c r="H7" s="13">
        <f t="shared" si="3"/>
        <v>0</v>
      </c>
      <c r="I7" s="21" t="s">
        <v>23</v>
      </c>
      <c r="J7" s="22">
        <f>SUMIF(B:B,"地面席",F:F)</f>
        <v>1.8397222222222216</v>
      </c>
      <c r="K7" s="23">
        <f>SUMIF(B:B,"地面席",G:G)</f>
        <v>0</v>
      </c>
      <c r="L7" s="23">
        <f>SUMIF(B:B,"地面席",H:H)</f>
        <v>1.8397222222222216</v>
      </c>
      <c r="M7" s="19"/>
    </row>
    <row r="8" spans="1:16" ht="18.75" x14ac:dyDescent="0.25">
      <c r="A8" s="10">
        <f t="shared" ca="1" si="0"/>
        <v>46062.132853819443</v>
      </c>
      <c r="B8" s="58" t="s">
        <v>81</v>
      </c>
      <c r="C8" s="11">
        <v>0.13284722222222223</v>
      </c>
      <c r="D8" s="11" t="s">
        <v>84</v>
      </c>
      <c r="E8" s="11">
        <v>0.29980324074074077</v>
      </c>
      <c r="F8" s="12">
        <f t="shared" si="1"/>
        <v>4.0069444444444446</v>
      </c>
      <c r="G8" s="13">
        <f t="shared" si="2"/>
        <v>0</v>
      </c>
      <c r="H8" s="13">
        <f t="shared" si="3"/>
        <v>4.0069444444444446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46064.363029629632</v>
      </c>
      <c r="B9" s="58" t="s">
        <v>81</v>
      </c>
      <c r="C9" s="11">
        <v>0.36302083333333335</v>
      </c>
      <c r="D9" s="11" t="s">
        <v>84</v>
      </c>
      <c r="E9" s="11">
        <v>0.55011574074074077</v>
      </c>
      <c r="F9" s="12">
        <f t="shared" si="1"/>
        <v>4.490277777777778</v>
      </c>
      <c r="G9" s="13">
        <f t="shared" si="2"/>
        <v>4.490277777777778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46064.793586805557</v>
      </c>
      <c r="B10" s="58" t="s">
        <v>81</v>
      </c>
      <c r="C10" s="11">
        <v>0.79357638888888893</v>
      </c>
      <c r="D10" s="11" t="s">
        <v>84</v>
      </c>
      <c r="E10" s="11">
        <v>0.9450115740740741</v>
      </c>
      <c r="F10" s="12">
        <f t="shared" si="1"/>
        <v>3.6344444444444441</v>
      </c>
      <c r="G10" s="13">
        <f t="shared" si="2"/>
        <v>3.6344444444444441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46065.293668402781</v>
      </c>
      <c r="B11" s="58" t="s">
        <v>81</v>
      </c>
      <c r="C11" s="11">
        <v>0.29365740740740742</v>
      </c>
      <c r="D11" s="11" t="s">
        <v>84</v>
      </c>
      <c r="E11" s="11">
        <v>0.54898148148148151</v>
      </c>
      <c r="F11" s="12">
        <f t="shared" si="1"/>
        <v>6.1277777777777782</v>
      </c>
      <c r="G11" s="13">
        <f t="shared" si="2"/>
        <v>5.1755555555555652</v>
      </c>
      <c r="H11" s="13">
        <f t="shared" si="3"/>
        <v>0.95222222222221342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46072.939805208334</v>
      </c>
      <c r="B12" s="58" t="s">
        <v>81</v>
      </c>
      <c r="C12" s="11">
        <v>0.93980324074074073</v>
      </c>
      <c r="D12" s="11" t="s">
        <v>84</v>
      </c>
      <c r="E12" s="11">
        <v>0.13906250000000001</v>
      </c>
      <c r="F12" s="12">
        <f t="shared" si="1"/>
        <v>4.7822222222222228</v>
      </c>
      <c r="G12" s="13">
        <f t="shared" si="2"/>
        <v>1.4447222222222225</v>
      </c>
      <c r="H12" s="13">
        <f t="shared" si="3"/>
        <v>3.3375000000000004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46073.543519560182</v>
      </c>
      <c r="B13" s="58" t="s">
        <v>81</v>
      </c>
      <c r="C13" s="11">
        <v>0.54351851851851851</v>
      </c>
      <c r="D13" s="11" t="s">
        <v>84</v>
      </c>
      <c r="E13" s="11">
        <v>0.79925925925925922</v>
      </c>
      <c r="F13" s="12">
        <f t="shared" si="1"/>
        <v>6.1377777777777771</v>
      </c>
      <c r="G13" s="13">
        <f t="shared" si="2"/>
        <v>6.1377777777777771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46074.127796180554</v>
      </c>
      <c r="B14" s="58" t="s">
        <v>81</v>
      </c>
      <c r="C14" s="11">
        <v>0.12778935185185183</v>
      </c>
      <c r="D14" s="11" t="s">
        <v>84</v>
      </c>
      <c r="E14" s="11">
        <v>0.23761574074074074</v>
      </c>
      <c r="F14" s="12">
        <f t="shared" si="1"/>
        <v>2.6358333333333337</v>
      </c>
      <c r="G14" s="13">
        <f t="shared" si="2"/>
        <v>0</v>
      </c>
      <c r="H14" s="13">
        <f t="shared" si="3"/>
        <v>2.6358333333333337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46076.940905555559</v>
      </c>
      <c r="B16" s="58" t="s">
        <v>81</v>
      </c>
      <c r="C16" s="11">
        <v>0.94090277777777775</v>
      </c>
      <c r="D16" s="11" t="s">
        <v>84</v>
      </c>
      <c r="E16" s="11">
        <v>0.13474537037037038</v>
      </c>
      <c r="F16" s="12">
        <f t="shared" si="1"/>
        <v>4.6522222222222229</v>
      </c>
      <c r="G16" s="13">
        <f t="shared" si="2"/>
        <v>1.4183333333333339</v>
      </c>
      <c r="H16" s="13">
        <f t="shared" si="3"/>
        <v>3.233888888888889</v>
      </c>
      <c r="I16" s="35" t="s">
        <v>19</v>
      </c>
      <c r="J16" s="36">
        <f t="shared" ref="J16:L16" si="4">J3</f>
        <v>72.017777777777795</v>
      </c>
      <c r="K16" s="37">
        <f t="shared" si="4"/>
        <v>43.148611111111116</v>
      </c>
      <c r="L16" s="38">
        <f t="shared" si="4"/>
        <v>28.869166666666658</v>
      </c>
      <c r="M16" s="39"/>
    </row>
    <row r="17" spans="1:13" ht="20.25" x14ac:dyDescent="0.25">
      <c r="A17" s="10">
        <f t="shared" ca="1" si="0"/>
        <v>46077.543458796295</v>
      </c>
      <c r="B17" s="58" t="s">
        <v>81</v>
      </c>
      <c r="C17" s="11">
        <v>0.54344907407407406</v>
      </c>
      <c r="D17" s="11" t="s">
        <v>84</v>
      </c>
      <c r="E17" s="11">
        <v>0.68608796296296293</v>
      </c>
      <c r="F17" s="12">
        <f t="shared" si="1"/>
        <v>3.4233333333333329</v>
      </c>
      <c r="G17" s="13">
        <f t="shared" si="2"/>
        <v>3.4233333333333329</v>
      </c>
      <c r="H17" s="13">
        <f t="shared" si="3"/>
        <v>0</v>
      </c>
      <c r="I17" s="35" t="s">
        <v>29</v>
      </c>
      <c r="J17" s="36">
        <f>J4+J5+J6+J7+J10</f>
        <v>3.962777777777776</v>
      </c>
      <c r="K17" s="37">
        <f>K4+K5+K6+K7+K10</f>
        <v>0</v>
      </c>
      <c r="L17" s="38">
        <f>L4+L5+L6+L7+L10</f>
        <v>3.962777777777776</v>
      </c>
      <c r="M17" s="39"/>
    </row>
    <row r="18" spans="1:13" ht="20.25" x14ac:dyDescent="0.25">
      <c r="A18" s="10">
        <f t="shared" ca="1" si="0"/>
        <v>46077.703181249999</v>
      </c>
      <c r="B18" s="58" t="s">
        <v>81</v>
      </c>
      <c r="C18" s="11">
        <v>0.70317129629629627</v>
      </c>
      <c r="D18" s="11" t="s">
        <v>84</v>
      </c>
      <c r="E18" s="11">
        <v>0.79924768518518519</v>
      </c>
      <c r="F18" s="12">
        <f t="shared" si="1"/>
        <v>2.3058333333333341</v>
      </c>
      <c r="G18" s="13">
        <f t="shared" si="2"/>
        <v>2.3058333333333341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46078.134233912038</v>
      </c>
      <c r="B19" s="58" t="s">
        <v>81</v>
      </c>
      <c r="C19" s="11">
        <v>0.13422453703703704</v>
      </c>
      <c r="D19" s="11" t="s">
        <v>84</v>
      </c>
      <c r="E19" s="11">
        <v>0.30141203703703706</v>
      </c>
      <c r="F19" s="12">
        <f t="shared" si="1"/>
        <v>4.0125000000000002</v>
      </c>
      <c r="G19" s="13">
        <f t="shared" si="2"/>
        <v>0</v>
      </c>
      <c r="H19" s="13">
        <f t="shared" si="3"/>
        <v>4.0125000000000002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46081.139851504631</v>
      </c>
      <c r="B20" s="58" t="s">
        <v>88</v>
      </c>
      <c r="C20" s="11">
        <v>0.13995370370370372</v>
      </c>
      <c r="D20" s="11" t="s">
        <v>84</v>
      </c>
      <c r="E20" s="11">
        <v>0.21660879629629629</v>
      </c>
      <c r="F20" s="12">
        <f t="shared" si="1"/>
        <v>1.8397222222222216</v>
      </c>
      <c r="G20" s="13">
        <f t="shared" si="2"/>
        <v>0</v>
      </c>
      <c r="H20" s="13">
        <f t="shared" si="3"/>
        <v>1.8397222222222216</v>
      </c>
      <c r="I20" s="40" t="s">
        <v>31</v>
      </c>
      <c r="J20" s="67">
        <f>J16+J17+J18+J19</f>
        <v>75.980555555555569</v>
      </c>
      <c r="K20" s="68"/>
      <c r="L20" s="69"/>
      <c r="M20" s="41"/>
    </row>
    <row r="21" spans="1:13" ht="20.25" x14ac:dyDescent="0.25">
      <c r="A21" s="10">
        <f t="shared" ca="1" si="0"/>
        <v>46081.216665740743</v>
      </c>
      <c r="B21" s="58" t="s">
        <v>85</v>
      </c>
      <c r="C21" s="11">
        <v>0.21665509259259261</v>
      </c>
      <c r="D21" s="11" t="s">
        <v>84</v>
      </c>
      <c r="E21" s="11">
        <v>0.30511574074074072</v>
      </c>
      <c r="F21" s="12">
        <f t="shared" si="1"/>
        <v>2.1230555555555544</v>
      </c>
      <c r="G21" s="13">
        <f t="shared" si="2"/>
        <v>0</v>
      </c>
      <c r="H21" s="13">
        <f t="shared" si="3"/>
        <v>2.1230555555555544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</sheetData>
  <autoFilter ref="A2:K38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D3:D38">
      <formula1>"完成"</formula1>
    </dataValidation>
    <dataValidation type="list" allowBlank="1" showInputMessage="1" showErrorMessage="1" sqref="K38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339"/>
  <sheetViews>
    <sheetView zoomScale="85" zoomScaleNormal="85" workbookViewId="0">
      <selection activeCell="D25" sqref="D2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46054.538153009256</v>
      </c>
      <c r="B3" s="58" t="s">
        <v>81</v>
      </c>
      <c r="C3" s="11">
        <v>0.53814814814814815</v>
      </c>
      <c r="D3" s="11" t="s">
        <v>84</v>
      </c>
      <c r="E3" s="11">
        <v>0.79568287037037033</v>
      </c>
      <c r="F3" s="12">
        <f t="shared" ref="F3:F66" si="1">(IF(E3-C3&lt;0,"24:00"-C3+E3,E3-C3))*24</f>
        <v>6.1808333333333323</v>
      </c>
      <c r="G3" s="13">
        <f t="shared" ref="G3:G66" si="2">F3-H3</f>
        <v>6.1808333333333323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86.74222222222221</v>
      </c>
      <c r="K3" s="18">
        <f>SUMIF(B:B,"带班主任",G:G)</f>
        <v>54.327777777777797</v>
      </c>
      <c r="L3" s="18">
        <f>SUMIF(B:B,"带班主任",H:H)</f>
        <v>32.41444444444442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46055.131579513887</v>
      </c>
      <c r="B4" s="58" t="s">
        <v>81</v>
      </c>
      <c r="C4" s="11">
        <v>0.13157407407407407</v>
      </c>
      <c r="D4" s="11" t="s">
        <v>84</v>
      </c>
      <c r="E4" s="11">
        <v>0.29883101851851851</v>
      </c>
      <c r="F4" s="12">
        <f t="shared" si="1"/>
        <v>4.0141666666666662</v>
      </c>
      <c r="G4" s="13">
        <f t="shared" si="2"/>
        <v>0</v>
      </c>
      <c r="H4" s="13">
        <f t="shared" si="3"/>
        <v>4.0141666666666662</v>
      </c>
      <c r="I4" s="21" t="s">
        <v>20</v>
      </c>
      <c r="J4" s="22">
        <f>SUMIF(B:B,"西塔台管制席",F:F)+SUMIF(B:B,"东塔台管制席",F:F)</f>
        <v>2.8658333333333328</v>
      </c>
      <c r="K4" s="23">
        <f>SUMIF(B:B,"西塔台管制席",G:G)+SUMIF(B:B,"东塔台管制席",G:G)</f>
        <v>0</v>
      </c>
      <c r="L4" s="23">
        <f>SUMIF(B:B,"西塔台管制席",H:H)+SUMIF(B:B,"东塔台管制席",H:H)</f>
        <v>2.8658333333333328</v>
      </c>
      <c r="M4" s="19"/>
    </row>
    <row r="5" spans="1:16" ht="18.75" x14ac:dyDescent="0.25">
      <c r="A5" s="10">
        <f t="shared" ca="1" si="0"/>
        <v>46055.935811805553</v>
      </c>
      <c r="B5" s="58" t="s">
        <v>81</v>
      </c>
      <c r="C5" s="11">
        <v>0.93581018518518511</v>
      </c>
      <c r="D5" s="11" t="s">
        <v>84</v>
      </c>
      <c r="E5" s="11">
        <v>0.13936342592592593</v>
      </c>
      <c r="F5" s="12">
        <f t="shared" si="1"/>
        <v>4.8852777777777803</v>
      </c>
      <c r="G5" s="13">
        <f t="shared" si="2"/>
        <v>1.5405555555555579</v>
      </c>
      <c r="H5" s="13">
        <f t="shared" si="3"/>
        <v>3.3447222222222224</v>
      </c>
      <c r="I5" s="21" t="s">
        <v>21</v>
      </c>
      <c r="J5" s="22">
        <f>SUMIF(B:B,"西塔台协调席",F:F)+SUMIF(B:B,"东塔台协调席",F:F)</f>
        <v>0.99861111111111045</v>
      </c>
      <c r="K5" s="23">
        <f>SUMIF(B:B,"西塔台协调席",G:G)+SUMIF(B:B,"东塔台协调席",G:G)</f>
        <v>0</v>
      </c>
      <c r="L5" s="23">
        <f>SUMIF(B:B,"西塔台协调席",H:H)+SUMIF(B:B,"东塔台协调席",H:H)</f>
        <v>0.99861111111111045</v>
      </c>
      <c r="M5" s="19"/>
    </row>
    <row r="6" spans="1:16" ht="18.75" x14ac:dyDescent="0.25">
      <c r="A6" s="10">
        <f t="shared" ca="1" si="0"/>
        <v>46058.936881134257</v>
      </c>
      <c r="B6" s="58" t="s">
        <v>81</v>
      </c>
      <c r="C6" s="11">
        <v>0.93687500000000001</v>
      </c>
      <c r="D6" s="11" t="s">
        <v>84</v>
      </c>
      <c r="E6" s="11">
        <v>0.14090277777777779</v>
      </c>
      <c r="F6" s="12">
        <f t="shared" si="1"/>
        <v>4.8966666666666665</v>
      </c>
      <c r="G6" s="13">
        <f t="shared" si="2"/>
        <v>1.5149999999999997</v>
      </c>
      <c r="H6" s="13">
        <f t="shared" si="3"/>
        <v>3.3816666666666668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46059.541102314812</v>
      </c>
      <c r="B7" s="58" t="s">
        <v>81</v>
      </c>
      <c r="C7" s="11">
        <v>0.54109953703703706</v>
      </c>
      <c r="D7" s="11" t="s">
        <v>84</v>
      </c>
      <c r="E7" s="11">
        <v>0.85790509259259251</v>
      </c>
      <c r="F7" s="12">
        <f t="shared" si="1"/>
        <v>7.6033333333333308</v>
      </c>
      <c r="G7" s="13">
        <f t="shared" si="2"/>
        <v>7.6033333333333308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46060.130964583332</v>
      </c>
      <c r="B8" s="58" t="s">
        <v>81</v>
      </c>
      <c r="C8" s="11">
        <v>0.13096064814814815</v>
      </c>
      <c r="D8" s="11" t="s">
        <v>84</v>
      </c>
      <c r="E8" s="11">
        <v>0.29804398148148148</v>
      </c>
      <c r="F8" s="12">
        <f t="shared" si="1"/>
        <v>4.01</v>
      </c>
      <c r="G8" s="13">
        <f t="shared" si="2"/>
        <v>0</v>
      </c>
      <c r="H8" s="13">
        <f t="shared" si="3"/>
        <v>4.01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46062.72402465278</v>
      </c>
      <c r="B9" s="58" t="s">
        <v>81</v>
      </c>
      <c r="C9" s="11">
        <v>0.72401620370370379</v>
      </c>
      <c r="D9" s="11" t="s">
        <v>84</v>
      </c>
      <c r="E9" s="11">
        <v>0.88289351851851849</v>
      </c>
      <c r="F9" s="12">
        <f t="shared" si="1"/>
        <v>3.813055555555553</v>
      </c>
      <c r="G9" s="13">
        <f t="shared" si="2"/>
        <v>3.813055555555553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46063.137204976854</v>
      </c>
      <c r="B10" s="58" t="s">
        <v>86</v>
      </c>
      <c r="C10" s="11">
        <v>0.13719907407407408</v>
      </c>
      <c r="D10" s="11" t="s">
        <v>84</v>
      </c>
      <c r="E10" s="11">
        <v>0.25660879629629629</v>
      </c>
      <c r="F10" s="12">
        <f t="shared" si="1"/>
        <v>2.8658333333333328</v>
      </c>
      <c r="G10" s="13">
        <f t="shared" si="2"/>
        <v>0</v>
      </c>
      <c r="H10" s="13">
        <f t="shared" si="3"/>
        <v>2.8658333333333328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46063.256644791669</v>
      </c>
      <c r="B11" s="58" t="s">
        <v>82</v>
      </c>
      <c r="C11" s="11">
        <v>0.25664351851851852</v>
      </c>
      <c r="D11" s="11" t="s">
        <v>84</v>
      </c>
      <c r="E11" s="11">
        <v>0.29825231481481479</v>
      </c>
      <c r="F11" s="12">
        <f t="shared" si="1"/>
        <v>0.99861111111111045</v>
      </c>
      <c r="G11" s="13">
        <f t="shared" si="2"/>
        <v>0</v>
      </c>
      <c r="H11" s="13">
        <f t="shared" si="3"/>
        <v>0.99861111111111045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46064.291685069446</v>
      </c>
      <c r="B12" s="58" t="s">
        <v>81</v>
      </c>
      <c r="C12" s="11">
        <v>0.29167824074074072</v>
      </c>
      <c r="D12" s="11" t="s">
        <v>84</v>
      </c>
      <c r="E12" s="11">
        <v>0.37453703703703706</v>
      </c>
      <c r="F12" s="12">
        <f t="shared" si="1"/>
        <v>1.988611111111112</v>
      </c>
      <c r="G12" s="13">
        <f t="shared" si="2"/>
        <v>0.98888888888889781</v>
      </c>
      <c r="H12" s="13">
        <f t="shared" si="3"/>
        <v>0.99972222222221419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46066.35224375</v>
      </c>
      <c r="B13" s="58" t="s">
        <v>81</v>
      </c>
      <c r="C13" s="11">
        <v>0.35223379629629631</v>
      </c>
      <c r="D13" s="11" t="s">
        <v>84</v>
      </c>
      <c r="E13" s="11">
        <v>0.54936342592592591</v>
      </c>
      <c r="F13" s="12">
        <f t="shared" si="1"/>
        <v>4.7311111111111099</v>
      </c>
      <c r="G13" s="13">
        <f t="shared" si="2"/>
        <v>4.7311111111111099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46066.791053356479</v>
      </c>
      <c r="B14" s="58" t="s">
        <v>81</v>
      </c>
      <c r="C14" s="11">
        <v>0.79105324074074079</v>
      </c>
      <c r="D14" s="11" t="s">
        <v>84</v>
      </c>
      <c r="E14" s="11">
        <v>0.94142361111111106</v>
      </c>
      <c r="F14" s="12">
        <f t="shared" si="1"/>
        <v>3.6088888888888864</v>
      </c>
      <c r="G14" s="13">
        <f t="shared" si="2"/>
        <v>3.6088888888888864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46067.292386921297</v>
      </c>
      <c r="B16" s="58" t="s">
        <v>81</v>
      </c>
      <c r="C16" s="11">
        <v>0.29238425925925926</v>
      </c>
      <c r="D16" s="11" t="s">
        <v>84</v>
      </c>
      <c r="E16" s="11">
        <v>0.55057870370370365</v>
      </c>
      <c r="F16" s="12">
        <f t="shared" si="1"/>
        <v>6.1966666666666654</v>
      </c>
      <c r="G16" s="13">
        <f t="shared" si="2"/>
        <v>5.2138888888888957</v>
      </c>
      <c r="H16" s="13">
        <f t="shared" si="3"/>
        <v>0.98277777777776931</v>
      </c>
      <c r="I16" s="35" t="s">
        <v>19</v>
      </c>
      <c r="J16" s="36">
        <f t="shared" ref="J16:L16" si="4">J3</f>
        <v>86.74222222222221</v>
      </c>
      <c r="K16" s="37">
        <f t="shared" si="4"/>
        <v>54.327777777777797</v>
      </c>
      <c r="L16" s="38">
        <f t="shared" si="4"/>
        <v>32.41444444444442</v>
      </c>
      <c r="M16" s="39"/>
    </row>
    <row r="17" spans="1:13" ht="20.25" x14ac:dyDescent="0.25">
      <c r="A17" s="10">
        <f t="shared" ca="1" si="0"/>
        <v>46067.938048842596</v>
      </c>
      <c r="B17" s="58" t="s">
        <v>81</v>
      </c>
      <c r="C17" s="11">
        <v>0.93804398148148149</v>
      </c>
      <c r="D17" s="11" t="s">
        <v>84</v>
      </c>
      <c r="E17" s="11">
        <v>0.14019675925925926</v>
      </c>
      <c r="F17" s="12">
        <f t="shared" si="1"/>
        <v>4.8516666666666666</v>
      </c>
      <c r="G17" s="13">
        <f t="shared" si="2"/>
        <v>1.4869444444444442</v>
      </c>
      <c r="H17" s="13">
        <f t="shared" si="3"/>
        <v>3.3647222222222224</v>
      </c>
      <c r="I17" s="35" t="s">
        <v>29</v>
      </c>
      <c r="J17" s="36">
        <f>J4+J5+J6+J7+J10</f>
        <v>3.8644444444444432</v>
      </c>
      <c r="K17" s="37">
        <f>K4+K5+K6+K7+K10</f>
        <v>0</v>
      </c>
      <c r="L17" s="38">
        <f>L4+L5+L6+L7+L10</f>
        <v>3.8644444444444432</v>
      </c>
      <c r="M17" s="39"/>
    </row>
    <row r="18" spans="1:13" ht="20.25" x14ac:dyDescent="0.25">
      <c r="A18" s="10">
        <f t="shared" ca="1" si="0"/>
        <v>46070.542024537041</v>
      </c>
      <c r="B18" s="58" t="s">
        <v>81</v>
      </c>
      <c r="C18" s="11">
        <v>0.54201388888888891</v>
      </c>
      <c r="D18" s="11" t="s">
        <v>84</v>
      </c>
      <c r="E18" s="11">
        <v>0.79594907407407411</v>
      </c>
      <c r="F18" s="12">
        <f t="shared" si="1"/>
        <v>6.094444444444445</v>
      </c>
      <c r="G18" s="13">
        <f t="shared" si="2"/>
        <v>6.094444444444445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46071.132250578703</v>
      </c>
      <c r="B19" s="58" t="s">
        <v>81</v>
      </c>
      <c r="C19" s="11">
        <v>0.13224537037037037</v>
      </c>
      <c r="D19" s="11" t="s">
        <v>84</v>
      </c>
      <c r="E19" s="11">
        <v>0.29782407407407407</v>
      </c>
      <c r="F19" s="12">
        <f t="shared" si="1"/>
        <v>3.9738888888888888</v>
      </c>
      <c r="G19" s="13">
        <f t="shared" si="2"/>
        <v>0</v>
      </c>
      <c r="H19" s="13">
        <f t="shared" si="3"/>
        <v>3.9738888888888888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46071.791135995372</v>
      </c>
      <c r="B20" s="58" t="s">
        <v>81</v>
      </c>
      <c r="C20" s="11">
        <v>0.79113425925925929</v>
      </c>
      <c r="D20" s="11" t="s">
        <v>84</v>
      </c>
      <c r="E20" s="11">
        <v>0.94267361111111114</v>
      </c>
      <c r="F20" s="12">
        <f t="shared" si="1"/>
        <v>3.6369444444444445</v>
      </c>
      <c r="G20" s="13">
        <f t="shared" si="2"/>
        <v>3.6369444444444445</v>
      </c>
      <c r="H20" s="13">
        <f t="shared" si="3"/>
        <v>0</v>
      </c>
      <c r="I20" s="40" t="s">
        <v>31</v>
      </c>
      <c r="J20" s="67">
        <f>J16+J17+J18+J19</f>
        <v>90.606666666666655</v>
      </c>
      <c r="K20" s="68"/>
      <c r="L20" s="69"/>
      <c r="M20" s="41"/>
    </row>
    <row r="21" spans="1:13" ht="20.25" x14ac:dyDescent="0.25">
      <c r="A21" s="10">
        <f t="shared" ca="1" si="0"/>
        <v>46072.291483217596</v>
      </c>
      <c r="B21" s="58" t="s">
        <v>81</v>
      </c>
      <c r="C21" s="11">
        <v>0.29148148148148151</v>
      </c>
      <c r="D21" s="11" t="s">
        <v>84</v>
      </c>
      <c r="E21" s="11">
        <v>0.35811342592592593</v>
      </c>
      <c r="F21" s="12">
        <f t="shared" si="1"/>
        <v>1.5991666666666662</v>
      </c>
      <c r="G21" s="13">
        <f t="shared" si="2"/>
        <v>0.59472222222223081</v>
      </c>
      <c r="H21" s="13">
        <f t="shared" si="3"/>
        <v>1.0044444444444354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46078.936281365743</v>
      </c>
      <c r="B22" s="58" t="s">
        <v>81</v>
      </c>
      <c r="C22" s="11">
        <v>0.93627314814814822</v>
      </c>
      <c r="D22" s="11" t="s">
        <v>84</v>
      </c>
      <c r="E22" s="11">
        <v>0.13677083333333331</v>
      </c>
      <c r="F22" s="12">
        <f t="shared" si="1"/>
        <v>4.8119444444444426</v>
      </c>
      <c r="G22" s="13">
        <f t="shared" si="2"/>
        <v>1.5294444444444428</v>
      </c>
      <c r="H22" s="13">
        <f t="shared" si="3"/>
        <v>3.2824999999999998</v>
      </c>
      <c r="I22"/>
      <c r="J22"/>
    </row>
    <row r="23" spans="1:13" ht="18.75" x14ac:dyDescent="0.15">
      <c r="A23" s="10">
        <f t="shared" ca="1" si="0"/>
        <v>46079.541618750001</v>
      </c>
      <c r="B23" s="58" t="s">
        <v>81</v>
      </c>
      <c r="C23" s="11">
        <v>0.54160879629629632</v>
      </c>
      <c r="D23" s="11" t="s">
        <v>84</v>
      </c>
      <c r="E23" s="11">
        <v>0.78284722222222225</v>
      </c>
      <c r="F23" s="12">
        <f t="shared" si="1"/>
        <v>5.7897222222222222</v>
      </c>
      <c r="G23" s="13">
        <f t="shared" si="2"/>
        <v>5.7897222222222222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46080.130305439816</v>
      </c>
      <c r="B24" s="58" t="s">
        <v>81</v>
      </c>
      <c r="C24" s="11">
        <v>0.13030092592592593</v>
      </c>
      <c r="D24" s="11" t="s">
        <v>84</v>
      </c>
      <c r="E24" s="11">
        <v>0.29929398148148151</v>
      </c>
      <c r="F24" s="12">
        <f t="shared" si="1"/>
        <v>4.0558333333333341</v>
      </c>
      <c r="G24" s="13">
        <f t="shared" si="2"/>
        <v>0</v>
      </c>
      <c r="H24" s="13">
        <f t="shared" si="3"/>
        <v>4.0558333333333341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339"/>
  <sheetViews>
    <sheetView zoomScale="85" zoomScaleNormal="85" workbookViewId="0">
      <selection activeCell="M24" sqref="M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46054.35674560185</v>
      </c>
      <c r="B3" s="58" t="s">
        <v>81</v>
      </c>
      <c r="C3" s="11">
        <v>0.35673611111111114</v>
      </c>
      <c r="D3" s="11" t="s">
        <v>84</v>
      </c>
      <c r="E3" s="11">
        <v>0.546412037037037</v>
      </c>
      <c r="F3" s="12">
        <f t="shared" ref="F3:F66" si="1">(IF(E3-C3&lt;0,"24:00"-C3+E3,E3-C3))*24</f>
        <v>4.5522222222222206</v>
      </c>
      <c r="G3" s="13">
        <f t="shared" ref="G3:G66" si="2">F3-H3</f>
        <v>4.5522222222222206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99.81472222222223</v>
      </c>
      <c r="K3" s="18">
        <f>SUMIF(B:B,"带班主任",G:G)</f>
        <v>67.14388888888891</v>
      </c>
      <c r="L3" s="18">
        <f>SUMIF(B:B,"带班主任",H:H)</f>
        <v>32.670833333333306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46054.78838229167</v>
      </c>
      <c r="B4" s="58" t="s">
        <v>81</v>
      </c>
      <c r="C4" s="11">
        <v>0.7883796296296296</v>
      </c>
      <c r="D4" s="11" t="s">
        <v>84</v>
      </c>
      <c r="E4" s="11">
        <v>0.94799768518518512</v>
      </c>
      <c r="F4" s="12">
        <f t="shared" si="1"/>
        <v>3.8308333333333326</v>
      </c>
      <c r="G4" s="13">
        <f t="shared" si="2"/>
        <v>3.8308333333333326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46055.534470833336</v>
      </c>
      <c r="B5" s="58" t="s">
        <v>81</v>
      </c>
      <c r="C5" s="11">
        <v>0.53446759259259258</v>
      </c>
      <c r="D5" s="11" t="s">
        <v>84</v>
      </c>
      <c r="E5" s="11">
        <v>0.79918981481481488</v>
      </c>
      <c r="F5" s="12">
        <f t="shared" si="1"/>
        <v>6.3533333333333353</v>
      </c>
      <c r="G5" s="13">
        <f t="shared" si="2"/>
        <v>6.3533333333333353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46058.533764699074</v>
      </c>
      <c r="B6" s="58" t="s">
        <v>81</v>
      </c>
      <c r="C6" s="11">
        <v>0.5337615740740741</v>
      </c>
      <c r="D6" s="11" t="s">
        <v>84</v>
      </c>
      <c r="E6" s="11">
        <v>0.79839120370370376</v>
      </c>
      <c r="F6" s="12">
        <f t="shared" si="1"/>
        <v>6.3511111111111118</v>
      </c>
      <c r="G6" s="13">
        <f t="shared" si="2"/>
        <v>6.3511111111111118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46059.133179050928</v>
      </c>
      <c r="B7" s="58" t="s">
        <v>81</v>
      </c>
      <c r="C7" s="11">
        <v>0.13317129629629629</v>
      </c>
      <c r="D7" s="11" t="s">
        <v>84</v>
      </c>
      <c r="E7" s="11">
        <v>0.29966435185185186</v>
      </c>
      <c r="F7" s="12">
        <f t="shared" si="1"/>
        <v>3.9958333333333336</v>
      </c>
      <c r="G7" s="13">
        <f t="shared" si="2"/>
        <v>0</v>
      </c>
      <c r="H7" s="13">
        <f t="shared" si="3"/>
        <v>3.9958333333333336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46059.851009143516</v>
      </c>
      <c r="B8" s="58" t="s">
        <v>81</v>
      </c>
      <c r="C8" s="11">
        <v>0.85100694444444447</v>
      </c>
      <c r="D8" s="11" t="s">
        <v>84</v>
      </c>
      <c r="E8" s="11">
        <v>0.94428240740740732</v>
      </c>
      <c r="F8" s="12">
        <f t="shared" si="1"/>
        <v>2.2386111111111084</v>
      </c>
      <c r="G8" s="13">
        <f t="shared" si="2"/>
        <v>2.2386111111111084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46060.290968981484</v>
      </c>
      <c r="B9" s="58" t="s">
        <v>81</v>
      </c>
      <c r="C9" s="11">
        <v>0.29096064814814815</v>
      </c>
      <c r="D9" s="11" t="s">
        <v>84</v>
      </c>
      <c r="E9" s="11">
        <v>0.36282407407407408</v>
      </c>
      <c r="F9" s="12">
        <f t="shared" si="1"/>
        <v>1.7247222222222223</v>
      </c>
      <c r="G9" s="13">
        <f t="shared" si="2"/>
        <v>0.70777777777778628</v>
      </c>
      <c r="H9" s="13">
        <f t="shared" si="3"/>
        <v>1.016944444444436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46062.936071875003</v>
      </c>
      <c r="B10" s="58" t="s">
        <v>81</v>
      </c>
      <c r="C10" s="11">
        <v>0.93606481481481485</v>
      </c>
      <c r="D10" s="11" t="s">
        <v>84</v>
      </c>
      <c r="E10" s="11">
        <v>0.14009259259259257</v>
      </c>
      <c r="F10" s="12">
        <f t="shared" si="1"/>
        <v>4.8966666666666656</v>
      </c>
      <c r="G10" s="13">
        <f t="shared" si="2"/>
        <v>1.5344444444444436</v>
      </c>
      <c r="H10" s="13">
        <f t="shared" si="3"/>
        <v>3.362222222222222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46063.540256250002</v>
      </c>
      <c r="B11" s="58" t="s">
        <v>81</v>
      </c>
      <c r="C11" s="11">
        <v>0.54025462962962967</v>
      </c>
      <c r="D11" s="11" t="s">
        <v>84</v>
      </c>
      <c r="E11" s="11">
        <v>0.8000694444444445</v>
      </c>
      <c r="F11" s="12">
        <f t="shared" si="1"/>
        <v>6.235555555555556</v>
      </c>
      <c r="G11" s="13">
        <f t="shared" si="2"/>
        <v>6.235555555555556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46064.13277384259</v>
      </c>
      <c r="B12" s="58" t="s">
        <v>81</v>
      </c>
      <c r="C12" s="11">
        <v>0.13276620370370371</v>
      </c>
      <c r="D12" s="11" t="s">
        <v>84</v>
      </c>
      <c r="E12" s="11">
        <v>0.30766203703703704</v>
      </c>
      <c r="F12" s="12">
        <f t="shared" si="1"/>
        <v>4.1974999999999998</v>
      </c>
      <c r="G12" s="13">
        <f t="shared" si="2"/>
        <v>0</v>
      </c>
      <c r="H12" s="13">
        <f t="shared" si="3"/>
        <v>4.1974999999999998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46065.937008796296</v>
      </c>
      <c r="B13" s="58" t="s">
        <v>81</v>
      </c>
      <c r="C13" s="11">
        <v>0.93700231481481477</v>
      </c>
      <c r="D13" s="11" t="s">
        <v>84</v>
      </c>
      <c r="E13" s="11">
        <v>0.14280092592592594</v>
      </c>
      <c r="F13" s="12">
        <f t="shared" si="1"/>
        <v>4.9391666666666678</v>
      </c>
      <c r="G13" s="13">
        <f t="shared" si="2"/>
        <v>1.5119444444444454</v>
      </c>
      <c r="H13" s="13">
        <f t="shared" si="3"/>
        <v>3.4272222222222224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46066.540535069442</v>
      </c>
      <c r="B14" s="58" t="s">
        <v>81</v>
      </c>
      <c r="C14" s="11">
        <v>0.54053240740740738</v>
      </c>
      <c r="D14" s="11" t="s">
        <v>84</v>
      </c>
      <c r="E14" s="11">
        <v>0.79910879629629628</v>
      </c>
      <c r="F14" s="12">
        <f t="shared" si="1"/>
        <v>6.2058333333333335</v>
      </c>
      <c r="G14" s="13">
        <f t="shared" si="2"/>
        <v>6.2058333333333335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46067.132745601855</v>
      </c>
      <c r="B16" s="58" t="s">
        <v>81</v>
      </c>
      <c r="C16" s="11">
        <v>0.13274305555555557</v>
      </c>
      <c r="D16" s="11" t="s">
        <v>84</v>
      </c>
      <c r="E16" s="11">
        <v>0.30024305555555558</v>
      </c>
      <c r="F16" s="12">
        <f t="shared" si="1"/>
        <v>4.0200000000000005</v>
      </c>
      <c r="G16" s="13">
        <f t="shared" si="2"/>
        <v>0</v>
      </c>
      <c r="H16" s="13">
        <f t="shared" si="3"/>
        <v>4.0200000000000005</v>
      </c>
      <c r="I16" s="35" t="s">
        <v>19</v>
      </c>
      <c r="J16" s="36">
        <f t="shared" ref="J16:L16" si="4">J3</f>
        <v>99.81472222222223</v>
      </c>
      <c r="K16" s="37">
        <f t="shared" si="4"/>
        <v>67.14388888888891</v>
      </c>
      <c r="L16" s="38">
        <f t="shared" si="4"/>
        <v>32.670833333333306</v>
      </c>
      <c r="M16" s="39"/>
    </row>
    <row r="17" spans="1:13" ht="20.25" x14ac:dyDescent="0.25">
      <c r="A17" s="10">
        <f t="shared" ca="1" si="0"/>
        <v>46067.771449652777</v>
      </c>
      <c r="B17" s="58" t="s">
        <v>81</v>
      </c>
      <c r="C17" s="11">
        <v>0.77144675925925921</v>
      </c>
      <c r="D17" s="11" t="s">
        <v>84</v>
      </c>
      <c r="E17" s="11">
        <v>0.94504629629629633</v>
      </c>
      <c r="F17" s="12">
        <f t="shared" si="1"/>
        <v>4.1663888888888909</v>
      </c>
      <c r="G17" s="13">
        <f t="shared" si="2"/>
        <v>4.1663888888888909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46068.290529398146</v>
      </c>
      <c r="B18" s="58" t="s">
        <v>81</v>
      </c>
      <c r="C18" s="11">
        <v>0.29052083333333334</v>
      </c>
      <c r="D18" s="11" t="s">
        <v>84</v>
      </c>
      <c r="E18" s="11">
        <v>0.36350694444444448</v>
      </c>
      <c r="F18" s="12">
        <f t="shared" si="1"/>
        <v>1.7516666666666674</v>
      </c>
      <c r="G18" s="13">
        <f t="shared" si="2"/>
        <v>0.72416666666667595</v>
      </c>
      <c r="H18" s="13">
        <f t="shared" si="3"/>
        <v>1.0274999999999914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46074.935865624997</v>
      </c>
      <c r="B19" s="58" t="s">
        <v>81</v>
      </c>
      <c r="C19" s="11">
        <v>0.93585648148148148</v>
      </c>
      <c r="D19" s="11" t="s">
        <v>84</v>
      </c>
      <c r="E19" s="11">
        <v>0.13940972222222223</v>
      </c>
      <c r="F19" s="12">
        <f t="shared" si="1"/>
        <v>4.8852777777777776</v>
      </c>
      <c r="G19" s="13">
        <f t="shared" si="2"/>
        <v>1.5394444444444444</v>
      </c>
      <c r="H19" s="13">
        <f t="shared" si="3"/>
        <v>3.3458333333333332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46075.541681712966</v>
      </c>
      <c r="B20" s="58" t="s">
        <v>81</v>
      </c>
      <c r="C20" s="11">
        <v>0.54167824074074067</v>
      </c>
      <c r="D20" s="11" t="s">
        <v>84</v>
      </c>
      <c r="E20" s="11">
        <v>0.79800925925925925</v>
      </c>
      <c r="F20" s="12">
        <f t="shared" si="1"/>
        <v>6.151944444444446</v>
      </c>
      <c r="G20" s="13">
        <f t="shared" si="2"/>
        <v>6.151944444444446</v>
      </c>
      <c r="H20" s="13">
        <f t="shared" si="3"/>
        <v>0</v>
      </c>
      <c r="I20" s="40" t="s">
        <v>31</v>
      </c>
      <c r="J20" s="67">
        <f>J16+J17+J18+J19</f>
        <v>99.81472222222223</v>
      </c>
      <c r="K20" s="68"/>
      <c r="L20" s="69"/>
      <c r="M20" s="41"/>
    </row>
    <row r="21" spans="1:13" ht="20.25" x14ac:dyDescent="0.25">
      <c r="A21" s="10">
        <f t="shared" ca="1" si="0"/>
        <v>46076.134174305553</v>
      </c>
      <c r="B21" s="58" t="s">
        <v>81</v>
      </c>
      <c r="C21" s="11">
        <v>0.13416666666666668</v>
      </c>
      <c r="D21" s="11" t="s">
        <v>84</v>
      </c>
      <c r="E21" s="11">
        <v>0.29767361111111112</v>
      </c>
      <c r="F21" s="12">
        <f t="shared" si="1"/>
        <v>3.9241666666666664</v>
      </c>
      <c r="G21" s="13">
        <f t="shared" si="2"/>
        <v>0</v>
      </c>
      <c r="H21" s="13">
        <f t="shared" si="3"/>
        <v>3.9241666666666664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46078.354192245373</v>
      </c>
      <c r="B22" s="58" t="s">
        <v>81</v>
      </c>
      <c r="C22" s="11">
        <v>0.35418981481481482</v>
      </c>
      <c r="D22" s="11" t="s">
        <v>84</v>
      </c>
      <c r="E22" s="11">
        <v>0.54906250000000001</v>
      </c>
      <c r="F22" s="12">
        <f t="shared" si="1"/>
        <v>4.6769444444444446</v>
      </c>
      <c r="G22" s="13">
        <f t="shared" si="2"/>
        <v>4.6769444444444446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46078.790260879628</v>
      </c>
      <c r="B23" s="58" t="s">
        <v>81</v>
      </c>
      <c r="C23" s="11">
        <v>0.79025462962962967</v>
      </c>
      <c r="D23" s="11" t="s">
        <v>84</v>
      </c>
      <c r="E23" s="11">
        <v>0.94437499999999996</v>
      </c>
      <c r="F23" s="12">
        <f t="shared" si="1"/>
        <v>3.6988888888888871</v>
      </c>
      <c r="G23" s="13">
        <f t="shared" si="2"/>
        <v>3.6988888888888871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46079.292219212963</v>
      </c>
      <c r="B24" s="58" t="s">
        <v>81</v>
      </c>
      <c r="C24" s="11">
        <v>0.29221064814814818</v>
      </c>
      <c r="D24" s="11" t="s">
        <v>84</v>
      </c>
      <c r="E24" s="11">
        <v>0.54749999999999999</v>
      </c>
      <c r="F24" s="12">
        <f t="shared" si="1"/>
        <v>6.1269444444444439</v>
      </c>
      <c r="G24" s="13">
        <f t="shared" si="2"/>
        <v>5.1400000000000086</v>
      </c>
      <c r="H24" s="13">
        <f t="shared" si="3"/>
        <v>0.9869444444444353</v>
      </c>
      <c r="I24"/>
      <c r="J24"/>
    </row>
    <row r="25" spans="1:13" ht="18.75" x14ac:dyDescent="0.15">
      <c r="A25" s="10">
        <f t="shared" ca="1" si="0"/>
        <v>46079.936483680554</v>
      </c>
      <c r="B25" s="58" t="s">
        <v>81</v>
      </c>
      <c r="C25" s="11">
        <v>0.93648148148148147</v>
      </c>
      <c r="D25" s="11" t="s">
        <v>84</v>
      </c>
      <c r="E25" s="11">
        <v>0.14027777777777778</v>
      </c>
      <c r="F25" s="12">
        <f t="shared" si="1"/>
        <v>4.8911111111111119</v>
      </c>
      <c r="G25" s="13">
        <f t="shared" si="2"/>
        <v>1.5244444444444452</v>
      </c>
      <c r="H25" s="13">
        <f t="shared" si="3"/>
        <v>3.3666666666666667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339"/>
  <sheetViews>
    <sheetView zoomScale="85" zoomScaleNormal="85" workbookViewId="0">
      <selection activeCell="B15" sqref="B1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46054.372702199071</v>
      </c>
      <c r="B3" s="58" t="s">
        <v>89</v>
      </c>
      <c r="C3" s="11">
        <v>0.37269675925925921</v>
      </c>
      <c r="D3" s="11" t="s">
        <v>84</v>
      </c>
      <c r="E3" s="11">
        <v>0.44753472222222218</v>
      </c>
      <c r="F3" s="12">
        <f t="shared" ref="F3:F66" si="1">(IF(E3-C3&lt;0,"24:00"-C3+E3,E3-C3))*24</f>
        <v>1.7961111111111112</v>
      </c>
      <c r="G3" s="13">
        <f t="shared" ref="G3:G66" si="2">F3-H3</f>
        <v>1.7961111111111112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46055.352640393518</v>
      </c>
      <c r="B4" s="58" t="s">
        <v>89</v>
      </c>
      <c r="C4" s="11">
        <v>0.35263888888888889</v>
      </c>
      <c r="D4" s="11" t="s">
        <v>84</v>
      </c>
      <c r="E4" s="11">
        <v>0.40376157407407409</v>
      </c>
      <c r="F4" s="12">
        <f t="shared" si="1"/>
        <v>1.2269444444444448</v>
      </c>
      <c r="G4" s="13">
        <f t="shared" si="2"/>
        <v>1.2269444444444448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46056.939572222225</v>
      </c>
      <c r="B5" s="58" t="s">
        <v>89</v>
      </c>
      <c r="C5" s="11">
        <v>0.93957175925925929</v>
      </c>
      <c r="D5" s="11" t="s">
        <v>84</v>
      </c>
      <c r="E5" s="11">
        <v>0.98517361111111112</v>
      </c>
      <c r="F5" s="12">
        <f t="shared" si="1"/>
        <v>1.0944444444444441</v>
      </c>
      <c r="G5" s="13">
        <f t="shared" si="2"/>
        <v>1.0944444444444441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46057.332475115742</v>
      </c>
      <c r="B6" s="58" t="s">
        <v>89</v>
      </c>
      <c r="C6" s="11">
        <v>0.33246527777777779</v>
      </c>
      <c r="D6" s="11" t="s">
        <v>84</v>
      </c>
      <c r="E6" s="11">
        <v>0.41378472222222223</v>
      </c>
      <c r="F6" s="12">
        <f t="shared" si="1"/>
        <v>1.9516666666666667</v>
      </c>
      <c r="G6" s="13">
        <f t="shared" si="2"/>
        <v>1.9308333333333421</v>
      </c>
      <c r="H6" s="13">
        <f t="shared" si="3"/>
        <v>2.08333333333246E-2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46063.33040324074</v>
      </c>
      <c r="B7" s="58" t="s">
        <v>89</v>
      </c>
      <c r="C7" s="11">
        <v>0.3303935185185185</v>
      </c>
      <c r="D7" s="11" t="s">
        <v>84</v>
      </c>
      <c r="E7" s="11">
        <v>0.49277777777777776</v>
      </c>
      <c r="F7" s="12">
        <f t="shared" si="1"/>
        <v>3.8972222222222221</v>
      </c>
      <c r="G7" s="13">
        <f t="shared" si="2"/>
        <v>3.8266666666666747</v>
      </c>
      <c r="H7" s="13">
        <f t="shared" si="3"/>
        <v>7.0555555555547489E-2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46064.317507638887</v>
      </c>
      <c r="B8" s="58" t="s">
        <v>89</v>
      </c>
      <c r="C8" s="11">
        <v>0.3175</v>
      </c>
      <c r="D8" s="11" t="s">
        <v>84</v>
      </c>
      <c r="E8" s="11">
        <v>0.56057870370370366</v>
      </c>
      <c r="F8" s="12">
        <f t="shared" si="1"/>
        <v>5.8338888888888878</v>
      </c>
      <c r="G8" s="13">
        <f t="shared" si="2"/>
        <v>5.4538888888888959</v>
      </c>
      <c r="H8" s="13">
        <f t="shared" si="3"/>
        <v>0.37999999999999146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46073.818635185184</v>
      </c>
      <c r="B9" s="58" t="s">
        <v>89</v>
      </c>
      <c r="C9" s="11">
        <v>0.81863425925925926</v>
      </c>
      <c r="D9" s="11" t="s">
        <v>84</v>
      </c>
      <c r="E9" s="11">
        <v>0.9783912037037038</v>
      </c>
      <c r="F9" s="12">
        <f t="shared" si="1"/>
        <v>3.8341666666666692</v>
      </c>
      <c r="G9" s="13">
        <f t="shared" si="2"/>
        <v>3.8341666666666692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46074.53523645833</v>
      </c>
      <c r="B10" s="58" t="s">
        <v>89</v>
      </c>
      <c r="C10" s="11">
        <v>0.53523148148148147</v>
      </c>
      <c r="D10" s="11" t="s">
        <v>84</v>
      </c>
      <c r="E10" s="11">
        <v>0.85381944444444446</v>
      </c>
      <c r="F10" s="12">
        <f t="shared" si="1"/>
        <v>7.6461111111111117</v>
      </c>
      <c r="G10" s="13">
        <f t="shared" si="2"/>
        <v>7.6461111111111117</v>
      </c>
      <c r="H10" s="13">
        <f t="shared" si="3"/>
        <v>0</v>
      </c>
      <c r="I10" s="21" t="s">
        <v>24</v>
      </c>
      <c r="J10" s="22">
        <f>SUMIF(B:B,"综合协调席",F:F)</f>
        <v>42.977500000000006</v>
      </c>
      <c r="K10" s="23">
        <f>SUMIF(B:B,"综合协调席",G:G)</f>
        <v>41.145833333333357</v>
      </c>
      <c r="L10" s="23">
        <f>SUMIF(B:B,"综合协调席",H:H)</f>
        <v>1.8316666666666415</v>
      </c>
      <c r="M10" s="19"/>
    </row>
    <row r="11" spans="1:16" ht="18.75" x14ac:dyDescent="0.25">
      <c r="A11" s="10">
        <f t="shared" ca="1" si="0"/>
        <v>46075.001504745371</v>
      </c>
      <c r="B11" s="58" t="s">
        <v>89</v>
      </c>
      <c r="C11" s="11">
        <v>1.5046296296296294E-3</v>
      </c>
      <c r="D11" s="11" t="s">
        <v>84</v>
      </c>
      <c r="E11" s="11">
        <v>5.8182870370370371E-2</v>
      </c>
      <c r="F11" s="12">
        <f t="shared" si="1"/>
        <v>1.3602777777777779</v>
      </c>
      <c r="G11" s="13">
        <f t="shared" si="2"/>
        <v>0</v>
      </c>
      <c r="H11" s="13">
        <f t="shared" si="3"/>
        <v>1.3602777777777779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46075.424550347219</v>
      </c>
      <c r="B12" s="58" t="s">
        <v>89</v>
      </c>
      <c r="C12" s="11">
        <v>0.42454861111111114</v>
      </c>
      <c r="D12" s="11" t="s">
        <v>84</v>
      </c>
      <c r="E12" s="11">
        <v>0.50471064814814814</v>
      </c>
      <c r="F12" s="12">
        <f t="shared" si="1"/>
        <v>1.9238888888888881</v>
      </c>
      <c r="G12" s="13">
        <f t="shared" si="2"/>
        <v>1.9238888888888881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46081.482808912035</v>
      </c>
      <c r="B13" s="58" t="s">
        <v>89</v>
      </c>
      <c r="C13" s="11">
        <v>0.48280092592592588</v>
      </c>
      <c r="D13" s="11"/>
      <c r="E13" s="11"/>
      <c r="F13" s="12">
        <f t="shared" si="1"/>
        <v>12.41277777777778</v>
      </c>
      <c r="G13" s="13">
        <f t="shared" si="2"/>
        <v>12.41277777777778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42.977500000000006</v>
      </c>
      <c r="K17" s="37">
        <f>K4+K5+K6+K7+K10</f>
        <v>41.145833333333357</v>
      </c>
      <c r="L17" s="38">
        <f>L4+L5+L6+L7+L10</f>
        <v>1.8316666666666415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42.977500000000006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339"/>
  <sheetViews>
    <sheetView zoomScale="85" zoomScaleNormal="85" workbookViewId="0">
      <selection activeCell="E12" sqref="E1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46058.841275578707</v>
      </c>
      <c r="B3" s="58" t="s">
        <v>89</v>
      </c>
      <c r="C3" s="11">
        <v>0.80655092592592592</v>
      </c>
      <c r="D3" s="11" t="s">
        <v>84</v>
      </c>
      <c r="E3" s="11">
        <v>0.95700231481481479</v>
      </c>
      <c r="F3" s="12">
        <f t="shared" ref="F3:F66" si="1">(IF(E3-C3&lt;0,"24:00"-C3+E3,E3-C3))*24</f>
        <v>3.6108333333333329</v>
      </c>
      <c r="G3" s="13">
        <f t="shared" ref="G3:G66" si="2">F3-H3</f>
        <v>3.6108333333333329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46061.401252430558</v>
      </c>
      <c r="B4" s="58" t="s">
        <v>89</v>
      </c>
      <c r="C4" s="11">
        <v>0.40125000000000005</v>
      </c>
      <c r="D4" s="11" t="s">
        <v>84</v>
      </c>
      <c r="E4" s="11">
        <v>0.52446759259259257</v>
      </c>
      <c r="F4" s="12">
        <f t="shared" si="1"/>
        <v>2.9572222222222204</v>
      </c>
      <c r="G4" s="13">
        <f t="shared" si="2"/>
        <v>2.9572222222222204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46061.650943055552</v>
      </c>
      <c r="B5" s="58" t="s">
        <v>89</v>
      </c>
      <c r="C5" s="11">
        <v>0.65093750000000006</v>
      </c>
      <c r="D5" s="11" t="s">
        <v>84</v>
      </c>
      <c r="E5" s="11">
        <v>0.74738425925925922</v>
      </c>
      <c r="F5" s="12">
        <f t="shared" si="1"/>
        <v>2.3147222222222199</v>
      </c>
      <c r="G5" s="13">
        <f t="shared" si="2"/>
        <v>2.3147222222222199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46063.367894444447</v>
      </c>
      <c r="B6" s="58" t="s">
        <v>90</v>
      </c>
      <c r="C6" s="11">
        <v>0.36789351851851854</v>
      </c>
      <c r="D6" s="11" t="s">
        <v>84</v>
      </c>
      <c r="E6" s="11">
        <v>0.52307870370370368</v>
      </c>
      <c r="F6" s="12">
        <f t="shared" si="1"/>
        <v>3.7244444444444436</v>
      </c>
      <c r="G6" s="13">
        <f t="shared" si="2"/>
        <v>3.7244444444444436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46064.375577777777</v>
      </c>
      <c r="B7" s="58" t="s">
        <v>89</v>
      </c>
      <c r="C7" s="11">
        <v>0.37556712962962963</v>
      </c>
      <c r="D7" s="11" t="s">
        <v>84</v>
      </c>
      <c r="E7" s="11">
        <v>0.63997685185185182</v>
      </c>
      <c r="F7" s="12">
        <f t="shared" si="1"/>
        <v>6.3458333333333332</v>
      </c>
      <c r="G7" s="13">
        <f t="shared" si="2"/>
        <v>6.3458333333333332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46066.718275810184</v>
      </c>
      <c r="B8" s="58" t="s">
        <v>89</v>
      </c>
      <c r="C8" s="11">
        <v>0.6349421296296297</v>
      </c>
      <c r="D8" s="11" t="s">
        <v>84</v>
      </c>
      <c r="E8" s="11">
        <v>0.76839120370370362</v>
      </c>
      <c r="F8" s="12">
        <f t="shared" si="1"/>
        <v>3.2027777777777739</v>
      </c>
      <c r="G8" s="13">
        <f t="shared" si="2"/>
        <v>3.2027777777777739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46066.768334837965</v>
      </c>
      <c r="B9" s="58" t="s">
        <v>89</v>
      </c>
      <c r="C9" s="11">
        <v>0.76833333333333342</v>
      </c>
      <c r="D9" s="11" t="s">
        <v>84</v>
      </c>
      <c r="E9" s="11">
        <v>0.93513888888888896</v>
      </c>
      <c r="F9" s="12">
        <f t="shared" si="1"/>
        <v>4.003333333333333</v>
      </c>
      <c r="G9" s="13">
        <f t="shared" si="2"/>
        <v>4.003333333333333</v>
      </c>
      <c r="H9" s="13">
        <f t="shared" si="3"/>
        <v>0</v>
      </c>
      <c r="I9" s="21" t="s">
        <v>76</v>
      </c>
      <c r="J9" s="22">
        <f>SUMIF(B:B,"航班调度席",F:F)</f>
        <v>3.7244444444444436</v>
      </c>
      <c r="K9" s="23">
        <f>SUMIF(B:B,"航班调度席",G:G)</f>
        <v>3.7244444444444436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46077.818326967594</v>
      </c>
      <c r="B10" s="58" t="s">
        <v>89</v>
      </c>
      <c r="C10" s="11">
        <v>0.81832175925925921</v>
      </c>
      <c r="D10" s="11" t="s">
        <v>84</v>
      </c>
      <c r="E10" s="11">
        <v>0.98288194444444443</v>
      </c>
      <c r="F10" s="12">
        <f t="shared" si="1"/>
        <v>3.9494444444444454</v>
      </c>
      <c r="G10" s="13">
        <f t="shared" si="2"/>
        <v>3.9494444444444454</v>
      </c>
      <c r="H10" s="13">
        <f t="shared" si="3"/>
        <v>0</v>
      </c>
      <c r="I10" s="21" t="s">
        <v>24</v>
      </c>
      <c r="J10" s="22">
        <f>SUMIF(B:B,"综合协调席",F:F)</f>
        <v>30.158888888888882</v>
      </c>
      <c r="K10" s="23">
        <f>SUMIF(B:B,"综合协调席",G:G)</f>
        <v>30.158888888888882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46081.483129050925</v>
      </c>
      <c r="B11" s="58" t="s">
        <v>89</v>
      </c>
      <c r="C11" s="11">
        <v>0.48312500000000003</v>
      </c>
      <c r="D11" s="11" t="s">
        <v>84</v>
      </c>
      <c r="E11" s="11">
        <v>0.6404050925925926</v>
      </c>
      <c r="F11" s="12">
        <f t="shared" si="1"/>
        <v>3.7747222222222216</v>
      </c>
      <c r="G11" s="13">
        <f t="shared" si="2"/>
        <v>3.7747222222222216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8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8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8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8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8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8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30.158888888888882</v>
      </c>
      <c r="K17" s="37">
        <f>K4+K5+K6+K7+K10</f>
        <v>30.158888888888882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8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8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8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30.158888888888882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8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3.7244444444444436</v>
      </c>
      <c r="K21" s="37">
        <f>SUM(K8:K9)</f>
        <v>3.7244444444444436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8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339"/>
  <sheetViews>
    <sheetView topLeftCell="A7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46055.139238310185</v>
      </c>
      <c r="B3" s="58" t="s">
        <v>86</v>
      </c>
      <c r="C3" s="11">
        <v>0.13923611111111112</v>
      </c>
      <c r="D3" s="11" t="s">
        <v>84</v>
      </c>
      <c r="E3" s="11">
        <v>0.22190972222222224</v>
      </c>
      <c r="F3" s="12">
        <f t="shared" ref="F3:F66" si="1">(IF(E3-C3&lt;0,"24:00"-C3+E3,E3-C3))*24</f>
        <v>1.9841666666666671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1.9841666666666671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46055.22196840278</v>
      </c>
      <c r="B4" s="58" t="s">
        <v>82</v>
      </c>
      <c r="C4" s="11">
        <v>0.22196759259259258</v>
      </c>
      <c r="D4" s="11" t="s">
        <v>84</v>
      </c>
      <c r="E4" s="11">
        <v>0.29938657407407404</v>
      </c>
      <c r="F4" s="12">
        <f t="shared" si="1"/>
        <v>1.8580555555555551</v>
      </c>
      <c r="G4" s="13">
        <f t="shared" si="2"/>
        <v>0</v>
      </c>
      <c r="H4" s="13">
        <f t="shared" si="3"/>
        <v>1.8580555555555551</v>
      </c>
      <c r="I4" s="21" t="s">
        <v>20</v>
      </c>
      <c r="J4" s="22">
        <f>SUMIF(B:B,"西塔台管制席",F:F)+SUMIF(B:B,"东塔台管制席",F:F)</f>
        <v>44.99722222222222</v>
      </c>
      <c r="K4" s="23">
        <f>SUMIF(B:B,"西塔台管制席",G:G)+SUMIF(B:B,"东塔台管制席",G:G)</f>
        <v>25.53277777777781</v>
      </c>
      <c r="L4" s="23">
        <f>SUMIF(B:B,"西塔台管制席",H:H)+SUMIF(B:B,"东塔台管制席",H:H)</f>
        <v>19.46444444444441</v>
      </c>
      <c r="M4" s="19"/>
    </row>
    <row r="5" spans="1:16" ht="18.75" x14ac:dyDescent="0.25">
      <c r="A5" s="10">
        <f t="shared" ca="1" si="0"/>
        <v>46055.95265486111</v>
      </c>
      <c r="B5" s="58" t="s">
        <v>83</v>
      </c>
      <c r="C5" s="11">
        <v>0.95265046296296296</v>
      </c>
      <c r="D5" s="11" t="s">
        <v>84</v>
      </c>
      <c r="E5" s="11">
        <v>0.1431712962962963</v>
      </c>
      <c r="F5" s="12">
        <f t="shared" si="1"/>
        <v>4.5724999999999998</v>
      </c>
      <c r="G5" s="13">
        <f t="shared" si="2"/>
        <v>1.1363888888888889</v>
      </c>
      <c r="H5" s="13">
        <f t="shared" si="3"/>
        <v>3.4361111111111109</v>
      </c>
      <c r="I5" s="21" t="s">
        <v>21</v>
      </c>
      <c r="J5" s="22">
        <f>SUMIF(B:B,"西塔台协调席",F:F)+SUMIF(B:B,"东塔台协调席",F:F)</f>
        <v>13.305833333333325</v>
      </c>
      <c r="K5" s="23">
        <f>SUMIF(B:B,"西塔台协调席",G:G)+SUMIF(B:B,"东塔台协调席",G:G)</f>
        <v>9.4491666666666578</v>
      </c>
      <c r="L5" s="23">
        <f>SUMIF(B:B,"西塔台协调席",H:H)+SUMIF(B:B,"东塔台协调席",H:H)</f>
        <v>3.856666666666666</v>
      </c>
      <c r="M5" s="19"/>
    </row>
    <row r="6" spans="1:16" ht="18.75" x14ac:dyDescent="0.25">
      <c r="A6" s="10">
        <f t="shared" ca="1" si="0"/>
        <v>46058.376321412034</v>
      </c>
      <c r="B6" s="58" t="s">
        <v>90</v>
      </c>
      <c r="C6" s="11">
        <v>0.37631944444444443</v>
      </c>
      <c r="D6" s="11" t="s">
        <v>84</v>
      </c>
      <c r="E6" s="11">
        <v>0.43820601851851854</v>
      </c>
      <c r="F6" s="12">
        <f t="shared" si="1"/>
        <v>1.4852777777777786</v>
      </c>
      <c r="G6" s="13">
        <f t="shared" si="2"/>
        <v>1.4852777777777786</v>
      </c>
      <c r="H6" s="13">
        <f t="shared" si="3"/>
        <v>0</v>
      </c>
      <c r="I6" s="21" t="s">
        <v>22</v>
      </c>
      <c r="J6" s="22">
        <f>SUMIF(B:B,"放行席",F:F)</f>
        <v>3.8536111111111104</v>
      </c>
      <c r="K6" s="23">
        <f>SUMIF(B:B,"放行席",G:G)</f>
        <v>0</v>
      </c>
      <c r="L6" s="23">
        <f>SUMIF(B:B,"放行席",H:H)</f>
        <v>3.8536111111111104</v>
      </c>
      <c r="M6" s="19"/>
    </row>
    <row r="7" spans="1:16" ht="18.75" x14ac:dyDescent="0.25">
      <c r="A7" s="10">
        <f t="shared" ca="1" si="0"/>
        <v>46058.438257870373</v>
      </c>
      <c r="B7" s="58" t="s">
        <v>85</v>
      </c>
      <c r="C7" s="11">
        <v>0.4382523148148148</v>
      </c>
      <c r="D7" s="11" t="s">
        <v>84</v>
      </c>
      <c r="E7" s="11">
        <v>0.50657407407407407</v>
      </c>
      <c r="F7" s="12">
        <f t="shared" si="1"/>
        <v>1.6397222222222223</v>
      </c>
      <c r="G7" s="13">
        <f t="shared" si="2"/>
        <v>1.6397222222222223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46058.6266412037</v>
      </c>
      <c r="B8" s="58" t="s">
        <v>86</v>
      </c>
      <c r="C8" s="11">
        <v>0.62663194444444448</v>
      </c>
      <c r="D8" s="11" t="s">
        <v>84</v>
      </c>
      <c r="E8" s="11">
        <v>0.79862268518518509</v>
      </c>
      <c r="F8" s="12">
        <f t="shared" si="1"/>
        <v>4.1277777777777747</v>
      </c>
      <c r="G8" s="13">
        <f t="shared" si="2"/>
        <v>4.1277777777777747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46059.293886921296</v>
      </c>
      <c r="B9" s="58" t="s">
        <v>83</v>
      </c>
      <c r="C9" s="11">
        <v>0.29387731481481483</v>
      </c>
      <c r="D9" s="11" t="s">
        <v>84</v>
      </c>
      <c r="E9" s="11">
        <v>0.42526620370370366</v>
      </c>
      <c r="F9" s="12">
        <f t="shared" si="1"/>
        <v>3.153333333333332</v>
      </c>
      <c r="G9" s="13">
        <f t="shared" si="2"/>
        <v>2.2063888888888963</v>
      </c>
      <c r="H9" s="13">
        <f t="shared" si="3"/>
        <v>0.94694444444443571</v>
      </c>
      <c r="I9" s="21" t="s">
        <v>76</v>
      </c>
      <c r="J9" s="22">
        <f>SUMIF(B:B,"航班调度席",F:F)</f>
        <v>4.058055555555554</v>
      </c>
      <c r="K9" s="23">
        <f>SUMIF(B:B,"航班调度席",G:G)</f>
        <v>4.058055555555554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46059.425313657404</v>
      </c>
      <c r="B10" s="58" t="s">
        <v>90</v>
      </c>
      <c r="C10" s="11">
        <v>0.42531249999999998</v>
      </c>
      <c r="D10" s="11" t="s">
        <v>84</v>
      </c>
      <c r="E10" s="11">
        <v>0.4642592592592592</v>
      </c>
      <c r="F10" s="12">
        <f t="shared" si="1"/>
        <v>0.93472222222222134</v>
      </c>
      <c r="G10" s="13">
        <f t="shared" si="2"/>
        <v>0.93472222222222134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46059.622366782409</v>
      </c>
      <c r="B11" s="58" t="s">
        <v>90</v>
      </c>
      <c r="C11" s="11">
        <v>0.62236111111111114</v>
      </c>
      <c r="D11" s="11" t="s">
        <v>84</v>
      </c>
      <c r="E11" s="11">
        <v>0.69061342592592589</v>
      </c>
      <c r="F11" s="12">
        <f t="shared" si="1"/>
        <v>1.638055555555554</v>
      </c>
      <c r="G11" s="13">
        <f t="shared" si="2"/>
        <v>1.638055555555554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46059.752718055555</v>
      </c>
      <c r="B12" s="58" t="s">
        <v>82</v>
      </c>
      <c r="C12" s="11">
        <v>0.75270833333333342</v>
      </c>
      <c r="D12" s="11" t="s">
        <v>84</v>
      </c>
      <c r="E12" s="11">
        <v>0.83909722222222216</v>
      </c>
      <c r="F12" s="12">
        <f t="shared" si="1"/>
        <v>2.0733333333333297</v>
      </c>
      <c r="G12" s="13">
        <f t="shared" si="2"/>
        <v>2.0733333333333297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46060.293057060182</v>
      </c>
      <c r="B13" s="58" t="s">
        <v>86</v>
      </c>
      <c r="C13" s="11">
        <v>0.29305555555555557</v>
      </c>
      <c r="D13" s="11" t="s">
        <v>84</v>
      </c>
      <c r="E13" s="11">
        <v>0.36300925925925925</v>
      </c>
      <c r="F13" s="12">
        <f t="shared" si="1"/>
        <v>1.6788888888888884</v>
      </c>
      <c r="G13" s="13">
        <f t="shared" si="2"/>
        <v>0.71222222222223053</v>
      </c>
      <c r="H13" s="13">
        <f t="shared" si="3"/>
        <v>0.9666666666666579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46063.016232986112</v>
      </c>
      <c r="B14" s="58" t="s">
        <v>86</v>
      </c>
      <c r="C14" s="11">
        <v>1.622685185185185E-2</v>
      </c>
      <c r="D14" s="11" t="s">
        <v>84</v>
      </c>
      <c r="E14" s="11">
        <v>0.14173611111111112</v>
      </c>
      <c r="F14" s="12">
        <f t="shared" si="1"/>
        <v>3.0122222222222224</v>
      </c>
      <c r="G14" s="13">
        <f t="shared" si="2"/>
        <v>0</v>
      </c>
      <c r="H14" s="13">
        <f t="shared" si="3"/>
        <v>3.0122222222222224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46064.13910601852</v>
      </c>
      <c r="B15" s="58" t="s">
        <v>86</v>
      </c>
      <c r="C15" s="11">
        <v>0.13909722222222223</v>
      </c>
      <c r="D15" s="11" t="s">
        <v>84</v>
      </c>
      <c r="E15" s="11">
        <v>0.29856481481481484</v>
      </c>
      <c r="F15" s="12">
        <f t="shared" si="1"/>
        <v>3.8272222222222227</v>
      </c>
      <c r="G15" s="13">
        <f t="shared" si="2"/>
        <v>0</v>
      </c>
      <c r="H15" s="13">
        <f t="shared" si="3"/>
        <v>3.8272222222222227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46067.132871527778</v>
      </c>
      <c r="B16" s="58" t="s">
        <v>87</v>
      </c>
      <c r="C16" s="11">
        <v>0.13287037037037039</v>
      </c>
      <c r="D16" s="11" t="s">
        <v>84</v>
      </c>
      <c r="E16" s="11">
        <v>0.21240740740740741</v>
      </c>
      <c r="F16" s="12">
        <f t="shared" si="1"/>
        <v>1.9088888888888884</v>
      </c>
      <c r="G16" s="13">
        <f t="shared" si="2"/>
        <v>0</v>
      </c>
      <c r="H16" s="13">
        <f t="shared" si="3"/>
        <v>1.9088888888888884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46068.133675578705</v>
      </c>
      <c r="B17" s="58" t="s">
        <v>87</v>
      </c>
      <c r="C17" s="11">
        <v>0.13366898148148149</v>
      </c>
      <c r="D17" s="11" t="s">
        <v>84</v>
      </c>
      <c r="E17" s="11">
        <v>0.21469907407407407</v>
      </c>
      <c r="F17" s="12">
        <f t="shared" si="1"/>
        <v>1.944722222222222</v>
      </c>
      <c r="G17" s="13">
        <f t="shared" si="2"/>
        <v>0</v>
      </c>
      <c r="H17" s="13">
        <f t="shared" si="3"/>
        <v>1.944722222222222</v>
      </c>
      <c r="I17" s="35" t="s">
        <v>29</v>
      </c>
      <c r="J17" s="36">
        <f>J4+J5+J6+J7+J10</f>
        <v>62.156666666666652</v>
      </c>
      <c r="K17" s="37">
        <f>K4+K5+K6+K7+K10</f>
        <v>34.981944444444466</v>
      </c>
      <c r="L17" s="38">
        <f>L4+L5+L6+L7+L10</f>
        <v>27.174722222222186</v>
      </c>
      <c r="M17" s="39"/>
    </row>
    <row r="18" spans="1:13" ht="20.25" x14ac:dyDescent="0.25">
      <c r="A18" s="10">
        <f t="shared" ca="1" si="0"/>
        <v>46068.214741087962</v>
      </c>
      <c r="B18" s="58" t="s">
        <v>85</v>
      </c>
      <c r="C18" s="11">
        <v>0.2147337962962963</v>
      </c>
      <c r="D18" s="11" t="s">
        <v>84</v>
      </c>
      <c r="E18" s="11">
        <v>0.29800925925925925</v>
      </c>
      <c r="F18" s="12">
        <f t="shared" si="1"/>
        <v>1.9986111111111109</v>
      </c>
      <c r="G18" s="13">
        <f t="shared" si="2"/>
        <v>0</v>
      </c>
      <c r="H18" s="13">
        <f t="shared" si="3"/>
        <v>1.9986111111111109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46070.520790625</v>
      </c>
      <c r="B19" s="58" t="s">
        <v>83</v>
      </c>
      <c r="C19" s="11">
        <v>0.52078703703703699</v>
      </c>
      <c r="D19" s="11" t="s">
        <v>84</v>
      </c>
      <c r="E19" s="11">
        <v>0.65314814814814814</v>
      </c>
      <c r="F19" s="12">
        <f t="shared" si="1"/>
        <v>3.1766666666666676</v>
      </c>
      <c r="G19" s="13">
        <f t="shared" si="2"/>
        <v>3.1766666666666676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46070.772946412035</v>
      </c>
      <c r="B20" s="58" t="s">
        <v>82</v>
      </c>
      <c r="C20" s="11">
        <v>0.77293981481481477</v>
      </c>
      <c r="D20" s="11" t="s">
        <v>84</v>
      </c>
      <c r="E20" s="11">
        <v>0.8349537037037037</v>
      </c>
      <c r="F20" s="12">
        <f t="shared" si="1"/>
        <v>1.4883333333333342</v>
      </c>
      <c r="G20" s="13">
        <f t="shared" si="2"/>
        <v>1.4883333333333342</v>
      </c>
      <c r="H20" s="13">
        <f t="shared" si="3"/>
        <v>0</v>
      </c>
      <c r="I20" s="40" t="s">
        <v>31</v>
      </c>
      <c r="J20" s="67">
        <f>J16+J17+J18+J19</f>
        <v>62.156666666666652</v>
      </c>
      <c r="K20" s="68"/>
      <c r="L20" s="69"/>
      <c r="M20" s="41"/>
    </row>
    <row r="21" spans="1:13" ht="20.25" x14ac:dyDescent="0.25">
      <c r="A21" s="10">
        <f t="shared" ca="1" si="0"/>
        <v>46070.877214120374</v>
      </c>
      <c r="B21" s="58" t="s">
        <v>82</v>
      </c>
      <c r="C21" s="11">
        <v>0.87726851851851861</v>
      </c>
      <c r="D21" s="11" t="s">
        <v>84</v>
      </c>
      <c r="E21" s="11">
        <v>0.89810185185185187</v>
      </c>
      <c r="F21" s="12">
        <f t="shared" si="1"/>
        <v>0.49999999999999822</v>
      </c>
      <c r="G21" s="13">
        <f t="shared" si="2"/>
        <v>0.49999999999999822</v>
      </c>
      <c r="H21" s="13">
        <f t="shared" si="3"/>
        <v>0</v>
      </c>
      <c r="I21" s="53" t="s">
        <v>78</v>
      </c>
      <c r="J21" s="54">
        <f>SUM(J8:J9)</f>
        <v>4.058055555555554</v>
      </c>
      <c r="K21" s="37">
        <f>SUM(K8:K9)</f>
        <v>4.058055555555554</v>
      </c>
      <c r="L21" s="38">
        <f>SUM(L8:L9)</f>
        <v>0</v>
      </c>
      <c r="M21" s="46"/>
    </row>
    <row r="22" spans="1:13" ht="18.75" x14ac:dyDescent="0.15">
      <c r="A22" s="10">
        <f t="shared" ca="1" si="0"/>
        <v>46071.293662731485</v>
      </c>
      <c r="B22" s="58" t="s">
        <v>83</v>
      </c>
      <c r="C22" s="11">
        <v>0.29365740740740742</v>
      </c>
      <c r="D22" s="11" t="s">
        <v>84</v>
      </c>
      <c r="E22" s="11">
        <v>0.33100694444444445</v>
      </c>
      <c r="F22" s="12">
        <f t="shared" si="1"/>
        <v>0.89638888888888868</v>
      </c>
      <c r="G22" s="13">
        <f t="shared" si="2"/>
        <v>0</v>
      </c>
      <c r="H22" s="13">
        <f t="shared" si="3"/>
        <v>0.89638888888888868</v>
      </c>
      <c r="I22"/>
      <c r="J22"/>
    </row>
    <row r="23" spans="1:13" ht="18.75" x14ac:dyDescent="0.15">
      <c r="A23" s="10">
        <f t="shared" ca="1" si="0"/>
        <v>46071.356701736113</v>
      </c>
      <c r="B23" s="58" t="s">
        <v>83</v>
      </c>
      <c r="C23" s="11">
        <v>0.35670138888888886</v>
      </c>
      <c r="D23" s="11" t="s">
        <v>84</v>
      </c>
      <c r="E23" s="11">
        <v>0.46270833333333333</v>
      </c>
      <c r="F23" s="12">
        <f t="shared" si="1"/>
        <v>2.5441666666666674</v>
      </c>
      <c r="G23" s="13">
        <f t="shared" si="2"/>
        <v>2.5441666666666674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46071.544151736111</v>
      </c>
      <c r="B24" s="58" t="s">
        <v>83</v>
      </c>
      <c r="C24" s="11">
        <v>0.5441435185185185</v>
      </c>
      <c r="D24" s="11" t="s">
        <v>84</v>
      </c>
      <c r="E24" s="11">
        <v>0.67273148148148154</v>
      </c>
      <c r="F24" s="12">
        <f t="shared" si="1"/>
        <v>3.086111111111113</v>
      </c>
      <c r="G24" s="13">
        <f t="shared" si="2"/>
        <v>3.086111111111113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46072.294302083334</v>
      </c>
      <c r="B25" s="58" t="s">
        <v>83</v>
      </c>
      <c r="C25" s="11">
        <v>0.2942939814814815</v>
      </c>
      <c r="D25" s="11" t="s">
        <v>84</v>
      </c>
      <c r="E25" s="11">
        <v>0.36194444444444446</v>
      </c>
      <c r="F25" s="12">
        <f t="shared" si="1"/>
        <v>1.6236111111111109</v>
      </c>
      <c r="G25" s="13">
        <f t="shared" si="2"/>
        <v>0.68666666666667542</v>
      </c>
      <c r="H25" s="13">
        <f t="shared" si="3"/>
        <v>0.93694444444443548</v>
      </c>
      <c r="I25"/>
      <c r="J25"/>
    </row>
    <row r="26" spans="1:13" ht="18.75" x14ac:dyDescent="0.15">
      <c r="A26" s="10">
        <f t="shared" ca="1" si="0"/>
        <v>46074.522224189815</v>
      </c>
      <c r="B26" s="58" t="s">
        <v>83</v>
      </c>
      <c r="C26" s="11">
        <v>0.52222222222222225</v>
      </c>
      <c r="D26" s="11" t="s">
        <v>84</v>
      </c>
      <c r="E26" s="11">
        <v>0.65195601851851859</v>
      </c>
      <c r="F26" s="12">
        <f t="shared" si="1"/>
        <v>3.113611111111112</v>
      </c>
      <c r="G26" s="13">
        <f t="shared" si="2"/>
        <v>3.113611111111112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46074.898041898145</v>
      </c>
      <c r="B27" s="58" t="s">
        <v>83</v>
      </c>
      <c r="C27" s="11">
        <v>0.89803240740740742</v>
      </c>
      <c r="D27" s="11" t="s">
        <v>84</v>
      </c>
      <c r="E27" s="11">
        <v>0.95908564814814812</v>
      </c>
      <c r="F27" s="12">
        <f t="shared" si="1"/>
        <v>1.4652777777777768</v>
      </c>
      <c r="G27" s="13">
        <f t="shared" si="2"/>
        <v>1.4652777777777768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46075.29253796296</v>
      </c>
      <c r="B28" s="58" t="s">
        <v>83</v>
      </c>
      <c r="C28" s="11">
        <v>0.29274305555555552</v>
      </c>
      <c r="D28" s="11" t="s">
        <v>84</v>
      </c>
      <c r="E28" s="11">
        <v>0.42268518518518516</v>
      </c>
      <c r="F28" s="12">
        <f t="shared" si="1"/>
        <v>3.1186111111111114</v>
      </c>
      <c r="G28" s="13">
        <f t="shared" si="2"/>
        <v>2.1444444444444524</v>
      </c>
      <c r="H28" s="13">
        <f t="shared" si="3"/>
        <v>0.97416666666665908</v>
      </c>
      <c r="I28"/>
      <c r="J28"/>
    </row>
    <row r="29" spans="1:13" ht="18.75" x14ac:dyDescent="0.15">
      <c r="A29" s="10">
        <f t="shared" ca="1" si="0"/>
        <v>46075.501668634257</v>
      </c>
      <c r="B29" s="58" t="s">
        <v>82</v>
      </c>
      <c r="C29" s="11">
        <v>0.50166666666666659</v>
      </c>
      <c r="D29" s="11" t="s">
        <v>84</v>
      </c>
      <c r="E29" s="11">
        <v>0.62951388888888882</v>
      </c>
      <c r="F29" s="12">
        <f t="shared" si="1"/>
        <v>3.0683333333333334</v>
      </c>
      <c r="G29" s="13">
        <f t="shared" si="2"/>
        <v>3.0683333333333334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46075.751920486109</v>
      </c>
      <c r="B30" s="58" t="s">
        <v>82</v>
      </c>
      <c r="C30" s="11">
        <v>0.7519097222222223</v>
      </c>
      <c r="D30" s="11" t="s">
        <v>84</v>
      </c>
      <c r="E30" s="11">
        <v>0.75890046296296287</v>
      </c>
      <c r="F30" s="12">
        <f t="shared" si="1"/>
        <v>0.16777777777777381</v>
      </c>
      <c r="G30" s="13">
        <f t="shared" si="2"/>
        <v>0.16777777777777381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46075.817528240739</v>
      </c>
      <c r="B31" s="58" t="s">
        <v>82</v>
      </c>
      <c r="C31" s="11">
        <v>0.81752314814814808</v>
      </c>
      <c r="D31" s="11" t="s">
        <v>84</v>
      </c>
      <c r="E31" s="11">
        <v>0.83884259259259253</v>
      </c>
      <c r="F31" s="12">
        <f t="shared" si="1"/>
        <v>0.51166666666666671</v>
      </c>
      <c r="G31" s="13">
        <f t="shared" si="2"/>
        <v>0.51166666666666671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46079.952793634257</v>
      </c>
      <c r="B32" s="58" t="s">
        <v>83</v>
      </c>
      <c r="C32" s="11">
        <v>0.95278935185185187</v>
      </c>
      <c r="D32" s="11" t="s">
        <v>84</v>
      </c>
      <c r="E32" s="11">
        <v>0.1034837962962963</v>
      </c>
      <c r="F32" s="12">
        <f t="shared" si="1"/>
        <v>3.6166666666666658</v>
      </c>
      <c r="G32" s="13">
        <f t="shared" si="2"/>
        <v>1.1330555555555546</v>
      </c>
      <c r="H32" s="13">
        <f t="shared" si="3"/>
        <v>2.4836111111111112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339"/>
  <sheetViews>
    <sheetView zoomScale="85" zoomScaleNormal="85" workbookViewId="0">
      <selection activeCell="H26" sqref="H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46054.896829976853</v>
      </c>
      <c r="B3" s="58" t="s">
        <v>82</v>
      </c>
      <c r="C3" s="11">
        <v>0.95385416666666656</v>
      </c>
      <c r="D3" s="11" t="s">
        <v>84</v>
      </c>
      <c r="E3" s="11">
        <v>0.11978009259259259</v>
      </c>
      <c r="F3" s="12">
        <f t="shared" ref="F3:F66" si="1">(IF(E3-C3&lt;0,"24:00"-C3+E3,E3-C3))*24</f>
        <v>3.9822222222222248</v>
      </c>
      <c r="G3" s="13">
        <f t="shared" ref="G3:G66" si="2">F3-H3</f>
        <v>1.1075000000000026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2.8747222222222222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46056.133236458336</v>
      </c>
      <c r="B4" s="58" t="s">
        <v>87</v>
      </c>
      <c r="C4" s="11">
        <v>0.13322916666666665</v>
      </c>
      <c r="D4" s="11" t="s">
        <v>84</v>
      </c>
      <c r="E4" s="11">
        <v>0.22179398148148147</v>
      </c>
      <c r="F4" s="12">
        <f t="shared" si="1"/>
        <v>2.1255555555555556</v>
      </c>
      <c r="G4" s="13">
        <f t="shared" si="2"/>
        <v>0</v>
      </c>
      <c r="H4" s="13">
        <f t="shared" si="3"/>
        <v>2.1255555555555556</v>
      </c>
      <c r="I4" s="21" t="s">
        <v>20</v>
      </c>
      <c r="J4" s="22">
        <f>SUMIF(B:B,"西塔台管制席",F:F)+SUMIF(B:B,"东塔台管制席",F:F)</f>
        <v>36.390555555555558</v>
      </c>
      <c r="K4" s="23">
        <f>SUMIF(B:B,"西塔台管制席",G:G)+SUMIF(B:B,"东塔台管制席",G:G)</f>
        <v>23.296111111111109</v>
      </c>
      <c r="L4" s="23">
        <f>SUMIF(B:B,"西塔台管制席",H:H)+SUMIF(B:B,"东塔台管制席",H:H)</f>
        <v>13.094444444444445</v>
      </c>
      <c r="M4" s="19"/>
    </row>
    <row r="5" spans="1:16" ht="18.75" x14ac:dyDescent="0.25">
      <c r="A5" s="10">
        <f t="shared" ca="1" si="0"/>
        <v>46059.139457175923</v>
      </c>
      <c r="B5" s="58" t="s">
        <v>88</v>
      </c>
      <c r="C5" s="11">
        <v>0.13945601851851852</v>
      </c>
      <c r="D5" s="11" t="s">
        <v>84</v>
      </c>
      <c r="E5" s="11">
        <v>0.23489583333333333</v>
      </c>
      <c r="F5" s="12">
        <f t="shared" si="1"/>
        <v>2.2905555555555557</v>
      </c>
      <c r="G5" s="13">
        <f t="shared" si="2"/>
        <v>0</v>
      </c>
      <c r="H5" s="13">
        <f t="shared" si="3"/>
        <v>2.2905555555555557</v>
      </c>
      <c r="I5" s="21" t="s">
        <v>21</v>
      </c>
      <c r="J5" s="22">
        <f>SUMIF(B:B,"西塔台协调席",F:F)+SUMIF(B:B,"东塔台协调席",F:F)</f>
        <v>26.140555555555551</v>
      </c>
      <c r="K5" s="23">
        <f>SUMIF(B:B,"西塔台协调席",G:G)+SUMIF(B:B,"东塔台协调席",G:G)</f>
        <v>11.96111111111111</v>
      </c>
      <c r="L5" s="23">
        <f>SUMIF(B:B,"西塔台协调席",H:H)+SUMIF(B:B,"东塔台协调席",H:H)</f>
        <v>14.179444444444442</v>
      </c>
      <c r="M5" s="19"/>
    </row>
    <row r="6" spans="1:16" ht="18.75" x14ac:dyDescent="0.25">
      <c r="A6" s="10">
        <f t="shared" ca="1" si="0"/>
        <v>46059.951633912038</v>
      </c>
      <c r="B6" s="58" t="s">
        <v>82</v>
      </c>
      <c r="C6" s="11">
        <v>0.95163194444444443</v>
      </c>
      <c r="D6" s="11" t="s">
        <v>84</v>
      </c>
      <c r="E6" s="11">
        <v>0.14499999999999999</v>
      </c>
      <c r="F6" s="12">
        <f t="shared" si="1"/>
        <v>4.6408333333333331</v>
      </c>
      <c r="G6" s="13">
        <f t="shared" si="2"/>
        <v>1.1608333333333336</v>
      </c>
      <c r="H6" s="13">
        <f t="shared" si="3"/>
        <v>3.4799999999999995</v>
      </c>
      <c r="I6" s="21" t="s">
        <v>22</v>
      </c>
      <c r="J6" s="22">
        <f>SUMIF(B:B,"放行席",F:F)</f>
        <v>3.9786111111111113</v>
      </c>
      <c r="K6" s="23">
        <f>SUMIF(B:B,"放行席",G:G)</f>
        <v>0.88305555555556392</v>
      </c>
      <c r="L6" s="23">
        <f>SUMIF(B:B,"放行席",H:H)</f>
        <v>3.0955555555555474</v>
      </c>
      <c r="M6" s="19"/>
    </row>
    <row r="7" spans="1:16" ht="18.75" x14ac:dyDescent="0.25">
      <c r="A7" s="10">
        <f t="shared" ca="1" si="0"/>
        <v>46062.522648611113</v>
      </c>
      <c r="B7" s="58" t="s">
        <v>83</v>
      </c>
      <c r="C7" s="11">
        <v>0.52263888888888888</v>
      </c>
      <c r="D7" s="11" t="s">
        <v>84</v>
      </c>
      <c r="E7" s="11">
        <v>0.65296296296296297</v>
      </c>
      <c r="F7" s="12">
        <f t="shared" si="1"/>
        <v>3.1277777777777782</v>
      </c>
      <c r="G7" s="13">
        <f t="shared" si="2"/>
        <v>3.1277777777777782</v>
      </c>
      <c r="H7" s="13">
        <f t="shared" si="3"/>
        <v>0</v>
      </c>
      <c r="I7" s="21" t="s">
        <v>23</v>
      </c>
      <c r="J7" s="22">
        <f>SUMIF(B:B,"地面席",F:F)</f>
        <v>5.8800000000000008</v>
      </c>
      <c r="K7" s="23">
        <f>SUMIF(B:B,"地面席",G:G)</f>
        <v>0</v>
      </c>
      <c r="L7" s="23">
        <f>SUMIF(B:B,"地面席",H:H)</f>
        <v>5.8800000000000008</v>
      </c>
      <c r="M7" s="19"/>
    </row>
    <row r="8" spans="1:16" ht="18.75" x14ac:dyDescent="0.25">
      <c r="A8" s="10">
        <f t="shared" ca="1" si="0"/>
        <v>46062.653011226852</v>
      </c>
      <c r="B8" s="58" t="s">
        <v>90</v>
      </c>
      <c r="C8" s="11">
        <v>0.65300925925925923</v>
      </c>
      <c r="D8" s="11" t="s">
        <v>84</v>
      </c>
      <c r="E8" s="11">
        <v>0.7197337962962963</v>
      </c>
      <c r="F8" s="12">
        <f t="shared" si="1"/>
        <v>1.6013888888888896</v>
      </c>
      <c r="G8" s="13">
        <f t="shared" si="2"/>
        <v>1.6013888888888896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46062.77248078704</v>
      </c>
      <c r="B9" s="58" t="s">
        <v>82</v>
      </c>
      <c r="C9" s="11">
        <v>0.77247685185185189</v>
      </c>
      <c r="D9" s="11" t="s">
        <v>84</v>
      </c>
      <c r="E9" s="11">
        <v>0.8814467592592593</v>
      </c>
      <c r="F9" s="12">
        <f t="shared" si="1"/>
        <v>2.615277777777778</v>
      </c>
      <c r="G9" s="13">
        <f t="shared" si="2"/>
        <v>2.615277777777778</v>
      </c>
      <c r="H9" s="13">
        <f t="shared" si="3"/>
        <v>0</v>
      </c>
      <c r="I9" s="21" t="s">
        <v>76</v>
      </c>
      <c r="J9" s="22">
        <f>SUMIF(B:B,"航班调度席",F:F)</f>
        <v>1.6013888888888896</v>
      </c>
      <c r="K9" s="23">
        <f>SUMIF(B:B,"航班调度席",G:G)</f>
        <v>1.6013888888888896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46063.419652199074</v>
      </c>
      <c r="B10" s="58" t="s">
        <v>83</v>
      </c>
      <c r="C10" s="11">
        <v>0.41964120370370367</v>
      </c>
      <c r="D10" s="11" t="s">
        <v>84</v>
      </c>
      <c r="E10" s="11">
        <v>0.52630787037037041</v>
      </c>
      <c r="F10" s="12">
        <f t="shared" si="1"/>
        <v>2.5600000000000018</v>
      </c>
      <c r="G10" s="13">
        <f t="shared" si="2"/>
        <v>2.5600000000000018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46063.647934143519</v>
      </c>
      <c r="B11" s="58" t="s">
        <v>83</v>
      </c>
      <c r="C11" s="11">
        <v>0.64792824074074074</v>
      </c>
      <c r="D11" s="11" t="s">
        <v>84</v>
      </c>
      <c r="E11" s="11">
        <v>0.7788425925925927</v>
      </c>
      <c r="F11" s="12">
        <f t="shared" si="1"/>
        <v>3.1419444444444471</v>
      </c>
      <c r="G11" s="13">
        <f t="shared" si="2"/>
        <v>3.1419444444444471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46063.876692361111</v>
      </c>
      <c r="B12" s="58" t="s">
        <v>82</v>
      </c>
      <c r="C12" s="11">
        <v>0.87668981481481489</v>
      </c>
      <c r="D12" s="11" t="s">
        <v>84</v>
      </c>
      <c r="E12" s="11">
        <v>0.95622685185185186</v>
      </c>
      <c r="F12" s="12">
        <f t="shared" si="1"/>
        <v>1.9088888888888871</v>
      </c>
      <c r="G12" s="13">
        <f t="shared" si="2"/>
        <v>1.9088888888888871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46064.292917361112</v>
      </c>
      <c r="B13" s="58" t="s">
        <v>87</v>
      </c>
      <c r="C13" s="11">
        <v>0.29291666666666666</v>
      </c>
      <c r="D13" s="11" t="s">
        <v>84</v>
      </c>
      <c r="E13" s="11">
        <v>0.37012731481481481</v>
      </c>
      <c r="F13" s="12">
        <f t="shared" si="1"/>
        <v>1.8530555555555557</v>
      </c>
      <c r="G13" s="13">
        <f t="shared" si="2"/>
        <v>0.88305555555556392</v>
      </c>
      <c r="H13" s="13">
        <f t="shared" si="3"/>
        <v>0.96999999999999176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46066.951729050925</v>
      </c>
      <c r="B14" s="58" t="s">
        <v>83</v>
      </c>
      <c r="C14" s="11">
        <v>0.95172453703703708</v>
      </c>
      <c r="D14" s="11" t="s">
        <v>84</v>
      </c>
      <c r="E14" s="11">
        <v>0.14634259259259261</v>
      </c>
      <c r="F14" s="12">
        <f t="shared" si="1"/>
        <v>4.6708333333333325</v>
      </c>
      <c r="G14" s="13">
        <f t="shared" si="2"/>
        <v>1.1586111111111101</v>
      </c>
      <c r="H14" s="13">
        <f t="shared" si="3"/>
        <v>3.5122222222222224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46067.563056597224</v>
      </c>
      <c r="B15" s="58" t="s">
        <v>86</v>
      </c>
      <c r="C15" s="11">
        <v>0.56305555555555553</v>
      </c>
      <c r="D15" s="11" t="s">
        <v>84</v>
      </c>
      <c r="E15" s="11">
        <v>0.67326388888888899</v>
      </c>
      <c r="F15" s="12">
        <f t="shared" si="1"/>
        <v>2.6450000000000031</v>
      </c>
      <c r="G15" s="13">
        <f t="shared" si="2"/>
        <v>2.6450000000000031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46068.13361759259</v>
      </c>
      <c r="B16" s="58" t="s">
        <v>88</v>
      </c>
      <c r="C16" s="11">
        <v>0.1336111111111111</v>
      </c>
      <c r="D16" s="11" t="s">
        <v>84</v>
      </c>
      <c r="E16" s="11">
        <v>0.21252314814814813</v>
      </c>
      <c r="F16" s="12">
        <f t="shared" si="1"/>
        <v>1.8938888888888887</v>
      </c>
      <c r="G16" s="13">
        <f t="shared" si="2"/>
        <v>0</v>
      </c>
      <c r="H16" s="13">
        <f t="shared" si="3"/>
        <v>1.8938888888888887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46070.647663541669</v>
      </c>
      <c r="B17" s="58" t="s">
        <v>83</v>
      </c>
      <c r="C17" s="11">
        <v>0.64766203703703706</v>
      </c>
      <c r="D17" s="11" t="s">
        <v>84</v>
      </c>
      <c r="E17" s="11">
        <v>0.77871527777777771</v>
      </c>
      <c r="F17" s="12">
        <f t="shared" si="1"/>
        <v>3.1452777777777756</v>
      </c>
      <c r="G17" s="13">
        <f t="shared" si="2"/>
        <v>3.1452777777777756</v>
      </c>
      <c r="H17" s="13">
        <f t="shared" si="3"/>
        <v>0</v>
      </c>
      <c r="I17" s="35" t="s">
        <v>29</v>
      </c>
      <c r="J17" s="36">
        <f>J4+J5+J6+J7+J10</f>
        <v>72.389722222222218</v>
      </c>
      <c r="K17" s="37">
        <f>K4+K5+K6+K7+K10</f>
        <v>36.140277777777783</v>
      </c>
      <c r="L17" s="38">
        <f>L4+L5+L6+L7+L10</f>
        <v>36.249444444444435</v>
      </c>
      <c r="M17" s="39"/>
    </row>
    <row r="18" spans="1:13" ht="20.25" x14ac:dyDescent="0.25">
      <c r="A18" s="10">
        <f t="shared" ca="1" si="0"/>
        <v>46070.95194259259</v>
      </c>
      <c r="B18" s="58" t="s">
        <v>82</v>
      </c>
      <c r="C18" s="11">
        <v>0.95193287037037033</v>
      </c>
      <c r="D18" s="11" t="s">
        <v>84</v>
      </c>
      <c r="E18" s="11">
        <v>0.14141203703703703</v>
      </c>
      <c r="F18" s="12">
        <f t="shared" si="1"/>
        <v>4.5475000000000012</v>
      </c>
      <c r="G18" s="13">
        <f t="shared" si="2"/>
        <v>1.1536111111111125</v>
      </c>
      <c r="H18" s="13">
        <f t="shared" si="3"/>
        <v>3.3938888888888887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46071.793132060186</v>
      </c>
      <c r="B19" s="58" t="s">
        <v>83</v>
      </c>
      <c r="C19" s="11">
        <v>0.79312499999999997</v>
      </c>
      <c r="D19" s="11" t="s">
        <v>84</v>
      </c>
      <c r="E19" s="11">
        <v>0.88359953703703698</v>
      </c>
      <c r="F19" s="12">
        <f t="shared" si="1"/>
        <v>2.1713888888888881</v>
      </c>
      <c r="G19" s="13">
        <f t="shared" si="2"/>
        <v>2.1713888888888881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46072.134411342595</v>
      </c>
      <c r="B20" s="58" t="s">
        <v>83</v>
      </c>
      <c r="C20" s="11">
        <v>0.13440972222222222</v>
      </c>
      <c r="D20" s="11" t="s">
        <v>84</v>
      </c>
      <c r="E20" s="11">
        <v>0.29934027777777777</v>
      </c>
      <c r="F20" s="12">
        <f t="shared" si="1"/>
        <v>3.958333333333333</v>
      </c>
      <c r="G20" s="13">
        <f t="shared" si="2"/>
        <v>0</v>
      </c>
      <c r="H20" s="13">
        <f t="shared" si="3"/>
        <v>3.958333333333333</v>
      </c>
      <c r="I20" s="40" t="s">
        <v>31</v>
      </c>
      <c r="J20" s="67">
        <f>J16+J17+J18+J19</f>
        <v>72.389722222222218</v>
      </c>
      <c r="K20" s="68"/>
      <c r="L20" s="69"/>
      <c r="M20" s="41"/>
    </row>
    <row r="21" spans="1:13" ht="20.25" x14ac:dyDescent="0.25">
      <c r="A21" s="10">
        <f t="shared" ca="1" si="0"/>
        <v>46074.771994444447</v>
      </c>
      <c r="B21" s="58" t="s">
        <v>83</v>
      </c>
      <c r="C21" s="11">
        <v>0.77199074074074081</v>
      </c>
      <c r="D21" s="11" t="s">
        <v>84</v>
      </c>
      <c r="E21" s="11">
        <v>0.9008449074074073</v>
      </c>
      <c r="F21" s="12">
        <f t="shared" si="1"/>
        <v>3.0924999999999958</v>
      </c>
      <c r="G21" s="13">
        <f t="shared" si="2"/>
        <v>3.0924999999999958</v>
      </c>
      <c r="H21" s="13">
        <f t="shared" si="3"/>
        <v>0</v>
      </c>
      <c r="I21" s="53" t="s">
        <v>78</v>
      </c>
      <c r="J21" s="54">
        <f>SUM(J8:J9)</f>
        <v>1.6013888888888896</v>
      </c>
      <c r="K21" s="37">
        <f>SUM(K8:K9)</f>
        <v>1.6013888888888896</v>
      </c>
      <c r="L21" s="38">
        <f>SUM(L8:L9)</f>
        <v>0</v>
      </c>
      <c r="M21" s="46"/>
    </row>
    <row r="22" spans="1:13" ht="18.75" x14ac:dyDescent="0.15">
      <c r="A22" s="10">
        <f t="shared" ca="1" si="0"/>
        <v>46074.953733680559</v>
      </c>
      <c r="B22" s="58" t="s">
        <v>83</v>
      </c>
      <c r="C22" s="11">
        <v>0.9537268518518518</v>
      </c>
      <c r="D22" s="11" t="s">
        <v>84</v>
      </c>
      <c r="E22" s="11">
        <v>0.14614583333333334</v>
      </c>
      <c r="F22" s="12">
        <f t="shared" si="1"/>
        <v>4.6180555555555571</v>
      </c>
      <c r="G22" s="13">
        <f t="shared" si="2"/>
        <v>1.1105555555555569</v>
      </c>
      <c r="H22" s="13">
        <f t="shared" si="3"/>
        <v>3.5075000000000003</v>
      </c>
      <c r="I22"/>
      <c r="J22"/>
    </row>
    <row r="23" spans="1:13" ht="18.75" x14ac:dyDescent="0.15">
      <c r="A23" s="10">
        <f t="shared" ca="1" si="0"/>
        <v>46075.626465162037</v>
      </c>
      <c r="B23" s="58" t="s">
        <v>82</v>
      </c>
      <c r="C23" s="11">
        <v>0.62648148148148153</v>
      </c>
      <c r="D23" s="11" t="s">
        <v>84</v>
      </c>
      <c r="E23" s="11">
        <v>0.75583333333333336</v>
      </c>
      <c r="F23" s="12">
        <f t="shared" si="1"/>
        <v>3.1044444444444439</v>
      </c>
      <c r="G23" s="13">
        <f t="shared" si="2"/>
        <v>3.1044444444444439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46075.953498726849</v>
      </c>
      <c r="B24" s="58" t="s">
        <v>82</v>
      </c>
      <c r="C24" s="11">
        <v>0.95349537037037047</v>
      </c>
      <c r="D24" s="11" t="s">
        <v>84</v>
      </c>
      <c r="E24" s="11">
        <v>0.99143518518518514</v>
      </c>
      <c r="F24" s="12">
        <f t="shared" si="1"/>
        <v>0.91055555555555223</v>
      </c>
      <c r="G24" s="13">
        <f t="shared" si="2"/>
        <v>0.91055555555555223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46076.11319074074</v>
      </c>
      <c r="B25" s="58" t="s">
        <v>82</v>
      </c>
      <c r="C25" s="11">
        <v>0.11318287037037038</v>
      </c>
      <c r="D25" s="11" t="s">
        <v>84</v>
      </c>
      <c r="E25" s="11">
        <v>0.29780092592592594</v>
      </c>
      <c r="F25" s="12">
        <f t="shared" si="1"/>
        <v>4.4308333333333332</v>
      </c>
      <c r="G25" s="13">
        <f t="shared" si="2"/>
        <v>0</v>
      </c>
      <c r="H25" s="13">
        <f t="shared" si="3"/>
        <v>4.4308333333333332</v>
      </c>
      <c r="I25"/>
      <c r="J25"/>
    </row>
    <row r="26" spans="1:13" ht="18.75" x14ac:dyDescent="0.15">
      <c r="A26" s="10">
        <f t="shared" ca="1" si="0"/>
        <v>46078.952373148146</v>
      </c>
      <c r="B26" s="58" t="s">
        <v>83</v>
      </c>
      <c r="C26" s="11">
        <v>0.95237268518518514</v>
      </c>
      <c r="D26" s="11" t="s">
        <v>84</v>
      </c>
      <c r="E26" s="11">
        <v>8.818287037037037E-2</v>
      </c>
      <c r="F26" s="12">
        <f t="shared" si="1"/>
        <v>3.2594444444444455</v>
      </c>
      <c r="G26" s="13">
        <f t="shared" si="2"/>
        <v>1.1430555555555566</v>
      </c>
      <c r="H26" s="13">
        <f t="shared" si="3"/>
        <v>2.1163888888888889</v>
      </c>
      <c r="I26"/>
      <c r="J26"/>
    </row>
    <row r="27" spans="1:13" ht="18.75" x14ac:dyDescent="0.15">
      <c r="A27" s="10">
        <f t="shared" ca="1" si="0"/>
        <v>46080.140103703707</v>
      </c>
      <c r="B27" s="58" t="s">
        <v>88</v>
      </c>
      <c r="C27" s="11">
        <v>0.14010416666666667</v>
      </c>
      <c r="D27" s="11" t="s">
        <v>84</v>
      </c>
      <c r="E27" s="11">
        <v>0.21075231481481482</v>
      </c>
      <c r="F27" s="12">
        <f t="shared" si="1"/>
        <v>1.6955555555555557</v>
      </c>
      <c r="G27" s="13">
        <f t="shared" si="2"/>
        <v>0</v>
      </c>
      <c r="H27" s="13">
        <f t="shared" si="3"/>
        <v>1.6955555555555557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46054.615017939817</v>
      </c>
      <c r="B3" s="58" t="s">
        <v>90</v>
      </c>
      <c r="C3" s="11">
        <v>0.61501157407407414</v>
      </c>
      <c r="D3" s="11" t="s">
        <v>84</v>
      </c>
      <c r="E3" s="11">
        <v>0.67684027777777789</v>
      </c>
      <c r="F3" s="12">
        <f t="shared" ref="F3:F66" si="1">(IF(E3-C3&lt;0,"24:00"-C3+E3,E3-C3))*24</f>
        <v>1.4838888888888899</v>
      </c>
      <c r="G3" s="13">
        <f t="shared" ref="G3:G66" si="2">F3-H3</f>
        <v>1.4838888888888899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46054.95941087963</v>
      </c>
      <c r="B4" s="58" t="s">
        <v>92</v>
      </c>
      <c r="C4" s="11">
        <v>0.89674768518518511</v>
      </c>
      <c r="D4" s="11" t="s">
        <v>84</v>
      </c>
      <c r="E4" s="11">
        <v>0.95943287037037039</v>
      </c>
      <c r="F4" s="12">
        <f t="shared" si="1"/>
        <v>1.5044444444444469</v>
      </c>
      <c r="G4" s="13">
        <f t="shared" si="2"/>
        <v>1.5044444444444469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46055.293547106485</v>
      </c>
      <c r="B5" s="58" t="s">
        <v>92</v>
      </c>
      <c r="C5" s="11">
        <v>0.29354166666666665</v>
      </c>
      <c r="D5" s="11" t="s">
        <v>84</v>
      </c>
      <c r="E5" s="11">
        <v>0.42521990740740739</v>
      </c>
      <c r="F5" s="12">
        <f t="shared" si="1"/>
        <v>3.160277777777778</v>
      </c>
      <c r="G5" s="13">
        <f t="shared" si="2"/>
        <v>2.2052777777777859</v>
      </c>
      <c r="H5" s="13">
        <f t="shared" si="3"/>
        <v>0.95499999999999208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46055.611266319444</v>
      </c>
      <c r="B6" s="58" t="s">
        <v>90</v>
      </c>
      <c r="C6" s="11">
        <v>0.61126157407407411</v>
      </c>
      <c r="D6" s="11" t="s">
        <v>84</v>
      </c>
      <c r="E6" s="11">
        <v>0.69262731481481488</v>
      </c>
      <c r="F6" s="12">
        <f t="shared" si="1"/>
        <v>1.9527777777777784</v>
      </c>
      <c r="G6" s="13">
        <f t="shared" si="2"/>
        <v>1.9527777777777784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46055.611266319444</v>
      </c>
      <c r="B7" s="58" t="s">
        <v>92</v>
      </c>
      <c r="C7" s="11">
        <v>0.75252314814814814</v>
      </c>
      <c r="D7" s="11" t="s">
        <v>84</v>
      </c>
      <c r="E7" s="11">
        <v>0.77516203703703701</v>
      </c>
      <c r="F7" s="12">
        <f t="shared" si="1"/>
        <v>0.543333333333333</v>
      </c>
      <c r="G7" s="13">
        <f t="shared" si="2"/>
        <v>0.543333333333333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46055.855419328705</v>
      </c>
      <c r="B8" s="58" t="s">
        <v>92</v>
      </c>
      <c r="C8" s="11">
        <v>0.85541666666666671</v>
      </c>
      <c r="D8" s="11" t="s">
        <v>84</v>
      </c>
      <c r="E8" s="11">
        <v>0.95734953703703696</v>
      </c>
      <c r="F8" s="12">
        <f t="shared" si="1"/>
        <v>2.4463888888888858</v>
      </c>
      <c r="G8" s="13">
        <f t="shared" si="2"/>
        <v>2.4463888888888858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46056.292616203704</v>
      </c>
      <c r="B9" s="58" t="s">
        <v>92</v>
      </c>
      <c r="C9" s="11">
        <v>0.29261574074074076</v>
      </c>
      <c r="D9" s="11" t="s">
        <v>84</v>
      </c>
      <c r="E9" s="11">
        <v>0.36561342592592588</v>
      </c>
      <c r="F9" s="12">
        <f t="shared" si="1"/>
        <v>1.751944444444443</v>
      </c>
      <c r="G9" s="13">
        <f t="shared" si="2"/>
        <v>0.77472222222222964</v>
      </c>
      <c r="H9" s="13">
        <f t="shared" si="3"/>
        <v>0.97722222222221333</v>
      </c>
      <c r="I9" s="21" t="s">
        <v>76</v>
      </c>
      <c r="J9" s="22">
        <f>SUMIF(B:B,"航班调度席",F:F)</f>
        <v>16.139722222222218</v>
      </c>
      <c r="K9" s="23">
        <f>SUMIF(B:B,"航班调度席",G:G)</f>
        <v>16.139722222222218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46059.012376041668</v>
      </c>
      <c r="B10" s="58" t="s">
        <v>92</v>
      </c>
      <c r="C10" s="11">
        <v>1.2372685185185186E-2</v>
      </c>
      <c r="D10" s="11" t="s">
        <v>84</v>
      </c>
      <c r="E10" s="11">
        <v>0.13300925925925924</v>
      </c>
      <c r="F10" s="12">
        <f t="shared" si="1"/>
        <v>2.8952777777777774</v>
      </c>
      <c r="G10" s="13">
        <f t="shared" si="2"/>
        <v>0</v>
      </c>
      <c r="H10" s="13">
        <f t="shared" si="3"/>
        <v>2.8952777777777774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46060.140498379631</v>
      </c>
      <c r="B11" s="58" t="s">
        <v>92</v>
      </c>
      <c r="C11" s="11">
        <v>0.14049768518518518</v>
      </c>
      <c r="D11" s="11" t="s">
        <v>84</v>
      </c>
      <c r="E11" s="11">
        <v>0.30021990740740739</v>
      </c>
      <c r="F11" s="12">
        <f t="shared" si="1"/>
        <v>3.833333333333333</v>
      </c>
      <c r="G11" s="13">
        <f t="shared" si="2"/>
        <v>0</v>
      </c>
      <c r="H11" s="13">
        <f t="shared" si="3"/>
        <v>3.833333333333333</v>
      </c>
      <c r="I11" s="24" t="s">
        <v>25</v>
      </c>
      <c r="J11" s="25">
        <f>SUMIF(B:B,"见习管制员",F:F)</f>
        <v>42.346666666666671</v>
      </c>
      <c r="K11" s="26">
        <f>SUMIF(B:B,"见习管制员",G:G)</f>
        <v>23.582222222222246</v>
      </c>
      <c r="L11" s="26">
        <f>SUMIF(B:B,"见习管制员",H:H)</f>
        <v>18.764444444444415</v>
      </c>
      <c r="M11" s="19"/>
    </row>
    <row r="12" spans="1:16" ht="18.75" x14ac:dyDescent="0.25">
      <c r="A12" s="10">
        <f t="shared" ca="1" si="0"/>
        <v>46063.136966666665</v>
      </c>
      <c r="B12" s="58" t="s">
        <v>92</v>
      </c>
      <c r="C12" s="11">
        <v>0.13695601851851852</v>
      </c>
      <c r="D12" s="11" t="s">
        <v>84</v>
      </c>
      <c r="E12" s="11">
        <v>0.22843749999999999</v>
      </c>
      <c r="F12" s="12">
        <f t="shared" si="1"/>
        <v>2.195555555555555</v>
      </c>
      <c r="G12" s="13">
        <f t="shared" si="2"/>
        <v>0</v>
      </c>
      <c r="H12" s="13">
        <f t="shared" si="3"/>
        <v>2.195555555555555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46063.952161111112</v>
      </c>
      <c r="B13" s="58" t="s">
        <v>92</v>
      </c>
      <c r="C13" s="11">
        <v>0.95215277777777774</v>
      </c>
      <c r="D13" s="11" t="s">
        <v>84</v>
      </c>
      <c r="E13" s="11">
        <v>0.14578703703703702</v>
      </c>
      <c r="F13" s="12">
        <f t="shared" si="1"/>
        <v>4.647222222222223</v>
      </c>
      <c r="G13" s="13">
        <f t="shared" si="2"/>
        <v>1.1483333333333343</v>
      </c>
      <c r="H13" s="13">
        <f t="shared" si="3"/>
        <v>3.4988888888888887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46066.368871296298</v>
      </c>
      <c r="B14" s="58" t="s">
        <v>90</v>
      </c>
      <c r="C14" s="11">
        <v>0.36886574074074074</v>
      </c>
      <c r="D14" s="11" t="s">
        <v>84</v>
      </c>
      <c r="E14" s="11">
        <v>0.47322916666666665</v>
      </c>
      <c r="F14" s="12">
        <f t="shared" si="1"/>
        <v>2.5047222222222216</v>
      </c>
      <c r="G14" s="13">
        <f t="shared" si="2"/>
        <v>2.5047222222222216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46066.661384027779</v>
      </c>
      <c r="B15" s="58" t="s">
        <v>90</v>
      </c>
      <c r="C15" s="11">
        <v>0.66137731481481488</v>
      </c>
      <c r="D15" s="11" t="s">
        <v>84</v>
      </c>
      <c r="E15" s="11">
        <v>0.77104166666666663</v>
      </c>
      <c r="F15" s="12">
        <f t="shared" si="1"/>
        <v>2.631944444444442</v>
      </c>
      <c r="G15" s="13">
        <f t="shared" si="2"/>
        <v>2.631944444444442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46067.645836805554</v>
      </c>
      <c r="B16" s="58" t="s">
        <v>90</v>
      </c>
      <c r="C16" s="11">
        <v>0.64583333333333337</v>
      </c>
      <c r="D16" s="11" t="s">
        <v>84</v>
      </c>
      <c r="E16" s="11">
        <v>0.73343749999999996</v>
      </c>
      <c r="F16" s="12">
        <f t="shared" si="1"/>
        <v>2.1024999999999983</v>
      </c>
      <c r="G16" s="13">
        <f t="shared" si="2"/>
        <v>2.1024999999999983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46070.372877199072</v>
      </c>
      <c r="B17" s="58" t="s">
        <v>90</v>
      </c>
      <c r="C17" s="11">
        <v>0.37287037037037035</v>
      </c>
      <c r="D17" s="11" t="s">
        <v>84</v>
      </c>
      <c r="E17" s="11">
        <v>0.45158564814814817</v>
      </c>
      <c r="F17" s="12">
        <f t="shared" si="1"/>
        <v>1.8891666666666675</v>
      </c>
      <c r="G17" s="13">
        <f t="shared" si="2"/>
        <v>1.8891666666666675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46070.605274652778</v>
      </c>
      <c r="B18" s="58" t="s">
        <v>90</v>
      </c>
      <c r="C18" s="11">
        <v>0.60526620370370365</v>
      </c>
      <c r="D18" s="11" t="s">
        <v>84</v>
      </c>
      <c r="E18" s="11">
        <v>0.70285879629629633</v>
      </c>
      <c r="F18" s="12">
        <f t="shared" si="1"/>
        <v>2.3422222222222242</v>
      </c>
      <c r="G18" s="13">
        <f t="shared" si="2"/>
        <v>2.3422222222222242</v>
      </c>
      <c r="H18" s="13">
        <f t="shared" si="3"/>
        <v>0</v>
      </c>
      <c r="I18" s="35" t="s">
        <v>25</v>
      </c>
      <c r="J18" s="36">
        <f t="shared" ref="J18:L18" si="5">J11</f>
        <v>42.346666666666671</v>
      </c>
      <c r="K18" s="37">
        <f t="shared" si="5"/>
        <v>23.582222222222246</v>
      </c>
      <c r="L18" s="38">
        <f t="shared" si="5"/>
        <v>18.764444444444415</v>
      </c>
      <c r="M18" s="39"/>
    </row>
    <row r="19" spans="1:13" ht="20.25" x14ac:dyDescent="0.25">
      <c r="A19" s="10">
        <f t="shared" ca="1" si="0"/>
        <v>46070.95185636574</v>
      </c>
      <c r="B19" s="58" t="s">
        <v>92</v>
      </c>
      <c r="C19" s="11">
        <v>0.95185185185185184</v>
      </c>
      <c r="D19" s="11" t="s">
        <v>84</v>
      </c>
      <c r="E19" s="11">
        <v>0.14295138888888889</v>
      </c>
      <c r="F19" s="12">
        <f t="shared" si="1"/>
        <v>4.5863888888888891</v>
      </c>
      <c r="G19" s="13">
        <f t="shared" si="2"/>
        <v>1.1555555555555559</v>
      </c>
      <c r="H19" s="13">
        <f t="shared" si="3"/>
        <v>3.4308333333333332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46071.458855902776</v>
      </c>
      <c r="B20" s="58" t="s">
        <v>92</v>
      </c>
      <c r="C20" s="11">
        <v>0.45885416666666662</v>
      </c>
      <c r="D20" s="11" t="s">
        <v>84</v>
      </c>
      <c r="E20" s="11">
        <v>0.5178935185185185</v>
      </c>
      <c r="F20" s="12">
        <f t="shared" si="1"/>
        <v>1.4169444444444452</v>
      </c>
      <c r="G20" s="13">
        <f t="shared" si="2"/>
        <v>1.4169444444444452</v>
      </c>
      <c r="H20" s="13">
        <f t="shared" si="3"/>
        <v>0</v>
      </c>
      <c r="I20" s="40" t="s">
        <v>31</v>
      </c>
      <c r="J20" s="67">
        <f>J16+J17+J18+J19</f>
        <v>42.346666666666671</v>
      </c>
      <c r="K20" s="68"/>
      <c r="L20" s="69"/>
      <c r="M20" s="41"/>
    </row>
    <row r="21" spans="1:13" ht="20.25" x14ac:dyDescent="0.25">
      <c r="A21" s="10">
        <f t="shared" ca="1" si="0"/>
        <v>46071.538184143516</v>
      </c>
      <c r="B21" s="58" t="s">
        <v>92</v>
      </c>
      <c r="C21" s="11">
        <v>0.53818287037037038</v>
      </c>
      <c r="D21" s="11" t="s">
        <v>84</v>
      </c>
      <c r="E21" s="11">
        <v>0.54902777777777778</v>
      </c>
      <c r="F21" s="12">
        <f t="shared" si="1"/>
        <v>0.26027777777777761</v>
      </c>
      <c r="G21" s="13">
        <f t="shared" si="2"/>
        <v>0.26027777777777761</v>
      </c>
      <c r="H21" s="13">
        <f t="shared" si="3"/>
        <v>0</v>
      </c>
      <c r="I21" s="53" t="s">
        <v>78</v>
      </c>
      <c r="J21" s="54">
        <f>SUM(J8:J9)</f>
        <v>16.139722222222218</v>
      </c>
      <c r="K21" s="37">
        <f>SUM(K8:K9)</f>
        <v>16.139722222222218</v>
      </c>
      <c r="L21" s="38">
        <f>SUM(L8:L9)</f>
        <v>0</v>
      </c>
      <c r="M21" s="46"/>
    </row>
    <row r="22" spans="1:13" ht="18.75" x14ac:dyDescent="0.15">
      <c r="A22" s="10">
        <f t="shared" ca="1" si="0"/>
        <v>46071.617509374999</v>
      </c>
      <c r="B22" s="58" t="s">
        <v>90</v>
      </c>
      <c r="C22" s="11">
        <v>0.61750000000000005</v>
      </c>
      <c r="D22" s="11" t="s">
        <v>84</v>
      </c>
      <c r="E22" s="11">
        <v>0.66885416666666664</v>
      </c>
      <c r="F22" s="12">
        <f t="shared" si="1"/>
        <v>1.2324999999999982</v>
      </c>
      <c r="G22" s="13">
        <f t="shared" si="2"/>
        <v>1.2324999999999982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46078.522741203706</v>
      </c>
      <c r="B23" s="58" t="s">
        <v>92</v>
      </c>
      <c r="C23" s="11">
        <v>0.52273148148148152</v>
      </c>
      <c r="D23" s="11" t="s">
        <v>84</v>
      </c>
      <c r="E23" s="11">
        <v>0.65388888888888885</v>
      </c>
      <c r="F23" s="12">
        <f t="shared" si="1"/>
        <v>3.147777777777776</v>
      </c>
      <c r="G23" s="13">
        <f t="shared" si="2"/>
        <v>3.147777777777776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46078.771669444446</v>
      </c>
      <c r="B24" s="58" t="s">
        <v>92</v>
      </c>
      <c r="C24" s="11">
        <v>0.77166666666666661</v>
      </c>
      <c r="D24" s="11" t="s">
        <v>84</v>
      </c>
      <c r="E24" s="11">
        <v>0.89932870370370377</v>
      </c>
      <c r="F24" s="12">
        <f t="shared" si="1"/>
        <v>3.0638888888888918</v>
      </c>
      <c r="G24" s="13">
        <f t="shared" si="2"/>
        <v>3.0638888888888918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46079.625125115737</v>
      </c>
      <c r="B25" s="58" t="s">
        <v>92</v>
      </c>
      <c r="C25" s="11">
        <v>0.62511574074074072</v>
      </c>
      <c r="D25" s="11" t="s">
        <v>84</v>
      </c>
      <c r="E25" s="11">
        <v>0.76115740740740734</v>
      </c>
      <c r="F25" s="12">
        <f t="shared" si="1"/>
        <v>3.2649999999999988</v>
      </c>
      <c r="G25" s="13">
        <f t="shared" si="2"/>
        <v>3.2649999999999988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46079.877369791669</v>
      </c>
      <c r="B26" s="58" t="s">
        <v>92</v>
      </c>
      <c r="C26" s="11">
        <v>0.87736111111111115</v>
      </c>
      <c r="D26" s="11" t="s">
        <v>84</v>
      </c>
      <c r="E26" s="11">
        <v>0.95829861111111114</v>
      </c>
      <c r="F26" s="12">
        <f t="shared" si="1"/>
        <v>1.9424999999999999</v>
      </c>
      <c r="G26" s="13">
        <f t="shared" si="2"/>
        <v>1.9424999999999999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46080.292570949074</v>
      </c>
      <c r="B27" s="58" t="s">
        <v>92</v>
      </c>
      <c r="C27" s="11">
        <v>0.29256944444444444</v>
      </c>
      <c r="D27" s="11" t="s">
        <v>84</v>
      </c>
      <c r="E27" s="11">
        <v>0.36282407407407408</v>
      </c>
      <c r="F27" s="12">
        <f t="shared" si="1"/>
        <v>1.6861111111111113</v>
      </c>
      <c r="G27" s="13">
        <f t="shared" si="2"/>
        <v>0.70777777777778628</v>
      </c>
      <c r="H27" s="13">
        <f t="shared" si="3"/>
        <v>0.97833333333332506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80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46057.014815162038</v>
      </c>
      <c r="B3" s="58" t="s">
        <v>83</v>
      </c>
      <c r="C3" s="11">
        <v>1.4814814814814814E-2</v>
      </c>
      <c r="D3" s="11" t="s">
        <v>84</v>
      </c>
      <c r="E3" s="11">
        <v>0.14556712962962962</v>
      </c>
      <c r="F3" s="12">
        <f t="shared" ref="F3:F66" si="1">(IF(E3-C3&lt;0,"24:00"-C3+E3,E3-C3))*24</f>
        <v>3.1380555555555554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3.1380555555555554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46058.015021296298</v>
      </c>
      <c r="B4" s="58" t="s">
        <v>85</v>
      </c>
      <c r="C4" s="11">
        <v>1.5011574074074075E-2</v>
      </c>
      <c r="D4" s="11" t="s">
        <v>84</v>
      </c>
      <c r="E4" s="11">
        <v>0.11453703703703703</v>
      </c>
      <c r="F4" s="12">
        <f t="shared" si="1"/>
        <v>2.388611111111111</v>
      </c>
      <c r="G4" s="13">
        <f t="shared" si="2"/>
        <v>0</v>
      </c>
      <c r="H4" s="13">
        <f t="shared" si="3"/>
        <v>2.388611111111111</v>
      </c>
      <c r="I4" s="21" t="s">
        <v>20</v>
      </c>
      <c r="J4" s="22">
        <f>SUMIF(B:B,"西塔台管制席",F:F)+SUMIF(B:B,"东塔台管制席",F:F)</f>
        <v>23.780555555555555</v>
      </c>
      <c r="K4" s="23">
        <f>SUMIF(B:B,"西塔台管制席",G:G)+SUMIF(B:B,"东塔台管制席",G:G)</f>
        <v>12.653333333333332</v>
      </c>
      <c r="L4" s="23">
        <f>SUMIF(B:B,"西塔台管制席",H:H)+SUMIF(B:B,"东塔台管制席",H:H)</f>
        <v>11.127222222222223</v>
      </c>
      <c r="M4" s="19"/>
    </row>
    <row r="5" spans="1:16" ht="18.75" x14ac:dyDescent="0.25">
      <c r="A5" s="10">
        <f t="shared" ca="1" si="0"/>
        <v>46058.11457766204</v>
      </c>
      <c r="B5" s="58" t="s">
        <v>83</v>
      </c>
      <c r="C5" s="11">
        <v>0.11457175925925926</v>
      </c>
      <c r="D5" s="11" t="s">
        <v>84</v>
      </c>
      <c r="E5" s="11">
        <v>0.14324074074074075</v>
      </c>
      <c r="F5" s="12">
        <f t="shared" si="1"/>
        <v>0.68805555555555575</v>
      </c>
      <c r="G5" s="13">
        <f t="shared" si="2"/>
        <v>0</v>
      </c>
      <c r="H5" s="13">
        <f t="shared" si="3"/>
        <v>0.68805555555555575</v>
      </c>
      <c r="I5" s="21" t="s">
        <v>21</v>
      </c>
      <c r="J5" s="22">
        <f>SUMIF(B:B,"西塔台协调席",F:F)+SUMIF(B:B,"东塔台协调席",F:F)</f>
        <v>15.538333333333336</v>
      </c>
      <c r="K5" s="23">
        <f>SUMIF(B:B,"西塔台协调席",G:G)+SUMIF(B:B,"东塔台协调席",G:G)</f>
        <v>11.031388888888902</v>
      </c>
      <c r="L5" s="23">
        <f>SUMIF(B:B,"西塔台协调席",H:H)+SUMIF(B:B,"东塔台协调席",H:H)</f>
        <v>4.5069444444444358</v>
      </c>
      <c r="M5" s="19"/>
    </row>
    <row r="6" spans="1:16" ht="18.75" x14ac:dyDescent="0.25">
      <c r="A6" s="10">
        <f t="shared" ca="1" si="0"/>
        <v>46061.14027708333</v>
      </c>
      <c r="B6" s="58" t="s">
        <v>88</v>
      </c>
      <c r="C6" s="11">
        <v>0.14026620370370371</v>
      </c>
      <c r="D6" s="11" t="s">
        <v>84</v>
      </c>
      <c r="E6" s="11">
        <v>0.22043981481481481</v>
      </c>
      <c r="F6" s="12">
        <f t="shared" si="1"/>
        <v>1.9241666666666664</v>
      </c>
      <c r="G6" s="13">
        <f t="shared" si="2"/>
        <v>0</v>
      </c>
      <c r="H6" s="13">
        <f t="shared" si="3"/>
        <v>1.9241666666666664</v>
      </c>
      <c r="I6" s="21" t="s">
        <v>22</v>
      </c>
      <c r="J6" s="22">
        <f>SUMIF(B:B,"放行席",F:F)</f>
        <v>4.6352777777777785</v>
      </c>
      <c r="K6" s="23">
        <f>SUMIF(B:B,"放行席",G:G)</f>
        <v>4.6352777777777785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46062.13956909722</v>
      </c>
      <c r="B7" s="58" t="s">
        <v>83</v>
      </c>
      <c r="C7" s="11">
        <v>0.13956018518518518</v>
      </c>
      <c r="D7" s="11" t="s">
        <v>84</v>
      </c>
      <c r="E7" s="11">
        <v>0.30439814814814814</v>
      </c>
      <c r="F7" s="12">
        <f t="shared" si="1"/>
        <v>3.9561111111111114</v>
      </c>
      <c r="G7" s="13">
        <f t="shared" si="2"/>
        <v>0</v>
      </c>
      <c r="H7" s="13">
        <f t="shared" si="3"/>
        <v>3.9561111111111114</v>
      </c>
      <c r="I7" s="21" t="s">
        <v>23</v>
      </c>
      <c r="J7" s="22">
        <f>SUMIF(B:B,"地面席",F:F)</f>
        <v>1.9241666666666664</v>
      </c>
      <c r="K7" s="23">
        <f>SUMIF(B:B,"地面席",G:G)</f>
        <v>0</v>
      </c>
      <c r="L7" s="23">
        <f>SUMIF(B:B,"地面席",H:H)</f>
        <v>1.9241666666666664</v>
      </c>
      <c r="M7" s="19"/>
    </row>
    <row r="8" spans="1:16" ht="18.75" x14ac:dyDescent="0.25">
      <c r="A8" s="10">
        <f t="shared" ca="1" si="0"/>
        <v>46064.363371296298</v>
      </c>
      <c r="B8" s="58" t="s">
        <v>87</v>
      </c>
      <c r="C8" s="11">
        <v>0.36336805555555557</v>
      </c>
      <c r="D8" s="11" t="s">
        <v>84</v>
      </c>
      <c r="E8" s="11">
        <v>0.55650462962962965</v>
      </c>
      <c r="F8" s="12">
        <f t="shared" si="1"/>
        <v>4.6352777777777785</v>
      </c>
      <c r="G8" s="13">
        <f t="shared" si="2"/>
        <v>4.6352777777777785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46064.586925925927</v>
      </c>
      <c r="B9" s="58" t="s">
        <v>82</v>
      </c>
      <c r="C9" s="11">
        <v>0.58344907407407409</v>
      </c>
      <c r="D9" s="11" t="s">
        <v>84</v>
      </c>
      <c r="E9" s="11">
        <v>0.60746527777777781</v>
      </c>
      <c r="F9" s="12">
        <f t="shared" si="1"/>
        <v>0.57638888888888928</v>
      </c>
      <c r="G9" s="13">
        <f t="shared" si="2"/>
        <v>0.57638888888888928</v>
      </c>
      <c r="H9" s="13">
        <f t="shared" si="3"/>
        <v>0</v>
      </c>
      <c r="I9" s="21" t="s">
        <v>76</v>
      </c>
      <c r="J9" s="22">
        <f>SUMIF(B:B,"航班调度席",F:F)</f>
        <v>12.692499999999997</v>
      </c>
      <c r="K9" s="23">
        <f>SUMIF(B:B,"航班调度席",G:G)</f>
        <v>12.692499999999997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46064.730655208332</v>
      </c>
      <c r="B10" s="58" t="s">
        <v>82</v>
      </c>
      <c r="C10" s="11">
        <v>0.73064814814814805</v>
      </c>
      <c r="D10" s="11" t="s">
        <v>84</v>
      </c>
      <c r="E10" s="11">
        <v>0.88140046296296293</v>
      </c>
      <c r="F10" s="12">
        <f t="shared" si="1"/>
        <v>3.6180555555555571</v>
      </c>
      <c r="G10" s="13">
        <f t="shared" si="2"/>
        <v>3.6180555555555571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46065.41808865741</v>
      </c>
      <c r="B11" s="58" t="s">
        <v>83</v>
      </c>
      <c r="C11" s="11">
        <v>0.4180787037037037</v>
      </c>
      <c r="D11" s="11" t="s">
        <v>84</v>
      </c>
      <c r="E11" s="11">
        <v>0.50966435185185188</v>
      </c>
      <c r="F11" s="12">
        <f t="shared" si="1"/>
        <v>2.1980555555555563</v>
      </c>
      <c r="G11" s="13">
        <f t="shared" si="2"/>
        <v>2.1980555555555563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46065.626441087959</v>
      </c>
      <c r="B12" s="58" t="s">
        <v>82</v>
      </c>
      <c r="C12" s="11">
        <v>0.62643518518518515</v>
      </c>
      <c r="D12" s="11" t="s">
        <v>84</v>
      </c>
      <c r="E12" s="11">
        <v>0.75511574074074073</v>
      </c>
      <c r="F12" s="12">
        <f t="shared" si="1"/>
        <v>3.0883333333333338</v>
      </c>
      <c r="G12" s="13">
        <f t="shared" si="2"/>
        <v>3.0883333333333338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46065.834179513891</v>
      </c>
      <c r="B13" s="58" t="s">
        <v>83</v>
      </c>
      <c r="C13" s="11">
        <v>0.83417824074074076</v>
      </c>
      <c r="D13" s="11" t="s">
        <v>84</v>
      </c>
      <c r="E13" s="11">
        <v>0.96693287037037035</v>
      </c>
      <c r="F13" s="12">
        <f t="shared" si="1"/>
        <v>3.18611111111111</v>
      </c>
      <c r="G13" s="13">
        <f t="shared" si="2"/>
        <v>3.18611111111111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46066.300349421297</v>
      </c>
      <c r="B14" s="58" t="s">
        <v>82</v>
      </c>
      <c r="C14" s="11">
        <v>0.30034722222222221</v>
      </c>
      <c r="D14" s="11" t="s">
        <v>84</v>
      </c>
      <c r="E14" s="11">
        <v>0.36131944444444447</v>
      </c>
      <c r="F14" s="12">
        <f t="shared" si="1"/>
        <v>1.4633333333333343</v>
      </c>
      <c r="G14" s="13">
        <f t="shared" si="2"/>
        <v>0.67166666666667574</v>
      </c>
      <c r="H14" s="13">
        <f t="shared" si="3"/>
        <v>0.79166666666665853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46073.145832870374</v>
      </c>
      <c r="B15" s="58" t="s">
        <v>83</v>
      </c>
      <c r="C15" s="11">
        <v>0.14583333333333334</v>
      </c>
      <c r="D15" s="11" t="s">
        <v>84</v>
      </c>
      <c r="E15" s="11">
        <v>0.2253125</v>
      </c>
      <c r="F15" s="12">
        <f t="shared" si="1"/>
        <v>1.9074999999999998</v>
      </c>
      <c r="G15" s="13">
        <f t="shared" si="2"/>
        <v>0</v>
      </c>
      <c r="H15" s="13">
        <f t="shared" si="3"/>
        <v>1.9074999999999998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46073.748789120371</v>
      </c>
      <c r="B16" s="58" t="s">
        <v>83</v>
      </c>
      <c r="C16" s="11">
        <v>0.74878472222222225</v>
      </c>
      <c r="D16" s="11" t="s">
        <v>84</v>
      </c>
      <c r="E16" s="11">
        <v>0.83560185185185187</v>
      </c>
      <c r="F16" s="12">
        <f t="shared" si="1"/>
        <v>2.0836111111111109</v>
      </c>
      <c r="G16" s="13">
        <f t="shared" si="2"/>
        <v>2.0836111111111109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46074.243870601851</v>
      </c>
      <c r="B17" s="58" t="s">
        <v>83</v>
      </c>
      <c r="C17" s="11">
        <v>0.24386574074074074</v>
      </c>
      <c r="D17" s="11" t="s">
        <v>84</v>
      </c>
      <c r="E17" s="11">
        <v>0.30376157407407406</v>
      </c>
      <c r="F17" s="12">
        <f t="shared" si="1"/>
        <v>1.4374999999999996</v>
      </c>
      <c r="G17" s="13">
        <f t="shared" si="2"/>
        <v>0</v>
      </c>
      <c r="H17" s="13">
        <f t="shared" si="3"/>
        <v>1.4374999999999996</v>
      </c>
      <c r="I17" s="35" t="s">
        <v>29</v>
      </c>
      <c r="J17" s="36">
        <f>J4+J5+J6+J7+J10</f>
        <v>45.878333333333337</v>
      </c>
      <c r="K17" s="37">
        <f>K4+K5+K6+K7+K10</f>
        <v>28.320000000000014</v>
      </c>
      <c r="L17" s="38">
        <f>L4+L5+L6+L7+L10</f>
        <v>17.558333333333323</v>
      </c>
      <c r="M17" s="39"/>
    </row>
    <row r="18" spans="1:13" ht="20.25" x14ac:dyDescent="0.25">
      <c r="A18" s="10">
        <f t="shared" ca="1" si="0"/>
        <v>46076.503482638887</v>
      </c>
      <c r="B18" s="58" t="s">
        <v>82</v>
      </c>
      <c r="C18" s="11">
        <v>0.50347222222222221</v>
      </c>
      <c r="D18" s="11" t="s">
        <v>84</v>
      </c>
      <c r="E18" s="11">
        <v>0.63167824074074075</v>
      </c>
      <c r="F18" s="12">
        <f t="shared" si="1"/>
        <v>3.0769444444444449</v>
      </c>
      <c r="G18" s="13">
        <f t="shared" si="2"/>
        <v>3.0769444444444449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46076.751435532409</v>
      </c>
      <c r="B19" s="58" t="s">
        <v>83</v>
      </c>
      <c r="C19" s="11">
        <v>0.75143518518518515</v>
      </c>
      <c r="D19" s="11" t="s">
        <v>84</v>
      </c>
      <c r="E19" s="11">
        <v>0.88093749999999993</v>
      </c>
      <c r="F19" s="12">
        <f t="shared" si="1"/>
        <v>3.1080555555555547</v>
      </c>
      <c r="G19" s="13">
        <f t="shared" si="2"/>
        <v>3.1080555555555547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46077.435186342591</v>
      </c>
      <c r="B20" s="58" t="s">
        <v>90</v>
      </c>
      <c r="C20" s="11">
        <v>0.43518518518518517</v>
      </c>
      <c r="D20" s="11" t="s">
        <v>84</v>
      </c>
      <c r="E20" s="11">
        <v>0.48739583333333331</v>
      </c>
      <c r="F20" s="12">
        <f t="shared" si="1"/>
        <v>1.2530555555555551</v>
      </c>
      <c r="G20" s="13">
        <f t="shared" si="2"/>
        <v>1.2530555555555551</v>
      </c>
      <c r="H20" s="13">
        <f t="shared" si="3"/>
        <v>0</v>
      </c>
      <c r="I20" s="40" t="s">
        <v>31</v>
      </c>
      <c r="J20" s="67">
        <f>J16+J17+J18+J19</f>
        <v>45.878333333333337</v>
      </c>
      <c r="K20" s="68"/>
      <c r="L20" s="69"/>
      <c r="M20" s="41"/>
    </row>
    <row r="21" spans="1:13" ht="20.25" x14ac:dyDescent="0.25">
      <c r="A21" s="10">
        <f t="shared" ca="1" si="0"/>
        <v>46077.601213078706</v>
      </c>
      <c r="B21" s="58" t="s">
        <v>90</v>
      </c>
      <c r="C21" s="11">
        <v>0.60120370370370368</v>
      </c>
      <c r="D21" s="11" t="s">
        <v>84</v>
      </c>
      <c r="E21" s="11">
        <v>0.7130439814814814</v>
      </c>
      <c r="F21" s="12">
        <f t="shared" si="1"/>
        <v>2.6841666666666653</v>
      </c>
      <c r="G21" s="13">
        <f t="shared" si="2"/>
        <v>2.6841666666666653</v>
      </c>
      <c r="H21" s="13">
        <f t="shared" si="3"/>
        <v>0</v>
      </c>
      <c r="I21" s="53" t="s">
        <v>78</v>
      </c>
      <c r="J21" s="54">
        <f>SUM(J8:J9)</f>
        <v>12.692499999999997</v>
      </c>
      <c r="K21" s="37">
        <f>SUM(K8:K9)</f>
        <v>12.692499999999997</v>
      </c>
      <c r="L21" s="38">
        <f>SUM(L8:L9)</f>
        <v>0</v>
      </c>
      <c r="M21" s="46"/>
    </row>
    <row r="22" spans="1:13" ht="18.75" x14ac:dyDescent="0.15">
      <c r="A22" s="10">
        <f t="shared" ca="1" si="0"/>
        <v>46078.034890162038</v>
      </c>
      <c r="B22" s="58" t="s">
        <v>82</v>
      </c>
      <c r="C22" s="11">
        <v>3.4884259259259261E-2</v>
      </c>
      <c r="D22" s="11" t="s">
        <v>84</v>
      </c>
      <c r="E22" s="11">
        <v>9.0162037037037027E-2</v>
      </c>
      <c r="F22" s="12">
        <f t="shared" si="1"/>
        <v>1.3266666666666664</v>
      </c>
      <c r="G22" s="13">
        <f t="shared" si="2"/>
        <v>0</v>
      </c>
      <c r="H22" s="13">
        <f t="shared" si="3"/>
        <v>1.3266666666666664</v>
      </c>
      <c r="I22"/>
      <c r="J22"/>
    </row>
    <row r="23" spans="1:13" ht="18.75" x14ac:dyDescent="0.15">
      <c r="A23" s="10">
        <f t="shared" ca="1" si="0"/>
        <v>46080.378671064813</v>
      </c>
      <c r="B23" s="58" t="s">
        <v>90</v>
      </c>
      <c r="C23" s="11">
        <v>0.37866898148148148</v>
      </c>
      <c r="D23" s="11" t="s">
        <v>84</v>
      </c>
      <c r="E23" s="11">
        <v>0.49158564814814815</v>
      </c>
      <c r="F23" s="12">
        <f t="shared" si="1"/>
        <v>2.71</v>
      </c>
      <c r="G23" s="13">
        <f t="shared" si="2"/>
        <v>2.71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46080.59046053241</v>
      </c>
      <c r="B24" s="58" t="s">
        <v>90</v>
      </c>
      <c r="C24" s="11">
        <v>0.59045138888888882</v>
      </c>
      <c r="D24" s="11" t="s">
        <v>84</v>
      </c>
      <c r="E24" s="11">
        <v>0.74410879629629623</v>
      </c>
      <c r="F24" s="12">
        <f t="shared" si="1"/>
        <v>3.6877777777777778</v>
      </c>
      <c r="G24" s="13">
        <f t="shared" si="2"/>
        <v>3.6877777777777778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46081.455019097222</v>
      </c>
      <c r="B25" s="58" t="s">
        <v>90</v>
      </c>
      <c r="C25" s="11">
        <v>0.45501157407407411</v>
      </c>
      <c r="D25" s="11" t="s">
        <v>84</v>
      </c>
      <c r="E25" s="11">
        <v>0.50670138888888883</v>
      </c>
      <c r="F25" s="12">
        <f t="shared" si="1"/>
        <v>1.2405555555555532</v>
      </c>
      <c r="G25" s="13">
        <f t="shared" si="2"/>
        <v>1.2405555555555532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46081.611112615741</v>
      </c>
      <c r="B26" s="58" t="s">
        <v>90</v>
      </c>
      <c r="C26" s="11">
        <v>0.61111111111111105</v>
      </c>
      <c r="D26" s="11" t="s">
        <v>84</v>
      </c>
      <c r="E26" s="11">
        <v>0.65765046296296303</v>
      </c>
      <c r="F26" s="12">
        <f t="shared" si="1"/>
        <v>1.1169444444444476</v>
      </c>
      <c r="G26" s="13">
        <f t="shared" si="2"/>
        <v>1.1169444444444476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46081.751904282406</v>
      </c>
      <c r="B27" s="58" t="s">
        <v>86</v>
      </c>
      <c r="C27" s="11">
        <v>0.75201388888888887</v>
      </c>
      <c r="D27" s="11" t="s">
        <v>84</v>
      </c>
      <c r="E27" s="11">
        <v>0.83857638888888886</v>
      </c>
      <c r="F27" s="12">
        <f t="shared" si="1"/>
        <v>2.0774999999999997</v>
      </c>
      <c r="G27" s="13">
        <f t="shared" si="2"/>
        <v>2.0774999999999997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>
        <f t="shared" ref="A3:A66" ca="1" si="0">IF(B3="","",IF(A3="",NOW(),A3))</f>
        <v>46054.007289351852</v>
      </c>
      <c r="B3" s="58" t="s">
        <v>83</v>
      </c>
      <c r="C3" s="11">
        <v>9.2592592592592588E-5</v>
      </c>
      <c r="D3" s="11" t="s">
        <v>84</v>
      </c>
      <c r="E3" s="11">
        <v>0.11236111111111112</v>
      </c>
      <c r="F3" s="12">
        <f t="shared" ref="F3:F66" si="1">(IF(E3-C3&lt;0,"24:00"-C3+E3,E3-C3))*24</f>
        <v>2.6944444444444446</v>
      </c>
      <c r="G3" s="13">
        <f t="shared" ref="G3:G66" si="2">F3-H3</f>
        <v>0</v>
      </c>
      <c r="H3" s="13">
        <f t="shared" ref="H3:H66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2.6944444444444446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46056.356476388886</v>
      </c>
      <c r="B4" s="58" t="s">
        <v>86</v>
      </c>
      <c r="C4" s="11">
        <v>0.35636574074074073</v>
      </c>
      <c r="D4" s="11" t="s">
        <v>84</v>
      </c>
      <c r="E4" s="11">
        <v>0.50609953703703703</v>
      </c>
      <c r="F4" s="12">
        <f t="shared" si="1"/>
        <v>3.5936111111111111</v>
      </c>
      <c r="G4" s="13">
        <f t="shared" si="2"/>
        <v>3.5936111111111111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40.191666666666663</v>
      </c>
      <c r="K4" s="23">
        <f>SUMIF(B:B,"西塔台管制席",G:G)+SUMIF(B:B,"东塔台管制席",G:G)</f>
        <v>20.445555555555565</v>
      </c>
      <c r="L4" s="23">
        <f>SUMIF(B:B,"西塔台管制席",H:H)+SUMIF(B:B,"东塔台管制席",H:H)</f>
        <v>19.746111111111102</v>
      </c>
      <c r="M4" s="19"/>
    </row>
    <row r="5" spans="1:16" ht="18.75" x14ac:dyDescent="0.25">
      <c r="A5" s="10">
        <f t="shared" ca="1" si="0"/>
        <v>46056.644117361109</v>
      </c>
      <c r="B5" s="58" t="s">
        <v>86</v>
      </c>
      <c r="C5" s="11">
        <v>0.64410879629629625</v>
      </c>
      <c r="D5" s="11" t="s">
        <v>84</v>
      </c>
      <c r="E5" s="11">
        <v>0.75583333333333336</v>
      </c>
      <c r="F5" s="12">
        <f t="shared" si="1"/>
        <v>2.6813888888888906</v>
      </c>
      <c r="G5" s="13">
        <f t="shared" si="2"/>
        <v>2.6813888888888906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19.533888888888889</v>
      </c>
      <c r="K5" s="23">
        <f>SUMIF(B:B,"西塔台协调席",G:G)+SUMIF(B:B,"东塔台协调席",G:G)</f>
        <v>15.406111111111121</v>
      </c>
      <c r="L5" s="23">
        <f>SUMIF(B:B,"西塔台协调席",H:H)+SUMIF(B:B,"东塔台协调席",H:H)</f>
        <v>4.1277777777777676</v>
      </c>
      <c r="M5" s="19"/>
    </row>
    <row r="6" spans="1:16" ht="18.75" x14ac:dyDescent="0.25">
      <c r="A6" s="10">
        <f t="shared" ca="1" si="0"/>
        <v>46056.874612268519</v>
      </c>
      <c r="B6" s="58" t="s">
        <v>85</v>
      </c>
      <c r="C6" s="11">
        <v>0.87460648148148146</v>
      </c>
      <c r="D6" s="11" t="s">
        <v>84</v>
      </c>
      <c r="E6" s="11">
        <v>0.96295138888888887</v>
      </c>
      <c r="F6" s="12">
        <f t="shared" si="1"/>
        <v>2.1202777777777779</v>
      </c>
      <c r="G6" s="13">
        <f t="shared" si="2"/>
        <v>2.1202777777777779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46057.299817013889</v>
      </c>
      <c r="B7" s="58" t="s">
        <v>83</v>
      </c>
      <c r="C7" s="11">
        <v>0.29981481481481481</v>
      </c>
      <c r="D7" s="11" t="s">
        <v>84</v>
      </c>
      <c r="E7" s="11">
        <v>0.4241550925925926</v>
      </c>
      <c r="F7" s="12">
        <f t="shared" si="1"/>
        <v>2.9841666666666669</v>
      </c>
      <c r="G7" s="13">
        <f t="shared" si="2"/>
        <v>2.1797222222222308</v>
      </c>
      <c r="H7" s="13">
        <f t="shared" si="3"/>
        <v>0.80444444444443608</v>
      </c>
      <c r="I7" s="21" t="s">
        <v>23</v>
      </c>
      <c r="J7" s="22">
        <f>SUMIF(B:B,"地面席",F:F)</f>
        <v>2.2511111111111113</v>
      </c>
      <c r="K7" s="23">
        <f>SUMIF(B:B,"地面席",G:G)</f>
        <v>0</v>
      </c>
      <c r="L7" s="23">
        <f>SUMIF(B:B,"地面席",H:H)</f>
        <v>2.2511111111111113</v>
      </c>
      <c r="M7" s="19"/>
    </row>
    <row r="8" spans="1:16" ht="18.75" x14ac:dyDescent="0.25">
      <c r="A8" s="10">
        <f t="shared" ca="1" si="0"/>
        <v>46057.50427824074</v>
      </c>
      <c r="B8" s="58" t="s">
        <v>82</v>
      </c>
      <c r="C8" s="11">
        <v>0.50427083333333333</v>
      </c>
      <c r="D8" s="11" t="s">
        <v>84</v>
      </c>
      <c r="E8" s="11">
        <v>0.62715277777777778</v>
      </c>
      <c r="F8" s="12">
        <f t="shared" si="1"/>
        <v>2.9491666666666667</v>
      </c>
      <c r="G8" s="13">
        <f t="shared" si="2"/>
        <v>2.9491666666666667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46057.751160648149</v>
      </c>
      <c r="B9" s="58" t="s">
        <v>83</v>
      </c>
      <c r="C9" s="11">
        <v>0.75115740740740744</v>
      </c>
      <c r="D9" s="11" t="s">
        <v>84</v>
      </c>
      <c r="E9" s="11">
        <v>0.83908564814814823</v>
      </c>
      <c r="F9" s="12">
        <f t="shared" si="1"/>
        <v>2.110277777777779</v>
      </c>
      <c r="G9" s="13">
        <f t="shared" si="2"/>
        <v>2.110277777777779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46061.012336805557</v>
      </c>
      <c r="B10" s="58" t="s">
        <v>83</v>
      </c>
      <c r="C10" s="11">
        <v>1.2326388888888888E-2</v>
      </c>
      <c r="D10" s="11" t="s">
        <v>84</v>
      </c>
      <c r="E10" s="11">
        <v>0.14480324074074075</v>
      </c>
      <c r="F10" s="12">
        <f t="shared" si="1"/>
        <v>3.1794444444444441</v>
      </c>
      <c r="G10" s="13">
        <f t="shared" si="2"/>
        <v>0</v>
      </c>
      <c r="H10" s="13">
        <f t="shared" si="3"/>
        <v>3.1794444444444441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46062.01401712963</v>
      </c>
      <c r="B11" s="58" t="s">
        <v>86</v>
      </c>
      <c r="C11" s="11">
        <v>1.4016203703703704E-2</v>
      </c>
      <c r="D11" s="11" t="s">
        <v>84</v>
      </c>
      <c r="E11" s="11">
        <v>0.14473379629629629</v>
      </c>
      <c r="F11" s="12">
        <f t="shared" si="1"/>
        <v>3.1372222222222219</v>
      </c>
      <c r="G11" s="13">
        <f t="shared" si="2"/>
        <v>0</v>
      </c>
      <c r="H11" s="13">
        <f t="shared" si="3"/>
        <v>3.1372222222222219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46065.138219791668</v>
      </c>
      <c r="B12" s="58" t="s">
        <v>88</v>
      </c>
      <c r="C12" s="11">
        <v>0.13821759259259259</v>
      </c>
      <c r="D12" s="11" t="s">
        <v>84</v>
      </c>
      <c r="E12" s="11">
        <v>0.23201388888888888</v>
      </c>
      <c r="F12" s="12">
        <f t="shared" si="1"/>
        <v>2.2511111111111113</v>
      </c>
      <c r="G12" s="13">
        <f t="shared" si="2"/>
        <v>0</v>
      </c>
      <c r="H12" s="13">
        <f t="shared" si="3"/>
        <v>2.2511111111111113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46065.958306828703</v>
      </c>
      <c r="B13" s="58" t="s">
        <v>83</v>
      </c>
      <c r="C13" s="11">
        <v>0.95829861111111114</v>
      </c>
      <c r="D13" s="11" t="s">
        <v>84</v>
      </c>
      <c r="E13" s="11">
        <v>0.12512731481481482</v>
      </c>
      <c r="F13" s="12">
        <f t="shared" si="1"/>
        <v>4.0038888888888877</v>
      </c>
      <c r="G13" s="13">
        <f t="shared" si="2"/>
        <v>1.0008333333333321</v>
      </c>
      <c r="H13" s="13">
        <f t="shared" si="3"/>
        <v>3.0030555555555556</v>
      </c>
      <c r="I13" s="70" t="s">
        <v>27</v>
      </c>
      <c r="J13" s="71"/>
      <c r="K13" s="71"/>
      <c r="L13" s="71"/>
      <c r="M13" s="71"/>
    </row>
    <row r="14" spans="1:16" ht="18.75" x14ac:dyDescent="0.15">
      <c r="A14" s="10">
        <f t="shared" ca="1" si="0"/>
        <v>46068.355615624998</v>
      </c>
      <c r="B14" s="58" t="s">
        <v>82</v>
      </c>
      <c r="C14" s="11">
        <v>0.35561342592592587</v>
      </c>
      <c r="D14" s="11" t="s">
        <v>84</v>
      </c>
      <c r="E14" s="11">
        <v>0.50501157407407404</v>
      </c>
      <c r="F14" s="12">
        <f t="shared" si="1"/>
        <v>3.5855555555555561</v>
      </c>
      <c r="G14" s="13">
        <f t="shared" si="2"/>
        <v>3.5855555555555561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>
        <f t="shared" ca="1" si="0"/>
        <v>46068.667124074076</v>
      </c>
      <c r="B15" s="58" t="s">
        <v>83</v>
      </c>
      <c r="C15" s="11">
        <v>0.66711805555555559</v>
      </c>
      <c r="D15" s="11" t="s">
        <v>84</v>
      </c>
      <c r="E15" s="11">
        <v>0.73921296296296291</v>
      </c>
      <c r="F15" s="12">
        <f t="shared" si="1"/>
        <v>1.7302777777777756</v>
      </c>
      <c r="G15" s="13">
        <f t="shared" si="2"/>
        <v>1.7302777777777756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>
        <f t="shared" ca="1" si="0"/>
        <v>46068.750767245372</v>
      </c>
      <c r="B16" s="58" t="s">
        <v>83</v>
      </c>
      <c r="C16" s="11">
        <v>0.7507638888888889</v>
      </c>
      <c r="D16" s="11" t="s">
        <v>84</v>
      </c>
      <c r="E16" s="11">
        <v>0.83842592592592602</v>
      </c>
      <c r="F16" s="12">
        <f t="shared" si="1"/>
        <v>2.1038888888888909</v>
      </c>
      <c r="G16" s="13">
        <f t="shared" si="2"/>
        <v>2.1038888888888909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46069.291077430556</v>
      </c>
      <c r="B17" s="58" t="s">
        <v>82</v>
      </c>
      <c r="C17" s="11">
        <v>0.29107638888888893</v>
      </c>
      <c r="D17" s="11" t="s">
        <v>84</v>
      </c>
      <c r="E17" s="11">
        <v>0.48327546296296298</v>
      </c>
      <c r="F17" s="12">
        <f t="shared" si="1"/>
        <v>4.6127777777777776</v>
      </c>
      <c r="G17" s="13">
        <f t="shared" si="2"/>
        <v>3.5986111111111203</v>
      </c>
      <c r="H17" s="13">
        <f t="shared" si="3"/>
        <v>1.0141666666666573</v>
      </c>
      <c r="I17" s="35" t="s">
        <v>29</v>
      </c>
      <c r="J17" s="36">
        <f>J4+J5+J6+J7+J10</f>
        <v>61.976666666666659</v>
      </c>
      <c r="K17" s="37">
        <f>K4+K5+K6+K7+K10</f>
        <v>35.851666666666688</v>
      </c>
      <c r="L17" s="38">
        <f>L4+L5+L6+L7+L10</f>
        <v>26.124999999999982</v>
      </c>
      <c r="M17" s="39"/>
    </row>
    <row r="18" spans="1:13" ht="20.25" x14ac:dyDescent="0.25">
      <c r="A18" s="10">
        <f t="shared" ca="1" si="0"/>
        <v>46069.96024699074</v>
      </c>
      <c r="B18" s="58" t="s">
        <v>83</v>
      </c>
      <c r="C18" s="11">
        <v>0.96024305555555556</v>
      </c>
      <c r="D18" s="11" t="s">
        <v>84</v>
      </c>
      <c r="E18" s="11">
        <v>0.1439236111111111</v>
      </c>
      <c r="F18" s="12">
        <f t="shared" si="1"/>
        <v>4.4083333333333332</v>
      </c>
      <c r="G18" s="13">
        <f t="shared" si="2"/>
        <v>0.95416666666666661</v>
      </c>
      <c r="H18" s="13">
        <f t="shared" si="3"/>
        <v>3.4541666666666666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46072.503290856483</v>
      </c>
      <c r="B19" s="58" t="s">
        <v>83</v>
      </c>
      <c r="C19" s="11">
        <v>0.50328703703703703</v>
      </c>
      <c r="D19" s="11" t="s">
        <v>84</v>
      </c>
      <c r="E19" s="11">
        <v>0.63143518518518515</v>
      </c>
      <c r="F19" s="12">
        <f t="shared" si="1"/>
        <v>3.0755555555555549</v>
      </c>
      <c r="G19" s="13">
        <f t="shared" si="2"/>
        <v>3.0755555555555549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46072.749511574075</v>
      </c>
      <c r="B20" s="58" t="s">
        <v>82</v>
      </c>
      <c r="C20" s="11">
        <v>0.74950231481481477</v>
      </c>
      <c r="D20" s="11" t="s">
        <v>84</v>
      </c>
      <c r="E20" s="11">
        <v>0.88085648148148143</v>
      </c>
      <c r="F20" s="12">
        <f t="shared" si="1"/>
        <v>3.1524999999999999</v>
      </c>
      <c r="G20" s="13">
        <f t="shared" si="2"/>
        <v>3.1524999999999999</v>
      </c>
      <c r="H20" s="13">
        <f t="shared" si="3"/>
        <v>0</v>
      </c>
      <c r="I20" s="40" t="s">
        <v>31</v>
      </c>
      <c r="J20" s="67">
        <f>J16+J17+J18+J19</f>
        <v>61.976666666666659</v>
      </c>
      <c r="K20" s="68"/>
      <c r="L20" s="69"/>
      <c r="M20" s="41"/>
    </row>
    <row r="21" spans="1:13" ht="20.25" x14ac:dyDescent="0.25">
      <c r="A21" s="10">
        <f t="shared" ca="1" si="0"/>
        <v>46074.00292673611</v>
      </c>
      <c r="B21" s="58" t="s">
        <v>82</v>
      </c>
      <c r="C21" s="11">
        <v>2.9166666666666668E-3</v>
      </c>
      <c r="D21" s="11" t="s">
        <v>84</v>
      </c>
      <c r="E21" s="11">
        <v>0.13265046296296296</v>
      </c>
      <c r="F21" s="12">
        <f t="shared" si="1"/>
        <v>3.1136111111111107</v>
      </c>
      <c r="G21" s="13">
        <f t="shared" si="2"/>
        <v>0</v>
      </c>
      <c r="H21" s="13">
        <f t="shared" si="3"/>
        <v>3.1136111111111107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>
        <f t="shared" ca="1" si="0"/>
        <v>46076.957674537036</v>
      </c>
      <c r="B22" s="58" t="s">
        <v>83</v>
      </c>
      <c r="C22" s="11">
        <v>0.95767361111111116</v>
      </c>
      <c r="D22" s="11" t="s">
        <v>84</v>
      </c>
      <c r="E22" s="11">
        <v>0.14472222222222222</v>
      </c>
      <c r="F22" s="12">
        <f t="shared" si="1"/>
        <v>4.4891666666666659</v>
      </c>
      <c r="G22" s="13">
        <f t="shared" si="2"/>
        <v>1.0158333333333323</v>
      </c>
      <c r="H22" s="13">
        <f t="shared" si="3"/>
        <v>3.4733333333333336</v>
      </c>
      <c r="I22"/>
      <c r="J22"/>
    </row>
    <row r="23" spans="1:13" ht="18.75" x14ac:dyDescent="0.15">
      <c r="A23" s="10" t="str">
        <f t="shared" ca="1" si="0"/>
        <v/>
      </c>
      <c r="B23" s="58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8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8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8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8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8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8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8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8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8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8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8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8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8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8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8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8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8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8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8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8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3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8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3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8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3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8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3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8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3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8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3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8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3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8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3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8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3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8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3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8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3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8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3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8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3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8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3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8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3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8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3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8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3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8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3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8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3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8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3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8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3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8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3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8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3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8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3"/>
        <v>0</v>
      </c>
      <c r="I66" s="42"/>
      <c r="J66" s="43"/>
      <c r="K66" s="11"/>
    </row>
    <row r="67" spans="1:11" ht="18.75" x14ac:dyDescent="0.15">
      <c r="A67" s="10" t="str">
        <f t="shared" ref="A67:A130" ca="1" si="7">IF(B67="","",IF(A67="",NOW(),A67))</f>
        <v/>
      </c>
      <c r="B67" s="58"/>
      <c r="C67" s="11"/>
      <c r="D67" s="11"/>
      <c r="E67" s="11"/>
      <c r="F67" s="12">
        <f t="shared" ref="F67:F130" si="8">(IF(E67-C67&lt;0,"24:00"-C67+E67,E67-C67))*24</f>
        <v>0</v>
      </c>
      <c r="G67" s="13">
        <f t="shared" ref="G67:G130" si="9">F67-H67</f>
        <v>0</v>
      </c>
      <c r="H67" s="13">
        <f t="shared" ref="H67:H130" si="10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7"/>
        <v/>
      </c>
      <c r="B68" s="58"/>
      <c r="C68" s="11"/>
      <c r="D68" s="11"/>
      <c r="E68" s="11"/>
      <c r="F68" s="12">
        <f t="shared" si="8"/>
        <v>0</v>
      </c>
      <c r="G68" s="13">
        <f t="shared" si="9"/>
        <v>0</v>
      </c>
      <c r="H68" s="13">
        <f t="shared" si="10"/>
        <v>0</v>
      </c>
      <c r="I68" s="42"/>
      <c r="J68" s="43"/>
      <c r="K68" s="11"/>
    </row>
    <row r="69" spans="1:11" ht="18.75" x14ac:dyDescent="0.15">
      <c r="A69" s="10" t="str">
        <f t="shared" ca="1" si="7"/>
        <v/>
      </c>
      <c r="B69" s="58"/>
      <c r="C69" s="11"/>
      <c r="D69" s="11"/>
      <c r="E69" s="11"/>
      <c r="F69" s="12">
        <f t="shared" si="8"/>
        <v>0</v>
      </c>
      <c r="G69" s="13">
        <f t="shared" si="9"/>
        <v>0</v>
      </c>
      <c r="H69" s="13">
        <f t="shared" si="10"/>
        <v>0</v>
      </c>
      <c r="I69" s="42"/>
      <c r="J69" s="43"/>
      <c r="K69" s="11"/>
    </row>
    <row r="70" spans="1:11" ht="18.75" x14ac:dyDescent="0.15">
      <c r="A70" s="10" t="str">
        <f t="shared" ca="1" si="7"/>
        <v/>
      </c>
      <c r="B70" s="58"/>
      <c r="C70" s="11"/>
      <c r="D70" s="11"/>
      <c r="E70" s="11"/>
      <c r="F70" s="12">
        <f t="shared" si="8"/>
        <v>0</v>
      </c>
      <c r="G70" s="13">
        <f t="shared" si="9"/>
        <v>0</v>
      </c>
      <c r="H70" s="13">
        <f t="shared" si="10"/>
        <v>0</v>
      </c>
      <c r="I70" s="42"/>
      <c r="J70" s="43"/>
      <c r="K70" s="11"/>
    </row>
    <row r="71" spans="1:11" ht="18.75" x14ac:dyDescent="0.15">
      <c r="A71" s="10" t="str">
        <f t="shared" ca="1" si="7"/>
        <v/>
      </c>
      <c r="B71" s="58"/>
      <c r="C71" s="11"/>
      <c r="D71" s="11"/>
      <c r="E71" s="11"/>
      <c r="F71" s="12">
        <f t="shared" si="8"/>
        <v>0</v>
      </c>
      <c r="G71" s="13">
        <f t="shared" si="9"/>
        <v>0</v>
      </c>
      <c r="H71" s="13">
        <f t="shared" si="10"/>
        <v>0</v>
      </c>
      <c r="I71" s="42"/>
      <c r="J71" s="43"/>
      <c r="K71" s="11"/>
    </row>
    <row r="72" spans="1:11" ht="18.75" x14ac:dyDescent="0.15">
      <c r="A72" s="10" t="str">
        <f t="shared" ca="1" si="7"/>
        <v/>
      </c>
      <c r="B72" s="58"/>
      <c r="C72" s="11"/>
      <c r="D72" s="11"/>
      <c r="E72" s="11"/>
      <c r="F72" s="12">
        <f t="shared" si="8"/>
        <v>0</v>
      </c>
      <c r="G72" s="13">
        <f t="shared" si="9"/>
        <v>0</v>
      </c>
      <c r="H72" s="13">
        <f t="shared" si="10"/>
        <v>0</v>
      </c>
      <c r="I72" s="42"/>
      <c r="J72" s="43"/>
      <c r="K72" s="11"/>
    </row>
    <row r="73" spans="1:11" ht="18.75" x14ac:dyDescent="0.15">
      <c r="A73" s="10" t="str">
        <f t="shared" ca="1" si="7"/>
        <v/>
      </c>
      <c r="B73" s="58"/>
      <c r="C73" s="11"/>
      <c r="D73" s="11"/>
      <c r="E73" s="11"/>
      <c r="F73" s="12">
        <f t="shared" si="8"/>
        <v>0</v>
      </c>
      <c r="G73" s="13">
        <f t="shared" si="9"/>
        <v>0</v>
      </c>
      <c r="H73" s="13">
        <f t="shared" si="10"/>
        <v>0</v>
      </c>
      <c r="I73" s="42"/>
      <c r="J73" s="43"/>
      <c r="K73" s="11"/>
    </row>
    <row r="74" spans="1:11" ht="18.75" x14ac:dyDescent="0.15">
      <c r="A74" s="10" t="str">
        <f t="shared" ca="1" si="7"/>
        <v/>
      </c>
      <c r="B74" s="58"/>
      <c r="C74" s="11"/>
      <c r="D74" s="11"/>
      <c r="E74" s="11"/>
      <c r="F74" s="12">
        <f t="shared" si="8"/>
        <v>0</v>
      </c>
      <c r="G74" s="13">
        <f t="shared" si="9"/>
        <v>0</v>
      </c>
      <c r="H74" s="13">
        <f t="shared" si="10"/>
        <v>0</v>
      </c>
      <c r="I74" s="42"/>
      <c r="J74" s="43"/>
      <c r="K74" s="11"/>
    </row>
    <row r="75" spans="1:11" ht="18.75" x14ac:dyDescent="0.15">
      <c r="A75" s="10" t="str">
        <f t="shared" ca="1" si="7"/>
        <v/>
      </c>
      <c r="B75" s="58"/>
      <c r="C75" s="11"/>
      <c r="D75" s="11"/>
      <c r="E75" s="11"/>
      <c r="F75" s="12">
        <f t="shared" si="8"/>
        <v>0</v>
      </c>
      <c r="G75" s="13">
        <f t="shared" si="9"/>
        <v>0</v>
      </c>
      <c r="H75" s="13">
        <f t="shared" si="10"/>
        <v>0</v>
      </c>
      <c r="I75" s="42"/>
      <c r="J75" s="43"/>
      <c r="K75" s="11"/>
    </row>
    <row r="76" spans="1:11" ht="18.75" x14ac:dyDescent="0.15">
      <c r="A76" s="10" t="str">
        <f t="shared" ca="1" si="7"/>
        <v/>
      </c>
      <c r="B76" s="58"/>
      <c r="C76" s="11"/>
      <c r="D76" s="11"/>
      <c r="E76" s="11"/>
      <c r="F76" s="12">
        <f t="shared" si="8"/>
        <v>0</v>
      </c>
      <c r="G76" s="13">
        <f t="shared" si="9"/>
        <v>0</v>
      </c>
      <c r="H76" s="13">
        <f t="shared" si="10"/>
        <v>0</v>
      </c>
      <c r="I76" s="42"/>
      <c r="J76" s="43"/>
      <c r="K76" s="11"/>
    </row>
    <row r="77" spans="1:11" ht="18.75" x14ac:dyDescent="0.15">
      <c r="A77" s="10" t="str">
        <f t="shared" ca="1" si="7"/>
        <v/>
      </c>
      <c r="B77" s="58"/>
      <c r="C77" s="11"/>
      <c r="D77" s="11"/>
      <c r="E77" s="11"/>
      <c r="F77" s="12">
        <f t="shared" si="8"/>
        <v>0</v>
      </c>
      <c r="G77" s="13">
        <f t="shared" si="9"/>
        <v>0</v>
      </c>
      <c r="H77" s="13">
        <f t="shared" si="10"/>
        <v>0</v>
      </c>
      <c r="I77" s="42"/>
      <c r="J77" s="43"/>
      <c r="K77" s="11"/>
    </row>
    <row r="78" spans="1:11" ht="18.75" x14ac:dyDescent="0.15">
      <c r="A78" s="10" t="str">
        <f t="shared" ca="1" si="7"/>
        <v/>
      </c>
      <c r="B78" s="58"/>
      <c r="C78" s="11"/>
      <c r="D78" s="11"/>
      <c r="E78" s="11"/>
      <c r="F78" s="12">
        <f t="shared" si="8"/>
        <v>0</v>
      </c>
      <c r="G78" s="13">
        <f t="shared" si="9"/>
        <v>0</v>
      </c>
      <c r="H78" s="13">
        <f t="shared" si="10"/>
        <v>0</v>
      </c>
      <c r="I78" s="42"/>
      <c r="J78" s="43"/>
      <c r="K78" s="11"/>
    </row>
    <row r="79" spans="1:11" ht="18.75" x14ac:dyDescent="0.15">
      <c r="A79" s="10" t="str">
        <f t="shared" ca="1" si="7"/>
        <v/>
      </c>
      <c r="B79" s="58"/>
      <c r="C79" s="11"/>
      <c r="D79" s="11"/>
      <c r="E79" s="11"/>
      <c r="F79" s="12">
        <f t="shared" si="8"/>
        <v>0</v>
      </c>
      <c r="G79" s="13">
        <f t="shared" si="9"/>
        <v>0</v>
      </c>
      <c r="H79" s="13">
        <f t="shared" si="10"/>
        <v>0</v>
      </c>
      <c r="I79" s="42"/>
      <c r="J79" s="43"/>
      <c r="K79" s="11"/>
    </row>
    <row r="80" spans="1:11" ht="18.75" x14ac:dyDescent="0.15">
      <c r="A80" s="10" t="str">
        <f t="shared" ca="1" si="7"/>
        <v/>
      </c>
      <c r="B80" s="58"/>
      <c r="C80" s="11"/>
      <c r="D80" s="11"/>
      <c r="E80" s="11"/>
      <c r="F80" s="12">
        <f t="shared" si="8"/>
        <v>0</v>
      </c>
      <c r="G80" s="13">
        <f t="shared" si="9"/>
        <v>0</v>
      </c>
      <c r="H80" s="13">
        <f t="shared" si="10"/>
        <v>0</v>
      </c>
      <c r="I80" s="42"/>
      <c r="J80" s="43"/>
      <c r="K80" s="11"/>
    </row>
    <row r="81" spans="1:11" ht="18.75" x14ac:dyDescent="0.15">
      <c r="A81" s="10" t="str">
        <f t="shared" ca="1" si="7"/>
        <v/>
      </c>
      <c r="B81" s="58"/>
      <c r="C81" s="11"/>
      <c r="D81" s="11"/>
      <c r="E81" s="11"/>
      <c r="F81" s="12">
        <f t="shared" si="8"/>
        <v>0</v>
      </c>
      <c r="G81" s="13">
        <f t="shared" si="9"/>
        <v>0</v>
      </c>
      <c r="H81" s="13">
        <f t="shared" si="10"/>
        <v>0</v>
      </c>
      <c r="I81" s="42"/>
      <c r="J81" s="43"/>
      <c r="K81" s="11"/>
    </row>
    <row r="82" spans="1:11" ht="18.75" x14ac:dyDescent="0.15">
      <c r="A82" s="10" t="str">
        <f t="shared" ca="1" si="7"/>
        <v/>
      </c>
      <c r="B82" s="58"/>
      <c r="C82" s="11"/>
      <c r="D82" s="11"/>
      <c r="E82" s="11"/>
      <c r="F82" s="12">
        <f t="shared" si="8"/>
        <v>0</v>
      </c>
      <c r="G82" s="13">
        <f t="shared" si="9"/>
        <v>0</v>
      </c>
      <c r="H82" s="13">
        <f t="shared" si="10"/>
        <v>0</v>
      </c>
      <c r="I82" s="42"/>
      <c r="J82" s="43"/>
      <c r="K82" s="11"/>
    </row>
    <row r="83" spans="1:11" ht="18.75" x14ac:dyDescent="0.15">
      <c r="A83" s="10" t="str">
        <f t="shared" ca="1" si="7"/>
        <v/>
      </c>
      <c r="B83" s="58"/>
      <c r="C83" s="11"/>
      <c r="D83" s="11"/>
      <c r="E83" s="11"/>
      <c r="F83" s="12">
        <f t="shared" si="8"/>
        <v>0</v>
      </c>
      <c r="G83" s="13">
        <f t="shared" si="9"/>
        <v>0</v>
      </c>
      <c r="H83" s="13">
        <f t="shared" si="10"/>
        <v>0</v>
      </c>
      <c r="I83" s="42"/>
      <c r="J83" s="43"/>
      <c r="K83" s="11"/>
    </row>
    <row r="84" spans="1:11" ht="18.75" x14ac:dyDescent="0.15">
      <c r="A84" s="10" t="str">
        <f t="shared" ca="1" si="7"/>
        <v/>
      </c>
      <c r="B84" s="58"/>
      <c r="C84" s="11"/>
      <c r="D84" s="11"/>
      <c r="E84" s="11"/>
      <c r="F84" s="12">
        <f t="shared" si="8"/>
        <v>0</v>
      </c>
      <c r="G84" s="13">
        <f t="shared" si="9"/>
        <v>0</v>
      </c>
      <c r="H84" s="13">
        <f t="shared" si="10"/>
        <v>0</v>
      </c>
      <c r="I84" s="42"/>
      <c r="J84" s="43"/>
      <c r="K84" s="11"/>
    </row>
    <row r="85" spans="1:11" ht="18.75" x14ac:dyDescent="0.15">
      <c r="A85" s="10" t="str">
        <f t="shared" ca="1" si="7"/>
        <v/>
      </c>
      <c r="B85" s="58"/>
      <c r="C85" s="11"/>
      <c r="D85" s="11"/>
      <c r="E85" s="11"/>
      <c r="F85" s="12">
        <f t="shared" si="8"/>
        <v>0</v>
      </c>
      <c r="G85" s="13">
        <f t="shared" si="9"/>
        <v>0</v>
      </c>
      <c r="H85" s="13">
        <f t="shared" si="10"/>
        <v>0</v>
      </c>
      <c r="I85" s="42"/>
      <c r="J85" s="44"/>
      <c r="K85" s="11"/>
    </row>
    <row r="86" spans="1:11" ht="18.75" x14ac:dyDescent="0.15">
      <c r="A86" s="10" t="str">
        <f t="shared" ca="1" si="7"/>
        <v/>
      </c>
      <c r="B86" s="58"/>
      <c r="C86" s="11"/>
      <c r="D86" s="11"/>
      <c r="E86" s="11"/>
      <c r="F86" s="12">
        <f t="shared" si="8"/>
        <v>0</v>
      </c>
      <c r="G86" s="13">
        <f t="shared" si="9"/>
        <v>0</v>
      </c>
      <c r="H86" s="13">
        <f t="shared" si="10"/>
        <v>0</v>
      </c>
      <c r="I86" s="42"/>
      <c r="J86" s="44"/>
      <c r="K86" s="11"/>
    </row>
    <row r="87" spans="1:11" ht="18.75" x14ac:dyDescent="0.15">
      <c r="A87" s="10" t="str">
        <f t="shared" ca="1" si="7"/>
        <v/>
      </c>
      <c r="B87" s="58"/>
      <c r="C87" s="11"/>
      <c r="D87" s="11"/>
      <c r="E87" s="11"/>
      <c r="F87" s="12">
        <f t="shared" si="8"/>
        <v>0</v>
      </c>
      <c r="G87" s="13">
        <f t="shared" si="9"/>
        <v>0</v>
      </c>
      <c r="H87" s="13">
        <f t="shared" si="10"/>
        <v>0</v>
      </c>
      <c r="I87" s="42"/>
      <c r="J87" s="44"/>
      <c r="K87" s="11"/>
    </row>
    <row r="88" spans="1:11" ht="18.75" x14ac:dyDescent="0.15">
      <c r="A88" s="10" t="str">
        <f t="shared" ca="1" si="7"/>
        <v/>
      </c>
      <c r="B88" s="58"/>
      <c r="C88" s="11"/>
      <c r="D88" s="11"/>
      <c r="E88" s="11"/>
      <c r="F88" s="12">
        <f t="shared" si="8"/>
        <v>0</v>
      </c>
      <c r="G88" s="13">
        <f t="shared" si="9"/>
        <v>0</v>
      </c>
      <c r="H88" s="13">
        <f t="shared" si="10"/>
        <v>0</v>
      </c>
      <c r="I88" s="42"/>
      <c r="J88" s="44"/>
      <c r="K88" s="11"/>
    </row>
    <row r="89" spans="1:11" ht="18.75" x14ac:dyDescent="0.15">
      <c r="A89" s="10" t="str">
        <f t="shared" ca="1" si="7"/>
        <v/>
      </c>
      <c r="B89" s="58"/>
      <c r="C89" s="11"/>
      <c r="D89" s="11"/>
      <c r="E89" s="11"/>
      <c r="F89" s="12">
        <f t="shared" si="8"/>
        <v>0</v>
      </c>
      <c r="G89" s="13">
        <f t="shared" si="9"/>
        <v>0</v>
      </c>
      <c r="H89" s="13">
        <f t="shared" si="10"/>
        <v>0</v>
      </c>
      <c r="I89" s="42"/>
      <c r="J89" s="44"/>
      <c r="K89" s="11"/>
    </row>
    <row r="90" spans="1:11" ht="18.75" x14ac:dyDescent="0.15">
      <c r="A90" s="10" t="str">
        <f t="shared" ca="1" si="7"/>
        <v/>
      </c>
      <c r="B90" s="58"/>
      <c r="C90" s="11"/>
      <c r="D90" s="11"/>
      <c r="E90" s="11"/>
      <c r="F90" s="12">
        <f t="shared" si="8"/>
        <v>0</v>
      </c>
      <c r="G90" s="13">
        <f t="shared" si="9"/>
        <v>0</v>
      </c>
      <c r="H90" s="13">
        <f t="shared" si="10"/>
        <v>0</v>
      </c>
      <c r="I90" s="42"/>
      <c r="J90" s="44"/>
      <c r="K90" s="11"/>
    </row>
    <row r="91" spans="1:11" ht="18.75" x14ac:dyDescent="0.15">
      <c r="A91" s="10" t="str">
        <f t="shared" ca="1" si="7"/>
        <v/>
      </c>
      <c r="B91" s="58"/>
      <c r="C91" s="11"/>
      <c r="D91" s="11"/>
      <c r="E91" s="11"/>
      <c r="F91" s="12">
        <f t="shared" si="8"/>
        <v>0</v>
      </c>
      <c r="G91" s="13">
        <f t="shared" si="9"/>
        <v>0</v>
      </c>
      <c r="H91" s="13">
        <f t="shared" si="10"/>
        <v>0</v>
      </c>
      <c r="I91" s="42"/>
      <c r="J91" s="44"/>
      <c r="K91" s="11"/>
    </row>
    <row r="92" spans="1:11" ht="18.75" x14ac:dyDescent="0.15">
      <c r="A92" s="10" t="str">
        <f t="shared" ca="1" si="7"/>
        <v/>
      </c>
      <c r="B92" s="58"/>
      <c r="C92" s="11"/>
      <c r="D92" s="11"/>
      <c r="E92" s="11"/>
      <c r="F92" s="12">
        <f t="shared" si="8"/>
        <v>0</v>
      </c>
      <c r="G92" s="13">
        <f t="shared" si="9"/>
        <v>0</v>
      </c>
      <c r="H92" s="13">
        <f t="shared" si="10"/>
        <v>0</v>
      </c>
      <c r="I92" s="42"/>
      <c r="J92" s="44"/>
      <c r="K92" s="11"/>
    </row>
    <row r="93" spans="1:11" ht="18.75" x14ac:dyDescent="0.15">
      <c r="A93" s="10" t="str">
        <f t="shared" ca="1" si="7"/>
        <v/>
      </c>
      <c r="B93" s="58"/>
      <c r="C93" s="11"/>
      <c r="D93" s="11"/>
      <c r="E93" s="11"/>
      <c r="F93" s="12">
        <f t="shared" si="8"/>
        <v>0</v>
      </c>
      <c r="G93" s="13">
        <f t="shared" si="9"/>
        <v>0</v>
      </c>
      <c r="H93" s="13">
        <f t="shared" si="10"/>
        <v>0</v>
      </c>
      <c r="I93" s="42"/>
      <c r="J93" s="44"/>
      <c r="K93" s="11"/>
    </row>
    <row r="94" spans="1:11" ht="18.75" x14ac:dyDescent="0.15">
      <c r="A94" s="10" t="str">
        <f t="shared" ca="1" si="7"/>
        <v/>
      </c>
      <c r="B94" s="58"/>
      <c r="C94" s="11"/>
      <c r="D94" s="11"/>
      <c r="E94" s="11"/>
      <c r="F94" s="12">
        <f t="shared" si="8"/>
        <v>0</v>
      </c>
      <c r="G94" s="13">
        <f t="shared" si="9"/>
        <v>0</v>
      </c>
      <c r="H94" s="13">
        <f t="shared" si="10"/>
        <v>0</v>
      </c>
      <c r="I94" s="42"/>
      <c r="J94" s="44"/>
      <c r="K94" s="11"/>
    </row>
    <row r="95" spans="1:11" ht="18.75" x14ac:dyDescent="0.15">
      <c r="A95" s="10" t="str">
        <f t="shared" ca="1" si="7"/>
        <v/>
      </c>
      <c r="B95" s="58"/>
      <c r="C95" s="11"/>
      <c r="D95" s="11"/>
      <c r="E95" s="11"/>
      <c r="F95" s="12">
        <f t="shared" si="8"/>
        <v>0</v>
      </c>
      <c r="G95" s="13">
        <f t="shared" si="9"/>
        <v>0</v>
      </c>
      <c r="H95" s="13">
        <f t="shared" si="10"/>
        <v>0</v>
      </c>
      <c r="I95" s="42"/>
      <c r="J95" s="44"/>
      <c r="K95" s="11"/>
    </row>
    <row r="96" spans="1:11" ht="18.75" x14ac:dyDescent="0.15">
      <c r="A96" s="10" t="str">
        <f t="shared" ca="1" si="7"/>
        <v/>
      </c>
      <c r="B96" s="58"/>
      <c r="C96" s="11"/>
      <c r="D96" s="11"/>
      <c r="E96" s="11"/>
      <c r="F96" s="12">
        <f t="shared" si="8"/>
        <v>0</v>
      </c>
      <c r="G96" s="13">
        <f t="shared" si="9"/>
        <v>0</v>
      </c>
      <c r="H96" s="13">
        <f t="shared" si="10"/>
        <v>0</v>
      </c>
      <c r="I96" s="42"/>
      <c r="J96" s="44"/>
      <c r="K96" s="11"/>
    </row>
    <row r="97" spans="1:11" ht="18.75" x14ac:dyDescent="0.15">
      <c r="A97" s="10" t="str">
        <f t="shared" ca="1" si="7"/>
        <v/>
      </c>
      <c r="B97" s="58"/>
      <c r="C97" s="11"/>
      <c r="D97" s="11"/>
      <c r="E97" s="11"/>
      <c r="F97" s="12">
        <f t="shared" si="8"/>
        <v>0</v>
      </c>
      <c r="G97" s="13">
        <f t="shared" si="9"/>
        <v>0</v>
      </c>
      <c r="H97" s="13">
        <f t="shared" si="10"/>
        <v>0</v>
      </c>
      <c r="I97" s="42"/>
      <c r="J97" s="44"/>
      <c r="K97" s="11"/>
    </row>
    <row r="98" spans="1:11" ht="18.75" x14ac:dyDescent="0.15">
      <c r="A98" s="10" t="str">
        <f t="shared" ca="1" si="7"/>
        <v/>
      </c>
      <c r="B98" s="58"/>
      <c r="C98" s="11"/>
      <c r="D98" s="11"/>
      <c r="E98" s="11"/>
      <c r="F98" s="12">
        <f t="shared" si="8"/>
        <v>0</v>
      </c>
      <c r="G98" s="13">
        <f t="shared" si="9"/>
        <v>0</v>
      </c>
      <c r="H98" s="13">
        <f t="shared" si="10"/>
        <v>0</v>
      </c>
      <c r="I98" s="42"/>
      <c r="J98" s="44"/>
      <c r="K98" s="11"/>
    </row>
    <row r="99" spans="1:11" ht="18.75" x14ac:dyDescent="0.15">
      <c r="A99" s="10" t="str">
        <f t="shared" ca="1" si="7"/>
        <v/>
      </c>
      <c r="B99" s="58"/>
      <c r="C99" s="11"/>
      <c r="D99" s="11"/>
      <c r="E99" s="11"/>
      <c r="F99" s="12">
        <f t="shared" si="8"/>
        <v>0</v>
      </c>
      <c r="G99" s="13">
        <f t="shared" si="9"/>
        <v>0</v>
      </c>
      <c r="H99" s="13">
        <f t="shared" si="10"/>
        <v>0</v>
      </c>
      <c r="I99" s="42"/>
      <c r="J99" s="44"/>
      <c r="K99" s="11"/>
    </row>
    <row r="100" spans="1:11" ht="18.75" x14ac:dyDescent="0.15">
      <c r="A100" s="10" t="str">
        <f t="shared" ca="1" si="7"/>
        <v/>
      </c>
      <c r="B100" s="58"/>
      <c r="C100" s="11"/>
      <c r="D100" s="11"/>
      <c r="E100" s="11"/>
      <c r="F100" s="12">
        <f t="shared" si="8"/>
        <v>0</v>
      </c>
      <c r="G100" s="13">
        <f t="shared" si="9"/>
        <v>0</v>
      </c>
      <c r="H100" s="13">
        <f t="shared" si="10"/>
        <v>0</v>
      </c>
      <c r="I100" s="42"/>
      <c r="J100" s="44"/>
      <c r="K100" s="11"/>
    </row>
    <row r="101" spans="1:11" ht="18.75" x14ac:dyDescent="0.15">
      <c r="A101" s="10" t="str">
        <f t="shared" ca="1" si="7"/>
        <v/>
      </c>
      <c r="B101" s="58"/>
      <c r="C101" s="11"/>
      <c r="D101" s="11"/>
      <c r="E101" s="11"/>
      <c r="F101" s="12">
        <f t="shared" si="8"/>
        <v>0</v>
      </c>
      <c r="G101" s="13">
        <f t="shared" si="9"/>
        <v>0</v>
      </c>
      <c r="H101" s="13">
        <f t="shared" si="10"/>
        <v>0</v>
      </c>
      <c r="I101" s="42"/>
      <c r="J101" s="44"/>
      <c r="K101" s="11"/>
    </row>
    <row r="102" spans="1:11" ht="18.75" x14ac:dyDescent="0.15">
      <c r="A102" s="10" t="str">
        <f t="shared" ca="1" si="7"/>
        <v/>
      </c>
      <c r="B102" s="58"/>
      <c r="C102" s="11"/>
      <c r="D102" s="11"/>
      <c r="E102" s="11"/>
      <c r="F102" s="12">
        <f t="shared" si="8"/>
        <v>0</v>
      </c>
      <c r="G102" s="13">
        <f t="shared" si="9"/>
        <v>0</v>
      </c>
      <c r="H102" s="13">
        <f t="shared" si="10"/>
        <v>0</v>
      </c>
      <c r="I102" s="42"/>
      <c r="J102" s="44"/>
      <c r="K102" s="11"/>
    </row>
    <row r="103" spans="1:11" ht="18.75" x14ac:dyDescent="0.15">
      <c r="A103" s="10" t="str">
        <f t="shared" ca="1" si="7"/>
        <v/>
      </c>
      <c r="B103" s="58"/>
      <c r="C103" s="11"/>
      <c r="D103" s="11"/>
      <c r="E103" s="11"/>
      <c r="F103" s="12">
        <f t="shared" si="8"/>
        <v>0</v>
      </c>
      <c r="G103" s="13">
        <f t="shared" si="9"/>
        <v>0</v>
      </c>
      <c r="H103" s="13">
        <f t="shared" si="10"/>
        <v>0</v>
      </c>
      <c r="I103" s="42"/>
      <c r="J103" s="44"/>
      <c r="K103" s="11"/>
    </row>
    <row r="104" spans="1:11" ht="18.75" x14ac:dyDescent="0.15">
      <c r="A104" s="10" t="str">
        <f t="shared" ca="1" si="7"/>
        <v/>
      </c>
      <c r="B104" s="58"/>
      <c r="C104" s="11"/>
      <c r="D104" s="11"/>
      <c r="E104" s="11"/>
      <c r="F104" s="12">
        <f t="shared" si="8"/>
        <v>0</v>
      </c>
      <c r="G104" s="13">
        <f t="shared" si="9"/>
        <v>0</v>
      </c>
      <c r="H104" s="13">
        <f t="shared" si="10"/>
        <v>0</v>
      </c>
      <c r="I104" s="42"/>
      <c r="J104" s="44"/>
      <c r="K104" s="11"/>
    </row>
    <row r="105" spans="1:11" ht="18.75" x14ac:dyDescent="0.15">
      <c r="A105" s="10" t="str">
        <f t="shared" ca="1" si="7"/>
        <v/>
      </c>
      <c r="B105" s="58"/>
      <c r="C105" s="11"/>
      <c r="D105" s="11"/>
      <c r="E105" s="11"/>
      <c r="F105" s="12">
        <f t="shared" si="8"/>
        <v>0</v>
      </c>
      <c r="G105" s="13">
        <f t="shared" si="9"/>
        <v>0</v>
      </c>
      <c r="H105" s="13">
        <f t="shared" si="10"/>
        <v>0</v>
      </c>
      <c r="I105" s="42"/>
      <c r="J105" s="44"/>
      <c r="K105" s="11"/>
    </row>
    <row r="106" spans="1:11" ht="18.75" x14ac:dyDescent="0.15">
      <c r="A106" s="10" t="str">
        <f t="shared" ca="1" si="7"/>
        <v/>
      </c>
      <c r="B106" s="58"/>
      <c r="C106" s="11"/>
      <c r="D106" s="11"/>
      <c r="E106" s="11"/>
      <c r="F106" s="12">
        <f t="shared" si="8"/>
        <v>0</v>
      </c>
      <c r="G106" s="13">
        <f t="shared" si="9"/>
        <v>0</v>
      </c>
      <c r="H106" s="13">
        <f t="shared" si="10"/>
        <v>0</v>
      </c>
      <c r="I106" s="42"/>
      <c r="J106" s="44"/>
      <c r="K106" s="11"/>
    </row>
    <row r="107" spans="1:11" ht="18.75" x14ac:dyDescent="0.15">
      <c r="A107" s="10" t="str">
        <f t="shared" ca="1" si="7"/>
        <v/>
      </c>
      <c r="B107" s="58"/>
      <c r="C107" s="11"/>
      <c r="D107" s="11"/>
      <c r="E107" s="11"/>
      <c r="F107" s="12">
        <f t="shared" si="8"/>
        <v>0</v>
      </c>
      <c r="G107" s="13">
        <f t="shared" si="9"/>
        <v>0</v>
      </c>
      <c r="H107" s="13">
        <f t="shared" si="10"/>
        <v>0</v>
      </c>
      <c r="I107" s="42"/>
      <c r="J107" s="44"/>
      <c r="K107" s="11"/>
    </row>
    <row r="108" spans="1:11" ht="18.75" x14ac:dyDescent="0.15">
      <c r="A108" s="10" t="str">
        <f t="shared" ca="1" si="7"/>
        <v/>
      </c>
      <c r="B108" s="58"/>
      <c r="C108" s="11"/>
      <c r="D108" s="11"/>
      <c r="E108" s="11"/>
      <c r="F108" s="12">
        <f t="shared" si="8"/>
        <v>0</v>
      </c>
      <c r="G108" s="13">
        <f t="shared" si="9"/>
        <v>0</v>
      </c>
      <c r="H108" s="13">
        <f t="shared" si="10"/>
        <v>0</v>
      </c>
      <c r="I108" s="42"/>
      <c r="J108" s="44"/>
      <c r="K108" s="11"/>
    </row>
    <row r="109" spans="1:11" ht="18.75" x14ac:dyDescent="0.15">
      <c r="A109" s="10" t="str">
        <f t="shared" ca="1" si="7"/>
        <v/>
      </c>
      <c r="B109" s="58"/>
      <c r="C109" s="11"/>
      <c r="D109" s="11"/>
      <c r="E109" s="11"/>
      <c r="F109" s="12">
        <f t="shared" si="8"/>
        <v>0</v>
      </c>
      <c r="G109" s="13">
        <f t="shared" si="9"/>
        <v>0</v>
      </c>
      <c r="H109" s="13">
        <f t="shared" si="10"/>
        <v>0</v>
      </c>
      <c r="I109" s="42"/>
      <c r="J109" s="44"/>
      <c r="K109" s="11"/>
    </row>
    <row r="110" spans="1:11" ht="18.75" x14ac:dyDescent="0.15">
      <c r="A110" s="10" t="str">
        <f t="shared" ca="1" si="7"/>
        <v/>
      </c>
      <c r="B110" s="58"/>
      <c r="C110" s="11"/>
      <c r="D110" s="11"/>
      <c r="E110" s="11"/>
      <c r="F110" s="12">
        <f t="shared" si="8"/>
        <v>0</v>
      </c>
      <c r="G110" s="13">
        <f t="shared" si="9"/>
        <v>0</v>
      </c>
      <c r="H110" s="13">
        <f t="shared" si="10"/>
        <v>0</v>
      </c>
      <c r="I110" s="42"/>
      <c r="J110" s="44"/>
      <c r="K110" s="11"/>
    </row>
    <row r="111" spans="1:11" ht="18.75" x14ac:dyDescent="0.15">
      <c r="A111" s="10" t="str">
        <f t="shared" ca="1" si="7"/>
        <v/>
      </c>
      <c r="B111" s="58"/>
      <c r="C111" s="11"/>
      <c r="D111" s="11"/>
      <c r="E111" s="11"/>
      <c r="F111" s="12">
        <f t="shared" si="8"/>
        <v>0</v>
      </c>
      <c r="G111" s="13">
        <f t="shared" si="9"/>
        <v>0</v>
      </c>
      <c r="H111" s="13">
        <f t="shared" si="10"/>
        <v>0</v>
      </c>
      <c r="I111" s="42"/>
      <c r="J111" s="44"/>
      <c r="K111" s="11"/>
    </row>
    <row r="112" spans="1:11" ht="18.75" x14ac:dyDescent="0.15">
      <c r="A112" s="10" t="str">
        <f t="shared" ca="1" si="7"/>
        <v/>
      </c>
      <c r="B112" s="58"/>
      <c r="C112" s="11"/>
      <c r="D112" s="11"/>
      <c r="E112" s="11"/>
      <c r="F112" s="12">
        <f t="shared" si="8"/>
        <v>0</v>
      </c>
      <c r="G112" s="13">
        <f t="shared" si="9"/>
        <v>0</v>
      </c>
      <c r="H112" s="13">
        <f t="shared" si="10"/>
        <v>0</v>
      </c>
      <c r="I112" s="42"/>
      <c r="J112" s="44"/>
      <c r="K112" s="11"/>
    </row>
    <row r="113" spans="1:11" ht="18.75" x14ac:dyDescent="0.15">
      <c r="A113" s="10" t="str">
        <f t="shared" ca="1" si="7"/>
        <v/>
      </c>
      <c r="B113" s="58"/>
      <c r="C113" s="11"/>
      <c r="D113" s="11"/>
      <c r="E113" s="11"/>
      <c r="F113" s="12">
        <f t="shared" si="8"/>
        <v>0</v>
      </c>
      <c r="G113" s="13">
        <f t="shared" si="9"/>
        <v>0</v>
      </c>
      <c r="H113" s="13">
        <f t="shared" si="10"/>
        <v>0</v>
      </c>
      <c r="I113" s="42"/>
      <c r="J113" s="44"/>
      <c r="K113" s="11"/>
    </row>
    <row r="114" spans="1:11" ht="18.75" x14ac:dyDescent="0.15">
      <c r="A114" s="10" t="str">
        <f t="shared" ca="1" si="7"/>
        <v/>
      </c>
      <c r="B114" s="58"/>
      <c r="C114" s="11"/>
      <c r="D114" s="11"/>
      <c r="E114" s="11"/>
      <c r="F114" s="12">
        <f t="shared" si="8"/>
        <v>0</v>
      </c>
      <c r="G114" s="13">
        <f t="shared" si="9"/>
        <v>0</v>
      </c>
      <c r="H114" s="13">
        <f t="shared" si="10"/>
        <v>0</v>
      </c>
      <c r="I114" s="42"/>
      <c r="J114" s="44"/>
      <c r="K114" s="11"/>
    </row>
    <row r="115" spans="1:11" ht="18.75" x14ac:dyDescent="0.15">
      <c r="A115" s="10" t="str">
        <f t="shared" ca="1" si="7"/>
        <v/>
      </c>
      <c r="B115" s="58"/>
      <c r="C115" s="11"/>
      <c r="D115" s="11"/>
      <c r="E115" s="11"/>
      <c r="F115" s="12">
        <f t="shared" si="8"/>
        <v>0</v>
      </c>
      <c r="G115" s="13">
        <f t="shared" si="9"/>
        <v>0</v>
      </c>
      <c r="H115" s="13">
        <f t="shared" si="10"/>
        <v>0</v>
      </c>
      <c r="I115" s="42"/>
      <c r="J115" s="44"/>
      <c r="K115" s="11"/>
    </row>
    <row r="116" spans="1:11" ht="18.75" x14ac:dyDescent="0.15">
      <c r="A116" s="10" t="str">
        <f t="shared" ca="1" si="7"/>
        <v/>
      </c>
      <c r="B116" s="58"/>
      <c r="C116" s="11"/>
      <c r="D116" s="11"/>
      <c r="E116" s="11"/>
      <c r="F116" s="12">
        <f t="shared" si="8"/>
        <v>0</v>
      </c>
      <c r="G116" s="13">
        <f t="shared" si="9"/>
        <v>0</v>
      </c>
      <c r="H116" s="13">
        <f t="shared" si="10"/>
        <v>0</v>
      </c>
      <c r="I116" s="42"/>
      <c r="J116" s="44"/>
      <c r="K116" s="11"/>
    </row>
    <row r="117" spans="1:11" ht="18.75" x14ac:dyDescent="0.15">
      <c r="A117" s="10" t="str">
        <f t="shared" ca="1" si="7"/>
        <v/>
      </c>
      <c r="B117" s="58"/>
      <c r="C117" s="11"/>
      <c r="D117" s="11"/>
      <c r="E117" s="11"/>
      <c r="F117" s="12">
        <f t="shared" si="8"/>
        <v>0</v>
      </c>
      <c r="G117" s="13">
        <f t="shared" si="9"/>
        <v>0</v>
      </c>
      <c r="H117" s="13">
        <f t="shared" si="10"/>
        <v>0</v>
      </c>
      <c r="I117" s="42"/>
      <c r="J117" s="44"/>
      <c r="K117" s="11"/>
    </row>
    <row r="118" spans="1:11" ht="18.75" x14ac:dyDescent="0.15">
      <c r="A118" s="10" t="str">
        <f t="shared" ca="1" si="7"/>
        <v/>
      </c>
      <c r="B118" s="58"/>
      <c r="C118" s="11"/>
      <c r="D118" s="11"/>
      <c r="E118" s="11"/>
      <c r="F118" s="12">
        <f t="shared" si="8"/>
        <v>0</v>
      </c>
      <c r="G118" s="13">
        <f t="shared" si="9"/>
        <v>0</v>
      </c>
      <c r="H118" s="13">
        <f t="shared" si="10"/>
        <v>0</v>
      </c>
      <c r="I118" s="42"/>
      <c r="J118" s="44"/>
      <c r="K118" s="11"/>
    </row>
    <row r="119" spans="1:11" ht="18.75" x14ac:dyDescent="0.15">
      <c r="A119" s="10" t="str">
        <f t="shared" ca="1" si="7"/>
        <v/>
      </c>
      <c r="B119" s="58"/>
      <c r="C119" s="11"/>
      <c r="D119" s="11"/>
      <c r="E119" s="11"/>
      <c r="F119" s="12">
        <f t="shared" si="8"/>
        <v>0</v>
      </c>
      <c r="G119" s="13">
        <f t="shared" si="9"/>
        <v>0</v>
      </c>
      <c r="H119" s="13">
        <f t="shared" si="10"/>
        <v>0</v>
      </c>
      <c r="I119" s="42"/>
      <c r="J119" s="44"/>
      <c r="K119" s="11"/>
    </row>
    <row r="120" spans="1:11" ht="18.75" x14ac:dyDescent="0.15">
      <c r="A120" s="10" t="str">
        <f t="shared" ca="1" si="7"/>
        <v/>
      </c>
      <c r="B120" s="58"/>
      <c r="C120" s="11"/>
      <c r="D120" s="11"/>
      <c r="E120" s="11"/>
      <c r="F120" s="12">
        <f t="shared" si="8"/>
        <v>0</v>
      </c>
      <c r="G120" s="13">
        <f t="shared" si="9"/>
        <v>0</v>
      </c>
      <c r="H120" s="13">
        <f t="shared" si="10"/>
        <v>0</v>
      </c>
      <c r="I120" s="42"/>
      <c r="J120" s="44"/>
      <c r="K120" s="11"/>
    </row>
    <row r="121" spans="1:11" ht="18.75" x14ac:dyDescent="0.15">
      <c r="A121" s="10" t="str">
        <f t="shared" ca="1" si="7"/>
        <v/>
      </c>
      <c r="B121" s="58"/>
      <c r="C121" s="11"/>
      <c r="D121" s="11"/>
      <c r="E121" s="11"/>
      <c r="F121" s="12">
        <f t="shared" si="8"/>
        <v>0</v>
      </c>
      <c r="G121" s="13">
        <f t="shared" si="9"/>
        <v>0</v>
      </c>
      <c r="H121" s="13">
        <f t="shared" si="10"/>
        <v>0</v>
      </c>
      <c r="I121" s="42"/>
      <c r="J121" s="44"/>
      <c r="K121" s="11"/>
    </row>
    <row r="122" spans="1:11" ht="18.75" x14ac:dyDescent="0.15">
      <c r="A122" s="10" t="str">
        <f t="shared" ca="1" si="7"/>
        <v/>
      </c>
      <c r="B122" s="58"/>
      <c r="C122" s="11"/>
      <c r="D122" s="11"/>
      <c r="E122" s="11"/>
      <c r="F122" s="12">
        <f t="shared" si="8"/>
        <v>0</v>
      </c>
      <c r="G122" s="13">
        <f t="shared" si="9"/>
        <v>0</v>
      </c>
      <c r="H122" s="13">
        <f t="shared" si="10"/>
        <v>0</v>
      </c>
      <c r="I122" s="42"/>
      <c r="J122" s="44"/>
      <c r="K122" s="11"/>
    </row>
    <row r="123" spans="1:11" ht="18.75" x14ac:dyDescent="0.15">
      <c r="A123" s="10" t="str">
        <f t="shared" ca="1" si="7"/>
        <v/>
      </c>
      <c r="B123" s="58"/>
      <c r="C123" s="11"/>
      <c r="D123" s="11"/>
      <c r="E123" s="11"/>
      <c r="F123" s="12">
        <f t="shared" si="8"/>
        <v>0</v>
      </c>
      <c r="G123" s="13">
        <f t="shared" si="9"/>
        <v>0</v>
      </c>
      <c r="H123" s="13">
        <f t="shared" si="10"/>
        <v>0</v>
      </c>
      <c r="I123" s="42"/>
      <c r="J123" s="44"/>
      <c r="K123" s="11"/>
    </row>
    <row r="124" spans="1:11" ht="18.75" x14ac:dyDescent="0.15">
      <c r="A124" s="10" t="str">
        <f t="shared" ca="1" si="7"/>
        <v/>
      </c>
      <c r="B124" s="58"/>
      <c r="C124" s="11"/>
      <c r="D124" s="11"/>
      <c r="E124" s="11"/>
      <c r="F124" s="12">
        <f t="shared" si="8"/>
        <v>0</v>
      </c>
      <c r="G124" s="13">
        <f t="shared" si="9"/>
        <v>0</v>
      </c>
      <c r="H124" s="13">
        <f t="shared" si="10"/>
        <v>0</v>
      </c>
      <c r="I124" s="42"/>
      <c r="J124" s="44"/>
      <c r="K124" s="11"/>
    </row>
    <row r="125" spans="1:11" ht="18.75" x14ac:dyDescent="0.15">
      <c r="A125" s="10" t="str">
        <f t="shared" ca="1" si="7"/>
        <v/>
      </c>
      <c r="B125" s="58"/>
      <c r="C125" s="11"/>
      <c r="D125" s="11"/>
      <c r="E125" s="11"/>
      <c r="F125" s="12">
        <f t="shared" si="8"/>
        <v>0</v>
      </c>
      <c r="G125" s="13">
        <f t="shared" si="9"/>
        <v>0</v>
      </c>
      <c r="H125" s="13">
        <f t="shared" si="10"/>
        <v>0</v>
      </c>
      <c r="I125" s="42"/>
      <c r="J125" s="44"/>
      <c r="K125" s="11"/>
    </row>
    <row r="126" spans="1:11" ht="18.75" x14ac:dyDescent="0.15">
      <c r="A126" s="10" t="str">
        <f t="shared" ca="1" si="7"/>
        <v/>
      </c>
      <c r="B126" s="58"/>
      <c r="C126" s="11"/>
      <c r="D126" s="11"/>
      <c r="E126" s="11"/>
      <c r="F126" s="12">
        <f t="shared" si="8"/>
        <v>0</v>
      </c>
      <c r="G126" s="13">
        <f t="shared" si="9"/>
        <v>0</v>
      </c>
      <c r="H126" s="13">
        <f t="shared" si="10"/>
        <v>0</v>
      </c>
      <c r="I126" s="42"/>
      <c r="J126" s="44"/>
      <c r="K126" s="11"/>
    </row>
    <row r="127" spans="1:11" ht="18.75" x14ac:dyDescent="0.15">
      <c r="A127" s="10" t="str">
        <f t="shared" ca="1" si="7"/>
        <v/>
      </c>
      <c r="B127" s="58"/>
      <c r="C127" s="11"/>
      <c r="D127" s="11"/>
      <c r="E127" s="11"/>
      <c r="F127" s="12">
        <f t="shared" si="8"/>
        <v>0</v>
      </c>
      <c r="G127" s="13">
        <f t="shared" si="9"/>
        <v>0</v>
      </c>
      <c r="H127" s="13">
        <f t="shared" si="10"/>
        <v>0</v>
      </c>
      <c r="I127" s="42"/>
      <c r="J127" s="44"/>
      <c r="K127" s="11"/>
    </row>
    <row r="128" spans="1:11" ht="18.75" x14ac:dyDescent="0.15">
      <c r="A128" s="10" t="str">
        <f t="shared" ca="1" si="7"/>
        <v/>
      </c>
      <c r="B128" s="58"/>
      <c r="C128" s="11"/>
      <c r="D128" s="11"/>
      <c r="E128" s="11"/>
      <c r="F128" s="12">
        <f t="shared" si="8"/>
        <v>0</v>
      </c>
      <c r="G128" s="13">
        <f t="shared" si="9"/>
        <v>0</v>
      </c>
      <c r="H128" s="13">
        <f t="shared" si="10"/>
        <v>0</v>
      </c>
      <c r="I128" s="42"/>
      <c r="J128" s="44"/>
      <c r="K128" s="11"/>
    </row>
    <row r="129" spans="1:11" ht="18.75" x14ac:dyDescent="0.15">
      <c r="A129" s="10" t="str">
        <f t="shared" ca="1" si="7"/>
        <v/>
      </c>
      <c r="B129" s="58"/>
      <c r="C129" s="11"/>
      <c r="D129" s="11"/>
      <c r="E129" s="11"/>
      <c r="F129" s="12">
        <f t="shared" si="8"/>
        <v>0</v>
      </c>
      <c r="G129" s="13">
        <f t="shared" si="9"/>
        <v>0</v>
      </c>
      <c r="H129" s="13">
        <f t="shared" si="10"/>
        <v>0</v>
      </c>
      <c r="I129" s="42"/>
      <c r="J129" s="44"/>
      <c r="K129" s="11"/>
    </row>
    <row r="130" spans="1:11" ht="18.75" x14ac:dyDescent="0.15">
      <c r="A130" s="10" t="str">
        <f t="shared" ca="1" si="7"/>
        <v/>
      </c>
      <c r="B130" s="58"/>
      <c r="C130" s="11"/>
      <c r="D130" s="11"/>
      <c r="E130" s="11"/>
      <c r="F130" s="12">
        <f t="shared" si="8"/>
        <v>0</v>
      </c>
      <c r="G130" s="13">
        <f t="shared" si="9"/>
        <v>0</v>
      </c>
      <c r="H130" s="13">
        <f t="shared" si="10"/>
        <v>0</v>
      </c>
      <c r="I130" s="42"/>
      <c r="J130" s="44"/>
      <c r="K130" s="11"/>
    </row>
    <row r="131" spans="1:11" ht="18.75" x14ac:dyDescent="0.15">
      <c r="A131" s="10" t="str">
        <f t="shared" ref="A131:A160" ca="1" si="11">IF(B131="","",IF(A131="",NOW(),A131))</f>
        <v/>
      </c>
      <c r="B131" s="58"/>
      <c r="C131" s="11"/>
      <c r="D131" s="11"/>
      <c r="E131" s="11"/>
      <c r="F131" s="12">
        <f t="shared" ref="F131:F160" si="12">(IF(E131-C131&lt;0,"24:00"-C131+E131,E131-C131))*24</f>
        <v>0</v>
      </c>
      <c r="G131" s="13">
        <f t="shared" ref="G131:G160" si="13">F131-H131</f>
        <v>0</v>
      </c>
      <c r="H131" s="13">
        <f t="shared" ref="H131:H160" si="14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1"/>
        <v/>
      </c>
      <c r="B132" s="58"/>
      <c r="C132" s="11"/>
      <c r="D132" s="11"/>
      <c r="E132" s="11"/>
      <c r="F132" s="12">
        <f t="shared" si="12"/>
        <v>0</v>
      </c>
      <c r="G132" s="13">
        <f t="shared" si="13"/>
        <v>0</v>
      </c>
      <c r="H132" s="13">
        <f t="shared" si="14"/>
        <v>0</v>
      </c>
      <c r="I132" s="42"/>
      <c r="J132" s="44"/>
      <c r="K132" s="11"/>
    </row>
    <row r="133" spans="1:11" ht="18.75" x14ac:dyDescent="0.15">
      <c r="A133" s="10" t="str">
        <f t="shared" ca="1" si="11"/>
        <v/>
      </c>
      <c r="B133" s="58"/>
      <c r="C133" s="11"/>
      <c r="D133" s="11"/>
      <c r="E133" s="11"/>
      <c r="F133" s="12">
        <f t="shared" si="12"/>
        <v>0</v>
      </c>
      <c r="G133" s="13">
        <f t="shared" si="13"/>
        <v>0</v>
      </c>
      <c r="H133" s="13">
        <f t="shared" si="14"/>
        <v>0</v>
      </c>
      <c r="I133" s="42"/>
      <c r="J133" s="44"/>
      <c r="K133" s="11"/>
    </row>
    <row r="134" spans="1:11" ht="18.75" x14ac:dyDescent="0.15">
      <c r="A134" s="10" t="str">
        <f t="shared" ca="1" si="11"/>
        <v/>
      </c>
      <c r="B134" s="58"/>
      <c r="C134" s="11"/>
      <c r="D134" s="11"/>
      <c r="E134" s="11"/>
      <c r="F134" s="12">
        <f t="shared" si="12"/>
        <v>0</v>
      </c>
      <c r="G134" s="13">
        <f t="shared" si="13"/>
        <v>0</v>
      </c>
      <c r="H134" s="13">
        <f t="shared" si="14"/>
        <v>0</v>
      </c>
      <c r="I134" s="42"/>
      <c r="J134" s="44"/>
      <c r="K134" s="11"/>
    </row>
    <row r="135" spans="1:11" ht="18.75" x14ac:dyDescent="0.15">
      <c r="A135" s="10" t="str">
        <f t="shared" ca="1" si="11"/>
        <v/>
      </c>
      <c r="B135" s="58"/>
      <c r="C135" s="11"/>
      <c r="D135" s="11"/>
      <c r="E135" s="11"/>
      <c r="F135" s="12">
        <f t="shared" si="12"/>
        <v>0</v>
      </c>
      <c r="G135" s="13">
        <f t="shared" si="13"/>
        <v>0</v>
      </c>
      <c r="H135" s="13">
        <f t="shared" si="14"/>
        <v>0</v>
      </c>
      <c r="I135" s="42"/>
      <c r="J135" s="44"/>
      <c r="K135" s="11"/>
    </row>
    <row r="136" spans="1:11" ht="18.75" x14ac:dyDescent="0.15">
      <c r="A136" s="10" t="str">
        <f t="shared" ca="1" si="11"/>
        <v/>
      </c>
      <c r="B136" s="58"/>
      <c r="C136" s="11"/>
      <c r="D136" s="11"/>
      <c r="E136" s="11"/>
      <c r="F136" s="12">
        <f t="shared" si="12"/>
        <v>0</v>
      </c>
      <c r="G136" s="13">
        <f t="shared" si="13"/>
        <v>0</v>
      </c>
      <c r="H136" s="13">
        <f t="shared" si="14"/>
        <v>0</v>
      </c>
      <c r="I136" s="42"/>
      <c r="J136" s="44"/>
      <c r="K136" s="11"/>
    </row>
    <row r="137" spans="1:11" ht="18.75" x14ac:dyDescent="0.15">
      <c r="A137" s="10" t="str">
        <f t="shared" ca="1" si="11"/>
        <v/>
      </c>
      <c r="B137" s="58"/>
      <c r="C137" s="11"/>
      <c r="D137" s="11"/>
      <c r="E137" s="11"/>
      <c r="F137" s="12">
        <f t="shared" si="12"/>
        <v>0</v>
      </c>
      <c r="G137" s="13">
        <f t="shared" si="13"/>
        <v>0</v>
      </c>
      <c r="H137" s="13">
        <f t="shared" si="14"/>
        <v>0</v>
      </c>
      <c r="I137" s="42"/>
      <c r="J137" s="44"/>
      <c r="K137" s="11"/>
    </row>
    <row r="138" spans="1:11" ht="18.75" x14ac:dyDescent="0.15">
      <c r="A138" s="10" t="str">
        <f t="shared" ca="1" si="11"/>
        <v/>
      </c>
      <c r="B138" s="58"/>
      <c r="C138" s="11"/>
      <c r="D138" s="11"/>
      <c r="E138" s="11"/>
      <c r="F138" s="12">
        <f t="shared" si="12"/>
        <v>0</v>
      </c>
      <c r="G138" s="13">
        <f t="shared" si="13"/>
        <v>0</v>
      </c>
      <c r="H138" s="13">
        <f t="shared" si="14"/>
        <v>0</v>
      </c>
      <c r="I138" s="42"/>
      <c r="J138" s="44"/>
      <c r="K138" s="11"/>
    </row>
    <row r="139" spans="1:11" ht="18.75" x14ac:dyDescent="0.15">
      <c r="A139" s="10" t="str">
        <f t="shared" ca="1" si="11"/>
        <v/>
      </c>
      <c r="B139" s="58"/>
      <c r="C139" s="11"/>
      <c r="D139" s="11"/>
      <c r="E139" s="11"/>
      <c r="F139" s="12">
        <f t="shared" si="12"/>
        <v>0</v>
      </c>
      <c r="G139" s="13">
        <f t="shared" si="13"/>
        <v>0</v>
      </c>
      <c r="H139" s="13">
        <f t="shared" si="14"/>
        <v>0</v>
      </c>
      <c r="I139" s="42"/>
      <c r="J139" s="44"/>
      <c r="K139" s="11"/>
    </row>
    <row r="140" spans="1:11" ht="18.75" x14ac:dyDescent="0.15">
      <c r="A140" s="10" t="str">
        <f t="shared" ca="1" si="11"/>
        <v/>
      </c>
      <c r="B140" s="58"/>
      <c r="C140" s="11"/>
      <c r="D140" s="11"/>
      <c r="E140" s="11"/>
      <c r="F140" s="12">
        <f t="shared" si="12"/>
        <v>0</v>
      </c>
      <c r="G140" s="13">
        <f t="shared" si="13"/>
        <v>0</v>
      </c>
      <c r="H140" s="13">
        <f t="shared" si="14"/>
        <v>0</v>
      </c>
      <c r="I140" s="42"/>
      <c r="J140" s="44"/>
      <c r="K140" s="11"/>
    </row>
    <row r="141" spans="1:11" ht="18.75" x14ac:dyDescent="0.15">
      <c r="A141" s="10" t="str">
        <f t="shared" ca="1" si="11"/>
        <v/>
      </c>
      <c r="B141" s="58"/>
      <c r="C141" s="11"/>
      <c r="D141" s="11"/>
      <c r="E141" s="11"/>
      <c r="F141" s="12">
        <f t="shared" si="12"/>
        <v>0</v>
      </c>
      <c r="G141" s="13">
        <f t="shared" si="13"/>
        <v>0</v>
      </c>
      <c r="H141" s="13">
        <f t="shared" si="14"/>
        <v>0</v>
      </c>
      <c r="I141" s="42"/>
      <c r="J141" s="44"/>
      <c r="K141" s="11"/>
    </row>
    <row r="142" spans="1:11" ht="18.75" x14ac:dyDescent="0.15">
      <c r="A142" s="10" t="str">
        <f t="shared" ca="1" si="11"/>
        <v/>
      </c>
      <c r="B142" s="58"/>
      <c r="C142" s="11"/>
      <c r="D142" s="11"/>
      <c r="E142" s="11"/>
      <c r="F142" s="12">
        <f t="shared" si="12"/>
        <v>0</v>
      </c>
      <c r="G142" s="13">
        <f t="shared" si="13"/>
        <v>0</v>
      </c>
      <c r="H142" s="13">
        <f t="shared" si="14"/>
        <v>0</v>
      </c>
      <c r="I142" s="42"/>
      <c r="J142" s="44"/>
      <c r="K142" s="11"/>
    </row>
    <row r="143" spans="1:11" ht="18.75" x14ac:dyDescent="0.15">
      <c r="A143" s="10" t="str">
        <f t="shared" ca="1" si="11"/>
        <v/>
      </c>
      <c r="B143" s="58"/>
      <c r="C143" s="11"/>
      <c r="D143" s="11"/>
      <c r="E143" s="11"/>
      <c r="F143" s="12">
        <f t="shared" si="12"/>
        <v>0</v>
      </c>
      <c r="G143" s="13">
        <f t="shared" si="13"/>
        <v>0</v>
      </c>
      <c r="H143" s="13">
        <f t="shared" si="14"/>
        <v>0</v>
      </c>
      <c r="I143" s="42"/>
      <c r="J143" s="44"/>
      <c r="K143" s="11"/>
    </row>
    <row r="144" spans="1:11" ht="18.75" x14ac:dyDescent="0.15">
      <c r="A144" s="10" t="str">
        <f t="shared" ca="1" si="11"/>
        <v/>
      </c>
      <c r="B144" s="58"/>
      <c r="C144" s="11"/>
      <c r="D144" s="11"/>
      <c r="E144" s="11"/>
      <c r="F144" s="12">
        <f t="shared" si="12"/>
        <v>0</v>
      </c>
      <c r="G144" s="13">
        <f t="shared" si="13"/>
        <v>0</v>
      </c>
      <c r="H144" s="13">
        <f t="shared" si="14"/>
        <v>0</v>
      </c>
      <c r="I144" s="42"/>
      <c r="J144" s="44"/>
      <c r="K144" s="11"/>
    </row>
    <row r="145" spans="1:11" ht="18.75" x14ac:dyDescent="0.15">
      <c r="A145" s="10" t="str">
        <f t="shared" ca="1" si="11"/>
        <v/>
      </c>
      <c r="B145" s="58"/>
      <c r="C145" s="11"/>
      <c r="D145" s="11"/>
      <c r="E145" s="11"/>
      <c r="F145" s="12">
        <f t="shared" si="12"/>
        <v>0</v>
      </c>
      <c r="G145" s="13">
        <f t="shared" si="13"/>
        <v>0</v>
      </c>
      <c r="H145" s="13">
        <f t="shared" si="14"/>
        <v>0</v>
      </c>
      <c r="I145" s="42"/>
      <c r="J145" s="44"/>
      <c r="K145" s="11"/>
    </row>
    <row r="146" spans="1:11" ht="18.75" x14ac:dyDescent="0.15">
      <c r="A146" s="10" t="str">
        <f t="shared" ca="1" si="11"/>
        <v/>
      </c>
      <c r="B146" s="58"/>
      <c r="C146" s="11"/>
      <c r="D146" s="11"/>
      <c r="E146" s="11"/>
      <c r="F146" s="12">
        <f t="shared" si="12"/>
        <v>0</v>
      </c>
      <c r="G146" s="13">
        <f t="shared" si="13"/>
        <v>0</v>
      </c>
      <c r="H146" s="13">
        <f t="shared" si="14"/>
        <v>0</v>
      </c>
      <c r="I146" s="42"/>
      <c r="J146" s="44"/>
      <c r="K146" s="11"/>
    </row>
    <row r="147" spans="1:11" ht="18.75" x14ac:dyDescent="0.15">
      <c r="A147" s="10" t="str">
        <f t="shared" ca="1" si="11"/>
        <v/>
      </c>
      <c r="B147" s="58"/>
      <c r="C147" s="11"/>
      <c r="D147" s="11"/>
      <c r="E147" s="11"/>
      <c r="F147" s="12">
        <f t="shared" si="12"/>
        <v>0</v>
      </c>
      <c r="G147" s="13">
        <f t="shared" si="13"/>
        <v>0</v>
      </c>
      <c r="H147" s="13">
        <f t="shared" si="14"/>
        <v>0</v>
      </c>
      <c r="I147" s="42"/>
      <c r="J147" s="44"/>
      <c r="K147" s="11"/>
    </row>
    <row r="148" spans="1:11" ht="18.75" x14ac:dyDescent="0.15">
      <c r="A148" s="10" t="str">
        <f t="shared" ca="1" si="11"/>
        <v/>
      </c>
      <c r="B148" s="58"/>
      <c r="C148" s="11"/>
      <c r="D148" s="11"/>
      <c r="E148" s="11"/>
      <c r="F148" s="12">
        <f t="shared" si="12"/>
        <v>0</v>
      </c>
      <c r="G148" s="13">
        <f t="shared" si="13"/>
        <v>0</v>
      </c>
      <c r="H148" s="13">
        <f t="shared" si="14"/>
        <v>0</v>
      </c>
      <c r="I148" s="42"/>
      <c r="J148" s="44"/>
      <c r="K148" s="11"/>
    </row>
    <row r="149" spans="1:11" ht="18.75" x14ac:dyDescent="0.15">
      <c r="A149" s="10" t="str">
        <f t="shared" ca="1" si="11"/>
        <v/>
      </c>
      <c r="B149" s="58"/>
      <c r="C149" s="11"/>
      <c r="D149" s="11"/>
      <c r="E149" s="11"/>
      <c r="F149" s="12">
        <f t="shared" si="12"/>
        <v>0</v>
      </c>
      <c r="G149" s="13">
        <f t="shared" si="13"/>
        <v>0</v>
      </c>
      <c r="H149" s="13">
        <f t="shared" si="14"/>
        <v>0</v>
      </c>
      <c r="I149" s="42"/>
      <c r="J149" s="44"/>
      <c r="K149" s="11"/>
    </row>
    <row r="150" spans="1:11" ht="18.75" x14ac:dyDescent="0.15">
      <c r="A150" s="10" t="str">
        <f t="shared" ca="1" si="11"/>
        <v/>
      </c>
      <c r="B150" s="58"/>
      <c r="C150" s="11"/>
      <c r="D150" s="11"/>
      <c r="E150" s="11"/>
      <c r="F150" s="12">
        <f t="shared" si="12"/>
        <v>0</v>
      </c>
      <c r="G150" s="13">
        <f t="shared" si="13"/>
        <v>0</v>
      </c>
      <c r="H150" s="13">
        <f t="shared" si="14"/>
        <v>0</v>
      </c>
      <c r="I150" s="42"/>
      <c r="J150" s="44"/>
      <c r="K150" s="11"/>
    </row>
    <row r="151" spans="1:11" ht="18.75" x14ac:dyDescent="0.15">
      <c r="A151" s="10" t="str">
        <f t="shared" ca="1" si="11"/>
        <v/>
      </c>
      <c r="B151" s="58"/>
      <c r="C151" s="11"/>
      <c r="D151" s="11"/>
      <c r="E151" s="11"/>
      <c r="F151" s="12">
        <f t="shared" si="12"/>
        <v>0</v>
      </c>
      <c r="G151" s="13">
        <f t="shared" si="13"/>
        <v>0</v>
      </c>
      <c r="H151" s="13">
        <f t="shared" si="14"/>
        <v>0</v>
      </c>
      <c r="I151" s="42"/>
      <c r="J151" s="44"/>
      <c r="K151" s="11"/>
    </row>
    <row r="152" spans="1:11" ht="18.75" x14ac:dyDescent="0.15">
      <c r="A152" s="10" t="str">
        <f t="shared" ca="1" si="11"/>
        <v/>
      </c>
      <c r="B152" s="58"/>
      <c r="C152" s="11"/>
      <c r="D152" s="11"/>
      <c r="E152" s="11"/>
      <c r="F152" s="12">
        <f t="shared" si="12"/>
        <v>0</v>
      </c>
      <c r="G152" s="13">
        <f t="shared" si="13"/>
        <v>0</v>
      </c>
      <c r="H152" s="13">
        <f t="shared" si="14"/>
        <v>0</v>
      </c>
      <c r="I152" s="42"/>
      <c r="J152" s="44"/>
      <c r="K152" s="11"/>
    </row>
    <row r="153" spans="1:11" ht="18.75" x14ac:dyDescent="0.15">
      <c r="A153" s="10" t="str">
        <f t="shared" ca="1" si="11"/>
        <v/>
      </c>
      <c r="B153" s="58"/>
      <c r="C153" s="11"/>
      <c r="D153" s="11"/>
      <c r="E153" s="11"/>
      <c r="F153" s="12">
        <f t="shared" si="12"/>
        <v>0</v>
      </c>
      <c r="G153" s="13">
        <f t="shared" si="13"/>
        <v>0</v>
      </c>
      <c r="H153" s="13">
        <f t="shared" si="14"/>
        <v>0</v>
      </c>
      <c r="I153" s="42"/>
      <c r="J153" s="44"/>
      <c r="K153" s="11"/>
    </row>
    <row r="154" spans="1:11" ht="18.75" x14ac:dyDescent="0.15">
      <c r="A154" s="10" t="str">
        <f t="shared" ca="1" si="11"/>
        <v/>
      </c>
      <c r="B154" s="58"/>
      <c r="C154" s="11"/>
      <c r="D154" s="11"/>
      <c r="E154" s="11"/>
      <c r="F154" s="12">
        <f t="shared" si="12"/>
        <v>0</v>
      </c>
      <c r="G154" s="13">
        <f t="shared" si="13"/>
        <v>0</v>
      </c>
      <c r="H154" s="13">
        <f t="shared" si="14"/>
        <v>0</v>
      </c>
      <c r="I154" s="42"/>
      <c r="J154" s="44"/>
      <c r="K154" s="11"/>
    </row>
    <row r="155" spans="1:11" ht="18.75" x14ac:dyDescent="0.15">
      <c r="A155" s="10" t="str">
        <f t="shared" ca="1" si="11"/>
        <v/>
      </c>
      <c r="B155" s="58"/>
      <c r="C155" s="11"/>
      <c r="D155" s="11"/>
      <c r="E155" s="11"/>
      <c r="F155" s="12">
        <f t="shared" si="12"/>
        <v>0</v>
      </c>
      <c r="G155" s="13">
        <f t="shared" si="13"/>
        <v>0</v>
      </c>
      <c r="H155" s="13">
        <f t="shared" si="14"/>
        <v>0</v>
      </c>
      <c r="I155" s="42"/>
      <c r="J155" s="44"/>
      <c r="K155" s="11"/>
    </row>
    <row r="156" spans="1:11" ht="18.75" x14ac:dyDescent="0.15">
      <c r="A156" s="10" t="str">
        <f t="shared" ca="1" si="11"/>
        <v/>
      </c>
      <c r="B156" s="58"/>
      <c r="C156" s="11"/>
      <c r="D156" s="11"/>
      <c r="E156" s="11"/>
      <c r="F156" s="12">
        <f t="shared" si="12"/>
        <v>0</v>
      </c>
      <c r="G156" s="13">
        <f t="shared" si="13"/>
        <v>0</v>
      </c>
      <c r="H156" s="13">
        <f t="shared" si="14"/>
        <v>0</v>
      </c>
      <c r="I156" s="42"/>
      <c r="J156" s="44"/>
      <c r="K156" s="11"/>
    </row>
    <row r="157" spans="1:11" ht="18.75" x14ac:dyDescent="0.15">
      <c r="A157" s="10" t="str">
        <f t="shared" ca="1" si="11"/>
        <v/>
      </c>
      <c r="B157" s="58"/>
      <c r="C157" s="11"/>
      <c r="D157" s="11"/>
      <c r="E157" s="11"/>
      <c r="F157" s="12">
        <f t="shared" si="12"/>
        <v>0</v>
      </c>
      <c r="G157" s="13">
        <f t="shared" si="13"/>
        <v>0</v>
      </c>
      <c r="H157" s="13">
        <f t="shared" si="14"/>
        <v>0</v>
      </c>
      <c r="I157" s="42"/>
      <c r="J157" s="44"/>
      <c r="K157" s="11"/>
    </row>
    <row r="158" spans="1:11" ht="18.75" x14ac:dyDescent="0.15">
      <c r="A158" s="10" t="str">
        <f t="shared" ca="1" si="11"/>
        <v/>
      </c>
      <c r="B158" s="58"/>
      <c r="C158" s="11"/>
      <c r="D158" s="11"/>
      <c r="E158" s="11"/>
      <c r="F158" s="12">
        <f t="shared" si="12"/>
        <v>0</v>
      </c>
      <c r="G158" s="13">
        <f t="shared" si="13"/>
        <v>0</v>
      </c>
      <c r="H158" s="13">
        <f t="shared" si="14"/>
        <v>0</v>
      </c>
      <c r="I158" s="42"/>
      <c r="J158" s="44"/>
      <c r="K158" s="11"/>
    </row>
    <row r="159" spans="1:11" ht="18.75" x14ac:dyDescent="0.15">
      <c r="A159" s="10" t="str">
        <f t="shared" ca="1" si="11"/>
        <v/>
      </c>
      <c r="B159" s="58"/>
      <c r="C159" s="11"/>
      <c r="D159" s="11"/>
      <c r="E159" s="11"/>
      <c r="F159" s="12">
        <f t="shared" si="12"/>
        <v>0</v>
      </c>
      <c r="G159" s="13">
        <f t="shared" si="13"/>
        <v>0</v>
      </c>
      <c r="H159" s="13">
        <f t="shared" si="14"/>
        <v>0</v>
      </c>
      <c r="I159" s="42"/>
      <c r="J159" s="44"/>
      <c r="K159" s="11"/>
    </row>
    <row r="160" spans="1:11" ht="18.75" x14ac:dyDescent="0.15">
      <c r="A160" s="10" t="str">
        <f t="shared" ca="1" si="11"/>
        <v/>
      </c>
      <c r="B160" s="58"/>
      <c r="C160" s="11"/>
      <c r="D160" s="11"/>
      <c r="E160" s="11"/>
      <c r="F160" s="12">
        <f t="shared" si="12"/>
        <v>0</v>
      </c>
      <c r="G160" s="13">
        <f t="shared" si="13"/>
        <v>0</v>
      </c>
      <c r="H160" s="13">
        <f t="shared" si="14"/>
        <v>0</v>
      </c>
      <c r="I160" s="42"/>
      <c r="J160" s="44"/>
      <c r="K160" s="11"/>
    </row>
    <row r="161" spans="1:11" ht="18.75" x14ac:dyDescent="0.15">
      <c r="A161" s="10" t="str">
        <f t="shared" ref="A161:A194" ca="1" si="15">IF(B161="","",IF(A161="",NOW(),A161))</f>
        <v/>
      </c>
      <c r="B161" s="5"/>
      <c r="C161" s="11"/>
      <c r="D161" s="11"/>
      <c r="E161" s="11"/>
      <c r="F161" s="12">
        <f t="shared" ref="F161:F194" si="16">(IF(E161-C161&lt;0,"24:00"-C161+E161,E161-C161))*24</f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5"/>
        <v/>
      </c>
      <c r="B162" s="5"/>
      <c r="C162" s="11"/>
      <c r="D162" s="11"/>
      <c r="E162" s="11"/>
      <c r="F162" s="12">
        <f t="shared" si="16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5"/>
        <v/>
      </c>
      <c r="B163" s="5"/>
      <c r="C163" s="11"/>
      <c r="D163" s="11"/>
      <c r="E163" s="11"/>
      <c r="F163" s="12">
        <f t="shared" si="16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5"/>
        <v/>
      </c>
      <c r="B164" s="5"/>
      <c r="C164" s="11"/>
      <c r="D164" s="11"/>
      <c r="E164" s="11"/>
      <c r="F164" s="12">
        <f t="shared" si="16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5"/>
        <v/>
      </c>
      <c r="B165" s="5"/>
      <c r="C165" s="11"/>
      <c r="D165" s="11"/>
      <c r="E165" s="11"/>
      <c r="F165" s="12">
        <f t="shared" si="16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5"/>
        <v/>
      </c>
      <c r="B166" s="5"/>
      <c r="C166" s="11"/>
      <c r="D166" s="11"/>
      <c r="E166" s="11"/>
      <c r="F166" s="12">
        <f t="shared" si="16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5"/>
        <v/>
      </c>
      <c r="B167" s="5"/>
      <c r="C167" s="11"/>
      <c r="D167" s="11"/>
      <c r="E167" s="11"/>
      <c r="F167" s="12">
        <f t="shared" si="16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5"/>
        <v/>
      </c>
      <c r="B168" s="5"/>
      <c r="C168" s="11"/>
      <c r="D168" s="11"/>
      <c r="E168" s="11"/>
      <c r="F168" s="12">
        <f t="shared" si="16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5"/>
        <v/>
      </c>
      <c r="B169" s="5"/>
      <c r="C169" s="11"/>
      <c r="D169" s="11"/>
      <c r="E169" s="11"/>
      <c r="F169" s="12">
        <f t="shared" si="16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5"/>
        <v/>
      </c>
      <c r="B170" s="5"/>
      <c r="C170" s="11"/>
      <c r="D170" s="11"/>
      <c r="E170" s="11"/>
      <c r="F170" s="12">
        <f t="shared" si="16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5"/>
        <v/>
      </c>
      <c r="B171" s="5"/>
      <c r="C171" s="11"/>
      <c r="D171" s="11"/>
      <c r="E171" s="11"/>
      <c r="F171" s="12">
        <f t="shared" si="16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5"/>
        <v/>
      </c>
      <c r="B172" s="5"/>
      <c r="C172" s="11"/>
      <c r="D172" s="11"/>
      <c r="E172" s="11"/>
      <c r="F172" s="12">
        <f t="shared" si="16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5"/>
        <v/>
      </c>
      <c r="B173" s="5"/>
      <c r="C173" s="11"/>
      <c r="D173" s="11"/>
      <c r="E173" s="11"/>
      <c r="F173" s="12">
        <f t="shared" si="16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5"/>
        <v/>
      </c>
      <c r="B174" s="5"/>
      <c r="C174" s="11"/>
      <c r="D174" s="11"/>
      <c r="E174" s="11"/>
      <c r="F174" s="12">
        <f t="shared" si="16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5"/>
        <v/>
      </c>
      <c r="B175" s="5"/>
      <c r="C175" s="11"/>
      <c r="D175" s="11"/>
      <c r="E175" s="11"/>
      <c r="F175" s="12">
        <f t="shared" si="16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5"/>
        <v/>
      </c>
      <c r="B176" s="5"/>
      <c r="C176" s="11"/>
      <c r="D176" s="11"/>
      <c r="E176" s="11"/>
      <c r="F176" s="12">
        <f t="shared" si="16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5"/>
        <v/>
      </c>
      <c r="B177" s="5"/>
      <c r="C177" s="11"/>
      <c r="D177" s="11"/>
      <c r="E177" s="11"/>
      <c r="F177" s="12">
        <f t="shared" si="16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5"/>
        <v/>
      </c>
      <c r="B178" s="5"/>
      <c r="C178" s="11"/>
      <c r="D178" s="11"/>
      <c r="E178" s="11"/>
      <c r="F178" s="12">
        <f t="shared" si="16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5"/>
        <v/>
      </c>
      <c r="B179" s="5"/>
      <c r="C179" s="11"/>
      <c r="D179" s="11"/>
      <c r="E179" s="11"/>
      <c r="F179" s="12">
        <f t="shared" si="16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5"/>
        <v/>
      </c>
      <c r="B180" s="5"/>
      <c r="C180" s="11"/>
      <c r="D180" s="11"/>
      <c r="E180" s="11"/>
      <c r="F180" s="12">
        <f t="shared" si="16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5"/>
        <v/>
      </c>
      <c r="B181" s="5"/>
      <c r="C181" s="11"/>
      <c r="D181" s="11"/>
      <c r="E181" s="11"/>
      <c r="F181" s="12">
        <f t="shared" si="16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5"/>
        <v/>
      </c>
      <c r="B182" s="5"/>
      <c r="C182" s="11"/>
      <c r="D182" s="11"/>
      <c r="E182" s="11"/>
      <c r="F182" s="12">
        <f t="shared" si="16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5"/>
        <v/>
      </c>
      <c r="B183" s="5"/>
      <c r="C183" s="11"/>
      <c r="D183" s="11"/>
      <c r="E183" s="11"/>
      <c r="F183" s="12">
        <f t="shared" si="16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5"/>
        <v/>
      </c>
      <c r="B184" s="5"/>
      <c r="C184" s="11"/>
      <c r="D184" s="11"/>
      <c r="E184" s="11"/>
      <c r="F184" s="12">
        <f t="shared" si="16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5"/>
        <v/>
      </c>
      <c r="B185" s="5"/>
      <c r="C185" s="11"/>
      <c r="D185" s="11"/>
      <c r="E185" s="11"/>
      <c r="F185" s="12">
        <f t="shared" si="16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5"/>
        <v/>
      </c>
      <c r="B186" s="5"/>
      <c r="C186" s="11"/>
      <c r="D186" s="11"/>
      <c r="E186" s="11"/>
      <c r="F186" s="12">
        <f t="shared" si="16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5"/>
        <v/>
      </c>
      <c r="B187" s="5"/>
      <c r="C187" s="11"/>
      <c r="D187" s="11"/>
      <c r="E187" s="11"/>
      <c r="F187" s="12">
        <f t="shared" si="16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5"/>
        <v/>
      </c>
      <c r="B188" s="5"/>
      <c r="C188" s="11"/>
      <c r="D188" s="11"/>
      <c r="E188" s="11"/>
      <c r="F188" s="12">
        <f t="shared" si="16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5"/>
        <v/>
      </c>
      <c r="B189" s="5"/>
      <c r="C189" s="11"/>
      <c r="D189" s="11"/>
      <c r="E189" s="11"/>
      <c r="F189" s="12">
        <f t="shared" si="16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5"/>
        <v/>
      </c>
      <c r="B190" s="5"/>
      <c r="C190" s="11"/>
      <c r="D190" s="11"/>
      <c r="E190" s="11"/>
      <c r="F190" s="12">
        <f t="shared" si="16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5"/>
        <v/>
      </c>
      <c r="B191" s="5"/>
      <c r="C191" s="11"/>
      <c r="D191" s="11"/>
      <c r="E191" s="11"/>
      <c r="F191" s="12">
        <f t="shared" si="16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5"/>
        <v/>
      </c>
      <c r="B192" s="5"/>
      <c r="C192" s="11"/>
      <c r="D192" s="11"/>
      <c r="E192" s="11"/>
      <c r="F192" s="12">
        <f t="shared" si="16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5"/>
        <v/>
      </c>
      <c r="B193" s="5"/>
      <c r="C193" s="11"/>
      <c r="D193" s="11"/>
      <c r="E193" s="11"/>
      <c r="F193" s="12">
        <f t="shared" si="16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5"/>
        <v/>
      </c>
      <c r="B194" s="5"/>
      <c r="C194" s="11"/>
      <c r="D194" s="11"/>
      <c r="E194" s="11"/>
      <c r="F194" s="12">
        <f t="shared" si="16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339"/>
  <sheetViews>
    <sheetView topLeftCell="A66" zoomScale="85" zoomScaleNormal="85" workbookViewId="0">
      <selection activeCell="J94" sqref="J9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4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339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2" t="s">
        <v>6</v>
      </c>
      <c r="B1" s="65"/>
      <c r="C1" s="65"/>
      <c r="D1" s="65"/>
      <c r="E1" s="65"/>
      <c r="F1" s="66"/>
      <c r="G1" s="65"/>
      <c r="H1" s="65"/>
      <c r="I1" s="65"/>
      <c r="J1" s="65"/>
      <c r="K1" s="65"/>
    </row>
    <row r="2" spans="1:16" ht="40.5" x14ac:dyDescent="0.15">
      <c r="A2" s="6" t="s">
        <v>7</v>
      </c>
      <c r="B2" s="7" t="s">
        <v>8</v>
      </c>
      <c r="C2" s="7" t="s">
        <v>9</v>
      </c>
      <c r="D2" s="7" t="s">
        <v>10</v>
      </c>
      <c r="E2" s="7" t="s">
        <v>11</v>
      </c>
      <c r="F2" s="8" t="s">
        <v>12</v>
      </c>
      <c r="G2" s="7" t="s">
        <v>13</v>
      </c>
      <c r="H2" s="9" t="s">
        <v>14</v>
      </c>
      <c r="I2" s="14" t="s">
        <v>15</v>
      </c>
      <c r="J2" s="14" t="s">
        <v>16</v>
      </c>
      <c r="K2" s="14" t="s">
        <v>13</v>
      </c>
      <c r="L2" s="15" t="s">
        <v>17</v>
      </c>
      <c r="M2" s="14" t="s">
        <v>18</v>
      </c>
    </row>
    <row r="3" spans="1:16" ht="18.75" x14ac:dyDescent="0.25">
      <c r="A3" s="10" t="str">
        <f t="shared" ref="A3:A66" ca="1" si="0">IF(B3="","",IF(A3="",NOW(),A3))</f>
        <v/>
      </c>
      <c r="B3" s="5"/>
      <c r="C3" s="11"/>
      <c r="D3" s="11"/>
      <c r="E3" s="11"/>
      <c r="F3" s="12">
        <f t="shared" ref="F3:F66" si="1">(IF(E3-C3&lt;0,"24:00"-C3+E3,E3-C3))*24</f>
        <v>0</v>
      </c>
      <c r="G3" s="13">
        <f t="shared" ref="G3:G66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19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20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21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22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23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77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76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24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25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26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70" t="s">
        <v>27</v>
      </c>
      <c r="J13" s="71"/>
      <c r="K13" s="71"/>
      <c r="L13" s="71"/>
      <c r="M13" s="71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71"/>
      <c r="J14" s="71"/>
      <c r="K14" s="71"/>
      <c r="L14" s="71"/>
      <c r="M14" s="71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28</v>
      </c>
      <c r="J15" s="31" t="s">
        <v>16</v>
      </c>
      <c r="K15" s="32" t="s">
        <v>13</v>
      </c>
      <c r="L15" s="33" t="s">
        <v>17</v>
      </c>
      <c r="M15" s="34" t="s">
        <v>18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19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29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25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30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31</v>
      </c>
      <c r="J20" s="67">
        <f>J16+J17+J18+J19</f>
        <v>0</v>
      </c>
      <c r="K20" s="68"/>
      <c r="L20" s="69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53" t="s">
        <v>78</v>
      </c>
      <c r="J21" s="54">
        <f>SUM(J8:J9)</f>
        <v>0</v>
      </c>
      <c r="K21" s="37">
        <f>SUM(K8:K9)</f>
        <v>0</v>
      </c>
      <c r="L21" s="38">
        <f>SUM(L8:L9)</f>
        <v>0</v>
      </c>
      <c r="M21" s="46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66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2"/>
      <c r="J38" s="43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2"/>
      <c r="J39" s="43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2"/>
      <c r="J40" s="43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2"/>
      <c r="J41" s="43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2"/>
      <c r="J42" s="43"/>
      <c r="K42" s="11"/>
    </row>
    <row r="43" spans="1:11" ht="18.75" x14ac:dyDescent="0.15">
      <c r="A43" s="10" t="str">
        <f t="shared" ca="1" si="0"/>
        <v/>
      </c>
      <c r="B43" s="5"/>
      <c r="C43" s="11"/>
      <c r="D43" s="11"/>
      <c r="E43" s="11"/>
      <c r="F43" s="12">
        <f t="shared" si="1"/>
        <v>0</v>
      </c>
      <c r="G43" s="13">
        <f t="shared" si="2"/>
        <v>0</v>
      </c>
      <c r="H43" s="13">
        <f t="shared" si="7"/>
        <v>0</v>
      </c>
      <c r="I43" s="42"/>
      <c r="J43" s="43"/>
      <c r="K43" s="11"/>
    </row>
    <row r="44" spans="1:11" ht="18.75" x14ac:dyDescent="0.15">
      <c r="A44" s="10" t="str">
        <f t="shared" ca="1" si="0"/>
        <v/>
      </c>
      <c r="B44" s="5"/>
      <c r="C44" s="11"/>
      <c r="D44" s="11"/>
      <c r="E44" s="11"/>
      <c r="F44" s="12">
        <f t="shared" si="1"/>
        <v>0</v>
      </c>
      <c r="G44" s="13">
        <f t="shared" si="2"/>
        <v>0</v>
      </c>
      <c r="H44" s="13">
        <f t="shared" si="7"/>
        <v>0</v>
      </c>
      <c r="I44" s="42"/>
      <c r="J44" s="43"/>
      <c r="K44" s="11"/>
    </row>
    <row r="45" spans="1:11" ht="18.75" x14ac:dyDescent="0.15">
      <c r="A45" s="10" t="str">
        <f t="shared" ca="1" si="0"/>
        <v/>
      </c>
      <c r="B45" s="5"/>
      <c r="C45" s="11"/>
      <c r="D45" s="11"/>
      <c r="E45" s="11"/>
      <c r="F45" s="12">
        <f t="shared" si="1"/>
        <v>0</v>
      </c>
      <c r="G45" s="13">
        <f t="shared" si="2"/>
        <v>0</v>
      </c>
      <c r="H45" s="13">
        <f t="shared" si="7"/>
        <v>0</v>
      </c>
      <c r="I45" s="42"/>
      <c r="J45" s="43"/>
      <c r="K45" s="11"/>
    </row>
    <row r="46" spans="1:11" ht="18.75" x14ac:dyDescent="0.15">
      <c r="A46" s="10" t="str">
        <f t="shared" ca="1" si="0"/>
        <v/>
      </c>
      <c r="B46" s="5"/>
      <c r="C46" s="11"/>
      <c r="D46" s="11"/>
      <c r="E46" s="11"/>
      <c r="F46" s="12">
        <f t="shared" si="1"/>
        <v>0</v>
      </c>
      <c r="G46" s="13">
        <f t="shared" si="2"/>
        <v>0</v>
      </c>
      <c r="H46" s="13">
        <f t="shared" si="7"/>
        <v>0</v>
      </c>
      <c r="I46" s="42"/>
      <c r="J46" s="43"/>
      <c r="K46" s="11"/>
    </row>
    <row r="47" spans="1:11" ht="18.75" x14ac:dyDescent="0.15">
      <c r="A47" s="10" t="str">
        <f t="shared" ca="1" si="0"/>
        <v/>
      </c>
      <c r="B47" s="5"/>
      <c r="C47" s="11"/>
      <c r="D47" s="11"/>
      <c r="E47" s="11"/>
      <c r="F47" s="12">
        <f t="shared" si="1"/>
        <v>0</v>
      </c>
      <c r="G47" s="13">
        <f t="shared" si="2"/>
        <v>0</v>
      </c>
      <c r="H47" s="13">
        <f t="shared" si="7"/>
        <v>0</v>
      </c>
      <c r="I47" s="42"/>
      <c r="J47" s="43"/>
      <c r="K47" s="11"/>
    </row>
    <row r="48" spans="1:11" ht="18.75" x14ac:dyDescent="0.15">
      <c r="A48" s="10" t="str">
        <f t="shared" ca="1" si="0"/>
        <v/>
      </c>
      <c r="B48" s="5"/>
      <c r="C48" s="11"/>
      <c r="D48" s="11"/>
      <c r="E48" s="11"/>
      <c r="F48" s="12">
        <f t="shared" si="1"/>
        <v>0</v>
      </c>
      <c r="G48" s="13">
        <f t="shared" si="2"/>
        <v>0</v>
      </c>
      <c r="H48" s="13">
        <f t="shared" si="7"/>
        <v>0</v>
      </c>
      <c r="I48" s="42"/>
      <c r="J48" s="43"/>
      <c r="K48" s="11"/>
    </row>
    <row r="49" spans="1:11" ht="18.75" x14ac:dyDescent="0.15">
      <c r="A49" s="10" t="str">
        <f t="shared" ca="1" si="0"/>
        <v/>
      </c>
      <c r="B49" s="5"/>
      <c r="C49" s="11"/>
      <c r="D49" s="11"/>
      <c r="E49" s="11"/>
      <c r="F49" s="12">
        <f t="shared" si="1"/>
        <v>0</v>
      </c>
      <c r="G49" s="13">
        <f t="shared" si="2"/>
        <v>0</v>
      </c>
      <c r="H49" s="13">
        <f t="shared" si="7"/>
        <v>0</v>
      </c>
      <c r="I49" s="42"/>
      <c r="J49" s="43"/>
      <c r="K49" s="11"/>
    </row>
    <row r="50" spans="1:11" ht="18.75" x14ac:dyDescent="0.15">
      <c r="A50" s="10" t="str">
        <f t="shared" ca="1" si="0"/>
        <v/>
      </c>
      <c r="B50" s="5"/>
      <c r="C50" s="11"/>
      <c r="D50" s="11"/>
      <c r="E50" s="11"/>
      <c r="F50" s="12">
        <f t="shared" si="1"/>
        <v>0</v>
      </c>
      <c r="G50" s="13">
        <f t="shared" si="2"/>
        <v>0</v>
      </c>
      <c r="H50" s="13">
        <f t="shared" si="7"/>
        <v>0</v>
      </c>
      <c r="I50" s="42"/>
      <c r="J50" s="43"/>
      <c r="K50" s="11"/>
    </row>
    <row r="51" spans="1:11" ht="18.75" x14ac:dyDescent="0.15">
      <c r="A51" s="10" t="str">
        <f t="shared" ca="1" si="0"/>
        <v/>
      </c>
      <c r="B51" s="5"/>
      <c r="C51" s="11"/>
      <c r="D51" s="11"/>
      <c r="E51" s="11"/>
      <c r="F51" s="12">
        <f t="shared" si="1"/>
        <v>0</v>
      </c>
      <c r="G51" s="13">
        <f t="shared" si="2"/>
        <v>0</v>
      </c>
      <c r="H51" s="13">
        <f t="shared" si="7"/>
        <v>0</v>
      </c>
      <c r="I51" s="42"/>
      <c r="J51" s="43"/>
      <c r="K51" s="11"/>
    </row>
    <row r="52" spans="1:11" ht="18.75" x14ac:dyDescent="0.15">
      <c r="A52" s="10" t="str">
        <f t="shared" ca="1" si="0"/>
        <v/>
      </c>
      <c r="B52" s="5"/>
      <c r="C52" s="11"/>
      <c r="D52" s="11"/>
      <c r="E52" s="11"/>
      <c r="F52" s="12">
        <f t="shared" si="1"/>
        <v>0</v>
      </c>
      <c r="G52" s="13">
        <f t="shared" si="2"/>
        <v>0</v>
      </c>
      <c r="H52" s="13">
        <f t="shared" si="7"/>
        <v>0</v>
      </c>
      <c r="I52" s="42"/>
      <c r="J52" s="43"/>
      <c r="K52" s="11"/>
    </row>
    <row r="53" spans="1:11" ht="18.75" x14ac:dyDescent="0.15">
      <c r="A53" s="10" t="str">
        <f t="shared" ca="1" si="0"/>
        <v/>
      </c>
      <c r="B53" s="5"/>
      <c r="C53" s="11"/>
      <c r="D53" s="11"/>
      <c r="E53" s="11"/>
      <c r="F53" s="12">
        <f t="shared" si="1"/>
        <v>0</v>
      </c>
      <c r="G53" s="13">
        <f t="shared" si="2"/>
        <v>0</v>
      </c>
      <c r="H53" s="13">
        <f t="shared" si="7"/>
        <v>0</v>
      </c>
      <c r="I53" s="42"/>
      <c r="J53" s="43"/>
      <c r="K53" s="11"/>
    </row>
    <row r="54" spans="1:11" ht="18.75" x14ac:dyDescent="0.15">
      <c r="A54" s="10" t="str">
        <f t="shared" ca="1" si="0"/>
        <v/>
      </c>
      <c r="B54" s="5"/>
      <c r="C54" s="11"/>
      <c r="D54" s="11"/>
      <c r="E54" s="11"/>
      <c r="F54" s="12">
        <f t="shared" si="1"/>
        <v>0</v>
      </c>
      <c r="G54" s="13">
        <f t="shared" si="2"/>
        <v>0</v>
      </c>
      <c r="H54" s="13">
        <f t="shared" si="7"/>
        <v>0</v>
      </c>
      <c r="I54" s="42"/>
      <c r="J54" s="43"/>
      <c r="K54" s="11"/>
    </row>
    <row r="55" spans="1:11" ht="18.75" x14ac:dyDescent="0.15">
      <c r="A55" s="10" t="str">
        <f t="shared" ca="1" si="0"/>
        <v/>
      </c>
      <c r="B55" s="5"/>
      <c r="C55" s="11"/>
      <c r="D55" s="11"/>
      <c r="E55" s="11"/>
      <c r="F55" s="12">
        <f t="shared" si="1"/>
        <v>0</v>
      </c>
      <c r="G55" s="13">
        <f t="shared" si="2"/>
        <v>0</v>
      </c>
      <c r="H55" s="13">
        <f t="shared" si="7"/>
        <v>0</v>
      </c>
      <c r="I55" s="42"/>
      <c r="J55" s="43"/>
      <c r="K55" s="11"/>
    </row>
    <row r="56" spans="1:11" ht="18.75" x14ac:dyDescent="0.15">
      <c r="A56" s="10" t="str">
        <f t="shared" ca="1" si="0"/>
        <v/>
      </c>
      <c r="B56" s="5"/>
      <c r="C56" s="11"/>
      <c r="D56" s="11"/>
      <c r="E56" s="11"/>
      <c r="F56" s="12">
        <f t="shared" si="1"/>
        <v>0</v>
      </c>
      <c r="G56" s="13">
        <f t="shared" si="2"/>
        <v>0</v>
      </c>
      <c r="H56" s="13">
        <f t="shared" si="7"/>
        <v>0</v>
      </c>
      <c r="I56" s="42"/>
      <c r="J56" s="43"/>
      <c r="K56" s="11"/>
    </row>
    <row r="57" spans="1:11" ht="18.75" x14ac:dyDescent="0.15">
      <c r="A57" s="10" t="str">
        <f t="shared" ca="1" si="0"/>
        <v/>
      </c>
      <c r="B57" s="5"/>
      <c r="C57" s="11"/>
      <c r="D57" s="11"/>
      <c r="E57" s="11"/>
      <c r="F57" s="12">
        <f t="shared" si="1"/>
        <v>0</v>
      </c>
      <c r="G57" s="13">
        <f t="shared" si="2"/>
        <v>0</v>
      </c>
      <c r="H57" s="13">
        <f t="shared" si="7"/>
        <v>0</v>
      </c>
      <c r="I57" s="42"/>
      <c r="J57" s="43"/>
      <c r="K57" s="11"/>
    </row>
    <row r="58" spans="1:11" ht="18.75" x14ac:dyDescent="0.15">
      <c r="A58" s="10" t="str">
        <f t="shared" ca="1" si="0"/>
        <v/>
      </c>
      <c r="B58" s="5"/>
      <c r="C58" s="11"/>
      <c r="D58" s="11"/>
      <c r="E58" s="11"/>
      <c r="F58" s="12">
        <f t="shared" si="1"/>
        <v>0</v>
      </c>
      <c r="G58" s="13">
        <f t="shared" si="2"/>
        <v>0</v>
      </c>
      <c r="H58" s="13">
        <f t="shared" si="7"/>
        <v>0</v>
      </c>
      <c r="I58" s="42"/>
      <c r="J58" s="43"/>
      <c r="K58" s="11"/>
    </row>
    <row r="59" spans="1:11" ht="18.75" x14ac:dyDescent="0.15">
      <c r="A59" s="10" t="str">
        <f t="shared" ca="1" si="0"/>
        <v/>
      </c>
      <c r="B59" s="5"/>
      <c r="C59" s="11"/>
      <c r="D59" s="11"/>
      <c r="E59" s="11"/>
      <c r="F59" s="12">
        <f t="shared" si="1"/>
        <v>0</v>
      </c>
      <c r="G59" s="13">
        <f t="shared" si="2"/>
        <v>0</v>
      </c>
      <c r="H59" s="13">
        <f t="shared" si="7"/>
        <v>0</v>
      </c>
      <c r="I59" s="42"/>
      <c r="J59" s="43"/>
      <c r="K59" s="11"/>
    </row>
    <row r="60" spans="1:11" ht="18.75" x14ac:dyDescent="0.15">
      <c r="A60" s="10" t="str">
        <f t="shared" ca="1" si="0"/>
        <v/>
      </c>
      <c r="B60" s="5"/>
      <c r="C60" s="11"/>
      <c r="D60" s="11"/>
      <c r="E60" s="11"/>
      <c r="F60" s="12">
        <f t="shared" si="1"/>
        <v>0</v>
      </c>
      <c r="G60" s="13">
        <f t="shared" si="2"/>
        <v>0</v>
      </c>
      <c r="H60" s="13">
        <f t="shared" si="7"/>
        <v>0</v>
      </c>
      <c r="I60" s="42"/>
      <c r="J60" s="43"/>
      <c r="K60" s="11"/>
    </row>
    <row r="61" spans="1:11" ht="18.75" x14ac:dyDescent="0.15">
      <c r="A61" s="10" t="str">
        <f t="shared" ca="1" si="0"/>
        <v/>
      </c>
      <c r="B61" s="5"/>
      <c r="C61" s="11"/>
      <c r="D61" s="11"/>
      <c r="E61" s="11"/>
      <c r="F61" s="12">
        <f t="shared" si="1"/>
        <v>0</v>
      </c>
      <c r="G61" s="13">
        <f t="shared" si="2"/>
        <v>0</v>
      </c>
      <c r="H61" s="13">
        <f t="shared" si="7"/>
        <v>0</v>
      </c>
      <c r="I61" s="42"/>
      <c r="J61" s="43"/>
      <c r="K61" s="11"/>
    </row>
    <row r="62" spans="1:11" ht="18.75" x14ac:dyDescent="0.15">
      <c r="A62" s="10" t="str">
        <f t="shared" ca="1" si="0"/>
        <v/>
      </c>
      <c r="B62" s="5"/>
      <c r="C62" s="11"/>
      <c r="D62" s="11"/>
      <c r="E62" s="11"/>
      <c r="F62" s="12">
        <f t="shared" si="1"/>
        <v>0</v>
      </c>
      <c r="G62" s="13">
        <f t="shared" si="2"/>
        <v>0</v>
      </c>
      <c r="H62" s="13">
        <f t="shared" si="7"/>
        <v>0</v>
      </c>
      <c r="I62" s="42"/>
      <c r="J62" s="43"/>
      <c r="K62" s="11"/>
    </row>
    <row r="63" spans="1:11" ht="18.75" x14ac:dyDescent="0.15">
      <c r="A63" s="10" t="str">
        <f t="shared" ca="1" si="0"/>
        <v/>
      </c>
      <c r="B63" s="5"/>
      <c r="C63" s="11"/>
      <c r="D63" s="11"/>
      <c r="E63" s="11"/>
      <c r="F63" s="12">
        <f t="shared" si="1"/>
        <v>0</v>
      </c>
      <c r="G63" s="13">
        <f t="shared" si="2"/>
        <v>0</v>
      </c>
      <c r="H63" s="13">
        <f t="shared" si="7"/>
        <v>0</v>
      </c>
      <c r="I63" s="42"/>
      <c r="J63" s="43"/>
      <c r="K63" s="11"/>
    </row>
    <row r="64" spans="1:11" ht="18.75" x14ac:dyDescent="0.15">
      <c r="A64" s="10" t="str">
        <f t="shared" ca="1" si="0"/>
        <v/>
      </c>
      <c r="B64" s="5"/>
      <c r="C64" s="11"/>
      <c r="D64" s="11"/>
      <c r="E64" s="11"/>
      <c r="F64" s="12">
        <f t="shared" si="1"/>
        <v>0</v>
      </c>
      <c r="G64" s="13">
        <f t="shared" si="2"/>
        <v>0</v>
      </c>
      <c r="H64" s="13">
        <f t="shared" si="7"/>
        <v>0</v>
      </c>
      <c r="I64" s="42"/>
      <c r="J64" s="43"/>
      <c r="K64" s="11"/>
    </row>
    <row r="65" spans="1:11" ht="18.75" x14ac:dyDescent="0.15">
      <c r="A65" s="10" t="str">
        <f t="shared" ca="1" si="0"/>
        <v/>
      </c>
      <c r="B65" s="5"/>
      <c r="C65" s="11"/>
      <c r="D65" s="11"/>
      <c r="E65" s="11"/>
      <c r="F65" s="12">
        <f t="shared" si="1"/>
        <v>0</v>
      </c>
      <c r="G65" s="13">
        <f t="shared" si="2"/>
        <v>0</v>
      </c>
      <c r="H65" s="13">
        <f t="shared" si="7"/>
        <v>0</v>
      </c>
      <c r="I65" s="42"/>
      <c r="J65" s="43"/>
      <c r="K65" s="11"/>
    </row>
    <row r="66" spans="1:11" ht="18.75" x14ac:dyDescent="0.15">
      <c r="A66" s="10" t="str">
        <f t="shared" ca="1" si="0"/>
        <v/>
      </c>
      <c r="B66" s="5"/>
      <c r="C66" s="11"/>
      <c r="D66" s="11"/>
      <c r="E66" s="11"/>
      <c r="F66" s="12">
        <f t="shared" si="1"/>
        <v>0</v>
      </c>
      <c r="G66" s="13">
        <f t="shared" si="2"/>
        <v>0</v>
      </c>
      <c r="H66" s="13">
        <f t="shared" si="7"/>
        <v>0</v>
      </c>
      <c r="I66" s="42"/>
      <c r="J66" s="43"/>
      <c r="K66" s="11"/>
    </row>
    <row r="67" spans="1:11" ht="18.75" x14ac:dyDescent="0.15">
      <c r="A67" s="10" t="str">
        <f t="shared" ref="A67:A130" ca="1" si="8">IF(B67="","",IF(A67="",NOW(),A67))</f>
        <v/>
      </c>
      <c r="B67" s="5"/>
      <c r="C67" s="11"/>
      <c r="D67" s="11"/>
      <c r="E67" s="11"/>
      <c r="F67" s="12">
        <f t="shared" ref="F67:F130" si="9">(IF(E67-C67&lt;0,"24:00"-C67+E67,E67-C67))*24</f>
        <v>0</v>
      </c>
      <c r="G67" s="13">
        <f t="shared" ref="G67:G130" si="10">F67-H67</f>
        <v>0</v>
      </c>
      <c r="H67" s="13">
        <f t="shared" ref="H67:H98" si="11">(IF(AND(C67&gt;=$O$3,C67&lt;$P$3,E67&gt;=$O$3,E67&lt;$P$3),E67-C67,IF(AND(C67&gt;=$O$3,C67&lt;$P$3,E67&gt;=$P$3,E67&lt;$N$3),$P$3-C67,IF(AND(C67&gt;=$P$3,C67&lt;$N$3,E67&gt;=$O$3,E67&lt;$P$3),E67,IF(AND(C67&gt;=$P$3,C67&lt;$N$3,E67&gt;=$P$3,E67&lt;$N$3),"0","none")))))*24</f>
        <v>0</v>
      </c>
      <c r="I67" s="42"/>
      <c r="J67" s="43"/>
      <c r="K67" s="11"/>
    </row>
    <row r="68" spans="1:11" ht="18.75" x14ac:dyDescent="0.15">
      <c r="A68" s="10" t="str">
        <f t="shared" ca="1" si="8"/>
        <v/>
      </c>
      <c r="B68" s="5"/>
      <c r="C68" s="11"/>
      <c r="D68" s="11"/>
      <c r="E68" s="11"/>
      <c r="F68" s="12">
        <f t="shared" si="9"/>
        <v>0</v>
      </c>
      <c r="G68" s="13">
        <f t="shared" si="10"/>
        <v>0</v>
      </c>
      <c r="H68" s="13">
        <f t="shared" si="11"/>
        <v>0</v>
      </c>
      <c r="I68" s="42"/>
      <c r="J68" s="43"/>
      <c r="K68" s="11"/>
    </row>
    <row r="69" spans="1:11" ht="18.75" x14ac:dyDescent="0.15">
      <c r="A69" s="10" t="str">
        <f t="shared" ca="1" si="8"/>
        <v/>
      </c>
      <c r="B69" s="5"/>
      <c r="C69" s="11"/>
      <c r="D69" s="11"/>
      <c r="E69" s="11"/>
      <c r="F69" s="12">
        <f t="shared" si="9"/>
        <v>0</v>
      </c>
      <c r="G69" s="13">
        <f t="shared" si="10"/>
        <v>0</v>
      </c>
      <c r="H69" s="13">
        <f t="shared" si="11"/>
        <v>0</v>
      </c>
      <c r="I69" s="42"/>
      <c r="J69" s="43"/>
      <c r="K69" s="11"/>
    </row>
    <row r="70" spans="1:11" ht="18.75" x14ac:dyDescent="0.15">
      <c r="A70" s="10" t="str">
        <f t="shared" ca="1" si="8"/>
        <v/>
      </c>
      <c r="B70" s="5"/>
      <c r="C70" s="11"/>
      <c r="D70" s="11"/>
      <c r="E70" s="11"/>
      <c r="F70" s="12">
        <f t="shared" si="9"/>
        <v>0</v>
      </c>
      <c r="G70" s="13">
        <f t="shared" si="10"/>
        <v>0</v>
      </c>
      <c r="H70" s="13">
        <f t="shared" si="11"/>
        <v>0</v>
      </c>
      <c r="I70" s="42"/>
      <c r="J70" s="43"/>
      <c r="K70" s="11"/>
    </row>
    <row r="71" spans="1:11" ht="18.75" x14ac:dyDescent="0.15">
      <c r="A71" s="10" t="str">
        <f t="shared" ca="1" si="8"/>
        <v/>
      </c>
      <c r="B71" s="5"/>
      <c r="C71" s="11"/>
      <c r="D71" s="11"/>
      <c r="E71" s="11"/>
      <c r="F71" s="12">
        <f t="shared" si="9"/>
        <v>0</v>
      </c>
      <c r="G71" s="13">
        <f t="shared" si="10"/>
        <v>0</v>
      </c>
      <c r="H71" s="13">
        <f t="shared" si="11"/>
        <v>0</v>
      </c>
      <c r="I71" s="42"/>
      <c r="J71" s="43"/>
      <c r="K71" s="11"/>
    </row>
    <row r="72" spans="1:11" ht="18.75" x14ac:dyDescent="0.15">
      <c r="A72" s="10" t="str">
        <f t="shared" ca="1" si="8"/>
        <v/>
      </c>
      <c r="B72" s="5"/>
      <c r="C72" s="11"/>
      <c r="D72" s="11"/>
      <c r="E72" s="11"/>
      <c r="F72" s="12">
        <f t="shared" si="9"/>
        <v>0</v>
      </c>
      <c r="G72" s="13">
        <f t="shared" si="10"/>
        <v>0</v>
      </c>
      <c r="H72" s="13">
        <f t="shared" si="11"/>
        <v>0</v>
      </c>
      <c r="I72" s="42"/>
      <c r="J72" s="43"/>
      <c r="K72" s="11"/>
    </row>
    <row r="73" spans="1:11" ht="18.75" x14ac:dyDescent="0.15">
      <c r="A73" s="10" t="str">
        <f t="shared" ca="1" si="8"/>
        <v/>
      </c>
      <c r="B73" s="5"/>
      <c r="C73" s="11"/>
      <c r="D73" s="11"/>
      <c r="E73" s="11"/>
      <c r="F73" s="12">
        <f t="shared" si="9"/>
        <v>0</v>
      </c>
      <c r="G73" s="13">
        <f t="shared" si="10"/>
        <v>0</v>
      </c>
      <c r="H73" s="13">
        <f t="shared" si="11"/>
        <v>0</v>
      </c>
      <c r="I73" s="42"/>
      <c r="J73" s="43"/>
      <c r="K73" s="11"/>
    </row>
    <row r="74" spans="1:11" ht="18.75" x14ac:dyDescent="0.15">
      <c r="A74" s="10" t="str">
        <f t="shared" ca="1" si="8"/>
        <v/>
      </c>
      <c r="B74" s="5"/>
      <c r="C74" s="11"/>
      <c r="D74" s="11"/>
      <c r="E74" s="11"/>
      <c r="F74" s="12">
        <f t="shared" si="9"/>
        <v>0</v>
      </c>
      <c r="G74" s="13">
        <f t="shared" si="10"/>
        <v>0</v>
      </c>
      <c r="H74" s="13">
        <f t="shared" si="11"/>
        <v>0</v>
      </c>
      <c r="I74" s="42"/>
      <c r="J74" s="43"/>
      <c r="K74" s="11"/>
    </row>
    <row r="75" spans="1:11" ht="18.75" x14ac:dyDescent="0.15">
      <c r="A75" s="10" t="str">
        <f t="shared" ca="1" si="8"/>
        <v/>
      </c>
      <c r="B75" s="5"/>
      <c r="C75" s="11"/>
      <c r="D75" s="11"/>
      <c r="E75" s="11"/>
      <c r="F75" s="12">
        <f t="shared" si="9"/>
        <v>0</v>
      </c>
      <c r="G75" s="13">
        <f t="shared" si="10"/>
        <v>0</v>
      </c>
      <c r="H75" s="13">
        <f t="shared" si="11"/>
        <v>0</v>
      </c>
      <c r="I75" s="42"/>
      <c r="J75" s="43"/>
      <c r="K75" s="11"/>
    </row>
    <row r="76" spans="1:11" ht="18.75" x14ac:dyDescent="0.15">
      <c r="A76" s="10" t="str">
        <f t="shared" ca="1" si="8"/>
        <v/>
      </c>
      <c r="B76" s="5"/>
      <c r="C76" s="11"/>
      <c r="D76" s="11"/>
      <c r="E76" s="11"/>
      <c r="F76" s="12">
        <f t="shared" si="9"/>
        <v>0</v>
      </c>
      <c r="G76" s="13">
        <f t="shared" si="10"/>
        <v>0</v>
      </c>
      <c r="H76" s="13">
        <f t="shared" si="11"/>
        <v>0</v>
      </c>
      <c r="I76" s="42"/>
      <c r="J76" s="43"/>
      <c r="K76" s="11"/>
    </row>
    <row r="77" spans="1:11" ht="18.75" x14ac:dyDescent="0.15">
      <c r="A77" s="10" t="str">
        <f t="shared" ca="1" si="8"/>
        <v/>
      </c>
      <c r="B77" s="5"/>
      <c r="C77" s="11"/>
      <c r="D77" s="11"/>
      <c r="E77" s="11"/>
      <c r="F77" s="12">
        <f t="shared" si="9"/>
        <v>0</v>
      </c>
      <c r="G77" s="13">
        <f t="shared" si="10"/>
        <v>0</v>
      </c>
      <c r="H77" s="13">
        <f t="shared" si="11"/>
        <v>0</v>
      </c>
      <c r="I77" s="42"/>
      <c r="J77" s="43"/>
      <c r="K77" s="11"/>
    </row>
    <row r="78" spans="1:11" ht="18.75" x14ac:dyDescent="0.15">
      <c r="A78" s="10" t="str">
        <f t="shared" ca="1" si="8"/>
        <v/>
      </c>
      <c r="B78" s="5"/>
      <c r="C78" s="11"/>
      <c r="D78" s="11"/>
      <c r="E78" s="11"/>
      <c r="F78" s="12">
        <f t="shared" si="9"/>
        <v>0</v>
      </c>
      <c r="G78" s="13">
        <f t="shared" si="10"/>
        <v>0</v>
      </c>
      <c r="H78" s="13">
        <f t="shared" si="11"/>
        <v>0</v>
      </c>
      <c r="I78" s="42"/>
      <c r="J78" s="43"/>
      <c r="K78" s="11"/>
    </row>
    <row r="79" spans="1:11" ht="18.75" x14ac:dyDescent="0.15">
      <c r="A79" s="10" t="str">
        <f t="shared" ca="1" si="8"/>
        <v/>
      </c>
      <c r="B79" s="5"/>
      <c r="C79" s="11"/>
      <c r="D79" s="11"/>
      <c r="E79" s="11"/>
      <c r="F79" s="12">
        <f t="shared" si="9"/>
        <v>0</v>
      </c>
      <c r="G79" s="13">
        <f t="shared" si="10"/>
        <v>0</v>
      </c>
      <c r="H79" s="13">
        <f t="shared" si="11"/>
        <v>0</v>
      </c>
      <c r="I79" s="42"/>
      <c r="J79" s="43"/>
      <c r="K79" s="11"/>
    </row>
    <row r="80" spans="1:11" ht="18.75" x14ac:dyDescent="0.15">
      <c r="A80" s="10" t="str">
        <f t="shared" ca="1" si="8"/>
        <v/>
      </c>
      <c r="B80" s="5"/>
      <c r="C80" s="11"/>
      <c r="D80" s="11"/>
      <c r="E80" s="11"/>
      <c r="F80" s="12">
        <f t="shared" si="9"/>
        <v>0</v>
      </c>
      <c r="G80" s="13">
        <f t="shared" si="10"/>
        <v>0</v>
      </c>
      <c r="H80" s="13">
        <f t="shared" si="11"/>
        <v>0</v>
      </c>
      <c r="I80" s="42"/>
      <c r="J80" s="43"/>
      <c r="K80" s="11"/>
    </row>
    <row r="81" spans="1:11" ht="18.75" x14ac:dyDescent="0.15">
      <c r="A81" s="10" t="str">
        <f t="shared" ca="1" si="8"/>
        <v/>
      </c>
      <c r="B81" s="5"/>
      <c r="C81" s="11"/>
      <c r="D81" s="11"/>
      <c r="E81" s="11"/>
      <c r="F81" s="12">
        <f t="shared" si="9"/>
        <v>0</v>
      </c>
      <c r="G81" s="13">
        <f t="shared" si="10"/>
        <v>0</v>
      </c>
      <c r="H81" s="13">
        <f t="shared" si="11"/>
        <v>0</v>
      </c>
      <c r="I81" s="42"/>
      <c r="J81" s="43"/>
      <c r="K81" s="11"/>
    </row>
    <row r="82" spans="1:11" ht="18.75" x14ac:dyDescent="0.15">
      <c r="A82" s="10" t="str">
        <f t="shared" ca="1" si="8"/>
        <v/>
      </c>
      <c r="B82" s="5"/>
      <c r="C82" s="11"/>
      <c r="D82" s="11"/>
      <c r="E82" s="11"/>
      <c r="F82" s="12">
        <f t="shared" si="9"/>
        <v>0</v>
      </c>
      <c r="G82" s="13">
        <f t="shared" si="10"/>
        <v>0</v>
      </c>
      <c r="H82" s="13">
        <f t="shared" si="11"/>
        <v>0</v>
      </c>
      <c r="I82" s="42"/>
      <c r="J82" s="43"/>
      <c r="K82" s="11"/>
    </row>
    <row r="83" spans="1:11" ht="18.75" x14ac:dyDescent="0.15">
      <c r="A83" s="10" t="str">
        <f t="shared" ca="1" si="8"/>
        <v/>
      </c>
      <c r="B83" s="5"/>
      <c r="C83" s="11"/>
      <c r="D83" s="11"/>
      <c r="E83" s="11"/>
      <c r="F83" s="12">
        <f t="shared" si="9"/>
        <v>0</v>
      </c>
      <c r="G83" s="13">
        <f t="shared" si="10"/>
        <v>0</v>
      </c>
      <c r="H83" s="13">
        <f t="shared" si="11"/>
        <v>0</v>
      </c>
      <c r="I83" s="42"/>
      <c r="J83" s="43"/>
      <c r="K83" s="11"/>
    </row>
    <row r="84" spans="1:11" ht="18.75" x14ac:dyDescent="0.15">
      <c r="A84" s="10" t="str">
        <f t="shared" ca="1" si="8"/>
        <v/>
      </c>
      <c r="B84" s="5"/>
      <c r="C84" s="11"/>
      <c r="D84" s="11"/>
      <c r="E84" s="11"/>
      <c r="F84" s="12">
        <f t="shared" si="9"/>
        <v>0</v>
      </c>
      <c r="G84" s="13">
        <f t="shared" si="10"/>
        <v>0</v>
      </c>
      <c r="H84" s="13">
        <f t="shared" si="11"/>
        <v>0</v>
      </c>
      <c r="I84" s="42"/>
      <c r="J84" s="43"/>
      <c r="K84" s="11"/>
    </row>
    <row r="85" spans="1:11" ht="18.75" x14ac:dyDescent="0.15">
      <c r="A85" s="10" t="str">
        <f t="shared" ca="1" si="8"/>
        <v/>
      </c>
      <c r="B85" s="5"/>
      <c r="C85" s="11"/>
      <c r="D85" s="11"/>
      <c r="E85" s="11"/>
      <c r="F85" s="12">
        <f t="shared" si="9"/>
        <v>0</v>
      </c>
      <c r="G85" s="13">
        <f t="shared" si="10"/>
        <v>0</v>
      </c>
      <c r="H85" s="13">
        <f t="shared" si="11"/>
        <v>0</v>
      </c>
      <c r="I85" s="42"/>
      <c r="J85" s="44"/>
      <c r="K85" s="11"/>
    </row>
    <row r="86" spans="1:11" ht="18.75" x14ac:dyDescent="0.15">
      <c r="A86" s="10" t="str">
        <f t="shared" ca="1" si="8"/>
        <v/>
      </c>
      <c r="B86" s="5"/>
      <c r="C86" s="11"/>
      <c r="D86" s="11"/>
      <c r="E86" s="11"/>
      <c r="F86" s="12">
        <f t="shared" si="9"/>
        <v>0</v>
      </c>
      <c r="G86" s="13">
        <f t="shared" si="10"/>
        <v>0</v>
      </c>
      <c r="H86" s="13">
        <f t="shared" si="11"/>
        <v>0</v>
      </c>
      <c r="I86" s="42"/>
      <c r="J86" s="44"/>
      <c r="K86" s="11"/>
    </row>
    <row r="87" spans="1:11" ht="18.75" x14ac:dyDescent="0.15">
      <c r="A87" s="10" t="str">
        <f t="shared" ca="1" si="8"/>
        <v/>
      </c>
      <c r="B87" s="5"/>
      <c r="C87" s="11"/>
      <c r="D87" s="11"/>
      <c r="E87" s="11"/>
      <c r="F87" s="12">
        <f t="shared" si="9"/>
        <v>0</v>
      </c>
      <c r="G87" s="13">
        <f t="shared" si="10"/>
        <v>0</v>
      </c>
      <c r="H87" s="13">
        <f t="shared" si="11"/>
        <v>0</v>
      </c>
      <c r="I87" s="42"/>
      <c r="J87" s="44"/>
      <c r="K87" s="11"/>
    </row>
    <row r="88" spans="1:11" ht="18.75" x14ac:dyDescent="0.15">
      <c r="A88" s="10" t="str">
        <f t="shared" ca="1" si="8"/>
        <v/>
      </c>
      <c r="B88" s="5"/>
      <c r="C88" s="11"/>
      <c r="D88" s="11"/>
      <c r="E88" s="11"/>
      <c r="F88" s="12">
        <f t="shared" si="9"/>
        <v>0</v>
      </c>
      <c r="G88" s="13">
        <f t="shared" si="10"/>
        <v>0</v>
      </c>
      <c r="H88" s="13">
        <f t="shared" si="11"/>
        <v>0</v>
      </c>
      <c r="I88" s="42"/>
      <c r="J88" s="44"/>
      <c r="K88" s="11"/>
    </row>
    <row r="89" spans="1:11" ht="18.75" x14ac:dyDescent="0.15">
      <c r="A89" s="10" t="str">
        <f t="shared" ca="1" si="8"/>
        <v/>
      </c>
      <c r="B89" s="5"/>
      <c r="C89" s="11"/>
      <c r="D89" s="11"/>
      <c r="E89" s="11"/>
      <c r="F89" s="12">
        <f t="shared" si="9"/>
        <v>0</v>
      </c>
      <c r="G89" s="13">
        <f t="shared" si="10"/>
        <v>0</v>
      </c>
      <c r="H89" s="13">
        <f t="shared" si="11"/>
        <v>0</v>
      </c>
      <c r="I89" s="42"/>
      <c r="J89" s="44"/>
      <c r="K89" s="11"/>
    </row>
    <row r="90" spans="1:11" ht="18.75" x14ac:dyDescent="0.15">
      <c r="A90" s="10" t="str">
        <f t="shared" ca="1" si="8"/>
        <v/>
      </c>
      <c r="B90" s="5"/>
      <c r="C90" s="11"/>
      <c r="D90" s="11"/>
      <c r="E90" s="11"/>
      <c r="F90" s="12">
        <f t="shared" si="9"/>
        <v>0</v>
      </c>
      <c r="G90" s="13">
        <f t="shared" si="10"/>
        <v>0</v>
      </c>
      <c r="H90" s="13">
        <f t="shared" si="11"/>
        <v>0</v>
      </c>
      <c r="I90" s="42"/>
      <c r="J90" s="44"/>
      <c r="K90" s="11"/>
    </row>
    <row r="91" spans="1:11" ht="18.75" x14ac:dyDescent="0.15">
      <c r="A91" s="10" t="str">
        <f t="shared" ca="1" si="8"/>
        <v/>
      </c>
      <c r="B91" s="5"/>
      <c r="C91" s="11"/>
      <c r="D91" s="11"/>
      <c r="E91" s="11"/>
      <c r="F91" s="12">
        <f t="shared" si="9"/>
        <v>0</v>
      </c>
      <c r="G91" s="13">
        <f t="shared" si="10"/>
        <v>0</v>
      </c>
      <c r="H91" s="13">
        <f t="shared" si="11"/>
        <v>0</v>
      </c>
      <c r="I91" s="42"/>
      <c r="J91" s="44"/>
      <c r="K91" s="11"/>
    </row>
    <row r="92" spans="1:11" ht="18.75" x14ac:dyDescent="0.15">
      <c r="A92" s="10" t="str">
        <f t="shared" ca="1" si="8"/>
        <v/>
      </c>
      <c r="B92" s="5"/>
      <c r="C92" s="11"/>
      <c r="D92" s="11"/>
      <c r="E92" s="11"/>
      <c r="F92" s="12">
        <f t="shared" si="9"/>
        <v>0</v>
      </c>
      <c r="G92" s="13">
        <f t="shared" si="10"/>
        <v>0</v>
      </c>
      <c r="H92" s="13">
        <f t="shared" si="11"/>
        <v>0</v>
      </c>
      <c r="I92" s="42"/>
      <c r="J92" s="44"/>
      <c r="K92" s="11"/>
    </row>
    <row r="93" spans="1:11" ht="18.75" x14ac:dyDescent="0.15">
      <c r="A93" s="10" t="str">
        <f t="shared" ca="1" si="8"/>
        <v/>
      </c>
      <c r="B93" s="5"/>
      <c r="C93" s="11"/>
      <c r="D93" s="11"/>
      <c r="E93" s="11"/>
      <c r="F93" s="12">
        <f t="shared" si="9"/>
        <v>0</v>
      </c>
      <c r="G93" s="13">
        <f t="shared" si="10"/>
        <v>0</v>
      </c>
      <c r="H93" s="13">
        <f t="shared" si="11"/>
        <v>0</v>
      </c>
      <c r="I93" s="42"/>
      <c r="J93" s="44"/>
      <c r="K93" s="11"/>
    </row>
    <row r="94" spans="1:11" ht="18.75" x14ac:dyDescent="0.15">
      <c r="A94" s="10" t="str">
        <f t="shared" ca="1" si="8"/>
        <v/>
      </c>
      <c r="B94" s="5"/>
      <c r="C94" s="11"/>
      <c r="D94" s="11"/>
      <c r="E94" s="11"/>
      <c r="F94" s="12">
        <f t="shared" si="9"/>
        <v>0</v>
      </c>
      <c r="G94" s="13">
        <f t="shared" si="10"/>
        <v>0</v>
      </c>
      <c r="H94" s="13">
        <f t="shared" si="11"/>
        <v>0</v>
      </c>
      <c r="I94" s="42"/>
      <c r="J94" s="44"/>
      <c r="K94" s="11"/>
    </row>
    <row r="95" spans="1:11" ht="18.75" x14ac:dyDescent="0.15">
      <c r="A95" s="10" t="str">
        <f t="shared" ca="1" si="8"/>
        <v/>
      </c>
      <c r="B95" s="5"/>
      <c r="C95" s="11"/>
      <c r="D95" s="11"/>
      <c r="E95" s="11"/>
      <c r="F95" s="12">
        <f t="shared" si="9"/>
        <v>0</v>
      </c>
      <c r="G95" s="13">
        <f t="shared" si="10"/>
        <v>0</v>
      </c>
      <c r="H95" s="13">
        <f t="shared" si="11"/>
        <v>0</v>
      </c>
      <c r="I95" s="42"/>
      <c r="J95" s="44"/>
      <c r="K95" s="11"/>
    </row>
    <row r="96" spans="1:11" ht="18.75" x14ac:dyDescent="0.15">
      <c r="A96" s="10" t="str">
        <f t="shared" ca="1" si="8"/>
        <v/>
      </c>
      <c r="B96" s="5"/>
      <c r="C96" s="11"/>
      <c r="D96" s="11"/>
      <c r="E96" s="11"/>
      <c r="F96" s="12">
        <f t="shared" si="9"/>
        <v>0</v>
      </c>
      <c r="G96" s="13">
        <f t="shared" si="10"/>
        <v>0</v>
      </c>
      <c r="H96" s="13">
        <f t="shared" si="11"/>
        <v>0</v>
      </c>
      <c r="I96" s="42"/>
      <c r="J96" s="44"/>
      <c r="K96" s="11"/>
    </row>
    <row r="97" spans="1:11" ht="18.75" x14ac:dyDescent="0.15">
      <c r="A97" s="10" t="str">
        <f t="shared" ca="1" si="8"/>
        <v/>
      </c>
      <c r="B97" s="5"/>
      <c r="C97" s="11"/>
      <c r="D97" s="11"/>
      <c r="E97" s="11"/>
      <c r="F97" s="12">
        <f t="shared" si="9"/>
        <v>0</v>
      </c>
      <c r="G97" s="13">
        <f t="shared" si="10"/>
        <v>0</v>
      </c>
      <c r="H97" s="13">
        <f t="shared" si="11"/>
        <v>0</v>
      </c>
      <c r="I97" s="42"/>
      <c r="J97" s="44"/>
      <c r="K97" s="11"/>
    </row>
    <row r="98" spans="1:11" ht="18.75" x14ac:dyDescent="0.15">
      <c r="A98" s="10" t="str">
        <f t="shared" ca="1" si="8"/>
        <v/>
      </c>
      <c r="B98" s="5"/>
      <c r="C98" s="11"/>
      <c r="D98" s="11"/>
      <c r="E98" s="11"/>
      <c r="F98" s="12">
        <f t="shared" si="9"/>
        <v>0</v>
      </c>
      <c r="G98" s="13">
        <f t="shared" si="10"/>
        <v>0</v>
      </c>
      <c r="H98" s="13">
        <f t="shared" si="11"/>
        <v>0</v>
      </c>
      <c r="I98" s="42"/>
      <c r="J98" s="44"/>
      <c r="K98" s="11"/>
    </row>
    <row r="99" spans="1:11" ht="18.75" x14ac:dyDescent="0.15">
      <c r="A99" s="10" t="str">
        <f t="shared" ca="1" si="8"/>
        <v/>
      </c>
      <c r="B99" s="5"/>
      <c r="C99" s="11"/>
      <c r="D99" s="11"/>
      <c r="E99" s="11"/>
      <c r="F99" s="12">
        <f t="shared" si="9"/>
        <v>0</v>
      </c>
      <c r="G99" s="13">
        <f t="shared" si="10"/>
        <v>0</v>
      </c>
      <c r="H99" s="13">
        <f t="shared" ref="H99:H130" si="12">(IF(AND(C99&gt;=$O$3,C99&lt;$P$3,E99&gt;=$O$3,E99&lt;$P$3),E99-C99,IF(AND(C99&gt;=$O$3,C99&lt;$P$3,E99&gt;=$P$3,E99&lt;$N$3),$P$3-C99,IF(AND(C99&gt;=$P$3,C99&lt;$N$3,E99&gt;=$O$3,E99&lt;$P$3),E99,IF(AND(C99&gt;=$P$3,C99&lt;$N$3,E99&gt;=$P$3,E99&lt;$N$3),"0","none")))))*24</f>
        <v>0</v>
      </c>
      <c r="I99" s="42"/>
      <c r="J99" s="44"/>
      <c r="K99" s="11"/>
    </row>
    <row r="100" spans="1:11" ht="18.75" x14ac:dyDescent="0.15">
      <c r="A100" s="10" t="str">
        <f t="shared" ca="1" si="8"/>
        <v/>
      </c>
      <c r="B100" s="5"/>
      <c r="C100" s="11"/>
      <c r="D100" s="11"/>
      <c r="E100" s="11"/>
      <c r="F100" s="12">
        <f t="shared" si="9"/>
        <v>0</v>
      </c>
      <c r="G100" s="13">
        <f t="shared" si="10"/>
        <v>0</v>
      </c>
      <c r="H100" s="13">
        <f t="shared" si="12"/>
        <v>0</v>
      </c>
      <c r="I100" s="42"/>
      <c r="J100" s="44"/>
      <c r="K100" s="11"/>
    </row>
    <row r="101" spans="1:11" ht="18.75" x14ac:dyDescent="0.15">
      <c r="A101" s="10" t="str">
        <f t="shared" ca="1" si="8"/>
        <v/>
      </c>
      <c r="B101" s="5"/>
      <c r="C101" s="11"/>
      <c r="D101" s="11"/>
      <c r="E101" s="11"/>
      <c r="F101" s="12">
        <f t="shared" si="9"/>
        <v>0</v>
      </c>
      <c r="G101" s="13">
        <f t="shared" si="10"/>
        <v>0</v>
      </c>
      <c r="H101" s="13">
        <f t="shared" si="12"/>
        <v>0</v>
      </c>
      <c r="I101" s="42"/>
      <c r="J101" s="44"/>
      <c r="K101" s="11"/>
    </row>
    <row r="102" spans="1:11" ht="18.75" x14ac:dyDescent="0.15">
      <c r="A102" s="10" t="str">
        <f t="shared" ca="1" si="8"/>
        <v/>
      </c>
      <c r="B102" s="5"/>
      <c r="C102" s="11"/>
      <c r="D102" s="11"/>
      <c r="E102" s="11"/>
      <c r="F102" s="12">
        <f t="shared" si="9"/>
        <v>0</v>
      </c>
      <c r="G102" s="13">
        <f t="shared" si="10"/>
        <v>0</v>
      </c>
      <c r="H102" s="13">
        <f t="shared" si="12"/>
        <v>0</v>
      </c>
      <c r="I102" s="42"/>
      <c r="J102" s="44"/>
      <c r="K102" s="11"/>
    </row>
    <row r="103" spans="1:11" ht="18.75" x14ac:dyDescent="0.15">
      <c r="A103" s="10" t="str">
        <f t="shared" ca="1" si="8"/>
        <v/>
      </c>
      <c r="B103" s="5"/>
      <c r="C103" s="11"/>
      <c r="D103" s="11"/>
      <c r="E103" s="11"/>
      <c r="F103" s="12">
        <f t="shared" si="9"/>
        <v>0</v>
      </c>
      <c r="G103" s="13">
        <f t="shared" si="10"/>
        <v>0</v>
      </c>
      <c r="H103" s="13">
        <f t="shared" si="12"/>
        <v>0</v>
      </c>
      <c r="I103" s="42"/>
      <c r="J103" s="44"/>
      <c r="K103" s="11"/>
    </row>
    <row r="104" spans="1:11" ht="18.75" x14ac:dyDescent="0.15">
      <c r="A104" s="10" t="str">
        <f t="shared" ca="1" si="8"/>
        <v/>
      </c>
      <c r="B104" s="5"/>
      <c r="C104" s="11"/>
      <c r="D104" s="11"/>
      <c r="E104" s="11"/>
      <c r="F104" s="12">
        <f t="shared" si="9"/>
        <v>0</v>
      </c>
      <c r="G104" s="13">
        <f t="shared" si="10"/>
        <v>0</v>
      </c>
      <c r="H104" s="13">
        <f t="shared" si="12"/>
        <v>0</v>
      </c>
      <c r="I104" s="42"/>
      <c r="J104" s="44"/>
      <c r="K104" s="11"/>
    </row>
    <row r="105" spans="1:11" ht="18.75" x14ac:dyDescent="0.15">
      <c r="A105" s="10" t="str">
        <f t="shared" ca="1" si="8"/>
        <v/>
      </c>
      <c r="B105" s="5"/>
      <c r="C105" s="11"/>
      <c r="D105" s="11"/>
      <c r="E105" s="11"/>
      <c r="F105" s="12">
        <f t="shared" si="9"/>
        <v>0</v>
      </c>
      <c r="G105" s="13">
        <f t="shared" si="10"/>
        <v>0</v>
      </c>
      <c r="H105" s="13">
        <f t="shared" si="12"/>
        <v>0</v>
      </c>
      <c r="I105" s="42"/>
      <c r="J105" s="44"/>
      <c r="K105" s="11"/>
    </row>
    <row r="106" spans="1:11" ht="18.75" x14ac:dyDescent="0.15">
      <c r="A106" s="10" t="str">
        <f t="shared" ca="1" si="8"/>
        <v/>
      </c>
      <c r="B106" s="5"/>
      <c r="C106" s="11"/>
      <c r="D106" s="11"/>
      <c r="E106" s="11"/>
      <c r="F106" s="12">
        <f t="shared" si="9"/>
        <v>0</v>
      </c>
      <c r="G106" s="13">
        <f t="shared" si="10"/>
        <v>0</v>
      </c>
      <c r="H106" s="13">
        <f t="shared" si="12"/>
        <v>0</v>
      </c>
      <c r="I106" s="42"/>
      <c r="J106" s="44"/>
      <c r="K106" s="11"/>
    </row>
    <row r="107" spans="1:11" ht="18.75" x14ac:dyDescent="0.15">
      <c r="A107" s="10" t="str">
        <f t="shared" ca="1" si="8"/>
        <v/>
      </c>
      <c r="B107" s="5"/>
      <c r="C107" s="11"/>
      <c r="D107" s="11"/>
      <c r="E107" s="11"/>
      <c r="F107" s="12">
        <f t="shared" si="9"/>
        <v>0</v>
      </c>
      <c r="G107" s="13">
        <f t="shared" si="10"/>
        <v>0</v>
      </c>
      <c r="H107" s="13">
        <f t="shared" si="12"/>
        <v>0</v>
      </c>
      <c r="I107" s="42"/>
      <c r="J107" s="44"/>
      <c r="K107" s="11"/>
    </row>
    <row r="108" spans="1:11" ht="18.75" x14ac:dyDescent="0.15">
      <c r="A108" s="10" t="str">
        <f t="shared" ca="1" si="8"/>
        <v/>
      </c>
      <c r="B108" s="5"/>
      <c r="C108" s="11"/>
      <c r="D108" s="11"/>
      <c r="E108" s="11"/>
      <c r="F108" s="12">
        <f t="shared" si="9"/>
        <v>0</v>
      </c>
      <c r="G108" s="13">
        <f t="shared" si="10"/>
        <v>0</v>
      </c>
      <c r="H108" s="13">
        <f t="shared" si="12"/>
        <v>0</v>
      </c>
      <c r="I108" s="42"/>
      <c r="J108" s="44"/>
      <c r="K108" s="11"/>
    </row>
    <row r="109" spans="1:11" ht="18.75" x14ac:dyDescent="0.15">
      <c r="A109" s="10" t="str">
        <f t="shared" ca="1" si="8"/>
        <v/>
      </c>
      <c r="B109" s="5"/>
      <c r="C109" s="11"/>
      <c r="D109" s="11"/>
      <c r="E109" s="11"/>
      <c r="F109" s="12">
        <f t="shared" si="9"/>
        <v>0</v>
      </c>
      <c r="G109" s="13">
        <f t="shared" si="10"/>
        <v>0</v>
      </c>
      <c r="H109" s="13">
        <f t="shared" si="12"/>
        <v>0</v>
      </c>
      <c r="I109" s="42"/>
      <c r="J109" s="44"/>
      <c r="K109" s="11"/>
    </row>
    <row r="110" spans="1:11" ht="18.75" x14ac:dyDescent="0.15">
      <c r="A110" s="10" t="str">
        <f t="shared" ca="1" si="8"/>
        <v/>
      </c>
      <c r="B110" s="5"/>
      <c r="C110" s="11"/>
      <c r="D110" s="11"/>
      <c r="E110" s="11"/>
      <c r="F110" s="12">
        <f t="shared" si="9"/>
        <v>0</v>
      </c>
      <c r="G110" s="13">
        <f t="shared" si="10"/>
        <v>0</v>
      </c>
      <c r="H110" s="13">
        <f t="shared" si="12"/>
        <v>0</v>
      </c>
      <c r="I110" s="42"/>
      <c r="J110" s="44"/>
      <c r="K110" s="11"/>
    </row>
    <row r="111" spans="1:11" ht="18.75" x14ac:dyDescent="0.15">
      <c r="A111" s="10" t="str">
        <f t="shared" ca="1" si="8"/>
        <v/>
      </c>
      <c r="B111" s="5"/>
      <c r="C111" s="11"/>
      <c r="D111" s="11"/>
      <c r="E111" s="11"/>
      <c r="F111" s="12">
        <f t="shared" si="9"/>
        <v>0</v>
      </c>
      <c r="G111" s="13">
        <f t="shared" si="10"/>
        <v>0</v>
      </c>
      <c r="H111" s="13">
        <f t="shared" si="12"/>
        <v>0</v>
      </c>
      <c r="I111" s="42"/>
      <c r="J111" s="44"/>
      <c r="K111" s="11"/>
    </row>
    <row r="112" spans="1:11" ht="18.75" x14ac:dyDescent="0.15">
      <c r="A112" s="10" t="str">
        <f t="shared" ca="1" si="8"/>
        <v/>
      </c>
      <c r="B112" s="5"/>
      <c r="C112" s="11"/>
      <c r="D112" s="11"/>
      <c r="E112" s="11"/>
      <c r="F112" s="12">
        <f t="shared" si="9"/>
        <v>0</v>
      </c>
      <c r="G112" s="13">
        <f t="shared" si="10"/>
        <v>0</v>
      </c>
      <c r="H112" s="13">
        <f t="shared" si="12"/>
        <v>0</v>
      </c>
      <c r="I112" s="42"/>
      <c r="J112" s="44"/>
      <c r="K112" s="11"/>
    </row>
    <row r="113" spans="1:11" ht="18.75" x14ac:dyDescent="0.15">
      <c r="A113" s="10" t="str">
        <f t="shared" ca="1" si="8"/>
        <v/>
      </c>
      <c r="B113" s="5"/>
      <c r="C113" s="11"/>
      <c r="D113" s="11"/>
      <c r="E113" s="11"/>
      <c r="F113" s="12">
        <f t="shared" si="9"/>
        <v>0</v>
      </c>
      <c r="G113" s="13">
        <f t="shared" si="10"/>
        <v>0</v>
      </c>
      <c r="H113" s="13">
        <f t="shared" si="12"/>
        <v>0</v>
      </c>
      <c r="I113" s="42"/>
      <c r="J113" s="44"/>
      <c r="K113" s="11"/>
    </row>
    <row r="114" spans="1:11" ht="18.75" x14ac:dyDescent="0.15">
      <c r="A114" s="10" t="str">
        <f t="shared" ca="1" si="8"/>
        <v/>
      </c>
      <c r="B114" s="5"/>
      <c r="C114" s="11"/>
      <c r="D114" s="11"/>
      <c r="E114" s="11"/>
      <c r="F114" s="12">
        <f t="shared" si="9"/>
        <v>0</v>
      </c>
      <c r="G114" s="13">
        <f t="shared" si="10"/>
        <v>0</v>
      </c>
      <c r="H114" s="13">
        <f t="shared" si="12"/>
        <v>0</v>
      </c>
      <c r="I114" s="42"/>
      <c r="J114" s="44"/>
      <c r="K114" s="11"/>
    </row>
    <row r="115" spans="1:11" ht="18.75" x14ac:dyDescent="0.15">
      <c r="A115" s="10" t="str">
        <f t="shared" ca="1" si="8"/>
        <v/>
      </c>
      <c r="B115" s="5"/>
      <c r="C115" s="11"/>
      <c r="D115" s="11"/>
      <c r="E115" s="11"/>
      <c r="F115" s="12">
        <f t="shared" si="9"/>
        <v>0</v>
      </c>
      <c r="G115" s="13">
        <f t="shared" si="10"/>
        <v>0</v>
      </c>
      <c r="H115" s="13">
        <f t="shared" si="12"/>
        <v>0</v>
      </c>
      <c r="I115" s="42"/>
      <c r="J115" s="44"/>
      <c r="K115" s="11"/>
    </row>
    <row r="116" spans="1:11" ht="18.75" x14ac:dyDescent="0.15">
      <c r="A116" s="10" t="str">
        <f t="shared" ca="1" si="8"/>
        <v/>
      </c>
      <c r="B116" s="5"/>
      <c r="C116" s="11"/>
      <c r="D116" s="11"/>
      <c r="E116" s="11"/>
      <c r="F116" s="12">
        <f t="shared" si="9"/>
        <v>0</v>
      </c>
      <c r="G116" s="13">
        <f t="shared" si="10"/>
        <v>0</v>
      </c>
      <c r="H116" s="13">
        <f t="shared" si="12"/>
        <v>0</v>
      </c>
      <c r="I116" s="42"/>
      <c r="J116" s="44"/>
      <c r="K116" s="11"/>
    </row>
    <row r="117" spans="1:11" ht="18.75" x14ac:dyDescent="0.15">
      <c r="A117" s="10" t="str">
        <f t="shared" ca="1" si="8"/>
        <v/>
      </c>
      <c r="B117" s="5"/>
      <c r="C117" s="11"/>
      <c r="D117" s="11"/>
      <c r="E117" s="11"/>
      <c r="F117" s="12">
        <f t="shared" si="9"/>
        <v>0</v>
      </c>
      <c r="G117" s="13">
        <f t="shared" si="10"/>
        <v>0</v>
      </c>
      <c r="H117" s="13">
        <f t="shared" si="12"/>
        <v>0</v>
      </c>
      <c r="I117" s="42"/>
      <c r="J117" s="44"/>
      <c r="K117" s="11"/>
    </row>
    <row r="118" spans="1:11" ht="18.75" x14ac:dyDescent="0.15">
      <c r="A118" s="10" t="str">
        <f t="shared" ca="1" si="8"/>
        <v/>
      </c>
      <c r="B118" s="5"/>
      <c r="C118" s="11"/>
      <c r="D118" s="11"/>
      <c r="E118" s="11"/>
      <c r="F118" s="12">
        <f t="shared" si="9"/>
        <v>0</v>
      </c>
      <c r="G118" s="13">
        <f t="shared" si="10"/>
        <v>0</v>
      </c>
      <c r="H118" s="13">
        <f t="shared" si="12"/>
        <v>0</v>
      </c>
      <c r="I118" s="42"/>
      <c r="J118" s="44"/>
      <c r="K118" s="11"/>
    </row>
    <row r="119" spans="1:11" ht="18.75" x14ac:dyDescent="0.15">
      <c r="A119" s="10" t="str">
        <f t="shared" ca="1" si="8"/>
        <v/>
      </c>
      <c r="B119" s="5"/>
      <c r="C119" s="11"/>
      <c r="D119" s="11"/>
      <c r="E119" s="11"/>
      <c r="F119" s="12">
        <f t="shared" si="9"/>
        <v>0</v>
      </c>
      <c r="G119" s="13">
        <f t="shared" si="10"/>
        <v>0</v>
      </c>
      <c r="H119" s="13">
        <f t="shared" si="12"/>
        <v>0</v>
      </c>
      <c r="I119" s="42"/>
      <c r="J119" s="44"/>
      <c r="K119" s="11"/>
    </row>
    <row r="120" spans="1:11" ht="18.75" x14ac:dyDescent="0.15">
      <c r="A120" s="10" t="str">
        <f t="shared" ca="1" si="8"/>
        <v/>
      </c>
      <c r="B120" s="5"/>
      <c r="C120" s="11"/>
      <c r="D120" s="11"/>
      <c r="E120" s="11"/>
      <c r="F120" s="12">
        <f t="shared" si="9"/>
        <v>0</v>
      </c>
      <c r="G120" s="13">
        <f t="shared" si="10"/>
        <v>0</v>
      </c>
      <c r="H120" s="13">
        <f t="shared" si="12"/>
        <v>0</v>
      </c>
      <c r="I120" s="42"/>
      <c r="J120" s="44"/>
      <c r="K120" s="11"/>
    </row>
    <row r="121" spans="1:11" ht="18.75" x14ac:dyDescent="0.15">
      <c r="A121" s="10" t="str">
        <f t="shared" ca="1" si="8"/>
        <v/>
      </c>
      <c r="B121" s="5"/>
      <c r="C121" s="11"/>
      <c r="D121" s="11"/>
      <c r="E121" s="11"/>
      <c r="F121" s="12">
        <f t="shared" si="9"/>
        <v>0</v>
      </c>
      <c r="G121" s="13">
        <f t="shared" si="10"/>
        <v>0</v>
      </c>
      <c r="H121" s="13">
        <f t="shared" si="12"/>
        <v>0</v>
      </c>
      <c r="I121" s="42"/>
      <c r="J121" s="44"/>
      <c r="K121" s="11"/>
    </row>
    <row r="122" spans="1:11" ht="18.75" x14ac:dyDescent="0.15">
      <c r="A122" s="10" t="str">
        <f t="shared" ca="1" si="8"/>
        <v/>
      </c>
      <c r="B122" s="5"/>
      <c r="C122" s="11"/>
      <c r="D122" s="11"/>
      <c r="E122" s="11"/>
      <c r="F122" s="12">
        <f t="shared" si="9"/>
        <v>0</v>
      </c>
      <c r="G122" s="13">
        <f t="shared" si="10"/>
        <v>0</v>
      </c>
      <c r="H122" s="13">
        <f t="shared" si="12"/>
        <v>0</v>
      </c>
      <c r="I122" s="42"/>
      <c r="J122" s="44"/>
      <c r="K122" s="11"/>
    </row>
    <row r="123" spans="1:11" ht="18.75" x14ac:dyDescent="0.15">
      <c r="A123" s="10" t="str">
        <f t="shared" ca="1" si="8"/>
        <v/>
      </c>
      <c r="B123" s="5"/>
      <c r="C123" s="11"/>
      <c r="D123" s="11"/>
      <c r="E123" s="11"/>
      <c r="F123" s="12">
        <f t="shared" si="9"/>
        <v>0</v>
      </c>
      <c r="G123" s="13">
        <f t="shared" si="10"/>
        <v>0</v>
      </c>
      <c r="H123" s="13">
        <f t="shared" si="12"/>
        <v>0</v>
      </c>
      <c r="I123" s="42"/>
      <c r="J123" s="44"/>
      <c r="K123" s="11"/>
    </row>
    <row r="124" spans="1:11" ht="18.75" x14ac:dyDescent="0.15">
      <c r="A124" s="10" t="str">
        <f t="shared" ca="1" si="8"/>
        <v/>
      </c>
      <c r="B124" s="5"/>
      <c r="C124" s="11"/>
      <c r="D124" s="11"/>
      <c r="E124" s="11"/>
      <c r="F124" s="12">
        <f t="shared" si="9"/>
        <v>0</v>
      </c>
      <c r="G124" s="13">
        <f t="shared" si="10"/>
        <v>0</v>
      </c>
      <c r="H124" s="13">
        <f t="shared" si="12"/>
        <v>0</v>
      </c>
      <c r="I124" s="42"/>
      <c r="J124" s="44"/>
      <c r="K124" s="11"/>
    </row>
    <row r="125" spans="1:11" ht="18.75" x14ac:dyDescent="0.15">
      <c r="A125" s="10" t="str">
        <f t="shared" ca="1" si="8"/>
        <v/>
      </c>
      <c r="B125" s="5"/>
      <c r="C125" s="11"/>
      <c r="D125" s="11"/>
      <c r="E125" s="11"/>
      <c r="F125" s="12">
        <f t="shared" si="9"/>
        <v>0</v>
      </c>
      <c r="G125" s="13">
        <f t="shared" si="10"/>
        <v>0</v>
      </c>
      <c r="H125" s="13">
        <f t="shared" si="12"/>
        <v>0</v>
      </c>
      <c r="I125" s="42"/>
      <c r="J125" s="44"/>
      <c r="K125" s="11"/>
    </row>
    <row r="126" spans="1:11" ht="18.75" x14ac:dyDescent="0.15">
      <c r="A126" s="10" t="str">
        <f t="shared" ca="1" si="8"/>
        <v/>
      </c>
      <c r="B126" s="5"/>
      <c r="C126" s="11"/>
      <c r="D126" s="11"/>
      <c r="E126" s="11"/>
      <c r="F126" s="12">
        <f t="shared" si="9"/>
        <v>0</v>
      </c>
      <c r="G126" s="13">
        <f t="shared" si="10"/>
        <v>0</v>
      </c>
      <c r="H126" s="13">
        <f t="shared" si="12"/>
        <v>0</v>
      </c>
      <c r="I126" s="42"/>
      <c r="J126" s="44"/>
      <c r="K126" s="11"/>
    </row>
    <row r="127" spans="1:11" ht="18.75" x14ac:dyDescent="0.15">
      <c r="A127" s="10" t="str">
        <f t="shared" ca="1" si="8"/>
        <v/>
      </c>
      <c r="B127" s="5"/>
      <c r="C127" s="11"/>
      <c r="D127" s="11"/>
      <c r="E127" s="11"/>
      <c r="F127" s="12">
        <f t="shared" si="9"/>
        <v>0</v>
      </c>
      <c r="G127" s="13">
        <f t="shared" si="10"/>
        <v>0</v>
      </c>
      <c r="H127" s="13">
        <f t="shared" si="12"/>
        <v>0</v>
      </c>
      <c r="I127" s="42"/>
      <c r="J127" s="44"/>
      <c r="K127" s="11"/>
    </row>
    <row r="128" spans="1:11" ht="18.75" x14ac:dyDescent="0.15">
      <c r="A128" s="10" t="str">
        <f t="shared" ca="1" si="8"/>
        <v/>
      </c>
      <c r="B128" s="5"/>
      <c r="C128" s="11"/>
      <c r="D128" s="11"/>
      <c r="E128" s="11"/>
      <c r="F128" s="12">
        <f t="shared" si="9"/>
        <v>0</v>
      </c>
      <c r="G128" s="13">
        <f t="shared" si="10"/>
        <v>0</v>
      </c>
      <c r="H128" s="13">
        <f t="shared" si="12"/>
        <v>0</v>
      </c>
      <c r="I128" s="42"/>
      <c r="J128" s="44"/>
      <c r="K128" s="11"/>
    </row>
    <row r="129" spans="1:11" ht="18.75" x14ac:dyDescent="0.15">
      <c r="A129" s="10" t="str">
        <f t="shared" ca="1" si="8"/>
        <v/>
      </c>
      <c r="B129" s="5"/>
      <c r="C129" s="11"/>
      <c r="D129" s="11"/>
      <c r="E129" s="11"/>
      <c r="F129" s="12">
        <f t="shared" si="9"/>
        <v>0</v>
      </c>
      <c r="G129" s="13">
        <f t="shared" si="10"/>
        <v>0</v>
      </c>
      <c r="H129" s="13">
        <f t="shared" si="12"/>
        <v>0</v>
      </c>
      <c r="I129" s="42"/>
      <c r="J129" s="44"/>
      <c r="K129" s="11"/>
    </row>
    <row r="130" spans="1:11" ht="18.75" x14ac:dyDescent="0.15">
      <c r="A130" s="10" t="str">
        <f t="shared" ca="1" si="8"/>
        <v/>
      </c>
      <c r="B130" s="5"/>
      <c r="C130" s="11"/>
      <c r="D130" s="11"/>
      <c r="E130" s="11"/>
      <c r="F130" s="12">
        <f t="shared" si="9"/>
        <v>0</v>
      </c>
      <c r="G130" s="13">
        <f t="shared" si="10"/>
        <v>0</v>
      </c>
      <c r="H130" s="13">
        <f t="shared" si="12"/>
        <v>0</v>
      </c>
      <c r="I130" s="42"/>
      <c r="J130" s="44"/>
      <c r="K130" s="11"/>
    </row>
    <row r="131" spans="1:11" ht="18.75" x14ac:dyDescent="0.15">
      <c r="A131" s="10" t="str">
        <f t="shared" ref="A131:A194" ca="1" si="13">IF(B131="","",IF(A131="",NOW(),A131))</f>
        <v/>
      </c>
      <c r="B131" s="5"/>
      <c r="C131" s="11"/>
      <c r="D131" s="11"/>
      <c r="E131" s="11"/>
      <c r="F131" s="12">
        <f t="shared" ref="F131:F194" si="14">(IF(E131-C131&lt;0,"24:00"-C131+E131,E131-C131))*24</f>
        <v>0</v>
      </c>
      <c r="G131" s="13">
        <f t="shared" ref="G131:G160" si="15">F131-H131</f>
        <v>0</v>
      </c>
      <c r="H131" s="13">
        <f t="shared" ref="H131:H160" si="16">(IF(AND(C131&gt;=$O$3,C131&lt;$P$3,E131&gt;=$O$3,E131&lt;$P$3),E131-C131,IF(AND(C131&gt;=$O$3,C131&lt;$P$3,E131&gt;=$P$3,E131&lt;$N$3),$P$3-C131,IF(AND(C131&gt;=$P$3,C131&lt;$N$3,E131&gt;=$O$3,E131&lt;$P$3),E131,IF(AND(C131&gt;=$P$3,C131&lt;$N$3,E131&gt;=$P$3,E131&lt;$N$3),"0","none")))))*24</f>
        <v>0</v>
      </c>
      <c r="I131" s="42"/>
      <c r="J131" s="44"/>
      <c r="K131" s="11"/>
    </row>
    <row r="132" spans="1:11" ht="18.75" x14ac:dyDescent="0.15">
      <c r="A132" s="10" t="str">
        <f t="shared" ca="1" si="13"/>
        <v/>
      </c>
      <c r="B132" s="5"/>
      <c r="C132" s="11"/>
      <c r="D132" s="11"/>
      <c r="E132" s="11"/>
      <c r="F132" s="12">
        <f t="shared" si="14"/>
        <v>0</v>
      </c>
      <c r="G132" s="13">
        <f t="shared" si="15"/>
        <v>0</v>
      </c>
      <c r="H132" s="13">
        <f t="shared" si="16"/>
        <v>0</v>
      </c>
      <c r="I132" s="42"/>
      <c r="J132" s="44"/>
      <c r="K132" s="11"/>
    </row>
    <row r="133" spans="1:11" ht="18.75" x14ac:dyDescent="0.15">
      <c r="A133" s="10" t="str">
        <f t="shared" ca="1" si="13"/>
        <v/>
      </c>
      <c r="B133" s="5"/>
      <c r="C133" s="11"/>
      <c r="D133" s="11"/>
      <c r="E133" s="11"/>
      <c r="F133" s="12">
        <f t="shared" si="14"/>
        <v>0</v>
      </c>
      <c r="G133" s="13">
        <f t="shared" si="15"/>
        <v>0</v>
      </c>
      <c r="H133" s="13">
        <f t="shared" si="16"/>
        <v>0</v>
      </c>
      <c r="I133" s="42"/>
      <c r="J133" s="44"/>
      <c r="K133" s="11"/>
    </row>
    <row r="134" spans="1:11" ht="18.75" x14ac:dyDescent="0.15">
      <c r="A134" s="10" t="str">
        <f t="shared" ca="1" si="13"/>
        <v/>
      </c>
      <c r="B134" s="5"/>
      <c r="C134" s="11"/>
      <c r="D134" s="11"/>
      <c r="E134" s="11"/>
      <c r="F134" s="12">
        <f t="shared" si="14"/>
        <v>0</v>
      </c>
      <c r="G134" s="13">
        <f t="shared" si="15"/>
        <v>0</v>
      </c>
      <c r="H134" s="13">
        <f t="shared" si="16"/>
        <v>0</v>
      </c>
      <c r="I134" s="42"/>
      <c r="J134" s="44"/>
      <c r="K134" s="11"/>
    </row>
    <row r="135" spans="1:11" ht="18.75" x14ac:dyDescent="0.15">
      <c r="A135" s="10" t="str">
        <f t="shared" ca="1" si="13"/>
        <v/>
      </c>
      <c r="B135" s="5"/>
      <c r="C135" s="11"/>
      <c r="D135" s="11"/>
      <c r="E135" s="11"/>
      <c r="F135" s="12">
        <f t="shared" si="14"/>
        <v>0</v>
      </c>
      <c r="G135" s="13">
        <f t="shared" si="15"/>
        <v>0</v>
      </c>
      <c r="H135" s="13">
        <f t="shared" si="16"/>
        <v>0</v>
      </c>
      <c r="I135" s="42"/>
      <c r="J135" s="44"/>
      <c r="K135" s="11"/>
    </row>
    <row r="136" spans="1:11" ht="18.75" x14ac:dyDescent="0.15">
      <c r="A136" s="10" t="str">
        <f t="shared" ca="1" si="13"/>
        <v/>
      </c>
      <c r="B136" s="5"/>
      <c r="C136" s="11"/>
      <c r="D136" s="11"/>
      <c r="E136" s="11"/>
      <c r="F136" s="12">
        <f t="shared" si="14"/>
        <v>0</v>
      </c>
      <c r="G136" s="13">
        <f t="shared" si="15"/>
        <v>0</v>
      </c>
      <c r="H136" s="13">
        <f t="shared" si="16"/>
        <v>0</v>
      </c>
      <c r="I136" s="42"/>
      <c r="J136" s="44"/>
      <c r="K136" s="11"/>
    </row>
    <row r="137" spans="1:11" ht="18.75" x14ac:dyDescent="0.15">
      <c r="A137" s="10" t="str">
        <f t="shared" ca="1" si="13"/>
        <v/>
      </c>
      <c r="B137" s="5"/>
      <c r="C137" s="11"/>
      <c r="D137" s="11"/>
      <c r="E137" s="11"/>
      <c r="F137" s="12">
        <f t="shared" si="14"/>
        <v>0</v>
      </c>
      <c r="G137" s="13">
        <f t="shared" si="15"/>
        <v>0</v>
      </c>
      <c r="H137" s="13">
        <f t="shared" si="16"/>
        <v>0</v>
      </c>
      <c r="I137" s="42"/>
      <c r="J137" s="44"/>
      <c r="K137" s="11"/>
    </row>
    <row r="138" spans="1:11" ht="18.75" x14ac:dyDescent="0.15">
      <c r="A138" s="10" t="str">
        <f t="shared" ca="1" si="13"/>
        <v/>
      </c>
      <c r="B138" s="5"/>
      <c r="C138" s="11"/>
      <c r="D138" s="11"/>
      <c r="E138" s="11"/>
      <c r="F138" s="12">
        <f t="shared" si="14"/>
        <v>0</v>
      </c>
      <c r="G138" s="13">
        <f t="shared" si="15"/>
        <v>0</v>
      </c>
      <c r="H138" s="13">
        <f t="shared" si="16"/>
        <v>0</v>
      </c>
      <c r="I138" s="42"/>
      <c r="J138" s="44"/>
      <c r="K138" s="11"/>
    </row>
    <row r="139" spans="1:11" ht="18.75" x14ac:dyDescent="0.15">
      <c r="A139" s="10" t="str">
        <f t="shared" ca="1" si="13"/>
        <v/>
      </c>
      <c r="B139" s="5"/>
      <c r="C139" s="11"/>
      <c r="D139" s="11"/>
      <c r="E139" s="11"/>
      <c r="F139" s="12">
        <f t="shared" si="14"/>
        <v>0</v>
      </c>
      <c r="G139" s="13">
        <f t="shared" si="15"/>
        <v>0</v>
      </c>
      <c r="H139" s="13">
        <f t="shared" si="16"/>
        <v>0</v>
      </c>
      <c r="I139" s="42"/>
      <c r="J139" s="44"/>
      <c r="K139" s="11"/>
    </row>
    <row r="140" spans="1:11" ht="18.75" x14ac:dyDescent="0.15">
      <c r="A140" s="10" t="str">
        <f t="shared" ca="1" si="13"/>
        <v/>
      </c>
      <c r="B140" s="5"/>
      <c r="C140" s="11"/>
      <c r="D140" s="11"/>
      <c r="E140" s="11"/>
      <c r="F140" s="12">
        <f t="shared" si="14"/>
        <v>0</v>
      </c>
      <c r="G140" s="13">
        <f t="shared" si="15"/>
        <v>0</v>
      </c>
      <c r="H140" s="13">
        <f t="shared" si="16"/>
        <v>0</v>
      </c>
      <c r="I140" s="42"/>
      <c r="J140" s="44"/>
      <c r="K140" s="11"/>
    </row>
    <row r="141" spans="1:11" ht="18.75" x14ac:dyDescent="0.15">
      <c r="A141" s="10" t="str">
        <f t="shared" ca="1" si="13"/>
        <v/>
      </c>
      <c r="B141" s="5"/>
      <c r="C141" s="11"/>
      <c r="D141" s="11"/>
      <c r="E141" s="11"/>
      <c r="F141" s="12">
        <f t="shared" si="14"/>
        <v>0</v>
      </c>
      <c r="G141" s="13">
        <f t="shared" si="15"/>
        <v>0</v>
      </c>
      <c r="H141" s="13">
        <f t="shared" si="16"/>
        <v>0</v>
      </c>
      <c r="I141" s="42"/>
      <c r="J141" s="44"/>
      <c r="K141" s="11"/>
    </row>
    <row r="142" spans="1:11" ht="18.75" x14ac:dyDescent="0.15">
      <c r="A142" s="10" t="str">
        <f t="shared" ca="1" si="13"/>
        <v/>
      </c>
      <c r="B142" s="5"/>
      <c r="C142" s="11"/>
      <c r="D142" s="11"/>
      <c r="E142" s="11"/>
      <c r="F142" s="12">
        <f t="shared" si="14"/>
        <v>0</v>
      </c>
      <c r="G142" s="13">
        <f t="shared" si="15"/>
        <v>0</v>
      </c>
      <c r="H142" s="13">
        <f t="shared" si="16"/>
        <v>0</v>
      </c>
      <c r="I142" s="42"/>
      <c r="J142" s="44"/>
      <c r="K142" s="11"/>
    </row>
    <row r="143" spans="1:11" ht="18.75" x14ac:dyDescent="0.15">
      <c r="A143" s="10" t="str">
        <f t="shared" ca="1" si="13"/>
        <v/>
      </c>
      <c r="B143" s="5"/>
      <c r="C143" s="11"/>
      <c r="D143" s="11"/>
      <c r="E143" s="11"/>
      <c r="F143" s="12">
        <f t="shared" si="14"/>
        <v>0</v>
      </c>
      <c r="G143" s="13">
        <f t="shared" si="15"/>
        <v>0</v>
      </c>
      <c r="H143" s="13">
        <f t="shared" si="16"/>
        <v>0</v>
      </c>
      <c r="I143" s="42"/>
      <c r="J143" s="44"/>
      <c r="K143" s="11"/>
    </row>
    <row r="144" spans="1:11" ht="18.75" x14ac:dyDescent="0.15">
      <c r="A144" s="10" t="str">
        <f t="shared" ca="1" si="13"/>
        <v/>
      </c>
      <c r="B144" s="5"/>
      <c r="C144" s="11"/>
      <c r="D144" s="11"/>
      <c r="E144" s="11"/>
      <c r="F144" s="12">
        <f t="shared" si="14"/>
        <v>0</v>
      </c>
      <c r="G144" s="13">
        <f t="shared" si="15"/>
        <v>0</v>
      </c>
      <c r="H144" s="13">
        <f t="shared" si="16"/>
        <v>0</v>
      </c>
      <c r="I144" s="42"/>
      <c r="J144" s="44"/>
      <c r="K144" s="11"/>
    </row>
    <row r="145" spans="1:11" ht="18.75" x14ac:dyDescent="0.15">
      <c r="A145" s="10" t="str">
        <f t="shared" ca="1" si="13"/>
        <v/>
      </c>
      <c r="B145" s="5"/>
      <c r="C145" s="11"/>
      <c r="D145" s="11"/>
      <c r="E145" s="11"/>
      <c r="F145" s="12">
        <f t="shared" si="14"/>
        <v>0</v>
      </c>
      <c r="G145" s="13">
        <f t="shared" si="15"/>
        <v>0</v>
      </c>
      <c r="H145" s="13">
        <f t="shared" si="16"/>
        <v>0</v>
      </c>
      <c r="I145" s="42"/>
      <c r="J145" s="44"/>
      <c r="K145" s="11"/>
    </row>
    <row r="146" spans="1:11" ht="18.75" x14ac:dyDescent="0.15">
      <c r="A146" s="10" t="str">
        <f t="shared" ca="1" si="13"/>
        <v/>
      </c>
      <c r="B146" s="5"/>
      <c r="C146" s="11"/>
      <c r="D146" s="11"/>
      <c r="E146" s="11"/>
      <c r="F146" s="12">
        <f t="shared" si="14"/>
        <v>0</v>
      </c>
      <c r="G146" s="13">
        <f t="shared" si="15"/>
        <v>0</v>
      </c>
      <c r="H146" s="13">
        <f t="shared" si="16"/>
        <v>0</v>
      </c>
      <c r="I146" s="42"/>
      <c r="J146" s="44"/>
      <c r="K146" s="11"/>
    </row>
    <row r="147" spans="1:11" ht="18.75" x14ac:dyDescent="0.15">
      <c r="A147" s="10" t="str">
        <f t="shared" ca="1" si="13"/>
        <v/>
      </c>
      <c r="B147" s="5"/>
      <c r="C147" s="11"/>
      <c r="D147" s="11"/>
      <c r="E147" s="11"/>
      <c r="F147" s="12">
        <f t="shared" si="14"/>
        <v>0</v>
      </c>
      <c r="G147" s="13">
        <f t="shared" si="15"/>
        <v>0</v>
      </c>
      <c r="H147" s="13">
        <f t="shared" si="16"/>
        <v>0</v>
      </c>
      <c r="I147" s="42"/>
      <c r="J147" s="44"/>
      <c r="K147" s="11"/>
    </row>
    <row r="148" spans="1:11" ht="18.75" x14ac:dyDescent="0.15">
      <c r="A148" s="10" t="str">
        <f t="shared" ca="1" si="13"/>
        <v/>
      </c>
      <c r="B148" s="5"/>
      <c r="C148" s="11"/>
      <c r="D148" s="11"/>
      <c r="E148" s="11"/>
      <c r="F148" s="12">
        <f t="shared" si="14"/>
        <v>0</v>
      </c>
      <c r="G148" s="13">
        <f t="shared" si="15"/>
        <v>0</v>
      </c>
      <c r="H148" s="13">
        <f t="shared" si="16"/>
        <v>0</v>
      </c>
      <c r="I148" s="42"/>
      <c r="J148" s="44"/>
      <c r="K148" s="11"/>
    </row>
    <row r="149" spans="1:11" ht="18.75" x14ac:dyDescent="0.15">
      <c r="A149" s="10" t="str">
        <f t="shared" ca="1" si="13"/>
        <v/>
      </c>
      <c r="B149" s="5"/>
      <c r="C149" s="11"/>
      <c r="D149" s="11"/>
      <c r="E149" s="11"/>
      <c r="F149" s="12">
        <f t="shared" si="14"/>
        <v>0</v>
      </c>
      <c r="G149" s="13">
        <f t="shared" si="15"/>
        <v>0</v>
      </c>
      <c r="H149" s="13">
        <f t="shared" si="16"/>
        <v>0</v>
      </c>
      <c r="I149" s="42"/>
      <c r="J149" s="44"/>
      <c r="K149" s="11"/>
    </row>
    <row r="150" spans="1:11" ht="18.75" x14ac:dyDescent="0.15">
      <c r="A150" s="10" t="str">
        <f t="shared" ca="1" si="13"/>
        <v/>
      </c>
      <c r="B150" s="5"/>
      <c r="C150" s="11"/>
      <c r="D150" s="11"/>
      <c r="E150" s="11"/>
      <c r="F150" s="12">
        <f t="shared" si="14"/>
        <v>0</v>
      </c>
      <c r="G150" s="13">
        <f t="shared" si="15"/>
        <v>0</v>
      </c>
      <c r="H150" s="13">
        <f t="shared" si="16"/>
        <v>0</v>
      </c>
      <c r="I150" s="42"/>
      <c r="J150" s="44"/>
      <c r="K150" s="11"/>
    </row>
    <row r="151" spans="1:11" ht="18.75" x14ac:dyDescent="0.15">
      <c r="A151" s="10" t="str">
        <f t="shared" ca="1" si="13"/>
        <v/>
      </c>
      <c r="B151" s="5"/>
      <c r="C151" s="11"/>
      <c r="D151" s="11"/>
      <c r="E151" s="11"/>
      <c r="F151" s="12">
        <f t="shared" si="14"/>
        <v>0</v>
      </c>
      <c r="G151" s="13">
        <f t="shared" si="15"/>
        <v>0</v>
      </c>
      <c r="H151" s="13">
        <f t="shared" si="16"/>
        <v>0</v>
      </c>
      <c r="I151" s="42"/>
      <c r="J151" s="44"/>
      <c r="K151" s="11"/>
    </row>
    <row r="152" spans="1:11" ht="18.75" x14ac:dyDescent="0.15">
      <c r="A152" s="10" t="str">
        <f t="shared" ca="1" si="13"/>
        <v/>
      </c>
      <c r="B152" s="5"/>
      <c r="C152" s="11"/>
      <c r="D152" s="11"/>
      <c r="E152" s="11"/>
      <c r="F152" s="12">
        <f t="shared" si="14"/>
        <v>0</v>
      </c>
      <c r="G152" s="13">
        <f t="shared" si="15"/>
        <v>0</v>
      </c>
      <c r="H152" s="13">
        <f t="shared" si="16"/>
        <v>0</v>
      </c>
      <c r="I152" s="42"/>
      <c r="J152" s="44"/>
      <c r="K152" s="11"/>
    </row>
    <row r="153" spans="1:11" ht="18.75" x14ac:dyDescent="0.15">
      <c r="A153" s="10" t="str">
        <f t="shared" ca="1" si="13"/>
        <v/>
      </c>
      <c r="B153" s="5"/>
      <c r="C153" s="11"/>
      <c r="D153" s="11"/>
      <c r="E153" s="11"/>
      <c r="F153" s="12">
        <f t="shared" si="14"/>
        <v>0</v>
      </c>
      <c r="G153" s="13">
        <f t="shared" si="15"/>
        <v>0</v>
      </c>
      <c r="H153" s="13">
        <f t="shared" si="16"/>
        <v>0</v>
      </c>
      <c r="I153" s="42"/>
      <c r="J153" s="44"/>
      <c r="K153" s="11"/>
    </row>
    <row r="154" spans="1:11" ht="18.75" x14ac:dyDescent="0.15">
      <c r="A154" s="10" t="str">
        <f t="shared" ca="1" si="13"/>
        <v/>
      </c>
      <c r="B154" s="5"/>
      <c r="C154" s="11"/>
      <c r="D154" s="11"/>
      <c r="E154" s="11"/>
      <c r="F154" s="12">
        <f t="shared" si="14"/>
        <v>0</v>
      </c>
      <c r="G154" s="13">
        <f t="shared" si="15"/>
        <v>0</v>
      </c>
      <c r="H154" s="13">
        <f t="shared" si="16"/>
        <v>0</v>
      </c>
      <c r="I154" s="42"/>
      <c r="J154" s="44"/>
      <c r="K154" s="11"/>
    </row>
    <row r="155" spans="1:11" ht="18.75" x14ac:dyDescent="0.15">
      <c r="A155" s="10" t="str">
        <f t="shared" ca="1" si="13"/>
        <v/>
      </c>
      <c r="B155" s="5"/>
      <c r="C155" s="11"/>
      <c r="D155" s="11"/>
      <c r="E155" s="11"/>
      <c r="F155" s="12">
        <f t="shared" si="14"/>
        <v>0</v>
      </c>
      <c r="G155" s="13">
        <f t="shared" si="15"/>
        <v>0</v>
      </c>
      <c r="H155" s="13">
        <f t="shared" si="16"/>
        <v>0</v>
      </c>
      <c r="I155" s="42"/>
      <c r="J155" s="44"/>
      <c r="K155" s="11"/>
    </row>
    <row r="156" spans="1:11" ht="18.75" x14ac:dyDescent="0.15">
      <c r="A156" s="10" t="str">
        <f t="shared" ca="1" si="13"/>
        <v/>
      </c>
      <c r="B156" s="5"/>
      <c r="C156" s="11"/>
      <c r="D156" s="11"/>
      <c r="E156" s="11"/>
      <c r="F156" s="12">
        <f t="shared" si="14"/>
        <v>0</v>
      </c>
      <c r="G156" s="13">
        <f t="shared" si="15"/>
        <v>0</v>
      </c>
      <c r="H156" s="13">
        <f t="shared" si="16"/>
        <v>0</v>
      </c>
      <c r="I156" s="42"/>
      <c r="J156" s="44"/>
      <c r="K156" s="11"/>
    </row>
    <row r="157" spans="1:11" ht="18.75" x14ac:dyDescent="0.15">
      <c r="A157" s="10" t="str">
        <f t="shared" ca="1" si="13"/>
        <v/>
      </c>
      <c r="B157" s="5"/>
      <c r="C157" s="11"/>
      <c r="D157" s="11"/>
      <c r="E157" s="11"/>
      <c r="F157" s="12">
        <f t="shared" si="14"/>
        <v>0</v>
      </c>
      <c r="G157" s="13">
        <f t="shared" si="15"/>
        <v>0</v>
      </c>
      <c r="H157" s="13">
        <f t="shared" si="16"/>
        <v>0</v>
      </c>
      <c r="I157" s="42"/>
      <c r="J157" s="44"/>
      <c r="K157" s="11"/>
    </row>
    <row r="158" spans="1:11" ht="18.75" x14ac:dyDescent="0.15">
      <c r="A158" s="10" t="str">
        <f t="shared" ca="1" si="13"/>
        <v/>
      </c>
      <c r="B158" s="5"/>
      <c r="C158" s="11"/>
      <c r="D158" s="11"/>
      <c r="E158" s="11"/>
      <c r="F158" s="12">
        <f t="shared" si="14"/>
        <v>0</v>
      </c>
      <c r="G158" s="13">
        <f t="shared" si="15"/>
        <v>0</v>
      </c>
      <c r="H158" s="13">
        <f t="shared" si="16"/>
        <v>0</v>
      </c>
      <c r="I158" s="42"/>
      <c r="J158" s="44"/>
      <c r="K158" s="11"/>
    </row>
    <row r="159" spans="1:11" ht="18.75" x14ac:dyDescent="0.15">
      <c r="A159" s="10" t="str">
        <f t="shared" ca="1" si="13"/>
        <v/>
      </c>
      <c r="B159" s="5"/>
      <c r="C159" s="11"/>
      <c r="D159" s="11"/>
      <c r="E159" s="11"/>
      <c r="F159" s="12">
        <f t="shared" si="14"/>
        <v>0</v>
      </c>
      <c r="G159" s="13">
        <f t="shared" si="15"/>
        <v>0</v>
      </c>
      <c r="H159" s="13">
        <f t="shared" si="16"/>
        <v>0</v>
      </c>
      <c r="I159" s="42"/>
      <c r="J159" s="44"/>
      <c r="K159" s="11"/>
    </row>
    <row r="160" spans="1:11" ht="18.75" x14ac:dyDescent="0.15">
      <c r="A160" s="10" t="str">
        <f t="shared" ca="1" si="13"/>
        <v/>
      </c>
      <c r="B160" s="5"/>
      <c r="C160" s="11"/>
      <c r="D160" s="11"/>
      <c r="E160" s="11"/>
      <c r="F160" s="12">
        <f t="shared" si="14"/>
        <v>0</v>
      </c>
      <c r="G160" s="13">
        <f t="shared" si="15"/>
        <v>0</v>
      </c>
      <c r="H160" s="13">
        <f t="shared" si="16"/>
        <v>0</v>
      </c>
      <c r="I160" s="42"/>
      <c r="J160" s="44"/>
      <c r="K160" s="11"/>
    </row>
    <row r="161" spans="1:11" ht="18.75" x14ac:dyDescent="0.15">
      <c r="A161" s="10" t="str">
        <f t="shared" ca="1" si="13"/>
        <v/>
      </c>
      <c r="B161" s="5"/>
      <c r="C161" s="11"/>
      <c r="D161" s="11"/>
      <c r="E161" s="11"/>
      <c r="F161" s="12">
        <f t="shared" si="14"/>
        <v>0</v>
      </c>
      <c r="G161" s="11"/>
      <c r="H161" s="42"/>
      <c r="I161" s="42"/>
      <c r="J161" s="44"/>
      <c r="K161" s="11"/>
    </row>
    <row r="162" spans="1:11" ht="18.75" x14ac:dyDescent="0.15">
      <c r="A162" s="10" t="str">
        <f t="shared" ca="1" si="13"/>
        <v/>
      </c>
      <c r="B162" s="5"/>
      <c r="C162" s="11"/>
      <c r="D162" s="11"/>
      <c r="E162" s="11"/>
      <c r="F162" s="12">
        <f t="shared" si="14"/>
        <v>0</v>
      </c>
      <c r="G162" s="11"/>
      <c r="H162" s="42"/>
      <c r="I162" s="42"/>
      <c r="J162" s="44"/>
      <c r="K162" s="11"/>
    </row>
    <row r="163" spans="1:11" ht="18.75" x14ac:dyDescent="0.15">
      <c r="A163" s="10" t="str">
        <f t="shared" ca="1" si="13"/>
        <v/>
      </c>
      <c r="B163" s="5"/>
      <c r="C163" s="11"/>
      <c r="D163" s="11"/>
      <c r="E163" s="11"/>
      <c r="F163" s="12">
        <f t="shared" si="14"/>
        <v>0</v>
      </c>
      <c r="G163" s="11"/>
      <c r="H163" s="42"/>
      <c r="I163" s="42"/>
      <c r="J163" s="44"/>
      <c r="K163" s="11"/>
    </row>
    <row r="164" spans="1:11" ht="18.75" x14ac:dyDescent="0.15">
      <c r="A164" s="10" t="str">
        <f t="shared" ca="1" si="13"/>
        <v/>
      </c>
      <c r="B164" s="5"/>
      <c r="C164" s="11"/>
      <c r="D164" s="11"/>
      <c r="E164" s="11"/>
      <c r="F164" s="12">
        <f t="shared" si="14"/>
        <v>0</v>
      </c>
      <c r="G164" s="11"/>
      <c r="H164" s="42"/>
      <c r="I164" s="42"/>
      <c r="J164" s="44"/>
      <c r="K164" s="11"/>
    </row>
    <row r="165" spans="1:11" ht="18.75" x14ac:dyDescent="0.15">
      <c r="A165" s="10" t="str">
        <f t="shared" ca="1" si="13"/>
        <v/>
      </c>
      <c r="B165" s="5"/>
      <c r="C165" s="11"/>
      <c r="D165" s="11"/>
      <c r="E165" s="11"/>
      <c r="F165" s="12">
        <f t="shared" si="14"/>
        <v>0</v>
      </c>
      <c r="G165" s="11"/>
      <c r="H165" s="42"/>
      <c r="I165" s="42"/>
      <c r="J165" s="44"/>
      <c r="K165" s="11"/>
    </row>
    <row r="166" spans="1:11" ht="18.75" x14ac:dyDescent="0.15">
      <c r="A166" s="10" t="str">
        <f t="shared" ca="1" si="13"/>
        <v/>
      </c>
      <c r="B166" s="5"/>
      <c r="C166" s="11"/>
      <c r="D166" s="11"/>
      <c r="E166" s="11"/>
      <c r="F166" s="12">
        <f t="shared" si="14"/>
        <v>0</v>
      </c>
      <c r="G166" s="11"/>
      <c r="H166" s="42"/>
      <c r="I166" s="42"/>
      <c r="J166" s="44"/>
      <c r="K166" s="11"/>
    </row>
    <row r="167" spans="1:11" ht="18.75" x14ac:dyDescent="0.15">
      <c r="A167" s="10" t="str">
        <f t="shared" ca="1" si="13"/>
        <v/>
      </c>
      <c r="B167" s="5"/>
      <c r="C167" s="11"/>
      <c r="D167" s="11"/>
      <c r="E167" s="11"/>
      <c r="F167" s="12">
        <f t="shared" si="14"/>
        <v>0</v>
      </c>
      <c r="G167" s="11"/>
      <c r="H167" s="42"/>
      <c r="I167" s="42"/>
      <c r="J167" s="44"/>
      <c r="K167" s="11"/>
    </row>
    <row r="168" spans="1:11" ht="18.75" x14ac:dyDescent="0.15">
      <c r="A168" s="10" t="str">
        <f t="shared" ca="1" si="13"/>
        <v/>
      </c>
      <c r="B168" s="5"/>
      <c r="C168" s="11"/>
      <c r="D168" s="11"/>
      <c r="E168" s="11"/>
      <c r="F168" s="12">
        <f t="shared" si="14"/>
        <v>0</v>
      </c>
      <c r="G168" s="11"/>
      <c r="H168" s="42"/>
      <c r="I168" s="42"/>
      <c r="J168" s="44"/>
      <c r="K168" s="11"/>
    </row>
    <row r="169" spans="1:11" ht="18.75" x14ac:dyDescent="0.15">
      <c r="A169" s="10" t="str">
        <f t="shared" ca="1" si="13"/>
        <v/>
      </c>
      <c r="B169" s="5"/>
      <c r="C169" s="11"/>
      <c r="D169" s="11"/>
      <c r="E169" s="11"/>
      <c r="F169" s="12">
        <f t="shared" si="14"/>
        <v>0</v>
      </c>
      <c r="G169" s="11"/>
      <c r="H169" s="42"/>
      <c r="I169" s="42"/>
      <c r="J169" s="44"/>
      <c r="K169" s="11"/>
    </row>
    <row r="170" spans="1:11" ht="18.75" x14ac:dyDescent="0.15">
      <c r="A170" s="10" t="str">
        <f t="shared" ca="1" si="13"/>
        <v/>
      </c>
      <c r="B170" s="5"/>
      <c r="C170" s="11"/>
      <c r="D170" s="11"/>
      <c r="E170" s="11"/>
      <c r="F170" s="12">
        <f t="shared" si="14"/>
        <v>0</v>
      </c>
      <c r="G170" s="11"/>
      <c r="H170" s="42"/>
      <c r="I170" s="42"/>
      <c r="J170" s="44"/>
      <c r="K170" s="11"/>
    </row>
    <row r="171" spans="1:11" ht="18.75" x14ac:dyDescent="0.15">
      <c r="A171" s="10" t="str">
        <f t="shared" ca="1" si="13"/>
        <v/>
      </c>
      <c r="B171" s="5"/>
      <c r="C171" s="11"/>
      <c r="D171" s="11"/>
      <c r="E171" s="11"/>
      <c r="F171" s="12">
        <f t="shared" si="14"/>
        <v>0</v>
      </c>
      <c r="G171" s="11"/>
      <c r="H171" s="42"/>
      <c r="I171" s="42"/>
      <c r="J171" s="44"/>
      <c r="K171" s="11"/>
    </row>
    <row r="172" spans="1:11" ht="18.75" x14ac:dyDescent="0.15">
      <c r="A172" s="10" t="str">
        <f t="shared" ca="1" si="13"/>
        <v/>
      </c>
      <c r="B172" s="5"/>
      <c r="C172" s="11"/>
      <c r="D172" s="11"/>
      <c r="E172" s="11"/>
      <c r="F172" s="12">
        <f t="shared" si="14"/>
        <v>0</v>
      </c>
      <c r="G172" s="11"/>
      <c r="H172" s="42"/>
      <c r="I172" s="42"/>
      <c r="J172" s="44"/>
      <c r="K172" s="11"/>
    </row>
    <row r="173" spans="1:11" ht="18.75" x14ac:dyDescent="0.15">
      <c r="A173" s="10" t="str">
        <f t="shared" ca="1" si="13"/>
        <v/>
      </c>
      <c r="B173" s="5"/>
      <c r="C173" s="11"/>
      <c r="D173" s="11"/>
      <c r="E173" s="11"/>
      <c r="F173" s="12">
        <f t="shared" si="14"/>
        <v>0</v>
      </c>
      <c r="G173" s="11"/>
      <c r="H173" s="42"/>
      <c r="I173" s="42"/>
      <c r="J173" s="44"/>
      <c r="K173" s="11"/>
    </row>
    <row r="174" spans="1:11" ht="18.75" x14ac:dyDescent="0.15">
      <c r="A174" s="10" t="str">
        <f t="shared" ca="1" si="13"/>
        <v/>
      </c>
      <c r="B174" s="5"/>
      <c r="C174" s="11"/>
      <c r="D174" s="11"/>
      <c r="E174" s="11"/>
      <c r="F174" s="12">
        <f t="shared" si="14"/>
        <v>0</v>
      </c>
      <c r="G174" s="11"/>
      <c r="H174" s="42"/>
      <c r="I174" s="42"/>
      <c r="J174" s="44"/>
      <c r="K174" s="11"/>
    </row>
    <row r="175" spans="1:11" ht="18.75" x14ac:dyDescent="0.15">
      <c r="A175" s="10" t="str">
        <f t="shared" ca="1" si="13"/>
        <v/>
      </c>
      <c r="B175" s="5"/>
      <c r="C175" s="11"/>
      <c r="D175" s="11"/>
      <c r="E175" s="11"/>
      <c r="F175" s="12">
        <f t="shared" si="14"/>
        <v>0</v>
      </c>
      <c r="G175" s="11"/>
      <c r="H175" s="42"/>
      <c r="I175" s="42"/>
      <c r="J175" s="44"/>
      <c r="K175" s="11"/>
    </row>
    <row r="176" spans="1:11" ht="18.75" x14ac:dyDescent="0.15">
      <c r="A176" s="10" t="str">
        <f t="shared" ca="1" si="13"/>
        <v/>
      </c>
      <c r="B176" s="5"/>
      <c r="C176" s="11"/>
      <c r="D176" s="11"/>
      <c r="E176" s="11"/>
      <c r="F176" s="12">
        <f t="shared" si="14"/>
        <v>0</v>
      </c>
      <c r="G176" s="11"/>
      <c r="H176" s="42"/>
      <c r="I176" s="42"/>
      <c r="J176" s="44"/>
      <c r="K176" s="11"/>
    </row>
    <row r="177" spans="1:11" ht="18.75" x14ac:dyDescent="0.15">
      <c r="A177" s="10" t="str">
        <f t="shared" ca="1" si="13"/>
        <v/>
      </c>
      <c r="B177" s="5"/>
      <c r="C177" s="11"/>
      <c r="D177" s="11"/>
      <c r="E177" s="11"/>
      <c r="F177" s="12">
        <f t="shared" si="14"/>
        <v>0</v>
      </c>
      <c r="G177" s="11"/>
      <c r="H177" s="42"/>
      <c r="I177" s="42"/>
      <c r="J177" s="44"/>
      <c r="K177" s="11"/>
    </row>
    <row r="178" spans="1:11" ht="18.75" x14ac:dyDescent="0.15">
      <c r="A178" s="10" t="str">
        <f t="shared" ca="1" si="13"/>
        <v/>
      </c>
      <c r="B178" s="5"/>
      <c r="C178" s="11"/>
      <c r="D178" s="11"/>
      <c r="E178" s="11"/>
      <c r="F178" s="12">
        <f t="shared" si="14"/>
        <v>0</v>
      </c>
      <c r="G178" s="11"/>
      <c r="H178" s="42"/>
      <c r="I178" s="42"/>
      <c r="J178" s="44"/>
      <c r="K178" s="11"/>
    </row>
    <row r="179" spans="1:11" ht="18.75" x14ac:dyDescent="0.15">
      <c r="A179" s="10" t="str">
        <f t="shared" ca="1" si="13"/>
        <v/>
      </c>
      <c r="B179" s="5"/>
      <c r="C179" s="11"/>
      <c r="D179" s="11"/>
      <c r="E179" s="11"/>
      <c r="F179" s="12">
        <f t="shared" si="14"/>
        <v>0</v>
      </c>
      <c r="G179" s="11"/>
      <c r="H179" s="42"/>
      <c r="I179" s="42"/>
      <c r="J179" s="44"/>
      <c r="K179" s="11"/>
    </row>
    <row r="180" spans="1:11" ht="18.75" x14ac:dyDescent="0.15">
      <c r="A180" s="10" t="str">
        <f t="shared" ca="1" si="13"/>
        <v/>
      </c>
      <c r="B180" s="5"/>
      <c r="C180" s="11"/>
      <c r="D180" s="11"/>
      <c r="E180" s="11"/>
      <c r="F180" s="12">
        <f t="shared" si="14"/>
        <v>0</v>
      </c>
      <c r="G180" s="11"/>
      <c r="H180" s="42"/>
      <c r="I180" s="42"/>
      <c r="J180" s="44"/>
      <c r="K180" s="11"/>
    </row>
    <row r="181" spans="1:11" ht="18.75" x14ac:dyDescent="0.15">
      <c r="A181" s="10" t="str">
        <f t="shared" ca="1" si="13"/>
        <v/>
      </c>
      <c r="B181" s="5"/>
      <c r="C181" s="11"/>
      <c r="D181" s="11"/>
      <c r="E181" s="11"/>
      <c r="F181" s="12">
        <f t="shared" si="14"/>
        <v>0</v>
      </c>
      <c r="G181" s="11"/>
      <c r="H181" s="42"/>
      <c r="I181" s="42"/>
      <c r="J181" s="44"/>
      <c r="K181" s="11"/>
    </row>
    <row r="182" spans="1:11" ht="18.75" x14ac:dyDescent="0.15">
      <c r="A182" s="10" t="str">
        <f t="shared" ca="1" si="13"/>
        <v/>
      </c>
      <c r="B182" s="5"/>
      <c r="C182" s="11"/>
      <c r="D182" s="11"/>
      <c r="E182" s="11"/>
      <c r="F182" s="12">
        <f t="shared" si="14"/>
        <v>0</v>
      </c>
      <c r="G182" s="11"/>
      <c r="H182" s="42"/>
      <c r="I182" s="42"/>
      <c r="J182" s="44"/>
      <c r="K182" s="11"/>
    </row>
    <row r="183" spans="1:11" ht="18.75" x14ac:dyDescent="0.15">
      <c r="A183" s="10" t="str">
        <f t="shared" ca="1" si="13"/>
        <v/>
      </c>
      <c r="B183" s="5"/>
      <c r="C183" s="11"/>
      <c r="D183" s="11"/>
      <c r="E183" s="11"/>
      <c r="F183" s="12">
        <f t="shared" si="14"/>
        <v>0</v>
      </c>
      <c r="G183" s="11"/>
      <c r="H183" s="42"/>
      <c r="I183" s="42"/>
      <c r="J183" s="44"/>
      <c r="K183" s="11"/>
    </row>
    <row r="184" spans="1:11" ht="18.75" x14ac:dyDescent="0.15">
      <c r="A184" s="10" t="str">
        <f t="shared" ca="1" si="13"/>
        <v/>
      </c>
      <c r="B184" s="5"/>
      <c r="C184" s="11"/>
      <c r="D184" s="11"/>
      <c r="E184" s="11"/>
      <c r="F184" s="12">
        <f t="shared" si="14"/>
        <v>0</v>
      </c>
      <c r="G184" s="11"/>
      <c r="H184" s="42"/>
      <c r="I184" s="42"/>
      <c r="J184" s="44"/>
      <c r="K184" s="11"/>
    </row>
    <row r="185" spans="1:11" ht="18.75" x14ac:dyDescent="0.15">
      <c r="A185" s="10" t="str">
        <f t="shared" ca="1" si="13"/>
        <v/>
      </c>
      <c r="B185" s="5"/>
      <c r="C185" s="11"/>
      <c r="D185" s="11"/>
      <c r="E185" s="11"/>
      <c r="F185" s="12">
        <f t="shared" si="14"/>
        <v>0</v>
      </c>
      <c r="G185" s="11"/>
      <c r="H185" s="42"/>
      <c r="I185" s="42"/>
      <c r="J185" s="44"/>
      <c r="K185" s="11"/>
    </row>
    <row r="186" spans="1:11" ht="18.75" x14ac:dyDescent="0.15">
      <c r="A186" s="10" t="str">
        <f t="shared" ca="1" si="13"/>
        <v/>
      </c>
      <c r="B186" s="5"/>
      <c r="C186" s="11"/>
      <c r="D186" s="11"/>
      <c r="E186" s="11"/>
      <c r="F186" s="12">
        <f t="shared" si="14"/>
        <v>0</v>
      </c>
      <c r="G186" s="11"/>
      <c r="H186" s="42"/>
      <c r="I186" s="42"/>
      <c r="J186" s="44"/>
      <c r="K186" s="11"/>
    </row>
    <row r="187" spans="1:11" ht="18.75" x14ac:dyDescent="0.15">
      <c r="A187" s="10" t="str">
        <f t="shared" ca="1" si="13"/>
        <v/>
      </c>
      <c r="B187" s="5"/>
      <c r="C187" s="11"/>
      <c r="D187" s="11"/>
      <c r="E187" s="11"/>
      <c r="F187" s="12">
        <f t="shared" si="14"/>
        <v>0</v>
      </c>
      <c r="G187" s="11"/>
      <c r="H187" s="42"/>
      <c r="I187" s="42"/>
      <c r="J187" s="44"/>
      <c r="K187" s="11"/>
    </row>
    <row r="188" spans="1:11" ht="18.75" x14ac:dyDescent="0.15">
      <c r="A188" s="10" t="str">
        <f t="shared" ca="1" si="13"/>
        <v/>
      </c>
      <c r="B188" s="5"/>
      <c r="C188" s="11"/>
      <c r="D188" s="11"/>
      <c r="E188" s="11"/>
      <c r="F188" s="12">
        <f t="shared" si="14"/>
        <v>0</v>
      </c>
      <c r="G188" s="11"/>
      <c r="H188" s="42"/>
      <c r="I188" s="42"/>
      <c r="J188" s="44"/>
      <c r="K188" s="11"/>
    </row>
    <row r="189" spans="1:11" ht="18.75" x14ac:dyDescent="0.15">
      <c r="A189" s="10" t="str">
        <f t="shared" ca="1" si="13"/>
        <v/>
      </c>
      <c r="B189" s="5"/>
      <c r="C189" s="11"/>
      <c r="D189" s="11"/>
      <c r="E189" s="11"/>
      <c r="F189" s="12">
        <f t="shared" si="14"/>
        <v>0</v>
      </c>
      <c r="G189" s="11"/>
      <c r="H189" s="42"/>
      <c r="I189" s="42"/>
      <c r="J189" s="44"/>
      <c r="K189" s="11"/>
    </row>
    <row r="190" spans="1:11" ht="18.75" x14ac:dyDescent="0.15">
      <c r="A190" s="10" t="str">
        <f t="shared" ca="1" si="13"/>
        <v/>
      </c>
      <c r="B190" s="5"/>
      <c r="C190" s="11"/>
      <c r="D190" s="11"/>
      <c r="E190" s="11"/>
      <c r="F190" s="12">
        <f t="shared" si="14"/>
        <v>0</v>
      </c>
      <c r="G190" s="11"/>
      <c r="H190" s="42"/>
      <c r="I190" s="42"/>
      <c r="J190" s="44"/>
      <c r="K190" s="11"/>
    </row>
    <row r="191" spans="1:11" ht="18.75" x14ac:dyDescent="0.15">
      <c r="A191" s="10" t="str">
        <f t="shared" ca="1" si="13"/>
        <v/>
      </c>
      <c r="B191" s="5"/>
      <c r="C191" s="11"/>
      <c r="D191" s="11"/>
      <c r="E191" s="11"/>
      <c r="F191" s="12">
        <f t="shared" si="14"/>
        <v>0</v>
      </c>
      <c r="G191" s="11"/>
      <c r="H191" s="42"/>
      <c r="I191" s="42"/>
      <c r="J191" s="44"/>
      <c r="K191" s="11"/>
    </row>
    <row r="192" spans="1:11" ht="18.75" x14ac:dyDescent="0.15">
      <c r="A192" s="10" t="str">
        <f t="shared" ca="1" si="13"/>
        <v/>
      </c>
      <c r="B192" s="5"/>
      <c r="C192" s="11"/>
      <c r="D192" s="11"/>
      <c r="E192" s="11"/>
      <c r="F192" s="12">
        <f t="shared" si="14"/>
        <v>0</v>
      </c>
      <c r="G192" s="11"/>
      <c r="H192" s="42"/>
      <c r="I192" s="42"/>
      <c r="J192" s="44"/>
      <c r="K192" s="11"/>
    </row>
    <row r="193" spans="1:11" ht="18.75" x14ac:dyDescent="0.15">
      <c r="A193" s="10" t="str">
        <f t="shared" ca="1" si="13"/>
        <v/>
      </c>
      <c r="B193" s="5"/>
      <c r="C193" s="11"/>
      <c r="D193" s="11"/>
      <c r="E193" s="11"/>
      <c r="F193" s="12">
        <f t="shared" si="14"/>
        <v>0</v>
      </c>
      <c r="G193" s="11"/>
      <c r="H193" s="42"/>
      <c r="I193" s="42"/>
      <c r="J193" s="44"/>
      <c r="K193" s="11"/>
    </row>
    <row r="194" spans="1:11" ht="18.75" x14ac:dyDescent="0.15">
      <c r="A194" s="10" t="str">
        <f t="shared" ca="1" si="13"/>
        <v/>
      </c>
      <c r="B194" s="5"/>
      <c r="C194" s="11"/>
      <c r="D194" s="11"/>
      <c r="E194" s="11"/>
      <c r="F194" s="12">
        <f t="shared" si="14"/>
        <v>0</v>
      </c>
      <c r="G194" s="11"/>
      <c r="H194" s="42"/>
      <c r="I194" s="42"/>
      <c r="J194" s="44"/>
      <c r="K194" s="11"/>
    </row>
    <row r="195" spans="1:11" ht="18.75" x14ac:dyDescent="0.15">
      <c r="A195" s="10" t="str">
        <f t="shared" ref="A195:A258" ca="1" si="17">IF(B195="","",IF(A195="",NOW(),A195))</f>
        <v/>
      </c>
      <c r="B195" s="5"/>
      <c r="C195" s="11"/>
      <c r="D195" s="11"/>
      <c r="E195" s="11"/>
      <c r="F195" s="12">
        <f t="shared" ref="F195:F205" si="18">(IF(E195-C195&lt;0,"24:00"-C195+E195,E195-C195))*24</f>
        <v>0</v>
      </c>
      <c r="G195" s="11"/>
      <c r="H195" s="42"/>
      <c r="I195" s="42"/>
      <c r="J195" s="44"/>
      <c r="K195" s="11"/>
    </row>
    <row r="196" spans="1:11" ht="18.75" x14ac:dyDescent="0.15">
      <c r="A196" s="10" t="str">
        <f t="shared" ca="1" si="17"/>
        <v/>
      </c>
      <c r="B196" s="5"/>
      <c r="C196" s="11"/>
      <c r="D196" s="11"/>
      <c r="E196" s="11"/>
      <c r="F196" s="12">
        <f t="shared" si="18"/>
        <v>0</v>
      </c>
      <c r="G196" s="11"/>
      <c r="H196" s="42"/>
      <c r="I196" s="42"/>
      <c r="J196" s="44"/>
      <c r="K196" s="11"/>
    </row>
    <row r="197" spans="1:11" ht="18.75" x14ac:dyDescent="0.15">
      <c r="A197" s="10" t="str">
        <f t="shared" ca="1" si="17"/>
        <v/>
      </c>
      <c r="B197" s="5"/>
      <c r="C197" s="11"/>
      <c r="D197" s="11"/>
      <c r="E197" s="11"/>
      <c r="F197" s="12">
        <f t="shared" si="18"/>
        <v>0</v>
      </c>
      <c r="G197" s="11"/>
      <c r="H197" s="42"/>
      <c r="I197" s="42"/>
      <c r="J197" s="44"/>
      <c r="K197" s="11"/>
    </row>
    <row r="198" spans="1:11" ht="18.75" x14ac:dyDescent="0.15">
      <c r="A198" s="10" t="str">
        <f t="shared" ca="1" si="17"/>
        <v/>
      </c>
      <c r="B198" s="5"/>
      <c r="C198" s="11"/>
      <c r="D198" s="11"/>
      <c r="E198" s="11"/>
      <c r="F198" s="12">
        <f t="shared" si="18"/>
        <v>0</v>
      </c>
      <c r="G198" s="11"/>
      <c r="H198" s="42"/>
      <c r="I198" s="42"/>
      <c r="J198" s="44"/>
      <c r="K198" s="11"/>
    </row>
    <row r="199" spans="1:11" ht="18.75" x14ac:dyDescent="0.15">
      <c r="A199" s="10" t="str">
        <f t="shared" ca="1" si="17"/>
        <v/>
      </c>
      <c r="B199" s="5"/>
      <c r="C199" s="11"/>
      <c r="D199" s="11"/>
      <c r="E199" s="11"/>
      <c r="F199" s="12">
        <f t="shared" si="18"/>
        <v>0</v>
      </c>
      <c r="G199" s="11"/>
      <c r="H199" s="42"/>
      <c r="I199" s="42"/>
      <c r="J199" s="44"/>
      <c r="K199" s="11"/>
    </row>
    <row r="200" spans="1:11" ht="18.75" x14ac:dyDescent="0.15">
      <c r="A200" s="10" t="str">
        <f t="shared" ca="1" si="17"/>
        <v/>
      </c>
      <c r="B200" s="5"/>
      <c r="C200" s="11"/>
      <c r="D200" s="11"/>
      <c r="E200" s="11"/>
      <c r="F200" s="12">
        <f t="shared" si="18"/>
        <v>0</v>
      </c>
      <c r="G200" s="11"/>
      <c r="H200" s="42"/>
      <c r="I200" s="42"/>
      <c r="J200" s="44"/>
      <c r="K200" s="11"/>
    </row>
    <row r="201" spans="1:11" ht="18.75" x14ac:dyDescent="0.15">
      <c r="A201" s="10" t="str">
        <f t="shared" ca="1" si="17"/>
        <v/>
      </c>
      <c r="B201" s="5"/>
      <c r="C201" s="11"/>
      <c r="D201" s="11"/>
      <c r="E201" s="11"/>
      <c r="F201" s="12">
        <f t="shared" si="18"/>
        <v>0</v>
      </c>
      <c r="G201" s="11"/>
      <c r="H201" s="42"/>
      <c r="I201" s="42"/>
      <c r="J201" s="44"/>
      <c r="K201" s="11"/>
    </row>
    <row r="202" spans="1:11" ht="18.75" x14ac:dyDescent="0.15">
      <c r="A202" s="10" t="str">
        <f t="shared" ca="1" si="17"/>
        <v/>
      </c>
      <c r="B202" s="5"/>
      <c r="C202" s="11"/>
      <c r="D202" s="11"/>
      <c r="E202" s="11"/>
      <c r="F202" s="12">
        <f t="shared" si="18"/>
        <v>0</v>
      </c>
      <c r="G202" s="11"/>
      <c r="H202" s="42"/>
      <c r="I202" s="42"/>
      <c r="J202" s="44"/>
      <c r="K202" s="11"/>
    </row>
    <row r="203" spans="1:11" ht="18.75" x14ac:dyDescent="0.15">
      <c r="A203" s="10" t="str">
        <f t="shared" ca="1" si="17"/>
        <v/>
      </c>
      <c r="B203" s="5"/>
      <c r="C203" s="11"/>
      <c r="D203" s="11"/>
      <c r="E203" s="11"/>
      <c r="F203" s="12">
        <f t="shared" si="18"/>
        <v>0</v>
      </c>
      <c r="G203" s="11"/>
      <c r="H203" s="42"/>
      <c r="I203" s="42"/>
      <c r="J203" s="44"/>
      <c r="K203" s="11"/>
    </row>
    <row r="204" spans="1:11" ht="18.75" x14ac:dyDescent="0.15">
      <c r="A204" s="10" t="str">
        <f t="shared" ca="1" si="17"/>
        <v/>
      </c>
      <c r="B204" s="5"/>
      <c r="C204" s="11"/>
      <c r="D204" s="11"/>
      <c r="E204" s="11"/>
      <c r="F204" s="12">
        <f t="shared" si="18"/>
        <v>0</v>
      </c>
      <c r="G204" s="11"/>
      <c r="H204" s="42"/>
      <c r="I204" s="42"/>
      <c r="J204" s="44"/>
      <c r="K204" s="11"/>
    </row>
    <row r="205" spans="1:11" ht="18.75" x14ac:dyDescent="0.15">
      <c r="A205" s="10" t="str">
        <f t="shared" ca="1" si="17"/>
        <v/>
      </c>
      <c r="B205" s="5"/>
      <c r="C205" s="11"/>
      <c r="D205" s="11"/>
      <c r="E205" s="11"/>
      <c r="F205" s="12">
        <f t="shared" si="18"/>
        <v>0</v>
      </c>
      <c r="G205" s="11"/>
      <c r="H205" s="42"/>
      <c r="I205" s="42"/>
      <c r="J205" s="44"/>
      <c r="K205" s="11"/>
    </row>
    <row r="206" spans="1:11" ht="18.75" x14ac:dyDescent="0.15">
      <c r="A206" s="10" t="str">
        <f t="shared" ca="1" si="17"/>
        <v/>
      </c>
      <c r="B206" s="5"/>
      <c r="C206" s="11"/>
      <c r="D206" s="11"/>
      <c r="E206" s="11"/>
      <c r="F206" s="12">
        <f t="shared" ref="F206:F269" si="19">IF(E206-C206&lt;0,"24:00"-C206+E206,E206-C206)</f>
        <v>0</v>
      </c>
      <c r="G206" s="11"/>
      <c r="H206" s="42"/>
      <c r="I206" s="42"/>
      <c r="J206" s="44"/>
      <c r="K206" s="11"/>
    </row>
    <row r="207" spans="1:11" ht="18.75" x14ac:dyDescent="0.15">
      <c r="A207" s="10" t="str">
        <f t="shared" ca="1" si="17"/>
        <v/>
      </c>
      <c r="B207" s="5"/>
      <c r="C207" s="11"/>
      <c r="D207" s="11"/>
      <c r="E207" s="11"/>
      <c r="F207" s="12">
        <f t="shared" si="19"/>
        <v>0</v>
      </c>
      <c r="G207" s="11"/>
      <c r="H207" s="42"/>
      <c r="I207" s="42"/>
      <c r="J207" s="44"/>
      <c r="K207" s="11"/>
    </row>
    <row r="208" spans="1:11" ht="18.75" x14ac:dyDescent="0.15">
      <c r="A208" s="10" t="str">
        <f t="shared" ca="1" si="17"/>
        <v/>
      </c>
      <c r="B208" s="5"/>
      <c r="C208" s="11"/>
      <c r="D208" s="11"/>
      <c r="E208" s="11"/>
      <c r="F208" s="12">
        <f t="shared" si="19"/>
        <v>0</v>
      </c>
      <c r="G208" s="11"/>
      <c r="H208" s="42"/>
      <c r="I208" s="42"/>
      <c r="J208" s="44"/>
      <c r="K208" s="11"/>
    </row>
    <row r="209" spans="1:11" ht="18.75" x14ac:dyDescent="0.15">
      <c r="A209" s="10" t="str">
        <f t="shared" ca="1" si="17"/>
        <v/>
      </c>
      <c r="B209" s="5"/>
      <c r="C209" s="11"/>
      <c r="D209" s="11"/>
      <c r="E209" s="11"/>
      <c r="F209" s="12">
        <f t="shared" si="19"/>
        <v>0</v>
      </c>
      <c r="G209" s="11"/>
      <c r="H209" s="42"/>
      <c r="I209" s="42"/>
      <c r="J209" s="44"/>
      <c r="K209" s="11"/>
    </row>
    <row r="210" spans="1:11" ht="18.75" x14ac:dyDescent="0.15">
      <c r="A210" s="10" t="str">
        <f t="shared" ca="1" si="17"/>
        <v/>
      </c>
      <c r="B210" s="5"/>
      <c r="C210" s="11"/>
      <c r="D210" s="11"/>
      <c r="E210" s="11"/>
      <c r="F210" s="12">
        <f t="shared" si="19"/>
        <v>0</v>
      </c>
      <c r="G210" s="11"/>
      <c r="H210" s="42"/>
      <c r="I210" s="42"/>
      <c r="J210" s="44"/>
      <c r="K210" s="11"/>
    </row>
    <row r="211" spans="1:11" ht="18.75" x14ac:dyDescent="0.15">
      <c r="A211" s="10" t="str">
        <f t="shared" ca="1" si="17"/>
        <v/>
      </c>
      <c r="B211" s="5"/>
      <c r="C211" s="11"/>
      <c r="D211" s="11"/>
      <c r="E211" s="11"/>
      <c r="F211" s="12">
        <f t="shared" si="19"/>
        <v>0</v>
      </c>
      <c r="G211" s="11"/>
      <c r="H211" s="42"/>
      <c r="I211" s="42"/>
      <c r="J211" s="44"/>
      <c r="K211" s="11"/>
    </row>
    <row r="212" spans="1:11" ht="18.75" x14ac:dyDescent="0.15">
      <c r="A212" s="10" t="str">
        <f t="shared" ca="1" si="17"/>
        <v/>
      </c>
      <c r="B212" s="5"/>
      <c r="C212" s="11"/>
      <c r="D212" s="11"/>
      <c r="E212" s="11"/>
      <c r="F212" s="12">
        <f t="shared" si="19"/>
        <v>0</v>
      </c>
      <c r="G212" s="11"/>
      <c r="H212" s="42"/>
      <c r="I212" s="42"/>
      <c r="J212" s="44"/>
      <c r="K212" s="11"/>
    </row>
    <row r="213" spans="1:11" ht="18.75" x14ac:dyDescent="0.15">
      <c r="A213" s="10" t="str">
        <f t="shared" ca="1" si="17"/>
        <v/>
      </c>
      <c r="B213" s="5"/>
      <c r="C213" s="11"/>
      <c r="D213" s="11"/>
      <c r="E213" s="11"/>
      <c r="F213" s="12">
        <f t="shared" si="19"/>
        <v>0</v>
      </c>
      <c r="G213" s="11"/>
      <c r="H213" s="42"/>
      <c r="I213" s="42"/>
      <c r="J213" s="44"/>
      <c r="K213" s="11"/>
    </row>
    <row r="214" spans="1:11" ht="18.75" x14ac:dyDescent="0.15">
      <c r="A214" s="10" t="str">
        <f t="shared" ca="1" si="17"/>
        <v/>
      </c>
      <c r="B214" s="5"/>
      <c r="C214" s="11"/>
      <c r="D214" s="11"/>
      <c r="E214" s="11"/>
      <c r="F214" s="12">
        <f t="shared" si="19"/>
        <v>0</v>
      </c>
      <c r="G214" s="11"/>
      <c r="H214" s="42"/>
      <c r="I214" s="42"/>
      <c r="J214" s="44"/>
      <c r="K214" s="11"/>
    </row>
    <row r="215" spans="1:11" ht="18.75" x14ac:dyDescent="0.15">
      <c r="A215" s="10" t="str">
        <f t="shared" ca="1" si="17"/>
        <v/>
      </c>
      <c r="B215" s="5"/>
      <c r="C215" s="11"/>
      <c r="D215" s="11"/>
      <c r="E215" s="11"/>
      <c r="F215" s="12">
        <f t="shared" si="19"/>
        <v>0</v>
      </c>
      <c r="G215" s="11"/>
      <c r="H215" s="42"/>
      <c r="I215" s="42"/>
      <c r="J215" s="44"/>
      <c r="K215" s="11"/>
    </row>
    <row r="216" spans="1:11" ht="18.75" x14ac:dyDescent="0.15">
      <c r="A216" s="10" t="str">
        <f t="shared" ca="1" si="17"/>
        <v/>
      </c>
      <c r="B216" s="5"/>
      <c r="C216" s="11"/>
      <c r="D216" s="11"/>
      <c r="E216" s="11"/>
      <c r="F216" s="12">
        <f t="shared" si="19"/>
        <v>0</v>
      </c>
      <c r="G216" s="11"/>
      <c r="H216" s="42"/>
      <c r="I216" s="42"/>
      <c r="J216" s="44"/>
      <c r="K216" s="11"/>
    </row>
    <row r="217" spans="1:11" ht="18.75" x14ac:dyDescent="0.15">
      <c r="A217" s="10" t="str">
        <f t="shared" ca="1" si="17"/>
        <v/>
      </c>
      <c r="B217" s="5"/>
      <c r="C217" s="11"/>
      <c r="D217" s="11"/>
      <c r="E217" s="11"/>
      <c r="F217" s="12">
        <f t="shared" si="19"/>
        <v>0</v>
      </c>
      <c r="G217" s="11"/>
      <c r="H217" s="42"/>
      <c r="I217" s="42"/>
      <c r="J217" s="44"/>
      <c r="K217" s="11"/>
    </row>
    <row r="218" spans="1:11" ht="18.75" x14ac:dyDescent="0.15">
      <c r="A218" s="10" t="str">
        <f t="shared" ca="1" si="17"/>
        <v/>
      </c>
      <c r="B218" s="5"/>
      <c r="C218" s="11"/>
      <c r="D218" s="11"/>
      <c r="E218" s="11"/>
      <c r="F218" s="12">
        <f t="shared" si="19"/>
        <v>0</v>
      </c>
      <c r="G218" s="11"/>
      <c r="H218" s="42"/>
      <c r="I218" s="42"/>
      <c r="J218" s="44"/>
      <c r="K218" s="11"/>
    </row>
    <row r="219" spans="1:11" ht="18.75" x14ac:dyDescent="0.15">
      <c r="A219" s="10" t="str">
        <f t="shared" ca="1" si="17"/>
        <v/>
      </c>
      <c r="B219" s="5"/>
      <c r="C219" s="11"/>
      <c r="D219" s="11"/>
      <c r="E219" s="11"/>
      <c r="F219" s="12">
        <f t="shared" si="19"/>
        <v>0</v>
      </c>
      <c r="G219" s="11"/>
      <c r="H219" s="42"/>
      <c r="I219" s="42"/>
      <c r="J219" s="44"/>
      <c r="K219" s="11"/>
    </row>
    <row r="220" spans="1:11" ht="18.75" x14ac:dyDescent="0.15">
      <c r="A220" s="10" t="str">
        <f t="shared" ca="1" si="17"/>
        <v/>
      </c>
      <c r="B220" s="5"/>
      <c r="C220" s="11"/>
      <c r="D220" s="11"/>
      <c r="E220" s="11"/>
      <c r="F220" s="12">
        <f t="shared" si="19"/>
        <v>0</v>
      </c>
      <c r="G220" s="11"/>
      <c r="H220" s="42"/>
      <c r="I220" s="42"/>
      <c r="J220" s="44"/>
      <c r="K220" s="11"/>
    </row>
    <row r="221" spans="1:11" ht="18.75" x14ac:dyDescent="0.15">
      <c r="A221" s="10" t="str">
        <f t="shared" ca="1" si="17"/>
        <v/>
      </c>
      <c r="B221" s="5"/>
      <c r="C221" s="11"/>
      <c r="D221" s="11"/>
      <c r="E221" s="11"/>
      <c r="F221" s="12">
        <f t="shared" si="19"/>
        <v>0</v>
      </c>
      <c r="G221" s="11"/>
      <c r="H221" s="42"/>
      <c r="I221" s="42"/>
      <c r="J221" s="44"/>
      <c r="K221" s="11"/>
    </row>
    <row r="222" spans="1:11" ht="18.75" x14ac:dyDescent="0.15">
      <c r="A222" s="10" t="str">
        <f t="shared" ca="1" si="17"/>
        <v/>
      </c>
      <c r="B222" s="5"/>
      <c r="C222" s="11"/>
      <c r="D222" s="11"/>
      <c r="E222" s="11"/>
      <c r="F222" s="12">
        <f t="shared" si="19"/>
        <v>0</v>
      </c>
      <c r="G222" s="11"/>
      <c r="H222" s="42"/>
      <c r="I222" s="42"/>
      <c r="J222" s="44"/>
      <c r="K222" s="11"/>
    </row>
    <row r="223" spans="1:11" ht="18.75" x14ac:dyDescent="0.15">
      <c r="A223" s="10" t="str">
        <f t="shared" ca="1" si="17"/>
        <v/>
      </c>
      <c r="B223" s="5"/>
      <c r="C223" s="11"/>
      <c r="D223" s="11"/>
      <c r="E223" s="11"/>
      <c r="F223" s="12">
        <f t="shared" si="19"/>
        <v>0</v>
      </c>
      <c r="G223" s="11"/>
      <c r="H223" s="42"/>
      <c r="I223" s="42"/>
      <c r="J223" s="44"/>
      <c r="K223" s="11"/>
    </row>
    <row r="224" spans="1:11" ht="18.75" x14ac:dyDescent="0.15">
      <c r="A224" s="10" t="str">
        <f t="shared" ca="1" si="17"/>
        <v/>
      </c>
      <c r="B224" s="5"/>
      <c r="C224" s="11"/>
      <c r="D224" s="11"/>
      <c r="E224" s="11"/>
      <c r="F224" s="12">
        <f t="shared" si="19"/>
        <v>0</v>
      </c>
      <c r="G224" s="11"/>
      <c r="H224" s="42"/>
      <c r="I224" s="42"/>
      <c r="J224" s="44"/>
      <c r="K224" s="11"/>
    </row>
    <row r="225" spans="1:11" ht="18.75" x14ac:dyDescent="0.15">
      <c r="A225" s="10" t="str">
        <f t="shared" ca="1" si="17"/>
        <v/>
      </c>
      <c r="B225" s="5"/>
      <c r="C225" s="11"/>
      <c r="D225" s="11"/>
      <c r="E225" s="11"/>
      <c r="F225" s="12">
        <f t="shared" si="19"/>
        <v>0</v>
      </c>
      <c r="G225" s="11"/>
      <c r="H225" s="42"/>
      <c r="I225" s="42"/>
      <c r="J225" s="44"/>
      <c r="K225" s="11"/>
    </row>
    <row r="226" spans="1:11" ht="18.75" x14ac:dyDescent="0.15">
      <c r="A226" s="10" t="str">
        <f t="shared" ca="1" si="17"/>
        <v/>
      </c>
      <c r="B226" s="5"/>
      <c r="C226" s="11"/>
      <c r="D226" s="11"/>
      <c r="E226" s="11"/>
      <c r="F226" s="12">
        <f t="shared" si="19"/>
        <v>0</v>
      </c>
      <c r="G226" s="11"/>
      <c r="H226" s="42"/>
      <c r="I226" s="42"/>
      <c r="J226" s="44"/>
      <c r="K226" s="11"/>
    </row>
    <row r="227" spans="1:11" ht="18.75" x14ac:dyDescent="0.15">
      <c r="A227" s="10" t="str">
        <f t="shared" ca="1" si="17"/>
        <v/>
      </c>
      <c r="B227" s="5"/>
      <c r="C227" s="11"/>
      <c r="D227" s="11"/>
      <c r="E227" s="11"/>
      <c r="F227" s="12">
        <f t="shared" si="19"/>
        <v>0</v>
      </c>
      <c r="G227" s="11"/>
      <c r="H227" s="42"/>
      <c r="I227" s="42"/>
      <c r="J227" s="44"/>
      <c r="K227" s="11"/>
    </row>
    <row r="228" spans="1:11" ht="18.75" x14ac:dyDescent="0.15">
      <c r="A228" s="10" t="str">
        <f t="shared" ca="1" si="17"/>
        <v/>
      </c>
      <c r="B228" s="5"/>
      <c r="C228" s="11"/>
      <c r="D228" s="11"/>
      <c r="E228" s="11"/>
      <c r="F228" s="12">
        <f t="shared" si="19"/>
        <v>0</v>
      </c>
      <c r="G228" s="11"/>
      <c r="H228" s="42"/>
      <c r="I228" s="42"/>
      <c r="J228" s="44"/>
      <c r="K228" s="11"/>
    </row>
    <row r="229" spans="1:11" ht="18.75" x14ac:dyDescent="0.15">
      <c r="A229" s="10" t="str">
        <f t="shared" ca="1" si="17"/>
        <v/>
      </c>
      <c r="B229" s="5"/>
      <c r="C229" s="11"/>
      <c r="D229" s="11"/>
      <c r="E229" s="11"/>
      <c r="F229" s="12">
        <f t="shared" si="19"/>
        <v>0</v>
      </c>
      <c r="G229" s="11"/>
      <c r="H229" s="42"/>
      <c r="I229" s="42"/>
      <c r="J229" s="44"/>
      <c r="K229" s="11"/>
    </row>
    <row r="230" spans="1:11" ht="18.75" x14ac:dyDescent="0.15">
      <c r="A230" s="10" t="str">
        <f t="shared" ca="1" si="17"/>
        <v/>
      </c>
      <c r="B230" s="5"/>
      <c r="C230" s="11"/>
      <c r="D230" s="11"/>
      <c r="E230" s="11"/>
      <c r="F230" s="12">
        <f t="shared" si="19"/>
        <v>0</v>
      </c>
      <c r="G230" s="11"/>
      <c r="H230" s="42"/>
      <c r="I230" s="42"/>
      <c r="J230" s="44"/>
      <c r="K230" s="11"/>
    </row>
    <row r="231" spans="1:11" ht="18.75" x14ac:dyDescent="0.15">
      <c r="A231" s="10" t="str">
        <f t="shared" ca="1" si="17"/>
        <v/>
      </c>
      <c r="B231" s="5"/>
      <c r="C231" s="11"/>
      <c r="D231" s="11"/>
      <c r="E231" s="11"/>
      <c r="F231" s="12">
        <f t="shared" si="19"/>
        <v>0</v>
      </c>
      <c r="G231" s="11"/>
      <c r="H231" s="42"/>
      <c r="I231" s="42"/>
      <c r="J231" s="44"/>
      <c r="K231" s="11"/>
    </row>
    <row r="232" spans="1:11" ht="18.75" x14ac:dyDescent="0.15">
      <c r="A232" s="10" t="str">
        <f t="shared" ca="1" si="17"/>
        <v/>
      </c>
      <c r="B232" s="5"/>
      <c r="C232" s="11"/>
      <c r="D232" s="11"/>
      <c r="E232" s="11"/>
      <c r="F232" s="12">
        <f t="shared" si="19"/>
        <v>0</v>
      </c>
      <c r="G232" s="11"/>
      <c r="H232" s="42"/>
      <c r="I232" s="42"/>
      <c r="J232" s="44"/>
      <c r="K232" s="11"/>
    </row>
    <row r="233" spans="1:11" ht="18.75" x14ac:dyDescent="0.15">
      <c r="A233" s="10" t="str">
        <f t="shared" ca="1" si="17"/>
        <v/>
      </c>
      <c r="B233" s="5"/>
      <c r="C233" s="11"/>
      <c r="D233" s="11"/>
      <c r="E233" s="11"/>
      <c r="F233" s="12">
        <f t="shared" si="19"/>
        <v>0</v>
      </c>
      <c r="G233" s="11"/>
      <c r="H233" s="42"/>
      <c r="I233" s="42"/>
      <c r="J233" s="44"/>
      <c r="K233" s="11"/>
    </row>
    <row r="234" spans="1:11" ht="18.75" x14ac:dyDescent="0.15">
      <c r="A234" s="10" t="str">
        <f t="shared" ca="1" si="17"/>
        <v/>
      </c>
      <c r="B234" s="5"/>
      <c r="C234" s="11"/>
      <c r="D234" s="11"/>
      <c r="E234" s="11"/>
      <c r="F234" s="12">
        <f t="shared" si="19"/>
        <v>0</v>
      </c>
      <c r="G234" s="11"/>
      <c r="H234" s="42"/>
      <c r="I234" s="42"/>
      <c r="J234" s="44"/>
      <c r="K234" s="11"/>
    </row>
    <row r="235" spans="1:11" ht="18.75" x14ac:dyDescent="0.15">
      <c r="A235" s="10" t="str">
        <f t="shared" ca="1" si="17"/>
        <v/>
      </c>
      <c r="B235" s="5"/>
      <c r="C235" s="11"/>
      <c r="D235" s="11"/>
      <c r="E235" s="11"/>
      <c r="F235" s="12">
        <f t="shared" si="19"/>
        <v>0</v>
      </c>
      <c r="G235" s="11"/>
      <c r="H235" s="42"/>
      <c r="I235" s="42"/>
      <c r="J235" s="44"/>
      <c r="K235" s="11"/>
    </row>
    <row r="236" spans="1:11" ht="18.75" x14ac:dyDescent="0.15">
      <c r="A236" s="10" t="str">
        <f t="shared" ca="1" si="17"/>
        <v/>
      </c>
      <c r="B236" s="5"/>
      <c r="C236" s="11"/>
      <c r="D236" s="11"/>
      <c r="E236" s="11"/>
      <c r="F236" s="12">
        <f t="shared" si="19"/>
        <v>0</v>
      </c>
      <c r="G236" s="11"/>
      <c r="H236" s="42"/>
      <c r="I236" s="42"/>
      <c r="J236" s="44"/>
      <c r="K236" s="11"/>
    </row>
    <row r="237" spans="1:11" ht="18.75" x14ac:dyDescent="0.15">
      <c r="A237" s="10" t="str">
        <f t="shared" ca="1" si="17"/>
        <v/>
      </c>
      <c r="B237" s="5"/>
      <c r="C237" s="11"/>
      <c r="D237" s="11"/>
      <c r="E237" s="11"/>
      <c r="F237" s="12">
        <f t="shared" si="19"/>
        <v>0</v>
      </c>
      <c r="G237" s="11"/>
      <c r="H237" s="42"/>
      <c r="I237" s="42"/>
      <c r="J237" s="44"/>
      <c r="K237" s="11"/>
    </row>
    <row r="238" spans="1:11" ht="18.75" x14ac:dyDescent="0.15">
      <c r="A238" s="10" t="str">
        <f t="shared" ca="1" si="17"/>
        <v/>
      </c>
      <c r="B238" s="5"/>
      <c r="C238" s="11"/>
      <c r="D238" s="11"/>
      <c r="E238" s="11"/>
      <c r="F238" s="12">
        <f t="shared" si="19"/>
        <v>0</v>
      </c>
      <c r="G238" s="11"/>
      <c r="H238" s="42"/>
      <c r="I238" s="42"/>
      <c r="J238" s="44"/>
      <c r="K238" s="11"/>
    </row>
    <row r="239" spans="1:11" ht="18.75" x14ac:dyDescent="0.15">
      <c r="A239" s="10" t="str">
        <f t="shared" ca="1" si="17"/>
        <v/>
      </c>
      <c r="B239" s="5"/>
      <c r="C239" s="11"/>
      <c r="D239" s="11"/>
      <c r="E239" s="11"/>
      <c r="F239" s="12">
        <f t="shared" si="19"/>
        <v>0</v>
      </c>
      <c r="G239" s="11"/>
      <c r="H239" s="42"/>
      <c r="I239" s="42"/>
      <c r="J239" s="44"/>
      <c r="K239" s="11"/>
    </row>
    <row r="240" spans="1:11" ht="18.75" x14ac:dyDescent="0.15">
      <c r="A240" s="10" t="str">
        <f t="shared" ca="1" si="17"/>
        <v/>
      </c>
      <c r="B240" s="5"/>
      <c r="C240" s="11"/>
      <c r="D240" s="11"/>
      <c r="E240" s="11"/>
      <c r="F240" s="12">
        <f t="shared" si="19"/>
        <v>0</v>
      </c>
      <c r="G240" s="11"/>
      <c r="H240" s="42"/>
      <c r="I240" s="42"/>
      <c r="J240" s="44"/>
      <c r="K240" s="11"/>
    </row>
    <row r="241" spans="1:11" ht="18.75" x14ac:dyDescent="0.15">
      <c r="A241" s="10" t="str">
        <f t="shared" ca="1" si="17"/>
        <v/>
      </c>
      <c r="B241" s="5"/>
      <c r="C241" s="11"/>
      <c r="D241" s="11"/>
      <c r="E241" s="11"/>
      <c r="F241" s="12">
        <f t="shared" si="19"/>
        <v>0</v>
      </c>
      <c r="G241" s="11"/>
      <c r="H241" s="42"/>
      <c r="I241" s="42"/>
      <c r="J241" s="44"/>
      <c r="K241" s="11"/>
    </row>
    <row r="242" spans="1:11" ht="18.75" x14ac:dyDescent="0.15">
      <c r="A242" s="10" t="str">
        <f t="shared" ca="1" si="17"/>
        <v/>
      </c>
      <c r="B242" s="5"/>
      <c r="C242" s="11"/>
      <c r="D242" s="11"/>
      <c r="E242" s="11"/>
      <c r="F242" s="12">
        <f t="shared" si="19"/>
        <v>0</v>
      </c>
      <c r="G242" s="11"/>
      <c r="H242" s="42"/>
      <c r="I242" s="42"/>
      <c r="J242" s="44"/>
      <c r="K242" s="11"/>
    </row>
    <row r="243" spans="1:11" ht="18.75" x14ac:dyDescent="0.15">
      <c r="A243" s="10" t="str">
        <f t="shared" ca="1" si="17"/>
        <v/>
      </c>
      <c r="B243" s="5"/>
      <c r="C243" s="11"/>
      <c r="D243" s="11"/>
      <c r="E243" s="11"/>
      <c r="F243" s="12">
        <f t="shared" si="19"/>
        <v>0</v>
      </c>
      <c r="G243" s="11"/>
      <c r="H243" s="42"/>
      <c r="I243" s="42"/>
      <c r="J243" s="44"/>
      <c r="K243" s="11"/>
    </row>
    <row r="244" spans="1:11" ht="18.75" x14ac:dyDescent="0.15">
      <c r="A244" s="10" t="str">
        <f t="shared" ca="1" si="17"/>
        <v/>
      </c>
      <c r="B244" s="5"/>
      <c r="C244" s="11"/>
      <c r="D244" s="11"/>
      <c r="E244" s="11"/>
      <c r="F244" s="12">
        <f t="shared" si="19"/>
        <v>0</v>
      </c>
      <c r="G244" s="11"/>
      <c r="H244" s="42"/>
      <c r="I244" s="42"/>
      <c r="J244" s="44"/>
      <c r="K244" s="11"/>
    </row>
    <row r="245" spans="1:11" ht="18.75" x14ac:dyDescent="0.15">
      <c r="A245" s="10" t="str">
        <f t="shared" ca="1" si="17"/>
        <v/>
      </c>
      <c r="B245" s="5"/>
      <c r="C245" s="11"/>
      <c r="D245" s="11"/>
      <c r="E245" s="11"/>
      <c r="F245" s="12">
        <f t="shared" si="19"/>
        <v>0</v>
      </c>
      <c r="G245" s="11"/>
      <c r="H245" s="42"/>
      <c r="I245" s="42"/>
      <c r="J245" s="44"/>
      <c r="K245" s="11"/>
    </row>
    <row r="246" spans="1:11" ht="18.75" x14ac:dyDescent="0.15">
      <c r="A246" s="10" t="str">
        <f t="shared" ca="1" si="17"/>
        <v/>
      </c>
      <c r="B246" s="5"/>
      <c r="C246" s="11"/>
      <c r="D246" s="11"/>
      <c r="E246" s="11"/>
      <c r="F246" s="12">
        <f t="shared" si="19"/>
        <v>0</v>
      </c>
      <c r="G246" s="11"/>
      <c r="H246" s="42"/>
      <c r="I246" s="42"/>
      <c r="J246" s="44"/>
      <c r="K246" s="11"/>
    </row>
    <row r="247" spans="1:11" ht="18.75" x14ac:dyDescent="0.15">
      <c r="A247" s="10" t="str">
        <f t="shared" ca="1" si="17"/>
        <v/>
      </c>
      <c r="B247" s="5"/>
      <c r="C247" s="11"/>
      <c r="D247" s="11"/>
      <c r="E247" s="11"/>
      <c r="F247" s="12">
        <f t="shared" si="19"/>
        <v>0</v>
      </c>
      <c r="G247" s="11"/>
      <c r="H247" s="42"/>
      <c r="I247" s="42"/>
      <c r="J247" s="44"/>
      <c r="K247" s="11"/>
    </row>
    <row r="248" spans="1:11" ht="18.75" x14ac:dyDescent="0.15">
      <c r="A248" s="10" t="str">
        <f t="shared" ca="1" si="17"/>
        <v/>
      </c>
      <c r="B248" s="5"/>
      <c r="C248" s="11"/>
      <c r="D248" s="11"/>
      <c r="E248" s="11"/>
      <c r="F248" s="12">
        <f t="shared" si="19"/>
        <v>0</v>
      </c>
      <c r="G248" s="11"/>
      <c r="H248" s="42"/>
      <c r="I248" s="42"/>
      <c r="J248" s="44"/>
      <c r="K248" s="11"/>
    </row>
    <row r="249" spans="1:11" ht="18.75" x14ac:dyDescent="0.15">
      <c r="A249" s="10" t="str">
        <f t="shared" ca="1" si="17"/>
        <v/>
      </c>
      <c r="B249" s="5"/>
      <c r="C249" s="11"/>
      <c r="D249" s="11"/>
      <c r="E249" s="11"/>
      <c r="F249" s="12">
        <f t="shared" si="19"/>
        <v>0</v>
      </c>
      <c r="G249" s="11"/>
      <c r="H249" s="42"/>
      <c r="I249" s="42"/>
      <c r="J249" s="44"/>
      <c r="K249" s="11"/>
    </row>
    <row r="250" spans="1:11" ht="18.75" x14ac:dyDescent="0.15">
      <c r="A250" s="10" t="str">
        <f t="shared" ca="1" si="17"/>
        <v/>
      </c>
      <c r="B250" s="5"/>
      <c r="C250" s="11"/>
      <c r="D250" s="11"/>
      <c r="E250" s="11"/>
      <c r="F250" s="12">
        <f t="shared" si="19"/>
        <v>0</v>
      </c>
      <c r="G250" s="11"/>
      <c r="H250" s="42"/>
      <c r="I250" s="42"/>
      <c r="J250" s="44"/>
      <c r="K250" s="11"/>
    </row>
    <row r="251" spans="1:11" ht="18.75" x14ac:dyDescent="0.15">
      <c r="A251" s="10" t="str">
        <f t="shared" ca="1" si="17"/>
        <v/>
      </c>
      <c r="B251" s="5"/>
      <c r="C251" s="11"/>
      <c r="D251" s="11"/>
      <c r="E251" s="11"/>
      <c r="F251" s="12">
        <f t="shared" si="19"/>
        <v>0</v>
      </c>
      <c r="G251" s="11"/>
      <c r="H251" s="42"/>
      <c r="I251" s="42"/>
      <c r="J251" s="44"/>
      <c r="K251" s="11"/>
    </row>
    <row r="252" spans="1:11" ht="18.75" x14ac:dyDescent="0.15">
      <c r="A252" s="10" t="str">
        <f t="shared" ca="1" si="17"/>
        <v/>
      </c>
      <c r="B252" s="5"/>
      <c r="C252" s="11"/>
      <c r="D252" s="11"/>
      <c r="E252" s="11"/>
      <c r="F252" s="12">
        <f t="shared" si="19"/>
        <v>0</v>
      </c>
      <c r="G252" s="11"/>
      <c r="H252" s="42"/>
      <c r="I252" s="42"/>
      <c r="J252" s="44"/>
      <c r="K252" s="11"/>
    </row>
    <row r="253" spans="1:11" ht="18.75" x14ac:dyDescent="0.15">
      <c r="A253" s="10" t="str">
        <f t="shared" ca="1" si="17"/>
        <v/>
      </c>
      <c r="B253" s="5"/>
      <c r="C253" s="11"/>
      <c r="D253" s="11"/>
      <c r="E253" s="11"/>
      <c r="F253" s="12">
        <f t="shared" si="19"/>
        <v>0</v>
      </c>
      <c r="G253" s="11"/>
      <c r="H253" s="42"/>
      <c r="I253" s="42"/>
      <c r="J253" s="44"/>
      <c r="K253" s="11"/>
    </row>
    <row r="254" spans="1:11" ht="18.75" x14ac:dyDescent="0.15">
      <c r="A254" s="10" t="str">
        <f t="shared" ca="1" si="17"/>
        <v/>
      </c>
      <c r="B254" s="5"/>
      <c r="C254" s="11"/>
      <c r="D254" s="11"/>
      <c r="E254" s="11"/>
      <c r="F254" s="12">
        <f t="shared" si="19"/>
        <v>0</v>
      </c>
      <c r="G254" s="11"/>
      <c r="H254" s="42"/>
      <c r="I254" s="42"/>
      <c r="J254" s="44"/>
      <c r="K254" s="11"/>
    </row>
    <row r="255" spans="1:11" ht="18.75" x14ac:dyDescent="0.15">
      <c r="A255" s="10" t="str">
        <f t="shared" ca="1" si="17"/>
        <v/>
      </c>
      <c r="B255" s="5"/>
      <c r="C255" s="11"/>
      <c r="D255" s="11"/>
      <c r="E255" s="11"/>
      <c r="F255" s="12">
        <f t="shared" si="19"/>
        <v>0</v>
      </c>
      <c r="G255" s="11"/>
      <c r="H255" s="42"/>
      <c r="I255" s="42"/>
      <c r="J255" s="44"/>
      <c r="K255" s="11"/>
    </row>
    <row r="256" spans="1:11" ht="18.75" x14ac:dyDescent="0.15">
      <c r="A256" s="10" t="str">
        <f t="shared" ca="1" si="17"/>
        <v/>
      </c>
      <c r="B256" s="5"/>
      <c r="C256" s="11"/>
      <c r="D256" s="11"/>
      <c r="E256" s="11"/>
      <c r="F256" s="12">
        <f t="shared" si="19"/>
        <v>0</v>
      </c>
      <c r="G256" s="11"/>
      <c r="H256" s="42"/>
      <c r="I256" s="42"/>
      <c r="J256" s="44"/>
      <c r="K256" s="11"/>
    </row>
    <row r="257" spans="1:11" ht="18.75" x14ac:dyDescent="0.15">
      <c r="A257" s="10" t="str">
        <f t="shared" ca="1" si="17"/>
        <v/>
      </c>
      <c r="B257" s="5"/>
      <c r="C257" s="11"/>
      <c r="D257" s="11"/>
      <c r="E257" s="11"/>
      <c r="F257" s="12">
        <f t="shared" si="19"/>
        <v>0</v>
      </c>
      <c r="G257" s="11"/>
      <c r="H257" s="42"/>
      <c r="I257" s="42"/>
      <c r="J257" s="44"/>
      <c r="K257" s="11"/>
    </row>
    <row r="258" spans="1:11" ht="18.75" x14ac:dyDescent="0.15">
      <c r="A258" s="10" t="str">
        <f t="shared" ca="1" si="17"/>
        <v/>
      </c>
      <c r="B258" s="5"/>
      <c r="C258" s="11"/>
      <c r="D258" s="11"/>
      <c r="E258" s="11"/>
      <c r="F258" s="12">
        <f t="shared" si="19"/>
        <v>0</v>
      </c>
      <c r="G258" s="11"/>
      <c r="H258" s="42"/>
      <c r="I258" s="42"/>
      <c r="J258" s="44"/>
      <c r="K258" s="11"/>
    </row>
    <row r="259" spans="1:11" ht="18.75" x14ac:dyDescent="0.15">
      <c r="A259" s="10" t="str">
        <f t="shared" ref="A259:A322" ca="1" si="20">IF(B259="","",IF(A259="",NOW(),A259))</f>
        <v/>
      </c>
      <c r="B259" s="5"/>
      <c r="C259" s="11"/>
      <c r="D259" s="11"/>
      <c r="E259" s="11"/>
      <c r="F259" s="12">
        <f t="shared" si="19"/>
        <v>0</v>
      </c>
      <c r="G259" s="11"/>
      <c r="H259" s="42"/>
      <c r="I259" s="42"/>
      <c r="J259" s="44"/>
      <c r="K259" s="11"/>
    </row>
    <row r="260" spans="1:11" ht="18.75" x14ac:dyDescent="0.15">
      <c r="A260" s="10" t="str">
        <f t="shared" ca="1" si="20"/>
        <v/>
      </c>
      <c r="B260" s="5"/>
      <c r="C260" s="11"/>
      <c r="D260" s="11"/>
      <c r="E260" s="11"/>
      <c r="F260" s="12">
        <f t="shared" si="19"/>
        <v>0</v>
      </c>
      <c r="G260" s="11"/>
      <c r="H260" s="42"/>
      <c r="I260" s="42"/>
      <c r="J260" s="44"/>
      <c r="K260" s="11"/>
    </row>
    <row r="261" spans="1:11" ht="18.75" x14ac:dyDescent="0.15">
      <c r="A261" s="10" t="str">
        <f t="shared" ca="1" si="20"/>
        <v/>
      </c>
      <c r="B261" s="5"/>
      <c r="C261" s="11"/>
      <c r="D261" s="11"/>
      <c r="E261" s="11"/>
      <c r="F261" s="12">
        <f t="shared" si="19"/>
        <v>0</v>
      </c>
      <c r="G261" s="11"/>
      <c r="H261" s="42"/>
      <c r="I261" s="42"/>
      <c r="J261" s="44"/>
      <c r="K261" s="11"/>
    </row>
    <row r="262" spans="1:11" ht="18.75" x14ac:dyDescent="0.15">
      <c r="A262" s="10" t="str">
        <f t="shared" ca="1" si="20"/>
        <v/>
      </c>
      <c r="B262" s="5"/>
      <c r="C262" s="11"/>
      <c r="D262" s="11"/>
      <c r="E262" s="11"/>
      <c r="F262" s="12">
        <f t="shared" si="19"/>
        <v>0</v>
      </c>
      <c r="G262" s="11"/>
      <c r="H262" s="42"/>
      <c r="I262" s="42"/>
      <c r="J262" s="44"/>
      <c r="K262" s="11"/>
    </row>
    <row r="263" spans="1:11" ht="18.75" x14ac:dyDescent="0.15">
      <c r="A263" s="10" t="str">
        <f t="shared" ca="1" si="20"/>
        <v/>
      </c>
      <c r="B263" s="5"/>
      <c r="C263" s="11"/>
      <c r="D263" s="11"/>
      <c r="E263" s="11"/>
      <c r="F263" s="12">
        <f t="shared" si="19"/>
        <v>0</v>
      </c>
      <c r="G263" s="11"/>
      <c r="H263" s="42"/>
      <c r="I263" s="42"/>
      <c r="J263" s="44"/>
      <c r="K263" s="11"/>
    </row>
    <row r="264" spans="1:11" ht="18.75" x14ac:dyDescent="0.15">
      <c r="A264" s="10" t="str">
        <f t="shared" ca="1" si="20"/>
        <v/>
      </c>
      <c r="B264" s="5"/>
      <c r="C264" s="11"/>
      <c r="D264" s="11"/>
      <c r="E264" s="11"/>
      <c r="F264" s="12">
        <f t="shared" si="19"/>
        <v>0</v>
      </c>
      <c r="G264" s="11"/>
      <c r="H264" s="42"/>
      <c r="I264" s="42"/>
      <c r="J264" s="44"/>
      <c r="K264" s="11"/>
    </row>
    <row r="265" spans="1:11" ht="18.75" x14ac:dyDescent="0.15">
      <c r="A265" s="10" t="str">
        <f t="shared" ca="1" si="20"/>
        <v/>
      </c>
      <c r="B265" s="5"/>
      <c r="C265" s="11"/>
      <c r="D265" s="11"/>
      <c r="E265" s="11"/>
      <c r="F265" s="12">
        <f t="shared" si="19"/>
        <v>0</v>
      </c>
      <c r="G265" s="11"/>
      <c r="H265" s="42"/>
      <c r="I265" s="42"/>
      <c r="J265" s="44"/>
      <c r="K265" s="11"/>
    </row>
    <row r="266" spans="1:11" ht="18.75" x14ac:dyDescent="0.15">
      <c r="A266" s="10" t="str">
        <f t="shared" ca="1" si="20"/>
        <v/>
      </c>
      <c r="B266" s="5"/>
      <c r="C266" s="11"/>
      <c r="D266" s="11"/>
      <c r="E266" s="11"/>
      <c r="F266" s="12">
        <f t="shared" si="19"/>
        <v>0</v>
      </c>
      <c r="G266" s="11"/>
      <c r="H266" s="42"/>
      <c r="I266" s="42"/>
      <c r="J266" s="44"/>
      <c r="K266" s="11"/>
    </row>
    <row r="267" spans="1:11" ht="18.75" x14ac:dyDescent="0.15">
      <c r="A267" s="10" t="str">
        <f t="shared" ca="1" si="20"/>
        <v/>
      </c>
      <c r="B267" s="5"/>
      <c r="C267" s="11"/>
      <c r="D267" s="11"/>
      <c r="E267" s="11"/>
      <c r="F267" s="12">
        <f t="shared" si="19"/>
        <v>0</v>
      </c>
      <c r="G267" s="11"/>
      <c r="H267" s="42"/>
      <c r="I267" s="42"/>
      <c r="J267" s="44"/>
      <c r="K267" s="11"/>
    </row>
    <row r="268" spans="1:11" ht="18.75" x14ac:dyDescent="0.15">
      <c r="A268" s="10" t="str">
        <f t="shared" ca="1" si="20"/>
        <v/>
      </c>
      <c r="B268" s="5"/>
      <c r="C268" s="11"/>
      <c r="D268" s="11"/>
      <c r="E268" s="11"/>
      <c r="F268" s="12">
        <f t="shared" si="19"/>
        <v>0</v>
      </c>
      <c r="G268" s="11"/>
      <c r="H268" s="42"/>
      <c r="I268" s="42"/>
      <c r="J268" s="44"/>
      <c r="K268" s="11"/>
    </row>
    <row r="269" spans="1:11" ht="18.75" x14ac:dyDescent="0.15">
      <c r="A269" s="10" t="str">
        <f t="shared" ca="1" si="20"/>
        <v/>
      </c>
      <c r="B269" s="5"/>
      <c r="C269" s="11"/>
      <c r="D269" s="11"/>
      <c r="E269" s="11"/>
      <c r="F269" s="12">
        <f t="shared" si="19"/>
        <v>0</v>
      </c>
      <c r="G269" s="11"/>
      <c r="H269" s="42"/>
      <c r="I269" s="42"/>
      <c r="J269" s="44"/>
      <c r="K269" s="11"/>
    </row>
    <row r="270" spans="1:11" ht="18.75" x14ac:dyDescent="0.15">
      <c r="A270" s="10" t="str">
        <f t="shared" ca="1" si="20"/>
        <v/>
      </c>
      <c r="B270" s="5"/>
      <c r="C270" s="11"/>
      <c r="D270" s="11"/>
      <c r="E270" s="11"/>
      <c r="F270" s="12">
        <f t="shared" ref="F270:F333" si="21">IF(E270-C270&lt;0,"24:00"-C270+E270,E270-C270)</f>
        <v>0</v>
      </c>
      <c r="G270" s="11"/>
      <c r="H270" s="42"/>
      <c r="I270" s="42"/>
      <c r="J270" s="44"/>
      <c r="K270" s="11"/>
    </row>
    <row r="271" spans="1:11" ht="18.75" x14ac:dyDescent="0.15">
      <c r="A271" s="10" t="str">
        <f t="shared" ca="1" si="20"/>
        <v/>
      </c>
      <c r="B271" s="5"/>
      <c r="C271" s="11"/>
      <c r="D271" s="11"/>
      <c r="E271" s="11"/>
      <c r="F271" s="12">
        <f t="shared" si="21"/>
        <v>0</v>
      </c>
      <c r="G271" s="11"/>
      <c r="H271" s="42"/>
      <c r="I271" s="42"/>
      <c r="J271" s="44"/>
      <c r="K271" s="11"/>
    </row>
    <row r="272" spans="1:11" ht="18.75" x14ac:dyDescent="0.15">
      <c r="A272" s="10" t="str">
        <f t="shared" ca="1" si="20"/>
        <v/>
      </c>
      <c r="B272" s="5"/>
      <c r="C272" s="11"/>
      <c r="D272" s="11"/>
      <c r="E272" s="11"/>
      <c r="F272" s="12">
        <f t="shared" si="21"/>
        <v>0</v>
      </c>
      <c r="G272" s="11"/>
      <c r="H272" s="42"/>
      <c r="I272" s="42"/>
      <c r="J272" s="44"/>
      <c r="K272" s="11"/>
    </row>
    <row r="273" spans="1:11" ht="18.75" x14ac:dyDescent="0.15">
      <c r="A273" s="10" t="str">
        <f t="shared" ca="1" si="20"/>
        <v/>
      </c>
      <c r="B273" s="5"/>
      <c r="C273" s="11"/>
      <c r="D273" s="11"/>
      <c r="E273" s="11"/>
      <c r="F273" s="12">
        <f t="shared" si="21"/>
        <v>0</v>
      </c>
      <c r="G273" s="11"/>
      <c r="H273" s="42"/>
      <c r="I273" s="42"/>
      <c r="J273" s="44"/>
      <c r="K273" s="11"/>
    </row>
    <row r="274" spans="1:11" ht="18.75" x14ac:dyDescent="0.15">
      <c r="A274" s="10" t="str">
        <f t="shared" ca="1" si="20"/>
        <v/>
      </c>
      <c r="B274" s="5"/>
      <c r="C274" s="11"/>
      <c r="D274" s="11"/>
      <c r="E274" s="11"/>
      <c r="F274" s="12">
        <f t="shared" si="21"/>
        <v>0</v>
      </c>
      <c r="G274" s="11"/>
      <c r="H274" s="42"/>
      <c r="I274" s="42"/>
      <c r="J274" s="44"/>
      <c r="K274" s="11"/>
    </row>
    <row r="275" spans="1:11" ht="18.75" x14ac:dyDescent="0.15">
      <c r="A275" s="10" t="str">
        <f t="shared" ca="1" si="20"/>
        <v/>
      </c>
      <c r="B275" s="5"/>
      <c r="C275" s="11"/>
      <c r="D275" s="11"/>
      <c r="E275" s="11"/>
      <c r="F275" s="12">
        <f t="shared" si="21"/>
        <v>0</v>
      </c>
      <c r="G275" s="11"/>
      <c r="H275" s="42"/>
      <c r="I275" s="42"/>
      <c r="J275" s="44"/>
      <c r="K275" s="11"/>
    </row>
    <row r="276" spans="1:11" ht="18.75" x14ac:dyDescent="0.15">
      <c r="A276" s="10" t="str">
        <f t="shared" ca="1" si="20"/>
        <v/>
      </c>
      <c r="B276" s="5"/>
      <c r="C276" s="11"/>
      <c r="D276" s="11"/>
      <c r="E276" s="11"/>
      <c r="F276" s="12">
        <f t="shared" si="21"/>
        <v>0</v>
      </c>
      <c r="G276" s="11"/>
      <c r="H276" s="42"/>
      <c r="I276" s="42"/>
      <c r="J276" s="44"/>
      <c r="K276" s="11"/>
    </row>
    <row r="277" spans="1:11" ht="18.75" x14ac:dyDescent="0.15">
      <c r="A277" s="10" t="str">
        <f t="shared" ca="1" si="20"/>
        <v/>
      </c>
      <c r="B277" s="5"/>
      <c r="C277" s="11"/>
      <c r="D277" s="11"/>
      <c r="E277" s="11"/>
      <c r="F277" s="12">
        <f t="shared" si="21"/>
        <v>0</v>
      </c>
      <c r="G277" s="11"/>
      <c r="H277" s="42"/>
      <c r="I277" s="42"/>
      <c r="J277" s="44"/>
      <c r="K277" s="11"/>
    </row>
    <row r="278" spans="1:11" ht="18.75" x14ac:dyDescent="0.15">
      <c r="A278" s="10" t="str">
        <f t="shared" ca="1" si="20"/>
        <v/>
      </c>
      <c r="B278" s="5"/>
      <c r="C278" s="11"/>
      <c r="D278" s="11"/>
      <c r="E278" s="11"/>
      <c r="F278" s="12">
        <f t="shared" si="21"/>
        <v>0</v>
      </c>
      <c r="G278" s="11"/>
      <c r="H278" s="42"/>
      <c r="I278" s="42"/>
      <c r="J278" s="44"/>
      <c r="K278" s="11"/>
    </row>
    <row r="279" spans="1:11" ht="18.75" x14ac:dyDescent="0.15">
      <c r="A279" s="10" t="str">
        <f t="shared" ca="1" si="20"/>
        <v/>
      </c>
      <c r="B279" s="5"/>
      <c r="C279" s="11"/>
      <c r="D279" s="11"/>
      <c r="E279" s="11"/>
      <c r="F279" s="12">
        <f t="shared" si="21"/>
        <v>0</v>
      </c>
      <c r="G279" s="11"/>
      <c r="H279" s="42"/>
      <c r="I279" s="42"/>
      <c r="J279" s="44"/>
      <c r="K279" s="11"/>
    </row>
    <row r="280" spans="1:11" ht="18.75" x14ac:dyDescent="0.15">
      <c r="A280" s="10" t="str">
        <f t="shared" ca="1" si="20"/>
        <v/>
      </c>
      <c r="B280" s="5"/>
      <c r="C280" s="11"/>
      <c r="D280" s="11"/>
      <c r="E280" s="11"/>
      <c r="F280" s="12">
        <f t="shared" si="21"/>
        <v>0</v>
      </c>
      <c r="G280" s="11"/>
      <c r="H280" s="42"/>
      <c r="I280" s="42"/>
      <c r="J280" s="44"/>
      <c r="K280" s="11"/>
    </row>
    <row r="281" spans="1:11" ht="18.75" x14ac:dyDescent="0.15">
      <c r="A281" s="10" t="str">
        <f t="shared" ca="1" si="20"/>
        <v/>
      </c>
      <c r="B281" s="5"/>
      <c r="C281" s="11"/>
      <c r="D281" s="11"/>
      <c r="E281" s="11"/>
      <c r="F281" s="12">
        <f t="shared" si="21"/>
        <v>0</v>
      </c>
      <c r="G281" s="11"/>
      <c r="H281" s="42"/>
      <c r="I281" s="42"/>
      <c r="J281" s="44"/>
      <c r="K281" s="11"/>
    </row>
    <row r="282" spans="1:11" ht="18.75" x14ac:dyDescent="0.15">
      <c r="A282" s="10" t="str">
        <f t="shared" ca="1" si="20"/>
        <v/>
      </c>
      <c r="B282" s="5"/>
      <c r="C282" s="11"/>
      <c r="D282" s="11"/>
      <c r="E282" s="11"/>
      <c r="F282" s="12">
        <f t="shared" si="21"/>
        <v>0</v>
      </c>
      <c r="G282" s="11"/>
      <c r="H282" s="42"/>
      <c r="I282" s="42"/>
      <c r="J282" s="44"/>
      <c r="K282" s="11"/>
    </row>
    <row r="283" spans="1:11" ht="18.75" x14ac:dyDescent="0.15">
      <c r="A283" s="10" t="str">
        <f t="shared" ca="1" si="20"/>
        <v/>
      </c>
      <c r="B283" s="5"/>
      <c r="C283" s="11"/>
      <c r="D283" s="11"/>
      <c r="E283" s="11"/>
      <c r="F283" s="12">
        <f t="shared" si="21"/>
        <v>0</v>
      </c>
      <c r="G283" s="11"/>
      <c r="H283" s="42"/>
      <c r="I283" s="42"/>
      <c r="J283" s="44"/>
      <c r="K283" s="11"/>
    </row>
    <row r="284" spans="1:11" ht="18.75" x14ac:dyDescent="0.15">
      <c r="A284" s="10" t="str">
        <f t="shared" ca="1" si="20"/>
        <v/>
      </c>
      <c r="B284" s="5"/>
      <c r="C284" s="11"/>
      <c r="D284" s="11"/>
      <c r="E284" s="11"/>
      <c r="F284" s="12">
        <f t="shared" si="21"/>
        <v>0</v>
      </c>
      <c r="G284" s="11"/>
      <c r="H284" s="42"/>
      <c r="I284" s="42"/>
      <c r="J284" s="44"/>
      <c r="K284" s="11"/>
    </row>
    <row r="285" spans="1:11" ht="18.75" x14ac:dyDescent="0.15">
      <c r="A285" s="10" t="str">
        <f t="shared" ca="1" si="20"/>
        <v/>
      </c>
      <c r="B285" s="5"/>
      <c r="C285" s="11"/>
      <c r="D285" s="11"/>
      <c r="E285" s="11"/>
      <c r="F285" s="12">
        <f t="shared" si="21"/>
        <v>0</v>
      </c>
      <c r="G285" s="11"/>
      <c r="H285" s="42"/>
      <c r="I285" s="42"/>
      <c r="J285" s="44"/>
      <c r="K285" s="11"/>
    </row>
    <row r="286" spans="1:11" ht="18.75" x14ac:dyDescent="0.15">
      <c r="A286" s="10" t="str">
        <f t="shared" ca="1" si="20"/>
        <v/>
      </c>
      <c r="B286" s="5"/>
      <c r="C286" s="11"/>
      <c r="D286" s="11"/>
      <c r="E286" s="11"/>
      <c r="F286" s="12">
        <f t="shared" si="21"/>
        <v>0</v>
      </c>
      <c r="G286" s="11"/>
      <c r="H286" s="42"/>
      <c r="I286" s="42"/>
      <c r="J286" s="44"/>
      <c r="K286" s="11"/>
    </row>
    <row r="287" spans="1:11" ht="18.75" x14ac:dyDescent="0.15">
      <c r="A287" s="10" t="str">
        <f t="shared" ca="1" si="20"/>
        <v/>
      </c>
      <c r="B287" s="5"/>
      <c r="C287" s="11"/>
      <c r="D287" s="11"/>
      <c r="E287" s="11"/>
      <c r="F287" s="12">
        <f t="shared" si="21"/>
        <v>0</v>
      </c>
      <c r="G287" s="11"/>
      <c r="H287" s="42"/>
      <c r="I287" s="42"/>
      <c r="J287" s="44"/>
      <c r="K287" s="11"/>
    </row>
    <row r="288" spans="1:11" ht="18.75" x14ac:dyDescent="0.15">
      <c r="A288" s="10" t="str">
        <f t="shared" ca="1" si="20"/>
        <v/>
      </c>
      <c r="B288" s="5"/>
      <c r="C288" s="11"/>
      <c r="D288" s="11"/>
      <c r="E288" s="11"/>
      <c r="F288" s="12">
        <f t="shared" si="21"/>
        <v>0</v>
      </c>
      <c r="G288" s="11"/>
      <c r="H288" s="42"/>
      <c r="I288" s="42"/>
      <c r="J288" s="44"/>
      <c r="K288" s="11"/>
    </row>
    <row r="289" spans="1:11" ht="18.75" x14ac:dyDescent="0.15">
      <c r="A289" s="10" t="str">
        <f t="shared" ca="1" si="20"/>
        <v/>
      </c>
      <c r="B289" s="5"/>
      <c r="C289" s="11"/>
      <c r="D289" s="11"/>
      <c r="E289" s="11"/>
      <c r="F289" s="12">
        <f t="shared" si="21"/>
        <v>0</v>
      </c>
      <c r="G289" s="11"/>
      <c r="H289" s="42"/>
      <c r="I289" s="42"/>
      <c r="J289" s="44"/>
      <c r="K289" s="11"/>
    </row>
    <row r="290" spans="1:11" ht="18.75" x14ac:dyDescent="0.15">
      <c r="A290" s="10" t="str">
        <f t="shared" ca="1" si="20"/>
        <v/>
      </c>
      <c r="B290" s="5"/>
      <c r="C290" s="11"/>
      <c r="D290" s="11"/>
      <c r="E290" s="11"/>
      <c r="F290" s="12">
        <f t="shared" si="21"/>
        <v>0</v>
      </c>
      <c r="G290" s="11"/>
      <c r="H290" s="42"/>
      <c r="I290" s="42"/>
      <c r="J290" s="44"/>
      <c r="K290" s="11"/>
    </row>
    <row r="291" spans="1:11" ht="18.75" x14ac:dyDescent="0.15">
      <c r="A291" s="10" t="str">
        <f t="shared" ca="1" si="20"/>
        <v/>
      </c>
      <c r="B291" s="5"/>
      <c r="C291" s="11"/>
      <c r="D291" s="11"/>
      <c r="E291" s="11"/>
      <c r="F291" s="12">
        <f t="shared" si="21"/>
        <v>0</v>
      </c>
      <c r="G291" s="11"/>
      <c r="H291" s="42"/>
      <c r="I291" s="42"/>
      <c r="J291" s="44"/>
      <c r="K291" s="11"/>
    </row>
    <row r="292" spans="1:11" ht="18.75" x14ac:dyDescent="0.15">
      <c r="A292" s="10" t="str">
        <f t="shared" ca="1" si="20"/>
        <v/>
      </c>
      <c r="B292" s="5"/>
      <c r="C292" s="11"/>
      <c r="D292" s="11"/>
      <c r="E292" s="11"/>
      <c r="F292" s="12">
        <f t="shared" si="21"/>
        <v>0</v>
      </c>
      <c r="G292" s="11"/>
      <c r="H292" s="42"/>
      <c r="I292" s="42"/>
      <c r="J292" s="44"/>
      <c r="K292" s="11"/>
    </row>
    <row r="293" spans="1:11" ht="18.75" x14ac:dyDescent="0.15">
      <c r="A293" s="10" t="str">
        <f t="shared" ca="1" si="20"/>
        <v/>
      </c>
      <c r="B293" s="5"/>
      <c r="C293" s="11"/>
      <c r="D293" s="11"/>
      <c r="E293" s="11"/>
      <c r="F293" s="12">
        <f t="shared" si="21"/>
        <v>0</v>
      </c>
      <c r="G293" s="11"/>
      <c r="H293" s="42"/>
      <c r="I293" s="42"/>
      <c r="J293" s="44"/>
      <c r="K293" s="11"/>
    </row>
    <row r="294" spans="1:11" ht="18.75" x14ac:dyDescent="0.15">
      <c r="A294" s="10" t="str">
        <f t="shared" ca="1" si="20"/>
        <v/>
      </c>
      <c r="B294" s="5"/>
      <c r="C294" s="11"/>
      <c r="D294" s="11"/>
      <c r="E294" s="11"/>
      <c r="F294" s="12">
        <f t="shared" si="21"/>
        <v>0</v>
      </c>
      <c r="G294" s="11"/>
      <c r="H294" s="42"/>
      <c r="I294" s="42"/>
      <c r="J294" s="44"/>
      <c r="K294" s="11"/>
    </row>
    <row r="295" spans="1:11" ht="18.75" x14ac:dyDescent="0.15">
      <c r="A295" s="10" t="str">
        <f t="shared" ca="1" si="20"/>
        <v/>
      </c>
      <c r="B295" s="5"/>
      <c r="C295" s="11"/>
      <c r="D295" s="11"/>
      <c r="E295" s="11"/>
      <c r="F295" s="12">
        <f t="shared" si="21"/>
        <v>0</v>
      </c>
      <c r="G295" s="11"/>
      <c r="H295" s="42"/>
      <c r="I295" s="42"/>
      <c r="J295" s="44"/>
      <c r="K295" s="11"/>
    </row>
    <row r="296" spans="1:11" ht="18.75" x14ac:dyDescent="0.15">
      <c r="A296" s="10" t="str">
        <f t="shared" ca="1" si="20"/>
        <v/>
      </c>
      <c r="B296" s="5"/>
      <c r="C296" s="11"/>
      <c r="D296" s="11"/>
      <c r="E296" s="11"/>
      <c r="F296" s="12">
        <f t="shared" si="21"/>
        <v>0</v>
      </c>
      <c r="G296" s="11"/>
      <c r="H296" s="42"/>
      <c r="I296" s="42"/>
      <c r="J296" s="44"/>
      <c r="K296" s="11"/>
    </row>
    <row r="297" spans="1:11" ht="18.75" x14ac:dyDescent="0.15">
      <c r="A297" s="10" t="str">
        <f t="shared" ca="1" si="20"/>
        <v/>
      </c>
      <c r="B297" s="5"/>
      <c r="C297" s="11"/>
      <c r="D297" s="11"/>
      <c r="E297" s="11"/>
      <c r="F297" s="12">
        <f t="shared" si="21"/>
        <v>0</v>
      </c>
      <c r="G297" s="11"/>
      <c r="H297" s="42"/>
      <c r="I297" s="42"/>
      <c r="J297" s="44"/>
      <c r="K297" s="11"/>
    </row>
    <row r="298" spans="1:11" ht="18.75" x14ac:dyDescent="0.15">
      <c r="A298" s="10" t="str">
        <f t="shared" ca="1" si="20"/>
        <v/>
      </c>
      <c r="B298" s="5"/>
      <c r="C298" s="11"/>
      <c r="D298" s="11"/>
      <c r="E298" s="11"/>
      <c r="F298" s="12">
        <f t="shared" si="21"/>
        <v>0</v>
      </c>
      <c r="G298" s="11"/>
      <c r="H298" s="42"/>
      <c r="I298" s="42"/>
      <c r="J298" s="44"/>
      <c r="K298" s="11"/>
    </row>
    <row r="299" spans="1:11" ht="18.75" x14ac:dyDescent="0.15">
      <c r="A299" s="10" t="str">
        <f t="shared" ca="1" si="20"/>
        <v/>
      </c>
      <c r="B299" s="5"/>
      <c r="C299" s="11"/>
      <c r="D299" s="11"/>
      <c r="E299" s="11"/>
      <c r="F299" s="12">
        <f t="shared" si="21"/>
        <v>0</v>
      </c>
      <c r="G299" s="11"/>
      <c r="H299" s="42"/>
      <c r="I299" s="42"/>
      <c r="J299" s="44"/>
      <c r="K299" s="11"/>
    </row>
    <row r="300" spans="1:11" ht="18.75" x14ac:dyDescent="0.15">
      <c r="A300" s="10" t="str">
        <f t="shared" ca="1" si="20"/>
        <v/>
      </c>
      <c r="B300" s="5"/>
      <c r="C300" s="11"/>
      <c r="D300" s="11"/>
      <c r="E300" s="11"/>
      <c r="F300" s="12">
        <f t="shared" si="21"/>
        <v>0</v>
      </c>
      <c r="G300" s="11"/>
      <c r="H300" s="42"/>
      <c r="I300" s="42"/>
      <c r="J300" s="44"/>
      <c r="K300" s="11"/>
    </row>
    <row r="301" spans="1:11" ht="18.75" x14ac:dyDescent="0.15">
      <c r="A301" s="10" t="str">
        <f t="shared" ca="1" si="20"/>
        <v/>
      </c>
      <c r="B301" s="5"/>
      <c r="C301" s="11"/>
      <c r="D301" s="11"/>
      <c r="E301" s="11"/>
      <c r="F301" s="12">
        <f t="shared" si="21"/>
        <v>0</v>
      </c>
      <c r="G301" s="11"/>
      <c r="H301" s="42"/>
      <c r="I301" s="42"/>
      <c r="J301" s="44"/>
      <c r="K301" s="11"/>
    </row>
    <row r="302" spans="1:11" ht="18.75" x14ac:dyDescent="0.15">
      <c r="A302" s="10" t="str">
        <f t="shared" ca="1" si="20"/>
        <v/>
      </c>
      <c r="B302" s="5"/>
      <c r="C302" s="11"/>
      <c r="D302" s="11"/>
      <c r="E302" s="11"/>
      <c r="F302" s="12">
        <f t="shared" si="21"/>
        <v>0</v>
      </c>
      <c r="G302" s="11"/>
      <c r="H302" s="42"/>
      <c r="I302" s="42"/>
      <c r="J302" s="44"/>
      <c r="K302" s="11"/>
    </row>
    <row r="303" spans="1:11" ht="18.75" x14ac:dyDescent="0.15">
      <c r="A303" s="10" t="str">
        <f t="shared" ca="1" si="20"/>
        <v/>
      </c>
      <c r="B303" s="5"/>
      <c r="C303" s="11"/>
      <c r="D303" s="11"/>
      <c r="E303" s="11"/>
      <c r="F303" s="12">
        <f t="shared" si="21"/>
        <v>0</v>
      </c>
      <c r="G303" s="11"/>
      <c r="H303" s="42"/>
      <c r="I303" s="42"/>
      <c r="J303" s="44"/>
      <c r="K303" s="11"/>
    </row>
    <row r="304" spans="1:11" ht="18.75" x14ac:dyDescent="0.15">
      <c r="A304" s="10" t="str">
        <f t="shared" ca="1" si="20"/>
        <v/>
      </c>
      <c r="B304" s="5"/>
      <c r="C304" s="11"/>
      <c r="D304" s="11"/>
      <c r="E304" s="11"/>
      <c r="F304" s="12">
        <f t="shared" si="21"/>
        <v>0</v>
      </c>
      <c r="G304" s="11"/>
      <c r="H304" s="42"/>
      <c r="I304" s="42"/>
      <c r="J304" s="44"/>
      <c r="K304" s="11"/>
    </row>
    <row r="305" spans="1:11" ht="18.75" x14ac:dyDescent="0.15">
      <c r="A305" s="10" t="str">
        <f t="shared" ca="1" si="20"/>
        <v/>
      </c>
      <c r="B305" s="5"/>
      <c r="C305" s="11"/>
      <c r="D305" s="11"/>
      <c r="E305" s="11"/>
      <c r="F305" s="12">
        <f t="shared" si="21"/>
        <v>0</v>
      </c>
      <c r="G305" s="11"/>
      <c r="H305" s="42"/>
      <c r="I305" s="42"/>
      <c r="J305" s="44"/>
      <c r="K305" s="11"/>
    </row>
    <row r="306" spans="1:11" ht="18.75" x14ac:dyDescent="0.15">
      <c r="A306" s="10" t="str">
        <f t="shared" ca="1" si="20"/>
        <v/>
      </c>
      <c r="B306" s="5"/>
      <c r="C306" s="11"/>
      <c r="D306" s="11"/>
      <c r="E306" s="11"/>
      <c r="F306" s="12">
        <f t="shared" si="21"/>
        <v>0</v>
      </c>
      <c r="G306" s="11"/>
      <c r="H306" s="42"/>
      <c r="I306" s="42"/>
      <c r="J306" s="44"/>
      <c r="K306" s="11"/>
    </row>
    <row r="307" spans="1:11" ht="18.75" x14ac:dyDescent="0.15">
      <c r="A307" s="10" t="str">
        <f t="shared" ca="1" si="20"/>
        <v/>
      </c>
      <c r="B307" s="5"/>
      <c r="C307" s="11"/>
      <c r="D307" s="11"/>
      <c r="E307" s="11"/>
      <c r="F307" s="12">
        <f t="shared" si="21"/>
        <v>0</v>
      </c>
      <c r="G307" s="11"/>
      <c r="H307" s="42"/>
      <c r="I307" s="42"/>
      <c r="J307" s="44"/>
      <c r="K307" s="11"/>
    </row>
    <row r="308" spans="1:11" ht="18.75" x14ac:dyDescent="0.15">
      <c r="A308" s="10" t="str">
        <f t="shared" ca="1" si="20"/>
        <v/>
      </c>
      <c r="B308" s="5"/>
      <c r="C308" s="11"/>
      <c r="D308" s="11"/>
      <c r="E308" s="11"/>
      <c r="F308" s="12">
        <f t="shared" si="21"/>
        <v>0</v>
      </c>
      <c r="G308" s="11"/>
      <c r="H308" s="42"/>
      <c r="I308" s="42"/>
      <c r="J308" s="44"/>
      <c r="K308" s="11"/>
    </row>
    <row r="309" spans="1:11" ht="18.75" x14ac:dyDescent="0.15">
      <c r="A309" s="10" t="str">
        <f t="shared" ca="1" si="20"/>
        <v/>
      </c>
      <c r="B309" s="5"/>
      <c r="C309" s="11"/>
      <c r="D309" s="11"/>
      <c r="E309" s="11"/>
      <c r="F309" s="12">
        <f t="shared" si="21"/>
        <v>0</v>
      </c>
      <c r="G309" s="11"/>
      <c r="H309" s="42"/>
      <c r="I309" s="42"/>
      <c r="J309" s="44"/>
      <c r="K309" s="11"/>
    </row>
    <row r="310" spans="1:11" ht="18.75" x14ac:dyDescent="0.15">
      <c r="A310" s="10" t="str">
        <f t="shared" ca="1" si="20"/>
        <v/>
      </c>
      <c r="B310" s="5"/>
      <c r="C310" s="11"/>
      <c r="D310" s="11"/>
      <c r="E310" s="11"/>
      <c r="F310" s="12">
        <f t="shared" si="21"/>
        <v>0</v>
      </c>
      <c r="G310" s="11"/>
      <c r="H310" s="42"/>
      <c r="I310" s="42"/>
      <c r="J310" s="44"/>
      <c r="K310" s="11"/>
    </row>
    <row r="311" spans="1:11" ht="18.75" x14ac:dyDescent="0.15">
      <c r="A311" s="10" t="str">
        <f t="shared" ca="1" si="20"/>
        <v/>
      </c>
      <c r="B311" s="5"/>
      <c r="C311" s="11"/>
      <c r="D311" s="11"/>
      <c r="E311" s="11"/>
      <c r="F311" s="12">
        <f t="shared" si="21"/>
        <v>0</v>
      </c>
      <c r="G311" s="11"/>
      <c r="H311" s="42"/>
      <c r="I311" s="42"/>
      <c r="J311" s="44"/>
      <c r="K311" s="11"/>
    </row>
    <row r="312" spans="1:11" ht="18.75" x14ac:dyDescent="0.15">
      <c r="A312" s="10" t="str">
        <f t="shared" ca="1" si="20"/>
        <v/>
      </c>
      <c r="B312" s="5"/>
      <c r="C312" s="11"/>
      <c r="D312" s="11"/>
      <c r="E312" s="11"/>
      <c r="F312" s="12">
        <f t="shared" si="21"/>
        <v>0</v>
      </c>
      <c r="G312" s="11"/>
      <c r="H312" s="42"/>
      <c r="I312" s="42"/>
      <c r="J312" s="44"/>
      <c r="K312" s="11"/>
    </row>
    <row r="313" spans="1:11" ht="18.75" x14ac:dyDescent="0.15">
      <c r="A313" s="10" t="str">
        <f t="shared" ca="1" si="20"/>
        <v/>
      </c>
      <c r="B313" s="5"/>
      <c r="C313" s="11"/>
      <c r="D313" s="11"/>
      <c r="E313" s="11"/>
      <c r="F313" s="12">
        <f t="shared" si="21"/>
        <v>0</v>
      </c>
      <c r="G313" s="11"/>
      <c r="H313" s="42"/>
      <c r="I313" s="42"/>
      <c r="J313" s="44"/>
      <c r="K313" s="11"/>
    </row>
    <row r="314" spans="1:11" ht="18.75" x14ac:dyDescent="0.15">
      <c r="A314" s="10" t="str">
        <f t="shared" ca="1" si="20"/>
        <v/>
      </c>
      <c r="B314" s="5"/>
      <c r="C314" s="11"/>
      <c r="D314" s="11"/>
      <c r="E314" s="11"/>
      <c r="F314" s="12">
        <f t="shared" si="21"/>
        <v>0</v>
      </c>
      <c r="G314" s="11"/>
      <c r="H314" s="42"/>
      <c r="I314" s="42"/>
      <c r="J314" s="44"/>
      <c r="K314" s="11"/>
    </row>
    <row r="315" spans="1:11" ht="18.75" x14ac:dyDescent="0.15">
      <c r="A315" s="10" t="str">
        <f t="shared" ca="1" si="20"/>
        <v/>
      </c>
      <c r="B315" s="5"/>
      <c r="C315" s="11"/>
      <c r="D315" s="11"/>
      <c r="E315" s="11"/>
      <c r="F315" s="12">
        <f t="shared" si="21"/>
        <v>0</v>
      </c>
      <c r="G315" s="11"/>
      <c r="H315" s="42"/>
      <c r="I315" s="42"/>
      <c r="J315" s="44"/>
      <c r="K315" s="11"/>
    </row>
    <row r="316" spans="1:11" ht="18.75" x14ac:dyDescent="0.15">
      <c r="A316" s="10" t="str">
        <f t="shared" ca="1" si="20"/>
        <v/>
      </c>
      <c r="B316" s="5"/>
      <c r="C316" s="11"/>
      <c r="D316" s="11"/>
      <c r="E316" s="11"/>
      <c r="F316" s="12">
        <f t="shared" si="21"/>
        <v>0</v>
      </c>
      <c r="G316" s="11"/>
      <c r="H316" s="42"/>
      <c r="I316" s="42"/>
      <c r="J316" s="44"/>
      <c r="K316" s="11"/>
    </row>
    <row r="317" spans="1:11" ht="18.75" x14ac:dyDescent="0.15">
      <c r="A317" s="10" t="str">
        <f t="shared" ca="1" si="20"/>
        <v/>
      </c>
      <c r="B317" s="5"/>
      <c r="C317" s="11"/>
      <c r="D317" s="11"/>
      <c r="E317" s="11"/>
      <c r="F317" s="12">
        <f t="shared" si="21"/>
        <v>0</v>
      </c>
      <c r="G317" s="11"/>
      <c r="H317" s="42"/>
      <c r="I317" s="42"/>
      <c r="J317" s="44"/>
      <c r="K317" s="11"/>
    </row>
    <row r="318" spans="1:11" ht="18.75" x14ac:dyDescent="0.15">
      <c r="A318" s="10" t="str">
        <f t="shared" ca="1" si="20"/>
        <v/>
      </c>
      <c r="B318" s="5"/>
      <c r="C318" s="11"/>
      <c r="D318" s="11"/>
      <c r="E318" s="11"/>
      <c r="F318" s="12">
        <f t="shared" si="21"/>
        <v>0</v>
      </c>
      <c r="G318" s="11"/>
      <c r="H318" s="42"/>
      <c r="I318" s="42"/>
      <c r="J318" s="44"/>
      <c r="K318" s="11"/>
    </row>
    <row r="319" spans="1:11" ht="18.75" x14ac:dyDescent="0.15">
      <c r="A319" s="10" t="str">
        <f t="shared" ca="1" si="20"/>
        <v/>
      </c>
      <c r="B319" s="5"/>
      <c r="C319" s="11"/>
      <c r="D319" s="11"/>
      <c r="E319" s="11"/>
      <c r="F319" s="12">
        <f t="shared" si="21"/>
        <v>0</v>
      </c>
      <c r="G319" s="11"/>
      <c r="H319" s="42"/>
      <c r="I319" s="42"/>
      <c r="J319" s="44"/>
      <c r="K319" s="11"/>
    </row>
    <row r="320" spans="1:11" ht="18.75" x14ac:dyDescent="0.15">
      <c r="A320" s="10" t="str">
        <f t="shared" ca="1" si="20"/>
        <v/>
      </c>
      <c r="B320" s="5"/>
      <c r="C320" s="11"/>
      <c r="D320" s="11"/>
      <c r="E320" s="11"/>
      <c r="F320" s="12">
        <f t="shared" si="21"/>
        <v>0</v>
      </c>
      <c r="G320" s="11"/>
      <c r="H320" s="42"/>
      <c r="I320" s="42"/>
      <c r="J320" s="44"/>
      <c r="K320" s="11"/>
    </row>
    <row r="321" spans="1:11" ht="18.75" x14ac:dyDescent="0.15">
      <c r="A321" s="10" t="str">
        <f t="shared" ca="1" si="20"/>
        <v/>
      </c>
      <c r="B321" s="5"/>
      <c r="C321" s="11"/>
      <c r="D321" s="11"/>
      <c r="E321" s="11"/>
      <c r="F321" s="12">
        <f t="shared" si="21"/>
        <v>0</v>
      </c>
      <c r="G321" s="11"/>
      <c r="H321" s="42"/>
      <c r="I321" s="42"/>
      <c r="J321" s="44"/>
      <c r="K321" s="11"/>
    </row>
    <row r="322" spans="1:11" ht="18.75" x14ac:dyDescent="0.15">
      <c r="A322" s="10" t="str">
        <f t="shared" ca="1" si="20"/>
        <v/>
      </c>
      <c r="B322" s="5"/>
      <c r="C322" s="11"/>
      <c r="D322" s="11"/>
      <c r="E322" s="11"/>
      <c r="F322" s="12">
        <f t="shared" si="21"/>
        <v>0</v>
      </c>
      <c r="G322" s="11"/>
      <c r="H322" s="42"/>
      <c r="I322" s="42"/>
      <c r="J322" s="44"/>
      <c r="K322" s="11"/>
    </row>
    <row r="323" spans="1:11" ht="18.75" x14ac:dyDescent="0.15">
      <c r="A323" s="10" t="str">
        <f t="shared" ref="A323:A339" ca="1" si="22">IF(B323="","",IF(A323="",NOW(),A323))</f>
        <v/>
      </c>
      <c r="B323" s="5"/>
      <c r="C323" s="11"/>
      <c r="D323" s="11"/>
      <c r="E323" s="11"/>
      <c r="F323" s="12">
        <f t="shared" si="21"/>
        <v>0</v>
      </c>
      <c r="G323" s="11"/>
      <c r="H323" s="42"/>
      <c r="I323" s="42"/>
      <c r="J323" s="44"/>
      <c r="K323" s="11"/>
    </row>
    <row r="324" spans="1:11" ht="18.75" x14ac:dyDescent="0.15">
      <c r="A324" s="10" t="str">
        <f t="shared" ca="1" si="22"/>
        <v/>
      </c>
      <c r="B324" s="5"/>
      <c r="C324" s="11"/>
      <c r="D324" s="11"/>
      <c r="E324" s="11"/>
      <c r="F324" s="12">
        <f t="shared" si="21"/>
        <v>0</v>
      </c>
      <c r="G324" s="11"/>
      <c r="H324" s="42"/>
      <c r="I324" s="42"/>
      <c r="J324" s="44"/>
      <c r="K324" s="11"/>
    </row>
    <row r="325" spans="1:11" ht="18.75" x14ac:dyDescent="0.15">
      <c r="A325" s="10" t="str">
        <f t="shared" ca="1" si="22"/>
        <v/>
      </c>
      <c r="B325" s="5"/>
      <c r="C325" s="11"/>
      <c r="D325" s="11"/>
      <c r="E325" s="11"/>
      <c r="F325" s="12">
        <f t="shared" si="21"/>
        <v>0</v>
      </c>
      <c r="G325" s="11"/>
      <c r="H325" s="42"/>
      <c r="I325" s="42"/>
      <c r="J325" s="44"/>
      <c r="K325" s="11"/>
    </row>
    <row r="326" spans="1:11" ht="18.75" x14ac:dyDescent="0.15">
      <c r="A326" s="10" t="str">
        <f t="shared" ca="1" si="22"/>
        <v/>
      </c>
      <c r="B326" s="5"/>
      <c r="C326" s="11"/>
      <c r="D326" s="11"/>
      <c r="E326" s="11"/>
      <c r="F326" s="12">
        <f t="shared" si="21"/>
        <v>0</v>
      </c>
      <c r="G326" s="11"/>
      <c r="H326" s="42"/>
      <c r="I326" s="42"/>
      <c r="J326" s="44"/>
      <c r="K326" s="11"/>
    </row>
    <row r="327" spans="1:11" ht="18.75" x14ac:dyDescent="0.15">
      <c r="A327" s="10" t="str">
        <f t="shared" ca="1" si="22"/>
        <v/>
      </c>
      <c r="B327" s="5"/>
      <c r="C327" s="11"/>
      <c r="D327" s="11"/>
      <c r="E327" s="11"/>
      <c r="F327" s="12">
        <f t="shared" si="21"/>
        <v>0</v>
      </c>
      <c r="G327" s="11"/>
      <c r="H327" s="42"/>
      <c r="I327" s="42"/>
      <c r="J327" s="44"/>
      <c r="K327" s="11"/>
    </row>
    <row r="328" spans="1:11" ht="18.75" x14ac:dyDescent="0.15">
      <c r="A328" s="10" t="str">
        <f t="shared" ca="1" si="22"/>
        <v/>
      </c>
      <c r="B328" s="5"/>
      <c r="C328" s="11"/>
      <c r="D328" s="11"/>
      <c r="E328" s="11"/>
      <c r="F328" s="12">
        <f t="shared" si="21"/>
        <v>0</v>
      </c>
      <c r="G328" s="11"/>
      <c r="H328" s="42"/>
      <c r="I328" s="42"/>
      <c r="J328" s="44"/>
      <c r="K328" s="11"/>
    </row>
    <row r="329" spans="1:11" ht="18.75" x14ac:dyDescent="0.15">
      <c r="A329" s="10" t="str">
        <f t="shared" ca="1" si="22"/>
        <v/>
      </c>
      <c r="B329" s="5"/>
      <c r="C329" s="11"/>
      <c r="D329" s="11"/>
      <c r="E329" s="11"/>
      <c r="F329" s="12">
        <f t="shared" si="21"/>
        <v>0</v>
      </c>
      <c r="G329" s="11"/>
      <c r="H329" s="42"/>
      <c r="I329" s="42"/>
      <c r="J329" s="44"/>
      <c r="K329" s="11"/>
    </row>
    <row r="330" spans="1:11" ht="18.75" x14ac:dyDescent="0.15">
      <c r="A330" s="10" t="str">
        <f t="shared" ca="1" si="22"/>
        <v/>
      </c>
      <c r="B330" s="5"/>
      <c r="C330" s="11"/>
      <c r="D330" s="11"/>
      <c r="E330" s="11"/>
      <c r="F330" s="12">
        <f t="shared" si="21"/>
        <v>0</v>
      </c>
      <c r="G330" s="11"/>
      <c r="H330" s="42"/>
      <c r="I330" s="42"/>
      <c r="J330" s="44"/>
      <c r="K330" s="11"/>
    </row>
    <row r="331" spans="1:11" ht="18.75" x14ac:dyDescent="0.15">
      <c r="A331" s="10" t="str">
        <f t="shared" ca="1" si="22"/>
        <v/>
      </c>
      <c r="B331" s="5"/>
      <c r="C331" s="11"/>
      <c r="D331" s="11"/>
      <c r="E331" s="11"/>
      <c r="F331" s="12">
        <f t="shared" si="21"/>
        <v>0</v>
      </c>
      <c r="G331" s="11"/>
      <c r="H331" s="42"/>
      <c r="I331" s="42"/>
      <c r="J331" s="44"/>
      <c r="K331" s="11"/>
    </row>
    <row r="332" spans="1:11" ht="18.75" x14ac:dyDescent="0.15">
      <c r="A332" s="10" t="str">
        <f t="shared" ca="1" si="22"/>
        <v/>
      </c>
      <c r="B332" s="5"/>
      <c r="C332" s="11"/>
      <c r="D332" s="11"/>
      <c r="E332" s="11"/>
      <c r="F332" s="12">
        <f t="shared" si="21"/>
        <v>0</v>
      </c>
      <c r="G332" s="11"/>
      <c r="H332" s="42"/>
      <c r="I332" s="42"/>
      <c r="J332" s="44"/>
      <c r="K332" s="11"/>
    </row>
    <row r="333" spans="1:11" ht="18.75" x14ac:dyDescent="0.15">
      <c r="A333" s="10" t="str">
        <f t="shared" ca="1" si="22"/>
        <v/>
      </c>
      <c r="B333" s="5"/>
      <c r="C333" s="11"/>
      <c r="D333" s="11"/>
      <c r="E333" s="11"/>
      <c r="F333" s="12">
        <f t="shared" si="21"/>
        <v>0</v>
      </c>
      <c r="G333" s="11"/>
      <c r="H333" s="42"/>
      <c r="I333" s="42"/>
      <c r="J333" s="44"/>
      <c r="K333" s="11"/>
    </row>
    <row r="334" spans="1:11" ht="18.75" x14ac:dyDescent="0.15">
      <c r="A334" s="10" t="str">
        <f t="shared" ca="1" si="22"/>
        <v/>
      </c>
      <c r="B334" s="5"/>
      <c r="C334" s="11"/>
      <c r="D334" s="11"/>
      <c r="E334" s="11"/>
      <c r="F334" s="12">
        <f t="shared" ref="F334:F339" si="23">IF(E334-C334&lt;0,"24:00"-C334+E334,E334-C334)</f>
        <v>0</v>
      </c>
      <c r="G334" s="11"/>
      <c r="H334" s="42"/>
      <c r="I334" s="42"/>
      <c r="J334" s="44"/>
      <c r="K334" s="11"/>
    </row>
    <row r="335" spans="1:11" ht="18.75" x14ac:dyDescent="0.15">
      <c r="A335" s="10" t="str">
        <f t="shared" ca="1" si="22"/>
        <v/>
      </c>
      <c r="B335" s="5"/>
      <c r="C335" s="11"/>
      <c r="D335" s="11"/>
      <c r="E335" s="11"/>
      <c r="F335" s="12">
        <f t="shared" si="23"/>
        <v>0</v>
      </c>
      <c r="G335" s="11"/>
      <c r="H335" s="42"/>
      <c r="I335" s="42"/>
      <c r="J335" s="44"/>
      <c r="K335" s="11"/>
    </row>
    <row r="336" spans="1:11" ht="18.75" x14ac:dyDescent="0.15">
      <c r="A336" s="10" t="str">
        <f t="shared" ca="1" si="22"/>
        <v/>
      </c>
      <c r="B336" s="5"/>
      <c r="C336" s="11"/>
      <c r="D336" s="11"/>
      <c r="E336" s="11"/>
      <c r="F336" s="12">
        <f t="shared" si="23"/>
        <v>0</v>
      </c>
      <c r="G336" s="11"/>
      <c r="H336" s="42"/>
      <c r="I336" s="42"/>
      <c r="J336" s="44"/>
      <c r="K336" s="11"/>
    </row>
    <row r="337" spans="1:11" ht="18.75" x14ac:dyDescent="0.15">
      <c r="A337" s="10" t="str">
        <f t="shared" ca="1" si="22"/>
        <v/>
      </c>
      <c r="B337" s="5"/>
      <c r="C337" s="11"/>
      <c r="D337" s="11"/>
      <c r="E337" s="11"/>
      <c r="F337" s="12">
        <f t="shared" si="23"/>
        <v>0</v>
      </c>
      <c r="G337" s="11"/>
      <c r="H337" s="42"/>
      <c r="I337" s="42"/>
      <c r="J337" s="44"/>
      <c r="K337" s="11"/>
    </row>
    <row r="338" spans="1:11" ht="18.75" x14ac:dyDescent="0.15">
      <c r="A338" s="10" t="str">
        <f t="shared" ca="1" si="22"/>
        <v/>
      </c>
      <c r="B338" s="5"/>
      <c r="C338" s="11"/>
      <c r="D338" s="11"/>
      <c r="E338" s="11"/>
      <c r="F338" s="12">
        <f t="shared" si="23"/>
        <v>0</v>
      </c>
      <c r="G338" s="11"/>
      <c r="H338" s="42"/>
      <c r="I338" s="42"/>
      <c r="J338" s="44"/>
      <c r="K338" s="11"/>
    </row>
    <row r="339" spans="1:11" ht="18.75" x14ac:dyDescent="0.15">
      <c r="A339" s="10" t="str">
        <f t="shared" ca="1" si="22"/>
        <v/>
      </c>
      <c r="B339" s="5"/>
      <c r="C339" s="11"/>
      <c r="D339" s="11"/>
      <c r="E339" s="11"/>
      <c r="F339" s="12">
        <f t="shared" si="23"/>
        <v>0</v>
      </c>
      <c r="G339" s="11"/>
      <c r="H339" s="42"/>
      <c r="I339" s="42"/>
      <c r="J339" s="44"/>
      <c r="K339" s="11"/>
    </row>
  </sheetData>
  <autoFilter ref="A2:K339"/>
  <mergeCells count="3">
    <mergeCell ref="A1:K1"/>
    <mergeCell ref="J20:L20"/>
    <mergeCell ref="I13:M14"/>
  </mergeCells>
  <phoneticPr fontId="15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339">
      <formula1>"完成"</formula1>
    </dataValidation>
    <dataValidation type="list" allowBlank="1" showInputMessage="1" showErrorMessage="1" sqref="K38:K339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47</vt:i4>
      </vt:variant>
    </vt:vector>
  </HeadingPairs>
  <TitlesOfParts>
    <vt:vector size="47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姜文夫</vt:lpstr>
      <vt:lpstr>王风瑞</vt:lpstr>
      <vt:lpstr>金鼎</vt:lpstr>
      <vt:lpstr>董志华</vt:lpstr>
      <vt:lpstr>郭永杰</vt:lpstr>
      <vt:lpstr>吴疆</vt:lpstr>
      <vt:lpstr>朱永春</vt:lpstr>
      <vt:lpstr>刘琦</vt:lpstr>
      <vt:lpstr>巴富毅</vt:lpstr>
      <vt:lpstr>陈宏伟</vt:lpstr>
      <vt:lpstr>蓝宇航</vt:lpstr>
      <vt:lpstr>蒋露裕</vt:lpstr>
      <vt:lpstr>程卓</vt:lpstr>
      <vt:lpstr>Sheet5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2026-07-14T17:07:07Z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