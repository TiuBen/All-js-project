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All-js-project\packages\frontend\atc-duty-front-react-js\dist\"/>
    </mc:Choice>
  </mc:AlternateContent>
  <bookViews>
    <workbookView xWindow="0" yWindow="0" windowWidth="15360" windowHeight="13500" tabRatio="913" activeTab="4"/>
  </bookViews>
  <sheets>
    <sheet name="sheet1" sheetId="123" r:id="rId1"/>
    <sheet name="温若春" sheetId="57" r:id="rId2"/>
    <sheet name="明嘉" sheetId="79" r:id="rId3"/>
    <sheet name="徐万友" sheetId="80" r:id="rId4"/>
    <sheet name="耿若岩" sheetId="82" r:id="rId5"/>
    <sheet name="李明" sheetId="83" r:id="rId6"/>
    <sheet name="李秋实" sheetId="90" r:id="rId7"/>
    <sheet name="程卓" sheetId="121" r:id="rId8"/>
    <sheet name="杜涛" sheetId="88" r:id="rId9"/>
    <sheet name="张虎" sheetId="85" r:id="rId10"/>
    <sheet name="马莲花" sheetId="86" r:id="rId11"/>
    <sheet name="刘国莲" sheetId="87" r:id="rId12"/>
    <sheet name="张文中" sheetId="89" r:id="rId13"/>
    <sheet name="周岸" sheetId="91" r:id="rId14"/>
    <sheet name="詹泽彬" sheetId="92" r:id="rId15"/>
    <sheet name="张笑延" sheetId="93" r:id="rId16"/>
    <sheet name="沈宁" sheetId="94" r:id="rId17"/>
    <sheet name="胡鑫" sheetId="95" r:id="rId18"/>
    <sheet name="邓心豪" sheetId="96" r:id="rId19"/>
    <sheet name="黄恩" sheetId="97" r:id="rId20"/>
    <sheet name="边昊" sheetId="99" r:id="rId21"/>
    <sheet name="严亮" sheetId="98" r:id="rId22"/>
    <sheet name="张宗根" sheetId="100" r:id="rId23"/>
    <sheet name="潘伟生" sheetId="105" r:id="rId24"/>
    <sheet name="蔡昊霖" sheetId="102" r:id="rId25"/>
    <sheet name="叶大鹏" sheetId="103" r:id="rId26"/>
    <sheet name="王建超" sheetId="104" r:id="rId27"/>
    <sheet name="王风瑞" sheetId="106" r:id="rId28"/>
    <sheet name="金鼎" sheetId="107" r:id="rId29"/>
    <sheet name="董志华" sheetId="108" r:id="rId30"/>
    <sheet name="姜文夫" sheetId="109" r:id="rId31"/>
    <sheet name="郭永杰" sheetId="110" r:id="rId32"/>
    <sheet name="吴疆" sheetId="113" r:id="rId33"/>
    <sheet name="朱永春" sheetId="111" r:id="rId34"/>
    <sheet name="刘琦" sheetId="112" r:id="rId35"/>
    <sheet name="巴富毅" sheetId="114" r:id="rId36"/>
    <sheet name="陈宏伟" sheetId="118" r:id="rId37"/>
    <sheet name="蒋露裕" sheetId="119" r:id="rId38"/>
    <sheet name="蓝宇航" sheetId="120" r:id="rId39"/>
    <sheet name="郑文卓" sheetId="122" r:id="rId40"/>
    <sheet name="王维华" sheetId="115" r:id="rId41"/>
    <sheet name="何飞" sheetId="116" r:id="rId42"/>
    <sheet name="宋天霖" sheetId="101" r:id="rId43"/>
    <sheet name="Sheet2" sheetId="124" r:id="rId44"/>
    <sheet name="Sheet3" sheetId="125" r:id="rId45"/>
    <sheet name="Sheet4" sheetId="126" r:id="rId46"/>
  </sheets>
  <definedNames>
    <definedName name="_xlnm._FilterDatabase" localSheetId="35" hidden="1">巴富毅!$A$2:$K$42</definedName>
    <definedName name="_xlnm._FilterDatabase" localSheetId="20" hidden="1">边昊!$A$2:$K$42</definedName>
    <definedName name="_xlnm._FilterDatabase" localSheetId="24" hidden="1">蔡昊霖!$A$2:$K$42</definedName>
    <definedName name="_xlnm._FilterDatabase" localSheetId="36" hidden="1">陈宏伟!$A$2:$K$42</definedName>
    <definedName name="_xlnm._FilterDatabase" localSheetId="7" hidden="1">程卓!$A$2:$K$42</definedName>
    <definedName name="_xlnm._FilterDatabase" localSheetId="18" hidden="1">邓心豪!$A$2:$K$42</definedName>
    <definedName name="_xlnm._FilterDatabase" localSheetId="29" hidden="1">董志华!$A$2:$K$42</definedName>
    <definedName name="_xlnm._FilterDatabase" localSheetId="8" hidden="1">杜涛!$A$2:$K$42</definedName>
    <definedName name="_xlnm._FilterDatabase" localSheetId="4" hidden="1">耿若岩!$A$2:$K$42</definedName>
    <definedName name="_xlnm._FilterDatabase" localSheetId="31" hidden="1">郭永杰!$A$2:$K$42</definedName>
    <definedName name="_xlnm._FilterDatabase" localSheetId="41" hidden="1">何飞!$A$2:$K$42</definedName>
    <definedName name="_xlnm._FilterDatabase" localSheetId="17" hidden="1">胡鑫!$A$2:$K$42</definedName>
    <definedName name="_xlnm._FilterDatabase" localSheetId="19" hidden="1">黄恩!$A$2:$K$42</definedName>
    <definedName name="_xlnm._FilterDatabase" localSheetId="30" hidden="1">姜文夫!$A$2:$K$42</definedName>
    <definedName name="_xlnm._FilterDatabase" localSheetId="37" hidden="1">蒋露裕!$A$2:$K$42</definedName>
    <definedName name="_xlnm._FilterDatabase" localSheetId="28" hidden="1">金鼎!$A$2:$K$42</definedName>
    <definedName name="_xlnm._FilterDatabase" localSheetId="38" hidden="1">蓝宇航!$A$2:$K$42</definedName>
    <definedName name="_xlnm._FilterDatabase" localSheetId="5" hidden="1">李明!$A$2:$K$42</definedName>
    <definedName name="_xlnm._FilterDatabase" localSheetId="6" hidden="1">李秋实!$A$2:$K$42</definedName>
    <definedName name="_xlnm._FilterDatabase" localSheetId="11" hidden="1">刘国莲!$A$2:$K$42</definedName>
    <definedName name="_xlnm._FilterDatabase" localSheetId="34" hidden="1">刘琦!$A$2:$K$42</definedName>
    <definedName name="_xlnm._FilterDatabase" localSheetId="10" hidden="1">马莲花!$A$2:$K$42</definedName>
    <definedName name="_xlnm._FilterDatabase" localSheetId="2" hidden="1">明嘉!$A$2:$K$42</definedName>
    <definedName name="_xlnm._FilterDatabase" localSheetId="23" hidden="1">潘伟生!$A$2:$K$42</definedName>
    <definedName name="_xlnm._FilterDatabase" localSheetId="16" hidden="1">沈宁!$A$2:$K$42</definedName>
    <definedName name="_xlnm._FilterDatabase" localSheetId="42" hidden="1">宋天霖!$A$2:$K$42</definedName>
    <definedName name="_xlnm._FilterDatabase" localSheetId="27" hidden="1">王风瑞!$A$2:$K$42</definedName>
    <definedName name="_xlnm._FilterDatabase" localSheetId="26" hidden="1">王建超!$A$2:$K$42</definedName>
    <definedName name="_xlnm._FilterDatabase" localSheetId="40" hidden="1">王维华!$A$2:$K$42</definedName>
    <definedName name="_xlnm._FilterDatabase" localSheetId="1" hidden="1">温若春!$A$2:$K$42</definedName>
    <definedName name="_xlnm._FilterDatabase" localSheetId="32" hidden="1">吴疆!$A$2:$K$42</definedName>
    <definedName name="_xlnm._FilterDatabase" localSheetId="3" hidden="1">徐万友!$A$2:$K$42</definedName>
    <definedName name="_xlnm._FilterDatabase" localSheetId="21" hidden="1">严亮!$A$2:$K$42</definedName>
    <definedName name="_xlnm._FilterDatabase" localSheetId="25" hidden="1">叶大鹏!$A$2:$K$42</definedName>
    <definedName name="_xlnm._FilterDatabase" localSheetId="14" hidden="1">詹泽彬!$A$2:$K$42</definedName>
    <definedName name="_xlnm._FilterDatabase" localSheetId="9" hidden="1">张虎!$A$2:$K$42</definedName>
    <definedName name="_xlnm._FilterDatabase" localSheetId="12" hidden="1">张文中!$A$2:$K$42</definedName>
    <definedName name="_xlnm._FilterDatabase" localSheetId="15" hidden="1">张笑延!$A$2:$K$42</definedName>
    <definedName name="_xlnm._FilterDatabase" localSheetId="22" hidden="1">张宗根!$A$2:$K$42</definedName>
    <definedName name="_xlnm._FilterDatabase" localSheetId="39" hidden="1">郑文卓!$A$2:$K$42</definedName>
    <definedName name="_xlnm._FilterDatabase" localSheetId="13" hidden="1">周岸!$A$2:$K$42</definedName>
    <definedName name="_xlnm._FilterDatabase" localSheetId="33" hidden="1">朱永春!$A$2:$K$42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2" i="101" l="1"/>
  <c r="F42" i="101"/>
  <c r="G42" i="101" s="1"/>
  <c r="A42" i="101"/>
  <c r="H41" i="101"/>
  <c r="F41" i="101"/>
  <c r="G41" i="101" s="1"/>
  <c r="A41" i="101"/>
  <c r="H40" i="101"/>
  <c r="F40" i="101"/>
  <c r="G40" i="101" s="1"/>
  <c r="A40" i="101"/>
  <c r="H39" i="101"/>
  <c r="F39" i="101"/>
  <c r="G39" i="101" s="1"/>
  <c r="A39" i="101"/>
  <c r="H38" i="101"/>
  <c r="F38" i="101"/>
  <c r="G38" i="101" s="1"/>
  <c r="A38" i="101"/>
  <c r="H37" i="101"/>
  <c r="F37" i="101"/>
  <c r="G37" i="101" s="1"/>
  <c r="A37" i="101"/>
  <c r="H36" i="101"/>
  <c r="F36" i="101"/>
  <c r="G36" i="101" s="1"/>
  <c r="A36" i="101"/>
  <c r="H35" i="101"/>
  <c r="F35" i="101"/>
  <c r="G35" i="101" s="1"/>
  <c r="A35" i="101"/>
  <c r="H34" i="101"/>
  <c r="F34" i="101"/>
  <c r="G34" i="101" s="1"/>
  <c r="A34" i="101"/>
  <c r="H33" i="101"/>
  <c r="F33" i="101"/>
  <c r="G33" i="101" s="1"/>
  <c r="A33" i="101"/>
  <c r="H32" i="101"/>
  <c r="F32" i="101"/>
  <c r="G32" i="101" s="1"/>
  <c r="A32" i="101"/>
  <c r="H31" i="101"/>
  <c r="F31" i="101"/>
  <c r="G31" i="101" s="1"/>
  <c r="A31" i="101"/>
  <c r="H30" i="101"/>
  <c r="F30" i="101"/>
  <c r="G30" i="101" s="1"/>
  <c r="A30" i="101"/>
  <c r="H29" i="101"/>
  <c r="F29" i="101"/>
  <c r="G29" i="101" s="1"/>
  <c r="A29" i="101"/>
  <c r="H28" i="101"/>
  <c r="F28" i="101"/>
  <c r="G28" i="101" s="1"/>
  <c r="A28" i="101"/>
  <c r="H27" i="101"/>
  <c r="F27" i="101"/>
  <c r="G27" i="101" s="1"/>
  <c r="A27" i="101"/>
  <c r="H26" i="101"/>
  <c r="F26" i="101"/>
  <c r="G26" i="101" s="1"/>
  <c r="A26" i="101"/>
  <c r="H25" i="101"/>
  <c r="F25" i="101"/>
  <c r="G25" i="101" s="1"/>
  <c r="A25" i="101"/>
  <c r="H24" i="101"/>
  <c r="F24" i="101"/>
  <c r="G24" i="101" s="1"/>
  <c r="A24" i="101"/>
  <c r="H23" i="101"/>
  <c r="F23" i="101"/>
  <c r="G23" i="101" s="1"/>
  <c r="A23" i="101"/>
  <c r="H22" i="101"/>
  <c r="F22" i="101"/>
  <c r="G22" i="101" s="1"/>
  <c r="A22" i="101"/>
  <c r="H21" i="101"/>
  <c r="F21" i="101"/>
  <c r="G21" i="101" s="1"/>
  <c r="A21" i="101"/>
  <c r="H20" i="101"/>
  <c r="F20" i="101"/>
  <c r="G20" i="101" s="1"/>
  <c r="A20" i="101"/>
  <c r="H19" i="101"/>
  <c r="F19" i="101"/>
  <c r="G19" i="101" s="1"/>
  <c r="A19" i="101"/>
  <c r="H18" i="101"/>
  <c r="F18" i="101"/>
  <c r="G18" i="101" s="1"/>
  <c r="A18" i="101"/>
  <c r="H17" i="101"/>
  <c r="F17" i="101"/>
  <c r="G17" i="101" s="1"/>
  <c r="A17" i="101"/>
  <c r="L16" i="101"/>
  <c r="K16" i="101"/>
  <c r="B26" i="123" s="1"/>
  <c r="J16" i="101"/>
  <c r="H16" i="101"/>
  <c r="F16" i="101"/>
  <c r="G16" i="101" s="1"/>
  <c r="A16" i="101"/>
  <c r="H15" i="101"/>
  <c r="F15" i="101"/>
  <c r="G15" i="101" s="1"/>
  <c r="A15" i="101"/>
  <c r="H14" i="101"/>
  <c r="F14" i="101"/>
  <c r="G14" i="101" s="1"/>
  <c r="A14" i="101"/>
  <c r="H13" i="101"/>
  <c r="F13" i="101"/>
  <c r="G13" i="101" s="1"/>
  <c r="A13" i="101"/>
  <c r="L12" i="101"/>
  <c r="L19" i="101" s="1"/>
  <c r="G26" i="123" s="1"/>
  <c r="K12" i="101"/>
  <c r="K19" i="101" s="1"/>
  <c r="D26" i="123" s="1"/>
  <c r="J12" i="101"/>
  <c r="J19" i="101" s="1"/>
  <c r="H12" i="101"/>
  <c r="F12" i="101"/>
  <c r="G12" i="101" s="1"/>
  <c r="A12" i="101"/>
  <c r="L11" i="101"/>
  <c r="L18" i="101" s="1"/>
  <c r="K11" i="101"/>
  <c r="K18" i="101" s="1"/>
  <c r="J11" i="101"/>
  <c r="J18" i="101" s="1"/>
  <c r="H11" i="101"/>
  <c r="F11" i="101"/>
  <c r="G11" i="101" s="1"/>
  <c r="A11" i="101"/>
  <c r="L10" i="101"/>
  <c r="K10" i="101"/>
  <c r="J10" i="101"/>
  <c r="H10" i="101"/>
  <c r="F10" i="101"/>
  <c r="G10" i="101" s="1"/>
  <c r="A10" i="101"/>
  <c r="L9" i="101"/>
  <c r="L21" i="101" s="1"/>
  <c r="K9" i="101"/>
  <c r="K21" i="101" s="1"/>
  <c r="J9" i="101"/>
  <c r="J21" i="101" s="1"/>
  <c r="I26" i="123" s="1"/>
  <c r="H9" i="101"/>
  <c r="F9" i="101"/>
  <c r="G9" i="101" s="1"/>
  <c r="A9" i="101"/>
  <c r="L8" i="101"/>
  <c r="K8" i="101"/>
  <c r="J8" i="101"/>
  <c r="H8" i="101"/>
  <c r="F8" i="101"/>
  <c r="G8" i="101" s="1"/>
  <c r="A8" i="101"/>
  <c r="L7" i="101"/>
  <c r="K7" i="101"/>
  <c r="J7" i="101"/>
  <c r="H7" i="101"/>
  <c r="F7" i="101"/>
  <c r="G7" i="101" s="1"/>
  <c r="A7" i="101"/>
  <c r="L6" i="101"/>
  <c r="K6" i="101"/>
  <c r="J6" i="101"/>
  <c r="H6" i="101"/>
  <c r="F6" i="101"/>
  <c r="G6" i="101" s="1"/>
  <c r="A6" i="101"/>
  <c r="L5" i="101"/>
  <c r="L17" i="101" s="1"/>
  <c r="F26" i="123" s="1"/>
  <c r="K5" i="101"/>
  <c r="K17" i="101" s="1"/>
  <c r="C26" i="123" s="1"/>
  <c r="J5" i="101"/>
  <c r="J17" i="101" s="1"/>
  <c r="H5" i="101"/>
  <c r="F5" i="101"/>
  <c r="G5" i="101" s="1"/>
  <c r="A5" i="101"/>
  <c r="L4" i="101"/>
  <c r="K4" i="101"/>
  <c r="J4" i="101"/>
  <c r="H4" i="101"/>
  <c r="F4" i="101"/>
  <c r="G4" i="101" s="1"/>
  <c r="A4" i="101"/>
  <c r="L3" i="101"/>
  <c r="K3" i="101"/>
  <c r="J3" i="101"/>
  <c r="H3" i="101"/>
  <c r="F3" i="101"/>
  <c r="G3" i="101" s="1"/>
  <c r="A3" i="101"/>
  <c r="H42" i="116"/>
  <c r="G42" i="116"/>
  <c r="F42" i="116"/>
  <c r="A42" i="116"/>
  <c r="H41" i="116"/>
  <c r="F41" i="116"/>
  <c r="G41" i="116" s="1"/>
  <c r="A41" i="116"/>
  <c r="H40" i="116"/>
  <c r="F40" i="116"/>
  <c r="G40" i="116" s="1"/>
  <c r="A40" i="116"/>
  <c r="H39" i="116"/>
  <c r="F39" i="116"/>
  <c r="G39" i="116" s="1"/>
  <c r="A39" i="116"/>
  <c r="H38" i="116"/>
  <c r="F38" i="116"/>
  <c r="G38" i="116" s="1"/>
  <c r="A38" i="116"/>
  <c r="H37" i="116"/>
  <c r="F37" i="116"/>
  <c r="G37" i="116" s="1"/>
  <c r="A37" i="116"/>
  <c r="H36" i="116"/>
  <c r="G36" i="116"/>
  <c r="F36" i="116"/>
  <c r="A36" i="116"/>
  <c r="H35" i="116"/>
  <c r="G35" i="116"/>
  <c r="F35" i="116"/>
  <c r="A35" i="116"/>
  <c r="H34" i="116"/>
  <c r="G34" i="116"/>
  <c r="F34" i="116"/>
  <c r="A34" i="116"/>
  <c r="H33" i="116"/>
  <c r="F33" i="116"/>
  <c r="G33" i="116" s="1"/>
  <c r="A33" i="116"/>
  <c r="H32" i="116"/>
  <c r="F32" i="116"/>
  <c r="G32" i="116" s="1"/>
  <c r="A32" i="116"/>
  <c r="H31" i="116"/>
  <c r="F31" i="116"/>
  <c r="G31" i="116" s="1"/>
  <c r="A31" i="116"/>
  <c r="H30" i="116"/>
  <c r="F30" i="116"/>
  <c r="G30" i="116" s="1"/>
  <c r="A30" i="116"/>
  <c r="H29" i="116"/>
  <c r="F29" i="116"/>
  <c r="G29" i="116" s="1"/>
  <c r="A29" i="116"/>
  <c r="H28" i="116"/>
  <c r="G28" i="116"/>
  <c r="F28" i="116"/>
  <c r="A28" i="116"/>
  <c r="H27" i="116"/>
  <c r="G27" i="116"/>
  <c r="F27" i="116"/>
  <c r="A27" i="116"/>
  <c r="H26" i="116"/>
  <c r="G26" i="116"/>
  <c r="F26" i="116"/>
  <c r="A26" i="116"/>
  <c r="H25" i="116"/>
  <c r="F25" i="116"/>
  <c r="G25" i="116" s="1"/>
  <c r="A25" i="116"/>
  <c r="H24" i="116"/>
  <c r="F24" i="116"/>
  <c r="G24" i="116" s="1"/>
  <c r="A24" i="116"/>
  <c r="H23" i="116"/>
  <c r="F23" i="116"/>
  <c r="G23" i="116" s="1"/>
  <c r="A23" i="116"/>
  <c r="H22" i="116"/>
  <c r="F22" i="116"/>
  <c r="G22" i="116" s="1"/>
  <c r="A22" i="116"/>
  <c r="H21" i="116"/>
  <c r="F21" i="116"/>
  <c r="G21" i="116" s="1"/>
  <c r="A21" i="116"/>
  <c r="H20" i="116"/>
  <c r="G20" i="116"/>
  <c r="F20" i="116"/>
  <c r="A20" i="116"/>
  <c r="H19" i="116"/>
  <c r="F19" i="116"/>
  <c r="G19" i="116" s="1"/>
  <c r="A19" i="116"/>
  <c r="H18" i="116"/>
  <c r="F18" i="116"/>
  <c r="G18" i="116" s="1"/>
  <c r="A18" i="116"/>
  <c r="J17" i="116"/>
  <c r="H17" i="116"/>
  <c r="F17" i="116"/>
  <c r="G17" i="116" s="1"/>
  <c r="A17" i="116"/>
  <c r="H16" i="116"/>
  <c r="G16" i="116"/>
  <c r="F16" i="116"/>
  <c r="A16" i="116"/>
  <c r="H15" i="116"/>
  <c r="G15" i="116"/>
  <c r="F15" i="116"/>
  <c r="A15" i="116"/>
  <c r="H14" i="116"/>
  <c r="G14" i="116"/>
  <c r="F14" i="116"/>
  <c r="A14" i="116"/>
  <c r="H13" i="116"/>
  <c r="F13" i="116"/>
  <c r="G13" i="116" s="1"/>
  <c r="A13" i="116"/>
  <c r="L12" i="116"/>
  <c r="L19" i="116" s="1"/>
  <c r="K12" i="116"/>
  <c r="K19" i="116" s="1"/>
  <c r="J12" i="116"/>
  <c r="J19" i="116" s="1"/>
  <c r="H12" i="116"/>
  <c r="F12" i="116"/>
  <c r="G12" i="116" s="1"/>
  <c r="A12" i="116"/>
  <c r="L11" i="116"/>
  <c r="L18" i="116" s="1"/>
  <c r="K11" i="116"/>
  <c r="K18" i="116" s="1"/>
  <c r="J11" i="116"/>
  <c r="J18" i="116" s="1"/>
  <c r="H11" i="116"/>
  <c r="G11" i="116"/>
  <c r="F11" i="116"/>
  <c r="A11" i="116"/>
  <c r="L10" i="116"/>
  <c r="K10" i="116"/>
  <c r="J10" i="116"/>
  <c r="H10" i="116"/>
  <c r="F10" i="116"/>
  <c r="G10" i="116" s="1"/>
  <c r="A10" i="116"/>
  <c r="L9" i="116"/>
  <c r="K9" i="116"/>
  <c r="J9" i="116"/>
  <c r="H9" i="116"/>
  <c r="G9" i="116"/>
  <c r="F9" i="116"/>
  <c r="A9" i="116"/>
  <c r="L8" i="116"/>
  <c r="L21" i="116" s="1"/>
  <c r="K8" i="116"/>
  <c r="K21" i="116" s="1"/>
  <c r="J8" i="116"/>
  <c r="J21" i="116" s="1"/>
  <c r="H8" i="116"/>
  <c r="F8" i="116"/>
  <c r="G8" i="116" s="1"/>
  <c r="A8" i="116"/>
  <c r="L7" i="116"/>
  <c r="K7" i="116"/>
  <c r="J7" i="116"/>
  <c r="H7" i="116"/>
  <c r="F7" i="116"/>
  <c r="G7" i="116" s="1"/>
  <c r="A7" i="116"/>
  <c r="L6" i="116"/>
  <c r="L17" i="116" s="1"/>
  <c r="K6" i="116"/>
  <c r="K17" i="116" s="1"/>
  <c r="J6" i="116"/>
  <c r="H6" i="116"/>
  <c r="F6" i="116"/>
  <c r="G6" i="116" s="1"/>
  <c r="A6" i="116"/>
  <c r="L5" i="116"/>
  <c r="K5" i="116"/>
  <c r="J5" i="116"/>
  <c r="H5" i="116"/>
  <c r="G5" i="116"/>
  <c r="F5" i="116"/>
  <c r="A5" i="116"/>
  <c r="L4" i="116"/>
  <c r="K4" i="116"/>
  <c r="J4" i="116"/>
  <c r="H4" i="116"/>
  <c r="F4" i="116"/>
  <c r="G4" i="116" s="1"/>
  <c r="A4" i="116"/>
  <c r="L3" i="116"/>
  <c r="L16" i="116" s="1"/>
  <c r="K3" i="116"/>
  <c r="K16" i="116" s="1"/>
  <c r="J3" i="116"/>
  <c r="J16" i="116" s="1"/>
  <c r="H3" i="116"/>
  <c r="F3" i="116"/>
  <c r="G3" i="116" s="1"/>
  <c r="A3" i="116"/>
  <c r="H42" i="115"/>
  <c r="F42" i="115"/>
  <c r="G42" i="115" s="1"/>
  <c r="A42" i="115"/>
  <c r="H41" i="115"/>
  <c r="F41" i="115"/>
  <c r="G41" i="115" s="1"/>
  <c r="A41" i="115"/>
  <c r="H40" i="115"/>
  <c r="G40" i="115"/>
  <c r="F40" i="115"/>
  <c r="A40" i="115"/>
  <c r="H39" i="115"/>
  <c r="G39" i="115"/>
  <c r="F39" i="115"/>
  <c r="A39" i="115"/>
  <c r="H38" i="115"/>
  <c r="G38" i="115"/>
  <c r="F38" i="115"/>
  <c r="A38" i="115"/>
  <c r="H37" i="115"/>
  <c r="G37" i="115"/>
  <c r="F37" i="115"/>
  <c r="A37" i="115"/>
  <c r="H36" i="115"/>
  <c r="F36" i="115"/>
  <c r="G36" i="115" s="1"/>
  <c r="A36" i="115"/>
  <c r="H35" i="115"/>
  <c r="F35" i="115"/>
  <c r="G35" i="115" s="1"/>
  <c r="A35" i="115"/>
  <c r="H34" i="115"/>
  <c r="F34" i="115"/>
  <c r="G34" i="115" s="1"/>
  <c r="A34" i="115"/>
  <c r="H33" i="115"/>
  <c r="F33" i="115"/>
  <c r="G33" i="115" s="1"/>
  <c r="A33" i="115"/>
  <c r="H32" i="115"/>
  <c r="G32" i="115"/>
  <c r="F32" i="115"/>
  <c r="A32" i="115"/>
  <c r="H31" i="115"/>
  <c r="G31" i="115"/>
  <c r="F31" i="115"/>
  <c r="A31" i="115"/>
  <c r="H30" i="115"/>
  <c r="G30" i="115"/>
  <c r="F30" i="115"/>
  <c r="A30" i="115"/>
  <c r="H29" i="115"/>
  <c r="G29" i="115"/>
  <c r="F29" i="115"/>
  <c r="A29" i="115"/>
  <c r="H28" i="115"/>
  <c r="F28" i="115"/>
  <c r="G28" i="115" s="1"/>
  <c r="A28" i="115"/>
  <c r="H27" i="115"/>
  <c r="F27" i="115"/>
  <c r="G27" i="115" s="1"/>
  <c r="A27" i="115"/>
  <c r="H26" i="115"/>
  <c r="F26" i="115"/>
  <c r="G26" i="115" s="1"/>
  <c r="A26" i="115"/>
  <c r="H25" i="115"/>
  <c r="F25" i="115"/>
  <c r="G25" i="115" s="1"/>
  <c r="A25" i="115"/>
  <c r="H24" i="115"/>
  <c r="G24" i="115"/>
  <c r="F24" i="115"/>
  <c r="A24" i="115"/>
  <c r="H23" i="115"/>
  <c r="G23" i="115"/>
  <c r="F23" i="115"/>
  <c r="A23" i="115"/>
  <c r="H22" i="115"/>
  <c r="G22" i="115"/>
  <c r="F22" i="115"/>
  <c r="A22" i="115"/>
  <c r="H21" i="115"/>
  <c r="F21" i="115"/>
  <c r="G21" i="115" s="1"/>
  <c r="A21" i="115"/>
  <c r="H20" i="115"/>
  <c r="F20" i="115"/>
  <c r="G20" i="115" s="1"/>
  <c r="A20" i="115"/>
  <c r="L19" i="115"/>
  <c r="K19" i="115"/>
  <c r="J19" i="115"/>
  <c r="H19" i="115"/>
  <c r="F19" i="115"/>
  <c r="G19" i="115" s="1"/>
  <c r="A19" i="115"/>
  <c r="L18" i="115"/>
  <c r="H18" i="115"/>
  <c r="F18" i="115"/>
  <c r="G18" i="115" s="1"/>
  <c r="A18" i="115"/>
  <c r="H17" i="115"/>
  <c r="F17" i="115"/>
  <c r="G17" i="115" s="1"/>
  <c r="A17" i="115"/>
  <c r="K16" i="115"/>
  <c r="J16" i="115"/>
  <c r="H16" i="115"/>
  <c r="F16" i="115"/>
  <c r="G16" i="115" s="1"/>
  <c r="A16" i="115"/>
  <c r="H15" i="115"/>
  <c r="F15" i="115"/>
  <c r="G15" i="115" s="1"/>
  <c r="A15" i="115"/>
  <c r="H14" i="115"/>
  <c r="F14" i="115"/>
  <c r="G14" i="115" s="1"/>
  <c r="A14" i="115"/>
  <c r="H13" i="115"/>
  <c r="F13" i="115"/>
  <c r="G13" i="115" s="1"/>
  <c r="A13" i="115"/>
  <c r="L12" i="115"/>
  <c r="K12" i="115"/>
  <c r="J12" i="115"/>
  <c r="H12" i="115"/>
  <c r="F12" i="115"/>
  <c r="G12" i="115" s="1"/>
  <c r="A12" i="115"/>
  <c r="L11" i="115"/>
  <c r="K11" i="115"/>
  <c r="K18" i="115" s="1"/>
  <c r="J11" i="115"/>
  <c r="J18" i="115" s="1"/>
  <c r="H11" i="115"/>
  <c r="F11" i="115"/>
  <c r="G11" i="115" s="1"/>
  <c r="A11" i="115"/>
  <c r="L10" i="115"/>
  <c r="K10" i="115"/>
  <c r="J10" i="115"/>
  <c r="H10" i="115"/>
  <c r="G10" i="115"/>
  <c r="F10" i="115"/>
  <c r="A10" i="115"/>
  <c r="L9" i="115"/>
  <c r="K9" i="115"/>
  <c r="J9" i="115"/>
  <c r="H9" i="115"/>
  <c r="F9" i="115"/>
  <c r="G9" i="115" s="1"/>
  <c r="A9" i="115"/>
  <c r="L8" i="115"/>
  <c r="L21" i="115" s="1"/>
  <c r="K8" i="115"/>
  <c r="K21" i="115" s="1"/>
  <c r="J8" i="115"/>
  <c r="J21" i="115" s="1"/>
  <c r="H8" i="115"/>
  <c r="F8" i="115"/>
  <c r="G8" i="115" s="1"/>
  <c r="A8" i="115"/>
  <c r="L7" i="115"/>
  <c r="K7" i="115"/>
  <c r="J7" i="115"/>
  <c r="H7" i="115"/>
  <c r="G7" i="115"/>
  <c r="F7" i="115"/>
  <c r="A7" i="115"/>
  <c r="L6" i="115"/>
  <c r="K6" i="115"/>
  <c r="J6" i="115"/>
  <c r="H6" i="115"/>
  <c r="F6" i="115"/>
  <c r="G6" i="115" s="1"/>
  <c r="A6" i="115"/>
  <c r="L5" i="115"/>
  <c r="K5" i="115"/>
  <c r="J5" i="115"/>
  <c r="H5" i="115"/>
  <c r="F5" i="115"/>
  <c r="G5" i="115" s="1"/>
  <c r="A5" i="115"/>
  <c r="L4" i="115"/>
  <c r="L17" i="115" s="1"/>
  <c r="K4" i="115"/>
  <c r="K17" i="115" s="1"/>
  <c r="J4" i="115"/>
  <c r="J17" i="115" s="1"/>
  <c r="H4" i="115"/>
  <c r="F4" i="115"/>
  <c r="G4" i="115" s="1"/>
  <c r="A4" i="115"/>
  <c r="L3" i="115"/>
  <c r="L16" i="115" s="1"/>
  <c r="K3" i="115"/>
  <c r="J3" i="115"/>
  <c r="H3" i="115"/>
  <c r="F3" i="115"/>
  <c r="G3" i="115" s="1"/>
  <c r="A3" i="115"/>
  <c r="H42" i="122"/>
  <c r="G42" i="122"/>
  <c r="F42" i="122"/>
  <c r="A42" i="122"/>
  <c r="H41" i="122"/>
  <c r="G41" i="122"/>
  <c r="F41" i="122"/>
  <c r="A41" i="122"/>
  <c r="H40" i="122"/>
  <c r="G40" i="122"/>
  <c r="F40" i="122"/>
  <c r="A40" i="122"/>
  <c r="H39" i="122"/>
  <c r="F39" i="122"/>
  <c r="G39" i="122" s="1"/>
  <c r="A39" i="122"/>
  <c r="H38" i="122"/>
  <c r="F38" i="122"/>
  <c r="G38" i="122" s="1"/>
  <c r="A38" i="122"/>
  <c r="H37" i="122"/>
  <c r="F37" i="122"/>
  <c r="G37" i="122" s="1"/>
  <c r="A37" i="122"/>
  <c r="H36" i="122"/>
  <c r="F36" i="122"/>
  <c r="G36" i="122" s="1"/>
  <c r="A36" i="122"/>
  <c r="H35" i="122"/>
  <c r="G35" i="122"/>
  <c r="F35" i="122"/>
  <c r="A35" i="122"/>
  <c r="H34" i="122"/>
  <c r="G34" i="122"/>
  <c r="F34" i="122"/>
  <c r="A34" i="122"/>
  <c r="H33" i="122"/>
  <c r="G33" i="122"/>
  <c r="F33" i="122"/>
  <c r="A33" i="122"/>
  <c r="H32" i="122"/>
  <c r="G32" i="122"/>
  <c r="F32" i="122"/>
  <c r="A32" i="122"/>
  <c r="H31" i="122"/>
  <c r="F31" i="122"/>
  <c r="G31" i="122" s="1"/>
  <c r="A31" i="122"/>
  <c r="H30" i="122"/>
  <c r="F30" i="122"/>
  <c r="G30" i="122" s="1"/>
  <c r="A30" i="122"/>
  <c r="H29" i="122"/>
  <c r="F29" i="122"/>
  <c r="G29" i="122" s="1"/>
  <c r="A29" i="122"/>
  <c r="H28" i="122"/>
  <c r="F28" i="122"/>
  <c r="G28" i="122" s="1"/>
  <c r="A28" i="122"/>
  <c r="H27" i="122"/>
  <c r="G27" i="122"/>
  <c r="F27" i="122"/>
  <c r="A27" i="122"/>
  <c r="H26" i="122"/>
  <c r="G26" i="122"/>
  <c r="F26" i="122"/>
  <c r="H25" i="122"/>
  <c r="F25" i="122"/>
  <c r="G25" i="122" s="1"/>
  <c r="H24" i="122"/>
  <c r="G24" i="122"/>
  <c r="F24" i="122"/>
  <c r="H23" i="122"/>
  <c r="F23" i="122"/>
  <c r="G23" i="122" s="1"/>
  <c r="H22" i="122"/>
  <c r="F22" i="122"/>
  <c r="G22" i="122" s="1"/>
  <c r="L21" i="122"/>
  <c r="K21" i="122"/>
  <c r="H21" i="122"/>
  <c r="F21" i="122"/>
  <c r="G21" i="122" s="1"/>
  <c r="H20" i="122"/>
  <c r="F20" i="122"/>
  <c r="G20" i="122" s="1"/>
  <c r="J19" i="122"/>
  <c r="H19" i="122"/>
  <c r="G19" i="122"/>
  <c r="F19" i="122"/>
  <c r="J18" i="122"/>
  <c r="H18" i="122"/>
  <c r="G18" i="122"/>
  <c r="F18" i="122"/>
  <c r="H17" i="122"/>
  <c r="G17" i="122"/>
  <c r="F17" i="122"/>
  <c r="H16" i="122"/>
  <c r="L6" i="122" s="1"/>
  <c r="F16" i="122"/>
  <c r="G16" i="122" s="1"/>
  <c r="K6" i="122" s="1"/>
  <c r="H15" i="122"/>
  <c r="F15" i="122"/>
  <c r="G15" i="122" s="1"/>
  <c r="H14" i="122"/>
  <c r="F14" i="122"/>
  <c r="G14" i="122" s="1"/>
  <c r="H13" i="122"/>
  <c r="F13" i="122"/>
  <c r="G13" i="122" s="1"/>
  <c r="L12" i="122"/>
  <c r="L19" i="122" s="1"/>
  <c r="K12" i="122"/>
  <c r="K19" i="122" s="1"/>
  <c r="J12" i="122"/>
  <c r="H12" i="122"/>
  <c r="G12" i="122" s="1"/>
  <c r="F12" i="122"/>
  <c r="L11" i="122"/>
  <c r="L18" i="122" s="1"/>
  <c r="K11" i="122"/>
  <c r="K18" i="122" s="1"/>
  <c r="J11" i="122"/>
  <c r="H11" i="122"/>
  <c r="F11" i="122"/>
  <c r="G11" i="122" s="1"/>
  <c r="L10" i="122"/>
  <c r="H10" i="122"/>
  <c r="F10" i="122"/>
  <c r="G10" i="122" s="1"/>
  <c r="L9" i="122"/>
  <c r="K9" i="122"/>
  <c r="J9" i="122"/>
  <c r="H9" i="122"/>
  <c r="G9" i="122"/>
  <c r="F9" i="122"/>
  <c r="L8" i="122"/>
  <c r="K8" i="122"/>
  <c r="J8" i="122"/>
  <c r="J21" i="122" s="1"/>
  <c r="H8" i="122"/>
  <c r="L4" i="122" s="1"/>
  <c r="F8" i="122"/>
  <c r="G8" i="122" s="1"/>
  <c r="L7" i="122"/>
  <c r="K7" i="122"/>
  <c r="J7" i="122"/>
  <c r="H7" i="122"/>
  <c r="F7" i="122"/>
  <c r="G7" i="122" s="1"/>
  <c r="H6" i="122"/>
  <c r="F6" i="122"/>
  <c r="G6" i="122" s="1"/>
  <c r="H5" i="122"/>
  <c r="F5" i="122"/>
  <c r="J10" i="122" s="1"/>
  <c r="H4" i="122"/>
  <c r="L5" i="122" s="1"/>
  <c r="F4" i="122"/>
  <c r="J5" i="122" s="1"/>
  <c r="L3" i="122"/>
  <c r="L16" i="122" s="1"/>
  <c r="K3" i="122"/>
  <c r="K16" i="122" s="1"/>
  <c r="J3" i="122"/>
  <c r="J16" i="122" s="1"/>
  <c r="H3" i="122"/>
  <c r="F3" i="122"/>
  <c r="G3" i="122" s="1"/>
  <c r="H42" i="120"/>
  <c r="F42" i="120"/>
  <c r="G42" i="120" s="1"/>
  <c r="A42" i="120"/>
  <c r="H41" i="120"/>
  <c r="F41" i="120"/>
  <c r="G41" i="120" s="1"/>
  <c r="A41" i="120"/>
  <c r="H40" i="120"/>
  <c r="G40" i="120"/>
  <c r="F40" i="120"/>
  <c r="A40" i="120"/>
  <c r="H39" i="120"/>
  <c r="G39" i="120"/>
  <c r="F39" i="120"/>
  <c r="A39" i="120"/>
  <c r="H38" i="120"/>
  <c r="G38" i="120"/>
  <c r="F38" i="120"/>
  <c r="A38" i="120"/>
  <c r="H37" i="120"/>
  <c r="G37" i="120"/>
  <c r="F37" i="120"/>
  <c r="A37" i="120"/>
  <c r="H36" i="120"/>
  <c r="F36" i="120"/>
  <c r="G36" i="120" s="1"/>
  <c r="A36" i="120"/>
  <c r="H35" i="120"/>
  <c r="F35" i="120"/>
  <c r="G35" i="120" s="1"/>
  <c r="A35" i="120"/>
  <c r="H34" i="120"/>
  <c r="F34" i="120"/>
  <c r="G34" i="120" s="1"/>
  <c r="A34" i="120"/>
  <c r="H33" i="120"/>
  <c r="F33" i="120"/>
  <c r="G33" i="120" s="1"/>
  <c r="A33" i="120"/>
  <c r="H32" i="120"/>
  <c r="G32" i="120"/>
  <c r="F32" i="120"/>
  <c r="A32" i="120"/>
  <c r="H31" i="120"/>
  <c r="G31" i="120"/>
  <c r="F31" i="120"/>
  <c r="A31" i="120"/>
  <c r="H30" i="120"/>
  <c r="G30" i="120"/>
  <c r="F30" i="120"/>
  <c r="A30" i="120"/>
  <c r="H29" i="120"/>
  <c r="G29" i="120"/>
  <c r="F29" i="120"/>
  <c r="A29" i="120"/>
  <c r="H28" i="120"/>
  <c r="F28" i="120"/>
  <c r="G28" i="120" s="1"/>
  <c r="A28" i="120"/>
  <c r="H27" i="120"/>
  <c r="F27" i="120"/>
  <c r="G27" i="120" s="1"/>
  <c r="A27" i="120"/>
  <c r="H26" i="120"/>
  <c r="F26" i="120"/>
  <c r="G26" i="120" s="1"/>
  <c r="H25" i="120"/>
  <c r="F25" i="120"/>
  <c r="G25" i="120" s="1"/>
  <c r="H24" i="120"/>
  <c r="G24" i="120"/>
  <c r="F24" i="120"/>
  <c r="H23" i="120"/>
  <c r="F23" i="120"/>
  <c r="G23" i="120" s="1"/>
  <c r="H22" i="120"/>
  <c r="G22" i="120"/>
  <c r="F22" i="120"/>
  <c r="H21" i="120"/>
  <c r="G21" i="120"/>
  <c r="F21" i="120"/>
  <c r="H20" i="120"/>
  <c r="G20" i="120"/>
  <c r="F20" i="120"/>
  <c r="H19" i="120"/>
  <c r="F19" i="120"/>
  <c r="G19" i="120" s="1"/>
  <c r="H18" i="120"/>
  <c r="F18" i="120"/>
  <c r="G18" i="120" s="1"/>
  <c r="H17" i="120"/>
  <c r="G17" i="120"/>
  <c r="F17" i="120"/>
  <c r="J16" i="120"/>
  <c r="H16" i="120"/>
  <c r="G16" i="120"/>
  <c r="F16" i="120"/>
  <c r="H15" i="120"/>
  <c r="F15" i="120"/>
  <c r="G15" i="120" s="1"/>
  <c r="H14" i="120"/>
  <c r="G14" i="120"/>
  <c r="F14" i="120"/>
  <c r="H13" i="120"/>
  <c r="F13" i="120"/>
  <c r="G13" i="120" s="1"/>
  <c r="L12" i="120"/>
  <c r="L19" i="120" s="1"/>
  <c r="G42" i="123" s="1"/>
  <c r="K12" i="120"/>
  <c r="K19" i="120" s="1"/>
  <c r="D42" i="123" s="1"/>
  <c r="J12" i="120"/>
  <c r="J19" i="120" s="1"/>
  <c r="H12" i="120"/>
  <c r="F12" i="120"/>
  <c r="G12" i="120" s="1"/>
  <c r="L11" i="120"/>
  <c r="L18" i="120" s="1"/>
  <c r="K11" i="120"/>
  <c r="K18" i="120" s="1"/>
  <c r="J11" i="120"/>
  <c r="J18" i="120" s="1"/>
  <c r="H11" i="120"/>
  <c r="L7" i="120" s="1"/>
  <c r="F11" i="120"/>
  <c r="J7" i="120" s="1"/>
  <c r="L10" i="120"/>
  <c r="K10" i="120"/>
  <c r="J10" i="120"/>
  <c r="H10" i="120"/>
  <c r="F10" i="120"/>
  <c r="G10" i="120" s="1"/>
  <c r="H9" i="120"/>
  <c r="F9" i="120"/>
  <c r="G9" i="120" s="1"/>
  <c r="L8" i="120"/>
  <c r="K8" i="120"/>
  <c r="J8" i="120"/>
  <c r="H8" i="120"/>
  <c r="F8" i="120"/>
  <c r="G8" i="120" s="1"/>
  <c r="H7" i="120"/>
  <c r="G7" i="120"/>
  <c r="F7" i="120"/>
  <c r="L6" i="120"/>
  <c r="K6" i="120"/>
  <c r="J6" i="120"/>
  <c r="H6" i="120"/>
  <c r="F6" i="120"/>
  <c r="G6" i="120" s="1"/>
  <c r="L5" i="120"/>
  <c r="J5" i="120"/>
  <c r="H5" i="120"/>
  <c r="L9" i="120" s="1"/>
  <c r="F5" i="120"/>
  <c r="G5" i="120" s="1"/>
  <c r="K9" i="120" s="1"/>
  <c r="H4" i="120"/>
  <c r="G4" i="120" s="1"/>
  <c r="F4" i="120"/>
  <c r="L3" i="120"/>
  <c r="L16" i="120" s="1"/>
  <c r="E42" i="123" s="1"/>
  <c r="K3" i="120"/>
  <c r="K16" i="120" s="1"/>
  <c r="B42" i="123" s="1"/>
  <c r="J3" i="120"/>
  <c r="H3" i="120"/>
  <c r="L4" i="120" s="1"/>
  <c r="F3" i="120"/>
  <c r="J4" i="120" s="1"/>
  <c r="H42" i="119"/>
  <c r="G42" i="119"/>
  <c r="F42" i="119"/>
  <c r="A42" i="119"/>
  <c r="H41" i="119"/>
  <c r="F41" i="119"/>
  <c r="G41" i="119" s="1"/>
  <c r="A41" i="119"/>
  <c r="H40" i="119"/>
  <c r="F40" i="119"/>
  <c r="G40" i="119" s="1"/>
  <c r="A40" i="119"/>
  <c r="H39" i="119"/>
  <c r="F39" i="119"/>
  <c r="G39" i="119" s="1"/>
  <c r="A39" i="119"/>
  <c r="H38" i="119"/>
  <c r="F38" i="119"/>
  <c r="G38" i="119" s="1"/>
  <c r="A38" i="119"/>
  <c r="H37" i="119"/>
  <c r="G37" i="119"/>
  <c r="F37" i="119"/>
  <c r="A37" i="119"/>
  <c r="H36" i="119"/>
  <c r="G36" i="119"/>
  <c r="F36" i="119"/>
  <c r="A36" i="119"/>
  <c r="H35" i="119"/>
  <c r="G35" i="119"/>
  <c r="F35" i="119"/>
  <c r="A35" i="119"/>
  <c r="H34" i="119"/>
  <c r="G34" i="119"/>
  <c r="F34" i="119"/>
  <c r="A34" i="119"/>
  <c r="H33" i="119"/>
  <c r="F33" i="119"/>
  <c r="G33" i="119" s="1"/>
  <c r="A33" i="119"/>
  <c r="H32" i="119"/>
  <c r="F32" i="119"/>
  <c r="G32" i="119" s="1"/>
  <c r="A32" i="119"/>
  <c r="H31" i="119"/>
  <c r="F31" i="119"/>
  <c r="G31" i="119" s="1"/>
  <c r="A31" i="119"/>
  <c r="H30" i="119"/>
  <c r="F30" i="119"/>
  <c r="G30" i="119" s="1"/>
  <c r="A30" i="119"/>
  <c r="H29" i="119"/>
  <c r="G29" i="119"/>
  <c r="F29" i="119"/>
  <c r="A29" i="119"/>
  <c r="H28" i="119"/>
  <c r="G28" i="119"/>
  <c r="F28" i="119"/>
  <c r="A28" i="119"/>
  <c r="H27" i="119"/>
  <c r="G27" i="119"/>
  <c r="F27" i="119"/>
  <c r="A27" i="119"/>
  <c r="H26" i="119"/>
  <c r="G26" i="119"/>
  <c r="F26" i="119"/>
  <c r="H25" i="119"/>
  <c r="F25" i="119"/>
  <c r="G25" i="119" s="1"/>
  <c r="H24" i="119"/>
  <c r="F24" i="119"/>
  <c r="G24" i="119" s="1"/>
  <c r="H23" i="119"/>
  <c r="F23" i="119"/>
  <c r="G23" i="119" s="1"/>
  <c r="H22" i="119"/>
  <c r="F22" i="119"/>
  <c r="G22" i="119" s="1"/>
  <c r="J21" i="119"/>
  <c r="I41" i="123" s="1"/>
  <c r="H21" i="119"/>
  <c r="G21" i="119"/>
  <c r="F21" i="119"/>
  <c r="H20" i="119"/>
  <c r="G20" i="119"/>
  <c r="F20" i="119"/>
  <c r="L19" i="119"/>
  <c r="H19" i="119"/>
  <c r="G19" i="119"/>
  <c r="F19" i="119"/>
  <c r="H18" i="119"/>
  <c r="F18" i="119"/>
  <c r="G18" i="119" s="1"/>
  <c r="K17" i="119"/>
  <c r="C41" i="123" s="1"/>
  <c r="H17" i="119"/>
  <c r="F17" i="119"/>
  <c r="G17" i="119" s="1"/>
  <c r="H16" i="119"/>
  <c r="F16" i="119"/>
  <c r="G16" i="119" s="1"/>
  <c r="H15" i="119"/>
  <c r="F15" i="119"/>
  <c r="G15" i="119" s="1"/>
  <c r="H14" i="119"/>
  <c r="G14" i="119"/>
  <c r="F14" i="119"/>
  <c r="H13" i="119"/>
  <c r="F13" i="119"/>
  <c r="G13" i="119" s="1"/>
  <c r="L12" i="119"/>
  <c r="K12" i="119"/>
  <c r="K19" i="119" s="1"/>
  <c r="D41" i="123" s="1"/>
  <c r="J12" i="119"/>
  <c r="J19" i="119" s="1"/>
  <c r="H12" i="119"/>
  <c r="F12" i="119"/>
  <c r="G12" i="119" s="1"/>
  <c r="H11" i="119"/>
  <c r="F11" i="119"/>
  <c r="G11" i="119" s="1"/>
  <c r="L10" i="119"/>
  <c r="L17" i="119" s="1"/>
  <c r="F41" i="123" s="1"/>
  <c r="K10" i="119"/>
  <c r="J10" i="119"/>
  <c r="H10" i="119"/>
  <c r="F10" i="119"/>
  <c r="G10" i="119" s="1"/>
  <c r="L9" i="119"/>
  <c r="K9" i="119"/>
  <c r="J9" i="119"/>
  <c r="H9" i="119"/>
  <c r="F9" i="119"/>
  <c r="G9" i="119" s="1"/>
  <c r="L8" i="119"/>
  <c r="L21" i="119" s="1"/>
  <c r="K8" i="119"/>
  <c r="K21" i="119" s="1"/>
  <c r="J8" i="119"/>
  <c r="H8" i="119"/>
  <c r="F8" i="119"/>
  <c r="G8" i="119" s="1"/>
  <c r="L7" i="119"/>
  <c r="K7" i="119"/>
  <c r="J7" i="119"/>
  <c r="H7" i="119"/>
  <c r="F7" i="119"/>
  <c r="G7" i="119" s="1"/>
  <c r="L6" i="119"/>
  <c r="K6" i="119"/>
  <c r="J6" i="119"/>
  <c r="H6" i="119"/>
  <c r="F6" i="119"/>
  <c r="G6" i="119" s="1"/>
  <c r="L5" i="119"/>
  <c r="K5" i="119"/>
  <c r="J5" i="119"/>
  <c r="H5" i="119"/>
  <c r="G5" i="119"/>
  <c r="F5" i="119"/>
  <c r="L4" i="119"/>
  <c r="K4" i="119"/>
  <c r="J4" i="119"/>
  <c r="J17" i="119" s="1"/>
  <c r="H4" i="119"/>
  <c r="F4" i="119"/>
  <c r="G4" i="119" s="1"/>
  <c r="L3" i="119"/>
  <c r="L16" i="119" s="1"/>
  <c r="E41" i="123" s="1"/>
  <c r="K3" i="119"/>
  <c r="K16" i="119" s="1"/>
  <c r="B41" i="123" s="1"/>
  <c r="J3" i="119"/>
  <c r="J16" i="119" s="1"/>
  <c r="H3" i="119"/>
  <c r="L11" i="119" s="1"/>
  <c r="L18" i="119" s="1"/>
  <c r="F3" i="119"/>
  <c r="G3" i="119" s="1"/>
  <c r="H42" i="118"/>
  <c r="G42" i="118"/>
  <c r="F42" i="118"/>
  <c r="A42" i="118"/>
  <c r="H41" i="118"/>
  <c r="G41" i="118"/>
  <c r="F41" i="118"/>
  <c r="A41" i="118"/>
  <c r="H40" i="118"/>
  <c r="G40" i="118"/>
  <c r="F40" i="118"/>
  <c r="A40" i="118"/>
  <c r="H39" i="118"/>
  <c r="G39" i="118"/>
  <c r="F39" i="118"/>
  <c r="A39" i="118"/>
  <c r="H38" i="118"/>
  <c r="F38" i="118"/>
  <c r="G38" i="118" s="1"/>
  <c r="A38" i="118"/>
  <c r="H37" i="118"/>
  <c r="F37" i="118"/>
  <c r="G37" i="118" s="1"/>
  <c r="A37" i="118"/>
  <c r="H36" i="118"/>
  <c r="F36" i="118"/>
  <c r="G36" i="118" s="1"/>
  <c r="A36" i="118"/>
  <c r="H35" i="118"/>
  <c r="F35" i="118"/>
  <c r="G35" i="118" s="1"/>
  <c r="A35" i="118"/>
  <c r="H34" i="118"/>
  <c r="G34" i="118"/>
  <c r="F34" i="118"/>
  <c r="A34" i="118"/>
  <c r="H33" i="118"/>
  <c r="G33" i="118"/>
  <c r="F33" i="118"/>
  <c r="A33" i="118"/>
  <c r="H32" i="118"/>
  <c r="G32" i="118"/>
  <c r="F32" i="118"/>
  <c r="A32" i="118"/>
  <c r="H31" i="118"/>
  <c r="G31" i="118"/>
  <c r="F31" i="118"/>
  <c r="A31" i="118"/>
  <c r="H30" i="118"/>
  <c r="F30" i="118"/>
  <c r="G30" i="118" s="1"/>
  <c r="A30" i="118"/>
  <c r="H29" i="118"/>
  <c r="F29" i="118"/>
  <c r="G29" i="118" s="1"/>
  <c r="A29" i="118"/>
  <c r="H28" i="118"/>
  <c r="F28" i="118"/>
  <c r="G28" i="118" s="1"/>
  <c r="H27" i="118"/>
  <c r="F27" i="118"/>
  <c r="G27" i="118" s="1"/>
  <c r="H26" i="118"/>
  <c r="G26" i="118"/>
  <c r="F26" i="118"/>
  <c r="H25" i="118"/>
  <c r="L5" i="118" s="1"/>
  <c r="F25" i="118"/>
  <c r="G25" i="118" s="1"/>
  <c r="H24" i="118"/>
  <c r="G24" i="118"/>
  <c r="F24" i="118"/>
  <c r="H23" i="118"/>
  <c r="F23" i="118"/>
  <c r="G23" i="118" s="1"/>
  <c r="H22" i="118"/>
  <c r="G22" i="118"/>
  <c r="F22" i="118"/>
  <c r="H21" i="118"/>
  <c r="F21" i="118"/>
  <c r="G21" i="118" s="1"/>
  <c r="K8" i="118" s="1"/>
  <c r="H20" i="118"/>
  <c r="F20" i="118"/>
  <c r="G20" i="118" s="1"/>
  <c r="H19" i="118"/>
  <c r="F19" i="118"/>
  <c r="G19" i="118" s="1"/>
  <c r="J18" i="118"/>
  <c r="H18" i="118"/>
  <c r="G18" i="118"/>
  <c r="F18" i="118"/>
  <c r="H17" i="118"/>
  <c r="G17" i="118"/>
  <c r="F17" i="118"/>
  <c r="H16" i="118"/>
  <c r="G16" i="118"/>
  <c r="F16" i="118"/>
  <c r="H15" i="118"/>
  <c r="F15" i="118"/>
  <c r="J5" i="118" s="1"/>
  <c r="H14" i="118"/>
  <c r="F14" i="118"/>
  <c r="G14" i="118" s="1"/>
  <c r="H13" i="118"/>
  <c r="F13" i="118"/>
  <c r="G13" i="118" s="1"/>
  <c r="L12" i="118"/>
  <c r="L19" i="118" s="1"/>
  <c r="G40" i="123" s="1"/>
  <c r="K12" i="118"/>
  <c r="K19" i="118" s="1"/>
  <c r="D40" i="123" s="1"/>
  <c r="J12" i="118"/>
  <c r="J19" i="118" s="1"/>
  <c r="H12" i="118"/>
  <c r="F12" i="118"/>
  <c r="G12" i="118" s="1"/>
  <c r="L11" i="118"/>
  <c r="L18" i="118" s="1"/>
  <c r="K11" i="118"/>
  <c r="K18" i="118" s="1"/>
  <c r="J11" i="118"/>
  <c r="H11" i="118"/>
  <c r="F11" i="118"/>
  <c r="G11" i="118" s="1"/>
  <c r="L10" i="118"/>
  <c r="K10" i="118"/>
  <c r="J10" i="118"/>
  <c r="H10" i="118"/>
  <c r="F10" i="118"/>
  <c r="G10" i="118" s="1"/>
  <c r="H9" i="118"/>
  <c r="F9" i="118"/>
  <c r="G9" i="118" s="1"/>
  <c r="L8" i="118"/>
  <c r="J8" i="118"/>
  <c r="H8" i="118"/>
  <c r="F8" i="118"/>
  <c r="G8" i="118" s="1"/>
  <c r="K6" i="118" s="1"/>
  <c r="L7" i="118"/>
  <c r="K7" i="118"/>
  <c r="J7" i="118"/>
  <c r="H7" i="118"/>
  <c r="F7" i="118"/>
  <c r="G7" i="118" s="1"/>
  <c r="L6" i="118"/>
  <c r="J6" i="118"/>
  <c r="H6" i="118"/>
  <c r="F6" i="118"/>
  <c r="G6" i="118" s="1"/>
  <c r="H5" i="118"/>
  <c r="F5" i="118"/>
  <c r="G5" i="118" s="1"/>
  <c r="H4" i="118"/>
  <c r="L9" i="118" s="1"/>
  <c r="L21" i="118" s="1"/>
  <c r="F4" i="118"/>
  <c r="J9" i="118" s="1"/>
  <c r="L3" i="118"/>
  <c r="L16" i="118" s="1"/>
  <c r="E40" i="123" s="1"/>
  <c r="K3" i="118"/>
  <c r="K16" i="118" s="1"/>
  <c r="B40" i="123" s="1"/>
  <c r="J3" i="118"/>
  <c r="J16" i="118" s="1"/>
  <c r="H3" i="118"/>
  <c r="L4" i="118" s="1"/>
  <c r="L17" i="118" s="1"/>
  <c r="F40" i="123" s="1"/>
  <c r="G3" i="118"/>
  <c r="K4" i="118" s="1"/>
  <c r="F3" i="118"/>
  <c r="J4" i="118" s="1"/>
  <c r="H42" i="114"/>
  <c r="G42" i="114" s="1"/>
  <c r="F42" i="114"/>
  <c r="A42" i="114"/>
  <c r="H41" i="114"/>
  <c r="F41" i="114"/>
  <c r="G41" i="114" s="1"/>
  <c r="A41" i="114"/>
  <c r="H40" i="114"/>
  <c r="F40" i="114"/>
  <c r="G40" i="114" s="1"/>
  <c r="A40" i="114"/>
  <c r="H39" i="114"/>
  <c r="G39" i="114"/>
  <c r="F39" i="114"/>
  <c r="A39" i="114"/>
  <c r="H38" i="114"/>
  <c r="F38" i="114"/>
  <c r="G38" i="114" s="1"/>
  <c r="A38" i="114"/>
  <c r="H37" i="114"/>
  <c r="G37" i="114"/>
  <c r="F37" i="114"/>
  <c r="A37" i="114"/>
  <c r="H36" i="114"/>
  <c r="F36" i="114"/>
  <c r="G36" i="114" s="1"/>
  <c r="A36" i="114"/>
  <c r="H35" i="114"/>
  <c r="F35" i="114"/>
  <c r="G35" i="114" s="1"/>
  <c r="A35" i="114"/>
  <c r="H34" i="114"/>
  <c r="G34" i="114" s="1"/>
  <c r="F34" i="114"/>
  <c r="A34" i="114"/>
  <c r="H33" i="114"/>
  <c r="F33" i="114"/>
  <c r="G33" i="114" s="1"/>
  <c r="A33" i="114"/>
  <c r="H32" i="114"/>
  <c r="F32" i="114"/>
  <c r="G32" i="114" s="1"/>
  <c r="A32" i="114"/>
  <c r="H31" i="114"/>
  <c r="G31" i="114"/>
  <c r="F31" i="114"/>
  <c r="A31" i="114"/>
  <c r="H30" i="114"/>
  <c r="F30" i="114"/>
  <c r="G30" i="114" s="1"/>
  <c r="A30" i="114"/>
  <c r="H29" i="114"/>
  <c r="G29" i="114"/>
  <c r="F29" i="114"/>
  <c r="A29" i="114"/>
  <c r="H28" i="114"/>
  <c r="F28" i="114"/>
  <c r="G28" i="114" s="1"/>
  <c r="A28" i="114"/>
  <c r="H27" i="114"/>
  <c r="F27" i="114"/>
  <c r="G27" i="114" s="1"/>
  <c r="A27" i="114"/>
  <c r="H26" i="114"/>
  <c r="G26" i="114" s="1"/>
  <c r="F26" i="114"/>
  <c r="A26" i="114"/>
  <c r="H25" i="114"/>
  <c r="F25" i="114"/>
  <c r="G25" i="114" s="1"/>
  <c r="A25" i="114"/>
  <c r="H24" i="114"/>
  <c r="F24" i="114"/>
  <c r="G24" i="114" s="1"/>
  <c r="A24" i="114"/>
  <c r="H23" i="114"/>
  <c r="G23" i="114"/>
  <c r="F23" i="114"/>
  <c r="A23" i="114"/>
  <c r="H22" i="114"/>
  <c r="F22" i="114"/>
  <c r="G22" i="114" s="1"/>
  <c r="A22" i="114"/>
  <c r="H21" i="114"/>
  <c r="F21" i="114"/>
  <c r="G21" i="114" s="1"/>
  <c r="A21" i="114"/>
  <c r="H20" i="114"/>
  <c r="F20" i="114"/>
  <c r="G20" i="114" s="1"/>
  <c r="A20" i="114"/>
  <c r="L19" i="114"/>
  <c r="G39" i="123" s="1"/>
  <c r="H19" i="114"/>
  <c r="G19" i="114"/>
  <c r="F19" i="114"/>
  <c r="A19" i="114"/>
  <c r="L18" i="114"/>
  <c r="K18" i="114"/>
  <c r="J18" i="114"/>
  <c r="H18" i="114"/>
  <c r="F18" i="114"/>
  <c r="G18" i="114" s="1"/>
  <c r="A18" i="114"/>
  <c r="H17" i="114"/>
  <c r="F17" i="114"/>
  <c r="G17" i="114" s="1"/>
  <c r="A17" i="114"/>
  <c r="H16" i="114"/>
  <c r="F16" i="114"/>
  <c r="G16" i="114" s="1"/>
  <c r="A16" i="114"/>
  <c r="H15" i="114"/>
  <c r="F15" i="114"/>
  <c r="G15" i="114" s="1"/>
  <c r="A15" i="114"/>
  <c r="H14" i="114"/>
  <c r="G14" i="114" s="1"/>
  <c r="F14" i="114"/>
  <c r="A14" i="114"/>
  <c r="H13" i="114"/>
  <c r="F13" i="114"/>
  <c r="G13" i="114" s="1"/>
  <c r="A13" i="114"/>
  <c r="L12" i="114"/>
  <c r="K12" i="114"/>
  <c r="K19" i="114" s="1"/>
  <c r="D39" i="123" s="1"/>
  <c r="J12" i="114"/>
  <c r="J19" i="114" s="1"/>
  <c r="H12" i="114"/>
  <c r="F12" i="114"/>
  <c r="G12" i="114" s="1"/>
  <c r="L11" i="114"/>
  <c r="K11" i="114"/>
  <c r="J11" i="114"/>
  <c r="H11" i="114"/>
  <c r="F11" i="114"/>
  <c r="G11" i="114" s="1"/>
  <c r="H10" i="114"/>
  <c r="F10" i="114"/>
  <c r="G10" i="114" s="1"/>
  <c r="L9" i="114"/>
  <c r="K9" i="114"/>
  <c r="J9" i="114"/>
  <c r="H9" i="114"/>
  <c r="F9" i="114"/>
  <c r="G9" i="114" s="1"/>
  <c r="L8" i="114"/>
  <c r="L21" i="114" s="1"/>
  <c r="K8" i="114"/>
  <c r="K21" i="114" s="1"/>
  <c r="J8" i="114"/>
  <c r="J21" i="114" s="1"/>
  <c r="I39" i="123" s="1"/>
  <c r="H8" i="114"/>
  <c r="G8" i="114"/>
  <c r="F8" i="114"/>
  <c r="L7" i="114"/>
  <c r="K7" i="114"/>
  <c r="J7" i="114"/>
  <c r="H7" i="114"/>
  <c r="F7" i="114"/>
  <c r="G7" i="114" s="1"/>
  <c r="L6" i="114"/>
  <c r="K6" i="114"/>
  <c r="J6" i="114"/>
  <c r="H6" i="114"/>
  <c r="F6" i="114"/>
  <c r="G6" i="114" s="1"/>
  <c r="L5" i="114"/>
  <c r="K5" i="114"/>
  <c r="J5" i="114"/>
  <c r="H5" i="114"/>
  <c r="F5" i="114"/>
  <c r="G5" i="114" s="1"/>
  <c r="L4" i="114"/>
  <c r="L17" i="114" s="1"/>
  <c r="F39" i="123" s="1"/>
  <c r="K4" i="114"/>
  <c r="J4" i="114"/>
  <c r="J17" i="114" s="1"/>
  <c r="H4" i="114"/>
  <c r="F4" i="114"/>
  <c r="G4" i="114" s="1"/>
  <c r="L3" i="114"/>
  <c r="L16" i="114" s="1"/>
  <c r="E39" i="123" s="1"/>
  <c r="K3" i="114"/>
  <c r="K16" i="114" s="1"/>
  <c r="B39" i="123" s="1"/>
  <c r="J3" i="114"/>
  <c r="J16" i="114" s="1"/>
  <c r="H3" i="114"/>
  <c r="L10" i="114" s="1"/>
  <c r="F3" i="114"/>
  <c r="J10" i="114" s="1"/>
  <c r="H42" i="112"/>
  <c r="F42" i="112"/>
  <c r="G42" i="112" s="1"/>
  <c r="A42" i="112"/>
  <c r="H41" i="112"/>
  <c r="F41" i="112"/>
  <c r="G41" i="112" s="1"/>
  <c r="A41" i="112"/>
  <c r="H40" i="112"/>
  <c r="F40" i="112"/>
  <c r="G40" i="112" s="1"/>
  <c r="A40" i="112"/>
  <c r="H39" i="112"/>
  <c r="G39" i="112"/>
  <c r="F39" i="112"/>
  <c r="A39" i="112"/>
  <c r="H38" i="112"/>
  <c r="G38" i="112"/>
  <c r="F38" i="112"/>
  <c r="A38" i="112"/>
  <c r="H37" i="112"/>
  <c r="G37" i="112"/>
  <c r="F37" i="112"/>
  <c r="A37" i="112"/>
  <c r="H36" i="112"/>
  <c r="G36" i="112"/>
  <c r="F36" i="112"/>
  <c r="A36" i="112"/>
  <c r="H35" i="112"/>
  <c r="F35" i="112"/>
  <c r="G35" i="112" s="1"/>
  <c r="A35" i="112"/>
  <c r="H34" i="112"/>
  <c r="F34" i="112"/>
  <c r="G34" i="112" s="1"/>
  <c r="A34" i="112"/>
  <c r="H33" i="112"/>
  <c r="F33" i="112"/>
  <c r="G33" i="112" s="1"/>
  <c r="A33" i="112"/>
  <c r="H32" i="112"/>
  <c r="F32" i="112"/>
  <c r="G32" i="112" s="1"/>
  <c r="A32" i="112"/>
  <c r="H31" i="112"/>
  <c r="G31" i="112"/>
  <c r="F31" i="112"/>
  <c r="A31" i="112"/>
  <c r="H30" i="112"/>
  <c r="G30" i="112"/>
  <c r="F30" i="112"/>
  <c r="A30" i="112"/>
  <c r="H29" i="112"/>
  <c r="G29" i="112"/>
  <c r="F29" i="112"/>
  <c r="A29" i="112"/>
  <c r="H28" i="112"/>
  <c r="G28" i="112"/>
  <c r="F28" i="112"/>
  <c r="A28" i="112"/>
  <c r="H27" i="112"/>
  <c r="F27" i="112"/>
  <c r="G27" i="112" s="1"/>
  <c r="A27" i="112"/>
  <c r="H26" i="112"/>
  <c r="F26" i="112"/>
  <c r="G26" i="112" s="1"/>
  <c r="A26" i="112"/>
  <c r="H25" i="112"/>
  <c r="F25" i="112"/>
  <c r="G25" i="112" s="1"/>
  <c r="A25" i="112"/>
  <c r="H24" i="112"/>
  <c r="F24" i="112"/>
  <c r="G24" i="112" s="1"/>
  <c r="A24" i="112"/>
  <c r="H23" i="112"/>
  <c r="G23" i="112"/>
  <c r="F23" i="112"/>
  <c r="A23" i="112"/>
  <c r="H22" i="112"/>
  <c r="G22" i="112"/>
  <c r="F22" i="112"/>
  <c r="A22" i="112"/>
  <c r="H21" i="112"/>
  <c r="F21" i="112"/>
  <c r="G21" i="112" s="1"/>
  <c r="A21" i="112"/>
  <c r="H20" i="112"/>
  <c r="F20" i="112"/>
  <c r="G20" i="112" s="1"/>
  <c r="A20" i="112"/>
  <c r="H19" i="112"/>
  <c r="F19" i="112"/>
  <c r="G19" i="112" s="1"/>
  <c r="A19" i="112"/>
  <c r="K18" i="112"/>
  <c r="J18" i="112"/>
  <c r="H18" i="112"/>
  <c r="G18" i="112"/>
  <c r="F18" i="112"/>
  <c r="A18" i="112"/>
  <c r="H17" i="112"/>
  <c r="F17" i="112"/>
  <c r="G17" i="112" s="1"/>
  <c r="A17" i="112"/>
  <c r="H16" i="112"/>
  <c r="G16" i="112"/>
  <c r="F16" i="112"/>
  <c r="A16" i="112"/>
  <c r="H15" i="112"/>
  <c r="F15" i="112"/>
  <c r="G15" i="112" s="1"/>
  <c r="H14" i="112"/>
  <c r="F14" i="112"/>
  <c r="J3" i="112" s="1"/>
  <c r="J16" i="112" s="1"/>
  <c r="H13" i="112"/>
  <c r="F13" i="112"/>
  <c r="G13" i="112" s="1"/>
  <c r="L12" i="112"/>
  <c r="L19" i="112" s="1"/>
  <c r="G37" i="123" s="1"/>
  <c r="K12" i="112"/>
  <c r="K19" i="112" s="1"/>
  <c r="D37" i="123" s="1"/>
  <c r="J12" i="112"/>
  <c r="J19" i="112" s="1"/>
  <c r="H12" i="112"/>
  <c r="F12" i="112"/>
  <c r="G12" i="112" s="1"/>
  <c r="L11" i="112"/>
  <c r="L18" i="112" s="1"/>
  <c r="K11" i="112"/>
  <c r="J11" i="112"/>
  <c r="H11" i="112"/>
  <c r="G11" i="112" s="1"/>
  <c r="F11" i="112"/>
  <c r="H10" i="112"/>
  <c r="G10" i="112"/>
  <c r="F10" i="112"/>
  <c r="L9" i="112"/>
  <c r="K9" i="112"/>
  <c r="J9" i="112"/>
  <c r="H9" i="112"/>
  <c r="G9" i="112"/>
  <c r="F9" i="112"/>
  <c r="L8" i="112"/>
  <c r="L21" i="112" s="1"/>
  <c r="K8" i="112"/>
  <c r="K21" i="112" s="1"/>
  <c r="J8" i="112"/>
  <c r="J21" i="112" s="1"/>
  <c r="I37" i="123" s="1"/>
  <c r="H8" i="112"/>
  <c r="F8" i="112"/>
  <c r="G8" i="112" s="1"/>
  <c r="L7" i="112"/>
  <c r="K7" i="112"/>
  <c r="J7" i="112"/>
  <c r="H7" i="112"/>
  <c r="F7" i="112"/>
  <c r="G7" i="112" s="1"/>
  <c r="L6" i="112"/>
  <c r="K6" i="112"/>
  <c r="J6" i="112"/>
  <c r="H6" i="112"/>
  <c r="G6" i="112"/>
  <c r="F6" i="112"/>
  <c r="L5" i="112"/>
  <c r="K5" i="112"/>
  <c r="J5" i="112"/>
  <c r="H5" i="112"/>
  <c r="G5" i="112"/>
  <c r="F5" i="112"/>
  <c r="L4" i="112"/>
  <c r="K4" i="112"/>
  <c r="J4" i="112"/>
  <c r="H4" i="112"/>
  <c r="G4" i="112"/>
  <c r="F4" i="112"/>
  <c r="L3" i="112"/>
  <c r="L16" i="112" s="1"/>
  <c r="E37" i="123" s="1"/>
  <c r="H3" i="112"/>
  <c r="L10" i="112" s="1"/>
  <c r="F3" i="112"/>
  <c r="J10" i="112" s="1"/>
  <c r="H42" i="111"/>
  <c r="F42" i="111"/>
  <c r="G42" i="111" s="1"/>
  <c r="A42" i="111"/>
  <c r="H41" i="111"/>
  <c r="F41" i="111"/>
  <c r="G41" i="111" s="1"/>
  <c r="A41" i="111"/>
  <c r="H40" i="111"/>
  <c r="F40" i="111"/>
  <c r="G40" i="111" s="1"/>
  <c r="A40" i="111"/>
  <c r="H39" i="111"/>
  <c r="F39" i="111"/>
  <c r="G39" i="111" s="1"/>
  <c r="A39" i="111"/>
  <c r="H38" i="111"/>
  <c r="F38" i="111"/>
  <c r="G38" i="111" s="1"/>
  <c r="A38" i="111"/>
  <c r="H37" i="111"/>
  <c r="F37" i="111"/>
  <c r="G37" i="111" s="1"/>
  <c r="A37" i="111"/>
  <c r="H36" i="111"/>
  <c r="F36" i="111"/>
  <c r="G36" i="111" s="1"/>
  <c r="A36" i="111"/>
  <c r="H35" i="111"/>
  <c r="F35" i="111"/>
  <c r="G35" i="111" s="1"/>
  <c r="A35" i="111"/>
  <c r="H34" i="111"/>
  <c r="F34" i="111"/>
  <c r="G34" i="111" s="1"/>
  <c r="A34" i="111"/>
  <c r="H33" i="111"/>
  <c r="F33" i="111"/>
  <c r="G33" i="111" s="1"/>
  <c r="A33" i="111"/>
  <c r="H32" i="111"/>
  <c r="F32" i="111"/>
  <c r="G32" i="111" s="1"/>
  <c r="A32" i="111"/>
  <c r="H31" i="111"/>
  <c r="F31" i="111"/>
  <c r="G31" i="111" s="1"/>
  <c r="A31" i="111"/>
  <c r="H30" i="111"/>
  <c r="F30" i="111"/>
  <c r="G30" i="111" s="1"/>
  <c r="A30" i="111"/>
  <c r="H29" i="111"/>
  <c r="F29" i="111"/>
  <c r="G29" i="111" s="1"/>
  <c r="A29" i="111"/>
  <c r="H28" i="111"/>
  <c r="F28" i="111"/>
  <c r="G28" i="111" s="1"/>
  <c r="A28" i="111"/>
  <c r="H27" i="111"/>
  <c r="F27" i="111"/>
  <c r="G27" i="111" s="1"/>
  <c r="A27" i="111"/>
  <c r="H26" i="111"/>
  <c r="F26" i="111"/>
  <c r="G26" i="111" s="1"/>
  <c r="A26" i="111"/>
  <c r="H25" i="111"/>
  <c r="F25" i="111"/>
  <c r="G25" i="111" s="1"/>
  <c r="K7" i="111" s="1"/>
  <c r="H24" i="111"/>
  <c r="F24" i="111"/>
  <c r="G24" i="111" s="1"/>
  <c r="H23" i="111"/>
  <c r="F23" i="111"/>
  <c r="G23" i="111" s="1"/>
  <c r="H22" i="111"/>
  <c r="G22" i="111"/>
  <c r="F22" i="111"/>
  <c r="H21" i="111"/>
  <c r="F21" i="111"/>
  <c r="G21" i="111" s="1"/>
  <c r="H20" i="111"/>
  <c r="F20" i="111"/>
  <c r="G20" i="111" s="1"/>
  <c r="H19" i="111"/>
  <c r="F19" i="111"/>
  <c r="G19" i="111" s="1"/>
  <c r="H18" i="111"/>
  <c r="F18" i="111"/>
  <c r="G18" i="111" s="1"/>
  <c r="H17" i="111"/>
  <c r="F17" i="111"/>
  <c r="G17" i="111" s="1"/>
  <c r="H16" i="111"/>
  <c r="G16" i="111"/>
  <c r="F16" i="111"/>
  <c r="H15" i="111"/>
  <c r="F15" i="111"/>
  <c r="G15" i="111" s="1"/>
  <c r="A15" i="111"/>
  <c r="H14" i="111"/>
  <c r="F14" i="111"/>
  <c r="G14" i="111" s="1"/>
  <c r="H13" i="111"/>
  <c r="F13" i="111"/>
  <c r="G13" i="111" s="1"/>
  <c r="L12" i="111"/>
  <c r="L19" i="111" s="1"/>
  <c r="G36" i="123" s="1"/>
  <c r="K12" i="111"/>
  <c r="K19" i="111" s="1"/>
  <c r="D36" i="123" s="1"/>
  <c r="J12" i="111"/>
  <c r="J19" i="111" s="1"/>
  <c r="H12" i="111"/>
  <c r="G12" i="111" s="1"/>
  <c r="F12" i="111"/>
  <c r="L11" i="111"/>
  <c r="L18" i="111" s="1"/>
  <c r="K11" i="111"/>
  <c r="K18" i="111" s="1"/>
  <c r="J11" i="111"/>
  <c r="J18" i="111" s="1"/>
  <c r="H11" i="111"/>
  <c r="F11" i="111"/>
  <c r="G11" i="111" s="1"/>
  <c r="L10" i="111"/>
  <c r="J10" i="111"/>
  <c r="H10" i="111"/>
  <c r="G10" i="111"/>
  <c r="F10" i="111"/>
  <c r="L9" i="111"/>
  <c r="K9" i="111"/>
  <c r="J9" i="111"/>
  <c r="H9" i="111"/>
  <c r="G9" i="111"/>
  <c r="F9" i="111"/>
  <c r="L8" i="111"/>
  <c r="L21" i="111" s="1"/>
  <c r="K8" i="111"/>
  <c r="K21" i="111" s="1"/>
  <c r="J8" i="111"/>
  <c r="J21" i="111" s="1"/>
  <c r="I36" i="123" s="1"/>
  <c r="H8" i="111"/>
  <c r="F8" i="111"/>
  <c r="G8" i="111" s="1"/>
  <c r="K10" i="111" s="1"/>
  <c r="L7" i="111"/>
  <c r="J7" i="111"/>
  <c r="H7" i="111"/>
  <c r="F7" i="111"/>
  <c r="J4" i="111" s="1"/>
  <c r="J17" i="111" s="1"/>
  <c r="L6" i="111"/>
  <c r="K6" i="111"/>
  <c r="J6" i="111"/>
  <c r="H6" i="111"/>
  <c r="F6" i="111"/>
  <c r="G6" i="111" s="1"/>
  <c r="L5" i="111"/>
  <c r="K5" i="111"/>
  <c r="J5" i="111"/>
  <c r="H5" i="111"/>
  <c r="F5" i="111"/>
  <c r="G5" i="111" s="1"/>
  <c r="L4" i="111"/>
  <c r="L17" i="111" s="1"/>
  <c r="F36" i="123" s="1"/>
  <c r="H4" i="111"/>
  <c r="G4" i="111"/>
  <c r="F4" i="111"/>
  <c r="H3" i="111"/>
  <c r="L3" i="111" s="1"/>
  <c r="L16" i="111" s="1"/>
  <c r="E36" i="123" s="1"/>
  <c r="G3" i="111"/>
  <c r="F3" i="111"/>
  <c r="J3" i="111" s="1"/>
  <c r="J16" i="111" s="1"/>
  <c r="J20" i="111" s="1"/>
  <c r="H42" i="113"/>
  <c r="F42" i="113"/>
  <c r="G42" i="113" s="1"/>
  <c r="A42" i="113"/>
  <c r="H41" i="113"/>
  <c r="F41" i="113"/>
  <c r="G41" i="113" s="1"/>
  <c r="A41" i="113"/>
  <c r="H40" i="113"/>
  <c r="F40" i="113"/>
  <c r="G40" i="113" s="1"/>
  <c r="A40" i="113"/>
  <c r="H39" i="113"/>
  <c r="F39" i="113"/>
  <c r="G39" i="113" s="1"/>
  <c r="A39" i="113"/>
  <c r="H38" i="113"/>
  <c r="F38" i="113"/>
  <c r="G38" i="113" s="1"/>
  <c r="A38" i="113"/>
  <c r="H37" i="113"/>
  <c r="F37" i="113"/>
  <c r="G37" i="113" s="1"/>
  <c r="A37" i="113"/>
  <c r="H36" i="113"/>
  <c r="F36" i="113"/>
  <c r="G36" i="113" s="1"/>
  <c r="A36" i="113"/>
  <c r="H35" i="113"/>
  <c r="F35" i="113"/>
  <c r="G35" i="113" s="1"/>
  <c r="A35" i="113"/>
  <c r="H34" i="113"/>
  <c r="F34" i="113"/>
  <c r="G34" i="113" s="1"/>
  <c r="A34" i="113"/>
  <c r="H33" i="113"/>
  <c r="F33" i="113"/>
  <c r="G33" i="113" s="1"/>
  <c r="A33" i="113"/>
  <c r="H32" i="113"/>
  <c r="F32" i="113"/>
  <c r="G32" i="113" s="1"/>
  <c r="A32" i="113"/>
  <c r="H31" i="113"/>
  <c r="F31" i="113"/>
  <c r="G31" i="113" s="1"/>
  <c r="A31" i="113"/>
  <c r="H30" i="113"/>
  <c r="F30" i="113"/>
  <c r="G30" i="113" s="1"/>
  <c r="A30" i="113"/>
  <c r="H29" i="113"/>
  <c r="F29" i="113"/>
  <c r="G29" i="113" s="1"/>
  <c r="A29" i="113"/>
  <c r="H28" i="113"/>
  <c r="F28" i="113"/>
  <c r="G28" i="113" s="1"/>
  <c r="H27" i="113"/>
  <c r="G27" i="113"/>
  <c r="F27" i="113"/>
  <c r="H26" i="113"/>
  <c r="F26" i="113"/>
  <c r="G26" i="113" s="1"/>
  <c r="H25" i="113"/>
  <c r="G25" i="113"/>
  <c r="F25" i="113"/>
  <c r="H24" i="113"/>
  <c r="F24" i="113"/>
  <c r="G24" i="113" s="1"/>
  <c r="H23" i="113"/>
  <c r="F23" i="113"/>
  <c r="G23" i="113" s="1"/>
  <c r="H22" i="113"/>
  <c r="G22" i="113"/>
  <c r="F22" i="113"/>
  <c r="H21" i="113"/>
  <c r="F21" i="113"/>
  <c r="G21" i="113" s="1"/>
  <c r="H20" i="113"/>
  <c r="F20" i="113"/>
  <c r="G20" i="113" s="1"/>
  <c r="K19" i="113"/>
  <c r="H19" i="113"/>
  <c r="F19" i="113"/>
  <c r="G19" i="113" s="1"/>
  <c r="K18" i="113"/>
  <c r="H18" i="113"/>
  <c r="F18" i="113"/>
  <c r="G18" i="113" s="1"/>
  <c r="K9" i="113" s="1"/>
  <c r="H17" i="113"/>
  <c r="F17" i="113"/>
  <c r="J7" i="113" s="1"/>
  <c r="H16" i="113"/>
  <c r="F16" i="113"/>
  <c r="G16" i="113" s="1"/>
  <c r="H15" i="113"/>
  <c r="F15" i="113"/>
  <c r="G15" i="113" s="1"/>
  <c r="H14" i="113"/>
  <c r="F14" i="113"/>
  <c r="G14" i="113" s="1"/>
  <c r="H13" i="113"/>
  <c r="G13" i="113"/>
  <c r="F13" i="113"/>
  <c r="L12" i="113"/>
  <c r="L19" i="113" s="1"/>
  <c r="G38" i="123" s="1"/>
  <c r="K12" i="113"/>
  <c r="J12" i="113"/>
  <c r="J19" i="113" s="1"/>
  <c r="H12" i="113"/>
  <c r="G12" i="113"/>
  <c r="F12" i="113"/>
  <c r="L11" i="113"/>
  <c r="L18" i="113" s="1"/>
  <c r="K11" i="113"/>
  <c r="J11" i="113"/>
  <c r="J18" i="113" s="1"/>
  <c r="H11" i="113"/>
  <c r="G11" i="113"/>
  <c r="F11" i="113"/>
  <c r="L10" i="113"/>
  <c r="K10" i="113"/>
  <c r="J10" i="113"/>
  <c r="H10" i="113"/>
  <c r="F10" i="113"/>
  <c r="G10" i="113" s="1"/>
  <c r="L9" i="113"/>
  <c r="J9" i="113"/>
  <c r="H9" i="113"/>
  <c r="F9" i="113"/>
  <c r="G9" i="113" s="1"/>
  <c r="L8" i="113"/>
  <c r="L21" i="113" s="1"/>
  <c r="K8" i="113"/>
  <c r="J8" i="113"/>
  <c r="J21" i="113" s="1"/>
  <c r="I38" i="123" s="1"/>
  <c r="H8" i="113"/>
  <c r="F8" i="113"/>
  <c r="G8" i="113" s="1"/>
  <c r="L7" i="113"/>
  <c r="H7" i="113"/>
  <c r="G7" i="113"/>
  <c r="F7" i="113"/>
  <c r="L6" i="113"/>
  <c r="K6" i="113"/>
  <c r="J6" i="113"/>
  <c r="H6" i="113"/>
  <c r="G6" i="113"/>
  <c r="F6" i="113"/>
  <c r="L5" i="113"/>
  <c r="K5" i="113"/>
  <c r="J5" i="113"/>
  <c r="H5" i="113"/>
  <c r="G5" i="113"/>
  <c r="F5" i="113"/>
  <c r="L4" i="113"/>
  <c r="L17" i="113" s="1"/>
  <c r="F38" i="123" s="1"/>
  <c r="K4" i="113"/>
  <c r="J4" i="113"/>
  <c r="H4" i="113"/>
  <c r="F4" i="113"/>
  <c r="G4" i="113" s="1"/>
  <c r="H3" i="113"/>
  <c r="L3" i="113" s="1"/>
  <c r="L16" i="113" s="1"/>
  <c r="E38" i="123" s="1"/>
  <c r="F3" i="113"/>
  <c r="J3" i="113" s="1"/>
  <c r="J16" i="113" s="1"/>
  <c r="H42" i="110"/>
  <c r="F42" i="110"/>
  <c r="G42" i="110" s="1"/>
  <c r="A42" i="110"/>
  <c r="H41" i="110"/>
  <c r="F41" i="110"/>
  <c r="G41" i="110" s="1"/>
  <c r="A41" i="110"/>
  <c r="H40" i="110"/>
  <c r="F40" i="110"/>
  <c r="G40" i="110" s="1"/>
  <c r="A40" i="110"/>
  <c r="H39" i="110"/>
  <c r="F39" i="110"/>
  <c r="G39" i="110" s="1"/>
  <c r="A39" i="110"/>
  <c r="H38" i="110"/>
  <c r="F38" i="110"/>
  <c r="G38" i="110" s="1"/>
  <c r="A38" i="110"/>
  <c r="H37" i="110"/>
  <c r="F37" i="110"/>
  <c r="G37" i="110" s="1"/>
  <c r="A37" i="110"/>
  <c r="H36" i="110"/>
  <c r="F36" i="110"/>
  <c r="G36" i="110" s="1"/>
  <c r="A36" i="110"/>
  <c r="H35" i="110"/>
  <c r="F35" i="110"/>
  <c r="G35" i="110" s="1"/>
  <c r="A35" i="110"/>
  <c r="H34" i="110"/>
  <c r="F34" i="110"/>
  <c r="G34" i="110" s="1"/>
  <c r="A34" i="110"/>
  <c r="H33" i="110"/>
  <c r="F33" i="110"/>
  <c r="G33" i="110" s="1"/>
  <c r="A33" i="110"/>
  <c r="H32" i="110"/>
  <c r="F32" i="110"/>
  <c r="G32" i="110" s="1"/>
  <c r="A32" i="110"/>
  <c r="H31" i="110"/>
  <c r="F31" i="110"/>
  <c r="G31" i="110" s="1"/>
  <c r="A31" i="110"/>
  <c r="H30" i="110"/>
  <c r="F30" i="110"/>
  <c r="G30" i="110" s="1"/>
  <c r="H29" i="110"/>
  <c r="F29" i="110"/>
  <c r="G29" i="110" s="1"/>
  <c r="H28" i="110"/>
  <c r="G28" i="110"/>
  <c r="F28" i="110"/>
  <c r="H27" i="110"/>
  <c r="F27" i="110"/>
  <c r="G27" i="110" s="1"/>
  <c r="H26" i="110"/>
  <c r="F26" i="110"/>
  <c r="G26" i="110" s="1"/>
  <c r="H25" i="110"/>
  <c r="F25" i="110"/>
  <c r="G25" i="110" s="1"/>
  <c r="H24" i="110"/>
  <c r="F24" i="110"/>
  <c r="G24" i="110" s="1"/>
  <c r="H23" i="110"/>
  <c r="G23" i="110"/>
  <c r="F23" i="110"/>
  <c r="H22" i="110"/>
  <c r="F22" i="110"/>
  <c r="G22" i="110" s="1"/>
  <c r="H21" i="110"/>
  <c r="F21" i="110"/>
  <c r="J4" i="110" s="1"/>
  <c r="J17" i="110" s="1"/>
  <c r="H20" i="110"/>
  <c r="F20" i="110"/>
  <c r="G20" i="110" s="1"/>
  <c r="K5" i="110" s="1"/>
  <c r="K19" i="110"/>
  <c r="D35" i="123" s="1"/>
  <c r="J19" i="110"/>
  <c r="H19" i="110"/>
  <c r="F19" i="110"/>
  <c r="G19" i="110" s="1"/>
  <c r="H18" i="110"/>
  <c r="F18" i="110"/>
  <c r="G18" i="110" s="1"/>
  <c r="H17" i="110"/>
  <c r="F17" i="110"/>
  <c r="G17" i="110" s="1"/>
  <c r="H16" i="110"/>
  <c r="F16" i="110"/>
  <c r="G16" i="110" s="1"/>
  <c r="H15" i="110"/>
  <c r="G15" i="110"/>
  <c r="F15" i="110"/>
  <c r="A15" i="110"/>
  <c r="H14" i="110"/>
  <c r="F14" i="110"/>
  <c r="G14" i="110" s="1"/>
  <c r="H13" i="110"/>
  <c r="F13" i="110"/>
  <c r="G13" i="110" s="1"/>
  <c r="L12" i="110"/>
  <c r="L19" i="110" s="1"/>
  <c r="G35" i="123" s="1"/>
  <c r="K12" i="110"/>
  <c r="J12" i="110"/>
  <c r="H12" i="110"/>
  <c r="F12" i="110"/>
  <c r="G12" i="110" s="1"/>
  <c r="L11" i="110"/>
  <c r="L18" i="110" s="1"/>
  <c r="K11" i="110"/>
  <c r="K18" i="110" s="1"/>
  <c r="J11" i="110"/>
  <c r="J18" i="110" s="1"/>
  <c r="H11" i="110"/>
  <c r="F11" i="110"/>
  <c r="G11" i="110" s="1"/>
  <c r="L10" i="110"/>
  <c r="K10" i="110"/>
  <c r="J10" i="110"/>
  <c r="H10" i="110"/>
  <c r="F10" i="110"/>
  <c r="G10" i="110" s="1"/>
  <c r="L9" i="110"/>
  <c r="K9" i="110"/>
  <c r="J9" i="110"/>
  <c r="H9" i="110"/>
  <c r="F9" i="110"/>
  <c r="G9" i="110" s="1"/>
  <c r="L8" i="110"/>
  <c r="L21" i="110" s="1"/>
  <c r="K8" i="110"/>
  <c r="K21" i="110" s="1"/>
  <c r="J8" i="110"/>
  <c r="J21" i="110" s="1"/>
  <c r="I35" i="123" s="1"/>
  <c r="H8" i="110"/>
  <c r="F8" i="110"/>
  <c r="G8" i="110" s="1"/>
  <c r="L7" i="110"/>
  <c r="K7" i="110"/>
  <c r="J7" i="110"/>
  <c r="H7" i="110"/>
  <c r="F7" i="110"/>
  <c r="G7" i="110" s="1"/>
  <c r="L6" i="110"/>
  <c r="K6" i="110"/>
  <c r="J6" i="110"/>
  <c r="H6" i="110"/>
  <c r="F6" i="110"/>
  <c r="G6" i="110" s="1"/>
  <c r="L5" i="110"/>
  <c r="L17" i="110" s="1"/>
  <c r="F35" i="123" s="1"/>
  <c r="J5" i="110"/>
  <c r="H5" i="110"/>
  <c r="F5" i="110"/>
  <c r="G5" i="110" s="1"/>
  <c r="L4" i="110"/>
  <c r="H4" i="110"/>
  <c r="F4" i="110"/>
  <c r="G4" i="110" s="1"/>
  <c r="H3" i="110"/>
  <c r="L3" i="110" s="1"/>
  <c r="L16" i="110" s="1"/>
  <c r="E35" i="123" s="1"/>
  <c r="F3" i="110"/>
  <c r="G3" i="110" s="1"/>
  <c r="H42" i="109"/>
  <c r="F42" i="109"/>
  <c r="G42" i="109" s="1"/>
  <c r="A42" i="109"/>
  <c r="H41" i="109"/>
  <c r="F41" i="109"/>
  <c r="G41" i="109" s="1"/>
  <c r="A41" i="109"/>
  <c r="H40" i="109"/>
  <c r="F40" i="109"/>
  <c r="G40" i="109" s="1"/>
  <c r="A40" i="109"/>
  <c r="H39" i="109"/>
  <c r="F39" i="109"/>
  <c r="G39" i="109" s="1"/>
  <c r="A39" i="109"/>
  <c r="H38" i="109"/>
  <c r="F38" i="109"/>
  <c r="G38" i="109" s="1"/>
  <c r="A38" i="109"/>
  <c r="H37" i="109"/>
  <c r="G37" i="109"/>
  <c r="F37" i="109"/>
  <c r="A37" i="109"/>
  <c r="H36" i="109"/>
  <c r="G36" i="109"/>
  <c r="F36" i="109"/>
  <c r="A36" i="109"/>
  <c r="H35" i="109"/>
  <c r="G35" i="109"/>
  <c r="F35" i="109"/>
  <c r="A35" i="109"/>
  <c r="H34" i="109"/>
  <c r="F34" i="109"/>
  <c r="G34" i="109" s="1"/>
  <c r="A34" i="109"/>
  <c r="H33" i="109"/>
  <c r="F33" i="109"/>
  <c r="G33" i="109" s="1"/>
  <c r="A33" i="109"/>
  <c r="H32" i="109"/>
  <c r="F32" i="109"/>
  <c r="G32" i="109" s="1"/>
  <c r="A32" i="109"/>
  <c r="H31" i="109"/>
  <c r="F31" i="109"/>
  <c r="G31" i="109" s="1"/>
  <c r="H30" i="109"/>
  <c r="F30" i="109"/>
  <c r="G30" i="109" s="1"/>
  <c r="H29" i="109"/>
  <c r="G29" i="109"/>
  <c r="F29" i="109"/>
  <c r="H28" i="109"/>
  <c r="F28" i="109"/>
  <c r="G28" i="109" s="1"/>
  <c r="H27" i="109"/>
  <c r="G27" i="109"/>
  <c r="F27" i="109"/>
  <c r="H26" i="109"/>
  <c r="F26" i="109"/>
  <c r="J6" i="109" s="1"/>
  <c r="H25" i="109"/>
  <c r="G25" i="109"/>
  <c r="F25" i="109"/>
  <c r="H24" i="109"/>
  <c r="F24" i="109"/>
  <c r="G24" i="109" s="1"/>
  <c r="H23" i="109"/>
  <c r="F23" i="109"/>
  <c r="G23" i="109" s="1"/>
  <c r="H22" i="109"/>
  <c r="G22" i="109"/>
  <c r="F22" i="109"/>
  <c r="H21" i="109"/>
  <c r="F21" i="109"/>
  <c r="G21" i="109" s="1"/>
  <c r="H20" i="109"/>
  <c r="F20" i="109"/>
  <c r="G20" i="109" s="1"/>
  <c r="K19" i="109"/>
  <c r="H19" i="109"/>
  <c r="F19" i="109"/>
  <c r="G19" i="109" s="1"/>
  <c r="K18" i="109"/>
  <c r="H18" i="109"/>
  <c r="F18" i="109"/>
  <c r="G18" i="109" s="1"/>
  <c r="H17" i="109"/>
  <c r="G17" i="109"/>
  <c r="F17" i="109"/>
  <c r="H16" i="109"/>
  <c r="G16" i="109"/>
  <c r="F16" i="109"/>
  <c r="H15" i="109"/>
  <c r="F15" i="109"/>
  <c r="G15" i="109" s="1"/>
  <c r="H14" i="109"/>
  <c r="F14" i="109"/>
  <c r="G14" i="109" s="1"/>
  <c r="H13" i="109"/>
  <c r="G13" i="109"/>
  <c r="F13" i="109"/>
  <c r="L12" i="109"/>
  <c r="L19" i="109" s="1"/>
  <c r="G34" i="123" s="1"/>
  <c r="K12" i="109"/>
  <c r="J12" i="109"/>
  <c r="J19" i="109" s="1"/>
  <c r="H12" i="109"/>
  <c r="G12" i="109"/>
  <c r="F12" i="109"/>
  <c r="L11" i="109"/>
  <c r="L18" i="109" s="1"/>
  <c r="K11" i="109"/>
  <c r="J11" i="109"/>
  <c r="J18" i="109" s="1"/>
  <c r="H11" i="109"/>
  <c r="G11" i="109"/>
  <c r="F11" i="109"/>
  <c r="L10" i="109"/>
  <c r="K10" i="109"/>
  <c r="J10" i="109"/>
  <c r="H10" i="109"/>
  <c r="F10" i="109"/>
  <c r="G10" i="109" s="1"/>
  <c r="L9" i="109"/>
  <c r="K9" i="109"/>
  <c r="J9" i="109"/>
  <c r="H9" i="109"/>
  <c r="F9" i="109"/>
  <c r="G9" i="109" s="1"/>
  <c r="L8" i="109"/>
  <c r="L21" i="109" s="1"/>
  <c r="K8" i="109"/>
  <c r="K21" i="109" s="1"/>
  <c r="J8" i="109"/>
  <c r="J21" i="109" s="1"/>
  <c r="I34" i="123" s="1"/>
  <c r="H8" i="109"/>
  <c r="L4" i="109" s="1"/>
  <c r="L17" i="109" s="1"/>
  <c r="F34" i="123" s="1"/>
  <c r="F8" i="109"/>
  <c r="G8" i="109" s="1"/>
  <c r="K4" i="109" s="1"/>
  <c r="L7" i="109"/>
  <c r="K7" i="109"/>
  <c r="J7" i="109"/>
  <c r="H7" i="109"/>
  <c r="F7" i="109"/>
  <c r="G7" i="109" s="1"/>
  <c r="L6" i="109"/>
  <c r="H6" i="109"/>
  <c r="G6" i="109"/>
  <c r="F6" i="109"/>
  <c r="L5" i="109"/>
  <c r="K5" i="109"/>
  <c r="J5" i="109"/>
  <c r="H5" i="109"/>
  <c r="F5" i="109"/>
  <c r="G5" i="109" s="1"/>
  <c r="H4" i="109"/>
  <c r="F4" i="109"/>
  <c r="G4" i="109" s="1"/>
  <c r="H3" i="109"/>
  <c r="L3" i="109" s="1"/>
  <c r="L16" i="109" s="1"/>
  <c r="E34" i="123" s="1"/>
  <c r="F3" i="109"/>
  <c r="G3" i="109" s="1"/>
  <c r="H42" i="108"/>
  <c r="F42" i="108"/>
  <c r="G42" i="108" s="1"/>
  <c r="A42" i="108"/>
  <c r="H41" i="108"/>
  <c r="F41" i="108"/>
  <c r="G41" i="108" s="1"/>
  <c r="A41" i="108"/>
  <c r="H40" i="108"/>
  <c r="F40" i="108"/>
  <c r="G40" i="108" s="1"/>
  <c r="A40" i="108"/>
  <c r="H39" i="108"/>
  <c r="F39" i="108"/>
  <c r="G39" i="108" s="1"/>
  <c r="A39" i="108"/>
  <c r="H38" i="108"/>
  <c r="F38" i="108"/>
  <c r="G38" i="108" s="1"/>
  <c r="A38" i="108"/>
  <c r="H37" i="108"/>
  <c r="F37" i="108"/>
  <c r="G37" i="108" s="1"/>
  <c r="A37" i="108"/>
  <c r="H36" i="108"/>
  <c r="F36" i="108"/>
  <c r="G36" i="108" s="1"/>
  <c r="A36" i="108"/>
  <c r="H35" i="108"/>
  <c r="F35" i="108"/>
  <c r="G35" i="108" s="1"/>
  <c r="A35" i="108"/>
  <c r="H34" i="108"/>
  <c r="F34" i="108"/>
  <c r="G34" i="108" s="1"/>
  <c r="A34" i="108"/>
  <c r="H33" i="108"/>
  <c r="F33" i="108"/>
  <c r="G33" i="108" s="1"/>
  <c r="A33" i="108"/>
  <c r="H32" i="108"/>
  <c r="F32" i="108"/>
  <c r="G32" i="108" s="1"/>
  <c r="A32" i="108"/>
  <c r="H31" i="108"/>
  <c r="F31" i="108"/>
  <c r="G31" i="108" s="1"/>
  <c r="A31" i="108"/>
  <c r="H30" i="108"/>
  <c r="F30" i="108"/>
  <c r="G30" i="108" s="1"/>
  <c r="A30" i="108"/>
  <c r="H29" i="108"/>
  <c r="F29" i="108"/>
  <c r="G29" i="108" s="1"/>
  <c r="A29" i="108"/>
  <c r="H28" i="108"/>
  <c r="F28" i="108"/>
  <c r="G28" i="108" s="1"/>
  <c r="H27" i="108"/>
  <c r="F27" i="108"/>
  <c r="G27" i="108" s="1"/>
  <c r="H26" i="108"/>
  <c r="F26" i="108"/>
  <c r="J7" i="108" s="1"/>
  <c r="H25" i="108"/>
  <c r="F25" i="108"/>
  <c r="G25" i="108" s="1"/>
  <c r="H24" i="108"/>
  <c r="L5" i="108" s="1"/>
  <c r="F24" i="108"/>
  <c r="G24" i="108" s="1"/>
  <c r="H23" i="108"/>
  <c r="F23" i="108"/>
  <c r="G23" i="108" s="1"/>
  <c r="H22" i="108"/>
  <c r="F22" i="108"/>
  <c r="G22" i="108" s="1"/>
  <c r="H21" i="108"/>
  <c r="F21" i="108"/>
  <c r="G21" i="108" s="1"/>
  <c r="H20" i="108"/>
  <c r="F20" i="108"/>
  <c r="G20" i="108" s="1"/>
  <c r="L19" i="108"/>
  <c r="G33" i="123" s="1"/>
  <c r="H19" i="108"/>
  <c r="F19" i="108"/>
  <c r="G19" i="108" s="1"/>
  <c r="H18" i="108"/>
  <c r="F18" i="108"/>
  <c r="G18" i="108" s="1"/>
  <c r="H17" i="108"/>
  <c r="F17" i="108"/>
  <c r="G17" i="108" s="1"/>
  <c r="K10" i="108" s="1"/>
  <c r="K16" i="108"/>
  <c r="H16" i="108"/>
  <c r="F16" i="108"/>
  <c r="G16" i="108" s="1"/>
  <c r="H15" i="108"/>
  <c r="F15" i="108"/>
  <c r="G15" i="108" s="1"/>
  <c r="H14" i="108"/>
  <c r="F14" i="108"/>
  <c r="G14" i="108" s="1"/>
  <c r="H13" i="108"/>
  <c r="F13" i="108"/>
  <c r="G13" i="108" s="1"/>
  <c r="L12" i="108"/>
  <c r="K12" i="108"/>
  <c r="K19" i="108" s="1"/>
  <c r="D33" i="123" s="1"/>
  <c r="J12" i="108"/>
  <c r="J19" i="108" s="1"/>
  <c r="H12" i="108"/>
  <c r="F12" i="108"/>
  <c r="G12" i="108" s="1"/>
  <c r="L11" i="108"/>
  <c r="L18" i="108" s="1"/>
  <c r="K11" i="108"/>
  <c r="K18" i="108" s="1"/>
  <c r="J11" i="108"/>
  <c r="J18" i="108" s="1"/>
  <c r="H11" i="108"/>
  <c r="F11" i="108"/>
  <c r="G11" i="108" s="1"/>
  <c r="L10" i="108"/>
  <c r="J10" i="108"/>
  <c r="H10" i="108"/>
  <c r="F10" i="108"/>
  <c r="G10" i="108" s="1"/>
  <c r="L9" i="108"/>
  <c r="K9" i="108"/>
  <c r="J9" i="108"/>
  <c r="H9" i="108"/>
  <c r="G9" i="108"/>
  <c r="F9" i="108"/>
  <c r="L8" i="108"/>
  <c r="L21" i="108" s="1"/>
  <c r="K8" i="108"/>
  <c r="K21" i="108" s="1"/>
  <c r="J8" i="108"/>
  <c r="J21" i="108" s="1"/>
  <c r="I33" i="123" s="1"/>
  <c r="H8" i="108"/>
  <c r="F8" i="108"/>
  <c r="G8" i="108" s="1"/>
  <c r="L7" i="108"/>
  <c r="H7" i="108"/>
  <c r="G7" i="108"/>
  <c r="F7" i="108"/>
  <c r="L6" i="108"/>
  <c r="K6" i="108"/>
  <c r="J6" i="108"/>
  <c r="H6" i="108"/>
  <c r="F6" i="108"/>
  <c r="G6" i="108" s="1"/>
  <c r="J5" i="108"/>
  <c r="H5" i="108"/>
  <c r="G5" i="108"/>
  <c r="F5" i="108"/>
  <c r="H4" i="108"/>
  <c r="G4" i="108"/>
  <c r="F4" i="108"/>
  <c r="L3" i="108"/>
  <c r="L16" i="108" s="1"/>
  <c r="E33" i="123" s="1"/>
  <c r="K3" i="108"/>
  <c r="J3" i="108"/>
  <c r="J16" i="108" s="1"/>
  <c r="H3" i="108"/>
  <c r="L4" i="108" s="1"/>
  <c r="F3" i="108"/>
  <c r="J4" i="108" s="1"/>
  <c r="H42" i="107"/>
  <c r="F42" i="107"/>
  <c r="G42" i="107" s="1"/>
  <c r="A42" i="107"/>
  <c r="H41" i="107"/>
  <c r="F41" i="107"/>
  <c r="G41" i="107" s="1"/>
  <c r="A41" i="107"/>
  <c r="H40" i="107"/>
  <c r="F40" i="107"/>
  <c r="G40" i="107" s="1"/>
  <c r="A40" i="107"/>
  <c r="H39" i="107"/>
  <c r="F39" i="107"/>
  <c r="G39" i="107" s="1"/>
  <c r="A39" i="107"/>
  <c r="H38" i="107"/>
  <c r="F38" i="107"/>
  <c r="G38" i="107" s="1"/>
  <c r="A38" i="107"/>
  <c r="H37" i="107"/>
  <c r="F37" i="107"/>
  <c r="G37" i="107" s="1"/>
  <c r="A37" i="107"/>
  <c r="H36" i="107"/>
  <c r="F36" i="107"/>
  <c r="G36" i="107" s="1"/>
  <c r="A36" i="107"/>
  <c r="H35" i="107"/>
  <c r="F35" i="107"/>
  <c r="G35" i="107" s="1"/>
  <c r="A35" i="107"/>
  <c r="H34" i="107"/>
  <c r="F34" i="107"/>
  <c r="G34" i="107" s="1"/>
  <c r="A34" i="107"/>
  <c r="H33" i="107"/>
  <c r="F33" i="107"/>
  <c r="G33" i="107" s="1"/>
  <c r="H32" i="107"/>
  <c r="F32" i="107"/>
  <c r="G32" i="107" s="1"/>
  <c r="H31" i="107"/>
  <c r="F31" i="107"/>
  <c r="G31" i="107" s="1"/>
  <c r="H30" i="107"/>
  <c r="F30" i="107"/>
  <c r="G30" i="107" s="1"/>
  <c r="H29" i="107"/>
  <c r="F29" i="107"/>
  <c r="G29" i="107" s="1"/>
  <c r="H28" i="107"/>
  <c r="G28" i="107"/>
  <c r="F28" i="107"/>
  <c r="H27" i="107"/>
  <c r="F27" i="107"/>
  <c r="G27" i="107" s="1"/>
  <c r="H26" i="107"/>
  <c r="G26" i="107"/>
  <c r="F26" i="107"/>
  <c r="H25" i="107"/>
  <c r="F25" i="107"/>
  <c r="G25" i="107" s="1"/>
  <c r="H24" i="107"/>
  <c r="G24" i="107"/>
  <c r="F24" i="107"/>
  <c r="H23" i="107"/>
  <c r="F23" i="107"/>
  <c r="G23" i="107" s="1"/>
  <c r="H22" i="107"/>
  <c r="F22" i="107"/>
  <c r="G22" i="107" s="1"/>
  <c r="H21" i="107"/>
  <c r="F21" i="107"/>
  <c r="G21" i="107" s="1"/>
  <c r="H20" i="107"/>
  <c r="F20" i="107"/>
  <c r="G20" i="107" s="1"/>
  <c r="L19" i="107"/>
  <c r="G32" i="123" s="1"/>
  <c r="J19" i="107"/>
  <c r="H19" i="107"/>
  <c r="F19" i="107"/>
  <c r="G19" i="107" s="1"/>
  <c r="L18" i="107"/>
  <c r="J18" i="107"/>
  <c r="H18" i="107"/>
  <c r="G18" i="107"/>
  <c r="F18" i="107"/>
  <c r="H17" i="107"/>
  <c r="F17" i="107"/>
  <c r="G17" i="107" s="1"/>
  <c r="H16" i="107"/>
  <c r="F16" i="107"/>
  <c r="G16" i="107" s="1"/>
  <c r="H15" i="107"/>
  <c r="F15" i="107"/>
  <c r="G15" i="107" s="1"/>
  <c r="H14" i="107"/>
  <c r="F14" i="107"/>
  <c r="G14" i="107" s="1"/>
  <c r="H13" i="107"/>
  <c r="F13" i="107"/>
  <c r="G13" i="107" s="1"/>
  <c r="L12" i="107"/>
  <c r="K12" i="107"/>
  <c r="K19" i="107" s="1"/>
  <c r="D32" i="123" s="1"/>
  <c r="J12" i="107"/>
  <c r="H12" i="107"/>
  <c r="F12" i="107"/>
  <c r="G12" i="107" s="1"/>
  <c r="L11" i="107"/>
  <c r="K11" i="107"/>
  <c r="K18" i="107" s="1"/>
  <c r="J11" i="107"/>
  <c r="H11" i="107"/>
  <c r="F11" i="107"/>
  <c r="G11" i="107" s="1"/>
  <c r="L10" i="107"/>
  <c r="K10" i="107"/>
  <c r="J10" i="107"/>
  <c r="H10" i="107"/>
  <c r="F10" i="107"/>
  <c r="G10" i="107" s="1"/>
  <c r="L9" i="107"/>
  <c r="K9" i="107"/>
  <c r="J9" i="107"/>
  <c r="H9" i="107"/>
  <c r="F9" i="107"/>
  <c r="G9" i="107" s="1"/>
  <c r="L8" i="107"/>
  <c r="L21" i="107" s="1"/>
  <c r="K8" i="107"/>
  <c r="K21" i="107" s="1"/>
  <c r="J8" i="107"/>
  <c r="J21" i="107" s="1"/>
  <c r="I32" i="123" s="1"/>
  <c r="H8" i="107"/>
  <c r="F8" i="107"/>
  <c r="G8" i="107" s="1"/>
  <c r="L7" i="107"/>
  <c r="K7" i="107"/>
  <c r="J7" i="107"/>
  <c r="H7" i="107"/>
  <c r="F7" i="107"/>
  <c r="G7" i="107" s="1"/>
  <c r="L6" i="107"/>
  <c r="K6" i="107"/>
  <c r="J6" i="107"/>
  <c r="H6" i="107"/>
  <c r="F6" i="107"/>
  <c r="G6" i="107" s="1"/>
  <c r="H5" i="107"/>
  <c r="F5" i="107"/>
  <c r="G5" i="107" s="1"/>
  <c r="K4" i="107" s="1"/>
  <c r="L4" i="107"/>
  <c r="L17" i="107" s="1"/>
  <c r="F32" i="123" s="1"/>
  <c r="J4" i="107"/>
  <c r="H4" i="107"/>
  <c r="L5" i="107" s="1"/>
  <c r="G4" i="107"/>
  <c r="F4" i="107"/>
  <c r="J5" i="107" s="1"/>
  <c r="H3" i="107"/>
  <c r="L3" i="107" s="1"/>
  <c r="L16" i="107" s="1"/>
  <c r="E32" i="123" s="1"/>
  <c r="F3" i="107"/>
  <c r="G3" i="107" s="1"/>
  <c r="H42" i="106"/>
  <c r="F42" i="106"/>
  <c r="G42" i="106" s="1"/>
  <c r="A42" i="106"/>
  <c r="H41" i="106"/>
  <c r="G41" i="106"/>
  <c r="F41" i="106"/>
  <c r="A41" i="106"/>
  <c r="H40" i="106"/>
  <c r="G40" i="106"/>
  <c r="F40" i="106"/>
  <c r="A40" i="106"/>
  <c r="H39" i="106"/>
  <c r="G39" i="106" s="1"/>
  <c r="F39" i="106"/>
  <c r="A39" i="106"/>
  <c r="H38" i="106"/>
  <c r="G38" i="106"/>
  <c r="F38" i="106"/>
  <c r="A38" i="106"/>
  <c r="H37" i="106"/>
  <c r="F37" i="106"/>
  <c r="G37" i="106" s="1"/>
  <c r="A37" i="106"/>
  <c r="H36" i="106"/>
  <c r="F36" i="106"/>
  <c r="G36" i="106" s="1"/>
  <c r="A36" i="106"/>
  <c r="H35" i="106"/>
  <c r="F35" i="106"/>
  <c r="G35" i="106" s="1"/>
  <c r="A35" i="106"/>
  <c r="H34" i="106"/>
  <c r="F34" i="106"/>
  <c r="G34" i="106" s="1"/>
  <c r="A34" i="106"/>
  <c r="H33" i="106"/>
  <c r="G33" i="106"/>
  <c r="F33" i="106"/>
  <c r="A33" i="106"/>
  <c r="H32" i="106"/>
  <c r="G32" i="106"/>
  <c r="F32" i="106"/>
  <c r="A32" i="106"/>
  <c r="H31" i="106"/>
  <c r="G31" i="106" s="1"/>
  <c r="F31" i="106"/>
  <c r="A31" i="106"/>
  <c r="H30" i="106"/>
  <c r="G30" i="106"/>
  <c r="F30" i="106"/>
  <c r="A30" i="106"/>
  <c r="H29" i="106"/>
  <c r="F29" i="106"/>
  <c r="G29" i="106" s="1"/>
  <c r="A29" i="106"/>
  <c r="H28" i="106"/>
  <c r="F28" i="106"/>
  <c r="G28" i="106" s="1"/>
  <c r="A28" i="106"/>
  <c r="H27" i="106"/>
  <c r="F27" i="106"/>
  <c r="G27" i="106" s="1"/>
  <c r="H26" i="106"/>
  <c r="F26" i="106"/>
  <c r="G26" i="106" s="1"/>
  <c r="H25" i="106"/>
  <c r="F25" i="106"/>
  <c r="G25" i="106" s="1"/>
  <c r="H24" i="106"/>
  <c r="L5" i="106" s="1"/>
  <c r="F24" i="106"/>
  <c r="G24" i="106" s="1"/>
  <c r="H23" i="106"/>
  <c r="G23" i="106"/>
  <c r="F23" i="106"/>
  <c r="H22" i="106"/>
  <c r="G22" i="106"/>
  <c r="F22" i="106"/>
  <c r="H21" i="106"/>
  <c r="F21" i="106"/>
  <c r="G21" i="106" s="1"/>
  <c r="H20" i="106"/>
  <c r="G20" i="106"/>
  <c r="F20" i="106"/>
  <c r="J19" i="106"/>
  <c r="H19" i="106"/>
  <c r="G19" i="106"/>
  <c r="F19" i="106"/>
  <c r="H18" i="106"/>
  <c r="F18" i="106"/>
  <c r="J6" i="106" s="1"/>
  <c r="H17" i="106"/>
  <c r="F17" i="106"/>
  <c r="G17" i="106" s="1"/>
  <c r="K16" i="106"/>
  <c r="J16" i="106"/>
  <c r="H16" i="106"/>
  <c r="F16" i="106"/>
  <c r="G16" i="106" s="1"/>
  <c r="H15" i="106"/>
  <c r="G15" i="106"/>
  <c r="F15" i="106"/>
  <c r="H14" i="106"/>
  <c r="F14" i="106"/>
  <c r="G14" i="106" s="1"/>
  <c r="H13" i="106"/>
  <c r="L9" i="106" s="1"/>
  <c r="F13" i="106"/>
  <c r="J9" i="106" s="1"/>
  <c r="L12" i="106"/>
  <c r="L19" i="106" s="1"/>
  <c r="G31" i="123" s="1"/>
  <c r="K12" i="106"/>
  <c r="K19" i="106" s="1"/>
  <c r="D31" i="123" s="1"/>
  <c r="J12" i="106"/>
  <c r="H12" i="106"/>
  <c r="L6" i="106" s="1"/>
  <c r="F12" i="106"/>
  <c r="G12" i="106" s="1"/>
  <c r="L11" i="106"/>
  <c r="L18" i="106" s="1"/>
  <c r="K11" i="106"/>
  <c r="K18" i="106" s="1"/>
  <c r="J11" i="106"/>
  <c r="J18" i="106" s="1"/>
  <c r="H11" i="106"/>
  <c r="F11" i="106"/>
  <c r="G11" i="106" s="1"/>
  <c r="L10" i="106"/>
  <c r="K10" i="106"/>
  <c r="J10" i="106"/>
  <c r="H10" i="106"/>
  <c r="G10" i="106"/>
  <c r="F10" i="106"/>
  <c r="H9" i="106"/>
  <c r="G9" i="106"/>
  <c r="F9" i="106"/>
  <c r="L8" i="106"/>
  <c r="K8" i="106"/>
  <c r="J8" i="106"/>
  <c r="H8" i="106"/>
  <c r="F8" i="106"/>
  <c r="G8" i="106" s="1"/>
  <c r="L7" i="106"/>
  <c r="J7" i="106"/>
  <c r="H7" i="106"/>
  <c r="F7" i="106"/>
  <c r="G7" i="106" s="1"/>
  <c r="H6" i="106"/>
  <c r="L4" i="106" s="1"/>
  <c r="F6" i="106"/>
  <c r="J4" i="106" s="1"/>
  <c r="J17" i="106" s="1"/>
  <c r="J20" i="106" s="1"/>
  <c r="J5" i="106"/>
  <c r="H5" i="106"/>
  <c r="G5" i="106"/>
  <c r="F5" i="106"/>
  <c r="H4" i="106"/>
  <c r="G4" i="106" s="1"/>
  <c r="F4" i="106"/>
  <c r="L3" i="106"/>
  <c r="L16" i="106" s="1"/>
  <c r="E31" i="123" s="1"/>
  <c r="K3" i="106"/>
  <c r="J3" i="106"/>
  <c r="H3" i="106"/>
  <c r="F3" i="106"/>
  <c r="G3" i="106" s="1"/>
  <c r="K7" i="106" s="1"/>
  <c r="H42" i="104"/>
  <c r="F42" i="104"/>
  <c r="G42" i="104" s="1"/>
  <c r="A42" i="104"/>
  <c r="H41" i="104"/>
  <c r="G41" i="104"/>
  <c r="F41" i="104"/>
  <c r="A41" i="104"/>
  <c r="H40" i="104"/>
  <c r="F40" i="104"/>
  <c r="G40" i="104" s="1"/>
  <c r="A40" i="104"/>
  <c r="H39" i="104"/>
  <c r="F39" i="104"/>
  <c r="G39" i="104" s="1"/>
  <c r="A39" i="104"/>
  <c r="H38" i="104"/>
  <c r="F38" i="104"/>
  <c r="G38" i="104" s="1"/>
  <c r="A38" i="104"/>
  <c r="H37" i="104"/>
  <c r="F37" i="104"/>
  <c r="G37" i="104" s="1"/>
  <c r="A37" i="104"/>
  <c r="H36" i="104"/>
  <c r="F36" i="104"/>
  <c r="G36" i="104" s="1"/>
  <c r="A36" i="104"/>
  <c r="H35" i="104"/>
  <c r="F35" i="104"/>
  <c r="G35" i="104" s="1"/>
  <c r="H34" i="104"/>
  <c r="F34" i="104"/>
  <c r="G34" i="104" s="1"/>
  <c r="H33" i="104"/>
  <c r="F33" i="104"/>
  <c r="G33" i="104" s="1"/>
  <c r="H32" i="104"/>
  <c r="F32" i="104"/>
  <c r="G32" i="104" s="1"/>
  <c r="H31" i="104"/>
  <c r="F31" i="104"/>
  <c r="G31" i="104" s="1"/>
  <c r="H30" i="104"/>
  <c r="L9" i="104" s="1"/>
  <c r="F30" i="104"/>
  <c r="H29" i="104"/>
  <c r="F29" i="104"/>
  <c r="G29" i="104" s="1"/>
  <c r="H28" i="104"/>
  <c r="G28" i="104"/>
  <c r="F28" i="104"/>
  <c r="H27" i="104"/>
  <c r="F27" i="104"/>
  <c r="G27" i="104" s="1"/>
  <c r="H26" i="104"/>
  <c r="G26" i="104"/>
  <c r="F26" i="104"/>
  <c r="H25" i="104"/>
  <c r="F25" i="104"/>
  <c r="G25" i="104" s="1"/>
  <c r="H24" i="104"/>
  <c r="G24" i="104"/>
  <c r="F24" i="104"/>
  <c r="H23" i="104"/>
  <c r="F23" i="104"/>
  <c r="G23" i="104" s="1"/>
  <c r="H22" i="104"/>
  <c r="F22" i="104"/>
  <c r="G22" i="104" s="1"/>
  <c r="H21" i="104"/>
  <c r="F21" i="104"/>
  <c r="G21" i="104" s="1"/>
  <c r="H20" i="104"/>
  <c r="F20" i="104"/>
  <c r="J4" i="104" s="1"/>
  <c r="H19" i="104"/>
  <c r="G19" i="104"/>
  <c r="F19" i="104"/>
  <c r="L18" i="104"/>
  <c r="J18" i="104"/>
  <c r="H18" i="104"/>
  <c r="G18" i="104"/>
  <c r="F18" i="104"/>
  <c r="H17" i="104"/>
  <c r="F17" i="104"/>
  <c r="G17" i="104" s="1"/>
  <c r="L16" i="104"/>
  <c r="E29" i="123" s="1"/>
  <c r="K16" i="104"/>
  <c r="J16" i="104"/>
  <c r="H16" i="104"/>
  <c r="L6" i="104" s="1"/>
  <c r="F16" i="104"/>
  <c r="J6" i="104" s="1"/>
  <c r="H15" i="104"/>
  <c r="F15" i="104"/>
  <c r="G15" i="104" s="1"/>
  <c r="H14" i="104"/>
  <c r="G14" i="104" s="1"/>
  <c r="K12" i="104" s="1"/>
  <c r="K19" i="104" s="1"/>
  <c r="D29" i="123" s="1"/>
  <c r="F14" i="104"/>
  <c r="J12" i="104" s="1"/>
  <c r="J19" i="104" s="1"/>
  <c r="H13" i="104"/>
  <c r="F13" i="104"/>
  <c r="G13" i="104" s="1"/>
  <c r="K7" i="104" s="1"/>
  <c r="L12" i="104"/>
  <c r="L19" i="104" s="1"/>
  <c r="G29" i="123" s="1"/>
  <c r="H12" i="104"/>
  <c r="F12" i="104"/>
  <c r="G12" i="104" s="1"/>
  <c r="L11" i="104"/>
  <c r="K11" i="104"/>
  <c r="K18" i="104" s="1"/>
  <c r="J11" i="104"/>
  <c r="H11" i="104"/>
  <c r="F11" i="104"/>
  <c r="G11" i="104" s="1"/>
  <c r="L10" i="104"/>
  <c r="K10" i="104"/>
  <c r="J10" i="104"/>
  <c r="H10" i="104"/>
  <c r="F10" i="104"/>
  <c r="G10" i="104" s="1"/>
  <c r="J9" i="104"/>
  <c r="H9" i="104"/>
  <c r="G9" i="104"/>
  <c r="F9" i="104"/>
  <c r="L8" i="104"/>
  <c r="K8" i="104"/>
  <c r="J8" i="104"/>
  <c r="J21" i="104" s="1"/>
  <c r="I29" i="123" s="1"/>
  <c r="H8" i="104"/>
  <c r="F8" i="104"/>
  <c r="G8" i="104" s="1"/>
  <c r="L7" i="104"/>
  <c r="J7" i="104"/>
  <c r="H7" i="104"/>
  <c r="F7" i="104"/>
  <c r="G7" i="104" s="1"/>
  <c r="H6" i="104"/>
  <c r="F6" i="104"/>
  <c r="G6" i="104" s="1"/>
  <c r="H5" i="104"/>
  <c r="F5" i="104"/>
  <c r="G5" i="104" s="1"/>
  <c r="H4" i="104"/>
  <c r="L5" i="104" s="1"/>
  <c r="G4" i="104"/>
  <c r="F4" i="104"/>
  <c r="J5" i="104" s="1"/>
  <c r="L3" i="104"/>
  <c r="K3" i="104"/>
  <c r="J3" i="104"/>
  <c r="H3" i="104"/>
  <c r="L4" i="104" s="1"/>
  <c r="L17" i="104" s="1"/>
  <c r="F29" i="123" s="1"/>
  <c r="G3" i="104"/>
  <c r="F3" i="104"/>
  <c r="H42" i="103"/>
  <c r="F42" i="103"/>
  <c r="G42" i="103" s="1"/>
  <c r="A42" i="103"/>
  <c r="H41" i="103"/>
  <c r="F41" i="103"/>
  <c r="G41" i="103" s="1"/>
  <c r="A41" i="103"/>
  <c r="H40" i="103"/>
  <c r="G40" i="103"/>
  <c r="F40" i="103"/>
  <c r="A40" i="103"/>
  <c r="H39" i="103"/>
  <c r="G39" i="103"/>
  <c r="F39" i="103"/>
  <c r="A39" i="103"/>
  <c r="H38" i="103"/>
  <c r="G38" i="103"/>
  <c r="F38" i="103"/>
  <c r="A38" i="103"/>
  <c r="H37" i="103"/>
  <c r="G37" i="103"/>
  <c r="F37" i="103"/>
  <c r="A37" i="103"/>
  <c r="H36" i="103"/>
  <c r="F36" i="103"/>
  <c r="G36" i="103" s="1"/>
  <c r="A36" i="103"/>
  <c r="H35" i="103"/>
  <c r="F35" i="103"/>
  <c r="G35" i="103" s="1"/>
  <c r="A35" i="103"/>
  <c r="H34" i="103"/>
  <c r="F34" i="103"/>
  <c r="G34" i="103" s="1"/>
  <c r="A34" i="103"/>
  <c r="H33" i="103"/>
  <c r="L4" i="103" s="1"/>
  <c r="L17" i="103" s="1"/>
  <c r="F28" i="123" s="1"/>
  <c r="F33" i="103"/>
  <c r="G33" i="103" s="1"/>
  <c r="H32" i="103"/>
  <c r="F32" i="103"/>
  <c r="G32" i="103" s="1"/>
  <c r="H31" i="103"/>
  <c r="F31" i="103"/>
  <c r="G31" i="103" s="1"/>
  <c r="H30" i="103"/>
  <c r="F30" i="103"/>
  <c r="G30" i="103" s="1"/>
  <c r="H29" i="103"/>
  <c r="G29" i="103"/>
  <c r="F29" i="103"/>
  <c r="H28" i="103"/>
  <c r="F28" i="103"/>
  <c r="G28" i="103" s="1"/>
  <c r="H27" i="103"/>
  <c r="F27" i="103"/>
  <c r="G27" i="103" s="1"/>
  <c r="H26" i="103"/>
  <c r="G26" i="103"/>
  <c r="F26" i="103"/>
  <c r="H25" i="103"/>
  <c r="F25" i="103"/>
  <c r="G25" i="103" s="1"/>
  <c r="H24" i="103"/>
  <c r="G24" i="103"/>
  <c r="F24" i="103"/>
  <c r="H23" i="103"/>
  <c r="F23" i="103"/>
  <c r="G23" i="103" s="1"/>
  <c r="K9" i="103" s="1"/>
  <c r="H22" i="103"/>
  <c r="F22" i="103"/>
  <c r="G22" i="103" s="1"/>
  <c r="H21" i="103"/>
  <c r="F21" i="103"/>
  <c r="G21" i="103" s="1"/>
  <c r="H20" i="103"/>
  <c r="F20" i="103"/>
  <c r="G20" i="103" s="1"/>
  <c r="H19" i="103"/>
  <c r="L7" i="103" s="1"/>
  <c r="F19" i="103"/>
  <c r="J7" i="103" s="1"/>
  <c r="J18" i="103"/>
  <c r="H18" i="103"/>
  <c r="F18" i="103"/>
  <c r="G18" i="103" s="1"/>
  <c r="H17" i="103"/>
  <c r="F17" i="103"/>
  <c r="G17" i="103" s="1"/>
  <c r="L16" i="103"/>
  <c r="E28" i="123" s="1"/>
  <c r="K16" i="103"/>
  <c r="B28" i="123" s="1"/>
  <c r="J16" i="103"/>
  <c r="H16" i="103"/>
  <c r="F16" i="103"/>
  <c r="G16" i="103" s="1"/>
  <c r="H15" i="103"/>
  <c r="F15" i="103"/>
  <c r="G15" i="103" s="1"/>
  <c r="K8" i="103" s="1"/>
  <c r="H14" i="103"/>
  <c r="F14" i="103"/>
  <c r="G14" i="103" s="1"/>
  <c r="H13" i="103"/>
  <c r="G13" i="103"/>
  <c r="F13" i="103"/>
  <c r="L12" i="103"/>
  <c r="L19" i="103" s="1"/>
  <c r="G28" i="123" s="1"/>
  <c r="K12" i="103"/>
  <c r="K19" i="103" s="1"/>
  <c r="D28" i="123" s="1"/>
  <c r="J12" i="103"/>
  <c r="J19" i="103" s="1"/>
  <c r="H12" i="103"/>
  <c r="F12" i="103"/>
  <c r="G12" i="103" s="1"/>
  <c r="L11" i="103"/>
  <c r="L18" i="103" s="1"/>
  <c r="K11" i="103"/>
  <c r="K18" i="103" s="1"/>
  <c r="J11" i="103"/>
  <c r="H11" i="103"/>
  <c r="F11" i="103"/>
  <c r="G11" i="103" s="1"/>
  <c r="L10" i="103"/>
  <c r="K10" i="103"/>
  <c r="J10" i="103"/>
  <c r="H10" i="103"/>
  <c r="F10" i="103"/>
  <c r="G10" i="103" s="1"/>
  <c r="L9" i="103"/>
  <c r="J9" i="103"/>
  <c r="H9" i="103"/>
  <c r="G9" i="103"/>
  <c r="F9" i="103"/>
  <c r="L8" i="103"/>
  <c r="L21" i="103" s="1"/>
  <c r="J8" i="103"/>
  <c r="J21" i="103" s="1"/>
  <c r="I28" i="123" s="1"/>
  <c r="H8" i="103"/>
  <c r="G8" i="103"/>
  <c r="F8" i="103"/>
  <c r="H7" i="103"/>
  <c r="G7" i="103"/>
  <c r="F7" i="103"/>
  <c r="L6" i="103"/>
  <c r="K6" i="103"/>
  <c r="J6" i="103"/>
  <c r="H6" i="103"/>
  <c r="F6" i="103"/>
  <c r="G6" i="103" s="1"/>
  <c r="H5" i="103"/>
  <c r="F5" i="103"/>
  <c r="G5" i="103" s="1"/>
  <c r="H4" i="103"/>
  <c r="L5" i="103" s="1"/>
  <c r="G4" i="103"/>
  <c r="F4" i="103"/>
  <c r="L3" i="103"/>
  <c r="K3" i="103"/>
  <c r="J3" i="103"/>
  <c r="H3" i="103"/>
  <c r="G3" i="103"/>
  <c r="F3" i="103"/>
  <c r="H42" i="102"/>
  <c r="G42" i="102" s="1"/>
  <c r="F42" i="102"/>
  <c r="A42" i="102"/>
  <c r="H41" i="102"/>
  <c r="F41" i="102"/>
  <c r="G41" i="102" s="1"/>
  <c r="A41" i="102"/>
  <c r="H40" i="102"/>
  <c r="F40" i="102"/>
  <c r="G40" i="102" s="1"/>
  <c r="A40" i="102"/>
  <c r="H39" i="102"/>
  <c r="F39" i="102"/>
  <c r="G39" i="102" s="1"/>
  <c r="A39" i="102"/>
  <c r="H38" i="102"/>
  <c r="F38" i="102"/>
  <c r="G38" i="102" s="1"/>
  <c r="A38" i="102"/>
  <c r="H37" i="102"/>
  <c r="F37" i="102"/>
  <c r="G37" i="102" s="1"/>
  <c r="A37" i="102"/>
  <c r="H36" i="102"/>
  <c r="F36" i="102"/>
  <c r="G36" i="102" s="1"/>
  <c r="A36" i="102"/>
  <c r="H35" i="102"/>
  <c r="F35" i="102"/>
  <c r="G35" i="102" s="1"/>
  <c r="A35" i="102"/>
  <c r="H34" i="102"/>
  <c r="G34" i="102" s="1"/>
  <c r="F34" i="102"/>
  <c r="A34" i="102"/>
  <c r="H33" i="102"/>
  <c r="F33" i="102"/>
  <c r="G33" i="102" s="1"/>
  <c r="A33" i="102"/>
  <c r="H32" i="102"/>
  <c r="F32" i="102"/>
  <c r="G32" i="102" s="1"/>
  <c r="A32" i="102"/>
  <c r="H31" i="102"/>
  <c r="F31" i="102"/>
  <c r="G31" i="102" s="1"/>
  <c r="A31" i="102"/>
  <c r="H30" i="102"/>
  <c r="F30" i="102"/>
  <c r="J6" i="102" s="1"/>
  <c r="H29" i="102"/>
  <c r="F29" i="102"/>
  <c r="G29" i="102" s="1"/>
  <c r="H28" i="102"/>
  <c r="F28" i="102"/>
  <c r="G28" i="102" s="1"/>
  <c r="H27" i="102"/>
  <c r="G27" i="102"/>
  <c r="F27" i="102"/>
  <c r="H26" i="102"/>
  <c r="F26" i="102"/>
  <c r="G26" i="102" s="1"/>
  <c r="H25" i="102"/>
  <c r="G25" i="102"/>
  <c r="F25" i="102"/>
  <c r="H24" i="102"/>
  <c r="F24" i="102"/>
  <c r="G24" i="102" s="1"/>
  <c r="H23" i="102"/>
  <c r="G23" i="102"/>
  <c r="F23" i="102"/>
  <c r="H22" i="102"/>
  <c r="F22" i="102"/>
  <c r="G22" i="102" s="1"/>
  <c r="H21" i="102"/>
  <c r="G21" i="102"/>
  <c r="F21" i="102"/>
  <c r="H20" i="102"/>
  <c r="G20" i="102"/>
  <c r="F20" i="102"/>
  <c r="H19" i="102"/>
  <c r="F19" i="102"/>
  <c r="G19" i="102" s="1"/>
  <c r="K18" i="102"/>
  <c r="H18" i="102"/>
  <c r="F18" i="102"/>
  <c r="G18" i="102" s="1"/>
  <c r="H17" i="102"/>
  <c r="F17" i="102"/>
  <c r="G17" i="102" s="1"/>
  <c r="H16" i="102"/>
  <c r="F16" i="102"/>
  <c r="G16" i="102" s="1"/>
  <c r="H15" i="102"/>
  <c r="L9" i="102" s="1"/>
  <c r="F15" i="102"/>
  <c r="G15" i="102" s="1"/>
  <c r="H14" i="102"/>
  <c r="F14" i="102"/>
  <c r="G14" i="102" s="1"/>
  <c r="H13" i="102"/>
  <c r="F13" i="102"/>
  <c r="G13" i="102" s="1"/>
  <c r="L12" i="102"/>
  <c r="L19" i="102" s="1"/>
  <c r="G27" i="123" s="1"/>
  <c r="K12" i="102"/>
  <c r="K19" i="102" s="1"/>
  <c r="D27" i="123" s="1"/>
  <c r="J12" i="102"/>
  <c r="J19" i="102" s="1"/>
  <c r="H12" i="102"/>
  <c r="G12" i="102"/>
  <c r="F12" i="102"/>
  <c r="L11" i="102"/>
  <c r="L18" i="102" s="1"/>
  <c r="K11" i="102"/>
  <c r="J11" i="102"/>
  <c r="J18" i="102" s="1"/>
  <c r="H11" i="102"/>
  <c r="G11" i="102"/>
  <c r="F11" i="102"/>
  <c r="L10" i="102"/>
  <c r="K10" i="102"/>
  <c r="J10" i="102"/>
  <c r="H10" i="102"/>
  <c r="G10" i="102"/>
  <c r="F10" i="102"/>
  <c r="H9" i="102"/>
  <c r="F9" i="102"/>
  <c r="G9" i="102" s="1"/>
  <c r="L8" i="102"/>
  <c r="K8" i="102"/>
  <c r="J8" i="102"/>
  <c r="H8" i="102"/>
  <c r="F8" i="102"/>
  <c r="G8" i="102" s="1"/>
  <c r="L7" i="102"/>
  <c r="K7" i="102"/>
  <c r="J7" i="102"/>
  <c r="H7" i="102"/>
  <c r="L4" i="102" s="1"/>
  <c r="F7" i="102"/>
  <c r="G7" i="102" s="1"/>
  <c r="L6" i="102"/>
  <c r="H6" i="102"/>
  <c r="G6" i="102"/>
  <c r="F6" i="102"/>
  <c r="H5" i="102"/>
  <c r="G5" i="102"/>
  <c r="K9" i="102" s="1"/>
  <c r="F5" i="102"/>
  <c r="H4" i="102"/>
  <c r="F4" i="102"/>
  <c r="J4" i="102" s="1"/>
  <c r="L3" i="102"/>
  <c r="L16" i="102" s="1"/>
  <c r="E27" i="123" s="1"/>
  <c r="K3" i="102"/>
  <c r="K16" i="102" s="1"/>
  <c r="B27" i="123" s="1"/>
  <c r="J3" i="102"/>
  <c r="J16" i="102" s="1"/>
  <c r="H3" i="102"/>
  <c r="L5" i="102" s="1"/>
  <c r="F3" i="102"/>
  <c r="J5" i="102" s="1"/>
  <c r="H42" i="105"/>
  <c r="F42" i="105"/>
  <c r="G42" i="105" s="1"/>
  <c r="A42" i="105"/>
  <c r="H41" i="105"/>
  <c r="F41" i="105"/>
  <c r="G41" i="105" s="1"/>
  <c r="A41" i="105"/>
  <c r="H40" i="105"/>
  <c r="F40" i="105"/>
  <c r="G40" i="105" s="1"/>
  <c r="A40" i="105"/>
  <c r="H39" i="105"/>
  <c r="F39" i="105"/>
  <c r="G39" i="105" s="1"/>
  <c r="A39" i="105"/>
  <c r="H38" i="105"/>
  <c r="G38" i="105" s="1"/>
  <c r="F38" i="105"/>
  <c r="A38" i="105"/>
  <c r="H37" i="105"/>
  <c r="G37" i="105"/>
  <c r="F37" i="105"/>
  <c r="A37" i="105"/>
  <c r="H36" i="105"/>
  <c r="F36" i="105"/>
  <c r="G36" i="105" s="1"/>
  <c r="A36" i="105"/>
  <c r="H35" i="105"/>
  <c r="F35" i="105"/>
  <c r="G35" i="105" s="1"/>
  <c r="A35" i="105"/>
  <c r="H34" i="105"/>
  <c r="F34" i="105"/>
  <c r="G34" i="105" s="1"/>
  <c r="H33" i="105"/>
  <c r="F33" i="105"/>
  <c r="G33" i="105" s="1"/>
  <c r="H32" i="105"/>
  <c r="F32" i="105"/>
  <c r="G32" i="105" s="1"/>
  <c r="H31" i="105"/>
  <c r="G31" i="105"/>
  <c r="F31" i="105"/>
  <c r="H30" i="105"/>
  <c r="F30" i="105"/>
  <c r="G30" i="105" s="1"/>
  <c r="H29" i="105"/>
  <c r="G29" i="105"/>
  <c r="F29" i="105"/>
  <c r="H28" i="105"/>
  <c r="F28" i="105"/>
  <c r="G28" i="105" s="1"/>
  <c r="H27" i="105"/>
  <c r="G27" i="105" s="1"/>
  <c r="F27" i="105"/>
  <c r="H26" i="105"/>
  <c r="F26" i="105"/>
  <c r="G26" i="105" s="1"/>
  <c r="H25" i="105"/>
  <c r="F25" i="105"/>
  <c r="G25" i="105" s="1"/>
  <c r="H24" i="105"/>
  <c r="L4" i="105" s="1"/>
  <c r="G24" i="105"/>
  <c r="F24" i="105"/>
  <c r="H23" i="105"/>
  <c r="F23" i="105"/>
  <c r="G23" i="105" s="1"/>
  <c r="H22" i="105"/>
  <c r="F22" i="105"/>
  <c r="G22" i="105" s="1"/>
  <c r="K21" i="105"/>
  <c r="J21" i="105"/>
  <c r="I30" i="123" s="1"/>
  <c r="H21" i="105"/>
  <c r="F21" i="105"/>
  <c r="G21" i="105" s="1"/>
  <c r="H20" i="105"/>
  <c r="F20" i="105"/>
  <c r="G20" i="105" s="1"/>
  <c r="L19" i="105"/>
  <c r="K19" i="105"/>
  <c r="H19" i="105"/>
  <c r="G19" i="105"/>
  <c r="F19" i="105"/>
  <c r="K18" i="105"/>
  <c r="H18" i="105"/>
  <c r="G18" i="105"/>
  <c r="F18" i="105"/>
  <c r="H17" i="105"/>
  <c r="F17" i="105"/>
  <c r="G17" i="105" s="1"/>
  <c r="H16" i="105"/>
  <c r="L7" i="105" s="1"/>
  <c r="F16" i="105"/>
  <c r="J7" i="105" s="1"/>
  <c r="H15" i="105"/>
  <c r="G15" i="105"/>
  <c r="F15" i="105"/>
  <c r="H14" i="105"/>
  <c r="F14" i="105"/>
  <c r="G14" i="105" s="1"/>
  <c r="H13" i="105"/>
  <c r="G13" i="105"/>
  <c r="F13" i="105"/>
  <c r="L12" i="105"/>
  <c r="K12" i="105"/>
  <c r="J12" i="105"/>
  <c r="J19" i="105" s="1"/>
  <c r="H12" i="105"/>
  <c r="G12" i="105" s="1"/>
  <c r="F12" i="105"/>
  <c r="L11" i="105"/>
  <c r="L18" i="105" s="1"/>
  <c r="K11" i="105"/>
  <c r="J11" i="105"/>
  <c r="J18" i="105" s="1"/>
  <c r="H11" i="105"/>
  <c r="F11" i="105"/>
  <c r="G11" i="105" s="1"/>
  <c r="L10" i="105"/>
  <c r="K10" i="105"/>
  <c r="J10" i="105"/>
  <c r="H10" i="105"/>
  <c r="F10" i="105"/>
  <c r="G10" i="105" s="1"/>
  <c r="K4" i="105" s="1"/>
  <c r="L9" i="105"/>
  <c r="K9" i="105"/>
  <c r="J9" i="105"/>
  <c r="H9" i="105"/>
  <c r="L5" i="105" s="1"/>
  <c r="F9" i="105"/>
  <c r="G9" i="105" s="1"/>
  <c r="L8" i="105"/>
  <c r="L21" i="105" s="1"/>
  <c r="K8" i="105"/>
  <c r="J8" i="105"/>
  <c r="H8" i="105"/>
  <c r="G8" i="105"/>
  <c r="F8" i="105"/>
  <c r="H7" i="105"/>
  <c r="F7" i="105"/>
  <c r="G7" i="105" s="1"/>
  <c r="L6" i="105"/>
  <c r="K6" i="105"/>
  <c r="J6" i="105"/>
  <c r="H6" i="105"/>
  <c r="F6" i="105"/>
  <c r="G6" i="105" s="1"/>
  <c r="H5" i="105"/>
  <c r="F5" i="105"/>
  <c r="G5" i="105" s="1"/>
  <c r="H4" i="105"/>
  <c r="F4" i="105"/>
  <c r="G4" i="105" s="1"/>
  <c r="L3" i="105"/>
  <c r="L16" i="105" s="1"/>
  <c r="E30" i="123" s="1"/>
  <c r="K3" i="105"/>
  <c r="K16" i="105" s="1"/>
  <c r="B30" i="123" s="1"/>
  <c r="J3" i="105"/>
  <c r="J16" i="105" s="1"/>
  <c r="H3" i="105"/>
  <c r="F3" i="105"/>
  <c r="G3" i="105" s="1"/>
  <c r="H42" i="100"/>
  <c r="F42" i="100"/>
  <c r="G42" i="100" s="1"/>
  <c r="A42" i="100"/>
  <c r="H41" i="100"/>
  <c r="G41" i="100" s="1"/>
  <c r="F41" i="100"/>
  <c r="A41" i="100"/>
  <c r="H40" i="100"/>
  <c r="F40" i="100"/>
  <c r="G40" i="100" s="1"/>
  <c r="A40" i="100"/>
  <c r="H39" i="100"/>
  <c r="F39" i="100"/>
  <c r="G39" i="100" s="1"/>
  <c r="A39" i="100"/>
  <c r="H38" i="100"/>
  <c r="F38" i="100"/>
  <c r="G38" i="100" s="1"/>
  <c r="A38" i="100"/>
  <c r="H37" i="100"/>
  <c r="F37" i="100"/>
  <c r="G37" i="100" s="1"/>
  <c r="A37" i="100"/>
  <c r="H36" i="100"/>
  <c r="F36" i="100"/>
  <c r="G36" i="100" s="1"/>
  <c r="A36" i="100"/>
  <c r="H35" i="100"/>
  <c r="F35" i="100"/>
  <c r="G35" i="100" s="1"/>
  <c r="A35" i="100"/>
  <c r="H34" i="100"/>
  <c r="F34" i="100"/>
  <c r="G34" i="100" s="1"/>
  <c r="H33" i="100"/>
  <c r="G33" i="100"/>
  <c r="F33" i="100"/>
  <c r="H32" i="100"/>
  <c r="F32" i="100"/>
  <c r="G32" i="100" s="1"/>
  <c r="H31" i="100"/>
  <c r="G31" i="100"/>
  <c r="F31" i="100"/>
  <c r="H30" i="100"/>
  <c r="F30" i="100"/>
  <c r="G30" i="100" s="1"/>
  <c r="H29" i="100"/>
  <c r="F29" i="100"/>
  <c r="G29" i="100" s="1"/>
  <c r="H28" i="100"/>
  <c r="G28" i="100"/>
  <c r="F28" i="100"/>
  <c r="H27" i="100"/>
  <c r="F27" i="100"/>
  <c r="G27" i="100" s="1"/>
  <c r="H26" i="100"/>
  <c r="F26" i="100"/>
  <c r="G26" i="100" s="1"/>
  <c r="H25" i="100"/>
  <c r="F25" i="100"/>
  <c r="G25" i="100" s="1"/>
  <c r="H24" i="100"/>
  <c r="L6" i="100" s="1"/>
  <c r="F24" i="100"/>
  <c r="G24" i="100" s="1"/>
  <c r="K6" i="100" s="1"/>
  <c r="H23" i="100"/>
  <c r="G23" i="100"/>
  <c r="F23" i="100"/>
  <c r="H22" i="100"/>
  <c r="G22" i="100" s="1"/>
  <c r="F22" i="100"/>
  <c r="H21" i="100"/>
  <c r="F21" i="100"/>
  <c r="G21" i="100" s="1"/>
  <c r="H20" i="100"/>
  <c r="F20" i="100"/>
  <c r="G20" i="100" s="1"/>
  <c r="H19" i="100"/>
  <c r="F19" i="100"/>
  <c r="G19" i="100" s="1"/>
  <c r="L18" i="100"/>
  <c r="H18" i="100"/>
  <c r="F18" i="100"/>
  <c r="J4" i="100" s="1"/>
  <c r="J17" i="100" s="1"/>
  <c r="H17" i="100"/>
  <c r="L4" i="100" s="1"/>
  <c r="F17" i="100"/>
  <c r="G17" i="100" s="1"/>
  <c r="K16" i="100"/>
  <c r="H16" i="100"/>
  <c r="F16" i="100"/>
  <c r="G16" i="100" s="1"/>
  <c r="H15" i="100"/>
  <c r="G15" i="100"/>
  <c r="F15" i="100"/>
  <c r="H14" i="100"/>
  <c r="F14" i="100"/>
  <c r="G14" i="100" s="1"/>
  <c r="H13" i="100"/>
  <c r="F13" i="100"/>
  <c r="G13" i="100" s="1"/>
  <c r="L12" i="100"/>
  <c r="L19" i="100" s="1"/>
  <c r="G25" i="123" s="1"/>
  <c r="H12" i="100"/>
  <c r="F12" i="100"/>
  <c r="G12" i="100" s="1"/>
  <c r="L11" i="100"/>
  <c r="K11" i="100"/>
  <c r="K18" i="100" s="1"/>
  <c r="J11" i="100"/>
  <c r="J18" i="100" s="1"/>
  <c r="H11" i="100"/>
  <c r="F11" i="100"/>
  <c r="G11" i="100" s="1"/>
  <c r="L10" i="100"/>
  <c r="K10" i="100"/>
  <c r="J10" i="100"/>
  <c r="H10" i="100"/>
  <c r="G10" i="100"/>
  <c r="F10" i="100"/>
  <c r="L9" i="100"/>
  <c r="K9" i="100"/>
  <c r="K21" i="100" s="1"/>
  <c r="J9" i="100"/>
  <c r="H9" i="100"/>
  <c r="G9" i="100"/>
  <c r="F9" i="100"/>
  <c r="L8" i="100"/>
  <c r="L21" i="100" s="1"/>
  <c r="K8" i="100"/>
  <c r="J8" i="100"/>
  <c r="J21" i="100" s="1"/>
  <c r="I25" i="123" s="1"/>
  <c r="H8" i="100"/>
  <c r="F8" i="100"/>
  <c r="G8" i="100" s="1"/>
  <c r="L7" i="100"/>
  <c r="K7" i="100"/>
  <c r="J7" i="100"/>
  <c r="H7" i="100"/>
  <c r="F7" i="100"/>
  <c r="G7" i="100" s="1"/>
  <c r="J6" i="100"/>
  <c r="H6" i="100"/>
  <c r="F6" i="100"/>
  <c r="G6" i="100" s="1"/>
  <c r="L5" i="100"/>
  <c r="J5" i="100"/>
  <c r="H5" i="100"/>
  <c r="G5" i="100"/>
  <c r="F5" i="100"/>
  <c r="H4" i="100"/>
  <c r="G4" i="100" s="1"/>
  <c r="K12" i="100" s="1"/>
  <c r="K19" i="100" s="1"/>
  <c r="D25" i="123" s="1"/>
  <c r="F4" i="100"/>
  <c r="L3" i="100"/>
  <c r="L16" i="100" s="1"/>
  <c r="E25" i="123" s="1"/>
  <c r="K3" i="100"/>
  <c r="J3" i="100"/>
  <c r="J16" i="100" s="1"/>
  <c r="H3" i="100"/>
  <c r="G3" i="100"/>
  <c r="F3" i="100"/>
  <c r="H42" i="98"/>
  <c r="F42" i="98"/>
  <c r="G42" i="98" s="1"/>
  <c r="A42" i="98"/>
  <c r="H41" i="98"/>
  <c r="F41" i="98"/>
  <c r="G41" i="98" s="1"/>
  <c r="A41" i="98"/>
  <c r="H40" i="98"/>
  <c r="F40" i="98"/>
  <c r="G40" i="98" s="1"/>
  <c r="A40" i="98"/>
  <c r="H39" i="98"/>
  <c r="F39" i="98"/>
  <c r="G39" i="98" s="1"/>
  <c r="A39" i="98"/>
  <c r="H38" i="98"/>
  <c r="F38" i="98"/>
  <c r="G38" i="98" s="1"/>
  <c r="A38" i="98"/>
  <c r="H37" i="98"/>
  <c r="F37" i="98"/>
  <c r="G37" i="98" s="1"/>
  <c r="A37" i="98"/>
  <c r="H36" i="98"/>
  <c r="G36" i="98" s="1"/>
  <c r="F36" i="98"/>
  <c r="A36" i="98"/>
  <c r="H35" i="98"/>
  <c r="G35" i="98" s="1"/>
  <c r="F35" i="98"/>
  <c r="A35" i="98"/>
  <c r="H34" i="98"/>
  <c r="F34" i="98"/>
  <c r="G34" i="98" s="1"/>
  <c r="A34" i="98"/>
  <c r="H33" i="98"/>
  <c r="F33" i="98"/>
  <c r="G33" i="98" s="1"/>
  <c r="A33" i="98"/>
  <c r="H32" i="98"/>
  <c r="F32" i="98"/>
  <c r="G32" i="98" s="1"/>
  <c r="A32" i="98"/>
  <c r="H31" i="98"/>
  <c r="F31" i="98"/>
  <c r="G31" i="98" s="1"/>
  <c r="A31" i="98"/>
  <c r="H30" i="98"/>
  <c r="F30" i="98"/>
  <c r="G30" i="98" s="1"/>
  <c r="H29" i="98"/>
  <c r="G29" i="98"/>
  <c r="F29" i="98"/>
  <c r="H28" i="98"/>
  <c r="F28" i="98"/>
  <c r="G28" i="98" s="1"/>
  <c r="H27" i="98"/>
  <c r="G27" i="98" s="1"/>
  <c r="F27" i="98"/>
  <c r="H26" i="98"/>
  <c r="G26" i="98" s="1"/>
  <c r="F26" i="98"/>
  <c r="H25" i="98"/>
  <c r="G25" i="98"/>
  <c r="K7" i="98" s="1"/>
  <c r="F25" i="98"/>
  <c r="J7" i="98" s="1"/>
  <c r="H24" i="98"/>
  <c r="F24" i="98"/>
  <c r="G24" i="98" s="1"/>
  <c r="H23" i="98"/>
  <c r="F23" i="98"/>
  <c r="G23" i="98" s="1"/>
  <c r="H22" i="98"/>
  <c r="F22" i="98"/>
  <c r="G22" i="98" s="1"/>
  <c r="H21" i="98"/>
  <c r="F21" i="98"/>
  <c r="G21" i="98" s="1"/>
  <c r="H20" i="98"/>
  <c r="F20" i="98"/>
  <c r="G20" i="98" s="1"/>
  <c r="H19" i="98"/>
  <c r="G19" i="98" s="1"/>
  <c r="F19" i="98"/>
  <c r="K18" i="98"/>
  <c r="H18" i="98"/>
  <c r="F18" i="98"/>
  <c r="G18" i="98" s="1"/>
  <c r="H17" i="98"/>
  <c r="F17" i="98"/>
  <c r="G17" i="98" s="1"/>
  <c r="L16" i="98"/>
  <c r="H16" i="98"/>
  <c r="G16" i="98"/>
  <c r="F16" i="98"/>
  <c r="H15" i="98"/>
  <c r="F15" i="98"/>
  <c r="G15" i="98" s="1"/>
  <c r="H14" i="98"/>
  <c r="F14" i="98"/>
  <c r="G14" i="98" s="1"/>
  <c r="H13" i="98"/>
  <c r="G13" i="98"/>
  <c r="F13" i="98"/>
  <c r="L12" i="98"/>
  <c r="L19" i="98" s="1"/>
  <c r="G23" i="123" s="1"/>
  <c r="K12" i="98"/>
  <c r="K19" i="98" s="1"/>
  <c r="D23" i="123" s="1"/>
  <c r="J12" i="98"/>
  <c r="J19" i="98" s="1"/>
  <c r="H12" i="98"/>
  <c r="G12" i="98" s="1"/>
  <c r="F12" i="98"/>
  <c r="L11" i="98"/>
  <c r="L18" i="98" s="1"/>
  <c r="K11" i="98"/>
  <c r="J11" i="98"/>
  <c r="J18" i="98" s="1"/>
  <c r="H11" i="98"/>
  <c r="G11" i="98"/>
  <c r="F11" i="98"/>
  <c r="L10" i="98"/>
  <c r="K10" i="98"/>
  <c r="J10" i="98"/>
  <c r="H10" i="98"/>
  <c r="F10" i="98"/>
  <c r="J5" i="98" s="1"/>
  <c r="J9" i="98"/>
  <c r="H9" i="98"/>
  <c r="L4" i="98" s="1"/>
  <c r="F9" i="98"/>
  <c r="G9" i="98" s="1"/>
  <c r="L8" i="98"/>
  <c r="K8" i="98"/>
  <c r="J8" i="98"/>
  <c r="J21" i="98" s="1"/>
  <c r="I23" i="123" s="1"/>
  <c r="H8" i="98"/>
  <c r="L5" i="98" s="1"/>
  <c r="G8" i="98"/>
  <c r="F8" i="98"/>
  <c r="L7" i="98"/>
  <c r="H7" i="98"/>
  <c r="G7" i="98"/>
  <c r="F7" i="98"/>
  <c r="L6" i="98"/>
  <c r="K6" i="98"/>
  <c r="J6" i="98"/>
  <c r="H6" i="98"/>
  <c r="G6" i="98" s="1"/>
  <c r="F6" i="98"/>
  <c r="H5" i="98"/>
  <c r="L9" i="98" s="1"/>
  <c r="F5" i="98"/>
  <c r="G5" i="98" s="1"/>
  <c r="K9" i="98" s="1"/>
  <c r="H4" i="98"/>
  <c r="F4" i="98"/>
  <c r="J4" i="98" s="1"/>
  <c r="L3" i="98"/>
  <c r="K3" i="98"/>
  <c r="K16" i="98" s="1"/>
  <c r="B23" i="123" s="1"/>
  <c r="J3" i="98"/>
  <c r="J16" i="98" s="1"/>
  <c r="H3" i="98"/>
  <c r="F3" i="98"/>
  <c r="G3" i="98" s="1"/>
  <c r="H42" i="99"/>
  <c r="F42" i="99"/>
  <c r="G42" i="99" s="1"/>
  <c r="A42" i="99"/>
  <c r="H41" i="99"/>
  <c r="F41" i="99"/>
  <c r="G41" i="99" s="1"/>
  <c r="A41" i="99"/>
  <c r="H40" i="99"/>
  <c r="F40" i="99"/>
  <c r="G40" i="99" s="1"/>
  <c r="A40" i="99"/>
  <c r="H39" i="99"/>
  <c r="G39" i="99" s="1"/>
  <c r="F39" i="99"/>
  <c r="A39" i="99"/>
  <c r="H38" i="99"/>
  <c r="F38" i="99"/>
  <c r="G38" i="99" s="1"/>
  <c r="A38" i="99"/>
  <c r="H37" i="99"/>
  <c r="G37" i="99"/>
  <c r="F37" i="99"/>
  <c r="A37" i="99"/>
  <c r="H36" i="99"/>
  <c r="F36" i="99"/>
  <c r="G36" i="99" s="1"/>
  <c r="A36" i="99"/>
  <c r="H35" i="99"/>
  <c r="F35" i="99"/>
  <c r="G35" i="99" s="1"/>
  <c r="A35" i="99"/>
  <c r="H34" i="99"/>
  <c r="F34" i="99"/>
  <c r="G34" i="99" s="1"/>
  <c r="A34" i="99"/>
  <c r="H33" i="99"/>
  <c r="F33" i="99"/>
  <c r="G33" i="99" s="1"/>
  <c r="A33" i="99"/>
  <c r="H32" i="99"/>
  <c r="F32" i="99"/>
  <c r="G32" i="99" s="1"/>
  <c r="A32" i="99"/>
  <c r="H31" i="99"/>
  <c r="G31" i="99" s="1"/>
  <c r="F31" i="99"/>
  <c r="A31" i="99"/>
  <c r="H30" i="99"/>
  <c r="F30" i="99"/>
  <c r="G30" i="99" s="1"/>
  <c r="A30" i="99"/>
  <c r="H29" i="99"/>
  <c r="G29" i="99"/>
  <c r="F29" i="99"/>
  <c r="A29" i="99"/>
  <c r="H28" i="99"/>
  <c r="F28" i="99"/>
  <c r="G28" i="99" s="1"/>
  <c r="H27" i="99"/>
  <c r="F27" i="99"/>
  <c r="G27" i="99" s="1"/>
  <c r="H26" i="99"/>
  <c r="F26" i="99"/>
  <c r="G26" i="99" s="1"/>
  <c r="H25" i="99"/>
  <c r="G25" i="99"/>
  <c r="F25" i="99"/>
  <c r="H24" i="99"/>
  <c r="F24" i="99"/>
  <c r="G24" i="99" s="1"/>
  <c r="H23" i="99"/>
  <c r="G23" i="99"/>
  <c r="F23" i="99"/>
  <c r="H22" i="99"/>
  <c r="G22" i="99"/>
  <c r="F22" i="99"/>
  <c r="H21" i="99"/>
  <c r="F21" i="99"/>
  <c r="G21" i="99" s="1"/>
  <c r="H20" i="99"/>
  <c r="G20" i="99"/>
  <c r="F20" i="99"/>
  <c r="K19" i="99"/>
  <c r="H19" i="99"/>
  <c r="F19" i="99"/>
  <c r="G19" i="99" s="1"/>
  <c r="H18" i="99"/>
  <c r="F18" i="99"/>
  <c r="G18" i="99" s="1"/>
  <c r="H17" i="99"/>
  <c r="F17" i="99"/>
  <c r="G17" i="99" s="1"/>
  <c r="H16" i="99"/>
  <c r="G16" i="99" s="1"/>
  <c r="F16" i="99"/>
  <c r="H15" i="99"/>
  <c r="F15" i="99"/>
  <c r="G15" i="99" s="1"/>
  <c r="H14" i="99"/>
  <c r="L4" i="99" s="1"/>
  <c r="L17" i="99" s="1"/>
  <c r="F24" i="123" s="1"/>
  <c r="F14" i="99"/>
  <c r="J4" i="99" s="1"/>
  <c r="J17" i="99" s="1"/>
  <c r="H13" i="99"/>
  <c r="F13" i="99"/>
  <c r="G13" i="99" s="1"/>
  <c r="L12" i="99"/>
  <c r="L19" i="99" s="1"/>
  <c r="G24" i="123" s="1"/>
  <c r="K12" i="99"/>
  <c r="J12" i="99"/>
  <c r="J19" i="99" s="1"/>
  <c r="H12" i="99"/>
  <c r="F12" i="99"/>
  <c r="G12" i="99" s="1"/>
  <c r="L11" i="99"/>
  <c r="L18" i="99" s="1"/>
  <c r="K11" i="99"/>
  <c r="K18" i="99" s="1"/>
  <c r="J11" i="99"/>
  <c r="J18" i="99" s="1"/>
  <c r="H11" i="99"/>
  <c r="G11" i="99"/>
  <c r="F11" i="99"/>
  <c r="L10" i="99"/>
  <c r="K10" i="99"/>
  <c r="J10" i="99"/>
  <c r="H10" i="99"/>
  <c r="G10" i="99"/>
  <c r="F10" i="99"/>
  <c r="L9" i="99"/>
  <c r="K9" i="99"/>
  <c r="J9" i="99"/>
  <c r="H9" i="99"/>
  <c r="F9" i="99"/>
  <c r="G9" i="99" s="1"/>
  <c r="L8" i="99"/>
  <c r="L21" i="99" s="1"/>
  <c r="K8" i="99"/>
  <c r="K21" i="99" s="1"/>
  <c r="J8" i="99"/>
  <c r="J21" i="99" s="1"/>
  <c r="I24" i="123" s="1"/>
  <c r="H8" i="99"/>
  <c r="F8" i="99"/>
  <c r="G8" i="99" s="1"/>
  <c r="L7" i="99"/>
  <c r="K7" i="99"/>
  <c r="J7" i="99"/>
  <c r="H7" i="99"/>
  <c r="F7" i="99"/>
  <c r="G7" i="99" s="1"/>
  <c r="L6" i="99"/>
  <c r="K6" i="99"/>
  <c r="J6" i="99"/>
  <c r="H6" i="99"/>
  <c r="F6" i="99"/>
  <c r="G6" i="99" s="1"/>
  <c r="L5" i="99"/>
  <c r="K5" i="99"/>
  <c r="J5" i="99"/>
  <c r="H5" i="99"/>
  <c r="F5" i="99"/>
  <c r="G5" i="99" s="1"/>
  <c r="H4" i="99"/>
  <c r="G4" i="99" s="1"/>
  <c r="F4" i="99"/>
  <c r="H3" i="99"/>
  <c r="L3" i="99" s="1"/>
  <c r="L16" i="99" s="1"/>
  <c r="E24" i="123" s="1"/>
  <c r="F3" i="99"/>
  <c r="G3" i="99" s="1"/>
  <c r="H42" i="97"/>
  <c r="F42" i="97"/>
  <c r="G42" i="97" s="1"/>
  <c r="A42" i="97"/>
  <c r="H41" i="97"/>
  <c r="G41" i="97"/>
  <c r="F41" i="97"/>
  <c r="A41" i="97"/>
  <c r="H40" i="97"/>
  <c r="F40" i="97"/>
  <c r="G40" i="97" s="1"/>
  <c r="A40" i="97"/>
  <c r="H39" i="97"/>
  <c r="F39" i="97"/>
  <c r="G39" i="97" s="1"/>
  <c r="A39" i="97"/>
  <c r="H38" i="97"/>
  <c r="F38" i="97"/>
  <c r="G38" i="97" s="1"/>
  <c r="A38" i="97"/>
  <c r="H37" i="97"/>
  <c r="F37" i="97"/>
  <c r="G37" i="97" s="1"/>
  <c r="A37" i="97"/>
  <c r="H36" i="97"/>
  <c r="F36" i="97"/>
  <c r="G36" i="97" s="1"/>
  <c r="A36" i="97"/>
  <c r="H35" i="97"/>
  <c r="F35" i="97"/>
  <c r="G35" i="97" s="1"/>
  <c r="A35" i="97"/>
  <c r="H34" i="97"/>
  <c r="F34" i="97"/>
  <c r="G34" i="97" s="1"/>
  <c r="A34" i="97"/>
  <c r="H33" i="97"/>
  <c r="G33" i="97"/>
  <c r="F33" i="97"/>
  <c r="A33" i="97"/>
  <c r="H32" i="97"/>
  <c r="F32" i="97"/>
  <c r="G32" i="97" s="1"/>
  <c r="A32" i="97"/>
  <c r="H31" i="97"/>
  <c r="L4" i="97" s="1"/>
  <c r="F31" i="97"/>
  <c r="G31" i="97" s="1"/>
  <c r="H30" i="97"/>
  <c r="G30" i="97"/>
  <c r="F30" i="97"/>
  <c r="H29" i="97"/>
  <c r="G29" i="97"/>
  <c r="F29" i="97"/>
  <c r="H28" i="97"/>
  <c r="G28" i="97"/>
  <c r="F28" i="97"/>
  <c r="H27" i="97"/>
  <c r="F27" i="97"/>
  <c r="G27" i="97" s="1"/>
  <c r="H26" i="97"/>
  <c r="G26" i="97" s="1"/>
  <c r="F26" i="97"/>
  <c r="H25" i="97"/>
  <c r="F25" i="97"/>
  <c r="G25" i="97" s="1"/>
  <c r="H24" i="97"/>
  <c r="F24" i="97"/>
  <c r="G24" i="97" s="1"/>
  <c r="K10" i="97" s="1"/>
  <c r="H23" i="97"/>
  <c r="G23" i="97"/>
  <c r="F23" i="97"/>
  <c r="H22" i="97"/>
  <c r="F22" i="97"/>
  <c r="G22" i="97" s="1"/>
  <c r="H21" i="97"/>
  <c r="F21" i="97"/>
  <c r="G21" i="97" s="1"/>
  <c r="H20" i="97"/>
  <c r="F20" i="97"/>
  <c r="G20" i="97" s="1"/>
  <c r="H19" i="97"/>
  <c r="G19" i="97" s="1"/>
  <c r="F19" i="97"/>
  <c r="H18" i="97"/>
  <c r="G18" i="97"/>
  <c r="F18" i="97"/>
  <c r="H17" i="97"/>
  <c r="F17" i="97"/>
  <c r="G17" i="97" s="1"/>
  <c r="H16" i="97"/>
  <c r="F16" i="97"/>
  <c r="G16" i="97" s="1"/>
  <c r="H15" i="97"/>
  <c r="L6" i="97" s="1"/>
  <c r="F15" i="97"/>
  <c r="G15" i="97" s="1"/>
  <c r="K6" i="97" s="1"/>
  <c r="H14" i="97"/>
  <c r="G14" i="97"/>
  <c r="F14" i="97"/>
  <c r="H13" i="97"/>
  <c r="G13" i="97"/>
  <c r="F13" i="97"/>
  <c r="L12" i="97"/>
  <c r="L19" i="97" s="1"/>
  <c r="G22" i="123" s="1"/>
  <c r="K12" i="97"/>
  <c r="K19" i="97" s="1"/>
  <c r="D22" i="123" s="1"/>
  <c r="J12" i="97"/>
  <c r="J19" i="97" s="1"/>
  <c r="H12" i="97"/>
  <c r="F12" i="97"/>
  <c r="G12" i="97" s="1"/>
  <c r="L11" i="97"/>
  <c r="L18" i="97" s="1"/>
  <c r="K11" i="97"/>
  <c r="K18" i="97" s="1"/>
  <c r="J11" i="97"/>
  <c r="J18" i="97" s="1"/>
  <c r="H11" i="97"/>
  <c r="F11" i="97"/>
  <c r="G11" i="97" s="1"/>
  <c r="L10" i="97"/>
  <c r="J10" i="97"/>
  <c r="H10" i="97"/>
  <c r="G10" i="97"/>
  <c r="F10" i="97"/>
  <c r="H9" i="97"/>
  <c r="F9" i="97"/>
  <c r="G9" i="97" s="1"/>
  <c r="L8" i="97"/>
  <c r="K8" i="97"/>
  <c r="J8" i="97"/>
  <c r="H8" i="97"/>
  <c r="L5" i="97" s="1"/>
  <c r="F8" i="97"/>
  <c r="G8" i="97" s="1"/>
  <c r="L7" i="97"/>
  <c r="K7" i="97"/>
  <c r="J7" i="97"/>
  <c r="H7" i="97"/>
  <c r="G7" i="97"/>
  <c r="F7" i="97"/>
  <c r="H6" i="97"/>
  <c r="F6" i="97"/>
  <c r="G6" i="97" s="1"/>
  <c r="H5" i="97"/>
  <c r="L9" i="97" s="1"/>
  <c r="F5" i="97"/>
  <c r="G5" i="97" s="1"/>
  <c r="H4" i="97"/>
  <c r="F4" i="97"/>
  <c r="G4" i="97" s="1"/>
  <c r="L3" i="97"/>
  <c r="L16" i="97" s="1"/>
  <c r="E22" i="123" s="1"/>
  <c r="K3" i="97"/>
  <c r="K16" i="97" s="1"/>
  <c r="B22" i="123" s="1"/>
  <c r="J3" i="97"/>
  <c r="J16" i="97" s="1"/>
  <c r="H3" i="97"/>
  <c r="F3" i="97"/>
  <c r="G3" i="97" s="1"/>
  <c r="H42" i="96"/>
  <c r="G42" i="96"/>
  <c r="F42" i="96"/>
  <c r="A42" i="96"/>
  <c r="H41" i="96"/>
  <c r="F41" i="96"/>
  <c r="G41" i="96" s="1"/>
  <c r="A41" i="96"/>
  <c r="H40" i="96"/>
  <c r="G40" i="96" s="1"/>
  <c r="F40" i="96"/>
  <c r="A40" i="96"/>
  <c r="H39" i="96"/>
  <c r="F39" i="96"/>
  <c r="G39" i="96" s="1"/>
  <c r="A39" i="96"/>
  <c r="H38" i="96"/>
  <c r="F38" i="96"/>
  <c r="G38" i="96" s="1"/>
  <c r="A38" i="96"/>
  <c r="H37" i="96"/>
  <c r="F37" i="96"/>
  <c r="G37" i="96" s="1"/>
  <c r="A37" i="96"/>
  <c r="H36" i="96"/>
  <c r="F36" i="96"/>
  <c r="G36" i="96" s="1"/>
  <c r="A36" i="96"/>
  <c r="H35" i="96"/>
  <c r="F35" i="96"/>
  <c r="G35" i="96" s="1"/>
  <c r="A35" i="96"/>
  <c r="H34" i="96"/>
  <c r="G34" i="96"/>
  <c r="F34" i="96"/>
  <c r="A34" i="96"/>
  <c r="H33" i="96"/>
  <c r="F33" i="96"/>
  <c r="G33" i="96" s="1"/>
  <c r="A33" i="96"/>
  <c r="H32" i="96"/>
  <c r="G32" i="96" s="1"/>
  <c r="F32" i="96"/>
  <c r="A32" i="96"/>
  <c r="H31" i="96"/>
  <c r="F31" i="96"/>
  <c r="G31" i="96" s="1"/>
  <c r="A31" i="96"/>
  <c r="H30" i="96"/>
  <c r="F30" i="96"/>
  <c r="G30" i="96" s="1"/>
  <c r="A30" i="96"/>
  <c r="H29" i="96"/>
  <c r="F29" i="96"/>
  <c r="G29" i="96" s="1"/>
  <c r="A29" i="96"/>
  <c r="H28" i="96"/>
  <c r="F28" i="96"/>
  <c r="G28" i="96" s="1"/>
  <c r="A28" i="96"/>
  <c r="H27" i="96"/>
  <c r="F27" i="96"/>
  <c r="G27" i="96" s="1"/>
  <c r="A27" i="96"/>
  <c r="H26" i="96"/>
  <c r="G26" i="96"/>
  <c r="F26" i="96"/>
  <c r="A26" i="96"/>
  <c r="H25" i="96"/>
  <c r="F25" i="96"/>
  <c r="G25" i="96" s="1"/>
  <c r="A25" i="96"/>
  <c r="H24" i="96"/>
  <c r="G24" i="96" s="1"/>
  <c r="F24" i="96"/>
  <c r="A24" i="96"/>
  <c r="H23" i="96"/>
  <c r="F23" i="96"/>
  <c r="G23" i="96" s="1"/>
  <c r="A23" i="96"/>
  <c r="H22" i="96"/>
  <c r="F22" i="96"/>
  <c r="G22" i="96" s="1"/>
  <c r="K21" i="96"/>
  <c r="J21" i="96"/>
  <c r="I21" i="123" s="1"/>
  <c r="H21" i="96"/>
  <c r="F21" i="96"/>
  <c r="G21" i="96" s="1"/>
  <c r="H20" i="96"/>
  <c r="F20" i="96"/>
  <c r="G20" i="96" s="1"/>
  <c r="H19" i="96"/>
  <c r="G19" i="96"/>
  <c r="F19" i="96"/>
  <c r="H18" i="96"/>
  <c r="G18" i="96"/>
  <c r="F18" i="96"/>
  <c r="H17" i="96"/>
  <c r="F17" i="96"/>
  <c r="G17" i="96" s="1"/>
  <c r="H16" i="96"/>
  <c r="F16" i="96"/>
  <c r="G16" i="96" s="1"/>
  <c r="H15" i="96"/>
  <c r="G15" i="96"/>
  <c r="F15" i="96"/>
  <c r="H14" i="96"/>
  <c r="F14" i="96"/>
  <c r="G14" i="96" s="1"/>
  <c r="H13" i="96"/>
  <c r="F13" i="96"/>
  <c r="G13" i="96" s="1"/>
  <c r="L12" i="96"/>
  <c r="L19" i="96" s="1"/>
  <c r="G21" i="123" s="1"/>
  <c r="K12" i="96"/>
  <c r="K19" i="96" s="1"/>
  <c r="D21" i="123" s="1"/>
  <c r="J12" i="96"/>
  <c r="J19" i="96" s="1"/>
  <c r="H12" i="96"/>
  <c r="F12" i="96"/>
  <c r="G12" i="96" s="1"/>
  <c r="L11" i="96"/>
  <c r="L18" i="96" s="1"/>
  <c r="K11" i="96"/>
  <c r="K18" i="96" s="1"/>
  <c r="J11" i="96"/>
  <c r="J18" i="96" s="1"/>
  <c r="H11" i="96"/>
  <c r="G11" i="96" s="1"/>
  <c r="F11" i="96"/>
  <c r="L10" i="96"/>
  <c r="K10" i="96"/>
  <c r="J10" i="96"/>
  <c r="H10" i="96"/>
  <c r="F10" i="96"/>
  <c r="G10" i="96" s="1"/>
  <c r="L9" i="96"/>
  <c r="K9" i="96"/>
  <c r="J9" i="96"/>
  <c r="H9" i="96"/>
  <c r="F9" i="96"/>
  <c r="G9" i="96" s="1"/>
  <c r="L8" i="96"/>
  <c r="L21" i="96" s="1"/>
  <c r="K8" i="96"/>
  <c r="J8" i="96"/>
  <c r="H8" i="96"/>
  <c r="L5" i="96" s="1"/>
  <c r="F8" i="96"/>
  <c r="J5" i="96" s="1"/>
  <c r="L7" i="96"/>
  <c r="K7" i="96"/>
  <c r="J7" i="96"/>
  <c r="H7" i="96"/>
  <c r="F7" i="96"/>
  <c r="G7" i="96" s="1"/>
  <c r="H6" i="96"/>
  <c r="F6" i="96"/>
  <c r="G6" i="96" s="1"/>
  <c r="H5" i="96"/>
  <c r="L6" i="96" s="1"/>
  <c r="F5" i="96"/>
  <c r="J6" i="96" s="1"/>
  <c r="H4" i="96"/>
  <c r="L4" i="96" s="1"/>
  <c r="L17" i="96" s="1"/>
  <c r="F21" i="123" s="1"/>
  <c r="F4" i="96"/>
  <c r="G4" i="96" s="1"/>
  <c r="L3" i="96"/>
  <c r="L16" i="96" s="1"/>
  <c r="E21" i="123" s="1"/>
  <c r="K3" i="96"/>
  <c r="K16" i="96" s="1"/>
  <c r="B21" i="123" s="1"/>
  <c r="J3" i="96"/>
  <c r="J16" i="96" s="1"/>
  <c r="H3" i="96"/>
  <c r="F3" i="96"/>
  <c r="J4" i="96" s="1"/>
  <c r="H42" i="95"/>
  <c r="F42" i="95"/>
  <c r="G42" i="95" s="1"/>
  <c r="A42" i="95"/>
  <c r="H41" i="95"/>
  <c r="F41" i="95"/>
  <c r="G41" i="95" s="1"/>
  <c r="A41" i="95"/>
  <c r="H40" i="95"/>
  <c r="G40" i="95"/>
  <c r="F40" i="95"/>
  <c r="A40" i="95"/>
  <c r="H39" i="95"/>
  <c r="F39" i="95"/>
  <c r="G39" i="95" s="1"/>
  <c r="A39" i="95"/>
  <c r="H38" i="95"/>
  <c r="G38" i="95"/>
  <c r="F38" i="95"/>
  <c r="A38" i="95"/>
  <c r="H37" i="95"/>
  <c r="F37" i="95"/>
  <c r="G37" i="95" s="1"/>
  <c r="A37" i="95"/>
  <c r="H36" i="95"/>
  <c r="F36" i="95"/>
  <c r="G36" i="95" s="1"/>
  <c r="A36" i="95"/>
  <c r="H35" i="95"/>
  <c r="F35" i="95"/>
  <c r="G35" i="95" s="1"/>
  <c r="A35" i="95"/>
  <c r="H34" i="95"/>
  <c r="F34" i="95"/>
  <c r="G34" i="95" s="1"/>
  <c r="A34" i="95"/>
  <c r="H33" i="95"/>
  <c r="F33" i="95"/>
  <c r="G33" i="95" s="1"/>
  <c r="A33" i="95"/>
  <c r="H32" i="95"/>
  <c r="G32" i="95"/>
  <c r="F32" i="95"/>
  <c r="A32" i="95"/>
  <c r="H31" i="95"/>
  <c r="F31" i="95"/>
  <c r="G31" i="95" s="1"/>
  <c r="A31" i="95"/>
  <c r="H30" i="95"/>
  <c r="G30" i="95"/>
  <c r="F30" i="95"/>
  <c r="A30" i="95"/>
  <c r="H29" i="95"/>
  <c r="F29" i="95"/>
  <c r="G29" i="95" s="1"/>
  <c r="A29" i="95"/>
  <c r="H28" i="95"/>
  <c r="F28" i="95"/>
  <c r="G28" i="95" s="1"/>
  <c r="H27" i="95"/>
  <c r="G27" i="95"/>
  <c r="F27" i="95"/>
  <c r="H26" i="95"/>
  <c r="F26" i="95"/>
  <c r="G26" i="95" s="1"/>
  <c r="H25" i="95"/>
  <c r="F25" i="95"/>
  <c r="G25" i="95" s="1"/>
  <c r="H24" i="95"/>
  <c r="F24" i="95"/>
  <c r="G24" i="95" s="1"/>
  <c r="H23" i="95"/>
  <c r="F23" i="95"/>
  <c r="G23" i="95" s="1"/>
  <c r="H22" i="95"/>
  <c r="G22" i="95"/>
  <c r="F22" i="95"/>
  <c r="L21" i="95"/>
  <c r="H21" i="95"/>
  <c r="G21" i="95"/>
  <c r="F21" i="95"/>
  <c r="H20" i="95"/>
  <c r="F20" i="95"/>
  <c r="G20" i="95" s="1"/>
  <c r="H19" i="95"/>
  <c r="F19" i="95"/>
  <c r="G19" i="95" s="1"/>
  <c r="H18" i="95"/>
  <c r="F18" i="95"/>
  <c r="G18" i="95" s="1"/>
  <c r="H17" i="95"/>
  <c r="F17" i="95"/>
  <c r="G17" i="95" s="1"/>
  <c r="L16" i="95"/>
  <c r="E20" i="123" s="1"/>
  <c r="H16" i="95"/>
  <c r="F16" i="95"/>
  <c r="G16" i="95" s="1"/>
  <c r="H15" i="95"/>
  <c r="F15" i="95"/>
  <c r="G15" i="95" s="1"/>
  <c r="H14" i="95"/>
  <c r="G14" i="95"/>
  <c r="F14" i="95"/>
  <c r="H13" i="95"/>
  <c r="F13" i="95"/>
  <c r="G13" i="95" s="1"/>
  <c r="H12" i="95"/>
  <c r="G12" i="95"/>
  <c r="F12" i="95"/>
  <c r="L11" i="95"/>
  <c r="L18" i="95" s="1"/>
  <c r="K11" i="95"/>
  <c r="K18" i="95" s="1"/>
  <c r="J11" i="95"/>
  <c r="J18" i="95" s="1"/>
  <c r="H11" i="95"/>
  <c r="F11" i="95"/>
  <c r="J4" i="95" s="1"/>
  <c r="L10" i="95"/>
  <c r="K10" i="95"/>
  <c r="J10" i="95"/>
  <c r="H10" i="95"/>
  <c r="L5" i="95" s="1"/>
  <c r="F10" i="95"/>
  <c r="G10" i="95" s="1"/>
  <c r="K5" i="95" s="1"/>
  <c r="L9" i="95"/>
  <c r="K9" i="95"/>
  <c r="J9" i="95"/>
  <c r="H9" i="95"/>
  <c r="G9" i="95"/>
  <c r="F9" i="95"/>
  <c r="L8" i="95"/>
  <c r="K8" i="95"/>
  <c r="K21" i="95" s="1"/>
  <c r="J8" i="95"/>
  <c r="J21" i="95" s="1"/>
  <c r="I20" i="123" s="1"/>
  <c r="H8" i="95"/>
  <c r="G8" i="95" s="1"/>
  <c r="F8" i="95"/>
  <c r="L7" i="95"/>
  <c r="K7" i="95"/>
  <c r="J7" i="95"/>
  <c r="H7" i="95"/>
  <c r="F7" i="95"/>
  <c r="G7" i="95" s="1"/>
  <c r="L6" i="95"/>
  <c r="J6" i="95"/>
  <c r="H6" i="95"/>
  <c r="F6" i="95"/>
  <c r="G6" i="95" s="1"/>
  <c r="H5" i="95"/>
  <c r="L12" i="95" s="1"/>
  <c r="L19" i="95" s="1"/>
  <c r="G20" i="123" s="1"/>
  <c r="F5" i="95"/>
  <c r="J12" i="95" s="1"/>
  <c r="J19" i="95" s="1"/>
  <c r="L4" i="95"/>
  <c r="H4" i="95"/>
  <c r="F4" i="95"/>
  <c r="G4" i="95" s="1"/>
  <c r="L3" i="95"/>
  <c r="K3" i="95"/>
  <c r="K16" i="95" s="1"/>
  <c r="B20" i="123" s="1"/>
  <c r="J3" i="95"/>
  <c r="J16" i="95" s="1"/>
  <c r="H3" i="95"/>
  <c r="G3" i="95" s="1"/>
  <c r="K6" i="95" s="1"/>
  <c r="F3" i="95"/>
  <c r="H42" i="94"/>
  <c r="G42" i="94"/>
  <c r="F42" i="94"/>
  <c r="A42" i="94"/>
  <c r="H41" i="94"/>
  <c r="F41" i="94"/>
  <c r="G41" i="94" s="1"/>
  <c r="A41" i="94"/>
  <c r="H40" i="94"/>
  <c r="F40" i="94"/>
  <c r="G40" i="94" s="1"/>
  <c r="A40" i="94"/>
  <c r="H39" i="94"/>
  <c r="F39" i="94"/>
  <c r="G39" i="94" s="1"/>
  <c r="A39" i="94"/>
  <c r="H38" i="94"/>
  <c r="F38" i="94"/>
  <c r="G38" i="94" s="1"/>
  <c r="A38" i="94"/>
  <c r="H37" i="94"/>
  <c r="F37" i="94"/>
  <c r="G37" i="94" s="1"/>
  <c r="A37" i="94"/>
  <c r="H36" i="94"/>
  <c r="G36" i="94"/>
  <c r="F36" i="94"/>
  <c r="A36" i="94"/>
  <c r="H35" i="94"/>
  <c r="F35" i="94"/>
  <c r="G35" i="94" s="1"/>
  <c r="A35" i="94"/>
  <c r="H34" i="94"/>
  <c r="G34" i="94"/>
  <c r="F34" i="94"/>
  <c r="A34" i="94"/>
  <c r="H33" i="94"/>
  <c r="F33" i="94"/>
  <c r="G33" i="94" s="1"/>
  <c r="A33" i="94"/>
  <c r="H32" i="94"/>
  <c r="F32" i="94"/>
  <c r="G32" i="94" s="1"/>
  <c r="A32" i="94"/>
  <c r="H31" i="94"/>
  <c r="F31" i="94"/>
  <c r="G31" i="94" s="1"/>
  <c r="A31" i="94"/>
  <c r="H30" i="94"/>
  <c r="F30" i="94"/>
  <c r="G30" i="94" s="1"/>
  <c r="A30" i="94"/>
  <c r="H29" i="94"/>
  <c r="F29" i="94"/>
  <c r="G29" i="94" s="1"/>
  <c r="A29" i="94"/>
  <c r="H28" i="94"/>
  <c r="G28" i="94"/>
  <c r="F28" i="94"/>
  <c r="H27" i="94"/>
  <c r="F27" i="94"/>
  <c r="G27" i="94" s="1"/>
  <c r="H26" i="94"/>
  <c r="F26" i="94"/>
  <c r="G26" i="94" s="1"/>
  <c r="H25" i="94"/>
  <c r="F25" i="94"/>
  <c r="G25" i="94" s="1"/>
  <c r="H24" i="94"/>
  <c r="F24" i="94"/>
  <c r="G24" i="94" s="1"/>
  <c r="H23" i="94"/>
  <c r="F23" i="94"/>
  <c r="G23" i="94" s="1"/>
  <c r="H22" i="94"/>
  <c r="F22" i="94"/>
  <c r="G22" i="94" s="1"/>
  <c r="H21" i="94"/>
  <c r="F21" i="94"/>
  <c r="G21" i="94" s="1"/>
  <c r="H20" i="94"/>
  <c r="F20" i="94"/>
  <c r="G20" i="94" s="1"/>
  <c r="L19" i="94"/>
  <c r="G19" i="123" s="1"/>
  <c r="H19" i="94"/>
  <c r="F19" i="94"/>
  <c r="G19" i="94" s="1"/>
  <c r="K18" i="94"/>
  <c r="H18" i="94"/>
  <c r="G18" i="94"/>
  <c r="F18" i="94"/>
  <c r="H17" i="94"/>
  <c r="F17" i="94"/>
  <c r="G17" i="94" s="1"/>
  <c r="H16" i="94"/>
  <c r="F16" i="94"/>
  <c r="G16" i="94" s="1"/>
  <c r="H15" i="94"/>
  <c r="F15" i="94"/>
  <c r="G15" i="94" s="1"/>
  <c r="H14" i="94"/>
  <c r="F14" i="94"/>
  <c r="G14" i="94" s="1"/>
  <c r="H13" i="94"/>
  <c r="L6" i="94" s="1"/>
  <c r="F13" i="94"/>
  <c r="J6" i="94" s="1"/>
  <c r="L12" i="94"/>
  <c r="K12" i="94"/>
  <c r="K19" i="94" s="1"/>
  <c r="D19" i="123" s="1"/>
  <c r="J12" i="94"/>
  <c r="J19" i="94" s="1"/>
  <c r="H12" i="94"/>
  <c r="F12" i="94"/>
  <c r="G12" i="94" s="1"/>
  <c r="L11" i="94"/>
  <c r="L18" i="94" s="1"/>
  <c r="K11" i="94"/>
  <c r="J11" i="94"/>
  <c r="J18" i="94" s="1"/>
  <c r="H11" i="94"/>
  <c r="F11" i="94"/>
  <c r="G11" i="94" s="1"/>
  <c r="L10" i="94"/>
  <c r="K10" i="94"/>
  <c r="J10" i="94"/>
  <c r="H10" i="94"/>
  <c r="F10" i="94"/>
  <c r="G10" i="94" s="1"/>
  <c r="L9" i="94"/>
  <c r="J9" i="94"/>
  <c r="H9" i="94"/>
  <c r="F9" i="94"/>
  <c r="G9" i="94" s="1"/>
  <c r="L8" i="94"/>
  <c r="L21" i="94" s="1"/>
  <c r="K8" i="94"/>
  <c r="J8" i="94"/>
  <c r="J21" i="94" s="1"/>
  <c r="I19" i="123" s="1"/>
  <c r="H8" i="94"/>
  <c r="F8" i="94"/>
  <c r="J5" i="94" s="1"/>
  <c r="L7" i="94"/>
  <c r="K7" i="94"/>
  <c r="J7" i="94"/>
  <c r="H7" i="94"/>
  <c r="L5" i="94" s="1"/>
  <c r="F7" i="94"/>
  <c r="G7" i="94" s="1"/>
  <c r="H6" i="94"/>
  <c r="F6" i="94"/>
  <c r="G6" i="94" s="1"/>
  <c r="H5" i="94"/>
  <c r="F5" i="94"/>
  <c r="G5" i="94" s="1"/>
  <c r="H4" i="94"/>
  <c r="F4" i="94"/>
  <c r="G4" i="94" s="1"/>
  <c r="L3" i="94"/>
  <c r="L16" i="94" s="1"/>
  <c r="E19" i="123" s="1"/>
  <c r="K3" i="94"/>
  <c r="K16" i="94" s="1"/>
  <c r="B19" i="123" s="1"/>
  <c r="J3" i="94"/>
  <c r="J16" i="94" s="1"/>
  <c r="H3" i="94"/>
  <c r="L4" i="94" s="1"/>
  <c r="L17" i="94" s="1"/>
  <c r="F19" i="123" s="1"/>
  <c r="F3" i="94"/>
  <c r="J4" i="94" s="1"/>
  <c r="H42" i="93"/>
  <c r="F42" i="93"/>
  <c r="G42" i="93" s="1"/>
  <c r="A42" i="93"/>
  <c r="H41" i="93"/>
  <c r="G41" i="93"/>
  <c r="F41" i="93"/>
  <c r="H40" i="93"/>
  <c r="F40" i="93"/>
  <c r="G40" i="93" s="1"/>
  <c r="H39" i="93"/>
  <c r="G39" i="93"/>
  <c r="F39" i="93"/>
  <c r="H38" i="93"/>
  <c r="F38" i="93"/>
  <c r="G38" i="93" s="1"/>
  <c r="H37" i="93"/>
  <c r="F37" i="93"/>
  <c r="G37" i="93" s="1"/>
  <c r="H36" i="93"/>
  <c r="F36" i="93"/>
  <c r="G36" i="93" s="1"/>
  <c r="H35" i="93"/>
  <c r="F35" i="93"/>
  <c r="G35" i="93" s="1"/>
  <c r="H34" i="93"/>
  <c r="G34" i="93"/>
  <c r="F34" i="93"/>
  <c r="H33" i="93"/>
  <c r="L7" i="93" s="1"/>
  <c r="F33" i="93"/>
  <c r="J7" i="93" s="1"/>
  <c r="H32" i="93"/>
  <c r="F32" i="93"/>
  <c r="G32" i="93" s="1"/>
  <c r="H31" i="93"/>
  <c r="F31" i="93"/>
  <c r="G31" i="93" s="1"/>
  <c r="H30" i="93"/>
  <c r="F30" i="93"/>
  <c r="G30" i="93" s="1"/>
  <c r="H29" i="93"/>
  <c r="G29" i="93" s="1"/>
  <c r="F29" i="93"/>
  <c r="H28" i="93"/>
  <c r="F28" i="93"/>
  <c r="G28" i="93" s="1"/>
  <c r="H27" i="93"/>
  <c r="F27" i="93"/>
  <c r="G27" i="93" s="1"/>
  <c r="H26" i="93"/>
  <c r="F26" i="93"/>
  <c r="G26" i="93" s="1"/>
  <c r="H25" i="93"/>
  <c r="F25" i="93"/>
  <c r="G25" i="93" s="1"/>
  <c r="H24" i="93"/>
  <c r="F24" i="93"/>
  <c r="G24" i="93" s="1"/>
  <c r="H23" i="93"/>
  <c r="G23" i="93" s="1"/>
  <c r="F23" i="93"/>
  <c r="H22" i="93"/>
  <c r="F22" i="93"/>
  <c r="G22" i="93" s="1"/>
  <c r="H21" i="93"/>
  <c r="F21" i="93"/>
  <c r="G21" i="93" s="1"/>
  <c r="H20" i="93"/>
  <c r="G20" i="93" s="1"/>
  <c r="F20" i="93"/>
  <c r="K19" i="93"/>
  <c r="H19" i="93"/>
  <c r="F19" i="93"/>
  <c r="G19" i="93" s="1"/>
  <c r="H18" i="93"/>
  <c r="F18" i="93"/>
  <c r="G18" i="93" s="1"/>
  <c r="H17" i="93"/>
  <c r="G17" i="93"/>
  <c r="F17" i="93"/>
  <c r="H16" i="93"/>
  <c r="L6" i="93" s="1"/>
  <c r="F16" i="93"/>
  <c r="J6" i="93" s="1"/>
  <c r="H15" i="93"/>
  <c r="F15" i="93"/>
  <c r="G15" i="93" s="1"/>
  <c r="H14" i="93"/>
  <c r="F14" i="93"/>
  <c r="G14" i="93" s="1"/>
  <c r="H13" i="93"/>
  <c r="G13" i="93" s="1"/>
  <c r="F13" i="93"/>
  <c r="L12" i="93"/>
  <c r="L19" i="93" s="1"/>
  <c r="G18" i="123" s="1"/>
  <c r="K12" i="93"/>
  <c r="J12" i="93"/>
  <c r="J19" i="93" s="1"/>
  <c r="H12" i="93"/>
  <c r="F12" i="93"/>
  <c r="G12" i="93" s="1"/>
  <c r="L11" i="93"/>
  <c r="L18" i="93" s="1"/>
  <c r="K11" i="93"/>
  <c r="K18" i="93" s="1"/>
  <c r="J11" i="93"/>
  <c r="J18" i="93" s="1"/>
  <c r="H11" i="93"/>
  <c r="L9" i="93" s="1"/>
  <c r="F11" i="93"/>
  <c r="G11" i="93" s="1"/>
  <c r="L10" i="93"/>
  <c r="K10" i="93"/>
  <c r="J10" i="93"/>
  <c r="H10" i="93"/>
  <c r="L5" i="93" s="1"/>
  <c r="F10" i="93"/>
  <c r="H9" i="93"/>
  <c r="F9" i="93"/>
  <c r="G9" i="93" s="1"/>
  <c r="L8" i="93"/>
  <c r="L21" i="93" s="1"/>
  <c r="K8" i="93"/>
  <c r="J8" i="93"/>
  <c r="H8" i="93"/>
  <c r="G8" i="93"/>
  <c r="F8" i="93"/>
  <c r="H7" i="93"/>
  <c r="G7" i="93"/>
  <c r="F7" i="93"/>
  <c r="H6" i="93"/>
  <c r="F6" i="93"/>
  <c r="G6" i="93" s="1"/>
  <c r="J5" i="93"/>
  <c r="H5" i="93"/>
  <c r="L4" i="93" s="1"/>
  <c r="F5" i="93"/>
  <c r="G5" i="93" s="1"/>
  <c r="H4" i="93"/>
  <c r="F4" i="93"/>
  <c r="G4" i="93" s="1"/>
  <c r="L3" i="93"/>
  <c r="L16" i="93" s="1"/>
  <c r="E18" i="123" s="1"/>
  <c r="K3" i="93"/>
  <c r="K16" i="93" s="1"/>
  <c r="B18" i="123" s="1"/>
  <c r="J3" i="93"/>
  <c r="J16" i="93" s="1"/>
  <c r="H3" i="93"/>
  <c r="G3" i="93"/>
  <c r="F3" i="93"/>
  <c r="H42" i="92"/>
  <c r="F42" i="92"/>
  <c r="G42" i="92" s="1"/>
  <c r="A42" i="92"/>
  <c r="H41" i="92"/>
  <c r="F41" i="92"/>
  <c r="G41" i="92" s="1"/>
  <c r="A41" i="92"/>
  <c r="H40" i="92"/>
  <c r="F40" i="92"/>
  <c r="G40" i="92" s="1"/>
  <c r="A40" i="92"/>
  <c r="H39" i="92"/>
  <c r="F39" i="92"/>
  <c r="G39" i="92" s="1"/>
  <c r="A39" i="92"/>
  <c r="H38" i="92"/>
  <c r="F38" i="92"/>
  <c r="G38" i="92" s="1"/>
  <c r="A38" i="92"/>
  <c r="H37" i="92"/>
  <c r="F37" i="92"/>
  <c r="G37" i="92" s="1"/>
  <c r="A37" i="92"/>
  <c r="H36" i="92"/>
  <c r="F36" i="92"/>
  <c r="G36" i="92" s="1"/>
  <c r="A36" i="92"/>
  <c r="H35" i="92"/>
  <c r="F35" i="92"/>
  <c r="G35" i="92" s="1"/>
  <c r="A35" i="92"/>
  <c r="H34" i="92"/>
  <c r="F34" i="92"/>
  <c r="G34" i="92" s="1"/>
  <c r="A34" i="92"/>
  <c r="H33" i="92"/>
  <c r="F33" i="92"/>
  <c r="G33" i="92" s="1"/>
  <c r="A33" i="92"/>
  <c r="H32" i="92"/>
  <c r="F32" i="92"/>
  <c r="G32" i="92" s="1"/>
  <c r="A32" i="92"/>
  <c r="H31" i="92"/>
  <c r="F31" i="92"/>
  <c r="G31" i="92" s="1"/>
  <c r="A31" i="92"/>
  <c r="H30" i="92"/>
  <c r="F30" i="92"/>
  <c r="G30" i="92" s="1"/>
  <c r="A30" i="92"/>
  <c r="H29" i="92"/>
  <c r="F29" i="92"/>
  <c r="G29" i="92" s="1"/>
  <c r="A29" i="92"/>
  <c r="H28" i="92"/>
  <c r="F28" i="92"/>
  <c r="G28" i="92" s="1"/>
  <c r="A28" i="92"/>
  <c r="H27" i="92"/>
  <c r="L7" i="92" s="1"/>
  <c r="F27" i="92"/>
  <c r="G27" i="92" s="1"/>
  <c r="H26" i="92"/>
  <c r="G26" i="92"/>
  <c r="F26" i="92"/>
  <c r="H25" i="92"/>
  <c r="L10" i="92" s="1"/>
  <c r="F25" i="92"/>
  <c r="G25" i="92" s="1"/>
  <c r="K10" i="92" s="1"/>
  <c r="H24" i="92"/>
  <c r="G24" i="92"/>
  <c r="F24" i="92"/>
  <c r="H23" i="92"/>
  <c r="F23" i="92"/>
  <c r="G23" i="92" s="1"/>
  <c r="H22" i="92"/>
  <c r="F22" i="92"/>
  <c r="G22" i="92" s="1"/>
  <c r="H21" i="92"/>
  <c r="F21" i="92"/>
  <c r="G21" i="92" s="1"/>
  <c r="H20" i="92"/>
  <c r="L9" i="92" s="1"/>
  <c r="F20" i="92"/>
  <c r="J9" i="92" s="1"/>
  <c r="H19" i="92"/>
  <c r="F19" i="92"/>
  <c r="G19" i="92" s="1"/>
  <c r="J18" i="92"/>
  <c r="H18" i="92"/>
  <c r="G18" i="92"/>
  <c r="F18" i="92"/>
  <c r="H17" i="92"/>
  <c r="G17" i="92" s="1"/>
  <c r="F17" i="92"/>
  <c r="H16" i="92"/>
  <c r="G16" i="92"/>
  <c r="F16" i="92"/>
  <c r="H15" i="92"/>
  <c r="F15" i="92"/>
  <c r="G15" i="92" s="1"/>
  <c r="H14" i="92"/>
  <c r="F14" i="92"/>
  <c r="G14" i="92" s="1"/>
  <c r="H13" i="92"/>
  <c r="F13" i="92"/>
  <c r="G13" i="92" s="1"/>
  <c r="L12" i="92"/>
  <c r="L19" i="92" s="1"/>
  <c r="G17" i="123" s="1"/>
  <c r="K12" i="92"/>
  <c r="K19" i="92" s="1"/>
  <c r="D17" i="123" s="1"/>
  <c r="J12" i="92"/>
  <c r="J19" i="92" s="1"/>
  <c r="H12" i="92"/>
  <c r="F12" i="92"/>
  <c r="G12" i="92" s="1"/>
  <c r="L11" i="92"/>
  <c r="L18" i="92" s="1"/>
  <c r="K11" i="92"/>
  <c r="K18" i="92" s="1"/>
  <c r="J11" i="92"/>
  <c r="H11" i="92"/>
  <c r="F11" i="92"/>
  <c r="G11" i="92" s="1"/>
  <c r="J10" i="92"/>
  <c r="H10" i="92"/>
  <c r="F10" i="92"/>
  <c r="G10" i="92" s="1"/>
  <c r="H9" i="92"/>
  <c r="L5" i="92" s="1"/>
  <c r="F9" i="92"/>
  <c r="J5" i="92" s="1"/>
  <c r="L8" i="92"/>
  <c r="L21" i="92" s="1"/>
  <c r="K8" i="92"/>
  <c r="J8" i="92"/>
  <c r="J21" i="92" s="1"/>
  <c r="I17" i="123" s="1"/>
  <c r="H8" i="92"/>
  <c r="F8" i="92"/>
  <c r="G8" i="92" s="1"/>
  <c r="H7" i="92"/>
  <c r="F7" i="92"/>
  <c r="G7" i="92" s="1"/>
  <c r="L6" i="92"/>
  <c r="K6" i="92"/>
  <c r="J6" i="92"/>
  <c r="H6" i="92"/>
  <c r="F6" i="92"/>
  <c r="G6" i="92" s="1"/>
  <c r="H5" i="92"/>
  <c r="G5" i="92"/>
  <c r="F5" i="92"/>
  <c r="H4" i="92"/>
  <c r="F4" i="92"/>
  <c r="G4" i="92" s="1"/>
  <c r="L3" i="92"/>
  <c r="L16" i="92" s="1"/>
  <c r="E17" i="123" s="1"/>
  <c r="K3" i="92"/>
  <c r="K16" i="92" s="1"/>
  <c r="B17" i="123" s="1"/>
  <c r="J3" i="92"/>
  <c r="J16" i="92" s="1"/>
  <c r="H3" i="92"/>
  <c r="L4" i="92" s="1"/>
  <c r="L17" i="92" s="1"/>
  <c r="F17" i="123" s="1"/>
  <c r="G3" i="92"/>
  <c r="F3" i="92"/>
  <c r="H42" i="91"/>
  <c r="F42" i="91"/>
  <c r="G42" i="91" s="1"/>
  <c r="A42" i="91"/>
  <c r="H41" i="91"/>
  <c r="F41" i="91"/>
  <c r="G41" i="91" s="1"/>
  <c r="A41" i="91"/>
  <c r="H40" i="91"/>
  <c r="F40" i="91"/>
  <c r="G40" i="91" s="1"/>
  <c r="A40" i="91"/>
  <c r="H39" i="91"/>
  <c r="G39" i="91"/>
  <c r="F39" i="91"/>
  <c r="A39" i="91"/>
  <c r="H38" i="91"/>
  <c r="G38" i="91"/>
  <c r="F38" i="91"/>
  <c r="A38" i="91"/>
  <c r="H37" i="91"/>
  <c r="F37" i="91"/>
  <c r="G37" i="91" s="1"/>
  <c r="A37" i="91"/>
  <c r="H36" i="91"/>
  <c r="G36" i="91" s="1"/>
  <c r="F36" i="91"/>
  <c r="A36" i="91"/>
  <c r="H35" i="91"/>
  <c r="F35" i="91"/>
  <c r="G35" i="91" s="1"/>
  <c r="A35" i="91"/>
  <c r="H34" i="91"/>
  <c r="F34" i="91"/>
  <c r="G34" i="91" s="1"/>
  <c r="A34" i="91"/>
  <c r="H33" i="91"/>
  <c r="F33" i="91"/>
  <c r="G33" i="91" s="1"/>
  <c r="A33" i="91"/>
  <c r="H32" i="91"/>
  <c r="F32" i="91"/>
  <c r="G32" i="91" s="1"/>
  <c r="A32" i="91"/>
  <c r="H31" i="91"/>
  <c r="G31" i="91"/>
  <c r="F31" i="91"/>
  <c r="A31" i="91"/>
  <c r="H30" i="91"/>
  <c r="G30" i="91"/>
  <c r="F30" i="91"/>
  <c r="A30" i="91"/>
  <c r="H29" i="91"/>
  <c r="F29" i="91"/>
  <c r="G29" i="91" s="1"/>
  <c r="H28" i="91"/>
  <c r="G28" i="91" s="1"/>
  <c r="F28" i="91"/>
  <c r="H27" i="91"/>
  <c r="G27" i="91"/>
  <c r="F27" i="91"/>
  <c r="H26" i="91"/>
  <c r="F26" i="91"/>
  <c r="G26" i="91" s="1"/>
  <c r="H25" i="91"/>
  <c r="F25" i="91"/>
  <c r="G25" i="91" s="1"/>
  <c r="H24" i="91"/>
  <c r="F24" i="91"/>
  <c r="G24" i="91" s="1"/>
  <c r="H23" i="91"/>
  <c r="F23" i="91"/>
  <c r="G23" i="91" s="1"/>
  <c r="H22" i="91"/>
  <c r="F22" i="91"/>
  <c r="G22" i="91" s="1"/>
  <c r="L21" i="91"/>
  <c r="H21" i="91"/>
  <c r="F21" i="91"/>
  <c r="G21" i="91" s="1"/>
  <c r="H20" i="91"/>
  <c r="G20" i="91" s="1"/>
  <c r="F20" i="91"/>
  <c r="H19" i="91"/>
  <c r="F19" i="91"/>
  <c r="G19" i="91" s="1"/>
  <c r="H18" i="91"/>
  <c r="L10" i="91" s="1"/>
  <c r="F18" i="91"/>
  <c r="G18" i="91" s="1"/>
  <c r="K10" i="91" s="1"/>
  <c r="H17" i="91"/>
  <c r="F17" i="91"/>
  <c r="G17" i="91" s="1"/>
  <c r="K16" i="91"/>
  <c r="B16" i="123" s="1"/>
  <c r="J16" i="91"/>
  <c r="H16" i="91"/>
  <c r="F16" i="91"/>
  <c r="G16" i="91" s="1"/>
  <c r="H15" i="91"/>
  <c r="G15" i="91"/>
  <c r="F15" i="91"/>
  <c r="H14" i="91"/>
  <c r="F14" i="91"/>
  <c r="G14" i="91" s="1"/>
  <c r="H13" i="91"/>
  <c r="F13" i="91"/>
  <c r="G13" i="91" s="1"/>
  <c r="L12" i="91"/>
  <c r="L19" i="91" s="1"/>
  <c r="G16" i="123" s="1"/>
  <c r="K12" i="91"/>
  <c r="K19" i="91" s="1"/>
  <c r="D16" i="123" s="1"/>
  <c r="J12" i="91"/>
  <c r="J19" i="91" s="1"/>
  <c r="H12" i="91"/>
  <c r="G12" i="91"/>
  <c r="F12" i="91"/>
  <c r="L11" i="91"/>
  <c r="L18" i="91" s="1"/>
  <c r="K11" i="91"/>
  <c r="K18" i="91" s="1"/>
  <c r="J11" i="91"/>
  <c r="J18" i="91" s="1"/>
  <c r="H11" i="91"/>
  <c r="F11" i="91"/>
  <c r="G11" i="91" s="1"/>
  <c r="H10" i="91"/>
  <c r="F10" i="91"/>
  <c r="G10" i="91" s="1"/>
  <c r="L9" i="91"/>
  <c r="J9" i="91"/>
  <c r="H9" i="91"/>
  <c r="L5" i="91" s="1"/>
  <c r="L17" i="91" s="1"/>
  <c r="F16" i="123" s="1"/>
  <c r="G9" i="91"/>
  <c r="F9" i="91"/>
  <c r="L8" i="91"/>
  <c r="K8" i="91"/>
  <c r="J8" i="91"/>
  <c r="J21" i="91" s="1"/>
  <c r="I16" i="123" s="1"/>
  <c r="H8" i="91"/>
  <c r="G8" i="91"/>
  <c r="F8" i="91"/>
  <c r="L7" i="91"/>
  <c r="K7" i="91"/>
  <c r="J7" i="91"/>
  <c r="H7" i="91"/>
  <c r="G7" i="91" s="1"/>
  <c r="K9" i="91" s="1"/>
  <c r="K21" i="91" s="1"/>
  <c r="F7" i="91"/>
  <c r="H6" i="91"/>
  <c r="F6" i="91"/>
  <c r="G6" i="91" s="1"/>
  <c r="H5" i="91"/>
  <c r="F5" i="91"/>
  <c r="G5" i="91" s="1"/>
  <c r="L4" i="91"/>
  <c r="J4" i="91"/>
  <c r="H4" i="91"/>
  <c r="L6" i="91" s="1"/>
  <c r="F4" i="91"/>
  <c r="J6" i="91" s="1"/>
  <c r="L3" i="91"/>
  <c r="L16" i="91" s="1"/>
  <c r="E16" i="123" s="1"/>
  <c r="K3" i="91"/>
  <c r="J3" i="91"/>
  <c r="H3" i="91"/>
  <c r="G3" i="91" s="1"/>
  <c r="F3" i="91"/>
  <c r="J5" i="91" s="1"/>
  <c r="H42" i="89"/>
  <c r="F42" i="89"/>
  <c r="G42" i="89" s="1"/>
  <c r="A42" i="89"/>
  <c r="H41" i="89"/>
  <c r="F41" i="89"/>
  <c r="G41" i="89" s="1"/>
  <c r="A41" i="89"/>
  <c r="H40" i="89"/>
  <c r="F40" i="89"/>
  <c r="G40" i="89" s="1"/>
  <c r="A40" i="89"/>
  <c r="H39" i="89"/>
  <c r="F39" i="89"/>
  <c r="G39" i="89" s="1"/>
  <c r="A39" i="89"/>
  <c r="H38" i="89"/>
  <c r="G38" i="89"/>
  <c r="F38" i="89"/>
  <c r="A38" i="89"/>
  <c r="H37" i="89"/>
  <c r="F37" i="89"/>
  <c r="G37" i="89" s="1"/>
  <c r="A37" i="89"/>
  <c r="H36" i="89"/>
  <c r="F36" i="89"/>
  <c r="G36" i="89" s="1"/>
  <c r="A36" i="89"/>
  <c r="H35" i="89"/>
  <c r="F35" i="89"/>
  <c r="G35" i="89" s="1"/>
  <c r="A35" i="89"/>
  <c r="H34" i="89"/>
  <c r="F34" i="89"/>
  <c r="G34" i="89" s="1"/>
  <c r="A34" i="89"/>
  <c r="H33" i="89"/>
  <c r="F33" i="89"/>
  <c r="G33" i="89" s="1"/>
  <c r="A33" i="89"/>
  <c r="H32" i="89"/>
  <c r="F32" i="89"/>
  <c r="G32" i="89" s="1"/>
  <c r="H31" i="89"/>
  <c r="F31" i="89"/>
  <c r="G31" i="89" s="1"/>
  <c r="H30" i="89"/>
  <c r="G30" i="89"/>
  <c r="F30" i="89"/>
  <c r="H29" i="89"/>
  <c r="F29" i="89"/>
  <c r="G29" i="89" s="1"/>
  <c r="H28" i="89"/>
  <c r="F28" i="89"/>
  <c r="G28" i="89" s="1"/>
  <c r="H27" i="89"/>
  <c r="F27" i="89"/>
  <c r="G27" i="89" s="1"/>
  <c r="H26" i="89"/>
  <c r="F26" i="89"/>
  <c r="G26" i="89" s="1"/>
  <c r="H25" i="89"/>
  <c r="G25" i="89"/>
  <c r="F25" i="89"/>
  <c r="H24" i="89"/>
  <c r="F24" i="89"/>
  <c r="G24" i="89" s="1"/>
  <c r="H23" i="89"/>
  <c r="G23" i="89"/>
  <c r="F23" i="89"/>
  <c r="H22" i="89"/>
  <c r="G22" i="89"/>
  <c r="F22" i="89"/>
  <c r="H21" i="89"/>
  <c r="F21" i="89"/>
  <c r="G21" i="89" s="1"/>
  <c r="H20" i="89"/>
  <c r="L10" i="89" s="1"/>
  <c r="G20" i="89"/>
  <c r="K10" i="89" s="1"/>
  <c r="F20" i="89"/>
  <c r="J10" i="89" s="1"/>
  <c r="H19" i="89"/>
  <c r="F19" i="89"/>
  <c r="G19" i="89" s="1"/>
  <c r="H18" i="89"/>
  <c r="F18" i="89"/>
  <c r="G18" i="89" s="1"/>
  <c r="H17" i="89"/>
  <c r="F17" i="89"/>
  <c r="G17" i="89" s="1"/>
  <c r="H16" i="89"/>
  <c r="F16" i="89"/>
  <c r="G16" i="89" s="1"/>
  <c r="H15" i="89"/>
  <c r="F15" i="89"/>
  <c r="G15" i="89" s="1"/>
  <c r="H14" i="89"/>
  <c r="G14" i="89"/>
  <c r="F14" i="89"/>
  <c r="H13" i="89"/>
  <c r="F13" i="89"/>
  <c r="G13" i="89" s="1"/>
  <c r="L12" i="89"/>
  <c r="L19" i="89" s="1"/>
  <c r="G14" i="123" s="1"/>
  <c r="K12" i="89"/>
  <c r="K19" i="89" s="1"/>
  <c r="D14" i="123" s="1"/>
  <c r="J12" i="89"/>
  <c r="J19" i="89" s="1"/>
  <c r="H12" i="89"/>
  <c r="L9" i="89" s="1"/>
  <c r="F12" i="89"/>
  <c r="G12" i="89" s="1"/>
  <c r="L11" i="89"/>
  <c r="L18" i="89" s="1"/>
  <c r="K11" i="89"/>
  <c r="K18" i="89" s="1"/>
  <c r="J11" i="89"/>
  <c r="J18" i="89" s="1"/>
  <c r="H11" i="89"/>
  <c r="G11" i="89"/>
  <c r="F11" i="89"/>
  <c r="H10" i="89"/>
  <c r="G10" i="89"/>
  <c r="F10" i="89"/>
  <c r="H9" i="89"/>
  <c r="F9" i="89"/>
  <c r="G9" i="89" s="1"/>
  <c r="K9" i="89" s="1"/>
  <c r="L8" i="89"/>
  <c r="K8" i="89"/>
  <c r="J8" i="89"/>
  <c r="H8" i="89"/>
  <c r="F8" i="89"/>
  <c r="G8" i="89" s="1"/>
  <c r="L7" i="89"/>
  <c r="K7" i="89"/>
  <c r="J7" i="89"/>
  <c r="H7" i="89"/>
  <c r="F7" i="89"/>
  <c r="G7" i="89" s="1"/>
  <c r="L6" i="89"/>
  <c r="J6" i="89"/>
  <c r="H6" i="89"/>
  <c r="L4" i="89" s="1"/>
  <c r="G6" i="89"/>
  <c r="F6" i="89"/>
  <c r="H5" i="89"/>
  <c r="G5" i="89"/>
  <c r="F5" i="89"/>
  <c r="H4" i="89"/>
  <c r="G4" i="89" s="1"/>
  <c r="F4" i="89"/>
  <c r="L3" i="89"/>
  <c r="L16" i="89" s="1"/>
  <c r="E14" i="123" s="1"/>
  <c r="K3" i="89"/>
  <c r="K16" i="89" s="1"/>
  <c r="B14" i="123" s="1"/>
  <c r="J3" i="89"/>
  <c r="J16" i="89" s="1"/>
  <c r="H3" i="89"/>
  <c r="L5" i="89" s="1"/>
  <c r="F3" i="89"/>
  <c r="J5" i="89" s="1"/>
  <c r="H42" i="87"/>
  <c r="F42" i="87"/>
  <c r="G42" i="87" s="1"/>
  <c r="A42" i="87"/>
  <c r="H41" i="87"/>
  <c r="F41" i="87"/>
  <c r="G41" i="87" s="1"/>
  <c r="A41" i="87"/>
  <c r="H40" i="87"/>
  <c r="F40" i="87"/>
  <c r="G40" i="87" s="1"/>
  <c r="A40" i="87"/>
  <c r="H39" i="87"/>
  <c r="F39" i="87"/>
  <c r="G39" i="87" s="1"/>
  <c r="A39" i="87"/>
  <c r="H38" i="87"/>
  <c r="F38" i="87"/>
  <c r="G38" i="87" s="1"/>
  <c r="A38" i="87"/>
  <c r="H37" i="87"/>
  <c r="G37" i="87" s="1"/>
  <c r="F37" i="87"/>
  <c r="A37" i="87"/>
  <c r="H36" i="87"/>
  <c r="F36" i="87"/>
  <c r="G36" i="87" s="1"/>
  <c r="A36" i="87"/>
  <c r="H35" i="87"/>
  <c r="F35" i="87"/>
  <c r="G35" i="87" s="1"/>
  <c r="A35" i="87"/>
  <c r="H34" i="87"/>
  <c r="F34" i="87"/>
  <c r="G34" i="87" s="1"/>
  <c r="A34" i="87"/>
  <c r="H33" i="87"/>
  <c r="F33" i="87"/>
  <c r="G33" i="87" s="1"/>
  <c r="H32" i="87"/>
  <c r="F32" i="87"/>
  <c r="G32" i="87" s="1"/>
  <c r="H31" i="87"/>
  <c r="F31" i="87"/>
  <c r="G31" i="87" s="1"/>
  <c r="H30" i="87"/>
  <c r="G30" i="87"/>
  <c r="F30" i="87"/>
  <c r="H29" i="87"/>
  <c r="F29" i="87"/>
  <c r="G29" i="87" s="1"/>
  <c r="H28" i="87"/>
  <c r="G28" i="87"/>
  <c r="F28" i="87"/>
  <c r="H27" i="87"/>
  <c r="F27" i="87"/>
  <c r="G27" i="87" s="1"/>
  <c r="H26" i="87"/>
  <c r="F26" i="87"/>
  <c r="G26" i="87" s="1"/>
  <c r="H25" i="87"/>
  <c r="F25" i="87"/>
  <c r="G25" i="87" s="1"/>
  <c r="H24" i="87"/>
  <c r="F24" i="87"/>
  <c r="G24" i="87" s="1"/>
  <c r="H23" i="87"/>
  <c r="G23" i="87"/>
  <c r="F23" i="87"/>
  <c r="H22" i="87"/>
  <c r="F22" i="87"/>
  <c r="G22" i="87" s="1"/>
  <c r="H21" i="87"/>
  <c r="L7" i="87" s="1"/>
  <c r="F21" i="87"/>
  <c r="J7" i="87" s="1"/>
  <c r="H20" i="87"/>
  <c r="F20" i="87"/>
  <c r="G20" i="87" s="1"/>
  <c r="H19" i="87"/>
  <c r="F19" i="87"/>
  <c r="G19" i="87" s="1"/>
  <c r="L18" i="87"/>
  <c r="G12" i="123" s="1"/>
  <c r="H18" i="87"/>
  <c r="F18" i="87"/>
  <c r="G18" i="87" s="1"/>
  <c r="L17" i="87"/>
  <c r="K17" i="87"/>
  <c r="J17" i="87"/>
  <c r="H17" i="87"/>
  <c r="F17" i="87"/>
  <c r="G17" i="87" s="1"/>
  <c r="H16" i="87"/>
  <c r="F16" i="87"/>
  <c r="G16" i="87" s="1"/>
  <c r="H15" i="87"/>
  <c r="F15" i="87"/>
  <c r="G15" i="87" s="1"/>
  <c r="H14" i="87"/>
  <c r="G14" i="87"/>
  <c r="F14" i="87"/>
  <c r="H13" i="87"/>
  <c r="F13" i="87"/>
  <c r="G13" i="87" s="1"/>
  <c r="L12" i="87"/>
  <c r="K12" i="87"/>
  <c r="K18" i="87" s="1"/>
  <c r="D12" i="123" s="1"/>
  <c r="J12" i="87"/>
  <c r="J18" i="87" s="1"/>
  <c r="H12" i="87"/>
  <c r="F12" i="87"/>
  <c r="G12" i="87" s="1"/>
  <c r="L11" i="87"/>
  <c r="K11" i="87"/>
  <c r="J11" i="87"/>
  <c r="H11" i="87"/>
  <c r="F11" i="87"/>
  <c r="G11" i="87" s="1"/>
  <c r="L10" i="87"/>
  <c r="K10" i="87"/>
  <c r="J10" i="87"/>
  <c r="H10" i="87"/>
  <c r="G10" i="87"/>
  <c r="F10" i="87"/>
  <c r="L9" i="87"/>
  <c r="K9" i="87"/>
  <c r="J9" i="87"/>
  <c r="H9" i="87"/>
  <c r="L4" i="87" s="1"/>
  <c r="F9" i="87"/>
  <c r="G9" i="87" s="1"/>
  <c r="L8" i="87"/>
  <c r="L20" i="87" s="1"/>
  <c r="K8" i="87"/>
  <c r="K20" i="87" s="1"/>
  <c r="J8" i="87"/>
  <c r="J20" i="87" s="1"/>
  <c r="I12" i="123" s="1"/>
  <c r="H8" i="87"/>
  <c r="F8" i="87"/>
  <c r="G8" i="87" s="1"/>
  <c r="H7" i="87"/>
  <c r="G7" i="87"/>
  <c r="F7" i="87"/>
  <c r="H6" i="87"/>
  <c r="F6" i="87"/>
  <c r="G6" i="87" s="1"/>
  <c r="H5" i="87"/>
  <c r="F5" i="87"/>
  <c r="G5" i="87" s="1"/>
  <c r="K4" i="87" s="1"/>
  <c r="H4" i="87"/>
  <c r="L5" i="87" s="1"/>
  <c r="F4" i="87"/>
  <c r="J5" i="87" s="1"/>
  <c r="L3" i="87"/>
  <c r="L15" i="87" s="1"/>
  <c r="E12" i="123" s="1"/>
  <c r="K3" i="87"/>
  <c r="K15" i="87" s="1"/>
  <c r="B12" i="123" s="1"/>
  <c r="J3" i="87"/>
  <c r="J15" i="87" s="1"/>
  <c r="H3" i="87"/>
  <c r="L6" i="87" s="1"/>
  <c r="F3" i="87"/>
  <c r="J6" i="87" s="1"/>
  <c r="H42" i="86"/>
  <c r="F42" i="86"/>
  <c r="G42" i="86" s="1"/>
  <c r="A42" i="86"/>
  <c r="H41" i="86"/>
  <c r="G41" i="86"/>
  <c r="F41" i="86"/>
  <c r="A41" i="86"/>
  <c r="H40" i="86"/>
  <c r="G40" i="86"/>
  <c r="F40" i="86"/>
  <c r="A40" i="86"/>
  <c r="H39" i="86"/>
  <c r="G39" i="86" s="1"/>
  <c r="F39" i="86"/>
  <c r="A39" i="86"/>
  <c r="H38" i="86"/>
  <c r="F38" i="86"/>
  <c r="G38" i="86" s="1"/>
  <c r="A38" i="86"/>
  <c r="H37" i="86"/>
  <c r="F37" i="86"/>
  <c r="G37" i="86" s="1"/>
  <c r="A37" i="86"/>
  <c r="H36" i="86"/>
  <c r="G36" i="86" s="1"/>
  <c r="F36" i="86"/>
  <c r="A36" i="86"/>
  <c r="H35" i="86"/>
  <c r="F35" i="86"/>
  <c r="G35" i="86" s="1"/>
  <c r="A35" i="86"/>
  <c r="H34" i="86"/>
  <c r="F34" i="86"/>
  <c r="G34" i="86" s="1"/>
  <c r="A34" i="86"/>
  <c r="H33" i="86"/>
  <c r="G33" i="86"/>
  <c r="F33" i="86"/>
  <c r="A33" i="86"/>
  <c r="H32" i="86"/>
  <c r="G32" i="86"/>
  <c r="F32" i="86"/>
  <c r="A32" i="86"/>
  <c r="H31" i="86"/>
  <c r="G31" i="86" s="1"/>
  <c r="F31" i="86"/>
  <c r="H30" i="86"/>
  <c r="F30" i="86"/>
  <c r="G30" i="86" s="1"/>
  <c r="H29" i="86"/>
  <c r="F29" i="86"/>
  <c r="G29" i="86" s="1"/>
  <c r="H28" i="86"/>
  <c r="G28" i="86"/>
  <c r="F28" i="86"/>
  <c r="H27" i="86"/>
  <c r="G27" i="86" s="1"/>
  <c r="F27" i="86"/>
  <c r="H26" i="86"/>
  <c r="F26" i="86"/>
  <c r="G26" i="86" s="1"/>
  <c r="H25" i="86"/>
  <c r="F25" i="86"/>
  <c r="G25" i="86" s="1"/>
  <c r="K10" i="86" s="1"/>
  <c r="H24" i="86"/>
  <c r="F24" i="86"/>
  <c r="G24" i="86" s="1"/>
  <c r="H23" i="86"/>
  <c r="G23" i="86"/>
  <c r="F23" i="86"/>
  <c r="H22" i="86"/>
  <c r="F22" i="86"/>
  <c r="G22" i="86" s="1"/>
  <c r="J21" i="86"/>
  <c r="H21" i="86"/>
  <c r="F21" i="86"/>
  <c r="G21" i="86" s="1"/>
  <c r="H20" i="86"/>
  <c r="F20" i="86"/>
  <c r="G20" i="86" s="1"/>
  <c r="J19" i="86"/>
  <c r="H19" i="86"/>
  <c r="G19" i="86"/>
  <c r="F19" i="86"/>
  <c r="H18" i="86"/>
  <c r="F18" i="86"/>
  <c r="G18" i="86" s="1"/>
  <c r="H17" i="86"/>
  <c r="F17" i="86"/>
  <c r="G17" i="86" s="1"/>
  <c r="H16" i="86"/>
  <c r="F16" i="86"/>
  <c r="G16" i="86" s="1"/>
  <c r="H15" i="86"/>
  <c r="G15" i="86" s="1"/>
  <c r="F15" i="86"/>
  <c r="H14" i="86"/>
  <c r="F14" i="86"/>
  <c r="G14" i="86" s="1"/>
  <c r="H13" i="86"/>
  <c r="F13" i="86"/>
  <c r="G13" i="86" s="1"/>
  <c r="L12" i="86"/>
  <c r="L19" i="86" s="1"/>
  <c r="G11" i="123" s="1"/>
  <c r="K12" i="86"/>
  <c r="K19" i="86" s="1"/>
  <c r="D11" i="123" s="1"/>
  <c r="J12" i="86"/>
  <c r="H12" i="86"/>
  <c r="G12" i="86" s="1"/>
  <c r="F12" i="86"/>
  <c r="L11" i="86"/>
  <c r="L18" i="86" s="1"/>
  <c r="K11" i="86"/>
  <c r="K18" i="86" s="1"/>
  <c r="J11" i="86"/>
  <c r="J18" i="86" s="1"/>
  <c r="H11" i="86"/>
  <c r="F11" i="86"/>
  <c r="G11" i="86" s="1"/>
  <c r="L10" i="86"/>
  <c r="L17" i="86" s="1"/>
  <c r="F11" i="123" s="1"/>
  <c r="J10" i="86"/>
  <c r="J17" i="86" s="1"/>
  <c r="H10" i="86"/>
  <c r="G10" i="86"/>
  <c r="F10" i="86"/>
  <c r="L9" i="86"/>
  <c r="K9" i="86"/>
  <c r="J9" i="86"/>
  <c r="H9" i="86"/>
  <c r="F9" i="86"/>
  <c r="G9" i="86" s="1"/>
  <c r="K5" i="86" s="1"/>
  <c r="K17" i="86" s="1"/>
  <c r="C11" i="123" s="1"/>
  <c r="L8" i="86"/>
  <c r="L21" i="86" s="1"/>
  <c r="K8" i="86"/>
  <c r="K21" i="86" s="1"/>
  <c r="J8" i="86"/>
  <c r="H8" i="86"/>
  <c r="F8" i="86"/>
  <c r="G8" i="86" s="1"/>
  <c r="L7" i="86"/>
  <c r="K7" i="86"/>
  <c r="J7" i="86"/>
  <c r="H7" i="86"/>
  <c r="F7" i="86"/>
  <c r="G7" i="86" s="1"/>
  <c r="L6" i="86"/>
  <c r="K6" i="86"/>
  <c r="J6" i="86"/>
  <c r="H6" i="86"/>
  <c r="F6" i="86"/>
  <c r="G6" i="86" s="1"/>
  <c r="L5" i="86"/>
  <c r="J5" i="86"/>
  <c r="H5" i="86"/>
  <c r="G5" i="86"/>
  <c r="F5" i="86"/>
  <c r="L4" i="86"/>
  <c r="K4" i="86"/>
  <c r="J4" i="86"/>
  <c r="H4" i="86"/>
  <c r="G4" i="86"/>
  <c r="F4" i="86"/>
  <c r="H3" i="86"/>
  <c r="L3" i="86" s="1"/>
  <c r="L16" i="86" s="1"/>
  <c r="E11" i="123" s="1"/>
  <c r="F3" i="86"/>
  <c r="J3" i="86" s="1"/>
  <c r="J16" i="86" s="1"/>
  <c r="J20" i="86" s="1"/>
  <c r="H42" i="85"/>
  <c r="F42" i="85"/>
  <c r="G42" i="85" s="1"/>
  <c r="A42" i="85"/>
  <c r="H41" i="85"/>
  <c r="F41" i="85"/>
  <c r="G41" i="85" s="1"/>
  <c r="A41" i="85"/>
  <c r="H40" i="85"/>
  <c r="G40" i="85"/>
  <c r="F40" i="85"/>
  <c r="A40" i="85"/>
  <c r="H39" i="85"/>
  <c r="F39" i="85"/>
  <c r="G39" i="85" s="1"/>
  <c r="A39" i="85"/>
  <c r="H38" i="85"/>
  <c r="F38" i="85"/>
  <c r="G38" i="85" s="1"/>
  <c r="A38" i="85"/>
  <c r="H37" i="85"/>
  <c r="F37" i="85"/>
  <c r="G37" i="85" s="1"/>
  <c r="A37" i="85"/>
  <c r="H36" i="85"/>
  <c r="F36" i="85"/>
  <c r="G36" i="85" s="1"/>
  <c r="A36" i="85"/>
  <c r="H35" i="85"/>
  <c r="F35" i="85"/>
  <c r="G35" i="85" s="1"/>
  <c r="A35" i="85"/>
  <c r="H34" i="85"/>
  <c r="F34" i="85"/>
  <c r="G34" i="85" s="1"/>
  <c r="A34" i="85"/>
  <c r="H33" i="85"/>
  <c r="F33" i="85"/>
  <c r="G33" i="85" s="1"/>
  <c r="A33" i="85"/>
  <c r="H32" i="85"/>
  <c r="G32" i="85"/>
  <c r="F32" i="85"/>
  <c r="A32" i="85"/>
  <c r="H31" i="85"/>
  <c r="F31" i="85"/>
  <c r="G31" i="85" s="1"/>
  <c r="A31" i="85"/>
  <c r="H30" i="85"/>
  <c r="F30" i="85"/>
  <c r="G30" i="85" s="1"/>
  <c r="A30" i="85"/>
  <c r="H29" i="85"/>
  <c r="F29" i="85"/>
  <c r="G29" i="85" s="1"/>
  <c r="A29" i="85"/>
  <c r="H28" i="85"/>
  <c r="F28" i="85"/>
  <c r="G28" i="85" s="1"/>
  <c r="H27" i="85"/>
  <c r="G27" i="85" s="1"/>
  <c r="F27" i="85"/>
  <c r="H26" i="85"/>
  <c r="G26" i="85"/>
  <c r="F26" i="85"/>
  <c r="H25" i="85"/>
  <c r="G25" i="85"/>
  <c r="F25" i="85"/>
  <c r="H24" i="85"/>
  <c r="L6" i="85" s="1"/>
  <c r="F24" i="85"/>
  <c r="G24" i="85" s="1"/>
  <c r="K6" i="85" s="1"/>
  <c r="H23" i="85"/>
  <c r="F23" i="85"/>
  <c r="G23" i="85" s="1"/>
  <c r="H22" i="85"/>
  <c r="F22" i="85"/>
  <c r="G22" i="85" s="1"/>
  <c r="H21" i="85"/>
  <c r="F21" i="85"/>
  <c r="G21" i="85" s="1"/>
  <c r="H20" i="85"/>
  <c r="L10" i="85" s="1"/>
  <c r="F20" i="85"/>
  <c r="G20" i="85" s="1"/>
  <c r="K10" i="85" s="1"/>
  <c r="H19" i="85"/>
  <c r="G19" i="85" s="1"/>
  <c r="F19" i="85"/>
  <c r="J18" i="85"/>
  <c r="H18" i="85"/>
  <c r="F18" i="85"/>
  <c r="G18" i="85" s="1"/>
  <c r="H17" i="85"/>
  <c r="F17" i="85"/>
  <c r="G17" i="85" s="1"/>
  <c r="L16" i="85"/>
  <c r="H16" i="85"/>
  <c r="F16" i="85"/>
  <c r="G16" i="85" s="1"/>
  <c r="H15" i="85"/>
  <c r="L5" i="85" s="1"/>
  <c r="F15" i="85"/>
  <c r="J5" i="85" s="1"/>
  <c r="H14" i="85"/>
  <c r="F14" i="85"/>
  <c r="G14" i="85" s="1"/>
  <c r="H13" i="85"/>
  <c r="G13" i="85"/>
  <c r="F13" i="85"/>
  <c r="L12" i="85"/>
  <c r="L19" i="85" s="1"/>
  <c r="G10" i="123" s="1"/>
  <c r="K12" i="85"/>
  <c r="K19" i="85" s="1"/>
  <c r="D10" i="123" s="1"/>
  <c r="J12" i="85"/>
  <c r="J19" i="85" s="1"/>
  <c r="H12" i="85"/>
  <c r="G12" i="85" s="1"/>
  <c r="F12" i="85"/>
  <c r="L11" i="85"/>
  <c r="L18" i="85" s="1"/>
  <c r="K11" i="85"/>
  <c r="K18" i="85" s="1"/>
  <c r="J11" i="85"/>
  <c r="H11" i="85"/>
  <c r="G11" i="85"/>
  <c r="F11" i="85"/>
  <c r="J10" i="85"/>
  <c r="H10" i="85"/>
  <c r="F10" i="85"/>
  <c r="G10" i="85" s="1"/>
  <c r="L9" i="85"/>
  <c r="K9" i="85"/>
  <c r="J9" i="85"/>
  <c r="H9" i="85"/>
  <c r="F9" i="85"/>
  <c r="G9" i="85" s="1"/>
  <c r="L8" i="85"/>
  <c r="L21" i="85" s="1"/>
  <c r="K8" i="85"/>
  <c r="K21" i="85" s="1"/>
  <c r="J8" i="85"/>
  <c r="J21" i="85" s="1"/>
  <c r="I10" i="123" s="1"/>
  <c r="H8" i="85"/>
  <c r="L4" i="85" s="1"/>
  <c r="L17" i="85" s="1"/>
  <c r="F10" i="123" s="1"/>
  <c r="G8" i="85"/>
  <c r="F8" i="85"/>
  <c r="H7" i="85"/>
  <c r="G7" i="85"/>
  <c r="F7" i="85"/>
  <c r="H6" i="85"/>
  <c r="G6" i="85" s="1"/>
  <c r="F6" i="85"/>
  <c r="H5" i="85"/>
  <c r="L7" i="85" s="1"/>
  <c r="F5" i="85"/>
  <c r="J7" i="85" s="1"/>
  <c r="H4" i="85"/>
  <c r="F4" i="85"/>
  <c r="J4" i="85" s="1"/>
  <c r="L3" i="85"/>
  <c r="K3" i="85"/>
  <c r="K16" i="85" s="1"/>
  <c r="B10" i="123" s="1"/>
  <c r="J3" i="85"/>
  <c r="J16" i="85" s="1"/>
  <c r="H3" i="85"/>
  <c r="F3" i="85"/>
  <c r="G3" i="85" s="1"/>
  <c r="H42" i="88"/>
  <c r="F42" i="88"/>
  <c r="G42" i="88" s="1"/>
  <c r="A42" i="88"/>
  <c r="H41" i="88"/>
  <c r="F41" i="88"/>
  <c r="G41" i="88" s="1"/>
  <c r="A41" i="88"/>
  <c r="H40" i="88"/>
  <c r="G40" i="88" s="1"/>
  <c r="F40" i="88"/>
  <c r="A40" i="88"/>
  <c r="H39" i="88"/>
  <c r="F39" i="88"/>
  <c r="G39" i="88" s="1"/>
  <c r="A39" i="88"/>
  <c r="H38" i="88"/>
  <c r="F38" i="88"/>
  <c r="G38" i="88" s="1"/>
  <c r="A38" i="88"/>
  <c r="H37" i="88"/>
  <c r="F37" i="88"/>
  <c r="G37" i="88" s="1"/>
  <c r="A37" i="88"/>
  <c r="H36" i="88"/>
  <c r="F36" i="88"/>
  <c r="G36" i="88" s="1"/>
  <c r="A36" i="88"/>
  <c r="H35" i="88"/>
  <c r="F35" i="88"/>
  <c r="G35" i="88" s="1"/>
  <c r="A35" i="88"/>
  <c r="H34" i="88"/>
  <c r="F34" i="88"/>
  <c r="G34" i="88" s="1"/>
  <c r="A34" i="88"/>
  <c r="H33" i="88"/>
  <c r="F33" i="88"/>
  <c r="G33" i="88" s="1"/>
  <c r="A33" i="88"/>
  <c r="H32" i="88"/>
  <c r="G32" i="88" s="1"/>
  <c r="F32" i="88"/>
  <c r="A32" i="88"/>
  <c r="H31" i="88"/>
  <c r="F31" i="88"/>
  <c r="G31" i="88" s="1"/>
  <c r="A31" i="88"/>
  <c r="H30" i="88"/>
  <c r="F30" i="88"/>
  <c r="G30" i="88" s="1"/>
  <c r="A30" i="88"/>
  <c r="H29" i="88"/>
  <c r="F29" i="88"/>
  <c r="G29" i="88" s="1"/>
  <c r="A29" i="88"/>
  <c r="H28" i="88"/>
  <c r="F28" i="88"/>
  <c r="G28" i="88" s="1"/>
  <c r="A28" i="88"/>
  <c r="H27" i="88"/>
  <c r="F27" i="88"/>
  <c r="G27" i="88" s="1"/>
  <c r="A27" i="88"/>
  <c r="H26" i="88"/>
  <c r="F26" i="88"/>
  <c r="G26" i="88" s="1"/>
  <c r="A26" i="88"/>
  <c r="H25" i="88"/>
  <c r="F25" i="88"/>
  <c r="G25" i="88" s="1"/>
  <c r="A25" i="88"/>
  <c r="H24" i="88"/>
  <c r="G24" i="88" s="1"/>
  <c r="F24" i="88"/>
  <c r="A24" i="88"/>
  <c r="H23" i="88"/>
  <c r="F23" i="88"/>
  <c r="G23" i="88" s="1"/>
  <c r="H22" i="88"/>
  <c r="F22" i="88"/>
  <c r="G22" i="88" s="1"/>
  <c r="H21" i="88"/>
  <c r="F21" i="88"/>
  <c r="G21" i="88" s="1"/>
  <c r="H20" i="88"/>
  <c r="F20" i="88"/>
  <c r="G20" i="88" s="1"/>
  <c r="H19" i="88"/>
  <c r="F19" i="88"/>
  <c r="G19" i="88" s="1"/>
  <c r="L18" i="88"/>
  <c r="H18" i="88"/>
  <c r="F18" i="88"/>
  <c r="G18" i="88" s="1"/>
  <c r="H17" i="88"/>
  <c r="F17" i="88"/>
  <c r="G17" i="88" s="1"/>
  <c r="H16" i="88"/>
  <c r="F16" i="88"/>
  <c r="G16" i="88" s="1"/>
  <c r="H15" i="88"/>
  <c r="L9" i="88" s="1"/>
  <c r="F15" i="88"/>
  <c r="J9" i="88" s="1"/>
  <c r="H14" i="88"/>
  <c r="F14" i="88"/>
  <c r="G14" i="88" s="1"/>
  <c r="H13" i="88"/>
  <c r="F13" i="88"/>
  <c r="G13" i="88" s="1"/>
  <c r="L12" i="88"/>
  <c r="L19" i="88" s="1"/>
  <c r="G13" i="123" s="1"/>
  <c r="K12" i="88"/>
  <c r="K19" i="88" s="1"/>
  <c r="D13" i="123" s="1"/>
  <c r="J12" i="88"/>
  <c r="J19" i="88" s="1"/>
  <c r="H12" i="88"/>
  <c r="F12" i="88"/>
  <c r="G12" i="88" s="1"/>
  <c r="L11" i="88"/>
  <c r="K11" i="88"/>
  <c r="K18" i="88" s="1"/>
  <c r="J11" i="88"/>
  <c r="J18" i="88" s="1"/>
  <c r="H11" i="88"/>
  <c r="F11" i="88"/>
  <c r="G11" i="88" s="1"/>
  <c r="L10" i="88"/>
  <c r="K10" i="88"/>
  <c r="J10" i="88"/>
  <c r="H10" i="88"/>
  <c r="F10" i="88"/>
  <c r="G10" i="88" s="1"/>
  <c r="H9" i="88"/>
  <c r="L4" i="88" s="1"/>
  <c r="L17" i="88" s="1"/>
  <c r="F13" i="123" s="1"/>
  <c r="F9" i="88"/>
  <c r="G9" i="88" s="1"/>
  <c r="L8" i="88"/>
  <c r="L21" i="88" s="1"/>
  <c r="K8" i="88"/>
  <c r="J8" i="88"/>
  <c r="H8" i="88"/>
  <c r="F8" i="88"/>
  <c r="J4" i="88" s="1"/>
  <c r="L7" i="88"/>
  <c r="K7" i="88"/>
  <c r="J7" i="88"/>
  <c r="H7" i="88"/>
  <c r="L5" i="88" s="1"/>
  <c r="F7" i="88"/>
  <c r="J5" i="88" s="1"/>
  <c r="L6" i="88"/>
  <c r="H6" i="88"/>
  <c r="F6" i="88"/>
  <c r="J6" i="88" s="1"/>
  <c r="H5" i="88"/>
  <c r="F5" i="88"/>
  <c r="G5" i="88" s="1"/>
  <c r="H4" i="88"/>
  <c r="F4" i="88"/>
  <c r="G4" i="88" s="1"/>
  <c r="L3" i="88"/>
  <c r="L16" i="88" s="1"/>
  <c r="E13" i="123" s="1"/>
  <c r="K3" i="88"/>
  <c r="K16" i="88" s="1"/>
  <c r="B13" i="123" s="1"/>
  <c r="J3" i="88"/>
  <c r="J16" i="88" s="1"/>
  <c r="H3" i="88"/>
  <c r="G3" i="88"/>
  <c r="F3" i="88"/>
  <c r="H42" i="121"/>
  <c r="F42" i="121"/>
  <c r="G42" i="121" s="1"/>
  <c r="A42" i="121"/>
  <c r="H41" i="121"/>
  <c r="F41" i="121"/>
  <c r="G41" i="121" s="1"/>
  <c r="A41" i="121"/>
  <c r="H40" i="121"/>
  <c r="F40" i="121"/>
  <c r="G40" i="121" s="1"/>
  <c r="A40" i="121"/>
  <c r="H39" i="121"/>
  <c r="F39" i="121"/>
  <c r="G39" i="121" s="1"/>
  <c r="A39" i="121"/>
  <c r="H38" i="121"/>
  <c r="G38" i="121"/>
  <c r="F38" i="121"/>
  <c r="A38" i="121"/>
  <c r="H37" i="121"/>
  <c r="F37" i="121"/>
  <c r="G37" i="121" s="1"/>
  <c r="A37" i="121"/>
  <c r="H36" i="121"/>
  <c r="G36" i="121"/>
  <c r="F36" i="121"/>
  <c r="A36" i="121"/>
  <c r="H35" i="121"/>
  <c r="F35" i="121"/>
  <c r="G35" i="121" s="1"/>
  <c r="A35" i="121"/>
  <c r="H34" i="121"/>
  <c r="F34" i="121"/>
  <c r="G34" i="121" s="1"/>
  <c r="A34" i="121"/>
  <c r="H33" i="121"/>
  <c r="F33" i="121"/>
  <c r="G33" i="121" s="1"/>
  <c r="A33" i="121"/>
  <c r="H32" i="121"/>
  <c r="F32" i="121"/>
  <c r="G32" i="121" s="1"/>
  <c r="A32" i="121"/>
  <c r="H31" i="121"/>
  <c r="F31" i="121"/>
  <c r="G31" i="121" s="1"/>
  <c r="A31" i="121"/>
  <c r="H30" i="121"/>
  <c r="G30" i="121"/>
  <c r="F30" i="121"/>
  <c r="A30" i="121"/>
  <c r="H29" i="121"/>
  <c r="F29" i="121"/>
  <c r="G29" i="121" s="1"/>
  <c r="A29" i="121"/>
  <c r="H28" i="121"/>
  <c r="G28" i="121"/>
  <c r="F28" i="121"/>
  <c r="H27" i="121"/>
  <c r="F27" i="121"/>
  <c r="G27" i="121" s="1"/>
  <c r="H26" i="121"/>
  <c r="F26" i="121"/>
  <c r="G26" i="121" s="1"/>
  <c r="H25" i="121"/>
  <c r="F25" i="121"/>
  <c r="G25" i="121" s="1"/>
  <c r="H24" i="121"/>
  <c r="L6" i="121" s="1"/>
  <c r="F24" i="121"/>
  <c r="J6" i="121" s="1"/>
  <c r="H23" i="121"/>
  <c r="F23" i="121"/>
  <c r="G23" i="121" s="1"/>
  <c r="H22" i="121"/>
  <c r="G22" i="121"/>
  <c r="F22" i="121"/>
  <c r="H21" i="121"/>
  <c r="G21" i="121"/>
  <c r="F21" i="121"/>
  <c r="H20" i="121"/>
  <c r="F20" i="121"/>
  <c r="G20" i="121" s="1"/>
  <c r="L19" i="121"/>
  <c r="J19" i="121"/>
  <c r="H19" i="121"/>
  <c r="F19" i="121"/>
  <c r="G19" i="121" s="1"/>
  <c r="K18" i="121"/>
  <c r="H18" i="121"/>
  <c r="F18" i="121"/>
  <c r="G18" i="121" s="1"/>
  <c r="H17" i="121"/>
  <c r="L5" i="121" s="1"/>
  <c r="F17" i="121"/>
  <c r="G17" i="121" s="1"/>
  <c r="L16" i="121"/>
  <c r="K16" i="121"/>
  <c r="J16" i="121"/>
  <c r="H16" i="121"/>
  <c r="F16" i="121"/>
  <c r="G16" i="121" s="1"/>
  <c r="H15" i="121"/>
  <c r="F15" i="121"/>
  <c r="G15" i="121" s="1"/>
  <c r="H14" i="121"/>
  <c r="F14" i="121"/>
  <c r="G14" i="121" s="1"/>
  <c r="H13" i="121"/>
  <c r="F13" i="121"/>
  <c r="G13" i="121" s="1"/>
  <c r="L12" i="121"/>
  <c r="K12" i="121"/>
  <c r="K19" i="121" s="1"/>
  <c r="J12" i="121"/>
  <c r="H12" i="121"/>
  <c r="F12" i="121"/>
  <c r="G12" i="121" s="1"/>
  <c r="L11" i="121"/>
  <c r="L18" i="121" s="1"/>
  <c r="K11" i="121"/>
  <c r="J11" i="121"/>
  <c r="J18" i="121" s="1"/>
  <c r="H11" i="121"/>
  <c r="F11" i="121"/>
  <c r="G11" i="121" s="1"/>
  <c r="L10" i="121"/>
  <c r="K10" i="121"/>
  <c r="J10" i="121"/>
  <c r="H10" i="121"/>
  <c r="F10" i="121"/>
  <c r="G10" i="121" s="1"/>
  <c r="L9" i="121"/>
  <c r="K9" i="121"/>
  <c r="J9" i="121"/>
  <c r="H9" i="121"/>
  <c r="G9" i="121"/>
  <c r="F9" i="121"/>
  <c r="L8" i="121"/>
  <c r="L21" i="121" s="1"/>
  <c r="K8" i="121"/>
  <c r="K21" i="121" s="1"/>
  <c r="J8" i="121"/>
  <c r="J21" i="121" s="1"/>
  <c r="H8" i="121"/>
  <c r="F8" i="121"/>
  <c r="G8" i="121" s="1"/>
  <c r="H7" i="121"/>
  <c r="F7" i="121"/>
  <c r="G7" i="121" s="1"/>
  <c r="H6" i="121"/>
  <c r="F6" i="121"/>
  <c r="G6" i="121" s="1"/>
  <c r="H5" i="121"/>
  <c r="L7" i="121" s="1"/>
  <c r="F5" i="121"/>
  <c r="G5" i="121" s="1"/>
  <c r="K7" i="121" s="1"/>
  <c r="L4" i="121"/>
  <c r="J4" i="121"/>
  <c r="H4" i="121"/>
  <c r="F4" i="121"/>
  <c r="G4" i="121" s="1"/>
  <c r="L3" i="121"/>
  <c r="K3" i="121"/>
  <c r="J3" i="121"/>
  <c r="H3" i="121"/>
  <c r="G3" i="121"/>
  <c r="F3" i="121"/>
  <c r="H42" i="90"/>
  <c r="F42" i="90"/>
  <c r="G42" i="90" s="1"/>
  <c r="A42" i="90"/>
  <c r="H41" i="90"/>
  <c r="F41" i="90"/>
  <c r="G41" i="90" s="1"/>
  <c r="A41" i="90"/>
  <c r="H40" i="90"/>
  <c r="F40" i="90"/>
  <c r="G40" i="90" s="1"/>
  <c r="A40" i="90"/>
  <c r="H39" i="90"/>
  <c r="F39" i="90"/>
  <c r="G39" i="90" s="1"/>
  <c r="A39" i="90"/>
  <c r="H38" i="90"/>
  <c r="F38" i="90"/>
  <c r="G38" i="90" s="1"/>
  <c r="A38" i="90"/>
  <c r="H37" i="90"/>
  <c r="F37" i="90"/>
  <c r="G37" i="90" s="1"/>
  <c r="A37" i="90"/>
  <c r="H36" i="90"/>
  <c r="G36" i="90"/>
  <c r="F36" i="90"/>
  <c r="A36" i="90"/>
  <c r="H35" i="90"/>
  <c r="F35" i="90"/>
  <c r="G35" i="90" s="1"/>
  <c r="A35" i="90"/>
  <c r="H34" i="90"/>
  <c r="F34" i="90"/>
  <c r="G34" i="90" s="1"/>
  <c r="A34" i="90"/>
  <c r="H33" i="90"/>
  <c r="F33" i="90"/>
  <c r="G33" i="90" s="1"/>
  <c r="H32" i="90"/>
  <c r="F32" i="90"/>
  <c r="G32" i="90" s="1"/>
  <c r="H31" i="90"/>
  <c r="F31" i="90"/>
  <c r="G31" i="90" s="1"/>
  <c r="H30" i="90"/>
  <c r="F30" i="90"/>
  <c r="G30" i="90" s="1"/>
  <c r="H29" i="90"/>
  <c r="F29" i="90"/>
  <c r="G29" i="90" s="1"/>
  <c r="H28" i="90"/>
  <c r="F28" i="90"/>
  <c r="G28" i="90" s="1"/>
  <c r="H27" i="90"/>
  <c r="F27" i="90"/>
  <c r="G27" i="90" s="1"/>
  <c r="H26" i="90"/>
  <c r="F26" i="90"/>
  <c r="G26" i="90" s="1"/>
  <c r="H25" i="90"/>
  <c r="F25" i="90"/>
  <c r="G25" i="90" s="1"/>
  <c r="H24" i="90"/>
  <c r="G24" i="90" s="1"/>
  <c r="F24" i="90"/>
  <c r="H23" i="90"/>
  <c r="F23" i="90"/>
  <c r="G23" i="90" s="1"/>
  <c r="H22" i="90"/>
  <c r="F22" i="90"/>
  <c r="G22" i="90" s="1"/>
  <c r="H21" i="90"/>
  <c r="G21" i="90"/>
  <c r="F21" i="90"/>
  <c r="H20" i="90"/>
  <c r="F20" i="90"/>
  <c r="G20" i="90" s="1"/>
  <c r="H19" i="90"/>
  <c r="F19" i="90"/>
  <c r="G19" i="90" s="1"/>
  <c r="K18" i="90"/>
  <c r="H18" i="90"/>
  <c r="G18" i="90"/>
  <c r="F18" i="90"/>
  <c r="H17" i="90"/>
  <c r="G17" i="90"/>
  <c r="F17" i="90"/>
  <c r="H16" i="90"/>
  <c r="F16" i="90"/>
  <c r="G16" i="90" s="1"/>
  <c r="H15" i="90"/>
  <c r="L9" i="90" s="1"/>
  <c r="F15" i="90"/>
  <c r="J9" i="90" s="1"/>
  <c r="J21" i="90" s="1"/>
  <c r="I15" i="123" s="1"/>
  <c r="H14" i="90"/>
  <c r="F14" i="90"/>
  <c r="G14" i="90" s="1"/>
  <c r="H13" i="90"/>
  <c r="F13" i="90"/>
  <c r="G13" i="90" s="1"/>
  <c r="L12" i="90"/>
  <c r="L19" i="90" s="1"/>
  <c r="G15" i="123" s="1"/>
  <c r="K12" i="90"/>
  <c r="K19" i="90" s="1"/>
  <c r="D15" i="123" s="1"/>
  <c r="J12" i="90"/>
  <c r="J19" i="90" s="1"/>
  <c r="H12" i="90"/>
  <c r="F12" i="90"/>
  <c r="G12" i="90" s="1"/>
  <c r="L11" i="90"/>
  <c r="L18" i="90" s="1"/>
  <c r="K11" i="90"/>
  <c r="J11" i="90"/>
  <c r="J18" i="90" s="1"/>
  <c r="H11" i="90"/>
  <c r="F11" i="90"/>
  <c r="G11" i="90" s="1"/>
  <c r="L10" i="90"/>
  <c r="K10" i="90"/>
  <c r="J10" i="90"/>
  <c r="H10" i="90"/>
  <c r="F10" i="90"/>
  <c r="G10" i="90" s="1"/>
  <c r="H9" i="90"/>
  <c r="L5" i="90" s="1"/>
  <c r="F9" i="90"/>
  <c r="G9" i="90" s="1"/>
  <c r="L8" i="90"/>
  <c r="K8" i="90"/>
  <c r="J8" i="90"/>
  <c r="H8" i="90"/>
  <c r="F8" i="90"/>
  <c r="G8" i="90" s="1"/>
  <c r="L7" i="90"/>
  <c r="J7" i="90"/>
  <c r="H7" i="90"/>
  <c r="F7" i="90"/>
  <c r="G7" i="90" s="1"/>
  <c r="L6" i="90"/>
  <c r="J6" i="90"/>
  <c r="H6" i="90"/>
  <c r="F6" i="90"/>
  <c r="G6" i="90" s="1"/>
  <c r="H5" i="90"/>
  <c r="G5" i="90" s="1"/>
  <c r="F5" i="90"/>
  <c r="H4" i="90"/>
  <c r="G4" i="90"/>
  <c r="F4" i="90"/>
  <c r="L3" i="90"/>
  <c r="L16" i="90" s="1"/>
  <c r="E15" i="123" s="1"/>
  <c r="K3" i="90"/>
  <c r="K16" i="90" s="1"/>
  <c r="B15" i="123" s="1"/>
  <c r="J3" i="90"/>
  <c r="J16" i="90" s="1"/>
  <c r="H3" i="90"/>
  <c r="F3" i="90"/>
  <c r="G3" i="90" s="1"/>
  <c r="K7" i="90" s="1"/>
  <c r="H42" i="83"/>
  <c r="G42" i="83"/>
  <c r="F42" i="83"/>
  <c r="A42" i="83"/>
  <c r="H41" i="83"/>
  <c r="F41" i="83"/>
  <c r="G41" i="83" s="1"/>
  <c r="A41" i="83"/>
  <c r="H40" i="83"/>
  <c r="F40" i="83"/>
  <c r="G40" i="83" s="1"/>
  <c r="A40" i="83"/>
  <c r="H39" i="83"/>
  <c r="F39" i="83"/>
  <c r="G39" i="83" s="1"/>
  <c r="A39" i="83"/>
  <c r="H38" i="83"/>
  <c r="F38" i="83"/>
  <c r="G38" i="83" s="1"/>
  <c r="A38" i="83"/>
  <c r="H37" i="83"/>
  <c r="F37" i="83"/>
  <c r="G37" i="83" s="1"/>
  <c r="A37" i="83"/>
  <c r="H36" i="83"/>
  <c r="F36" i="83"/>
  <c r="G36" i="83" s="1"/>
  <c r="A36" i="83"/>
  <c r="H35" i="83"/>
  <c r="F35" i="83"/>
  <c r="G35" i="83" s="1"/>
  <c r="A35" i="83"/>
  <c r="H34" i="83"/>
  <c r="G34" i="83"/>
  <c r="F34" i="83"/>
  <c r="A34" i="83"/>
  <c r="H33" i="83"/>
  <c r="F33" i="83"/>
  <c r="G33" i="83" s="1"/>
  <c r="A33" i="83"/>
  <c r="H32" i="83"/>
  <c r="F32" i="83"/>
  <c r="G32" i="83" s="1"/>
  <c r="A32" i="83"/>
  <c r="H31" i="83"/>
  <c r="F31" i="83"/>
  <c r="G31" i="83" s="1"/>
  <c r="H30" i="83"/>
  <c r="G30" i="83"/>
  <c r="F30" i="83"/>
  <c r="H29" i="83"/>
  <c r="G29" i="83" s="1"/>
  <c r="F29" i="83"/>
  <c r="H28" i="83"/>
  <c r="G28" i="83"/>
  <c r="F28" i="83"/>
  <c r="H27" i="83"/>
  <c r="F27" i="83"/>
  <c r="G27" i="83" s="1"/>
  <c r="H26" i="83"/>
  <c r="F26" i="83"/>
  <c r="G26" i="83" s="1"/>
  <c r="H25" i="83"/>
  <c r="F25" i="83"/>
  <c r="G25" i="83" s="1"/>
  <c r="H24" i="83"/>
  <c r="F24" i="83"/>
  <c r="G24" i="83" s="1"/>
  <c r="H23" i="83"/>
  <c r="F23" i="83"/>
  <c r="G23" i="83" s="1"/>
  <c r="H22" i="83"/>
  <c r="F22" i="83"/>
  <c r="G22" i="83" s="1"/>
  <c r="L21" i="83"/>
  <c r="K21" i="83"/>
  <c r="J21" i="83"/>
  <c r="I9" i="123" s="1"/>
  <c r="H21" i="83"/>
  <c r="G21" i="83"/>
  <c r="F21" i="83"/>
  <c r="H20" i="83"/>
  <c r="G20" i="83"/>
  <c r="F20" i="83"/>
  <c r="H19" i="83"/>
  <c r="G19" i="83"/>
  <c r="F19" i="83"/>
  <c r="L18" i="83"/>
  <c r="H18" i="83"/>
  <c r="F18" i="83"/>
  <c r="G18" i="83" s="1"/>
  <c r="H17" i="83"/>
  <c r="L7" i="83" s="1"/>
  <c r="F17" i="83"/>
  <c r="J7" i="83" s="1"/>
  <c r="J16" i="83"/>
  <c r="H16" i="83"/>
  <c r="F16" i="83"/>
  <c r="G16" i="83" s="1"/>
  <c r="H15" i="83"/>
  <c r="L4" i="83" s="1"/>
  <c r="F15" i="83"/>
  <c r="G15" i="83" s="1"/>
  <c r="H14" i="83"/>
  <c r="G14" i="83"/>
  <c r="F14" i="83"/>
  <c r="H13" i="83"/>
  <c r="G13" i="83" s="1"/>
  <c r="F13" i="83"/>
  <c r="L12" i="83"/>
  <c r="L19" i="83" s="1"/>
  <c r="G9" i="123" s="1"/>
  <c r="K12" i="83"/>
  <c r="K19" i="83" s="1"/>
  <c r="D9" i="123" s="1"/>
  <c r="J12" i="83"/>
  <c r="J19" i="83" s="1"/>
  <c r="H12" i="83"/>
  <c r="F12" i="83"/>
  <c r="G12" i="83" s="1"/>
  <c r="L11" i="83"/>
  <c r="K11" i="83"/>
  <c r="K18" i="83" s="1"/>
  <c r="J11" i="83"/>
  <c r="J18" i="83" s="1"/>
  <c r="H11" i="83"/>
  <c r="F11" i="83"/>
  <c r="G11" i="83" s="1"/>
  <c r="L10" i="83"/>
  <c r="H10" i="83"/>
  <c r="F10" i="83"/>
  <c r="G10" i="83" s="1"/>
  <c r="L9" i="83"/>
  <c r="K9" i="83"/>
  <c r="J9" i="83"/>
  <c r="H9" i="83"/>
  <c r="L5" i="83" s="1"/>
  <c r="F9" i="83"/>
  <c r="G9" i="83" s="1"/>
  <c r="L8" i="83"/>
  <c r="K8" i="83"/>
  <c r="J8" i="83"/>
  <c r="H8" i="83"/>
  <c r="F8" i="83"/>
  <c r="G8" i="83" s="1"/>
  <c r="H7" i="83"/>
  <c r="F7" i="83"/>
  <c r="G7" i="83" s="1"/>
  <c r="K5" i="83" s="1"/>
  <c r="L6" i="83"/>
  <c r="K6" i="83"/>
  <c r="J6" i="83"/>
  <c r="H6" i="83"/>
  <c r="F6" i="83"/>
  <c r="G6" i="83" s="1"/>
  <c r="H5" i="83"/>
  <c r="F5" i="83"/>
  <c r="J10" i="83" s="1"/>
  <c r="H4" i="83"/>
  <c r="F4" i="83"/>
  <c r="G4" i="83" s="1"/>
  <c r="L3" i="83"/>
  <c r="L16" i="83" s="1"/>
  <c r="E9" i="123" s="1"/>
  <c r="K3" i="83"/>
  <c r="K16" i="83" s="1"/>
  <c r="B9" i="123" s="1"/>
  <c r="J3" i="83"/>
  <c r="H3" i="83"/>
  <c r="G3" i="83" s="1"/>
  <c r="F3" i="83"/>
  <c r="H42" i="82"/>
  <c r="G42" i="82"/>
  <c r="F42" i="82"/>
  <c r="A42" i="82"/>
  <c r="H41" i="82"/>
  <c r="F41" i="82"/>
  <c r="G41" i="82" s="1"/>
  <c r="A41" i="82"/>
  <c r="H40" i="82"/>
  <c r="F40" i="82"/>
  <c r="G40" i="82" s="1"/>
  <c r="A40" i="82"/>
  <c r="H39" i="82"/>
  <c r="F39" i="82"/>
  <c r="G39" i="82" s="1"/>
  <c r="A39" i="82"/>
  <c r="H38" i="82"/>
  <c r="F38" i="82"/>
  <c r="G38" i="82" s="1"/>
  <c r="A38" i="82"/>
  <c r="H37" i="82"/>
  <c r="F37" i="82"/>
  <c r="G37" i="82" s="1"/>
  <c r="A37" i="82"/>
  <c r="H36" i="82"/>
  <c r="F36" i="82"/>
  <c r="G36" i="82" s="1"/>
  <c r="A36" i="82"/>
  <c r="H35" i="82"/>
  <c r="G35" i="82"/>
  <c r="F35" i="82"/>
  <c r="A35" i="82"/>
  <c r="H34" i="82"/>
  <c r="G34" i="82"/>
  <c r="F34" i="82"/>
  <c r="A34" i="82"/>
  <c r="H33" i="82"/>
  <c r="F33" i="82"/>
  <c r="G33" i="82" s="1"/>
  <c r="A33" i="82"/>
  <c r="H32" i="82"/>
  <c r="F32" i="82"/>
  <c r="G32" i="82" s="1"/>
  <c r="A32" i="82"/>
  <c r="H31" i="82"/>
  <c r="F31" i="82"/>
  <c r="G31" i="82" s="1"/>
  <c r="A31" i="82"/>
  <c r="H30" i="82"/>
  <c r="F30" i="82"/>
  <c r="G30" i="82" s="1"/>
  <c r="A30" i="82"/>
  <c r="H29" i="82"/>
  <c r="F29" i="82"/>
  <c r="G29" i="82" s="1"/>
  <c r="A29" i="82"/>
  <c r="H28" i="82"/>
  <c r="F28" i="82"/>
  <c r="G28" i="82" s="1"/>
  <c r="A28" i="82"/>
  <c r="H27" i="82"/>
  <c r="L7" i="82" s="1"/>
  <c r="G27" i="82"/>
  <c r="F27" i="82"/>
  <c r="H26" i="82"/>
  <c r="F26" i="82"/>
  <c r="G26" i="82" s="1"/>
  <c r="K7" i="82" s="1"/>
  <c r="H25" i="82"/>
  <c r="G25" i="82"/>
  <c r="F25" i="82"/>
  <c r="H24" i="82"/>
  <c r="F24" i="82"/>
  <c r="G24" i="82" s="1"/>
  <c r="H23" i="82"/>
  <c r="F23" i="82"/>
  <c r="G23" i="82" s="1"/>
  <c r="H22" i="82"/>
  <c r="F22" i="82"/>
  <c r="G22" i="82" s="1"/>
  <c r="H21" i="82"/>
  <c r="F21" i="82"/>
  <c r="G21" i="82" s="1"/>
  <c r="H20" i="82"/>
  <c r="F20" i="82"/>
  <c r="G20" i="82" s="1"/>
  <c r="H19" i="82"/>
  <c r="F19" i="82"/>
  <c r="G19" i="82" s="1"/>
  <c r="H18" i="82"/>
  <c r="F18" i="82"/>
  <c r="G18" i="82" s="1"/>
  <c r="H17" i="82"/>
  <c r="F17" i="82"/>
  <c r="G17" i="82" s="1"/>
  <c r="L16" i="82"/>
  <c r="E8" i="123" s="1"/>
  <c r="J16" i="82"/>
  <c r="H16" i="82"/>
  <c r="G16" i="82"/>
  <c r="F16" i="82"/>
  <c r="H15" i="82"/>
  <c r="F15" i="82"/>
  <c r="G15" i="82" s="1"/>
  <c r="H14" i="82"/>
  <c r="F14" i="82"/>
  <c r="G14" i="82" s="1"/>
  <c r="H13" i="82"/>
  <c r="F13" i="82"/>
  <c r="G13" i="82" s="1"/>
  <c r="L12" i="82"/>
  <c r="L19" i="82" s="1"/>
  <c r="G8" i="123" s="1"/>
  <c r="K12" i="82"/>
  <c r="K19" i="82" s="1"/>
  <c r="D8" i="123" s="1"/>
  <c r="J12" i="82"/>
  <c r="J19" i="82" s="1"/>
  <c r="H12" i="82"/>
  <c r="G12" i="82"/>
  <c r="F12" i="82"/>
  <c r="L11" i="82"/>
  <c r="L18" i="82" s="1"/>
  <c r="K11" i="82"/>
  <c r="K18" i="82" s="1"/>
  <c r="J11" i="82"/>
  <c r="J18" i="82" s="1"/>
  <c r="H11" i="82"/>
  <c r="G11" i="82"/>
  <c r="F11" i="82"/>
  <c r="L10" i="82"/>
  <c r="K10" i="82"/>
  <c r="J10" i="82"/>
  <c r="H10" i="82"/>
  <c r="F10" i="82"/>
  <c r="G10" i="82" s="1"/>
  <c r="H9" i="82"/>
  <c r="F9" i="82"/>
  <c r="G9" i="82" s="1"/>
  <c r="L8" i="82"/>
  <c r="K8" i="82"/>
  <c r="J8" i="82"/>
  <c r="H8" i="82"/>
  <c r="F8" i="82"/>
  <c r="G8" i="82" s="1"/>
  <c r="J7" i="82"/>
  <c r="H7" i="82"/>
  <c r="L4" i="82" s="1"/>
  <c r="F7" i="82"/>
  <c r="G7" i="82" s="1"/>
  <c r="L6" i="82"/>
  <c r="K6" i="82"/>
  <c r="J6" i="82"/>
  <c r="H6" i="82"/>
  <c r="G6" i="82"/>
  <c r="F6" i="82"/>
  <c r="H5" i="82"/>
  <c r="F5" i="82"/>
  <c r="G5" i="82" s="1"/>
  <c r="H4" i="82"/>
  <c r="L5" i="82" s="1"/>
  <c r="F4" i="82"/>
  <c r="J5" i="82" s="1"/>
  <c r="L3" i="82"/>
  <c r="K3" i="82"/>
  <c r="K16" i="82" s="1"/>
  <c r="B8" i="123" s="1"/>
  <c r="J3" i="82"/>
  <c r="H3" i="82"/>
  <c r="L9" i="82" s="1"/>
  <c r="L21" i="82" s="1"/>
  <c r="F3" i="82"/>
  <c r="J9" i="82" s="1"/>
  <c r="H42" i="80"/>
  <c r="F42" i="80"/>
  <c r="G42" i="80" s="1"/>
  <c r="A42" i="80"/>
  <c r="H41" i="80"/>
  <c r="F41" i="80"/>
  <c r="G41" i="80" s="1"/>
  <c r="A41" i="80"/>
  <c r="H40" i="80"/>
  <c r="F40" i="80"/>
  <c r="G40" i="80" s="1"/>
  <c r="A40" i="80"/>
  <c r="H39" i="80"/>
  <c r="F39" i="80"/>
  <c r="G39" i="80" s="1"/>
  <c r="A39" i="80"/>
  <c r="H38" i="80"/>
  <c r="G38" i="80"/>
  <c r="F38" i="80"/>
  <c r="A38" i="80"/>
  <c r="H37" i="80"/>
  <c r="F37" i="80"/>
  <c r="G37" i="80" s="1"/>
  <c r="A37" i="80"/>
  <c r="H36" i="80"/>
  <c r="F36" i="80"/>
  <c r="G36" i="80" s="1"/>
  <c r="A36" i="80"/>
  <c r="H35" i="80"/>
  <c r="G35" i="80"/>
  <c r="F35" i="80"/>
  <c r="A35" i="80"/>
  <c r="H34" i="80"/>
  <c r="F34" i="80"/>
  <c r="G34" i="80" s="1"/>
  <c r="H33" i="80"/>
  <c r="F33" i="80"/>
  <c r="G33" i="80" s="1"/>
  <c r="H32" i="80"/>
  <c r="F32" i="80"/>
  <c r="G32" i="80" s="1"/>
  <c r="H31" i="80"/>
  <c r="G31" i="80"/>
  <c r="F31" i="80"/>
  <c r="H30" i="80"/>
  <c r="F30" i="80"/>
  <c r="G30" i="80" s="1"/>
  <c r="H29" i="80"/>
  <c r="F29" i="80"/>
  <c r="G29" i="80" s="1"/>
  <c r="H28" i="80"/>
  <c r="F28" i="80"/>
  <c r="G28" i="80" s="1"/>
  <c r="K9" i="80" s="1"/>
  <c r="K21" i="80" s="1"/>
  <c r="H27" i="80"/>
  <c r="F27" i="80"/>
  <c r="G27" i="80" s="1"/>
  <c r="H26" i="80"/>
  <c r="F26" i="80"/>
  <c r="G26" i="80" s="1"/>
  <c r="H25" i="80"/>
  <c r="F25" i="80"/>
  <c r="G25" i="80" s="1"/>
  <c r="H24" i="80"/>
  <c r="F24" i="80"/>
  <c r="G24" i="80" s="1"/>
  <c r="H23" i="80"/>
  <c r="L7" i="80" s="1"/>
  <c r="F23" i="80"/>
  <c r="J7" i="80" s="1"/>
  <c r="H22" i="80"/>
  <c r="F22" i="80"/>
  <c r="G22" i="80" s="1"/>
  <c r="J21" i="80"/>
  <c r="I7" i="123" s="1"/>
  <c r="H21" i="80"/>
  <c r="F21" i="80"/>
  <c r="G21" i="80" s="1"/>
  <c r="H20" i="80"/>
  <c r="F20" i="80"/>
  <c r="G20" i="80" s="1"/>
  <c r="L19" i="80"/>
  <c r="H19" i="80"/>
  <c r="F19" i="80"/>
  <c r="G19" i="80" s="1"/>
  <c r="H18" i="80"/>
  <c r="F18" i="80"/>
  <c r="G18" i="80" s="1"/>
  <c r="H17" i="80"/>
  <c r="F17" i="80"/>
  <c r="G17" i="80" s="1"/>
  <c r="H16" i="80"/>
  <c r="L4" i="80" s="1"/>
  <c r="L17" i="80" s="1"/>
  <c r="F7" i="123" s="1"/>
  <c r="F16" i="80"/>
  <c r="J4" i="80" s="1"/>
  <c r="H15" i="80"/>
  <c r="G15" i="80"/>
  <c r="F15" i="80"/>
  <c r="H14" i="80"/>
  <c r="F14" i="80"/>
  <c r="G14" i="80" s="1"/>
  <c r="K6" i="80" s="1"/>
  <c r="H13" i="80"/>
  <c r="F13" i="80"/>
  <c r="G13" i="80" s="1"/>
  <c r="L12" i="80"/>
  <c r="K12" i="80"/>
  <c r="K19" i="80" s="1"/>
  <c r="D7" i="123" s="1"/>
  <c r="J12" i="80"/>
  <c r="J19" i="80" s="1"/>
  <c r="H12" i="80"/>
  <c r="F12" i="80"/>
  <c r="G12" i="80" s="1"/>
  <c r="L11" i="80"/>
  <c r="L18" i="80" s="1"/>
  <c r="K11" i="80"/>
  <c r="K18" i="80" s="1"/>
  <c r="J11" i="80"/>
  <c r="J18" i="80" s="1"/>
  <c r="H11" i="80"/>
  <c r="F11" i="80"/>
  <c r="G11" i="80" s="1"/>
  <c r="L10" i="80"/>
  <c r="K10" i="80"/>
  <c r="J10" i="80"/>
  <c r="H10" i="80"/>
  <c r="F10" i="80"/>
  <c r="G10" i="80" s="1"/>
  <c r="L9" i="80"/>
  <c r="J9" i="80"/>
  <c r="H9" i="80"/>
  <c r="F9" i="80"/>
  <c r="G9" i="80" s="1"/>
  <c r="L8" i="80"/>
  <c r="L21" i="80" s="1"/>
  <c r="K8" i="80"/>
  <c r="J8" i="80"/>
  <c r="H8" i="80"/>
  <c r="F8" i="80"/>
  <c r="G8" i="80" s="1"/>
  <c r="H7" i="80"/>
  <c r="G7" i="80"/>
  <c r="F7" i="80"/>
  <c r="L6" i="80"/>
  <c r="J6" i="80"/>
  <c r="H6" i="80"/>
  <c r="F6" i="80"/>
  <c r="G6" i="80" s="1"/>
  <c r="H5" i="80"/>
  <c r="F5" i="80"/>
  <c r="G5" i="80" s="1"/>
  <c r="H4" i="80"/>
  <c r="L5" i="80" s="1"/>
  <c r="F4" i="80"/>
  <c r="G4" i="80" s="1"/>
  <c r="L3" i="80"/>
  <c r="L16" i="80" s="1"/>
  <c r="E7" i="123" s="1"/>
  <c r="K3" i="80"/>
  <c r="K16" i="80" s="1"/>
  <c r="B7" i="123" s="1"/>
  <c r="J3" i="80"/>
  <c r="J16" i="80" s="1"/>
  <c r="H3" i="80"/>
  <c r="G3" i="80"/>
  <c r="F3" i="80"/>
  <c r="H42" i="79"/>
  <c r="F42" i="79"/>
  <c r="G42" i="79" s="1"/>
  <c r="A42" i="79"/>
  <c r="H41" i="79"/>
  <c r="G41" i="79"/>
  <c r="F41" i="79"/>
  <c r="A41" i="79"/>
  <c r="H40" i="79"/>
  <c r="F40" i="79"/>
  <c r="G40" i="79" s="1"/>
  <c r="A40" i="79"/>
  <c r="H39" i="79"/>
  <c r="F39" i="79"/>
  <c r="G39" i="79" s="1"/>
  <c r="A39" i="79"/>
  <c r="H38" i="79"/>
  <c r="G38" i="79"/>
  <c r="F38" i="79"/>
  <c r="A38" i="79"/>
  <c r="H37" i="79"/>
  <c r="F37" i="79"/>
  <c r="G37" i="79" s="1"/>
  <c r="A37" i="79"/>
  <c r="H36" i="79"/>
  <c r="F36" i="79"/>
  <c r="G36" i="79" s="1"/>
  <c r="A36" i="79"/>
  <c r="H35" i="79"/>
  <c r="F35" i="79"/>
  <c r="G35" i="79" s="1"/>
  <c r="A35" i="79"/>
  <c r="H34" i="79"/>
  <c r="F34" i="79"/>
  <c r="G34" i="79" s="1"/>
  <c r="A34" i="79"/>
  <c r="H33" i="79"/>
  <c r="G33" i="79"/>
  <c r="F33" i="79"/>
  <c r="A33" i="79"/>
  <c r="H32" i="79"/>
  <c r="F32" i="79"/>
  <c r="G32" i="79" s="1"/>
  <c r="A32" i="79"/>
  <c r="H31" i="79"/>
  <c r="F31" i="79"/>
  <c r="G31" i="79" s="1"/>
  <c r="H30" i="79"/>
  <c r="F30" i="79"/>
  <c r="G30" i="79" s="1"/>
  <c r="H29" i="79"/>
  <c r="F29" i="79"/>
  <c r="G29" i="79" s="1"/>
  <c r="H28" i="79"/>
  <c r="F28" i="79"/>
  <c r="G28" i="79" s="1"/>
  <c r="H27" i="79"/>
  <c r="F27" i="79"/>
  <c r="G27" i="79" s="1"/>
  <c r="H26" i="79"/>
  <c r="F26" i="79"/>
  <c r="G26" i="79" s="1"/>
  <c r="H25" i="79"/>
  <c r="F25" i="79"/>
  <c r="G25" i="79" s="1"/>
  <c r="H24" i="79"/>
  <c r="F24" i="79"/>
  <c r="G24" i="79" s="1"/>
  <c r="H23" i="79"/>
  <c r="G23" i="79"/>
  <c r="F23" i="79"/>
  <c r="H22" i="79"/>
  <c r="G22" i="79"/>
  <c r="F22" i="79"/>
  <c r="H21" i="79"/>
  <c r="F21" i="79"/>
  <c r="G21" i="79" s="1"/>
  <c r="H20" i="79"/>
  <c r="F20" i="79"/>
  <c r="G20" i="79" s="1"/>
  <c r="H19" i="79"/>
  <c r="F19" i="79"/>
  <c r="G19" i="79" s="1"/>
  <c r="H18" i="79"/>
  <c r="G18" i="79"/>
  <c r="F18" i="79"/>
  <c r="H17" i="79"/>
  <c r="F17" i="79"/>
  <c r="G17" i="79" s="1"/>
  <c r="H16" i="79"/>
  <c r="F16" i="79"/>
  <c r="G16" i="79" s="1"/>
  <c r="H15" i="79"/>
  <c r="F15" i="79"/>
  <c r="G15" i="79" s="1"/>
  <c r="H14" i="79"/>
  <c r="F14" i="79"/>
  <c r="G14" i="79" s="1"/>
  <c r="H13" i="79"/>
  <c r="L5" i="79" s="1"/>
  <c r="F13" i="79"/>
  <c r="J5" i="79" s="1"/>
  <c r="L12" i="79"/>
  <c r="L19" i="79" s="1"/>
  <c r="G6" i="123" s="1"/>
  <c r="K12" i="79"/>
  <c r="K19" i="79" s="1"/>
  <c r="D6" i="123" s="1"/>
  <c r="J12" i="79"/>
  <c r="J19" i="79" s="1"/>
  <c r="H12" i="79"/>
  <c r="F12" i="79"/>
  <c r="G12" i="79" s="1"/>
  <c r="L11" i="79"/>
  <c r="L18" i="79" s="1"/>
  <c r="K11" i="79"/>
  <c r="K18" i="79" s="1"/>
  <c r="J11" i="79"/>
  <c r="J18" i="79" s="1"/>
  <c r="H11" i="79"/>
  <c r="L7" i="79" s="1"/>
  <c r="F11" i="79"/>
  <c r="G11" i="79" s="1"/>
  <c r="K7" i="79" s="1"/>
  <c r="L10" i="79"/>
  <c r="K10" i="79"/>
  <c r="J10" i="79"/>
  <c r="H10" i="79"/>
  <c r="G10" i="79"/>
  <c r="F10" i="79"/>
  <c r="H9" i="79"/>
  <c r="F9" i="79"/>
  <c r="G9" i="79" s="1"/>
  <c r="L8" i="79"/>
  <c r="K8" i="79"/>
  <c r="J8" i="79"/>
  <c r="H8" i="79"/>
  <c r="G8" i="79"/>
  <c r="F8" i="79"/>
  <c r="J7" i="79"/>
  <c r="H7" i="79"/>
  <c r="L4" i="79" s="1"/>
  <c r="F7" i="79"/>
  <c r="G7" i="79" s="1"/>
  <c r="L6" i="79"/>
  <c r="K6" i="79"/>
  <c r="J6" i="79"/>
  <c r="H6" i="79"/>
  <c r="F6" i="79"/>
  <c r="G6" i="79" s="1"/>
  <c r="H5" i="79"/>
  <c r="F5" i="79"/>
  <c r="G5" i="79" s="1"/>
  <c r="H4" i="79"/>
  <c r="F4" i="79"/>
  <c r="G4" i="79" s="1"/>
  <c r="L3" i="79"/>
  <c r="L16" i="79" s="1"/>
  <c r="E6" i="123" s="1"/>
  <c r="K3" i="79"/>
  <c r="K16" i="79" s="1"/>
  <c r="B6" i="123" s="1"/>
  <c r="J3" i="79"/>
  <c r="J16" i="79" s="1"/>
  <c r="H3" i="79"/>
  <c r="L9" i="79" s="1"/>
  <c r="F3" i="79"/>
  <c r="G3" i="79" s="1"/>
  <c r="H42" i="57"/>
  <c r="F42" i="57"/>
  <c r="G42" i="57" s="1"/>
  <c r="A42" i="57"/>
  <c r="H41" i="57"/>
  <c r="F41" i="57"/>
  <c r="G41" i="57" s="1"/>
  <c r="A41" i="57"/>
  <c r="H40" i="57"/>
  <c r="F40" i="57"/>
  <c r="G40" i="57" s="1"/>
  <c r="A40" i="57"/>
  <c r="H39" i="57"/>
  <c r="F39" i="57"/>
  <c r="G39" i="57" s="1"/>
  <c r="A39" i="57"/>
  <c r="H38" i="57"/>
  <c r="F38" i="57"/>
  <c r="G38" i="57" s="1"/>
  <c r="A38" i="57"/>
  <c r="H37" i="57"/>
  <c r="F37" i="57"/>
  <c r="G37" i="57" s="1"/>
  <c r="A37" i="57"/>
  <c r="H36" i="57"/>
  <c r="G36" i="57"/>
  <c r="F36" i="57"/>
  <c r="A36" i="57"/>
  <c r="H35" i="57"/>
  <c r="F35" i="57"/>
  <c r="G35" i="57" s="1"/>
  <c r="A35" i="57"/>
  <c r="H34" i="57"/>
  <c r="F34" i="57"/>
  <c r="G34" i="57" s="1"/>
  <c r="A34" i="57"/>
  <c r="H33" i="57"/>
  <c r="F33" i="57"/>
  <c r="G33" i="57" s="1"/>
  <c r="A33" i="57"/>
  <c r="H32" i="57"/>
  <c r="F32" i="57"/>
  <c r="G32" i="57" s="1"/>
  <c r="A32" i="57"/>
  <c r="H31" i="57"/>
  <c r="F31" i="57"/>
  <c r="G31" i="57" s="1"/>
  <c r="H30" i="57"/>
  <c r="G30" i="57" s="1"/>
  <c r="F30" i="57"/>
  <c r="H29" i="57"/>
  <c r="F29" i="57"/>
  <c r="G29" i="57" s="1"/>
  <c r="H28" i="57"/>
  <c r="G28" i="57" s="1"/>
  <c r="K4" i="57" s="1"/>
  <c r="K17" i="57" s="1"/>
  <c r="C5" i="123" s="1"/>
  <c r="F28" i="57"/>
  <c r="H27" i="57"/>
  <c r="G27" i="57"/>
  <c r="F27" i="57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G20" i="57"/>
  <c r="F20" i="57"/>
  <c r="H19" i="57"/>
  <c r="F19" i="57"/>
  <c r="G19" i="57" s="1"/>
  <c r="H18" i="57"/>
  <c r="F18" i="57"/>
  <c r="G18" i="57" s="1"/>
  <c r="L17" i="57"/>
  <c r="F5" i="123" s="1"/>
  <c r="J17" i="57"/>
  <c r="H17" i="57"/>
  <c r="G17" i="57"/>
  <c r="F17" i="57"/>
  <c r="H16" i="57"/>
  <c r="F16" i="57"/>
  <c r="G16" i="57" s="1"/>
  <c r="H15" i="57"/>
  <c r="F15" i="57"/>
  <c r="J3" i="57" s="1"/>
  <c r="J16" i="57" s="1"/>
  <c r="J20" i="57" s="1"/>
  <c r="H14" i="57"/>
  <c r="G14" i="57" s="1"/>
  <c r="F14" i="57"/>
  <c r="H13" i="57"/>
  <c r="F13" i="57"/>
  <c r="G13" i="57" s="1"/>
  <c r="L12" i="57"/>
  <c r="L19" i="57" s="1"/>
  <c r="G5" i="123" s="1"/>
  <c r="K12" i="57"/>
  <c r="K19" i="57" s="1"/>
  <c r="D5" i="123" s="1"/>
  <c r="J12" i="57"/>
  <c r="J19" i="57" s="1"/>
  <c r="H12" i="57"/>
  <c r="G12" i="57"/>
  <c r="F12" i="57"/>
  <c r="L11" i="57"/>
  <c r="L18" i="57" s="1"/>
  <c r="K11" i="57"/>
  <c r="K18" i="57" s="1"/>
  <c r="J11" i="57"/>
  <c r="J18" i="57" s="1"/>
  <c r="H11" i="57"/>
  <c r="F11" i="57"/>
  <c r="G11" i="57" s="1"/>
  <c r="L10" i="57"/>
  <c r="K10" i="57"/>
  <c r="J10" i="57"/>
  <c r="H10" i="57"/>
  <c r="F10" i="57"/>
  <c r="G10" i="57" s="1"/>
  <c r="L9" i="57"/>
  <c r="K9" i="57"/>
  <c r="J9" i="57"/>
  <c r="H9" i="57"/>
  <c r="F9" i="57"/>
  <c r="G9" i="57" s="1"/>
  <c r="L8" i="57"/>
  <c r="L21" i="57" s="1"/>
  <c r="K8" i="57"/>
  <c r="K21" i="57" s="1"/>
  <c r="J8" i="57"/>
  <c r="J21" i="57" s="1"/>
  <c r="I5" i="123" s="1"/>
  <c r="H8" i="57"/>
  <c r="F8" i="57"/>
  <c r="G8" i="57" s="1"/>
  <c r="L7" i="57"/>
  <c r="K7" i="57"/>
  <c r="J7" i="57"/>
  <c r="H7" i="57"/>
  <c r="F7" i="57"/>
  <c r="G7" i="57" s="1"/>
  <c r="L6" i="57"/>
  <c r="K6" i="57"/>
  <c r="J6" i="57"/>
  <c r="H6" i="57"/>
  <c r="F6" i="57"/>
  <c r="G6" i="57" s="1"/>
  <c r="L5" i="57"/>
  <c r="K5" i="57"/>
  <c r="J5" i="57"/>
  <c r="H5" i="57"/>
  <c r="F5" i="57"/>
  <c r="G5" i="57" s="1"/>
  <c r="L4" i="57"/>
  <c r="J4" i="57"/>
  <c r="H4" i="57"/>
  <c r="F4" i="57"/>
  <c r="G4" i="57" s="1"/>
  <c r="H3" i="57"/>
  <c r="L3" i="57" s="1"/>
  <c r="L16" i="57" s="1"/>
  <c r="E5" i="123" s="1"/>
  <c r="G3" i="57"/>
  <c r="F3" i="57"/>
  <c r="G41" i="123"/>
  <c r="D38" i="123"/>
  <c r="D34" i="123"/>
  <c r="B33" i="123"/>
  <c r="B31" i="123"/>
  <c r="G30" i="123"/>
  <c r="D30" i="123"/>
  <c r="B29" i="123"/>
  <c r="E26" i="123"/>
  <c r="B25" i="123"/>
  <c r="D24" i="123"/>
  <c r="E23" i="123"/>
  <c r="D18" i="123"/>
  <c r="I11" i="123"/>
  <c r="E10" i="123"/>
  <c r="G7" i="123"/>
  <c r="H26" i="123" l="1"/>
  <c r="J20" i="101"/>
  <c r="J20" i="116"/>
  <c r="J20" i="115"/>
  <c r="L17" i="122"/>
  <c r="K4" i="122"/>
  <c r="J4" i="122"/>
  <c r="G5" i="122"/>
  <c r="K10" i="122" s="1"/>
  <c r="G4" i="122"/>
  <c r="K5" i="122" s="1"/>
  <c r="J6" i="122"/>
  <c r="K21" i="120"/>
  <c r="L17" i="120"/>
  <c r="F42" i="123" s="1"/>
  <c r="K5" i="120"/>
  <c r="L21" i="120"/>
  <c r="J17" i="120"/>
  <c r="J20" i="120" s="1"/>
  <c r="G11" i="120"/>
  <c r="K7" i="120" s="1"/>
  <c r="G3" i="120"/>
  <c r="K4" i="120" s="1"/>
  <c r="K17" i="120" s="1"/>
  <c r="C42" i="123" s="1"/>
  <c r="H42" i="123" s="1"/>
  <c r="J9" i="120"/>
  <c r="J21" i="120" s="1"/>
  <c r="I42" i="123" s="1"/>
  <c r="K11" i="119"/>
  <c r="K18" i="119" s="1"/>
  <c r="H41" i="123"/>
  <c r="J11" i="119"/>
  <c r="J18" i="119" s="1"/>
  <c r="J20" i="119" s="1"/>
  <c r="J21" i="118"/>
  <c r="I40" i="123" s="1"/>
  <c r="K5" i="118"/>
  <c r="K17" i="118" s="1"/>
  <c r="C40" i="123" s="1"/>
  <c r="H40" i="123" s="1"/>
  <c r="J17" i="118"/>
  <c r="J20" i="118" s="1"/>
  <c r="G15" i="118"/>
  <c r="G4" i="118"/>
  <c r="K9" i="118" s="1"/>
  <c r="K21" i="118" s="1"/>
  <c r="J20" i="114"/>
  <c r="G3" i="114"/>
  <c r="K10" i="114" s="1"/>
  <c r="K17" i="114" s="1"/>
  <c r="C39" i="123" s="1"/>
  <c r="H39" i="123" s="1"/>
  <c r="J17" i="112"/>
  <c r="J20" i="112" s="1"/>
  <c r="L17" i="112"/>
  <c r="F37" i="123" s="1"/>
  <c r="G14" i="112"/>
  <c r="K3" i="112" s="1"/>
  <c r="K16" i="112" s="1"/>
  <c r="B37" i="123" s="1"/>
  <c r="G3" i="112"/>
  <c r="K10" i="112" s="1"/>
  <c r="K17" i="112" s="1"/>
  <c r="C37" i="123" s="1"/>
  <c r="H37" i="123" s="1"/>
  <c r="K3" i="111"/>
  <c r="K16" i="111" s="1"/>
  <c r="B36" i="123" s="1"/>
  <c r="H36" i="123" s="1"/>
  <c r="G7" i="111"/>
  <c r="K4" i="111" s="1"/>
  <c r="K17" i="111" s="1"/>
  <c r="C36" i="123" s="1"/>
  <c r="K21" i="113"/>
  <c r="J17" i="113"/>
  <c r="J20" i="113" s="1"/>
  <c r="G17" i="113"/>
  <c r="K7" i="113" s="1"/>
  <c r="K17" i="113" s="1"/>
  <c r="C38" i="123" s="1"/>
  <c r="G3" i="113"/>
  <c r="K3" i="113" s="1"/>
  <c r="K16" i="113" s="1"/>
  <c r="B38" i="123" s="1"/>
  <c r="K3" i="110"/>
  <c r="K16" i="110" s="1"/>
  <c r="B35" i="123" s="1"/>
  <c r="K4" i="110"/>
  <c r="K17" i="110" s="1"/>
  <c r="C35" i="123" s="1"/>
  <c r="J3" i="110"/>
  <c r="J16" i="110" s="1"/>
  <c r="J20" i="110" s="1"/>
  <c r="G21" i="110"/>
  <c r="K3" i="109"/>
  <c r="K16" i="109" s="1"/>
  <c r="B34" i="123" s="1"/>
  <c r="J3" i="109"/>
  <c r="J16" i="109" s="1"/>
  <c r="G26" i="109"/>
  <c r="K6" i="109" s="1"/>
  <c r="K17" i="109" s="1"/>
  <c r="C34" i="123" s="1"/>
  <c r="J4" i="109"/>
  <c r="J17" i="109" s="1"/>
  <c r="J17" i="108"/>
  <c r="L17" i="108"/>
  <c r="F33" i="123" s="1"/>
  <c r="K5" i="108"/>
  <c r="J20" i="108"/>
  <c r="G26" i="108"/>
  <c r="K7" i="108" s="1"/>
  <c r="G3" i="108"/>
  <c r="K4" i="108" s="1"/>
  <c r="K17" i="108" s="1"/>
  <c r="C33" i="123" s="1"/>
  <c r="H33" i="123" s="1"/>
  <c r="K3" i="107"/>
  <c r="K16" i="107" s="1"/>
  <c r="B32" i="123" s="1"/>
  <c r="K5" i="107"/>
  <c r="K17" i="107" s="1"/>
  <c r="C32" i="123" s="1"/>
  <c r="J17" i="107"/>
  <c r="J3" i="107"/>
  <c r="J16" i="107" s="1"/>
  <c r="J20" i="107" s="1"/>
  <c r="K6" i="106"/>
  <c r="K5" i="106"/>
  <c r="L17" i="106"/>
  <c r="F31" i="123" s="1"/>
  <c r="K4" i="106"/>
  <c r="K17" i="106" s="1"/>
  <c r="C31" i="123" s="1"/>
  <c r="H31" i="123" s="1"/>
  <c r="J21" i="106"/>
  <c r="I31" i="123" s="1"/>
  <c r="L21" i="106"/>
  <c r="G18" i="106"/>
  <c r="G13" i="106"/>
  <c r="K9" i="106" s="1"/>
  <c r="K21" i="106" s="1"/>
  <c r="G6" i="106"/>
  <c r="K5" i="104"/>
  <c r="L21" i="104"/>
  <c r="K4" i="104"/>
  <c r="K17" i="104" s="1"/>
  <c r="C29" i="123" s="1"/>
  <c r="H29" i="123" s="1"/>
  <c r="K9" i="104"/>
  <c r="K21" i="104" s="1"/>
  <c r="J17" i="104"/>
  <c r="J20" i="104" s="1"/>
  <c r="G20" i="104"/>
  <c r="G30" i="104"/>
  <c r="G16" i="104"/>
  <c r="K6" i="104" s="1"/>
  <c r="K5" i="103"/>
  <c r="K4" i="103"/>
  <c r="K17" i="103" s="1"/>
  <c r="C28" i="123" s="1"/>
  <c r="H28" i="123" s="1"/>
  <c r="K21" i="103"/>
  <c r="G19" i="103"/>
  <c r="K7" i="103" s="1"/>
  <c r="J4" i="103"/>
  <c r="J5" i="103"/>
  <c r="J17" i="102"/>
  <c r="J20" i="102" s="1"/>
  <c r="L17" i="102"/>
  <c r="F27" i="123" s="1"/>
  <c r="K21" i="102"/>
  <c r="L21" i="102"/>
  <c r="K6" i="102"/>
  <c r="G30" i="102"/>
  <c r="G3" i="102"/>
  <c r="K5" i="102" s="1"/>
  <c r="G4" i="102"/>
  <c r="K4" i="102" s="1"/>
  <c r="J9" i="102"/>
  <c r="J21" i="102" s="1"/>
  <c r="I27" i="123" s="1"/>
  <c r="K5" i="105"/>
  <c r="K17" i="105" s="1"/>
  <c r="C30" i="123" s="1"/>
  <c r="H30" i="123" s="1"/>
  <c r="L17" i="105"/>
  <c r="F30" i="123" s="1"/>
  <c r="G16" i="105"/>
  <c r="K7" i="105" s="1"/>
  <c r="J4" i="105"/>
  <c r="J5" i="105"/>
  <c r="K5" i="100"/>
  <c r="K4" i="100"/>
  <c r="K17" i="100" s="1"/>
  <c r="C25" i="123" s="1"/>
  <c r="H25" i="123" s="1"/>
  <c r="L17" i="100"/>
  <c r="F25" i="123" s="1"/>
  <c r="G18" i="100"/>
  <c r="J12" i="100"/>
  <c r="J19" i="100" s="1"/>
  <c r="J20" i="100" s="1"/>
  <c r="L17" i="98"/>
  <c r="F23" i="123" s="1"/>
  <c r="K21" i="98"/>
  <c r="K5" i="98"/>
  <c r="L21" i="98"/>
  <c r="J17" i="98"/>
  <c r="J20" i="98" s="1"/>
  <c r="G4" i="98"/>
  <c r="K4" i="98" s="1"/>
  <c r="K17" i="98" s="1"/>
  <c r="C23" i="123" s="1"/>
  <c r="H23" i="123" s="1"/>
  <c r="G10" i="98"/>
  <c r="K3" i="99"/>
  <c r="K16" i="99" s="1"/>
  <c r="B24" i="123" s="1"/>
  <c r="H24" i="123" s="1"/>
  <c r="G14" i="99"/>
  <c r="K4" i="99" s="1"/>
  <c r="K17" i="99" s="1"/>
  <c r="C24" i="123" s="1"/>
  <c r="J3" i="99"/>
  <c r="J16" i="99" s="1"/>
  <c r="J20" i="99" s="1"/>
  <c r="K9" i="97"/>
  <c r="K21" i="97" s="1"/>
  <c r="K4" i="97"/>
  <c r="K5" i="97"/>
  <c r="L17" i="97"/>
  <c r="F22" i="123" s="1"/>
  <c r="L21" i="97"/>
  <c r="J9" i="97"/>
  <c r="J21" i="97" s="1"/>
  <c r="I22" i="123" s="1"/>
  <c r="J4" i="97"/>
  <c r="J5" i="97"/>
  <c r="J6" i="97"/>
  <c r="J17" i="96"/>
  <c r="J20" i="96" s="1"/>
  <c r="G8" i="96"/>
  <c r="K5" i="96" s="1"/>
  <c r="G3" i="96"/>
  <c r="K4" i="96" s="1"/>
  <c r="K17" i="96" s="1"/>
  <c r="C21" i="123" s="1"/>
  <c r="H21" i="123" s="1"/>
  <c r="G5" i="96"/>
  <c r="K6" i="96" s="1"/>
  <c r="K12" i="95"/>
  <c r="K19" i="95" s="1"/>
  <c r="D20" i="123" s="1"/>
  <c r="L17" i="95"/>
  <c r="F20" i="123" s="1"/>
  <c r="K4" i="95"/>
  <c r="K17" i="95" s="1"/>
  <c r="C20" i="123" s="1"/>
  <c r="H20" i="123" s="1"/>
  <c r="G11" i="95"/>
  <c r="J5" i="95"/>
  <c r="J17" i="95" s="1"/>
  <c r="J20" i="95" s="1"/>
  <c r="G5" i="95"/>
  <c r="K5" i="94"/>
  <c r="K9" i="94"/>
  <c r="K21" i="94" s="1"/>
  <c r="J17" i="94"/>
  <c r="J20" i="94" s="1"/>
  <c r="G13" i="94"/>
  <c r="K6" i="94" s="1"/>
  <c r="G8" i="94"/>
  <c r="G3" i="94"/>
  <c r="K4" i="94" s="1"/>
  <c r="K17" i="94" s="1"/>
  <c r="C19" i="123" s="1"/>
  <c r="H19" i="123" s="1"/>
  <c r="L17" i="93"/>
  <c r="F18" i="123" s="1"/>
  <c r="K4" i="93"/>
  <c r="K9" i="93"/>
  <c r="K21" i="93" s="1"/>
  <c r="J9" i="93"/>
  <c r="J21" i="93" s="1"/>
  <c r="I18" i="123" s="1"/>
  <c r="J4" i="93"/>
  <c r="J17" i="93" s="1"/>
  <c r="J20" i="93" s="1"/>
  <c r="G33" i="93"/>
  <c r="K7" i="93" s="1"/>
  <c r="G16" i="93"/>
  <c r="K6" i="93" s="1"/>
  <c r="G10" i="93"/>
  <c r="K5" i="93" s="1"/>
  <c r="K4" i="92"/>
  <c r="K7" i="92"/>
  <c r="G20" i="92"/>
  <c r="K9" i="92" s="1"/>
  <c r="K21" i="92" s="1"/>
  <c r="G9" i="92"/>
  <c r="K5" i="92" s="1"/>
  <c r="J7" i="92"/>
  <c r="J4" i="92"/>
  <c r="J17" i="92" s="1"/>
  <c r="J20" i="92" s="1"/>
  <c r="K5" i="91"/>
  <c r="K4" i="91"/>
  <c r="K17" i="91" s="1"/>
  <c r="C16" i="123" s="1"/>
  <c r="H16" i="123" s="1"/>
  <c r="J10" i="91"/>
  <c r="J17" i="91" s="1"/>
  <c r="J20" i="91" s="1"/>
  <c r="G4" i="91"/>
  <c r="K6" i="91" s="1"/>
  <c r="K4" i="89"/>
  <c r="L17" i="89"/>
  <c r="F14" i="123" s="1"/>
  <c r="K6" i="89"/>
  <c r="K21" i="89"/>
  <c r="L21" i="89"/>
  <c r="J9" i="89"/>
  <c r="J21" i="89" s="1"/>
  <c r="I14" i="123" s="1"/>
  <c r="G3" i="89"/>
  <c r="K5" i="89" s="1"/>
  <c r="J4" i="89"/>
  <c r="J17" i="89" s="1"/>
  <c r="J20" i="89" s="1"/>
  <c r="L16" i="87"/>
  <c r="F12" i="123" s="1"/>
  <c r="K7" i="87"/>
  <c r="G4" i="87"/>
  <c r="K5" i="87" s="1"/>
  <c r="K16" i="87" s="1"/>
  <c r="C12" i="123" s="1"/>
  <c r="H12" i="123" s="1"/>
  <c r="J4" i="87"/>
  <c r="J16" i="87" s="1"/>
  <c r="J19" i="87" s="1"/>
  <c r="G3" i="87"/>
  <c r="K6" i="87" s="1"/>
  <c r="G21" i="87"/>
  <c r="G3" i="86"/>
  <c r="K3" i="86" s="1"/>
  <c r="K16" i="86" s="1"/>
  <c r="B11" i="123" s="1"/>
  <c r="H11" i="123" s="1"/>
  <c r="K5" i="85"/>
  <c r="G4" i="85"/>
  <c r="K4" i="85" s="1"/>
  <c r="J6" i="85"/>
  <c r="J17" i="85" s="1"/>
  <c r="J20" i="85" s="1"/>
  <c r="G15" i="85"/>
  <c r="G5" i="85"/>
  <c r="K7" i="85" s="1"/>
  <c r="J17" i="88"/>
  <c r="J20" i="88" s="1"/>
  <c r="J21" i="88"/>
  <c r="I13" i="123" s="1"/>
  <c r="G8" i="88"/>
  <c r="K4" i="88" s="1"/>
  <c r="G15" i="88"/>
  <c r="K9" i="88" s="1"/>
  <c r="K21" i="88" s="1"/>
  <c r="G7" i="88"/>
  <c r="K5" i="88" s="1"/>
  <c r="G6" i="88"/>
  <c r="K6" i="88" s="1"/>
  <c r="K5" i="121"/>
  <c r="L17" i="121"/>
  <c r="K6" i="121"/>
  <c r="K4" i="121"/>
  <c r="K17" i="121" s="1"/>
  <c r="J7" i="121"/>
  <c r="J5" i="121"/>
  <c r="J17" i="121" s="1"/>
  <c r="J20" i="121" s="1"/>
  <c r="G24" i="121"/>
  <c r="K4" i="90"/>
  <c r="K6" i="90"/>
  <c r="L21" i="90"/>
  <c r="K5" i="90"/>
  <c r="G15" i="90"/>
  <c r="K9" i="90" s="1"/>
  <c r="K21" i="90" s="1"/>
  <c r="J4" i="90"/>
  <c r="L4" i="90"/>
  <c r="L17" i="90" s="1"/>
  <c r="F15" i="123" s="1"/>
  <c r="J5" i="90"/>
  <c r="K4" i="83"/>
  <c r="K17" i="83" s="1"/>
  <c r="C9" i="123" s="1"/>
  <c r="H9" i="123" s="1"/>
  <c r="L17" i="83"/>
  <c r="F9" i="123" s="1"/>
  <c r="J4" i="83"/>
  <c r="G17" i="83"/>
  <c r="K7" i="83" s="1"/>
  <c r="G5" i="83"/>
  <c r="K10" i="83" s="1"/>
  <c r="J5" i="83"/>
  <c r="L17" i="82"/>
  <c r="F8" i="123" s="1"/>
  <c r="J21" i="82"/>
  <c r="I8" i="123" s="1"/>
  <c r="K4" i="82"/>
  <c r="G3" i="82"/>
  <c r="K9" i="82" s="1"/>
  <c r="K21" i="82" s="1"/>
  <c r="G4" i="82"/>
  <c r="K5" i="82" s="1"/>
  <c r="J4" i="82"/>
  <c r="J17" i="82" s="1"/>
  <c r="J20" i="82" s="1"/>
  <c r="K5" i="80"/>
  <c r="J5" i="80"/>
  <c r="J17" i="80" s="1"/>
  <c r="J20" i="80" s="1"/>
  <c r="G23" i="80"/>
  <c r="K7" i="80" s="1"/>
  <c r="G16" i="80"/>
  <c r="K4" i="80" s="1"/>
  <c r="K17" i="80" s="1"/>
  <c r="C7" i="123" s="1"/>
  <c r="H7" i="123" s="1"/>
  <c r="K9" i="79"/>
  <c r="K21" i="79" s="1"/>
  <c r="K4" i="79"/>
  <c r="L17" i="79"/>
  <c r="F6" i="123" s="1"/>
  <c r="L21" i="79"/>
  <c r="G13" i="79"/>
  <c r="K5" i="79" s="1"/>
  <c r="J9" i="79"/>
  <c r="J21" i="79" s="1"/>
  <c r="I6" i="123" s="1"/>
  <c r="J4" i="79"/>
  <c r="J17" i="79" s="1"/>
  <c r="J20" i="79" s="1"/>
  <c r="K3" i="57"/>
  <c r="K16" i="57" s="1"/>
  <c r="B5" i="123" s="1"/>
  <c r="H5" i="123" s="1"/>
  <c r="G15" i="57"/>
  <c r="K17" i="122" l="1"/>
  <c r="J17" i="122"/>
  <c r="J20" i="122" s="1"/>
  <c r="H38" i="123"/>
  <c r="H35" i="123"/>
  <c r="J20" i="109"/>
  <c r="H34" i="123"/>
  <c r="H32" i="123"/>
  <c r="J17" i="103"/>
  <c r="J20" i="103" s="1"/>
  <c r="K17" i="102"/>
  <c r="C27" i="123" s="1"/>
  <c r="H27" i="123"/>
  <c r="J17" i="105"/>
  <c r="J20" i="105" s="1"/>
  <c r="J17" i="97"/>
  <c r="J20" i="97" s="1"/>
  <c r="K17" i="97"/>
  <c r="C22" i="123" s="1"/>
  <c r="H22" i="123" s="1"/>
  <c r="K17" i="93"/>
  <c r="C18" i="123" s="1"/>
  <c r="H18" i="123" s="1"/>
  <c r="K17" i="92"/>
  <c r="C17" i="123" s="1"/>
  <c r="H17" i="123" s="1"/>
  <c r="K17" i="89"/>
  <c r="C14" i="123" s="1"/>
  <c r="H14" i="123" s="1"/>
  <c r="K17" i="85"/>
  <c r="C10" i="123" s="1"/>
  <c r="H10" i="123" s="1"/>
  <c r="K17" i="88"/>
  <c r="C13" i="123" s="1"/>
  <c r="H13" i="123" s="1"/>
  <c r="J17" i="90"/>
  <c r="J20" i="90" s="1"/>
  <c r="K17" i="90"/>
  <c r="C15" i="123" s="1"/>
  <c r="H15" i="123" s="1"/>
  <c r="J17" i="83"/>
  <c r="J20" i="83" s="1"/>
  <c r="K17" i="82"/>
  <c r="C8" i="123" s="1"/>
  <c r="H8" i="123" s="1"/>
  <c r="K17" i="79"/>
  <c r="C6" i="123" s="1"/>
  <c r="H6" i="123" s="1"/>
  <c r="A9" i="93"/>
  <c r="A28" i="94"/>
  <c r="A14" i="80"/>
  <c r="A18" i="105"/>
  <c r="A24" i="121"/>
  <c r="A20" i="89"/>
  <c r="A10" i="97"/>
  <c r="A21" i="121"/>
  <c r="A12" i="121"/>
  <c r="A17" i="91"/>
  <c r="A10" i="98"/>
  <c r="A26" i="97"/>
  <c r="A22" i="104"/>
  <c r="A13" i="96"/>
  <c r="A11" i="113"/>
  <c r="A14" i="85"/>
  <c r="A5" i="108"/>
  <c r="A17" i="104"/>
  <c r="A17" i="89"/>
  <c r="A21" i="94"/>
  <c r="A10" i="122"/>
  <c r="A4" i="107"/>
  <c r="A13" i="97"/>
  <c r="A31" i="93"/>
  <c r="A9" i="94"/>
  <c r="A14" i="120"/>
  <c r="A5" i="103"/>
  <c r="A17" i="88"/>
  <c r="A6" i="118"/>
  <c r="A26" i="85"/>
  <c r="A16" i="122"/>
  <c r="A3" i="98"/>
  <c r="A22" i="83"/>
  <c r="A4" i="92"/>
  <c r="A11" i="99"/>
  <c r="A10" i="90"/>
  <c r="A27" i="105"/>
  <c r="A9" i="100"/>
  <c r="A19" i="79"/>
  <c r="A18" i="87"/>
  <c r="A28" i="108"/>
  <c r="A26" i="107"/>
  <c r="A10" i="110"/>
  <c r="A24" i="86"/>
  <c r="A5" i="120"/>
  <c r="A6" i="102"/>
  <c r="A25" i="120"/>
  <c r="A27" i="113"/>
  <c r="A9" i="102"/>
  <c r="A29" i="105"/>
  <c r="A8" i="90"/>
  <c r="A31" i="97"/>
  <c r="A15" i="120"/>
  <c r="A3" i="103"/>
  <c r="A21" i="86"/>
  <c r="A5" i="92"/>
  <c r="A21" i="105"/>
  <c r="A19" i="106"/>
  <c r="A24" i="98"/>
  <c r="A27" i="108"/>
  <c r="A6" i="96"/>
  <c r="A32" i="93"/>
  <c r="A27" i="83"/>
  <c r="A5" i="80"/>
  <c r="A3" i="88"/>
  <c r="A10" i="89"/>
  <c r="A17" i="94"/>
  <c r="A3" i="97"/>
  <c r="A7" i="103"/>
  <c r="A13" i="113"/>
  <c r="A12" i="97"/>
  <c r="A8" i="80"/>
  <c r="A14" i="92"/>
  <c r="A29" i="97"/>
  <c r="A7" i="112"/>
  <c r="A17" i="103"/>
  <c r="A17" i="90"/>
  <c r="A29" i="79"/>
  <c r="A5" i="89"/>
  <c r="A7" i="106"/>
  <c r="A16" i="89"/>
  <c r="A17" i="79"/>
  <c r="A23" i="88"/>
  <c r="A12" i="87"/>
  <c r="A25" i="103"/>
  <c r="A14" i="105"/>
  <c r="A10" i="112"/>
  <c r="A14" i="109"/>
  <c r="A26" i="94"/>
  <c r="A27" i="86"/>
  <c r="A10" i="87"/>
  <c r="A3" i="92"/>
  <c r="A7" i="113"/>
  <c r="A15" i="79"/>
  <c r="A26" i="89"/>
  <c r="A8" i="97"/>
  <c r="A3" i="119"/>
  <c r="A24" i="89"/>
  <c r="A15" i="100"/>
  <c r="A23" i="95"/>
  <c r="A26" i="118"/>
  <c r="A30" i="57"/>
  <c r="A3" i="109"/>
  <c r="A7" i="102"/>
  <c r="A14" i="82"/>
  <c r="A4" i="102"/>
  <c r="A18" i="96"/>
  <c r="A25" i="90"/>
  <c r="A7" i="110"/>
  <c r="A21" i="98"/>
  <c r="A14" i="96"/>
  <c r="A14" i="107"/>
  <c r="A20" i="88"/>
  <c r="A4" i="113"/>
  <c r="A16" i="102"/>
  <c r="A6" i="83"/>
  <c r="A25" i="107"/>
  <c r="A19" i="95"/>
  <c r="A30" i="97"/>
  <c r="A3" i="104"/>
  <c r="A25" i="87"/>
  <c r="A13" i="95"/>
  <c r="A26" i="106"/>
  <c r="A16" i="120"/>
  <c r="A15" i="92"/>
  <c r="A26" i="86"/>
  <c r="A22" i="120"/>
  <c r="A16" i="113"/>
  <c r="A26" i="80"/>
  <c r="A12" i="113"/>
  <c r="A28" i="103"/>
  <c r="A9" i="113"/>
  <c r="A17" i="95"/>
  <c r="A14" i="118"/>
  <c r="A26" i="95"/>
  <c r="A4" i="97"/>
  <c r="A23" i="79"/>
  <c r="A24" i="95"/>
  <c r="A15" i="86"/>
  <c r="A19" i="57"/>
  <c r="A14" i="99"/>
  <c r="A10" i="103"/>
  <c r="A14" i="83"/>
  <c r="A33" i="100"/>
  <c r="A7" i="118"/>
  <c r="A9" i="105"/>
  <c r="A32" i="105"/>
  <c r="A4" i="114"/>
  <c r="A6" i="95"/>
  <c r="A7" i="88"/>
  <c r="A32" i="104"/>
  <c r="A16" i="90"/>
  <c r="A6" i="100"/>
  <c r="A13" i="108"/>
  <c r="A23" i="92"/>
  <c r="A5" i="109"/>
  <c r="A5" i="111"/>
  <c r="A23" i="87"/>
  <c r="A12" i="107"/>
  <c r="A16" i="106"/>
  <c r="A3" i="102"/>
  <c r="A26" i="99"/>
  <c r="A26" i="57"/>
  <c r="A18" i="91"/>
  <c r="A20" i="83"/>
  <c r="A18" i="111"/>
  <c r="A22" i="88"/>
  <c r="A31" i="89"/>
  <c r="A16" i="57"/>
  <c r="A11" i="85"/>
  <c r="A25" i="79"/>
  <c r="A9" i="104"/>
  <c r="A11" i="111"/>
  <c r="A24" i="100"/>
  <c r="A21" i="97"/>
  <c r="A9" i="118"/>
  <c r="A4" i="85"/>
  <c r="A11" i="108"/>
  <c r="A7" i="79"/>
  <c r="A22" i="106"/>
  <c r="A22" i="95"/>
  <c r="A21" i="108"/>
  <c r="A7" i="108"/>
  <c r="A30" i="100"/>
  <c r="A12" i="103"/>
  <c r="A4" i="100"/>
  <c r="A8" i="104"/>
  <c r="A24" i="120"/>
  <c r="A12" i="120"/>
  <c r="A7" i="121"/>
  <c r="A27" i="107"/>
  <c r="A16" i="118"/>
  <c r="A15" i="83"/>
  <c r="A14" i="87"/>
  <c r="A15" i="82"/>
  <c r="A25" i="122"/>
  <c r="A27" i="97"/>
  <c r="A10" i="99"/>
  <c r="A6" i="88"/>
  <c r="A17" i="105"/>
  <c r="A14" i="93"/>
  <c r="A28" i="87"/>
  <c r="A26" i="104"/>
  <c r="A18" i="90"/>
  <c r="A7" i="122"/>
  <c r="A33" i="87"/>
  <c r="A12" i="83"/>
  <c r="A8" i="98"/>
  <c r="A8" i="108"/>
  <c r="A22" i="80"/>
  <c r="A18" i="102"/>
  <c r="A18" i="106"/>
  <c r="A21" i="57"/>
  <c r="A25" i="95"/>
  <c r="A19" i="93"/>
  <c r="A31" i="104"/>
  <c r="A8" i="121"/>
  <c r="A6" i="103"/>
  <c r="A28" i="99"/>
  <c r="A18" i="110"/>
  <c r="A26" i="91"/>
  <c r="A31" i="83"/>
  <c r="A14" i="91"/>
  <c r="A24" i="93"/>
  <c r="A15" i="108"/>
  <c r="A8" i="103"/>
  <c r="A15" i="85"/>
  <c r="A14" i="113"/>
  <c r="A14" i="95"/>
  <c r="A9" i="110"/>
  <c r="A16" i="119"/>
  <c r="A27" i="87"/>
  <c r="A23" i="90"/>
  <c r="A11" i="90"/>
  <c r="A12" i="102"/>
  <c r="A11" i="122"/>
  <c r="A9" i="90"/>
  <c r="A32" i="87"/>
  <c r="A22" i="110"/>
  <c r="A8" i="87"/>
  <c r="A11" i="80"/>
  <c r="A15" i="105"/>
  <c r="A20" i="104"/>
  <c r="A23" i="105"/>
  <c r="A12" i="79"/>
  <c r="A34" i="100"/>
  <c r="A18" i="120"/>
  <c r="A27" i="82"/>
  <c r="A3" i="107"/>
  <c r="A24" i="104"/>
  <c r="A6" i="113"/>
  <c r="A3" i="112"/>
  <c r="A4" i="108"/>
  <c r="A27" i="92"/>
  <c r="A11" i="87"/>
  <c r="A20" i="108"/>
  <c r="A17" i="83"/>
  <c r="A29" i="98"/>
  <c r="A19" i="109"/>
  <c r="A17" i="85"/>
  <c r="A34" i="104"/>
  <c r="A21" i="104"/>
  <c r="A20" i="118"/>
  <c r="A31" i="57"/>
  <c r="A14" i="106"/>
  <c r="A7" i="105"/>
  <c r="A23" i="89"/>
  <c r="A4" i="120"/>
  <c r="A17" i="57"/>
  <c r="A16" i="79"/>
  <c r="A11" i="109"/>
  <c r="A11" i="86"/>
  <c r="A17" i="100"/>
  <c r="A8" i="92"/>
  <c r="A28" i="90"/>
  <c r="A8" i="57"/>
  <c r="A16" i="97"/>
  <c r="A23" i="110"/>
  <c r="A29" i="91"/>
  <c r="A16" i="85"/>
  <c r="A24" i="91"/>
  <c r="A5" i="119"/>
  <c r="A10" i="100"/>
  <c r="A11" i="104"/>
  <c r="A13" i="90"/>
  <c r="A19" i="99"/>
  <c r="A5" i="83"/>
  <c r="A20" i="105"/>
  <c r="A27" i="99"/>
  <c r="A6" i="122"/>
  <c r="A20" i="110"/>
  <c r="A6" i="79"/>
  <c r="A13" i="107"/>
  <c r="A23" i="113"/>
  <c r="A7" i="86"/>
  <c r="A29" i="109"/>
  <c r="A18" i="82"/>
  <c r="A10" i="85"/>
  <c r="A26" i="120"/>
  <c r="A17" i="102"/>
  <c r="A22" i="57"/>
  <c r="A9" i="106"/>
  <c r="A8" i="94"/>
  <c r="A24" i="102"/>
  <c r="A16" i="83"/>
  <c r="A19" i="85"/>
  <c r="A9" i="103"/>
  <c r="A6" i="119"/>
  <c r="A26" i="93"/>
  <c r="A19" i="113"/>
  <c r="A23" i="106"/>
  <c r="A16" i="105"/>
  <c r="A30" i="79"/>
  <c r="A12" i="82"/>
  <c r="A9" i="114"/>
  <c r="A19" i="111"/>
  <c r="A7" i="119"/>
  <c r="A19" i="120"/>
  <c r="A9" i="95"/>
  <c r="A30" i="80"/>
  <c r="A6" i="105"/>
  <c r="A17" i="119"/>
  <c r="A5" i="121"/>
  <c r="A21" i="102"/>
  <c r="A22" i="96"/>
  <c r="A8" i="118"/>
  <c r="A11" i="105"/>
  <c r="A5" i="87"/>
  <c r="A23" i="99"/>
  <c r="A31" i="100"/>
  <c r="A9" i="80"/>
  <c r="A21" i="83"/>
  <c r="A31" i="79"/>
  <c r="A22" i="89"/>
  <c r="A10" i="92"/>
  <c r="A12" i="96"/>
  <c r="A22" i="108"/>
  <c r="A20" i="107"/>
  <c r="A13" i="89"/>
  <c r="A29" i="93"/>
  <c r="A27" i="79"/>
  <c r="A29" i="103"/>
  <c r="A13" i="99"/>
  <c r="A9" i="107"/>
  <c r="A12" i="104"/>
  <c r="A20" i="120"/>
  <c r="A21" i="99"/>
  <c r="A8" i="114"/>
  <c r="A28" i="95"/>
  <c r="A12" i="100"/>
  <c r="A13" i="118"/>
  <c r="A19" i="103"/>
  <c r="A3" i="110"/>
  <c r="A12" i="92"/>
  <c r="A18" i="57"/>
  <c r="A4" i="88"/>
  <c r="A24" i="90"/>
  <c r="A22" i="94"/>
  <c r="A21" i="96"/>
  <c r="A14" i="104"/>
  <c r="A3" i="122"/>
  <c r="A17" i="110"/>
  <c r="A20" i="106"/>
  <c r="A29" i="83"/>
  <c r="A9" i="85"/>
  <c r="A15" i="87"/>
  <c r="A30" i="83"/>
  <c r="A23" i="120"/>
  <c r="A19" i="90"/>
  <c r="A20" i="119"/>
  <c r="A6" i="82"/>
  <c r="A21" i="113"/>
  <c r="A30" i="90"/>
  <c r="A27" i="110"/>
  <c r="A13" i="93"/>
  <c r="A25" i="111"/>
  <c r="A26" i="122"/>
  <c r="A17" i="120"/>
  <c r="A3" i="91"/>
  <c r="A21" i="106"/>
  <c r="A17" i="97"/>
  <c r="A23" i="83"/>
  <c r="A7" i="109"/>
  <c r="A18" i="85"/>
  <c r="A18" i="93"/>
  <c r="A10" i="114"/>
  <c r="A31" i="109"/>
  <c r="A19" i="87"/>
  <c r="A25" i="80"/>
  <c r="A17" i="99"/>
  <c r="A3" i="108"/>
  <c r="A24" i="122"/>
  <c r="A13" i="110"/>
  <c r="A5" i="114"/>
  <c r="A11" i="82"/>
  <c r="A22" i="111"/>
  <c r="A18" i="89"/>
  <c r="A17" i="92"/>
  <c r="A4" i="57"/>
  <c r="A3" i="85"/>
  <c r="A12" i="90"/>
  <c r="A23" i="119"/>
  <c r="A16" i="96"/>
  <c r="A7" i="89"/>
  <c r="A16" i="95"/>
  <c r="A24" i="79"/>
  <c r="A29" i="57"/>
  <c r="A8" i="107"/>
  <c r="A5" i="97"/>
  <c r="A9" i="92"/>
  <c r="A22" i="86"/>
  <c r="A24" i="82"/>
  <c r="A23" i="122"/>
  <c r="A10" i="96"/>
  <c r="A4" i="80"/>
  <c r="A18" i="122"/>
  <c r="A32" i="90"/>
  <c r="A21" i="82"/>
  <c r="A7" i="93"/>
  <c r="A23" i="86"/>
  <c r="A9" i="98"/>
  <c r="A34" i="105"/>
  <c r="A20" i="109"/>
  <c r="A4" i="112"/>
  <c r="A11" i="83"/>
  <c r="A25" i="104"/>
  <c r="A27" i="104"/>
  <c r="A10" i="120"/>
  <c r="A9" i="89"/>
  <c r="A4" i="98"/>
  <c r="A14" i="86"/>
  <c r="A28" i="107"/>
  <c r="A17" i="107"/>
  <c r="A21" i="100"/>
  <c r="A12" i="114"/>
  <c r="A28" i="110"/>
  <c r="A6" i="111"/>
  <c r="A21" i="88"/>
  <c r="A13" i="86"/>
  <c r="A23" i="102"/>
  <c r="A7" i="114"/>
  <c r="A30" i="105"/>
  <c r="A15" i="88"/>
  <c r="A27" i="94"/>
  <c r="A6" i="93"/>
  <c r="A16" i="82"/>
  <c r="A14" i="57"/>
  <c r="A26" i="98"/>
  <c r="A22" i="119"/>
  <c r="A3" i="99"/>
  <c r="A10" i="80"/>
  <c r="A17" i="118"/>
  <c r="A23" i="103"/>
  <c r="A7" i="91"/>
  <c r="A14" i="121"/>
  <c r="A7" i="95"/>
  <c r="A16" i="92"/>
  <c r="A18" i="95"/>
  <c r="A23" i="104"/>
  <c r="A5" i="100"/>
  <c r="A39" i="93"/>
  <c r="A22" i="121"/>
  <c r="A28" i="80"/>
  <c r="A12" i="110"/>
  <c r="A11" i="92"/>
  <c r="A8" i="109"/>
  <c r="A24" i="97"/>
  <c r="A22" i="107"/>
  <c r="A3" i="86"/>
  <c r="A17" i="111"/>
  <c r="A34" i="80"/>
  <c r="A5" i="86"/>
  <c r="A15" i="89"/>
  <c r="A21" i="87"/>
  <c r="A4" i="121"/>
  <c r="A8" i="102"/>
  <c r="A7" i="104"/>
  <c r="A7" i="99"/>
  <c r="A12" i="85"/>
  <c r="A19" i="88"/>
  <c r="A18" i="113"/>
  <c r="A25" i="119"/>
  <c r="A20" i="111"/>
  <c r="A3" i="83"/>
  <c r="A5" i="91"/>
  <c r="A13" i="85"/>
  <c r="A8" i="110"/>
  <c r="A6" i="112"/>
  <c r="A30" i="107"/>
  <c r="A33" i="107"/>
  <c r="A28" i="91"/>
  <c r="A17" i="98"/>
  <c r="A20" i="57"/>
  <c r="A16" i="104"/>
  <c r="A32" i="89"/>
  <c r="A28" i="121"/>
  <c r="A27" i="106"/>
  <c r="A13" i="57"/>
  <c r="A24" i="85"/>
  <c r="A6" i="106"/>
  <c r="A11" i="98"/>
  <c r="A13" i="109"/>
  <c r="A5" i="110"/>
  <c r="A5" i="96"/>
  <c r="A17" i="93"/>
  <c r="A15" i="95"/>
  <c r="A4" i="91"/>
  <c r="A15" i="112"/>
  <c r="A25" i="113"/>
  <c r="A3" i="94"/>
  <c r="A25" i="100"/>
  <c r="A12" i="106"/>
  <c r="A15" i="104"/>
  <c r="A19" i="119"/>
  <c r="A20" i="121"/>
  <c r="A29" i="107"/>
  <c r="A19" i="98"/>
  <c r="A10" i="82"/>
  <c r="A24" i="99"/>
  <c r="A10" i="95"/>
  <c r="A13" i="79"/>
  <c r="A19" i="82"/>
  <c r="A8" i="96"/>
  <c r="A26" i="90"/>
  <c r="A34" i="93"/>
  <c r="A4" i="79"/>
  <c r="A30" i="98"/>
  <c r="A29" i="110"/>
  <c r="A22" i="85"/>
  <c r="A20" i="96"/>
  <c r="A7" i="57"/>
  <c r="A21" i="111"/>
  <c r="A13" i="82"/>
  <c r="A28" i="98"/>
  <c r="A6" i="104"/>
  <c r="A28" i="57"/>
  <c r="A9" i="121"/>
  <c r="A8" i="99"/>
  <c r="A14" i="100"/>
  <c r="A24" i="111"/>
  <c r="A12" i="57"/>
  <c r="A31" i="87"/>
  <c r="A23" i="97"/>
  <c r="A26" i="82"/>
  <c r="A14" i="88"/>
  <c r="A15" i="102"/>
  <c r="A14" i="97"/>
  <c r="A4" i="119"/>
  <c r="A3" i="57"/>
  <c r="A3" i="111"/>
  <c r="A19" i="92"/>
  <c r="A7" i="87"/>
  <c r="A17" i="109"/>
  <c r="A25" i="118"/>
  <c r="A12" i="118"/>
  <c r="A25" i="121"/>
  <c r="A24" i="110"/>
  <c r="A21" i="110"/>
  <c r="A5" i="93"/>
  <c r="A18" i="94"/>
  <c r="A20" i="122"/>
  <c r="A21" i="80"/>
  <c r="A10" i="121"/>
  <c r="A15" i="113"/>
  <c r="A15" i="119"/>
  <c r="A10" i="88"/>
  <c r="A32" i="100"/>
  <c r="A12" i="93"/>
  <c r="A30" i="103"/>
  <c r="A8" i="113"/>
  <c r="A10" i="107"/>
  <c r="A11" i="95"/>
  <c r="A14" i="111"/>
  <c r="A17" i="80"/>
  <c r="A4" i="104"/>
  <c r="A3" i="89"/>
  <c r="A17" i="86"/>
  <c r="A3" i="106"/>
  <c r="A28" i="79"/>
  <c r="A17" i="113"/>
  <c r="A27" i="80"/>
  <c r="A19" i="91"/>
  <c r="A11" i="93"/>
  <c r="A16" i="111"/>
  <c r="A38" i="93"/>
  <c r="A41" i="93"/>
  <c r="A16" i="80"/>
  <c r="A22" i="79"/>
  <c r="A8" i="85"/>
  <c r="A25" i="94"/>
  <c r="A24" i="94"/>
  <c r="A6" i="98"/>
  <c r="A10" i="86"/>
  <c r="A9" i="96"/>
  <c r="A9" i="79"/>
  <c r="A21" i="109"/>
  <c r="A9" i="57"/>
  <c r="A11" i="79"/>
  <c r="A5" i="102"/>
  <c r="A25" i="93"/>
  <c r="A15" i="80"/>
  <c r="A21" i="79"/>
  <c r="A3" i="96"/>
  <c r="A13" i="119"/>
  <c r="A12" i="119"/>
  <c r="A23" i="93"/>
  <c r="A30" i="87"/>
  <c r="A8" i="106"/>
  <c r="A3" i="95"/>
  <c r="A21" i="119"/>
  <c r="A11" i="100"/>
  <c r="A13" i="121"/>
  <c r="A16" i="109"/>
  <c r="A28" i="105"/>
  <c r="A3" i="120"/>
  <c r="A4" i="103"/>
  <c r="A11" i="91"/>
  <c r="A5" i="107"/>
  <c r="A6" i="86"/>
  <c r="A11" i="110"/>
  <c r="A6" i="97"/>
  <c r="A13" i="112"/>
  <c r="A14" i="98"/>
  <c r="A6" i="90"/>
  <c r="A30" i="93"/>
  <c r="A18" i="109"/>
  <c r="A19" i="96"/>
  <c r="A9" i="91"/>
  <c r="A21" i="89"/>
  <c r="A25" i="102"/>
  <c r="A13" i="104"/>
  <c r="A12" i="111"/>
  <c r="A22" i="113"/>
  <c r="A27" i="89"/>
  <c r="A20" i="79"/>
  <c r="A16" i="108"/>
  <c r="A33" i="103"/>
  <c r="A14" i="94"/>
  <c r="A10" i="102"/>
  <c r="A25" i="92"/>
  <c r="A6" i="99"/>
  <c r="A5" i="118"/>
  <c r="A16" i="98"/>
  <c r="A14" i="102"/>
  <c r="A9" i="99"/>
  <c r="A16" i="99"/>
  <c r="A4" i="95"/>
  <c r="A19" i="122"/>
  <c r="A8" i="111"/>
  <c r="A4" i="122"/>
  <c r="A11" i="88"/>
  <c r="A16" i="88"/>
  <c r="A13" i="92"/>
  <c r="A22" i="102"/>
  <c r="A4" i="96"/>
  <c r="A20" i="91"/>
  <c r="A18" i="121"/>
  <c r="A20" i="82"/>
  <c r="A29" i="102"/>
  <c r="A22" i="98"/>
  <c r="A19" i="94"/>
  <c r="A16" i="103"/>
  <c r="A25" i="109"/>
  <c r="A11" i="112"/>
  <c r="A24" i="80"/>
  <c r="A24" i="113"/>
  <c r="A21" i="95"/>
  <c r="A32" i="80"/>
  <c r="A11" i="89"/>
  <c r="A16" i="93"/>
  <c r="A7" i="98"/>
  <c r="A17" i="87"/>
  <c r="A11" i="121"/>
  <c r="A6" i="109"/>
  <c r="A8" i="95"/>
  <c r="A11" i="114"/>
  <c r="A31" i="90"/>
  <c r="A22" i="122"/>
  <c r="A32" i="107"/>
  <c r="A12" i="89"/>
  <c r="A22" i="99"/>
  <c r="A18" i="118"/>
  <c r="A8" i="89"/>
  <c r="A5" i="82"/>
  <c r="A26" i="92"/>
  <c r="A19" i="121"/>
  <c r="A20" i="86"/>
  <c r="A11" i="97"/>
  <c r="A19" i="108"/>
  <c r="A15" i="99"/>
  <c r="A19" i="102"/>
  <c r="A29" i="104"/>
  <c r="A5" i="57"/>
  <c r="A22" i="105"/>
  <c r="A11" i="102"/>
  <c r="A20" i="92"/>
  <c r="A17" i="121"/>
  <c r="A28" i="109"/>
  <c r="A20" i="95"/>
  <c r="A14" i="119"/>
  <c r="A18" i="104"/>
  <c r="A7" i="80"/>
  <c r="A4" i="109"/>
  <c r="A15" i="98"/>
  <c r="A16" i="100"/>
  <c r="A22" i="82"/>
  <c r="A4" i="111"/>
  <c r="A10" i="94"/>
  <c r="A9" i="109"/>
  <c r="A9" i="88"/>
  <c r="A6" i="107"/>
  <c r="A4" i="82"/>
  <c r="A20" i="80"/>
  <c r="A8" i="112"/>
  <c r="A18" i="86"/>
  <c r="A5" i="105"/>
  <c r="A8" i="88"/>
  <c r="A18" i="99"/>
  <c r="A9" i="112"/>
  <c r="A18" i="108"/>
  <c r="A15" i="103"/>
  <c r="A25" i="91"/>
  <c r="A28" i="104"/>
  <c r="A5" i="113"/>
  <c r="A11" i="106"/>
  <c r="A3" i="114"/>
  <c r="A29" i="90"/>
  <c r="A5" i="90"/>
  <c r="A12" i="122"/>
  <c r="A31" i="86"/>
  <c r="A3" i="118"/>
  <c r="A20" i="100"/>
  <c r="A6" i="85"/>
  <c r="A10" i="91"/>
  <c r="A5" i="106"/>
  <c r="A26" i="113"/>
  <c r="A15" i="121"/>
  <c r="A3" i="121"/>
  <c r="A11" i="94"/>
  <c r="A5" i="98"/>
  <c r="A6" i="108"/>
  <c r="A20" i="85"/>
  <c r="A10" i="79"/>
  <c r="A13" i="103"/>
  <c r="A18" i="98"/>
  <c r="A21" i="107"/>
  <c r="A12" i="95"/>
  <c r="A4" i="105"/>
  <c r="A3" i="90"/>
  <c r="A15" i="57"/>
  <c r="A13" i="122"/>
  <c r="A10" i="113"/>
  <c r="A16" i="91"/>
  <c r="A26" i="108"/>
  <c r="A24" i="92"/>
  <c r="A21" i="90"/>
  <c r="A26" i="121"/>
  <c r="A14" i="112"/>
  <c r="A8" i="93"/>
  <c r="A18" i="103"/>
  <c r="A11" i="96"/>
  <c r="A19" i="97"/>
  <c r="A17" i="106"/>
  <c r="A30" i="102"/>
  <c r="A8" i="82"/>
  <c r="A13" i="120"/>
  <c r="A3" i="93"/>
  <c r="A31" i="105"/>
  <c r="A26" i="87"/>
  <c r="A28" i="97"/>
  <c r="A20" i="97"/>
  <c r="A6" i="80"/>
  <c r="A21" i="92"/>
  <c r="A22" i="92"/>
  <c r="A25" i="108"/>
  <c r="A20" i="99"/>
  <c r="A4" i="106"/>
  <c r="A19" i="86"/>
  <c r="A19" i="83"/>
  <c r="A21" i="120"/>
  <c r="A14" i="103"/>
  <c r="A13" i="91"/>
  <c r="A14" i="79"/>
  <c r="A22" i="90"/>
  <c r="A11" i="57"/>
  <c r="A4" i="94"/>
  <c r="A23" i="107"/>
  <c r="A23" i="82"/>
  <c r="A10" i="109"/>
  <c r="A18" i="92"/>
  <c r="A4" i="118"/>
  <c r="A28" i="89"/>
  <c r="A16" i="121"/>
  <c r="A22" i="97"/>
  <c r="A37" i="93"/>
  <c r="A13" i="105"/>
  <c r="A29" i="89"/>
  <c r="A16" i="87"/>
  <c r="A20" i="90"/>
  <c r="A29" i="86"/>
  <c r="A23" i="85"/>
  <c r="A14" i="108"/>
  <c r="A30" i="104"/>
  <c r="A3" i="87"/>
  <c r="A6" i="94"/>
  <c r="A18" i="80"/>
  <c r="A9" i="119"/>
  <c r="A14" i="110"/>
  <c r="A7" i="85"/>
  <c r="A27" i="102"/>
  <c r="A15" i="90"/>
  <c r="A23" i="108"/>
  <c r="A20" i="113"/>
  <c r="A25" i="99"/>
  <c r="A17" i="96"/>
  <c r="A35" i="93"/>
  <c r="A13" i="102"/>
  <c r="A3" i="82"/>
  <c r="A27" i="100"/>
  <c r="A10" i="106"/>
  <c r="A12" i="112"/>
  <c r="A24" i="109"/>
  <c r="A10" i="108"/>
  <c r="A25" i="105"/>
  <c r="A8" i="122"/>
  <c r="A7" i="120"/>
  <c r="A5" i="79"/>
  <c r="A12" i="94"/>
  <c r="A6" i="120"/>
  <c r="A4" i="86"/>
  <c r="A27" i="109"/>
  <c r="A12" i="80"/>
  <c r="A19" i="80"/>
  <c r="A8" i="91"/>
  <c r="A18" i="100"/>
  <c r="A11" i="120"/>
  <c r="A26" i="100"/>
  <c r="A13" i="94"/>
  <c r="A10" i="104"/>
  <c r="A27" i="90"/>
  <c r="A18" i="97"/>
  <c r="A24" i="105"/>
  <c r="A33" i="93"/>
  <c r="A24" i="118"/>
  <c r="A19" i="89"/>
  <c r="A27" i="118"/>
  <c r="A22" i="100"/>
  <c r="A4" i="110"/>
  <c r="A26" i="79"/>
  <c r="A4" i="90"/>
  <c r="A13" i="111"/>
  <c r="A27" i="85"/>
  <c r="A33" i="104"/>
  <c r="A28" i="85"/>
  <c r="A3" i="79"/>
  <c r="A7" i="100"/>
  <c r="A22" i="87"/>
  <c r="A33" i="80"/>
  <c r="A6" i="114"/>
  <c r="A7" i="90"/>
  <c r="A28" i="100"/>
  <c r="A18" i="107"/>
  <c r="A13" i="88"/>
  <c r="A4" i="99"/>
  <c r="A5" i="95"/>
  <c r="A8" i="120"/>
  <c r="A15" i="118"/>
  <c r="A10" i="83"/>
  <c r="A23" i="121"/>
  <c r="A10" i="105"/>
  <c r="A33" i="90"/>
  <c r="A13" i="106"/>
  <c r="A15" i="109"/>
  <c r="A15" i="91"/>
  <c r="A9" i="120"/>
  <c r="A11" i="103"/>
  <c r="A13" i="80"/>
  <c r="A19" i="104"/>
  <c r="A17" i="82"/>
  <c r="A23" i="94"/>
  <c r="A29" i="100"/>
  <c r="A23" i="111"/>
  <c r="A25" i="106"/>
  <c r="A22" i="103"/>
  <c r="A27" i="93"/>
  <c r="A9" i="111"/>
  <c r="A24" i="103"/>
  <c r="A22" i="118"/>
  <c r="A25" i="83"/>
  <c r="A17" i="108"/>
  <c r="A14" i="122"/>
  <c r="A7" i="83"/>
  <c r="A4" i="89"/>
  <c r="A31" i="80"/>
  <c r="A31" i="103"/>
  <c r="A21" i="91"/>
  <c r="A24" i="119"/>
  <c r="A11" i="118"/>
  <c r="A28" i="113"/>
  <c r="A12" i="88"/>
  <c r="A19" i="110"/>
  <c r="A7" i="111"/>
  <c r="A15" i="107"/>
  <c r="A8" i="83"/>
  <c r="A16" i="107"/>
  <c r="A23" i="98"/>
  <c r="A12" i="109"/>
  <c r="A8" i="119"/>
  <c r="A4" i="87"/>
  <c r="A29" i="80"/>
  <c r="A20" i="93"/>
  <c r="A5" i="94"/>
  <c r="A15" i="94"/>
  <c r="A27" i="91"/>
  <c r="A15" i="97"/>
  <c r="A19" i="100"/>
  <c r="A16" i="94"/>
  <c r="A20" i="102"/>
  <c r="A32" i="103"/>
  <c r="A26" i="105"/>
  <c r="A25" i="85"/>
  <c r="A6" i="92"/>
  <c r="A13" i="100"/>
  <c r="A26" i="109"/>
  <c r="A22" i="91"/>
  <c r="A26" i="103"/>
  <c r="A12" i="91"/>
  <c r="A12" i="99"/>
  <c r="A24" i="57"/>
  <c r="A23" i="91"/>
  <c r="A20" i="87"/>
  <c r="A12" i="105"/>
  <c r="A8" i="100"/>
  <c r="A24" i="108"/>
  <c r="A6" i="57"/>
  <c r="A30" i="89"/>
  <c r="A31" i="107"/>
  <c r="A7" i="96"/>
  <c r="A14" i="89"/>
  <c r="A9" i="97"/>
  <c r="A33" i="105"/>
  <c r="A26" i="83"/>
  <c r="A21" i="93"/>
  <c r="A28" i="93"/>
  <c r="A25" i="86"/>
  <c r="A10" i="93"/>
  <c r="A8" i="79"/>
  <c r="A7" i="82"/>
  <c r="A18" i="88"/>
  <c r="A11" i="107"/>
  <c r="A21" i="103"/>
  <c r="A28" i="86"/>
  <c r="A13" i="87"/>
  <c r="A18" i="119"/>
  <c r="A6" i="89"/>
  <c r="A25" i="57"/>
  <c r="A10" i="119"/>
  <c r="A28" i="102"/>
  <c r="A13" i="98"/>
  <c r="A6" i="121"/>
  <c r="A9" i="122"/>
  <c r="A21" i="85"/>
  <c r="A3" i="105"/>
  <c r="A4" i="83"/>
  <c r="A23" i="118"/>
  <c r="A11" i="119"/>
  <c r="A25" i="82"/>
  <c r="A19" i="118"/>
  <c r="A27" i="103"/>
  <c r="A23" i="80"/>
  <c r="A14" i="90"/>
  <c r="A15" i="93"/>
  <c r="A22" i="93"/>
  <c r="A7" i="92"/>
  <c r="A3" i="113"/>
  <c r="A6" i="91"/>
  <c r="A24" i="106"/>
  <c r="A7" i="94"/>
  <c r="A27" i="121"/>
  <c r="A9" i="82"/>
  <c r="A35" i="104"/>
  <c r="A20" i="94"/>
  <c r="A9" i="86"/>
  <c r="A12" i="86"/>
  <c r="A9" i="108"/>
  <c r="A13" i="83"/>
  <c r="A5" i="112"/>
  <c r="A4" i="93"/>
  <c r="A6" i="87"/>
  <c r="A16" i="110"/>
  <c r="A8" i="86"/>
  <c r="A29" i="87"/>
  <c r="A28" i="83"/>
  <c r="A3" i="100"/>
  <c r="A36" i="93"/>
  <c r="A23" i="57"/>
  <c r="A15" i="96"/>
  <c r="A24" i="107"/>
  <c r="A21" i="122"/>
  <c r="A27" i="98"/>
  <c r="A10" i="118"/>
  <c r="A23" i="100"/>
  <c r="A17" i="122"/>
  <c r="A20" i="103"/>
  <c r="A26" i="102"/>
  <c r="A30" i="109"/>
  <c r="A25" i="97"/>
  <c r="A5" i="99"/>
  <c r="A24" i="83"/>
  <c r="A5" i="122"/>
  <c r="A25" i="89"/>
  <c r="A26" i="110"/>
  <c r="A23" i="109"/>
  <c r="A8" i="105"/>
  <c r="A20" i="98"/>
  <c r="A30" i="86"/>
  <c r="A18" i="79"/>
  <c r="A26" i="119"/>
  <c r="A15" i="122"/>
  <c r="A5" i="85"/>
  <c r="A12" i="98"/>
  <c r="A21" i="118"/>
  <c r="A9" i="83"/>
  <c r="A5" i="88"/>
  <c r="A15" i="106"/>
  <c r="A30" i="110"/>
  <c r="A24" i="87"/>
  <c r="A22" i="109"/>
  <c r="A12" i="108"/>
  <c r="A3" i="80"/>
  <c r="A10" i="111"/>
  <c r="A18" i="83"/>
  <c r="A6" i="110"/>
  <c r="A7" i="97"/>
  <c r="A27" i="95"/>
  <c r="A25" i="110"/>
  <c r="A19" i="107"/>
  <c r="A5" i="104"/>
  <c r="A7" i="107"/>
  <c r="A40" i="93"/>
  <c r="A25" i="98"/>
  <c r="A16" i="86"/>
  <c r="A9" i="87"/>
</calcChain>
</file>

<file path=xl/sharedStrings.xml><?xml version="1.0" encoding="utf-8"?>
<sst xmlns="http://schemas.openxmlformats.org/spreadsheetml/2006/main" count="3650" uniqueCount="89">
  <si>
    <t>汇总统计</t>
  </si>
  <si>
    <t>白班</t>
  </si>
  <si>
    <t>夜班</t>
  </si>
  <si>
    <t>总小时数</t>
  </si>
  <si>
    <t>调度席</t>
  </si>
  <si>
    <t>目录</t>
  </si>
  <si>
    <t>带班</t>
  </si>
  <si>
    <t>席位</t>
  </si>
  <si>
    <t>教员</t>
  </si>
  <si>
    <t>温若春</t>
  </si>
  <si>
    <t>明嘉</t>
  </si>
  <si>
    <t>徐万友</t>
  </si>
  <si>
    <t>耿若岩</t>
  </si>
  <si>
    <t>李明</t>
  </si>
  <si>
    <t>张虎</t>
  </si>
  <si>
    <t>马莲花</t>
  </si>
  <si>
    <t>刘国莲</t>
  </si>
  <si>
    <t>杜涛</t>
  </si>
  <si>
    <t>张文中</t>
  </si>
  <si>
    <t xml:space="preserve"> </t>
  </si>
  <si>
    <t>李秋实</t>
  </si>
  <si>
    <t>周岸</t>
  </si>
  <si>
    <t>詹泽彬</t>
  </si>
  <si>
    <t>张笑延</t>
  </si>
  <si>
    <t>沈宁</t>
  </si>
  <si>
    <t>胡鑫</t>
  </si>
  <si>
    <t>邓心豪</t>
  </si>
  <si>
    <t>黄恩</t>
  </si>
  <si>
    <t>严亮</t>
  </si>
  <si>
    <t>边昊</t>
  </si>
  <si>
    <t>张宗根</t>
  </si>
  <si>
    <t>宋天霖</t>
  </si>
  <si>
    <t>蔡昊霖</t>
  </si>
  <si>
    <t>叶大鹏</t>
  </si>
  <si>
    <t>王建超</t>
  </si>
  <si>
    <t>潘伟生</t>
  </si>
  <si>
    <t>王风瑞</t>
  </si>
  <si>
    <t>金鼎</t>
  </si>
  <si>
    <t>董志华</t>
  </si>
  <si>
    <t>姜文夫</t>
  </si>
  <si>
    <t>郭永杰</t>
  </si>
  <si>
    <t>朱永春</t>
  </si>
  <si>
    <t>刘琦</t>
  </si>
  <si>
    <t>吴疆</t>
  </si>
  <si>
    <t>巴富毅</t>
  </si>
  <si>
    <t>陈宏伟</t>
  </si>
  <si>
    <t>蒋露裕</t>
  </si>
  <si>
    <t>蓝宇航</t>
  </si>
  <si>
    <t>返回目录</t>
  </si>
  <si>
    <t>日  期</t>
  </si>
  <si>
    <t>岗  位</t>
  </si>
  <si>
    <t>上岗时刻</t>
  </si>
  <si>
    <t>交接班</t>
  </si>
  <si>
    <t>离岗时刻</t>
  </si>
  <si>
    <t>时段工作小时</t>
  </si>
  <si>
    <t>白班小时</t>
  </si>
  <si>
    <t>夜班小时 (0200-0800)</t>
  </si>
  <si>
    <t>统   计</t>
  </si>
  <si>
    <t>各席位总小时</t>
  </si>
  <si>
    <t>夜班小时 (0000-0800)</t>
  </si>
  <si>
    <t>备注</t>
  </si>
  <si>
    <t>带班主任</t>
  </si>
  <si>
    <t>完成</t>
  </si>
  <si>
    <t>带班主任席执勤小时</t>
  </si>
  <si>
    <t>机场管制席执勤小时</t>
  </si>
  <si>
    <t>机场协调席执勤小时</t>
  </si>
  <si>
    <t>放行席执勤小时</t>
  </si>
  <si>
    <t>地面席执勤小时</t>
  </si>
  <si>
    <t>生产调度席执勤小时</t>
  </si>
  <si>
    <t>航班调度席执勤小时</t>
  </si>
  <si>
    <t>综合协调席小时</t>
  </si>
  <si>
    <t>见习管制员小时</t>
  </si>
  <si>
    <t>管制教员席小时</t>
  </si>
  <si>
    <t>月度总小时统计</t>
  </si>
  <si>
    <t>统计</t>
  </si>
  <si>
    <t>席位执勤小时</t>
  </si>
  <si>
    <t>管制教员小时</t>
  </si>
  <si>
    <t>月度总小时</t>
  </si>
  <si>
    <t>西塔台管制席</t>
  </si>
  <si>
    <t>航班调度席</t>
  </si>
  <si>
    <t>东塔台协调席</t>
  </si>
  <si>
    <t>地面席</t>
  </si>
  <si>
    <t>西塔台协调席</t>
  </si>
  <si>
    <t>东塔台管制席</t>
  </si>
  <si>
    <t>放行席</t>
  </si>
  <si>
    <t>综合协调席</t>
  </si>
  <si>
    <t>管制教员席</t>
  </si>
  <si>
    <t>生产调度席</t>
  </si>
  <si>
    <t>见习管制员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</si>
</sst>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_ "/>
    <numFmt numFmtId="177" formatCode="0.00_);[Red]\(0.00\)"/>
    <numFmt numFmtId="178" formatCode="h:mm:ss;@"/>
    <numFmt numFmtId="179" formatCode="0.0_);[Red]\(0.0\)"/>
    <numFmt numFmtId="180" formatCode="0.0"/>
  </numFmts>
  <fonts count="17" x14ac:knownFonts="1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rgb="FFFF0000"/>
      <name val="宋体"/>
      <charset val="134"/>
      <scheme val="minor"/>
    </font>
    <font>
      <b/>
      <sz val="14"/>
      <color theme="4"/>
      <name val="宋体"/>
      <charset val="134"/>
      <scheme val="minor"/>
    </font>
    <font>
      <b/>
      <sz val="14"/>
      <color theme="7"/>
      <name val="宋体"/>
      <charset val="134"/>
      <scheme val="minor"/>
    </font>
    <font>
      <b/>
      <sz val="14"/>
      <color theme="9"/>
      <name val="宋体"/>
      <charset val="134"/>
      <scheme val="minor"/>
    </font>
    <font>
      <b/>
      <sz val="18"/>
      <color theme="1"/>
      <name val="宋体"/>
      <charset val="134"/>
      <scheme val="minor"/>
    </font>
    <font>
      <sz val="18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sz val="16"/>
      <color theme="1"/>
      <name val="宋体"/>
      <charset val="134"/>
      <scheme val="minor"/>
    </font>
    <font>
      <b/>
      <sz val="16"/>
      <color rgb="FFFF000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20"/>
      <color theme="1"/>
      <name val="宋体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>
      <alignment vertical="center"/>
    </xf>
  </cellStyleXfs>
  <cellXfs count="71">
    <xf numFmtId="0" fontId="0" fillId="0" borderId="0" xfId="0"/>
    <xf numFmtId="0" fontId="0" fillId="0" borderId="0" xfId="0" applyNumberFormat="1"/>
    <xf numFmtId="176" fontId="0" fillId="0" borderId="0" xfId="0" applyNumberFormat="1"/>
    <xf numFmtId="177" fontId="0" fillId="0" borderId="0" xfId="0" applyNumberFormat="1"/>
    <xf numFmtId="177" fontId="1" fillId="0" borderId="0" xfId="0" applyNumberFormat="1" applyFont="1"/>
    <xf numFmtId="178" fontId="3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 wrapText="1"/>
    </xf>
    <xf numFmtId="176" fontId="3" fillId="0" borderId="1" xfId="0" applyNumberFormat="1" applyFont="1" applyBorder="1" applyAlignment="1">
      <alignment horizontal="center" vertical="center" wrapText="1"/>
    </xf>
    <xf numFmtId="177" fontId="1" fillId="0" borderId="1" xfId="0" applyNumberFormat="1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 wrapText="1"/>
    </xf>
    <xf numFmtId="177" fontId="1" fillId="0" borderId="1" xfId="0" applyNumberFormat="1" applyFont="1" applyFill="1" applyBorder="1" applyAlignment="1">
      <alignment horizontal="center" vertical="center" wrapText="1"/>
    </xf>
    <xf numFmtId="177" fontId="5" fillId="0" borderId="1" xfId="0" applyNumberFormat="1" applyFont="1" applyFill="1" applyBorder="1" applyAlignment="1">
      <alignment horizontal="center" vertical="center"/>
    </xf>
    <xf numFmtId="176" fontId="5" fillId="0" borderId="1" xfId="0" applyNumberFormat="1" applyFont="1" applyFill="1" applyBorder="1" applyAlignment="1">
      <alignment horizontal="center" vertical="center"/>
    </xf>
    <xf numFmtId="179" fontId="5" fillId="0" borderId="1" xfId="0" applyNumberFormat="1" applyFont="1" applyFill="1" applyBorder="1" applyAlignment="1"/>
    <xf numFmtId="0" fontId="0" fillId="0" borderId="1" xfId="0" applyFont="1" applyFill="1" applyBorder="1" applyAlignment="1"/>
    <xf numFmtId="21" fontId="0" fillId="0" borderId="0" xfId="0" applyNumberFormat="1"/>
    <xf numFmtId="177" fontId="6" fillId="0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9" fontId="6" fillId="0" borderId="1" xfId="0" applyNumberFormat="1" applyFont="1" applyFill="1" applyBorder="1" applyAlignment="1"/>
    <xf numFmtId="177" fontId="7" fillId="0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>
      <alignment horizontal="center" vertical="center"/>
    </xf>
    <xf numFmtId="179" fontId="7" fillId="0" borderId="1" xfId="0" applyNumberFormat="1" applyFont="1" applyFill="1" applyBorder="1" applyAlignment="1"/>
    <xf numFmtId="177" fontId="8" fillId="0" borderId="1" xfId="0" applyNumberFormat="1" applyFont="1" applyFill="1" applyBorder="1" applyAlignment="1">
      <alignment horizontal="center" vertical="center"/>
    </xf>
    <xf numFmtId="176" fontId="8" fillId="0" borderId="1" xfId="0" applyNumberFormat="1" applyFont="1" applyFill="1" applyBorder="1" applyAlignment="1">
      <alignment horizontal="center" vertical="center"/>
    </xf>
    <xf numFmtId="179" fontId="8" fillId="0" borderId="1" xfId="0" applyNumberFormat="1" applyFont="1" applyFill="1" applyBorder="1" applyAlignment="1"/>
    <xf numFmtId="177" fontId="11" fillId="0" borderId="2" xfId="0" applyNumberFormat="1" applyFont="1" applyFill="1" applyBorder="1" applyAlignment="1">
      <alignment horizontal="center" vertical="center"/>
    </xf>
    <xf numFmtId="178" fontId="11" fillId="0" borderId="2" xfId="0" applyNumberFormat="1" applyFont="1" applyFill="1" applyBorder="1" applyAlignment="1">
      <alignment horizontal="center" vertical="center" wrapText="1"/>
    </xf>
    <xf numFmtId="178" fontId="11" fillId="2" borderId="2" xfId="0" applyNumberFormat="1" applyFont="1" applyFill="1" applyBorder="1" applyAlignment="1">
      <alignment horizontal="center" vertical="center" wrapText="1"/>
    </xf>
    <xf numFmtId="177" fontId="11" fillId="3" borderId="2" xfId="0" applyNumberFormat="1" applyFont="1" applyFill="1" applyBorder="1" applyAlignment="1">
      <alignment horizontal="center" vertical="center" wrapText="1"/>
    </xf>
    <xf numFmtId="178" fontId="11" fillId="0" borderId="1" xfId="0" applyNumberFormat="1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/>
    </xf>
    <xf numFmtId="179" fontId="12" fillId="0" borderId="1" xfId="0" applyNumberFormat="1" applyFont="1" applyFill="1" applyBorder="1" applyAlignment="1">
      <alignment horizontal="center"/>
    </xf>
    <xf numFmtId="179" fontId="12" fillId="2" borderId="1" xfId="0" applyNumberFormat="1" applyFont="1" applyFill="1" applyBorder="1" applyAlignment="1">
      <alignment horizontal="center"/>
    </xf>
    <xf numFmtId="179" fontId="12" fillId="3" borderId="1" xfId="0" applyNumberFormat="1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177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179" fontId="12" fillId="0" borderId="1" xfId="0" applyNumberFormat="1" applyFont="1" applyBorder="1" applyAlignment="1">
      <alignment horizontal="center"/>
    </xf>
    <xf numFmtId="0" fontId="0" fillId="0" borderId="1" xfId="0" applyBorder="1"/>
    <xf numFmtId="177" fontId="4" fillId="0" borderId="1" xfId="0" applyNumberFormat="1" applyFont="1" applyBorder="1" applyAlignment="1">
      <alignment horizontal="center" vertical="center"/>
    </xf>
    <xf numFmtId="46" fontId="5" fillId="0" borderId="1" xfId="0" applyNumberFormat="1" applyFont="1" applyBorder="1" applyAlignment="1">
      <alignment horizontal="center" vertical="center"/>
    </xf>
    <xf numFmtId="178" fontId="4" fillId="0" borderId="6" xfId="0" applyNumberFormat="1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/>
    </xf>
    <xf numFmtId="0" fontId="2" fillId="0" borderId="1" xfId="1" applyFont="1" applyBorder="1" applyAlignment="1"/>
    <xf numFmtId="176" fontId="0" fillId="0" borderId="1" xfId="0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/>
    </xf>
    <xf numFmtId="0" fontId="14" fillId="0" borderId="1" xfId="1" applyFont="1" applyBorder="1" applyAlignment="1"/>
    <xf numFmtId="0" fontId="14" fillId="0" borderId="1" xfId="1" applyBorder="1" applyAlignment="1"/>
    <xf numFmtId="180" fontId="0" fillId="0" borderId="1" xfId="0" applyNumberFormat="1" applyBorder="1" applyAlignment="1">
      <alignment horizontal="center" vertical="center"/>
    </xf>
    <xf numFmtId="180" fontId="0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0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5" fillId="4" borderId="1" xfId="0" applyFont="1" applyFill="1" applyBorder="1" applyAlignment="1">
      <alignment horizontal="center"/>
    </xf>
    <xf numFmtId="178" fontId="14" fillId="0" borderId="1" xfId="1" applyNumberForma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9" fontId="13" fillId="0" borderId="3" xfId="0" applyNumberFormat="1" applyFont="1" applyFill="1" applyBorder="1" applyAlignment="1">
      <alignment horizontal="center" vertical="center"/>
    </xf>
    <xf numFmtId="179" fontId="13" fillId="0" borderId="4" xfId="0" applyNumberFormat="1" applyFont="1" applyFill="1" applyBorder="1" applyAlignment="1">
      <alignment horizontal="center" vertical="center"/>
    </xf>
    <xf numFmtId="179" fontId="13" fillId="0" borderId="5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178" fontId="2" fillId="0" borderId="1" xfId="1" applyNumberFormat="1" applyFont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42"/>
  <sheetViews>
    <sheetView workbookViewId="0">
      <selection activeCell="N36" sqref="N36"/>
    </sheetView>
  </sheetViews>
  <sheetFormatPr defaultColWidth="9" defaultRowHeight="13.5" x14ac:dyDescent="0.15"/>
  <sheetData>
    <row r="1" spans="1:14" ht="14.1" customHeight="1" x14ac:dyDescent="0.15">
      <c r="A1" s="44"/>
      <c r="B1" s="61" t="s">
        <v>0</v>
      </c>
      <c r="C1" s="61"/>
      <c r="D1" s="61"/>
      <c r="E1" s="61"/>
      <c r="F1" s="61"/>
      <c r="G1" s="61"/>
    </row>
    <row r="2" spans="1:14" ht="14.1" customHeight="1" x14ac:dyDescent="0.15">
      <c r="A2" s="44"/>
      <c r="B2" s="61"/>
      <c r="C2" s="61"/>
      <c r="D2" s="61"/>
      <c r="E2" s="61"/>
      <c r="F2" s="61"/>
      <c r="G2" s="61"/>
    </row>
    <row r="3" spans="1:14" ht="14.1" customHeight="1" x14ac:dyDescent="0.15">
      <c r="A3" s="44"/>
      <c r="B3" s="57" t="s">
        <v>1</v>
      </c>
      <c r="C3" s="57"/>
      <c r="D3" s="57"/>
      <c r="E3" s="57" t="s">
        <v>2</v>
      </c>
      <c r="F3" s="58"/>
      <c r="G3" s="58"/>
      <c r="H3" s="59" t="s">
        <v>3</v>
      </c>
      <c r="I3" s="59" t="s">
        <v>4</v>
      </c>
    </row>
    <row r="4" spans="1:14" x14ac:dyDescent="0.15">
      <c r="A4" s="44" t="s">
        <v>5</v>
      </c>
      <c r="B4" s="48" t="s">
        <v>6</v>
      </c>
      <c r="C4" s="48" t="s">
        <v>7</v>
      </c>
      <c r="D4" s="48" t="s">
        <v>8</v>
      </c>
      <c r="E4" s="48" t="s">
        <v>6</v>
      </c>
      <c r="F4" s="48" t="s">
        <v>7</v>
      </c>
      <c r="G4" s="48" t="s">
        <v>8</v>
      </c>
      <c r="H4" s="60"/>
      <c r="I4" s="60"/>
    </row>
    <row r="5" spans="1:14" x14ac:dyDescent="0.15">
      <c r="A5" s="49" t="s">
        <v>9</v>
      </c>
      <c r="B5" s="50">
        <f>温若春!K16</f>
        <v>71.720000000000013</v>
      </c>
      <c r="C5" s="50">
        <f>温若春!K17</f>
        <v>6.269722222222196</v>
      </c>
      <c r="D5" s="50">
        <f>温若春!K19</f>
        <v>0</v>
      </c>
      <c r="E5" s="50">
        <f>温若春!L16</f>
        <v>38.014166666666604</v>
      </c>
      <c r="F5" s="50">
        <f>温若春!L17</f>
        <v>0</v>
      </c>
      <c r="G5" s="50">
        <f>温若春!L19</f>
        <v>0</v>
      </c>
      <c r="H5" s="51">
        <f>SUM(B5:G5)</f>
        <v>116.00388888888881</v>
      </c>
      <c r="I5" s="54">
        <f>温若春!J21</f>
        <v>0</v>
      </c>
    </row>
    <row r="6" spans="1:14" x14ac:dyDescent="0.15">
      <c r="A6" s="52" t="s">
        <v>10</v>
      </c>
      <c r="B6" s="51">
        <f>明嘉!K16</f>
        <v>0</v>
      </c>
      <c r="C6" s="51">
        <f>明嘉!K17</f>
        <v>33.010000000000026</v>
      </c>
      <c r="D6" s="51">
        <f>明嘉!K19</f>
        <v>0</v>
      </c>
      <c r="E6" s="50">
        <f>明嘉!L16</f>
        <v>0</v>
      </c>
      <c r="F6" s="50">
        <f>明嘉!L17</f>
        <v>26.168611111111098</v>
      </c>
      <c r="G6" s="50">
        <f>明嘉!L19</f>
        <v>0</v>
      </c>
      <c r="H6" s="51">
        <f t="shared" ref="H6:H40" si="0">SUM(B6:G6)</f>
        <v>59.178611111111124</v>
      </c>
      <c r="I6" s="54">
        <f>明嘉!J21</f>
        <v>10.444722222222266</v>
      </c>
    </row>
    <row r="7" spans="1:14" x14ac:dyDescent="0.15">
      <c r="A7" s="52" t="s">
        <v>11</v>
      </c>
      <c r="B7" s="50">
        <f>徐万友!K16</f>
        <v>0</v>
      </c>
      <c r="C7" s="50">
        <f>徐万友!K17</f>
        <v>41.674722222222286</v>
      </c>
      <c r="D7" s="50">
        <f>徐万友!K19</f>
        <v>0</v>
      </c>
      <c r="E7" s="50">
        <f>徐万友!L16</f>
        <v>0</v>
      </c>
      <c r="F7" s="50">
        <f>徐万友!L17</f>
        <v>29.83749999999997</v>
      </c>
      <c r="G7" s="50">
        <f>徐万友!L19</f>
        <v>0</v>
      </c>
      <c r="H7" s="51">
        <f t="shared" si="0"/>
        <v>71.512222222222249</v>
      </c>
      <c r="I7" s="54">
        <f>徐万友!J21</f>
        <v>6.0941666666666858</v>
      </c>
    </row>
    <row r="8" spans="1:14" x14ac:dyDescent="0.15">
      <c r="A8" s="53" t="s">
        <v>12</v>
      </c>
      <c r="B8" s="50">
        <f>耿若岩!K16</f>
        <v>0</v>
      </c>
      <c r="C8" s="50">
        <f>耿若岩!K17</f>
        <v>36.881666666666717</v>
      </c>
      <c r="D8" s="50">
        <f>耿若岩!K19</f>
        <v>0</v>
      </c>
      <c r="E8" s="50">
        <f>耿若岩!L16</f>
        <v>0</v>
      </c>
      <c r="F8" s="50">
        <f>耿若岩!L17</f>
        <v>27.612499999999951</v>
      </c>
      <c r="G8" s="50">
        <f>耿若岩!L19</f>
        <v>0</v>
      </c>
      <c r="H8" s="51">
        <f t="shared" si="0"/>
        <v>64.494166666666672</v>
      </c>
      <c r="I8" s="55">
        <f>耿若岩!J21</f>
        <v>2.8463888888889124</v>
      </c>
    </row>
    <row r="9" spans="1:14" x14ac:dyDescent="0.15">
      <c r="A9" s="49" t="s">
        <v>13</v>
      </c>
      <c r="B9" s="50">
        <f>李明!K16</f>
        <v>0</v>
      </c>
      <c r="C9" s="50">
        <f>李明!K17</f>
        <v>33.840555555555625</v>
      </c>
      <c r="D9" s="50">
        <f>李明!K19</f>
        <v>0</v>
      </c>
      <c r="E9" s="50">
        <f>李明!L16</f>
        <v>0</v>
      </c>
      <c r="F9" s="50">
        <f>李明!L17</f>
        <v>36.73777777777768</v>
      </c>
      <c r="G9" s="50">
        <f>李明!L19</f>
        <v>0</v>
      </c>
      <c r="H9" s="51">
        <f t="shared" si="0"/>
        <v>70.578333333333305</v>
      </c>
      <c r="I9" s="54">
        <f>李明!J21</f>
        <v>0</v>
      </c>
    </row>
    <row r="10" spans="1:14" x14ac:dyDescent="0.15">
      <c r="A10" s="52" t="s">
        <v>14</v>
      </c>
      <c r="B10" s="50">
        <f>张虎!K16</f>
        <v>0</v>
      </c>
      <c r="C10" s="50">
        <f>张虎!K17</f>
        <v>31.532499999999981</v>
      </c>
      <c r="D10" s="50">
        <f>张虎!K19</f>
        <v>0</v>
      </c>
      <c r="E10" s="50">
        <f>张虎!L16</f>
        <v>0</v>
      </c>
      <c r="F10" s="50">
        <f>张虎!L17</f>
        <v>27.695000000000032</v>
      </c>
      <c r="G10" s="50">
        <f>张虎!L19</f>
        <v>0</v>
      </c>
      <c r="H10" s="51">
        <f t="shared" si="0"/>
        <v>59.227500000000013</v>
      </c>
      <c r="I10" s="54">
        <f>张虎!J21</f>
        <v>0</v>
      </c>
    </row>
    <row r="11" spans="1:14" x14ac:dyDescent="0.15">
      <c r="A11" s="49" t="s">
        <v>15</v>
      </c>
      <c r="B11" s="50">
        <f>马莲花!K16</f>
        <v>56.631111111111245</v>
      </c>
      <c r="C11" s="50">
        <f>马莲花!K17</f>
        <v>0.8166666666666722</v>
      </c>
      <c r="D11" s="50">
        <f>马莲花!K19</f>
        <v>0</v>
      </c>
      <c r="E11" s="50">
        <f>马莲花!L16</f>
        <v>28.115277777777717</v>
      </c>
      <c r="F11" s="50">
        <f>马莲花!L17</f>
        <v>6.7436111111111021</v>
      </c>
      <c r="G11" s="50">
        <f>马莲花!L19</f>
        <v>0</v>
      </c>
      <c r="H11" s="51">
        <f t="shared" si="0"/>
        <v>92.306666666666743</v>
      </c>
      <c r="I11" s="54">
        <f>马莲花!J21</f>
        <v>0</v>
      </c>
    </row>
    <row r="12" spans="1:14" x14ac:dyDescent="0.15">
      <c r="A12" s="49" t="s">
        <v>16</v>
      </c>
      <c r="B12" s="50">
        <f>刘国莲!K15</f>
        <v>0</v>
      </c>
      <c r="C12" s="50">
        <f>刘国莲!K16</f>
        <v>48.343055555555637</v>
      </c>
      <c r="D12" s="50">
        <f>刘国莲!K18</f>
        <v>0</v>
      </c>
      <c r="E12" s="50">
        <f>刘国莲!L15</f>
        <v>0</v>
      </c>
      <c r="F12" s="50">
        <f>刘国莲!L16</f>
        <v>25.595277777777753</v>
      </c>
      <c r="G12" s="50">
        <f>刘国莲!L18</f>
        <v>0</v>
      </c>
      <c r="H12" s="51">
        <f t="shared" si="0"/>
        <v>73.938333333333389</v>
      </c>
      <c r="I12" s="54">
        <f>刘国莲!J20</f>
        <v>0</v>
      </c>
    </row>
    <row r="13" spans="1:14" x14ac:dyDescent="0.15">
      <c r="A13" s="49" t="s">
        <v>17</v>
      </c>
      <c r="B13" s="50">
        <f>杜涛!K16</f>
        <v>0</v>
      </c>
      <c r="C13" s="50">
        <f>杜涛!K17</f>
        <v>24.555277777777825</v>
      </c>
      <c r="D13" s="50">
        <f>杜涛!K19</f>
        <v>0</v>
      </c>
      <c r="E13" s="50">
        <f>杜涛!L16</f>
        <v>0</v>
      </c>
      <c r="F13" s="50">
        <f>杜涛!L17</f>
        <v>22.34388888888887</v>
      </c>
      <c r="G13" s="50">
        <f>杜涛!L19</f>
        <v>0</v>
      </c>
      <c r="H13" s="51">
        <f t="shared" si="0"/>
        <v>46.899166666666694</v>
      </c>
      <c r="I13" s="54">
        <f>杜涛!J21</f>
        <v>6.9644444444444185</v>
      </c>
    </row>
    <row r="14" spans="1:14" x14ac:dyDescent="0.15">
      <c r="A14" s="52" t="s">
        <v>18</v>
      </c>
      <c r="B14" s="50">
        <f>张文中!K16</f>
        <v>0</v>
      </c>
      <c r="C14" s="50">
        <f>张文中!K17</f>
        <v>23.546944444444392</v>
      </c>
      <c r="D14" s="50">
        <f>张文中!K19</f>
        <v>0</v>
      </c>
      <c r="E14" s="50">
        <f>张文中!L16</f>
        <v>0</v>
      </c>
      <c r="F14" s="50">
        <f>张文中!L17</f>
        <v>28.928888888888881</v>
      </c>
      <c r="G14" s="50">
        <f>张文中!L19</f>
        <v>0</v>
      </c>
      <c r="H14" s="51">
        <f t="shared" si="0"/>
        <v>52.47583333333327</v>
      </c>
      <c r="I14" s="54">
        <f>张文中!J21</f>
        <v>18.773888888888902</v>
      </c>
      <c r="N14" s="56" t="s">
        <v>19</v>
      </c>
    </row>
    <row r="15" spans="1:14" x14ac:dyDescent="0.15">
      <c r="A15" s="49" t="s">
        <v>20</v>
      </c>
      <c r="B15" s="50">
        <f>李秋实!K16</f>
        <v>0</v>
      </c>
      <c r="C15" s="50">
        <f>李秋实!K17</f>
        <v>30.799166666666615</v>
      </c>
      <c r="D15" s="50">
        <f>李秋实!K19</f>
        <v>0</v>
      </c>
      <c r="E15" s="50">
        <f>李秋实!L16</f>
        <v>0</v>
      </c>
      <c r="F15" s="50">
        <f>李秋实!L17</f>
        <v>28.649999999999981</v>
      </c>
      <c r="G15" s="50">
        <f>李秋实!L19</f>
        <v>0</v>
      </c>
      <c r="H15" s="51">
        <f t="shared" si="0"/>
        <v>59.449166666666599</v>
      </c>
      <c r="I15" s="54">
        <f>李秋实!J21</f>
        <v>16.797499999999992</v>
      </c>
    </row>
    <row r="16" spans="1:14" x14ac:dyDescent="0.15">
      <c r="A16" s="52" t="s">
        <v>21</v>
      </c>
      <c r="B16" s="50">
        <f>周岸!K16</f>
        <v>0</v>
      </c>
      <c r="C16" s="50">
        <f>周岸!K17</f>
        <v>32.140833333333291</v>
      </c>
      <c r="D16" s="50">
        <f>周岸!K19</f>
        <v>0</v>
      </c>
      <c r="E16" s="50">
        <f>周岸!L16</f>
        <v>0</v>
      </c>
      <c r="F16" s="50">
        <f>周岸!L17</f>
        <v>26.421944444444364</v>
      </c>
      <c r="G16" s="50">
        <f>周岸!L19</f>
        <v>0</v>
      </c>
      <c r="H16" s="51">
        <f t="shared" si="0"/>
        <v>58.562777777777654</v>
      </c>
      <c r="I16" s="54">
        <f>周岸!J21</f>
        <v>1.5511111111111209</v>
      </c>
    </row>
    <row r="17" spans="1:9" x14ac:dyDescent="0.15">
      <c r="A17" s="49" t="s">
        <v>22</v>
      </c>
      <c r="B17" s="50">
        <f>詹泽彬!K16</f>
        <v>0</v>
      </c>
      <c r="C17" s="50">
        <f>詹泽彬!K17</f>
        <v>19.148888888888852</v>
      </c>
      <c r="D17" s="50">
        <f>詹泽彬!K19</f>
        <v>0</v>
      </c>
      <c r="E17" s="50">
        <f>詹泽彬!L16</f>
        <v>0</v>
      </c>
      <c r="F17" s="50">
        <f>詹泽彬!L17</f>
        <v>20.188055555555483</v>
      </c>
      <c r="G17" s="50">
        <f>詹泽彬!L19</f>
        <v>0</v>
      </c>
      <c r="H17" s="51">
        <f t="shared" si="0"/>
        <v>39.336944444444335</v>
      </c>
      <c r="I17" s="54">
        <f>詹泽彬!J21</f>
        <v>8.9702777777777776</v>
      </c>
    </row>
    <row r="18" spans="1:9" x14ac:dyDescent="0.15">
      <c r="A18" s="52" t="s">
        <v>23</v>
      </c>
      <c r="B18" s="50">
        <f>张笑延!K16</f>
        <v>0</v>
      </c>
      <c r="C18" s="50">
        <f>张笑延!K17</f>
        <v>58.341111111111125</v>
      </c>
      <c r="D18" s="50">
        <f>张笑延!K19</f>
        <v>0</v>
      </c>
      <c r="E18" s="50">
        <f>张笑延!L16</f>
        <v>0</v>
      </c>
      <c r="F18" s="50">
        <f>张笑延!L17</f>
        <v>24.137222222222174</v>
      </c>
      <c r="G18" s="50">
        <f>张笑延!L19</f>
        <v>0</v>
      </c>
      <c r="H18" s="51">
        <f t="shared" si="0"/>
        <v>82.478333333333296</v>
      </c>
      <c r="I18" s="54">
        <f>张笑延!J21</f>
        <v>16.109722222222246</v>
      </c>
    </row>
    <row r="19" spans="1:9" x14ac:dyDescent="0.15">
      <c r="A19" s="49" t="s">
        <v>24</v>
      </c>
      <c r="B19" s="51">
        <f>沈宁!K16</f>
        <v>0</v>
      </c>
      <c r="C19" s="51">
        <f>沈宁!K17</f>
        <v>39.202500000000022</v>
      </c>
      <c r="D19" s="51">
        <f>沈宁!K19</f>
        <v>0</v>
      </c>
      <c r="E19" s="51">
        <f>沈宁!L16</f>
        <v>0</v>
      </c>
      <c r="F19" s="51">
        <f>沈宁!L17</f>
        <v>23.072222222222209</v>
      </c>
      <c r="G19" s="51">
        <f>沈宁!L19</f>
        <v>0</v>
      </c>
      <c r="H19" s="51">
        <f t="shared" si="0"/>
        <v>62.274722222222231</v>
      </c>
      <c r="I19" s="54">
        <f>沈宁!J21</f>
        <v>2.1466666666666798</v>
      </c>
    </row>
    <row r="20" spans="1:9" x14ac:dyDescent="0.15">
      <c r="A20" s="53" t="s">
        <v>25</v>
      </c>
      <c r="B20" s="51">
        <f>胡鑫!K16</f>
        <v>0</v>
      </c>
      <c r="C20" s="51">
        <f>胡鑫!K17</f>
        <v>13.081111111111108</v>
      </c>
      <c r="D20" s="51">
        <f>胡鑫!K19</f>
        <v>26.469166666666627</v>
      </c>
      <c r="E20" s="51">
        <f>胡鑫!L16</f>
        <v>0</v>
      </c>
      <c r="F20" s="51">
        <f>胡鑫!L17</f>
        <v>3.1127777777777754</v>
      </c>
      <c r="G20" s="51">
        <f>胡鑫!L19</f>
        <v>32.095833333333346</v>
      </c>
      <c r="H20" s="51">
        <f t="shared" si="0"/>
        <v>74.758888888888862</v>
      </c>
      <c r="I20" s="54">
        <f>胡鑫!J21</f>
        <v>0</v>
      </c>
    </row>
    <row r="21" spans="1:9" x14ac:dyDescent="0.15">
      <c r="A21" s="52" t="s">
        <v>26</v>
      </c>
      <c r="B21" s="51">
        <f>邓心豪!K16</f>
        <v>0</v>
      </c>
      <c r="C21" s="51">
        <f>邓心豪!K17</f>
        <v>28.442499999999988</v>
      </c>
      <c r="D21" s="51">
        <f>邓心豪!K19</f>
        <v>0</v>
      </c>
      <c r="E21" s="51">
        <f>邓心豪!L16</f>
        <v>0</v>
      </c>
      <c r="F21" s="51">
        <f>邓心豪!L17</f>
        <v>23.047222222222231</v>
      </c>
      <c r="G21" s="51">
        <f>邓心豪!L19</f>
        <v>0</v>
      </c>
      <c r="H21" s="51">
        <f t="shared" si="0"/>
        <v>51.48972222222222</v>
      </c>
      <c r="I21" s="54">
        <f>邓心豪!J21</f>
        <v>0</v>
      </c>
    </row>
    <row r="22" spans="1:9" x14ac:dyDescent="0.15">
      <c r="A22" s="49" t="s">
        <v>27</v>
      </c>
      <c r="B22" s="51">
        <f>黄恩!K16</f>
        <v>0</v>
      </c>
      <c r="C22" s="51">
        <f>黄恩!K17</f>
        <v>36.150833333333324</v>
      </c>
      <c r="D22" s="51">
        <f>黄恩!K19</f>
        <v>0</v>
      </c>
      <c r="E22" s="51">
        <f>黄恩!L16</f>
        <v>0</v>
      </c>
      <c r="F22" s="51">
        <f>黄恩!L17</f>
        <v>26.229999999999954</v>
      </c>
      <c r="G22" s="51">
        <f>黄恩!L19</f>
        <v>0</v>
      </c>
      <c r="H22" s="51">
        <f t="shared" si="0"/>
        <v>62.380833333333278</v>
      </c>
      <c r="I22" s="54">
        <f>黄恩!J21</f>
        <v>4.2911111111111282</v>
      </c>
    </row>
    <row r="23" spans="1:9" x14ac:dyDescent="0.15">
      <c r="A23" s="53" t="s">
        <v>28</v>
      </c>
      <c r="B23" s="51">
        <f>严亮!K16</f>
        <v>0</v>
      </c>
      <c r="C23" s="51">
        <f>严亮!K17</f>
        <v>36.209166666666704</v>
      </c>
      <c r="D23" s="51">
        <f>严亮!K19</f>
        <v>0</v>
      </c>
      <c r="E23" s="51">
        <f>严亮!L16</f>
        <v>0</v>
      </c>
      <c r="F23" s="51">
        <f>严亮!L17</f>
        <v>28.555833333333368</v>
      </c>
      <c r="G23" s="51">
        <f>严亮!L19</f>
        <v>0</v>
      </c>
      <c r="H23" s="51">
        <f t="shared" si="0"/>
        <v>64.765000000000072</v>
      </c>
      <c r="I23" s="54">
        <f>严亮!J21</f>
        <v>6.2394444444444508</v>
      </c>
    </row>
    <row r="24" spans="1:9" x14ac:dyDescent="0.15">
      <c r="A24" s="52" t="s">
        <v>29</v>
      </c>
      <c r="B24" s="51">
        <f>边昊!K16</f>
        <v>67.976944444444555</v>
      </c>
      <c r="C24" s="51">
        <f>边昊!K17</f>
        <v>0</v>
      </c>
      <c r="D24" s="51">
        <f>边昊!K19</f>
        <v>0</v>
      </c>
      <c r="E24" s="51">
        <f>边昊!L16</f>
        <v>40.718055555555523</v>
      </c>
      <c r="F24" s="51">
        <f>边昊!L17</f>
        <v>3.9230555555555524</v>
      </c>
      <c r="G24" s="51">
        <f>边昊!L19</f>
        <v>0</v>
      </c>
      <c r="H24" s="51">
        <f t="shared" si="0"/>
        <v>112.61805555555563</v>
      </c>
      <c r="I24" s="54">
        <f>边昊!J21</f>
        <v>0</v>
      </c>
    </row>
    <row r="25" spans="1:9" x14ac:dyDescent="0.15">
      <c r="A25" s="52" t="s">
        <v>30</v>
      </c>
      <c r="B25" s="51">
        <f>张宗根!K16</f>
        <v>0</v>
      </c>
      <c r="C25" s="51">
        <f>张宗根!K17</f>
        <v>33.375833333333311</v>
      </c>
      <c r="D25" s="51">
        <f>张宗根!K19</f>
        <v>5.8122222222222257</v>
      </c>
      <c r="E25" s="51">
        <f>张宗根!L16</f>
        <v>0</v>
      </c>
      <c r="F25" s="51">
        <f>张宗根!L17</f>
        <v>27.016388888888873</v>
      </c>
      <c r="G25" s="51">
        <f>张宗根!L19</f>
        <v>3.9488888888888636</v>
      </c>
      <c r="H25" s="51">
        <f t="shared" si="0"/>
        <v>70.153333333333265</v>
      </c>
      <c r="I25" s="54">
        <f>张宗根!J21</f>
        <v>0</v>
      </c>
    </row>
    <row r="26" spans="1:9" x14ac:dyDescent="0.15">
      <c r="A26" s="49" t="s">
        <v>31</v>
      </c>
      <c r="B26" s="51">
        <f>宋天霖!K16</f>
        <v>0</v>
      </c>
      <c r="C26" s="51">
        <f>宋天霖!K17</f>
        <v>0</v>
      </c>
      <c r="D26" s="51">
        <f>宋天霖!K19</f>
        <v>0</v>
      </c>
      <c r="E26" s="51">
        <f>宋天霖!L16</f>
        <v>0</v>
      </c>
      <c r="F26" s="51">
        <f>宋天霖!L17</f>
        <v>0</v>
      </c>
      <c r="G26" s="51">
        <f>宋天霖!L19</f>
        <v>0</v>
      </c>
      <c r="H26" s="51">
        <f t="shared" si="0"/>
        <v>0</v>
      </c>
      <c r="I26" s="54">
        <f>宋天霖!J21</f>
        <v>0</v>
      </c>
    </row>
    <row r="27" spans="1:9" x14ac:dyDescent="0.15">
      <c r="A27" s="52" t="s">
        <v>32</v>
      </c>
      <c r="B27" s="51">
        <f>蔡昊霖!K16</f>
        <v>0</v>
      </c>
      <c r="C27" s="51">
        <f>蔡昊霖!K17</f>
        <v>40.734722222222203</v>
      </c>
      <c r="D27" s="51">
        <f>蔡昊霖!K19</f>
        <v>0</v>
      </c>
      <c r="E27" s="51">
        <f>蔡昊霖!L16</f>
        <v>0</v>
      </c>
      <c r="F27" s="51">
        <f>蔡昊霖!L17</f>
        <v>29.691388888888852</v>
      </c>
      <c r="G27" s="51">
        <f>蔡昊霖!L19</f>
        <v>0</v>
      </c>
      <c r="H27" s="51">
        <f t="shared" si="0"/>
        <v>70.426111111111055</v>
      </c>
      <c r="I27" s="54">
        <f>蔡昊霖!J21</f>
        <v>4.6772222222222162</v>
      </c>
    </row>
    <row r="28" spans="1:9" x14ac:dyDescent="0.15">
      <c r="A28" s="52" t="s">
        <v>33</v>
      </c>
      <c r="B28" s="51">
        <f>叶大鹏!K16</f>
        <v>0</v>
      </c>
      <c r="C28" s="51">
        <f>叶大鹏!K17</f>
        <v>47.133888888888919</v>
      </c>
      <c r="D28" s="51">
        <f>叶大鹏!K19</f>
        <v>0</v>
      </c>
      <c r="E28" s="51">
        <f>叶大鹏!L16</f>
        <v>0</v>
      </c>
      <c r="F28" s="51">
        <f>叶大鹏!L17</f>
        <v>22.264444444444457</v>
      </c>
      <c r="G28" s="51">
        <f>叶大鹏!L19</f>
        <v>0</v>
      </c>
      <c r="H28" s="51">
        <f t="shared" si="0"/>
        <v>69.398333333333369</v>
      </c>
      <c r="I28" s="54">
        <f>叶大鹏!J21</f>
        <v>3.9619444444444594</v>
      </c>
    </row>
    <row r="29" spans="1:9" x14ac:dyDescent="0.15">
      <c r="A29" s="52" t="s">
        <v>34</v>
      </c>
      <c r="B29" s="51">
        <f>王建超!K16</f>
        <v>0</v>
      </c>
      <c r="C29" s="51">
        <f>王建超!K17</f>
        <v>47.154166666666633</v>
      </c>
      <c r="D29" s="51">
        <f>王建超!K19</f>
        <v>0</v>
      </c>
      <c r="E29" s="51">
        <f>王建超!L16</f>
        <v>0</v>
      </c>
      <c r="F29" s="51">
        <f>王建超!L17</f>
        <v>29.936111111111121</v>
      </c>
      <c r="G29" s="51">
        <f>王建超!L19</f>
        <v>1.9572222222222</v>
      </c>
      <c r="H29" s="51">
        <f t="shared" si="0"/>
        <v>79.047499999999957</v>
      </c>
      <c r="I29" s="54">
        <f>王建超!J21</f>
        <v>5.5938888888888743</v>
      </c>
    </row>
    <row r="30" spans="1:9" x14ac:dyDescent="0.15">
      <c r="A30" s="52" t="s">
        <v>35</v>
      </c>
      <c r="B30" s="51">
        <f>潘伟生!K16</f>
        <v>0</v>
      </c>
      <c r="C30" s="51">
        <f>潘伟生!K17</f>
        <v>35.928333333333342</v>
      </c>
      <c r="D30" s="51">
        <f>潘伟生!K19</f>
        <v>0</v>
      </c>
      <c r="E30" s="51">
        <f>潘伟生!L16</f>
        <v>0</v>
      </c>
      <c r="F30" s="51">
        <f>潘伟生!L17</f>
        <v>37.628611111111141</v>
      </c>
      <c r="G30" s="51">
        <f>潘伟生!L19</f>
        <v>0</v>
      </c>
      <c r="H30" s="51">
        <f t="shared" si="0"/>
        <v>73.556944444444483</v>
      </c>
      <c r="I30" s="54">
        <f>潘伟生!J21</f>
        <v>1.807777777777777</v>
      </c>
    </row>
    <row r="31" spans="1:9" x14ac:dyDescent="0.15">
      <c r="A31" s="52" t="s">
        <v>36</v>
      </c>
      <c r="B31" s="51">
        <f>王风瑞!K16</f>
        <v>0</v>
      </c>
      <c r="C31" s="51">
        <f>王风瑞!K17</f>
        <v>36.985555555555536</v>
      </c>
      <c r="D31" s="51">
        <f>王风瑞!K19</f>
        <v>0</v>
      </c>
      <c r="E31" s="51">
        <f>王风瑞!L16</f>
        <v>0</v>
      </c>
      <c r="F31" s="51">
        <f>王风瑞!L17</f>
        <v>21.191944444444459</v>
      </c>
      <c r="G31" s="51">
        <f>王风瑞!L19</f>
        <v>0</v>
      </c>
      <c r="H31" s="51">
        <f t="shared" si="0"/>
        <v>58.177499999999995</v>
      </c>
      <c r="I31" s="54">
        <f>王风瑞!J21</f>
        <v>2.7663888888888706</v>
      </c>
    </row>
    <row r="32" spans="1:9" x14ac:dyDescent="0.15">
      <c r="A32" s="52" t="s">
        <v>37</v>
      </c>
      <c r="B32" s="51">
        <f>金鼎!K16</f>
        <v>52.911388888888887</v>
      </c>
      <c r="C32" s="51">
        <f>金鼎!K17</f>
        <v>14.133055555555581</v>
      </c>
      <c r="D32" s="51">
        <f>金鼎!K19</f>
        <v>0</v>
      </c>
      <c r="E32" s="51">
        <f>金鼎!L16</f>
        <v>16.504722222222192</v>
      </c>
      <c r="F32" s="51">
        <f>金鼎!L17</f>
        <v>0.78416666666666401</v>
      </c>
      <c r="G32" s="51">
        <f>金鼎!L19</f>
        <v>0</v>
      </c>
      <c r="H32" s="51">
        <f t="shared" si="0"/>
        <v>84.333333333333314</v>
      </c>
      <c r="I32" s="54">
        <f>金鼎!J21</f>
        <v>0</v>
      </c>
    </row>
    <row r="33" spans="1:9" x14ac:dyDescent="0.15">
      <c r="A33" s="52" t="s">
        <v>38</v>
      </c>
      <c r="B33" s="51">
        <f>董志华!K16</f>
        <v>0</v>
      </c>
      <c r="C33" s="51">
        <f>董志华!K17</f>
        <v>35.68472222222222</v>
      </c>
      <c r="D33" s="51">
        <f>董志华!K19</f>
        <v>0</v>
      </c>
      <c r="E33" s="51">
        <f>董志华!L16</f>
        <v>0</v>
      </c>
      <c r="F33" s="51">
        <f>董志华!L17</f>
        <v>27.457222222222192</v>
      </c>
      <c r="G33" s="51">
        <f>董志华!L19</f>
        <v>0</v>
      </c>
      <c r="H33" s="51">
        <f t="shared" si="0"/>
        <v>63.141944444444412</v>
      </c>
      <c r="I33" s="54">
        <f>董志华!J21</f>
        <v>0</v>
      </c>
    </row>
    <row r="34" spans="1:9" x14ac:dyDescent="0.15">
      <c r="A34" s="52" t="s">
        <v>39</v>
      </c>
      <c r="B34" s="51">
        <f>姜文夫!K16</f>
        <v>67.443055555555659</v>
      </c>
      <c r="C34" s="51">
        <f>姜文夫!K17</f>
        <v>1.1041666666666798</v>
      </c>
      <c r="D34" s="51">
        <f>姜文夫!K19</f>
        <v>0</v>
      </c>
      <c r="E34" s="51">
        <f>姜文夫!L16</f>
        <v>26.395555555555532</v>
      </c>
      <c r="F34" s="51">
        <f>姜文夫!L17</f>
        <v>11.81472222222224</v>
      </c>
      <c r="G34" s="51">
        <f>姜文夫!L19</f>
        <v>0</v>
      </c>
      <c r="H34" s="51">
        <f t="shared" si="0"/>
        <v>106.75750000000012</v>
      </c>
      <c r="I34" s="54">
        <f>姜文夫!J21</f>
        <v>0</v>
      </c>
    </row>
    <row r="35" spans="1:9" x14ac:dyDescent="0.15">
      <c r="A35" s="49" t="s">
        <v>40</v>
      </c>
      <c r="B35" s="51">
        <f>郭永杰!K16</f>
        <v>58.311944444444535</v>
      </c>
      <c r="C35" s="51">
        <f>郭永杰!K17</f>
        <v>3.8619444444444477</v>
      </c>
      <c r="D35" s="51">
        <f>郭永杰!K19</f>
        <v>0</v>
      </c>
      <c r="E35" s="51">
        <f>郭永杰!L16</f>
        <v>42.027222222222186</v>
      </c>
      <c r="F35" s="51">
        <f>郭永杰!L17</f>
        <v>2.5705555555555444</v>
      </c>
      <c r="G35" s="51">
        <f>郭永杰!L19</f>
        <v>0</v>
      </c>
      <c r="H35" s="51">
        <f t="shared" si="0"/>
        <v>106.77166666666672</v>
      </c>
      <c r="I35" s="54">
        <f>郭永杰!J21</f>
        <v>0</v>
      </c>
    </row>
    <row r="36" spans="1:9" x14ac:dyDescent="0.15">
      <c r="A36" s="49" t="s">
        <v>41</v>
      </c>
      <c r="B36" s="51">
        <f>朱永春!K16</f>
        <v>58.973055555555639</v>
      </c>
      <c r="C36" s="51">
        <f>朱永春!K17</f>
        <v>0</v>
      </c>
      <c r="D36" s="51">
        <f>朱永春!K19</f>
        <v>0</v>
      </c>
      <c r="E36" s="51">
        <f>朱永春!L16</f>
        <v>25.861111111111075</v>
      </c>
      <c r="F36" s="51">
        <f>朱永春!L17</f>
        <v>6.5022222222222021</v>
      </c>
      <c r="G36" s="51">
        <f>朱永春!L19</f>
        <v>0</v>
      </c>
      <c r="H36" s="51">
        <f t="shared" si="0"/>
        <v>91.336388888888919</v>
      </c>
      <c r="I36" s="54">
        <f>朱永春!J21</f>
        <v>0</v>
      </c>
    </row>
    <row r="37" spans="1:9" x14ac:dyDescent="0.15">
      <c r="A37" s="49" t="s">
        <v>42</v>
      </c>
      <c r="B37" s="51">
        <f>刘琦!K16</f>
        <v>4.7869444444444564</v>
      </c>
      <c r="C37" s="51">
        <f>刘琦!K17</f>
        <v>28.278333333333336</v>
      </c>
      <c r="D37" s="51">
        <f>刘琦!K19</f>
        <v>0</v>
      </c>
      <c r="E37" s="51">
        <f>刘琦!L16</f>
        <v>0</v>
      </c>
      <c r="F37" s="51">
        <f>刘琦!L17</f>
        <v>0.72249999999999848</v>
      </c>
      <c r="G37" s="51">
        <f>刘琦!L19</f>
        <v>0</v>
      </c>
      <c r="H37" s="51">
        <f t="shared" si="0"/>
        <v>33.787777777777791</v>
      </c>
      <c r="I37" s="54">
        <f>刘琦!J21</f>
        <v>0</v>
      </c>
    </row>
    <row r="38" spans="1:9" x14ac:dyDescent="0.15">
      <c r="A38" s="49" t="s">
        <v>43</v>
      </c>
      <c r="B38" s="51">
        <f>吴疆!K16</f>
        <v>69.275277777777845</v>
      </c>
      <c r="C38" s="51">
        <f>吴疆!K17</f>
        <v>0</v>
      </c>
      <c r="D38" s="51">
        <f>吴疆!K19</f>
        <v>0</v>
      </c>
      <c r="E38" s="51">
        <f>吴疆!L16</f>
        <v>39.911666666666612</v>
      </c>
      <c r="F38" s="51">
        <f>吴疆!L17</f>
        <v>2.207500000000008</v>
      </c>
      <c r="G38" s="51">
        <f>吴疆!L19</f>
        <v>0</v>
      </c>
      <c r="H38" s="51">
        <f t="shared" si="0"/>
        <v>111.39444444444447</v>
      </c>
      <c r="I38" s="54">
        <f>吴疆!J21</f>
        <v>0.2291666666666865</v>
      </c>
    </row>
    <row r="39" spans="1:9" x14ac:dyDescent="0.15">
      <c r="A39" s="49" t="s">
        <v>44</v>
      </c>
      <c r="B39" s="51">
        <f>巴富毅!K16</f>
        <v>0</v>
      </c>
      <c r="C39" s="51">
        <f>巴富毅!K17</f>
        <v>30.0763888888889</v>
      </c>
      <c r="D39" s="51">
        <f>巴富毅!K19</f>
        <v>0</v>
      </c>
      <c r="E39" s="51">
        <f>巴富毅!L16</f>
        <v>0</v>
      </c>
      <c r="F39" s="51">
        <f>巴富毅!L17</f>
        <v>1.0016666666666665</v>
      </c>
      <c r="G39" s="51">
        <f>巴富毅!L19</f>
        <v>0</v>
      </c>
      <c r="H39" s="51">
        <f t="shared" si="0"/>
        <v>31.078055555555565</v>
      </c>
      <c r="I39" s="54">
        <f>巴富毅!J21</f>
        <v>0</v>
      </c>
    </row>
    <row r="40" spans="1:9" x14ac:dyDescent="0.15">
      <c r="A40" s="49" t="s">
        <v>45</v>
      </c>
      <c r="B40" s="51">
        <f>陈宏伟!K16</f>
        <v>0</v>
      </c>
      <c r="C40" s="51">
        <f>陈宏伟!K17</f>
        <v>33.411388888888872</v>
      </c>
      <c r="D40" s="51">
        <f>陈宏伟!K19</f>
        <v>0</v>
      </c>
      <c r="E40" s="51">
        <f>陈宏伟!L16</f>
        <v>0</v>
      </c>
      <c r="F40" s="51">
        <f>陈宏伟!L17</f>
        <v>28.347499999999972</v>
      </c>
      <c r="G40" s="51">
        <f>陈宏伟!L19</f>
        <v>0</v>
      </c>
      <c r="H40" s="51">
        <f t="shared" si="0"/>
        <v>61.758888888888848</v>
      </c>
      <c r="I40" s="54">
        <f>陈宏伟!J21</f>
        <v>4.3974999999999849</v>
      </c>
    </row>
    <row r="41" spans="1:9" x14ac:dyDescent="0.15">
      <c r="A41" s="49" t="s">
        <v>46</v>
      </c>
      <c r="B41" s="51">
        <f>蒋露裕!K16</f>
        <v>0</v>
      </c>
      <c r="C41" s="51">
        <f>蒋露裕!K17</f>
        <v>0</v>
      </c>
      <c r="D41" s="51">
        <f>蒋露裕!K19</f>
        <v>0</v>
      </c>
      <c r="E41" s="51">
        <f>蒋露裕!L16</f>
        <v>0</v>
      </c>
      <c r="F41" s="51">
        <f>蒋露裕!L17</f>
        <v>0</v>
      </c>
      <c r="G41" s="51">
        <f>蒋露裕!L19</f>
        <v>0</v>
      </c>
      <c r="H41" s="51">
        <f t="shared" ref="H41:H42" si="1">SUM(B41:G41)</f>
        <v>0</v>
      </c>
      <c r="I41" s="54">
        <f>蒋露裕!J21</f>
        <v>0</v>
      </c>
    </row>
    <row r="42" spans="1:9" x14ac:dyDescent="0.15">
      <c r="A42" s="52" t="s">
        <v>47</v>
      </c>
      <c r="B42" s="51">
        <f>蓝宇航!K16</f>
        <v>0</v>
      </c>
      <c r="C42" s="51">
        <f>蓝宇航!K17</f>
        <v>38.913888888888913</v>
      </c>
      <c r="D42" s="51">
        <f>蓝宇航!K19</f>
        <v>0</v>
      </c>
      <c r="E42" s="51">
        <f>蓝宇航!L16</f>
        <v>0</v>
      </c>
      <c r="F42" s="51">
        <f>蓝宇航!L17</f>
        <v>20.176388888888919</v>
      </c>
      <c r="G42" s="51">
        <f>蓝宇航!L19</f>
        <v>0</v>
      </c>
      <c r="H42" s="51">
        <f t="shared" si="1"/>
        <v>59.090277777777828</v>
      </c>
      <c r="I42" s="54">
        <f>蓝宇航!J21</f>
        <v>0.68555555555556236</v>
      </c>
    </row>
  </sheetData>
  <mergeCells count="5">
    <mergeCell ref="B3:D3"/>
    <mergeCell ref="E3:G3"/>
    <mergeCell ref="H3:H4"/>
    <mergeCell ref="I3:I4"/>
    <mergeCell ref="B1:G2"/>
  </mergeCells>
  <phoneticPr fontId="16" type="noConversion"/>
  <hyperlinks>
    <hyperlink ref="A5" location="'温若春'!A1" display="温若春"/>
    <hyperlink ref="A6" location="'明嘉'!A1" display="明嘉"/>
    <hyperlink ref="A7" location="'徐万友'!A1" display="徐万友"/>
    <hyperlink ref="A8" location="耿若岩!A1" display="耿若岩"/>
    <hyperlink ref="A9" location="'李明'!A1" display="李明"/>
    <hyperlink ref="A10" location="'张虎'!A1" display="张虎"/>
    <hyperlink ref="A11" location="'马莲花'!A1" display="马莲花"/>
    <hyperlink ref="A12" location="'刘国莲'!A1" display="刘国莲"/>
    <hyperlink ref="A13" location="'杜涛'!A1" display="杜涛"/>
    <hyperlink ref="A14" location="'张文中'!A1" display="张文中"/>
    <hyperlink ref="A15" location="'李秋实'!A1" display="李秋实"/>
    <hyperlink ref="A16" location="'周岸'!A1" display="周岸"/>
    <hyperlink ref="A17" location="'詹泽彬'!A1" display="詹泽彬"/>
    <hyperlink ref="A18" location="'张笑延'!A1" display="张笑延"/>
    <hyperlink ref="A19" location="'沈宁'!A1" display="沈宁"/>
    <hyperlink ref="A20" location="'胡鑫'!A1" display="胡鑫"/>
    <hyperlink ref="A21" location="'邓心豪'!A1" display="邓心豪"/>
    <hyperlink ref="A22" location="'黄恩'!A1" display="黄恩"/>
    <hyperlink ref="A23" location="'严亮'!A1" display="严亮"/>
    <hyperlink ref="A24" location="'边昊'!A1" display="边昊"/>
    <hyperlink ref="A25" location="'张宗根'!A1" display="张宗根"/>
    <hyperlink ref="A26" location="'宋天霖'!A1" display="宋天霖"/>
    <hyperlink ref="A27" location="'蔡昊霖'!A1" display="蔡昊霖"/>
    <hyperlink ref="A28" location="'叶大鹏'!A1" display="叶大鹏"/>
    <hyperlink ref="A29" location="'王建超'!A1" display="王建超"/>
    <hyperlink ref="A30" location="'潘伟生'!A1" display="潘伟生"/>
    <hyperlink ref="A31" location="'王风瑞'!A1" display="王风瑞"/>
    <hyperlink ref="A32" location="'金鼎'!A1" display="金鼎"/>
    <hyperlink ref="A33" location="'董志华'!A1" display="董志华"/>
    <hyperlink ref="A34" location="'姜文夫'!A1" display="姜文夫"/>
    <hyperlink ref="A35" location="'郭永杰'!A1" display="郭永杰"/>
    <hyperlink ref="A36" location="'朱永春'!A1" display="朱永春"/>
    <hyperlink ref="A37" location="'刘琦'!A1" display="刘琦"/>
    <hyperlink ref="A38" location="'吴疆'!A1" display="吴疆"/>
    <hyperlink ref="A39" location="'巴富毅'!A1" display="巴富毅"/>
    <hyperlink ref="A40" location="'陈宏伟'!A1" display="陈宏伟"/>
    <hyperlink ref="A41" location="'蒋露裕'!A1" display="蒋露裕"/>
    <hyperlink ref="A42" location="'蓝宇航'!A1" display="蓝宇航"/>
  </hyperlinks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46082.0141099537</v>
      </c>
      <c r="B3" s="5" t="s">
        <v>61</v>
      </c>
      <c r="C3" s="11">
        <v>2.19907407407407E-4</v>
      </c>
      <c r="D3" s="11" t="s">
        <v>62</v>
      </c>
      <c r="E3" s="11">
        <v>0.14144675925925901</v>
      </c>
      <c r="F3" s="12">
        <f t="shared" ref="F3:F42" si="1">(IF(E3-C3&lt;0,"24:00"-C3+E3,E3-C3))*24</f>
        <v>3.3894444444444387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3.3894444444444387</v>
      </c>
      <c r="I3" s="16" t="s">
        <v>63</v>
      </c>
      <c r="J3" s="17">
        <f>SUMIF(B:B,"带班主任",F:F)</f>
        <v>109.73416666666662</v>
      </c>
      <c r="K3" s="18">
        <f>SUMIF(B:B,"带班主任",G:G)</f>
        <v>71.720000000000013</v>
      </c>
      <c r="L3" s="18">
        <f>SUMIF(B:B,"带班主任",H:H)</f>
        <v>38.014166666666604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46084.543285763903</v>
      </c>
      <c r="B4" s="5" t="s">
        <v>61</v>
      </c>
      <c r="C4" s="11">
        <v>0.54327546296296303</v>
      </c>
      <c r="D4" s="11" t="s">
        <v>62</v>
      </c>
      <c r="E4" s="11">
        <v>0.79939814814814802</v>
      </c>
      <c r="F4" s="12">
        <f t="shared" si="1"/>
        <v>6.1469444444444399</v>
      </c>
      <c r="G4" s="13">
        <f t="shared" si="2"/>
        <v>6.1469444444444399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6.269722222222196</v>
      </c>
      <c r="K4" s="23">
        <f>SUMIF(B:B,"西塔台管制席",G:G)+SUMIF(B:B,"东塔台管制席",G:G)</f>
        <v>6.269722222222196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46085.1329655093</v>
      </c>
      <c r="B5" s="5" t="s">
        <v>61</v>
      </c>
      <c r="C5" s="11">
        <v>0.132962962962963</v>
      </c>
      <c r="D5" s="11" t="s">
        <v>62</v>
      </c>
      <c r="E5" s="11">
        <v>0.29998842592592601</v>
      </c>
      <c r="F5" s="12">
        <f t="shared" si="1"/>
        <v>4.0086111111111116</v>
      </c>
      <c r="G5" s="13">
        <f t="shared" si="2"/>
        <v>0</v>
      </c>
      <c r="H5" s="13">
        <f t="shared" si="3"/>
        <v>4.0086111111111116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46085.793181134301</v>
      </c>
      <c r="B6" s="5" t="s">
        <v>61</v>
      </c>
      <c r="C6" s="11">
        <v>0.79317129629629601</v>
      </c>
      <c r="D6" s="11" t="s">
        <v>62</v>
      </c>
      <c r="E6" s="11">
        <v>0.94703703703703701</v>
      </c>
      <c r="F6" s="12">
        <f t="shared" si="1"/>
        <v>3.6927777777777839</v>
      </c>
      <c r="G6" s="13">
        <f t="shared" si="2"/>
        <v>3.6927777777777839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46086.293418055597</v>
      </c>
      <c r="B7" s="5" t="s">
        <v>61</v>
      </c>
      <c r="C7" s="11">
        <v>0.293414351851852</v>
      </c>
      <c r="D7" s="11" t="s">
        <v>62</v>
      </c>
      <c r="E7" s="11">
        <v>0.35739583333333302</v>
      </c>
      <c r="F7" s="12">
        <f t="shared" si="1"/>
        <v>1.5355555555555447</v>
      </c>
      <c r="G7" s="13">
        <f t="shared" si="2"/>
        <v>0.57750000000000101</v>
      </c>
      <c r="H7" s="13">
        <f t="shared" si="3"/>
        <v>0.95805555555554367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46088.9424618056</v>
      </c>
      <c r="B8" s="5" t="s">
        <v>61</v>
      </c>
      <c r="C8" s="11">
        <v>0.93759259259259298</v>
      </c>
      <c r="D8" s="11" t="s">
        <v>62</v>
      </c>
      <c r="E8" s="11">
        <v>0.13894675925925901</v>
      </c>
      <c r="F8" s="12">
        <f t="shared" si="1"/>
        <v>4.8324999999999845</v>
      </c>
      <c r="G8" s="13">
        <f t="shared" si="2"/>
        <v>1.4977777777777685</v>
      </c>
      <c r="H8" s="13">
        <f t="shared" si="3"/>
        <v>3.3347222222222159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46089.543093055603</v>
      </c>
      <c r="B9" s="5" t="s">
        <v>61</v>
      </c>
      <c r="C9" s="11">
        <v>0.54309027777777796</v>
      </c>
      <c r="D9" s="11" t="s">
        <v>62</v>
      </c>
      <c r="E9" s="11">
        <v>0.79864583333333306</v>
      </c>
      <c r="F9" s="12">
        <f t="shared" si="1"/>
        <v>6.1333333333333222</v>
      </c>
      <c r="G9" s="13">
        <f t="shared" si="2"/>
        <v>6.1333333333333222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/>
      <c r="B10" s="5" t="s">
        <v>61</v>
      </c>
      <c r="C10" s="11">
        <v>0.133136574074074</v>
      </c>
      <c r="D10" s="11" t="s">
        <v>62</v>
      </c>
      <c r="E10" s="11">
        <v>0.28334490740740698</v>
      </c>
      <c r="F10" s="12">
        <f t="shared" si="1"/>
        <v>3.6049999999999915</v>
      </c>
      <c r="G10" s="13">
        <f t="shared" si="2"/>
        <v>0</v>
      </c>
      <c r="H10" s="13">
        <f t="shared" si="3"/>
        <v>3.6049999999999915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46092.543988310201</v>
      </c>
      <c r="B11" s="5" t="s">
        <v>61</v>
      </c>
      <c r="C11" s="11">
        <v>0.54259259259259296</v>
      </c>
      <c r="D11" s="11" t="s">
        <v>62</v>
      </c>
      <c r="E11" s="11">
        <v>0.79828703703703696</v>
      </c>
      <c r="F11" s="12">
        <f t="shared" si="1"/>
        <v>6.1366666666666561</v>
      </c>
      <c r="G11" s="13">
        <f t="shared" si="2"/>
        <v>6.1366666666666561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46093.132680208299</v>
      </c>
      <c r="B12" s="5" t="s">
        <v>61</v>
      </c>
      <c r="C12" s="11">
        <v>0.13267361111111101</v>
      </c>
      <c r="D12" s="11" t="s">
        <v>62</v>
      </c>
      <c r="E12" s="11">
        <v>0.30115740740740699</v>
      </c>
      <c r="F12" s="12">
        <f t="shared" si="1"/>
        <v>4.0436111111111037</v>
      </c>
      <c r="G12" s="13">
        <f t="shared" si="2"/>
        <v>0</v>
      </c>
      <c r="H12" s="13">
        <f t="shared" si="3"/>
        <v>4.0436111111111037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46093.793385879602</v>
      </c>
      <c r="B13" s="5" t="s">
        <v>61</v>
      </c>
      <c r="C13" s="11">
        <v>0.79268518518518505</v>
      </c>
      <c r="D13" s="11" t="s">
        <v>62</v>
      </c>
      <c r="E13" s="11">
        <v>0.944814814814815</v>
      </c>
      <c r="F13" s="12">
        <f t="shared" si="1"/>
        <v>3.6511111111111187</v>
      </c>
      <c r="G13" s="13">
        <f t="shared" si="2"/>
        <v>3.6511111111111187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46094.293028819397</v>
      </c>
      <c r="B14" s="5" t="s">
        <v>61</v>
      </c>
      <c r="C14" s="11">
        <v>0.29232638888888901</v>
      </c>
      <c r="D14" s="11" t="s">
        <v>62</v>
      </c>
      <c r="E14" s="11">
        <v>0.361608796296296</v>
      </c>
      <c r="F14" s="12">
        <f t="shared" si="1"/>
        <v>1.6627777777777677</v>
      </c>
      <c r="G14" s="13">
        <f t="shared" si="2"/>
        <v>0.67861111111111239</v>
      </c>
      <c r="H14" s="13">
        <f t="shared" si="3"/>
        <v>0.98416666666665531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46096.354766203702</v>
      </c>
      <c r="B15" s="5" t="s">
        <v>61</v>
      </c>
      <c r="C15" s="11">
        <v>0.354756944444444</v>
      </c>
      <c r="D15" s="11" t="s">
        <v>62</v>
      </c>
      <c r="E15" s="11">
        <v>0.54833333333333301</v>
      </c>
      <c r="F15" s="12">
        <f t="shared" si="1"/>
        <v>4.6458333333333357</v>
      </c>
      <c r="G15" s="13">
        <f t="shared" si="2"/>
        <v>4.6458333333333357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46096.791492361102</v>
      </c>
      <c r="B16" s="5" t="s">
        <v>61</v>
      </c>
      <c r="C16" s="11">
        <v>0.79148148148148101</v>
      </c>
      <c r="D16" s="11" t="s">
        <v>62</v>
      </c>
      <c r="E16" s="11">
        <v>0.942233796296296</v>
      </c>
      <c r="F16" s="12">
        <f t="shared" si="1"/>
        <v>3.6180555555555598</v>
      </c>
      <c r="G16" s="13">
        <f t="shared" si="2"/>
        <v>3.6180555555555598</v>
      </c>
      <c r="H16" s="13">
        <f t="shared" si="3"/>
        <v>0</v>
      </c>
      <c r="I16" s="35" t="s">
        <v>63</v>
      </c>
      <c r="J16" s="36">
        <f t="shared" ref="J16:L16" si="4">J3</f>
        <v>109.73416666666662</v>
      </c>
      <c r="K16" s="37">
        <f t="shared" si="4"/>
        <v>71.720000000000013</v>
      </c>
      <c r="L16" s="38">
        <f t="shared" si="4"/>
        <v>38.014166666666604</v>
      </c>
      <c r="M16" s="39"/>
    </row>
    <row r="17" spans="1:13" ht="20.25" x14ac:dyDescent="0.25">
      <c r="A17" s="10">
        <f t="shared" ca="1" si="0"/>
        <v>46097.297428356498</v>
      </c>
      <c r="B17" s="5" t="s">
        <v>61</v>
      </c>
      <c r="C17" s="11">
        <v>0.29186342592592601</v>
      </c>
      <c r="D17" s="11" t="s">
        <v>62</v>
      </c>
      <c r="E17" s="11">
        <v>0.51422453703703697</v>
      </c>
      <c r="F17" s="12">
        <f t="shared" si="1"/>
        <v>5.3366666666666625</v>
      </c>
      <c r="G17" s="13">
        <f t="shared" si="2"/>
        <v>4.3413888888888952</v>
      </c>
      <c r="H17" s="13">
        <f t="shared" si="3"/>
        <v>0.99527777777776727</v>
      </c>
      <c r="I17" s="35" t="s">
        <v>75</v>
      </c>
      <c r="J17" s="36">
        <f>J4+J5+J6+J7+J10</f>
        <v>6.269722222222196</v>
      </c>
      <c r="K17" s="37">
        <f>K4+K5+K6+K7+K10</f>
        <v>6.269722222222196</v>
      </c>
      <c r="L17" s="38">
        <f>L4+L5+L6+L7+L10</f>
        <v>0</v>
      </c>
      <c r="M17" s="39"/>
    </row>
    <row r="18" spans="1:13" ht="20.25" x14ac:dyDescent="0.25">
      <c r="A18" s="10">
        <f t="shared" ca="1" si="0"/>
        <v>46097.533079050903</v>
      </c>
      <c r="B18" s="5" t="s">
        <v>61</v>
      </c>
      <c r="C18" s="11">
        <v>0.53307870370370403</v>
      </c>
      <c r="D18" s="11" t="s">
        <v>62</v>
      </c>
      <c r="E18" s="11">
        <v>0.55670138888888898</v>
      </c>
      <c r="F18" s="12">
        <f t="shared" si="1"/>
        <v>0.56694444444443892</v>
      </c>
      <c r="G18" s="13">
        <f t="shared" si="2"/>
        <v>0.56694444444443892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46097.938625463001</v>
      </c>
      <c r="B19" s="5" t="s">
        <v>61</v>
      </c>
      <c r="C19" s="11">
        <v>0.93792824074074099</v>
      </c>
      <c r="D19" s="11" t="s">
        <v>62</v>
      </c>
      <c r="E19" s="11">
        <v>0.13875000000000001</v>
      </c>
      <c r="F19" s="12">
        <f t="shared" si="1"/>
        <v>4.8197222222222162</v>
      </c>
      <c r="G19" s="13">
        <f t="shared" si="2"/>
        <v>1.4897222222222162</v>
      </c>
      <c r="H19" s="13">
        <f t="shared" si="3"/>
        <v>3.33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46099.291620833297</v>
      </c>
      <c r="B20" s="5" t="s">
        <v>61</v>
      </c>
      <c r="C20" s="11">
        <v>0.29162037037036997</v>
      </c>
      <c r="D20" s="11" t="s">
        <v>62</v>
      </c>
      <c r="E20" s="11">
        <v>0.45395833333333302</v>
      </c>
      <c r="F20" s="12">
        <f t="shared" si="1"/>
        <v>3.8961111111111131</v>
      </c>
      <c r="G20" s="13">
        <f t="shared" si="2"/>
        <v>2.8950000000000009</v>
      </c>
      <c r="H20" s="13">
        <f t="shared" si="3"/>
        <v>1.0011111111111122</v>
      </c>
      <c r="I20" s="40" t="s">
        <v>77</v>
      </c>
      <c r="J20" s="65">
        <f>J16+J17+J18+J19</f>
        <v>116.00388888888882</v>
      </c>
      <c r="K20" s="66"/>
      <c r="L20" s="67"/>
      <c r="M20" s="41"/>
    </row>
    <row r="21" spans="1:13" ht="20.25" x14ac:dyDescent="0.25">
      <c r="A21" s="10">
        <f t="shared" ca="1" si="0"/>
        <v>46100.543041550904</v>
      </c>
      <c r="B21" s="5" t="s">
        <v>61</v>
      </c>
      <c r="C21" s="11">
        <v>0.54303240740740699</v>
      </c>
      <c r="D21" s="11" t="s">
        <v>62</v>
      </c>
      <c r="E21" s="11">
        <v>0.79974537037036997</v>
      </c>
      <c r="F21" s="12">
        <f t="shared" si="1"/>
        <v>6.1611111111111114</v>
      </c>
      <c r="G21" s="13">
        <f t="shared" si="2"/>
        <v>6.1611111111111114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46101.133063541703</v>
      </c>
      <c r="B22" s="5" t="s">
        <v>61</v>
      </c>
      <c r="C22" s="11">
        <v>0.13236111111111101</v>
      </c>
      <c r="D22" s="11" t="s">
        <v>62</v>
      </c>
      <c r="E22" s="11">
        <v>0.29869212962962999</v>
      </c>
      <c r="F22" s="12">
        <f t="shared" si="1"/>
        <v>3.9919444444444556</v>
      </c>
      <c r="G22" s="13">
        <f t="shared" si="2"/>
        <v>0</v>
      </c>
      <c r="H22" s="13">
        <f t="shared" si="3"/>
        <v>3.9919444444444556</v>
      </c>
      <c r="I22"/>
      <c r="J22"/>
    </row>
    <row r="23" spans="1:13" ht="18.75" x14ac:dyDescent="0.15">
      <c r="A23" s="10">
        <f t="shared" ca="1" si="0"/>
        <v>46101.793920601798</v>
      </c>
      <c r="B23" s="5" t="s">
        <v>61</v>
      </c>
      <c r="C23" s="11">
        <v>0.79182870370370395</v>
      </c>
      <c r="D23" s="11" t="s">
        <v>62</v>
      </c>
      <c r="E23" s="11">
        <v>0.945810185185185</v>
      </c>
      <c r="F23" s="12">
        <f t="shared" si="1"/>
        <v>3.6955555555555453</v>
      </c>
      <c r="G23" s="13">
        <f t="shared" si="2"/>
        <v>3.6955555555555453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46102.293032523201</v>
      </c>
      <c r="B24" s="5" t="s">
        <v>61</v>
      </c>
      <c r="C24" s="11">
        <v>0.29233796296296299</v>
      </c>
      <c r="D24" s="11" t="s">
        <v>62</v>
      </c>
      <c r="E24" s="11">
        <v>0.35976851851851799</v>
      </c>
      <c r="F24" s="12">
        <f t="shared" si="1"/>
        <v>1.6183333333333199</v>
      </c>
      <c r="G24" s="13">
        <f t="shared" si="2"/>
        <v>0.63444444444444015</v>
      </c>
      <c r="H24" s="13">
        <f t="shared" si="3"/>
        <v>0.98388888888887971</v>
      </c>
      <c r="I24"/>
      <c r="J24"/>
    </row>
    <row r="25" spans="1:13" ht="18.75" x14ac:dyDescent="0.15">
      <c r="A25" s="10">
        <f t="shared" ca="1" si="0"/>
        <v>46104.940128472197</v>
      </c>
      <c r="B25" s="5" t="s">
        <v>61</v>
      </c>
      <c r="C25" s="11">
        <v>0.93804398148148105</v>
      </c>
      <c r="D25" s="11" t="s">
        <v>62</v>
      </c>
      <c r="E25" s="11">
        <v>0.136122685185185</v>
      </c>
      <c r="F25" s="12">
        <f t="shared" si="1"/>
        <v>4.7538888888888948</v>
      </c>
      <c r="G25" s="13">
        <f t="shared" si="2"/>
        <v>1.4869444444444548</v>
      </c>
      <c r="H25" s="13">
        <f t="shared" si="3"/>
        <v>3.26694444444444</v>
      </c>
      <c r="I25"/>
      <c r="J25"/>
    </row>
    <row r="26" spans="1:13" ht="18.75" x14ac:dyDescent="0.15">
      <c r="A26" s="10">
        <f t="shared" ca="1" si="0"/>
        <v>46105.5419541667</v>
      </c>
      <c r="B26" s="5" t="s">
        <v>61</v>
      </c>
      <c r="C26" s="11">
        <v>0.54194444444444401</v>
      </c>
      <c r="D26" s="11" t="s">
        <v>62</v>
      </c>
      <c r="E26" s="11">
        <v>0.79868055555555595</v>
      </c>
      <c r="F26" s="12">
        <f t="shared" si="1"/>
        <v>6.1616666666666866</v>
      </c>
      <c r="G26" s="13">
        <f t="shared" si="2"/>
        <v>6.1616666666666866</v>
      </c>
      <c r="H26" s="13">
        <f t="shared" si="3"/>
        <v>0</v>
      </c>
      <c r="I26"/>
      <c r="J26"/>
    </row>
    <row r="27" spans="1:13" ht="18.75" x14ac:dyDescent="0.15">
      <c r="A27" s="10"/>
      <c r="B27" s="5" t="s">
        <v>61</v>
      </c>
      <c r="C27" s="11">
        <v>0.13050925925925899</v>
      </c>
      <c r="D27" s="11" t="s">
        <v>62</v>
      </c>
      <c r="E27" s="11">
        <v>0.30223379629629599</v>
      </c>
      <c r="F27" s="12">
        <f t="shared" si="1"/>
        <v>4.1213888888888874</v>
      </c>
      <c r="G27" s="13">
        <f t="shared" si="2"/>
        <v>0</v>
      </c>
      <c r="H27" s="13">
        <f t="shared" si="3"/>
        <v>4.1213888888888874</v>
      </c>
      <c r="I27"/>
      <c r="J27"/>
    </row>
    <row r="28" spans="1:13" ht="18.75" x14ac:dyDescent="0.15">
      <c r="A28" s="10">
        <f t="shared" ca="1" si="0"/>
        <v>46108.500874537</v>
      </c>
      <c r="B28" s="5" t="s">
        <v>78</v>
      </c>
      <c r="C28" s="11">
        <v>0.50090277777777803</v>
      </c>
      <c r="D28" s="11" t="s">
        <v>62</v>
      </c>
      <c r="E28" s="11">
        <v>0.63303240740740696</v>
      </c>
      <c r="F28" s="12">
        <f t="shared" si="1"/>
        <v>3.1711111111110943</v>
      </c>
      <c r="G28" s="13">
        <f t="shared" si="2"/>
        <v>3.1711111111110943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46108.753594791699</v>
      </c>
      <c r="B29" s="5" t="s">
        <v>78</v>
      </c>
      <c r="C29" s="11">
        <v>0.75358796296296304</v>
      </c>
      <c r="D29" s="11" t="s">
        <v>62</v>
      </c>
      <c r="E29" s="11">
        <v>0.88269675925925895</v>
      </c>
      <c r="F29" s="12">
        <f t="shared" si="1"/>
        <v>3.0986111111111017</v>
      </c>
      <c r="G29" s="13">
        <f t="shared" si="2"/>
        <v>3.0986111111111017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46112.355678819396</v>
      </c>
      <c r="B30" s="5" t="s">
        <v>61</v>
      </c>
      <c r="C30" s="11">
        <v>0.35567129629629601</v>
      </c>
      <c r="D30" s="11" t="s">
        <v>62</v>
      </c>
      <c r="E30" s="11">
        <v>0.521053240740741</v>
      </c>
      <c r="F30" s="12">
        <f t="shared" si="1"/>
        <v>3.9691666666666796</v>
      </c>
      <c r="G30" s="13">
        <f t="shared" si="2"/>
        <v>3.9691666666666796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46112.797045949097</v>
      </c>
      <c r="B31" s="5" t="s">
        <v>61</v>
      </c>
      <c r="C31" s="11">
        <v>0.79703703703703699</v>
      </c>
      <c r="D31" s="11" t="s">
        <v>62</v>
      </c>
      <c r="E31" s="11">
        <v>0.94451388888888899</v>
      </c>
      <c r="F31" s="12">
        <f t="shared" si="1"/>
        <v>3.5394444444444479</v>
      </c>
      <c r="G31" s="13">
        <f t="shared" si="2"/>
        <v>3.5394444444444479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2"/>
  <sheetViews>
    <sheetView topLeftCell="A7" zoomScale="85" zoomScaleNormal="85" workbookViewId="0">
      <selection activeCell="D31" sqref="D3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46084.374889583298</v>
      </c>
      <c r="B3" s="5" t="s">
        <v>79</v>
      </c>
      <c r="C3" s="11">
        <v>0.374884259259259</v>
      </c>
      <c r="D3" s="11" t="s">
        <v>62</v>
      </c>
      <c r="E3" s="11">
        <v>0.49377314814814799</v>
      </c>
      <c r="F3" s="12">
        <f t="shared" ref="F3:F42" si="1">(IF(E3-C3&lt;0,"24:00"-C3+E3,E3-C3))*24</f>
        <v>2.8533333333333357</v>
      </c>
      <c r="G3" s="13">
        <f t="shared" ref="G3:G42" si="2">F3-H3</f>
        <v>2.8533333333333357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46084.625826736097</v>
      </c>
      <c r="B4" s="5" t="s">
        <v>79</v>
      </c>
      <c r="C4" s="11">
        <v>0.62582175925925898</v>
      </c>
      <c r="D4" s="11" t="s">
        <v>62</v>
      </c>
      <c r="E4" s="11">
        <v>0.73696759259259303</v>
      </c>
      <c r="F4" s="12">
        <f t="shared" si="1"/>
        <v>2.6675000000000173</v>
      </c>
      <c r="G4" s="13">
        <f t="shared" si="2"/>
        <v>2.6675000000000173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32.650000000000027</v>
      </c>
      <c r="K4" s="23">
        <f>SUMIF(B:B,"西塔台管制席",G:G)+SUMIF(B:B,"东塔台管制席",G:G)</f>
        <v>17.627777777777808</v>
      </c>
      <c r="L4" s="23">
        <f>SUMIF(B:B,"西塔台管制席",H:H)+SUMIF(B:B,"东塔台管制席",H:H)</f>
        <v>15.022222222222222</v>
      </c>
      <c r="M4" s="19"/>
    </row>
    <row r="5" spans="1:16" ht="18.75" x14ac:dyDescent="0.25">
      <c r="A5" s="10">
        <f t="shared" ca="1" si="0"/>
        <v>46085.377841319401</v>
      </c>
      <c r="B5" s="5" t="s">
        <v>79</v>
      </c>
      <c r="C5" s="11">
        <v>0.37783564814814802</v>
      </c>
      <c r="D5" s="11" t="s">
        <v>62</v>
      </c>
      <c r="E5" s="11">
        <v>0.50618055555555597</v>
      </c>
      <c r="F5" s="12">
        <f t="shared" si="1"/>
        <v>3.0802777777777908</v>
      </c>
      <c r="G5" s="13">
        <f t="shared" si="2"/>
        <v>3.0802777777777908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22.008333333333326</v>
      </c>
      <c r="K5" s="23">
        <f>SUMIF(B:B,"西塔台协调席",G:G)+SUMIF(B:B,"东塔台协调席",G:G)</f>
        <v>15.382222222222218</v>
      </c>
      <c r="L5" s="23">
        <f>SUMIF(B:B,"西塔台协调席",H:H)+SUMIF(B:B,"东塔台协调席",H:H)</f>
        <v>6.6261111111111077</v>
      </c>
      <c r="M5" s="19"/>
    </row>
    <row r="6" spans="1:16" ht="18.75" x14ac:dyDescent="0.25">
      <c r="A6" s="10">
        <f t="shared" ca="1" si="0"/>
        <v>46085.612353703698</v>
      </c>
      <c r="B6" s="5" t="s">
        <v>79</v>
      </c>
      <c r="C6" s="11">
        <v>0.61234953703703698</v>
      </c>
      <c r="D6" s="11" t="s">
        <v>62</v>
      </c>
      <c r="E6" s="11">
        <v>0.68916666666666704</v>
      </c>
      <c r="F6" s="12">
        <f t="shared" si="1"/>
        <v>1.8436111111111213</v>
      </c>
      <c r="G6" s="13">
        <f t="shared" si="2"/>
        <v>1.8436111111111213</v>
      </c>
      <c r="H6" s="13">
        <f t="shared" si="3"/>
        <v>0</v>
      </c>
      <c r="I6" s="21" t="s">
        <v>66</v>
      </c>
      <c r="J6" s="22">
        <f>SUMIF(B:B,"放行席",F:F)</f>
        <v>2.2999999999999927</v>
      </c>
      <c r="K6" s="23">
        <f>SUMIF(B:B,"放行席",G:G)</f>
        <v>0</v>
      </c>
      <c r="L6" s="23">
        <f>SUMIF(B:B,"放行席",H:H)</f>
        <v>2.2999999999999927</v>
      </c>
      <c r="M6" s="19"/>
    </row>
    <row r="7" spans="1:16" ht="18.75" x14ac:dyDescent="0.25">
      <c r="A7" s="10">
        <f t="shared" ca="1" si="0"/>
        <v>46088.959603472198</v>
      </c>
      <c r="B7" s="5" t="s">
        <v>78</v>
      </c>
      <c r="C7" s="11">
        <v>0.95959490740740705</v>
      </c>
      <c r="D7" s="11" t="s">
        <v>62</v>
      </c>
      <c r="E7" s="11">
        <v>0.104016203703704</v>
      </c>
      <c r="F7" s="12">
        <f t="shared" si="1"/>
        <v>3.4661111111111271</v>
      </c>
      <c r="G7" s="13">
        <f t="shared" si="2"/>
        <v>0.96972222222223126</v>
      </c>
      <c r="H7" s="13">
        <f t="shared" si="3"/>
        <v>2.4963888888888959</v>
      </c>
      <c r="I7" s="21" t="s">
        <v>67</v>
      </c>
      <c r="J7" s="22">
        <f>SUMIF(B:B,"地面席",F:F)</f>
        <v>2.2202777777777758</v>
      </c>
      <c r="K7" s="23">
        <f>SUMIF(B:B,"地面席",G:G)</f>
        <v>0</v>
      </c>
      <c r="L7" s="23">
        <f>SUMIF(B:B,"地面席",H:H)</f>
        <v>2.2202777777777758</v>
      </c>
      <c r="M7" s="19"/>
    </row>
    <row r="8" spans="1:16" ht="18.75" x14ac:dyDescent="0.25">
      <c r="A8" s="10">
        <f t="shared" ca="1" si="0"/>
        <v>46090.0138784722</v>
      </c>
      <c r="B8" s="5" t="s">
        <v>80</v>
      </c>
      <c r="C8" s="11">
        <v>1.3877314814814801E-2</v>
      </c>
      <c r="D8" s="11" t="s">
        <v>62</v>
      </c>
      <c r="E8" s="11">
        <v>0.101666666666667</v>
      </c>
      <c r="F8" s="12">
        <f t="shared" si="1"/>
        <v>2.1069444444444527</v>
      </c>
      <c r="G8" s="13">
        <f t="shared" si="2"/>
        <v>0</v>
      </c>
      <c r="H8" s="13">
        <f t="shared" si="3"/>
        <v>2.1069444444444527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46090.101787847198</v>
      </c>
      <c r="B9" s="5" t="s">
        <v>78</v>
      </c>
      <c r="C9" s="11">
        <v>0.101782407407407</v>
      </c>
      <c r="D9" s="11" t="s">
        <v>62</v>
      </c>
      <c r="E9" s="11">
        <v>0.14287037037037001</v>
      </c>
      <c r="F9" s="12">
        <f t="shared" si="1"/>
        <v>0.98611111111111216</v>
      </c>
      <c r="G9" s="13">
        <f t="shared" si="2"/>
        <v>0</v>
      </c>
      <c r="H9" s="13">
        <f t="shared" si="3"/>
        <v>0.98611111111111216</v>
      </c>
      <c r="I9" s="21" t="s">
        <v>69</v>
      </c>
      <c r="J9" s="22">
        <f>SUMIF(B:B,"航班调度席",F:F)</f>
        <v>10.444722222222266</v>
      </c>
      <c r="K9" s="23">
        <f>SUMIF(B:B,"航班调度席",G:G)</f>
        <v>10.444722222222266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46093.1392873843</v>
      </c>
      <c r="B10" s="5" t="s">
        <v>78</v>
      </c>
      <c r="C10" s="11">
        <v>0.13928240740740699</v>
      </c>
      <c r="D10" s="11" t="s">
        <v>62</v>
      </c>
      <c r="E10" s="11">
        <v>0.30416666666666697</v>
      </c>
      <c r="F10" s="12">
        <f t="shared" si="1"/>
        <v>3.9572222222222395</v>
      </c>
      <c r="G10" s="13">
        <f t="shared" si="2"/>
        <v>0</v>
      </c>
      <c r="H10" s="13">
        <f t="shared" si="3"/>
        <v>3.9572222222222395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46094.138714930603</v>
      </c>
      <c r="B11" s="5" t="s">
        <v>81</v>
      </c>
      <c r="C11" s="11">
        <v>0.13871527777777801</v>
      </c>
      <c r="D11" s="11" t="s">
        <v>62</v>
      </c>
      <c r="E11" s="11">
        <v>0.23122685185185199</v>
      </c>
      <c r="F11" s="12">
        <f t="shared" si="1"/>
        <v>2.2202777777777758</v>
      </c>
      <c r="G11" s="13">
        <f t="shared" si="2"/>
        <v>0</v>
      </c>
      <c r="H11" s="13">
        <f t="shared" si="3"/>
        <v>2.2202777777777758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46096.502838310204</v>
      </c>
      <c r="B12" s="5" t="s">
        <v>78</v>
      </c>
      <c r="C12" s="11">
        <v>0.50283564814814796</v>
      </c>
      <c r="D12" s="11" t="s">
        <v>62</v>
      </c>
      <c r="E12" s="11">
        <v>0.63159722222222203</v>
      </c>
      <c r="F12" s="12">
        <f t="shared" si="1"/>
        <v>3.0902777777777777</v>
      </c>
      <c r="G12" s="13">
        <f t="shared" si="2"/>
        <v>3.0902777777777777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46096.7511421296</v>
      </c>
      <c r="B13" s="5" t="s">
        <v>82</v>
      </c>
      <c r="C13" s="11">
        <v>0.75113425925925903</v>
      </c>
      <c r="D13" s="11" t="s">
        <v>62</v>
      </c>
      <c r="E13" s="11">
        <v>0.88013888888888903</v>
      </c>
      <c r="F13" s="12">
        <f t="shared" si="1"/>
        <v>3.0961111111111199</v>
      </c>
      <c r="G13" s="13">
        <f t="shared" si="2"/>
        <v>3.0961111111111199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46097.420174074097</v>
      </c>
      <c r="B14" s="5" t="s">
        <v>82</v>
      </c>
      <c r="C14" s="11">
        <v>0.42017361111111101</v>
      </c>
      <c r="D14" s="11" t="s">
        <v>62</v>
      </c>
      <c r="E14" s="11">
        <v>0.50631944444444399</v>
      </c>
      <c r="F14" s="12">
        <f t="shared" si="1"/>
        <v>2.0674999999999915</v>
      </c>
      <c r="G14" s="13">
        <f t="shared" si="2"/>
        <v>2.0674999999999915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46097.626897453702</v>
      </c>
      <c r="B15" s="5" t="s">
        <v>78</v>
      </c>
      <c r="C15" s="11">
        <v>0.626886574074074</v>
      </c>
      <c r="D15" s="11" t="s">
        <v>62</v>
      </c>
      <c r="E15" s="11">
        <v>0.63509259259259299</v>
      </c>
      <c r="F15" s="12">
        <f t="shared" si="1"/>
        <v>0.19694444444445569</v>
      </c>
      <c r="G15" s="13">
        <f t="shared" si="2"/>
        <v>0.19694444444445569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46097.646810648097</v>
      </c>
      <c r="B16" s="5" t="s">
        <v>78</v>
      </c>
      <c r="C16" s="11">
        <v>0.64680555555555597</v>
      </c>
      <c r="D16" s="11" t="s">
        <v>62</v>
      </c>
      <c r="E16" s="11">
        <v>0.75730324074074096</v>
      </c>
      <c r="F16" s="12">
        <f t="shared" si="1"/>
        <v>2.6519444444444398</v>
      </c>
      <c r="G16" s="13">
        <f t="shared" si="2"/>
        <v>2.6519444444444398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46097.835416435199</v>
      </c>
      <c r="B17" s="5" t="s">
        <v>82</v>
      </c>
      <c r="C17" s="11">
        <v>0.83541666666666703</v>
      </c>
      <c r="D17" s="11" t="s">
        <v>62</v>
      </c>
      <c r="E17" s="11">
        <v>0.96278935185185199</v>
      </c>
      <c r="F17" s="12">
        <f t="shared" si="1"/>
        <v>3.0569444444444391</v>
      </c>
      <c r="G17" s="13">
        <f t="shared" si="2"/>
        <v>3.0569444444444391</v>
      </c>
      <c r="H17" s="13">
        <f t="shared" si="3"/>
        <v>0</v>
      </c>
      <c r="I17" s="35" t="s">
        <v>75</v>
      </c>
      <c r="J17" s="36">
        <f>J4+J5+J6+J7+J10</f>
        <v>59.178611111111117</v>
      </c>
      <c r="K17" s="37">
        <f>K4+K5+K6+K7+K10</f>
        <v>33.010000000000026</v>
      </c>
      <c r="L17" s="38">
        <f>L4+L5+L6+L7+L10</f>
        <v>26.168611111111098</v>
      </c>
      <c r="M17" s="39"/>
    </row>
    <row r="18" spans="1:13" ht="20.25" x14ac:dyDescent="0.25">
      <c r="A18" s="10">
        <f t="shared" ca="1" si="0"/>
        <v>46098.297491088</v>
      </c>
      <c r="B18" s="5" t="s">
        <v>78</v>
      </c>
      <c r="C18" s="11">
        <v>0.297488425925926</v>
      </c>
      <c r="D18" s="11" t="s">
        <v>62</v>
      </c>
      <c r="E18" s="11">
        <v>0.366956018518519</v>
      </c>
      <c r="F18" s="12">
        <f t="shared" si="1"/>
        <v>1.6672222222222319</v>
      </c>
      <c r="G18" s="13">
        <f t="shared" si="2"/>
        <v>0.80694444444446445</v>
      </c>
      <c r="H18" s="13">
        <f t="shared" si="3"/>
        <v>0.86027777777776748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46101.015517361098</v>
      </c>
      <c r="B19" s="5" t="s">
        <v>82</v>
      </c>
      <c r="C19" s="11">
        <v>1.5509259259259301E-2</v>
      </c>
      <c r="D19" s="11" t="s">
        <v>62</v>
      </c>
      <c r="E19" s="11">
        <v>0.101458333333333</v>
      </c>
      <c r="F19" s="12">
        <f t="shared" si="1"/>
        <v>2.0627777777777685</v>
      </c>
      <c r="G19" s="13">
        <f t="shared" si="2"/>
        <v>0</v>
      </c>
      <c r="H19" s="13">
        <f t="shared" si="3"/>
        <v>2.0627777777777685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46101.101499189797</v>
      </c>
      <c r="B20" s="5" t="s">
        <v>83</v>
      </c>
      <c r="C20" s="11">
        <v>0.101493055555556</v>
      </c>
      <c r="D20" s="11" t="s">
        <v>62</v>
      </c>
      <c r="E20" s="11">
        <v>0.144837962962963</v>
      </c>
      <c r="F20" s="12">
        <f t="shared" si="1"/>
        <v>1.0402777777777681</v>
      </c>
      <c r="G20" s="13">
        <f t="shared" si="2"/>
        <v>0</v>
      </c>
      <c r="H20" s="13">
        <f t="shared" si="3"/>
        <v>1.0402777777777681</v>
      </c>
      <c r="I20" s="40" t="s">
        <v>77</v>
      </c>
      <c r="J20" s="65">
        <f>J16+J17+J18+J19</f>
        <v>59.178611111111117</v>
      </c>
      <c r="K20" s="66"/>
      <c r="L20" s="67"/>
      <c r="M20" s="41"/>
    </row>
    <row r="21" spans="1:13" ht="20.25" x14ac:dyDescent="0.25">
      <c r="A21" s="10">
        <f t="shared" ca="1" si="0"/>
        <v>46101.958617824101</v>
      </c>
      <c r="B21" s="5" t="s">
        <v>78</v>
      </c>
      <c r="C21" s="11">
        <v>0.95861111111111097</v>
      </c>
      <c r="D21" s="11" t="s">
        <v>62</v>
      </c>
      <c r="E21" s="11">
        <v>0.14627314814814801</v>
      </c>
      <c r="F21" s="12">
        <f t="shared" si="1"/>
        <v>4.5038888888888895</v>
      </c>
      <c r="G21" s="13">
        <f t="shared" si="2"/>
        <v>0.99333333333333718</v>
      </c>
      <c r="H21" s="13">
        <f t="shared" si="3"/>
        <v>3.5105555555555523</v>
      </c>
      <c r="I21" s="42" t="s">
        <v>4</v>
      </c>
      <c r="J21" s="43">
        <f>SUM(J8:J9)</f>
        <v>10.444722222222266</v>
      </c>
      <c r="K21" s="37">
        <f>SUM(K8:K9)</f>
        <v>10.444722222222266</v>
      </c>
      <c r="L21" s="38">
        <f>SUM(L8:L9)</f>
        <v>0</v>
      </c>
      <c r="M21" s="44"/>
    </row>
    <row r="22" spans="1:13" ht="18.75" x14ac:dyDescent="0.15">
      <c r="A22" s="10">
        <f t="shared" ca="1" si="0"/>
        <v>46105.131996064803</v>
      </c>
      <c r="B22" s="5" t="s">
        <v>84</v>
      </c>
      <c r="C22" s="11">
        <v>0.13199074074074099</v>
      </c>
      <c r="D22" s="11" t="s">
        <v>62</v>
      </c>
      <c r="E22" s="11">
        <v>0.22782407407407401</v>
      </c>
      <c r="F22" s="12">
        <f t="shared" si="1"/>
        <v>2.2999999999999927</v>
      </c>
      <c r="G22" s="13">
        <f t="shared" si="2"/>
        <v>0</v>
      </c>
      <c r="H22" s="13">
        <f t="shared" si="3"/>
        <v>2.2999999999999927</v>
      </c>
      <c r="I22"/>
      <c r="J22"/>
    </row>
    <row r="23" spans="1:13" ht="18.75" x14ac:dyDescent="0.15">
      <c r="A23" s="10">
        <f t="shared" ca="1" si="0"/>
        <v>46106.1396684028</v>
      </c>
      <c r="B23" s="5" t="s">
        <v>83</v>
      </c>
      <c r="C23" s="11">
        <v>0.139664351851852</v>
      </c>
      <c r="D23" s="11" t="s">
        <v>62</v>
      </c>
      <c r="E23" s="11">
        <v>0.230138888888889</v>
      </c>
      <c r="F23" s="12">
        <f t="shared" si="1"/>
        <v>2.1713888888888881</v>
      </c>
      <c r="G23" s="13">
        <f t="shared" si="2"/>
        <v>0</v>
      </c>
      <c r="H23" s="13">
        <f t="shared" si="3"/>
        <v>2.1713888888888881</v>
      </c>
      <c r="I23"/>
      <c r="J23"/>
    </row>
    <row r="24" spans="1:13" ht="18.75" x14ac:dyDescent="0.15">
      <c r="A24" s="10">
        <f t="shared" ca="1" si="0"/>
        <v>46106.230208101799</v>
      </c>
      <c r="B24" s="5" t="s">
        <v>82</v>
      </c>
      <c r="C24" s="11">
        <v>0.23020833333333299</v>
      </c>
      <c r="D24" s="11" t="s">
        <v>62</v>
      </c>
      <c r="E24" s="11">
        <v>0.30266203703703698</v>
      </c>
      <c r="F24" s="12">
        <f t="shared" si="1"/>
        <v>1.7388888888888958</v>
      </c>
      <c r="G24" s="13">
        <f t="shared" si="2"/>
        <v>0</v>
      </c>
      <c r="H24" s="13">
        <f t="shared" si="3"/>
        <v>1.7388888888888958</v>
      </c>
      <c r="I24"/>
      <c r="J24"/>
    </row>
    <row r="25" spans="1:13" ht="18.75" x14ac:dyDescent="0.15">
      <c r="A25" s="10">
        <f t="shared" ca="1" si="0"/>
        <v>46108.358561921297</v>
      </c>
      <c r="B25" s="5" t="s">
        <v>78</v>
      </c>
      <c r="C25" s="11">
        <v>0.35855324074074102</v>
      </c>
      <c r="D25" s="11" t="s">
        <v>62</v>
      </c>
      <c r="E25" s="11">
        <v>0.50609953703703703</v>
      </c>
      <c r="F25" s="12">
        <f t="shared" si="1"/>
        <v>3.5411111111111042</v>
      </c>
      <c r="G25" s="13">
        <f t="shared" si="2"/>
        <v>3.5411111111111042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46108.626013541703</v>
      </c>
      <c r="B26" s="5" t="s">
        <v>82</v>
      </c>
      <c r="C26" s="11">
        <v>0.62600694444444405</v>
      </c>
      <c r="D26" s="11" t="s">
        <v>62</v>
      </c>
      <c r="E26" s="11">
        <v>0.75879629629629597</v>
      </c>
      <c r="F26" s="12">
        <f t="shared" si="1"/>
        <v>3.1869444444444461</v>
      </c>
      <c r="G26" s="13">
        <f t="shared" si="2"/>
        <v>3.1869444444444461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46108.875809953701</v>
      </c>
      <c r="B27" s="5" t="s">
        <v>78</v>
      </c>
      <c r="C27" s="11">
        <v>0.87581018518518505</v>
      </c>
      <c r="D27" s="11" t="s">
        <v>62</v>
      </c>
      <c r="E27" s="11">
        <v>0.96425925925925904</v>
      </c>
      <c r="F27" s="12">
        <f t="shared" si="1"/>
        <v>2.1227777777777757</v>
      </c>
      <c r="G27" s="13">
        <f t="shared" si="2"/>
        <v>2.1227777777777757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46109.303446527803</v>
      </c>
      <c r="B28" s="5" t="s">
        <v>80</v>
      </c>
      <c r="C28" s="11">
        <v>0.30343750000000003</v>
      </c>
      <c r="D28" s="11" t="s">
        <v>62</v>
      </c>
      <c r="E28" s="11">
        <v>0.42395833333333299</v>
      </c>
      <c r="F28" s="12">
        <f t="shared" si="1"/>
        <v>2.8924999999999912</v>
      </c>
      <c r="G28" s="13">
        <f t="shared" si="2"/>
        <v>2.1750000000000003</v>
      </c>
      <c r="H28" s="13">
        <f t="shared" si="3"/>
        <v>0.71749999999999092</v>
      </c>
      <c r="I28"/>
      <c r="J28"/>
    </row>
    <row r="29" spans="1:13" ht="18.75" x14ac:dyDescent="0.15">
      <c r="A29" s="10">
        <f t="shared" ca="1" si="0"/>
        <v>46109.5010384259</v>
      </c>
      <c r="B29" s="5" t="s">
        <v>83</v>
      </c>
      <c r="C29" s="11">
        <v>0.50103009259259301</v>
      </c>
      <c r="D29" s="11" t="s">
        <v>62</v>
      </c>
      <c r="E29" s="11">
        <v>0.63664351851851897</v>
      </c>
      <c r="F29" s="12">
        <f t="shared" si="1"/>
        <v>3.254722222222223</v>
      </c>
      <c r="G29" s="13">
        <f t="shared" si="2"/>
        <v>3.254722222222223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46109.753256365701</v>
      </c>
      <c r="B30" s="5" t="s">
        <v>80</v>
      </c>
      <c r="C30" s="11">
        <v>0.75325231481481503</v>
      </c>
      <c r="D30" s="11" t="s">
        <v>62</v>
      </c>
      <c r="E30" s="11">
        <v>0.76495370370370397</v>
      </c>
      <c r="F30" s="12">
        <f t="shared" si="1"/>
        <v>0.2808333333333346</v>
      </c>
      <c r="G30" s="13">
        <f t="shared" si="2"/>
        <v>0.2808333333333346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46109.775458796299</v>
      </c>
      <c r="B31" s="5" t="s">
        <v>80</v>
      </c>
      <c r="C31" s="11">
        <v>0.77545138888888898</v>
      </c>
      <c r="D31" s="11" t="s">
        <v>62</v>
      </c>
      <c r="E31" s="11">
        <v>0.83873842592592596</v>
      </c>
      <c r="F31" s="12">
        <f t="shared" si="1"/>
        <v>1.5188888888888874</v>
      </c>
      <c r="G31" s="13">
        <f t="shared" si="2"/>
        <v>1.5188888888888874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2"/>
  <sheetViews>
    <sheetView topLeftCell="A13" zoomScale="85" zoomScaleNormal="85" workbookViewId="0">
      <selection activeCell="E37" sqref="E37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46084.358670949099</v>
      </c>
      <c r="B3" s="5" t="s">
        <v>78</v>
      </c>
      <c r="C3" s="11">
        <v>0.35866898148148102</v>
      </c>
      <c r="D3" s="11" t="s">
        <v>62</v>
      </c>
      <c r="E3" s="11">
        <v>0.50890046296296299</v>
      </c>
      <c r="F3" s="12">
        <f t="shared" ref="F3:F42" si="1">(IF(E3-C3&lt;0,"24:00"-C3+E3,E3-C3))*24</f>
        <v>3.6055555555555672</v>
      </c>
      <c r="G3" s="13">
        <f t="shared" ref="G3:G42" si="2">F3-H3</f>
        <v>3.6055555555555672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46084.625962963</v>
      </c>
      <c r="B4" s="5" t="s">
        <v>82</v>
      </c>
      <c r="C4" s="11">
        <v>0.625960648148148</v>
      </c>
      <c r="D4" s="11" t="s">
        <v>62</v>
      </c>
      <c r="E4" s="11">
        <v>0.75534722222222195</v>
      </c>
      <c r="F4" s="12">
        <f t="shared" si="1"/>
        <v>3.1052777777777747</v>
      </c>
      <c r="G4" s="13">
        <f t="shared" si="2"/>
        <v>3.1052777777777747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32.116944444444442</v>
      </c>
      <c r="K4" s="23">
        <f>SUMIF(B:B,"西塔台管制席",G:G)+SUMIF(B:B,"东塔台管制席",G:G)</f>
        <v>22.078333333333344</v>
      </c>
      <c r="L4" s="23">
        <f>SUMIF(B:B,"西塔台管制席",H:H)+SUMIF(B:B,"东塔台管制席",H:H)</f>
        <v>10.038611111111098</v>
      </c>
      <c r="M4" s="19"/>
    </row>
    <row r="5" spans="1:16" ht="18.75" x14ac:dyDescent="0.25">
      <c r="A5" s="10">
        <f t="shared" ca="1" si="0"/>
        <v>46084.8767069444</v>
      </c>
      <c r="B5" s="5" t="s">
        <v>78</v>
      </c>
      <c r="C5" s="11">
        <v>0.87670138888888904</v>
      </c>
      <c r="D5" s="11" t="s">
        <v>62</v>
      </c>
      <c r="E5" s="11">
        <v>0.96358796296296301</v>
      </c>
      <c r="F5" s="12">
        <f t="shared" si="1"/>
        <v>2.0852777777777751</v>
      </c>
      <c r="G5" s="13">
        <f t="shared" si="2"/>
        <v>2.0852777777777751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32.595000000000049</v>
      </c>
      <c r="K5" s="23">
        <f>SUMIF(B:B,"西塔台协调席",G:G)+SUMIF(B:B,"东塔台协调席",G:G)</f>
        <v>19.596388888888942</v>
      </c>
      <c r="L5" s="23">
        <f>SUMIF(B:B,"西塔台协调席",H:H)+SUMIF(B:B,"东塔台协调席",H:H)</f>
        <v>12.998611111111106</v>
      </c>
      <c r="M5" s="19"/>
    </row>
    <row r="6" spans="1:16" ht="18.75" x14ac:dyDescent="0.25">
      <c r="A6" s="10">
        <f t="shared" ca="1" si="0"/>
        <v>46085.300528819404</v>
      </c>
      <c r="B6" s="5" t="s">
        <v>82</v>
      </c>
      <c r="C6" s="11">
        <v>0.30052083333333302</v>
      </c>
      <c r="D6" s="11" t="s">
        <v>62</v>
      </c>
      <c r="E6" s="11">
        <v>0.43432870370370402</v>
      </c>
      <c r="F6" s="12">
        <f t="shared" si="1"/>
        <v>3.2113888888889042</v>
      </c>
      <c r="G6" s="13">
        <f t="shared" si="2"/>
        <v>2.423888888888905</v>
      </c>
      <c r="H6" s="13">
        <f t="shared" si="3"/>
        <v>0.7874999999999992</v>
      </c>
      <c r="I6" s="21" t="s">
        <v>66</v>
      </c>
      <c r="J6" s="22">
        <f>SUMIF(B:B,"放行席",F:F)</f>
        <v>2.355277777777776</v>
      </c>
      <c r="K6" s="23">
        <f>SUMIF(B:B,"放行席",G:G)</f>
        <v>0</v>
      </c>
      <c r="L6" s="23">
        <f>SUMIF(B:B,"放行席",H:H)</f>
        <v>2.355277777777776</v>
      </c>
      <c r="M6" s="19"/>
    </row>
    <row r="7" spans="1:16" ht="18.75" x14ac:dyDescent="0.25">
      <c r="A7" s="10">
        <f t="shared" ca="1" si="0"/>
        <v>46085.505704398201</v>
      </c>
      <c r="B7" s="5" t="s">
        <v>83</v>
      </c>
      <c r="C7" s="11">
        <v>0.505694444444444</v>
      </c>
      <c r="D7" s="11" t="s">
        <v>62</v>
      </c>
      <c r="E7" s="11">
        <v>0.63337962962963001</v>
      </c>
      <c r="F7" s="12">
        <f t="shared" si="1"/>
        <v>3.0644444444444643</v>
      </c>
      <c r="G7" s="13">
        <f t="shared" si="2"/>
        <v>3.0644444444444643</v>
      </c>
      <c r="H7" s="13">
        <f t="shared" si="3"/>
        <v>0</v>
      </c>
      <c r="I7" s="21" t="s">
        <v>67</v>
      </c>
      <c r="J7" s="22">
        <f>SUMIF(B:B,"地面席",F:F)</f>
        <v>4.4449999999999914</v>
      </c>
      <c r="K7" s="23">
        <f>SUMIF(B:B,"地面席",G:G)</f>
        <v>0</v>
      </c>
      <c r="L7" s="23">
        <f>SUMIF(B:B,"地面席",H:H)</f>
        <v>4.4449999999999914</v>
      </c>
      <c r="M7" s="19"/>
    </row>
    <row r="8" spans="1:16" ht="18.75" x14ac:dyDescent="0.25">
      <c r="A8" s="10">
        <f t="shared" ca="1" si="0"/>
        <v>46085.749830092602</v>
      </c>
      <c r="B8" s="5" t="s">
        <v>82</v>
      </c>
      <c r="C8" s="11">
        <v>0.74982638888888897</v>
      </c>
      <c r="D8" s="11" t="s">
        <v>62</v>
      </c>
      <c r="E8" s="11">
        <v>0.83885416666666701</v>
      </c>
      <c r="F8" s="12">
        <f t="shared" si="1"/>
        <v>2.1366666666666729</v>
      </c>
      <c r="G8" s="13">
        <f t="shared" si="2"/>
        <v>2.1366666666666729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46088.958613194402</v>
      </c>
      <c r="B9" s="5" t="s">
        <v>82</v>
      </c>
      <c r="C9" s="11">
        <v>0.95861111111111097</v>
      </c>
      <c r="D9" s="11" t="s">
        <v>62</v>
      </c>
      <c r="E9" s="11">
        <v>0.12091435185185199</v>
      </c>
      <c r="F9" s="12">
        <f t="shared" si="1"/>
        <v>3.8952777777777849</v>
      </c>
      <c r="G9" s="13">
        <f t="shared" si="2"/>
        <v>0.99333333333333718</v>
      </c>
      <c r="H9" s="13">
        <f t="shared" si="3"/>
        <v>2.9019444444444478</v>
      </c>
      <c r="I9" s="21" t="s">
        <v>69</v>
      </c>
      <c r="J9" s="22">
        <f>SUMIF(B:B,"航班调度席",F:F)</f>
        <v>6.0941666666666858</v>
      </c>
      <c r="K9" s="23">
        <f>SUMIF(B:B,"航班调度席",G:G)</f>
        <v>6.0941666666666858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46090.012881713003</v>
      </c>
      <c r="B10" s="5" t="s">
        <v>83</v>
      </c>
      <c r="C10" s="11">
        <v>1.40856481481482E-2</v>
      </c>
      <c r="D10" s="11" t="s">
        <v>62</v>
      </c>
      <c r="E10" s="11">
        <v>0.101909722222222</v>
      </c>
      <c r="F10" s="12">
        <f t="shared" si="1"/>
        <v>2.1077777777777715</v>
      </c>
      <c r="G10" s="13">
        <f t="shared" si="2"/>
        <v>0</v>
      </c>
      <c r="H10" s="13">
        <f t="shared" si="3"/>
        <v>2.1077777777777715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46090.101958101899</v>
      </c>
      <c r="B11" s="5" t="s">
        <v>82</v>
      </c>
      <c r="C11" s="11">
        <v>0.101956018518519</v>
      </c>
      <c r="D11" s="11" t="s">
        <v>62</v>
      </c>
      <c r="E11" s="11">
        <v>0.14057870370370401</v>
      </c>
      <c r="F11" s="12">
        <f t="shared" si="1"/>
        <v>0.92694444444444024</v>
      </c>
      <c r="G11" s="13">
        <f t="shared" si="2"/>
        <v>0</v>
      </c>
      <c r="H11" s="13">
        <f t="shared" si="3"/>
        <v>0.92694444444444024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46093.140472685198</v>
      </c>
      <c r="B12" s="5" t="s">
        <v>83</v>
      </c>
      <c r="C12" s="11">
        <v>0.14046296296296301</v>
      </c>
      <c r="D12" s="11" t="s">
        <v>62</v>
      </c>
      <c r="E12" s="11">
        <v>0.22611111111111101</v>
      </c>
      <c r="F12" s="12">
        <f t="shared" si="1"/>
        <v>2.0555555555555518</v>
      </c>
      <c r="G12" s="13">
        <f t="shared" si="2"/>
        <v>0</v>
      </c>
      <c r="H12" s="13">
        <f t="shared" si="3"/>
        <v>2.0555555555555518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46093.226151273098</v>
      </c>
      <c r="B13" s="5" t="s">
        <v>82</v>
      </c>
      <c r="C13" s="11">
        <v>0.22614583333333299</v>
      </c>
      <c r="D13" s="11" t="s">
        <v>62</v>
      </c>
      <c r="E13" s="11">
        <v>0.30270833333333302</v>
      </c>
      <c r="F13" s="12">
        <f t="shared" si="1"/>
        <v>1.8375000000000008</v>
      </c>
      <c r="G13" s="13">
        <f t="shared" si="2"/>
        <v>0</v>
      </c>
      <c r="H13" s="13">
        <f t="shared" si="3"/>
        <v>1.8375000000000008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46094.133388194401</v>
      </c>
      <c r="B14" s="5" t="s">
        <v>84</v>
      </c>
      <c r="C14" s="11">
        <v>0.13337962962962999</v>
      </c>
      <c r="D14" s="11" t="s">
        <v>62</v>
      </c>
      <c r="E14" s="11">
        <v>0.23151620370370399</v>
      </c>
      <c r="F14" s="12">
        <f t="shared" si="1"/>
        <v>2.355277777777776</v>
      </c>
      <c r="G14" s="13">
        <f t="shared" si="2"/>
        <v>0</v>
      </c>
      <c r="H14" s="13">
        <f t="shared" si="3"/>
        <v>2.355277777777776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46096.501748611103</v>
      </c>
      <c r="B15" s="5" t="s">
        <v>82</v>
      </c>
      <c r="C15" s="11">
        <v>0.50174768518518498</v>
      </c>
      <c r="D15" s="11" t="s">
        <v>62</v>
      </c>
      <c r="E15" s="11">
        <v>0.63134259259259295</v>
      </c>
      <c r="F15" s="12">
        <f t="shared" si="1"/>
        <v>3.1102777777777915</v>
      </c>
      <c r="G15" s="13">
        <f t="shared" si="2"/>
        <v>3.1102777777777915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46096.750221296301</v>
      </c>
      <c r="B16" s="5" t="s">
        <v>78</v>
      </c>
      <c r="C16" s="11">
        <v>0.75021990740740696</v>
      </c>
      <c r="D16" s="11" t="s">
        <v>62</v>
      </c>
      <c r="E16" s="11">
        <v>0.87891203703703702</v>
      </c>
      <c r="F16" s="12">
        <f t="shared" si="1"/>
        <v>3.0886111111111214</v>
      </c>
      <c r="G16" s="13">
        <f t="shared" si="2"/>
        <v>3.0886111111111214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46097.419276157401</v>
      </c>
      <c r="B17" s="5" t="s">
        <v>78</v>
      </c>
      <c r="C17" s="11">
        <v>0.41927083333333298</v>
      </c>
      <c r="D17" s="11" t="s">
        <v>62</v>
      </c>
      <c r="E17" s="11">
        <v>0.50440972222222202</v>
      </c>
      <c r="F17" s="12">
        <f t="shared" si="1"/>
        <v>2.043333333333337</v>
      </c>
      <c r="G17" s="13">
        <f t="shared" si="2"/>
        <v>2.043333333333337</v>
      </c>
      <c r="H17" s="13">
        <f t="shared" si="3"/>
        <v>0</v>
      </c>
      <c r="I17" s="35" t="s">
        <v>75</v>
      </c>
      <c r="J17" s="36">
        <f>J4+J5+J6+J7+J10</f>
        <v>71.512222222222263</v>
      </c>
      <c r="K17" s="37">
        <f>K4+K5+K6+K7+K10</f>
        <v>41.674722222222286</v>
      </c>
      <c r="L17" s="38">
        <f>L4+L5+L6+L7+L10</f>
        <v>29.83749999999997</v>
      </c>
      <c r="M17" s="39"/>
    </row>
    <row r="18" spans="1:13" ht="20.25" x14ac:dyDescent="0.25">
      <c r="A18" s="10">
        <f t="shared" ca="1" si="0"/>
        <v>46097.625475462999</v>
      </c>
      <c r="B18" s="5" t="s">
        <v>82</v>
      </c>
      <c r="C18" s="11">
        <v>0.62547453703703704</v>
      </c>
      <c r="D18" s="11" t="s">
        <v>62</v>
      </c>
      <c r="E18" s="11">
        <v>0.75438657407407395</v>
      </c>
      <c r="F18" s="12">
        <f t="shared" si="1"/>
        <v>3.0938888888888858</v>
      </c>
      <c r="G18" s="13">
        <f t="shared" si="2"/>
        <v>3.0938888888888858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46097.833699652801</v>
      </c>
      <c r="B19" s="5" t="s">
        <v>78</v>
      </c>
      <c r="C19" s="11">
        <v>0.83369212962963002</v>
      </c>
      <c r="D19" s="11" t="s">
        <v>62</v>
      </c>
      <c r="E19" s="11">
        <v>0.96223379629629602</v>
      </c>
      <c r="F19" s="12">
        <f t="shared" si="1"/>
        <v>3.084999999999984</v>
      </c>
      <c r="G19" s="13">
        <f t="shared" si="2"/>
        <v>3.084999999999984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46098.297611111098</v>
      </c>
      <c r="B20" s="5" t="s">
        <v>82</v>
      </c>
      <c r="C20" s="11">
        <v>0.297604166666667</v>
      </c>
      <c r="D20" s="11" t="s">
        <v>62</v>
      </c>
      <c r="E20" s="11">
        <v>0.36509259259259302</v>
      </c>
      <c r="F20" s="12">
        <f t="shared" si="1"/>
        <v>1.6197222222222245</v>
      </c>
      <c r="G20" s="13">
        <f t="shared" si="2"/>
        <v>0.76222222222224101</v>
      </c>
      <c r="H20" s="13">
        <f t="shared" si="3"/>
        <v>0.8574999999999835</v>
      </c>
      <c r="I20" s="40" t="s">
        <v>77</v>
      </c>
      <c r="J20" s="65">
        <f>J16+J17+J18+J19</f>
        <v>71.512222222222263</v>
      </c>
      <c r="K20" s="66"/>
      <c r="L20" s="67"/>
      <c r="M20" s="41"/>
    </row>
    <row r="21" spans="1:13" ht="20.25" x14ac:dyDescent="0.25">
      <c r="A21" s="10">
        <f t="shared" ca="1" si="0"/>
        <v>46101.015219560199</v>
      </c>
      <c r="B21" s="5" t="s">
        <v>78</v>
      </c>
      <c r="C21" s="11">
        <v>1.5219907407407401E-2</v>
      </c>
      <c r="D21" s="11" t="s">
        <v>62</v>
      </c>
      <c r="E21" s="11">
        <v>0.144224537037037</v>
      </c>
      <c r="F21" s="12">
        <f t="shared" si="1"/>
        <v>3.0961111111111106</v>
      </c>
      <c r="G21" s="13">
        <f t="shared" si="2"/>
        <v>0</v>
      </c>
      <c r="H21" s="13">
        <f t="shared" si="3"/>
        <v>3.0961111111111106</v>
      </c>
      <c r="I21" s="42" t="s">
        <v>4</v>
      </c>
      <c r="J21" s="43">
        <f>SUM(J8:J9)</f>
        <v>6.0941666666666858</v>
      </c>
      <c r="K21" s="37">
        <f>SUM(K8:K9)</f>
        <v>6.0941666666666858</v>
      </c>
      <c r="L21" s="38">
        <f>SUM(L8:L9)</f>
        <v>0</v>
      </c>
      <c r="M21" s="44"/>
    </row>
    <row r="22" spans="1:13" ht="18.75" x14ac:dyDescent="0.15">
      <c r="A22" s="10">
        <f t="shared" ca="1" si="0"/>
        <v>46101.960170833299</v>
      </c>
      <c r="B22" s="5" t="s">
        <v>82</v>
      </c>
      <c r="C22" s="11">
        <v>0.96016203703703695</v>
      </c>
      <c r="D22" s="11" t="s">
        <v>62</v>
      </c>
      <c r="E22" s="11">
        <v>0.15774305555555601</v>
      </c>
      <c r="F22" s="12">
        <f t="shared" si="1"/>
        <v>4.7419444444444574</v>
      </c>
      <c r="G22" s="13">
        <f t="shared" si="2"/>
        <v>0.95611111111111313</v>
      </c>
      <c r="H22" s="13">
        <f t="shared" si="3"/>
        <v>3.7858333333333443</v>
      </c>
      <c r="I22"/>
      <c r="J22"/>
    </row>
    <row r="23" spans="1:13" ht="18.75" x14ac:dyDescent="0.15">
      <c r="A23" s="10">
        <f t="shared" ca="1" si="0"/>
        <v>46102.158115740698</v>
      </c>
      <c r="B23" s="5" t="s">
        <v>81</v>
      </c>
      <c r="C23" s="11">
        <v>0.158113425925926</v>
      </c>
      <c r="D23" s="11" t="s">
        <v>62</v>
      </c>
      <c r="E23" s="11">
        <v>0.17694444444444399</v>
      </c>
      <c r="F23" s="12">
        <f t="shared" si="1"/>
        <v>0.4519444444444316</v>
      </c>
      <c r="G23" s="13">
        <f t="shared" si="2"/>
        <v>0</v>
      </c>
      <c r="H23" s="13">
        <f t="shared" si="3"/>
        <v>0.4519444444444316</v>
      </c>
      <c r="I23"/>
      <c r="J23"/>
    </row>
    <row r="24" spans="1:13" ht="18.75" x14ac:dyDescent="0.15">
      <c r="A24" s="10">
        <f t="shared" ca="1" si="0"/>
        <v>46102.225030671303</v>
      </c>
      <c r="B24" s="5" t="s">
        <v>81</v>
      </c>
      <c r="C24" s="11">
        <v>0.225023148148148</v>
      </c>
      <c r="D24" s="11" t="s">
        <v>62</v>
      </c>
      <c r="E24" s="11">
        <v>0.307650462962963</v>
      </c>
      <c r="F24" s="12">
        <f t="shared" si="1"/>
        <v>1.98305555555556</v>
      </c>
      <c r="G24" s="13">
        <f t="shared" si="2"/>
        <v>0</v>
      </c>
      <c r="H24" s="13">
        <f t="shared" si="3"/>
        <v>1.98305555555556</v>
      </c>
      <c r="I24"/>
      <c r="J24"/>
    </row>
    <row r="25" spans="1:13" ht="18.75" x14ac:dyDescent="0.15">
      <c r="A25" s="10">
        <f t="shared" ca="1" si="0"/>
        <v>46105.139676041697</v>
      </c>
      <c r="B25" s="5" t="s">
        <v>81</v>
      </c>
      <c r="C25" s="11">
        <v>0.13967592592592601</v>
      </c>
      <c r="D25" s="11" t="s">
        <v>62</v>
      </c>
      <c r="E25" s="11">
        <v>0.223425925925926</v>
      </c>
      <c r="F25" s="12">
        <f t="shared" si="1"/>
        <v>2.0099999999999998</v>
      </c>
      <c r="G25" s="13">
        <f t="shared" si="2"/>
        <v>0</v>
      </c>
      <c r="H25" s="13">
        <f t="shared" si="3"/>
        <v>2.0099999999999998</v>
      </c>
      <c r="I25"/>
      <c r="J25"/>
    </row>
    <row r="26" spans="1:13" ht="18.75" x14ac:dyDescent="0.15">
      <c r="A26" s="10">
        <f t="shared" ca="1" si="0"/>
        <v>46105.223468055599</v>
      </c>
      <c r="B26" s="5" t="s">
        <v>82</v>
      </c>
      <c r="C26" s="11">
        <v>0.22346064814814801</v>
      </c>
      <c r="D26" s="11" t="s">
        <v>62</v>
      </c>
      <c r="E26" s="11">
        <v>0.302685185185185</v>
      </c>
      <c r="F26" s="12">
        <f t="shared" si="1"/>
        <v>1.9013888888888879</v>
      </c>
      <c r="G26" s="13">
        <f t="shared" si="2"/>
        <v>0</v>
      </c>
      <c r="H26" s="13">
        <f t="shared" si="3"/>
        <v>1.9013888888888879</v>
      </c>
      <c r="I26"/>
      <c r="J26"/>
    </row>
    <row r="27" spans="1:13" ht="18.75" x14ac:dyDescent="0.15">
      <c r="A27" s="10">
        <f t="shared" ca="1" si="0"/>
        <v>46106.140656713003</v>
      </c>
      <c r="B27" s="5" t="s">
        <v>78</v>
      </c>
      <c r="C27" s="11">
        <v>0.14064814814814799</v>
      </c>
      <c r="D27" s="11" t="s">
        <v>62</v>
      </c>
      <c r="E27" s="11">
        <v>0.22442129629629601</v>
      </c>
      <c r="F27" s="12">
        <f t="shared" si="1"/>
        <v>2.0105555555555523</v>
      </c>
      <c r="G27" s="13">
        <f t="shared" si="2"/>
        <v>0</v>
      </c>
      <c r="H27" s="13">
        <f t="shared" si="3"/>
        <v>2.0105555555555523</v>
      </c>
      <c r="I27"/>
      <c r="J27"/>
    </row>
    <row r="28" spans="1:13" ht="18.75" x14ac:dyDescent="0.15">
      <c r="A28" s="10">
        <f t="shared" ca="1" si="0"/>
        <v>46108.381803009303</v>
      </c>
      <c r="B28" s="5" t="s">
        <v>79</v>
      </c>
      <c r="C28" s="11">
        <v>0.38179398148148103</v>
      </c>
      <c r="D28" s="11" t="s">
        <v>62</v>
      </c>
      <c r="E28" s="11">
        <v>0.47780092592592599</v>
      </c>
      <c r="F28" s="12">
        <f t="shared" si="1"/>
        <v>2.3041666666666791</v>
      </c>
      <c r="G28" s="13">
        <f t="shared" si="2"/>
        <v>2.3041666666666791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46108.584832407403</v>
      </c>
      <c r="B29" s="5" t="s">
        <v>79</v>
      </c>
      <c r="C29" s="11">
        <v>0.58482638888888905</v>
      </c>
      <c r="D29" s="11" t="s">
        <v>62</v>
      </c>
      <c r="E29" s="11">
        <v>0.74274305555555598</v>
      </c>
      <c r="F29" s="12">
        <f t="shared" si="1"/>
        <v>3.7900000000000063</v>
      </c>
      <c r="G29" s="13">
        <f t="shared" si="2"/>
        <v>3.7900000000000063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46109.301313425902</v>
      </c>
      <c r="B30" s="5" t="s">
        <v>83</v>
      </c>
      <c r="C30" s="11">
        <v>0.30130787037036999</v>
      </c>
      <c r="D30" s="11" t="s">
        <v>62</v>
      </c>
      <c r="E30" s="11">
        <v>0.42832175925925903</v>
      </c>
      <c r="F30" s="12">
        <f t="shared" si="1"/>
        <v>3.0483333333333369</v>
      </c>
      <c r="G30" s="13">
        <f t="shared" si="2"/>
        <v>2.2797222222222251</v>
      </c>
      <c r="H30" s="13">
        <f t="shared" si="3"/>
        <v>0.7686111111111118</v>
      </c>
      <c r="I30"/>
      <c r="J30"/>
    </row>
    <row r="31" spans="1:13" ht="18.75" x14ac:dyDescent="0.15">
      <c r="A31" s="10">
        <f t="shared" ca="1" si="0"/>
        <v>46109.512834143497</v>
      </c>
      <c r="B31" s="5" t="s">
        <v>80</v>
      </c>
      <c r="C31" s="11">
        <v>0.51288194444444402</v>
      </c>
      <c r="D31" s="11" t="s">
        <v>62</v>
      </c>
      <c r="E31" s="11">
        <v>0.63849537037036996</v>
      </c>
      <c r="F31" s="12">
        <f t="shared" si="1"/>
        <v>3.0147222222222227</v>
      </c>
      <c r="G31" s="13">
        <f t="shared" si="2"/>
        <v>3.0147222222222227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46109.751724189802</v>
      </c>
      <c r="B32" s="5" t="s">
        <v>83</v>
      </c>
      <c r="C32" s="11">
        <v>0.75172453703703701</v>
      </c>
      <c r="D32" s="11" t="s">
        <v>62</v>
      </c>
      <c r="E32" s="11">
        <v>0.78574074074074096</v>
      </c>
      <c r="F32" s="12">
        <f t="shared" si="1"/>
        <v>0.81638888888889483</v>
      </c>
      <c r="G32" s="13">
        <f t="shared" si="2"/>
        <v>0.81638888888889483</v>
      </c>
      <c r="H32" s="13">
        <f t="shared" si="3"/>
        <v>0</v>
      </c>
      <c r="I32"/>
      <c r="J32"/>
    </row>
    <row r="33" spans="1:11" ht="18.75" x14ac:dyDescent="0.15">
      <c r="A33" s="10">
        <f t="shared" ca="1" si="0"/>
        <v>46109.794464467603</v>
      </c>
      <c r="B33" s="5" t="s">
        <v>83</v>
      </c>
      <c r="C33" s="11">
        <v>0.79445601851851899</v>
      </c>
      <c r="D33" s="11" t="s">
        <v>62</v>
      </c>
      <c r="E33" s="11">
        <v>0.83880787037036997</v>
      </c>
      <c r="F33" s="12">
        <f t="shared" si="1"/>
        <v>1.0644444444444234</v>
      </c>
      <c r="G33" s="13">
        <f t="shared" si="2"/>
        <v>1.0644444444444234</v>
      </c>
      <c r="H33" s="13">
        <f t="shared" si="3"/>
        <v>0</v>
      </c>
      <c r="I33"/>
      <c r="J33"/>
    </row>
    <row r="34" spans="1:11" ht="18.75" x14ac:dyDescent="0.15">
      <c r="A34" s="10">
        <f t="shared" ca="1" si="0"/>
        <v>46112.960126388898</v>
      </c>
      <c r="B34" s="5" t="s">
        <v>78</v>
      </c>
      <c r="C34" s="11">
        <v>0.96011574074074102</v>
      </c>
      <c r="D34" s="11" t="s">
        <v>62</v>
      </c>
      <c r="E34" s="11">
        <v>0.99951388888888903</v>
      </c>
      <c r="F34" s="12">
        <f t="shared" si="1"/>
        <v>0.94555555555555237</v>
      </c>
      <c r="G34" s="13">
        <f t="shared" si="2"/>
        <v>0.94555555555555237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2"/>
  <sheetViews>
    <sheetView tabSelected="1" zoomScale="85" zoomScaleNormal="85" workbookViewId="0">
      <selection activeCell="N61" sqref="N6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46082.378510995397</v>
      </c>
      <c r="B3" s="5" t="s">
        <v>79</v>
      </c>
      <c r="C3" s="11">
        <v>0.37850694444444399</v>
      </c>
      <c r="D3" s="11" t="s">
        <v>62</v>
      </c>
      <c r="E3" s="11">
        <v>0.44980324074074102</v>
      </c>
      <c r="F3" s="12">
        <f t="shared" ref="F3:F42" si="1">(IF(E3-C3&lt;0,"24:00"-C3+E3,E3-C3))*24</f>
        <v>1.7111111111111286</v>
      </c>
      <c r="G3" s="13">
        <f t="shared" ref="G3:G42" si="2">F3-H3</f>
        <v>1.7111111111111286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46082.627189467603</v>
      </c>
      <c r="B4" s="5" t="s">
        <v>82</v>
      </c>
      <c r="C4" s="11">
        <v>0.62718750000000001</v>
      </c>
      <c r="D4" s="11" t="s">
        <v>62</v>
      </c>
      <c r="E4" s="11">
        <v>0.71458333333333302</v>
      </c>
      <c r="F4" s="12">
        <f t="shared" si="1"/>
        <v>2.0974999999999921</v>
      </c>
      <c r="G4" s="13">
        <f t="shared" si="2"/>
        <v>2.0974999999999921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43.49138888888892</v>
      </c>
      <c r="K4" s="23">
        <f>SUMIF(B:B,"西塔台管制席",G:G)+SUMIF(B:B,"东塔台管制席",G:G)</f>
        <v>26.023888888888973</v>
      </c>
      <c r="L4" s="23">
        <f>SUMIF(B:B,"西塔台管制席",H:H)+SUMIF(B:B,"东塔台管制席",H:H)</f>
        <v>17.467499999999951</v>
      </c>
      <c r="M4" s="19"/>
    </row>
    <row r="5" spans="1:16" ht="18.75" x14ac:dyDescent="0.25">
      <c r="A5" s="10">
        <f t="shared" ca="1" si="0"/>
        <v>46082.834785995401</v>
      </c>
      <c r="B5" s="5" t="s">
        <v>82</v>
      </c>
      <c r="C5" s="11">
        <v>0.834780092592593</v>
      </c>
      <c r="D5" s="11" t="s">
        <v>62</v>
      </c>
      <c r="E5" s="11">
        <v>0.95721064814814805</v>
      </c>
      <c r="F5" s="12">
        <f t="shared" si="1"/>
        <v>2.938333333333321</v>
      </c>
      <c r="G5" s="13">
        <f t="shared" si="2"/>
        <v>2.938333333333321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16.935833333333292</v>
      </c>
      <c r="K5" s="23">
        <f>SUMIF(B:B,"西塔台协调席",G:G)+SUMIF(B:B,"东塔台协调席",G:G)</f>
        <v>10.857777777777747</v>
      </c>
      <c r="L5" s="23">
        <f>SUMIF(B:B,"西塔台协调席",H:H)+SUMIF(B:B,"东塔台协调席",H:H)</f>
        <v>6.0780555555555456</v>
      </c>
      <c r="M5" s="19"/>
    </row>
    <row r="6" spans="1:16" ht="18.75" x14ac:dyDescent="0.25">
      <c r="A6" s="10">
        <f t="shared" ca="1" si="0"/>
        <v>46083.293998495399</v>
      </c>
      <c r="B6" s="5" t="s">
        <v>83</v>
      </c>
      <c r="C6" s="11">
        <v>0.29399305555555599</v>
      </c>
      <c r="D6" s="11" t="s">
        <v>62</v>
      </c>
      <c r="E6" s="11">
        <v>0.31137731481481501</v>
      </c>
      <c r="F6" s="12">
        <f t="shared" si="1"/>
        <v>0.41722222222221639</v>
      </c>
      <c r="G6" s="13">
        <f t="shared" si="2"/>
        <v>0</v>
      </c>
      <c r="H6" s="13">
        <f t="shared" si="3"/>
        <v>0.41722222222221639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46083.311432291703</v>
      </c>
      <c r="B7" s="5" t="s">
        <v>78</v>
      </c>
      <c r="C7" s="11">
        <v>0.311423611111111</v>
      </c>
      <c r="D7" s="11" t="s">
        <v>62</v>
      </c>
      <c r="E7" s="11">
        <v>0.42289351851851897</v>
      </c>
      <c r="F7" s="12">
        <f t="shared" si="1"/>
        <v>2.6752777777777914</v>
      </c>
      <c r="G7" s="13">
        <f t="shared" si="2"/>
        <v>2.1494444444444638</v>
      </c>
      <c r="H7" s="13">
        <f t="shared" si="3"/>
        <v>0.5258333333333276</v>
      </c>
      <c r="I7" s="21" t="s">
        <v>67</v>
      </c>
      <c r="J7" s="22">
        <f>SUMIF(B:B,"地面席",F:F)</f>
        <v>4.0669444444444558</v>
      </c>
      <c r="K7" s="23">
        <f>SUMIF(B:B,"地面席",G:G)</f>
        <v>0</v>
      </c>
      <c r="L7" s="23">
        <f>SUMIF(B:B,"地面席",H:H)</f>
        <v>4.0669444444444558</v>
      </c>
      <c r="M7" s="19"/>
    </row>
    <row r="8" spans="1:16" ht="18.75" x14ac:dyDescent="0.25">
      <c r="A8" s="10">
        <f t="shared" ca="1" si="0"/>
        <v>46083.712460069401</v>
      </c>
      <c r="B8" s="5" t="s">
        <v>82</v>
      </c>
      <c r="C8" s="11">
        <v>0.71245370370370398</v>
      </c>
      <c r="D8" s="11" t="s">
        <v>62</v>
      </c>
      <c r="E8" s="11">
        <v>0.85974537037037002</v>
      </c>
      <c r="F8" s="12">
        <f t="shared" si="1"/>
        <v>3.534999999999985</v>
      </c>
      <c r="G8" s="13">
        <f t="shared" si="2"/>
        <v>3.534999999999985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46084.292898495398</v>
      </c>
      <c r="B9" s="5" t="s">
        <v>78</v>
      </c>
      <c r="C9" s="11">
        <v>0.29289351851851902</v>
      </c>
      <c r="D9" s="11" t="s">
        <v>62</v>
      </c>
      <c r="E9" s="11">
        <v>0.36853009259259301</v>
      </c>
      <c r="F9" s="12">
        <f t="shared" si="1"/>
        <v>1.8152777777777755</v>
      </c>
      <c r="G9" s="13">
        <f t="shared" si="2"/>
        <v>0.84472222222224058</v>
      </c>
      <c r="H9" s="13">
        <f t="shared" si="3"/>
        <v>0.97055555555553497</v>
      </c>
      <c r="I9" s="21" t="s">
        <v>69</v>
      </c>
      <c r="J9" s="22">
        <f>SUMIF(B:B,"航班调度席",F:F)</f>
        <v>2.8463888888889124</v>
      </c>
      <c r="K9" s="23">
        <f>SUMIF(B:B,"航班调度席",G:G)</f>
        <v>2.8463888888889124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46087.139153588003</v>
      </c>
      <c r="B10" s="5" t="s">
        <v>78</v>
      </c>
      <c r="C10" s="11">
        <v>0.139143518518518</v>
      </c>
      <c r="D10" s="11" t="s">
        <v>62</v>
      </c>
      <c r="E10" s="11">
        <v>0.29920138888888897</v>
      </c>
      <c r="F10" s="12">
        <f t="shared" si="1"/>
        <v>3.8413888888889032</v>
      </c>
      <c r="G10" s="13">
        <f t="shared" si="2"/>
        <v>0</v>
      </c>
      <c r="H10" s="13">
        <f t="shared" si="3"/>
        <v>3.8413888888889032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46087.950766435199</v>
      </c>
      <c r="B11" s="5" t="s">
        <v>78</v>
      </c>
      <c r="C11" s="11">
        <v>0.95076388888888896</v>
      </c>
      <c r="D11" s="11" t="s">
        <v>62</v>
      </c>
      <c r="E11" s="11">
        <v>0.114849537037037</v>
      </c>
      <c r="F11" s="12">
        <f t="shared" si="1"/>
        <v>3.9380555555555525</v>
      </c>
      <c r="G11" s="13">
        <f t="shared" si="2"/>
        <v>1.1816666666666644</v>
      </c>
      <c r="H11" s="13">
        <f t="shared" si="3"/>
        <v>2.7563888888888881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46091.1402892361</v>
      </c>
      <c r="B12" s="5" t="s">
        <v>78</v>
      </c>
      <c r="C12" s="11">
        <v>0.14028935185185201</v>
      </c>
      <c r="D12" s="11" t="s">
        <v>62</v>
      </c>
      <c r="E12" s="11">
        <v>0.29881944444444403</v>
      </c>
      <c r="F12" s="12">
        <f t="shared" si="1"/>
        <v>3.8047222222222086</v>
      </c>
      <c r="G12" s="13">
        <f t="shared" si="2"/>
        <v>0</v>
      </c>
      <c r="H12" s="13">
        <f t="shared" si="3"/>
        <v>3.8047222222222086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46092.015149884297</v>
      </c>
      <c r="B13" s="5" t="s">
        <v>80</v>
      </c>
      <c r="C13" s="11">
        <v>1.5150462962962999E-2</v>
      </c>
      <c r="D13" s="11" t="s">
        <v>62</v>
      </c>
      <c r="E13" s="11">
        <v>0.137395833333333</v>
      </c>
      <c r="F13" s="12">
        <f t="shared" si="1"/>
        <v>2.9338888888888799</v>
      </c>
      <c r="G13" s="13">
        <f t="shared" si="2"/>
        <v>0</v>
      </c>
      <c r="H13" s="13">
        <f t="shared" si="3"/>
        <v>2.9338888888888799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46094.374233217597</v>
      </c>
      <c r="B14" s="5" t="s">
        <v>79</v>
      </c>
      <c r="C14" s="11">
        <v>0.37422453703703701</v>
      </c>
      <c r="D14" s="11" t="s">
        <v>62</v>
      </c>
      <c r="E14" s="11">
        <v>0.421527777777778</v>
      </c>
      <c r="F14" s="12">
        <f t="shared" si="1"/>
        <v>1.1352777777777838</v>
      </c>
      <c r="G14" s="13">
        <f t="shared" si="2"/>
        <v>1.1352777777777838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46094.6274239583</v>
      </c>
      <c r="B15" s="5" t="s">
        <v>78</v>
      </c>
      <c r="C15" s="11">
        <v>0.62741898148148101</v>
      </c>
      <c r="D15" s="11" t="s">
        <v>62</v>
      </c>
      <c r="E15" s="11">
        <v>0.714976851851852</v>
      </c>
      <c r="F15" s="12">
        <f t="shared" si="1"/>
        <v>2.1013888888889038</v>
      </c>
      <c r="G15" s="13">
        <f t="shared" si="2"/>
        <v>2.1013888888889038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46094.814219444401</v>
      </c>
      <c r="B16" s="5" t="s">
        <v>78</v>
      </c>
      <c r="C16" s="11">
        <v>0.81421296296296297</v>
      </c>
      <c r="D16" s="11" t="s">
        <v>62</v>
      </c>
      <c r="E16" s="11">
        <v>0.95717592592592604</v>
      </c>
      <c r="F16" s="12">
        <f t="shared" si="1"/>
        <v>3.4311111111111137</v>
      </c>
      <c r="G16" s="13">
        <f t="shared" si="2"/>
        <v>3.4311111111111137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46095.418273379597</v>
      </c>
      <c r="B17" s="5" t="s">
        <v>78</v>
      </c>
      <c r="C17" s="11">
        <v>0.41826388888888899</v>
      </c>
      <c r="D17" s="11" t="s">
        <v>62</v>
      </c>
      <c r="E17" s="11">
        <v>0.54981481481481498</v>
      </c>
      <c r="F17" s="12">
        <f t="shared" si="1"/>
        <v>3.1572222222222237</v>
      </c>
      <c r="G17" s="13">
        <f t="shared" si="2"/>
        <v>3.1572222222222237</v>
      </c>
      <c r="H17" s="13">
        <f t="shared" si="3"/>
        <v>0</v>
      </c>
      <c r="I17" s="35" t="s">
        <v>75</v>
      </c>
      <c r="J17" s="36">
        <f>J4+J5+J6+J7+J10</f>
        <v>64.494166666666672</v>
      </c>
      <c r="K17" s="37">
        <f>K4+K5+K6+K7+K10</f>
        <v>36.881666666666717</v>
      </c>
      <c r="L17" s="38">
        <f>L4+L5+L6+L7+L10</f>
        <v>27.612499999999951</v>
      </c>
      <c r="M17" s="39"/>
    </row>
    <row r="18" spans="1:13" ht="20.25" x14ac:dyDescent="0.25">
      <c r="A18" s="10">
        <f t="shared" ca="1" si="0"/>
        <v>46095.6905372685</v>
      </c>
      <c r="B18" s="5" t="s">
        <v>78</v>
      </c>
      <c r="C18" s="11">
        <v>0.69053240740740696</v>
      </c>
      <c r="D18" s="11" t="s">
        <v>62</v>
      </c>
      <c r="E18" s="11">
        <v>0.838784722222222</v>
      </c>
      <c r="F18" s="12">
        <f t="shared" si="1"/>
        <v>3.5580555555555611</v>
      </c>
      <c r="G18" s="13">
        <f t="shared" si="2"/>
        <v>3.5580555555555611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46096.293587731503</v>
      </c>
      <c r="B19" s="5" t="s">
        <v>78</v>
      </c>
      <c r="C19" s="11">
        <v>0.29358796296296302</v>
      </c>
      <c r="D19" s="11" t="s">
        <v>62</v>
      </c>
      <c r="E19" s="11">
        <v>0.36473379629629599</v>
      </c>
      <c r="F19" s="12">
        <f t="shared" si="1"/>
        <v>1.7074999999999911</v>
      </c>
      <c r="G19" s="13">
        <f t="shared" si="2"/>
        <v>0.75361111111111212</v>
      </c>
      <c r="H19" s="13">
        <f t="shared" si="3"/>
        <v>0.95388888888887902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46100.015413078698</v>
      </c>
      <c r="B20" s="5" t="s">
        <v>80</v>
      </c>
      <c r="C20" s="11">
        <v>1.54050925925926E-2</v>
      </c>
      <c r="D20" s="11" t="s">
        <v>62</v>
      </c>
      <c r="E20" s="11">
        <v>0.14641203703703701</v>
      </c>
      <c r="F20" s="12">
        <f t="shared" si="1"/>
        <v>3.1441666666666661</v>
      </c>
      <c r="G20" s="13">
        <f t="shared" si="2"/>
        <v>0</v>
      </c>
      <c r="H20" s="13">
        <f t="shared" si="3"/>
        <v>3.1441666666666661</v>
      </c>
      <c r="I20" s="40" t="s">
        <v>77</v>
      </c>
      <c r="J20" s="65">
        <f>J16+J17+J18+J19</f>
        <v>64.494166666666672</v>
      </c>
      <c r="K20" s="66"/>
      <c r="L20" s="67"/>
      <c r="M20" s="41"/>
    </row>
    <row r="21" spans="1:13" ht="20.25" x14ac:dyDescent="0.25">
      <c r="A21" s="10">
        <f t="shared" ca="1" si="0"/>
        <v>46104.014829282401</v>
      </c>
      <c r="B21" s="5" t="s">
        <v>78</v>
      </c>
      <c r="C21" s="11">
        <v>1.4826388888888899E-2</v>
      </c>
      <c r="D21" s="11" t="s">
        <v>62</v>
      </c>
      <c r="E21" s="11">
        <v>0.15086805555555599</v>
      </c>
      <c r="F21" s="12">
        <f t="shared" si="1"/>
        <v>3.2650000000000103</v>
      </c>
      <c r="G21" s="13">
        <f t="shared" si="2"/>
        <v>0</v>
      </c>
      <c r="H21" s="13">
        <f t="shared" si="3"/>
        <v>3.2650000000000103</v>
      </c>
      <c r="I21" s="42" t="s">
        <v>4</v>
      </c>
      <c r="J21" s="43">
        <f>SUM(J8:J9)</f>
        <v>2.8463888888889124</v>
      </c>
      <c r="K21" s="37">
        <f>SUM(K8:K9)</f>
        <v>2.8463888888889124</v>
      </c>
      <c r="L21" s="38">
        <f>SUM(L8:L9)</f>
        <v>0</v>
      </c>
      <c r="M21" s="44"/>
    </row>
    <row r="22" spans="1:13" ht="18.75" x14ac:dyDescent="0.15">
      <c r="A22" s="10">
        <f t="shared" ca="1" si="0"/>
        <v>46106.358670138899</v>
      </c>
      <c r="B22" s="5" t="s">
        <v>78</v>
      </c>
      <c r="C22" s="11">
        <v>0.35866898148148102</v>
      </c>
      <c r="D22" s="11" t="s">
        <v>62</v>
      </c>
      <c r="E22" s="11">
        <v>0.50680555555555595</v>
      </c>
      <c r="F22" s="12">
        <f t="shared" si="1"/>
        <v>3.5552777777777984</v>
      </c>
      <c r="G22" s="13">
        <f t="shared" si="2"/>
        <v>3.5552777777777984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46106.625751041698</v>
      </c>
      <c r="B23" s="5" t="s">
        <v>78</v>
      </c>
      <c r="C23" s="11">
        <v>0.62574074074074104</v>
      </c>
      <c r="D23" s="11" t="s">
        <v>62</v>
      </c>
      <c r="E23" s="11">
        <v>0.75718750000000001</v>
      </c>
      <c r="F23" s="12">
        <f t="shared" si="1"/>
        <v>3.1547222222222153</v>
      </c>
      <c r="G23" s="13">
        <f t="shared" si="2"/>
        <v>3.1547222222222153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46107.294487152802</v>
      </c>
      <c r="B24" s="5" t="s">
        <v>78</v>
      </c>
      <c r="C24" s="11">
        <v>0.29447916666666701</v>
      </c>
      <c r="D24" s="11" t="s">
        <v>62</v>
      </c>
      <c r="E24" s="11">
        <v>0.42236111111111102</v>
      </c>
      <c r="F24" s="12">
        <f t="shared" si="1"/>
        <v>3.0691666666666562</v>
      </c>
      <c r="G24" s="13">
        <f t="shared" si="2"/>
        <v>2.1366666666666729</v>
      </c>
      <c r="H24" s="13">
        <f t="shared" si="3"/>
        <v>0.93249999999998323</v>
      </c>
      <c r="I24"/>
      <c r="J24"/>
    </row>
    <row r="25" spans="1:13" ht="18.75" x14ac:dyDescent="0.15">
      <c r="A25" s="10">
        <f t="shared" ca="1" si="0"/>
        <v>46107.669053587997</v>
      </c>
      <c r="B25" s="5" t="s">
        <v>82</v>
      </c>
      <c r="C25" s="11">
        <v>0.66905092592592597</v>
      </c>
      <c r="D25" s="11" t="s">
        <v>62</v>
      </c>
      <c r="E25" s="11">
        <v>0.76434027777777802</v>
      </c>
      <c r="F25" s="12">
        <f t="shared" si="1"/>
        <v>2.2869444444444493</v>
      </c>
      <c r="G25" s="13">
        <f t="shared" si="2"/>
        <v>2.2869444444444493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46111.140635185198</v>
      </c>
      <c r="B26" s="5" t="s">
        <v>81</v>
      </c>
      <c r="C26" s="11">
        <v>0.140625</v>
      </c>
      <c r="D26" s="11" t="s">
        <v>62</v>
      </c>
      <c r="E26" s="11">
        <v>0.22837962962962999</v>
      </c>
      <c r="F26" s="12">
        <f t="shared" si="1"/>
        <v>2.1061111111111197</v>
      </c>
      <c r="G26" s="13">
        <f t="shared" si="2"/>
        <v>0</v>
      </c>
      <c r="H26" s="13">
        <f t="shared" si="3"/>
        <v>2.1061111111111197</v>
      </c>
      <c r="I26"/>
      <c r="J26"/>
    </row>
    <row r="27" spans="1:13" ht="18.75" x14ac:dyDescent="0.15">
      <c r="A27" s="10">
        <f t="shared" ca="1" si="0"/>
        <v>46112.140865277797</v>
      </c>
      <c r="B27" s="5" t="s">
        <v>81</v>
      </c>
      <c r="C27" s="11">
        <v>0.140856481481481</v>
      </c>
      <c r="D27" s="11" t="s">
        <v>62</v>
      </c>
      <c r="E27" s="11">
        <v>0.22255787037037</v>
      </c>
      <c r="F27" s="12">
        <f t="shared" si="1"/>
        <v>1.9608333333333361</v>
      </c>
      <c r="G27" s="13">
        <f t="shared" si="2"/>
        <v>0</v>
      </c>
      <c r="H27" s="13">
        <f t="shared" si="3"/>
        <v>1.9608333333333361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46082.016336226901</v>
      </c>
      <c r="B3" s="5" t="s">
        <v>78</v>
      </c>
      <c r="C3" s="11">
        <v>1.6331018518518502E-2</v>
      </c>
      <c r="D3" s="11" t="s">
        <v>62</v>
      </c>
      <c r="E3" s="11">
        <v>0.10474537037037</v>
      </c>
      <c r="F3" s="12">
        <f t="shared" ref="F3:F42" si="1">(IF(E3-C3&lt;0,"24:00"-C3+E3,E3-C3))*24</f>
        <v>2.121944444444436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2.121944444444436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46082.104807060197</v>
      </c>
      <c r="B4" s="5" t="s">
        <v>83</v>
      </c>
      <c r="C4" s="11">
        <v>0.104803240740741</v>
      </c>
      <c r="D4" s="11" t="s">
        <v>62</v>
      </c>
      <c r="E4" s="11">
        <v>0.14438657407407399</v>
      </c>
      <c r="F4" s="12">
        <f t="shared" si="1"/>
        <v>0.94999999999999163</v>
      </c>
      <c r="G4" s="13">
        <f t="shared" si="2"/>
        <v>0</v>
      </c>
      <c r="H4" s="13">
        <f t="shared" si="3"/>
        <v>0.94999999999999163</v>
      </c>
      <c r="I4" s="21" t="s">
        <v>64</v>
      </c>
      <c r="J4" s="22">
        <f>SUMIF(B:B,"西塔台管制席",F:F)+SUMIF(B:B,"东塔台管制席",F:F)</f>
        <v>34.239166666666655</v>
      </c>
      <c r="K4" s="23">
        <f>SUMIF(B:B,"西塔台管制席",G:G)+SUMIF(B:B,"东塔台管制席",G:G)</f>
        <v>16.953055555555583</v>
      </c>
      <c r="L4" s="23">
        <f>SUMIF(B:B,"西塔台管制席",H:H)+SUMIF(B:B,"东塔台管制席",H:H)</f>
        <v>17.286111111111069</v>
      </c>
      <c r="M4" s="19"/>
    </row>
    <row r="5" spans="1:16" ht="18.75" x14ac:dyDescent="0.25">
      <c r="A5" s="10">
        <f t="shared" ca="1" si="0"/>
        <v>46085.138884606502</v>
      </c>
      <c r="B5" s="5" t="s">
        <v>85</v>
      </c>
      <c r="C5" s="11">
        <v>0.13887731481481499</v>
      </c>
      <c r="D5" s="11" t="s">
        <v>62</v>
      </c>
      <c r="E5" s="11">
        <v>0.218310185185185</v>
      </c>
      <c r="F5" s="12">
        <f t="shared" si="1"/>
        <v>1.90638888888888</v>
      </c>
      <c r="G5" s="13">
        <f t="shared" si="2"/>
        <v>0</v>
      </c>
      <c r="H5" s="13">
        <f t="shared" si="3"/>
        <v>1.90638888888888</v>
      </c>
      <c r="I5" s="21" t="s">
        <v>65</v>
      </c>
      <c r="J5" s="22">
        <f>SUMIF(B:B,"西塔台协调席",F:F)+SUMIF(B:B,"东塔台协调席",F:F)</f>
        <v>30.164722222222217</v>
      </c>
      <c r="K5" s="23">
        <f>SUMIF(B:B,"西塔台协调席",G:G)+SUMIF(B:B,"东塔台协调席",G:G)</f>
        <v>16.887500000000042</v>
      </c>
      <c r="L5" s="23">
        <f>SUMIF(B:B,"西塔台协调席",H:H)+SUMIF(B:B,"东塔台协调席",H:H)</f>
        <v>13.277222222222175</v>
      </c>
      <c r="M5" s="19"/>
    </row>
    <row r="6" spans="1:16" ht="18.75" x14ac:dyDescent="0.25">
      <c r="A6" s="10">
        <f t="shared" ca="1" si="0"/>
        <v>46086.138998611103</v>
      </c>
      <c r="B6" s="5" t="s">
        <v>80</v>
      </c>
      <c r="C6" s="11">
        <v>0.13899305555555599</v>
      </c>
      <c r="D6" s="11" t="s">
        <v>62</v>
      </c>
      <c r="E6" s="11">
        <v>0.219907407407407</v>
      </c>
      <c r="F6" s="12">
        <f t="shared" si="1"/>
        <v>1.941944444444424</v>
      </c>
      <c r="G6" s="13">
        <f t="shared" si="2"/>
        <v>0</v>
      </c>
      <c r="H6" s="13">
        <f t="shared" si="3"/>
        <v>1.941944444444424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46086.219938773102</v>
      </c>
      <c r="B7" s="5" t="s">
        <v>82</v>
      </c>
      <c r="C7" s="11">
        <v>0.21993055555555599</v>
      </c>
      <c r="D7" s="11" t="s">
        <v>62</v>
      </c>
      <c r="E7" s="11">
        <v>0.30493055555555598</v>
      </c>
      <c r="F7" s="12">
        <f t="shared" si="1"/>
        <v>2.04</v>
      </c>
      <c r="G7" s="13">
        <f t="shared" si="2"/>
        <v>0</v>
      </c>
      <c r="H7" s="13">
        <f t="shared" si="3"/>
        <v>2.04</v>
      </c>
      <c r="I7" s="21" t="s">
        <v>67</v>
      </c>
      <c r="J7" s="22">
        <f>SUMIF(B:B,"地面席",F:F)</f>
        <v>2.1805555555555443</v>
      </c>
      <c r="K7" s="23">
        <f>SUMIF(B:B,"地面席",G:G)</f>
        <v>0</v>
      </c>
      <c r="L7" s="23">
        <f>SUMIF(B:B,"地面席",H:H)</f>
        <v>2.1805555555555443</v>
      </c>
      <c r="M7" s="19"/>
    </row>
    <row r="8" spans="1:16" ht="18.75" x14ac:dyDescent="0.25">
      <c r="A8" s="10">
        <f t="shared" ca="1" si="0"/>
        <v>46088.5013616898</v>
      </c>
      <c r="B8" s="5" t="s">
        <v>78</v>
      </c>
      <c r="C8" s="11">
        <v>0.50135416666666699</v>
      </c>
      <c r="D8" s="11" t="s">
        <v>62</v>
      </c>
      <c r="E8" s="11">
        <v>0.63166666666666704</v>
      </c>
      <c r="F8" s="12">
        <f t="shared" si="1"/>
        <v>3.1275000000000013</v>
      </c>
      <c r="G8" s="13">
        <f t="shared" si="2"/>
        <v>3.1275000000000013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46088.751136342602</v>
      </c>
      <c r="B9" s="5" t="s">
        <v>82</v>
      </c>
      <c r="C9" s="11">
        <v>0.75113425925925903</v>
      </c>
      <c r="D9" s="11" t="s">
        <v>62</v>
      </c>
      <c r="E9" s="11">
        <v>0.88174768518518498</v>
      </c>
      <c r="F9" s="12">
        <f t="shared" si="1"/>
        <v>3.1347222222222229</v>
      </c>
      <c r="G9" s="13">
        <f t="shared" si="2"/>
        <v>3.1347222222222229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46089.418771875004</v>
      </c>
      <c r="B10" s="5" t="s">
        <v>78</v>
      </c>
      <c r="C10" s="11">
        <v>0.41876157407407399</v>
      </c>
      <c r="D10" s="11" t="s">
        <v>62</v>
      </c>
      <c r="E10" s="11">
        <v>0.51028935185185198</v>
      </c>
      <c r="F10" s="12">
        <f t="shared" si="1"/>
        <v>2.1966666666666717</v>
      </c>
      <c r="G10" s="13">
        <f t="shared" si="2"/>
        <v>2.1966666666666717</v>
      </c>
      <c r="H10" s="13">
        <f t="shared" si="3"/>
        <v>0</v>
      </c>
      <c r="I10" s="21" t="s">
        <v>70</v>
      </c>
      <c r="J10" s="22">
        <f>SUMIF(B:B,"综合协调席",F:F)</f>
        <v>3.9938888888888879</v>
      </c>
      <c r="K10" s="23">
        <f>SUMIF(B:B,"综合协调席",G:G)</f>
        <v>0</v>
      </c>
      <c r="L10" s="23">
        <f>SUMIF(B:B,"综合协调席",H:H)</f>
        <v>3.9938888888888879</v>
      </c>
      <c r="M10" s="19"/>
    </row>
    <row r="11" spans="1:16" ht="18.75" x14ac:dyDescent="0.25">
      <c r="A11" s="10">
        <f t="shared" ca="1" si="0"/>
        <v>46089.625684722203</v>
      </c>
      <c r="B11" s="5" t="s">
        <v>82</v>
      </c>
      <c r="C11" s="11">
        <v>0.62568287037036996</v>
      </c>
      <c r="D11" s="11" t="s">
        <v>62</v>
      </c>
      <c r="E11" s="11">
        <v>0.75560185185185202</v>
      </c>
      <c r="F11" s="12">
        <f t="shared" si="1"/>
        <v>3.1180555555555696</v>
      </c>
      <c r="G11" s="13">
        <f t="shared" si="2"/>
        <v>3.1180555555555696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46089.835016550896</v>
      </c>
      <c r="B12" s="5" t="s">
        <v>78</v>
      </c>
      <c r="C12" s="11">
        <v>0.835011574074074</v>
      </c>
      <c r="D12" s="11" t="s">
        <v>62</v>
      </c>
      <c r="E12" s="11">
        <v>0.96439814814814795</v>
      </c>
      <c r="F12" s="12">
        <f t="shared" si="1"/>
        <v>3.1052777777777747</v>
      </c>
      <c r="G12" s="13">
        <f t="shared" si="2"/>
        <v>3.1052777777777747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46090.300555324102</v>
      </c>
      <c r="B13" s="5" t="s">
        <v>82</v>
      </c>
      <c r="C13" s="11">
        <v>0.30055555555555602</v>
      </c>
      <c r="D13" s="11" t="s">
        <v>62</v>
      </c>
      <c r="E13" s="11">
        <v>0.36346064814814799</v>
      </c>
      <c r="F13" s="12">
        <f t="shared" si="1"/>
        <v>1.5097222222222073</v>
      </c>
      <c r="G13" s="13">
        <f t="shared" si="2"/>
        <v>0.72305555555556023</v>
      </c>
      <c r="H13" s="13">
        <f t="shared" si="3"/>
        <v>0.78666666666664709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46093.014426620401</v>
      </c>
      <c r="B14" s="5" t="s">
        <v>80</v>
      </c>
      <c r="C14" s="11">
        <v>1.44212962962963E-2</v>
      </c>
      <c r="D14" s="11" t="s">
        <v>62</v>
      </c>
      <c r="E14" s="11">
        <v>0.109722222222222</v>
      </c>
      <c r="F14" s="12">
        <f t="shared" si="1"/>
        <v>2.2872222222222169</v>
      </c>
      <c r="G14" s="13">
        <f t="shared" si="2"/>
        <v>0</v>
      </c>
      <c r="H14" s="13">
        <f t="shared" si="3"/>
        <v>2.2872222222222169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46093.109756481499</v>
      </c>
      <c r="B15" s="5" t="s">
        <v>78</v>
      </c>
      <c r="C15" s="11">
        <v>0.109756944444444</v>
      </c>
      <c r="D15" s="11" t="s">
        <v>62</v>
      </c>
      <c r="E15" s="11">
        <v>0.14475694444444401</v>
      </c>
      <c r="F15" s="12">
        <f t="shared" si="1"/>
        <v>0.84000000000000008</v>
      </c>
      <c r="G15" s="13">
        <f t="shared" si="2"/>
        <v>0</v>
      </c>
      <c r="H15" s="13">
        <f t="shared" si="3"/>
        <v>0.84000000000000008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46093.959765740699</v>
      </c>
      <c r="B16" s="5" t="s">
        <v>78</v>
      </c>
      <c r="C16" s="11">
        <v>0.95975694444444404</v>
      </c>
      <c r="D16" s="11" t="s">
        <v>62</v>
      </c>
      <c r="E16" s="11">
        <v>0.14598379629629599</v>
      </c>
      <c r="F16" s="12">
        <f t="shared" si="1"/>
        <v>4.4694444444444468</v>
      </c>
      <c r="G16" s="13">
        <f t="shared" si="2"/>
        <v>0.96583333333334309</v>
      </c>
      <c r="H16" s="13">
        <f t="shared" si="3"/>
        <v>3.5036111111111037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46097.138748379599</v>
      </c>
      <c r="B17" s="5" t="s">
        <v>81</v>
      </c>
      <c r="C17" s="11">
        <v>0.138738425925926</v>
      </c>
      <c r="D17" s="11" t="s">
        <v>62</v>
      </c>
      <c r="E17" s="11">
        <v>0.22959490740740701</v>
      </c>
      <c r="F17" s="12">
        <f t="shared" si="1"/>
        <v>2.1805555555555443</v>
      </c>
      <c r="G17" s="13">
        <f t="shared" si="2"/>
        <v>0</v>
      </c>
      <c r="H17" s="13">
        <f t="shared" si="3"/>
        <v>2.1805555555555443</v>
      </c>
      <c r="I17" s="35" t="s">
        <v>75</v>
      </c>
      <c r="J17" s="36">
        <f>J4+J5+J6+J7+J10</f>
        <v>70.578333333333305</v>
      </c>
      <c r="K17" s="37">
        <f>K4+K5+K6+K7+K10</f>
        <v>33.840555555555625</v>
      </c>
      <c r="L17" s="38">
        <f>L4+L5+L6+L7+L10</f>
        <v>36.73777777777768</v>
      </c>
      <c r="M17" s="39"/>
    </row>
    <row r="18" spans="1:13" ht="20.25" x14ac:dyDescent="0.25">
      <c r="A18" s="10">
        <f t="shared" ca="1" si="0"/>
        <v>46098.1393553241</v>
      </c>
      <c r="B18" s="5" t="s">
        <v>78</v>
      </c>
      <c r="C18" s="11">
        <v>0.13971064814814799</v>
      </c>
      <c r="D18" s="11" t="s">
        <v>62</v>
      </c>
      <c r="E18" s="11">
        <v>0.30379629629629601</v>
      </c>
      <c r="F18" s="12">
        <f t="shared" si="1"/>
        <v>3.9380555555555525</v>
      </c>
      <c r="G18" s="13">
        <f t="shared" si="2"/>
        <v>0</v>
      </c>
      <c r="H18" s="13">
        <f t="shared" si="3"/>
        <v>3.9380555555555525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46100.357204861102</v>
      </c>
      <c r="B19" s="5" t="s">
        <v>82</v>
      </c>
      <c r="C19" s="11">
        <v>0.35719907407407397</v>
      </c>
      <c r="D19" s="11" t="s">
        <v>62</v>
      </c>
      <c r="E19" s="11">
        <v>0.50809027777777804</v>
      </c>
      <c r="F19" s="12">
        <f t="shared" si="1"/>
        <v>3.6213888888888977</v>
      </c>
      <c r="G19" s="13">
        <f t="shared" si="2"/>
        <v>3.6213888888888977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46100.626425694398</v>
      </c>
      <c r="B20" s="5" t="s">
        <v>83</v>
      </c>
      <c r="C20" s="11">
        <v>0.626423611111111</v>
      </c>
      <c r="D20" s="11" t="s">
        <v>62</v>
      </c>
      <c r="E20" s="11">
        <v>0.76275462962963003</v>
      </c>
      <c r="F20" s="12">
        <f t="shared" si="1"/>
        <v>3.2719444444444568</v>
      </c>
      <c r="G20" s="13">
        <f t="shared" si="2"/>
        <v>3.2719444444444568</v>
      </c>
      <c r="H20" s="13">
        <f t="shared" si="3"/>
        <v>0</v>
      </c>
      <c r="I20" s="40" t="s">
        <v>77</v>
      </c>
      <c r="J20" s="65">
        <f>J16+J17+J18+J19</f>
        <v>70.578333333333305</v>
      </c>
      <c r="K20" s="66"/>
      <c r="L20" s="67"/>
      <c r="M20" s="41"/>
    </row>
    <row r="21" spans="1:13" ht="20.25" x14ac:dyDescent="0.25">
      <c r="A21" s="10">
        <f t="shared" ca="1" si="0"/>
        <v>46100.8756138889</v>
      </c>
      <c r="B21" s="5" t="s">
        <v>80</v>
      </c>
      <c r="C21" s="11">
        <v>0.87561342592592595</v>
      </c>
      <c r="D21" s="11" t="s">
        <v>62</v>
      </c>
      <c r="E21" s="11">
        <v>0.96712962962963001</v>
      </c>
      <c r="F21" s="12">
        <f t="shared" si="1"/>
        <v>2.1963888888888974</v>
      </c>
      <c r="G21" s="13">
        <f t="shared" si="2"/>
        <v>2.1963888888888974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46101.3011126157</v>
      </c>
      <c r="B22" s="5" t="s">
        <v>78</v>
      </c>
      <c r="C22" s="11">
        <v>0.301111111111111</v>
      </c>
      <c r="D22" s="11" t="s">
        <v>62</v>
      </c>
      <c r="E22" s="11">
        <v>0.42528935185185202</v>
      </c>
      <c r="F22" s="12">
        <f t="shared" si="1"/>
        <v>2.9802777777777845</v>
      </c>
      <c r="G22" s="13">
        <f t="shared" si="2"/>
        <v>2.2069444444444568</v>
      </c>
      <c r="H22" s="13">
        <f t="shared" si="3"/>
        <v>0.77333333333332765</v>
      </c>
      <c r="I22"/>
      <c r="J22"/>
    </row>
    <row r="23" spans="1:13" ht="18.75" x14ac:dyDescent="0.15">
      <c r="A23" s="10">
        <f t="shared" ca="1" si="0"/>
        <v>46101.751401967602</v>
      </c>
      <c r="B23" s="5" t="s">
        <v>78</v>
      </c>
      <c r="C23" s="11">
        <v>0.75140046296296303</v>
      </c>
      <c r="D23" s="11" t="s">
        <v>62</v>
      </c>
      <c r="E23" s="11">
        <v>0.83802083333333299</v>
      </c>
      <c r="F23" s="12">
        <f t="shared" si="1"/>
        <v>2.078888888888879</v>
      </c>
      <c r="G23" s="13">
        <f t="shared" si="2"/>
        <v>2.078888888888879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46102.013503009301</v>
      </c>
      <c r="B24" s="5" t="s">
        <v>83</v>
      </c>
      <c r="C24" s="11">
        <v>1.3495370370370401E-2</v>
      </c>
      <c r="D24" s="11" t="s">
        <v>62</v>
      </c>
      <c r="E24" s="11">
        <v>0.15001157407407401</v>
      </c>
      <c r="F24" s="12">
        <f t="shared" si="1"/>
        <v>3.2763888888888864</v>
      </c>
      <c r="G24" s="13">
        <f t="shared" si="2"/>
        <v>0</v>
      </c>
      <c r="H24" s="13">
        <f t="shared" si="3"/>
        <v>3.2763888888888864</v>
      </c>
      <c r="I24"/>
      <c r="J24"/>
    </row>
    <row r="25" spans="1:13" ht="18.75" x14ac:dyDescent="0.15">
      <c r="A25" s="10">
        <f t="shared" ca="1" si="0"/>
        <v>46104.958658564799</v>
      </c>
      <c r="B25" s="5" t="s">
        <v>82</v>
      </c>
      <c r="C25" s="11">
        <v>0.95865740740740701</v>
      </c>
      <c r="D25" s="11" t="s">
        <v>62</v>
      </c>
      <c r="E25" s="11">
        <v>0.11732638888888899</v>
      </c>
      <c r="F25" s="12">
        <f t="shared" si="1"/>
        <v>3.8080555555555673</v>
      </c>
      <c r="G25" s="13">
        <f t="shared" si="2"/>
        <v>0.99222222222223166</v>
      </c>
      <c r="H25" s="13">
        <f t="shared" si="3"/>
        <v>2.8158333333333356</v>
      </c>
      <c r="I25"/>
      <c r="J25"/>
    </row>
    <row r="26" spans="1:13" ht="18.75" x14ac:dyDescent="0.15">
      <c r="A26" s="10">
        <f t="shared" ca="1" si="0"/>
        <v>46106.0149936343</v>
      </c>
      <c r="B26" s="5" t="s">
        <v>80</v>
      </c>
      <c r="C26" s="11">
        <v>1.49884259259259E-2</v>
      </c>
      <c r="D26" s="11" t="s">
        <v>62</v>
      </c>
      <c r="E26" s="11">
        <v>9.7800925925925902E-2</v>
      </c>
      <c r="F26" s="12">
        <f t="shared" si="1"/>
        <v>1.9874999999999998</v>
      </c>
      <c r="G26" s="13">
        <f t="shared" si="2"/>
        <v>0</v>
      </c>
      <c r="H26" s="13">
        <f t="shared" si="3"/>
        <v>1.9874999999999998</v>
      </c>
      <c r="I26"/>
      <c r="J26"/>
    </row>
    <row r="27" spans="1:13" ht="18.75" x14ac:dyDescent="0.15">
      <c r="A27" s="10">
        <f t="shared" ca="1" si="0"/>
        <v>46106.097844444397</v>
      </c>
      <c r="B27" s="5" t="s">
        <v>78</v>
      </c>
      <c r="C27" s="11">
        <v>9.7835648148148199E-2</v>
      </c>
      <c r="D27" s="11" t="s">
        <v>62</v>
      </c>
      <c r="E27" s="11">
        <v>0.14568287037037</v>
      </c>
      <c r="F27" s="12">
        <f t="shared" si="1"/>
        <v>1.1483333333333232</v>
      </c>
      <c r="G27" s="13">
        <f t="shared" si="2"/>
        <v>0</v>
      </c>
      <c r="H27" s="13">
        <f t="shared" si="3"/>
        <v>1.1483333333333232</v>
      </c>
      <c r="I27"/>
      <c r="J27"/>
    </row>
    <row r="28" spans="1:13" ht="18.75" x14ac:dyDescent="0.15">
      <c r="A28" s="10">
        <f t="shared" ca="1" si="0"/>
        <v>46109.1334347222</v>
      </c>
      <c r="B28" s="5" t="s">
        <v>85</v>
      </c>
      <c r="C28" s="11">
        <v>0.132256944444444</v>
      </c>
      <c r="D28" s="11" t="s">
        <v>62</v>
      </c>
      <c r="E28" s="11">
        <v>0.21923611111111099</v>
      </c>
      <c r="F28" s="12">
        <f t="shared" si="1"/>
        <v>2.0875000000000079</v>
      </c>
      <c r="G28" s="13">
        <f t="shared" si="2"/>
        <v>0</v>
      </c>
      <c r="H28" s="13">
        <f t="shared" si="3"/>
        <v>2.0875000000000079</v>
      </c>
      <c r="I28"/>
      <c r="J28"/>
    </row>
    <row r="29" spans="1:13" ht="18.75" x14ac:dyDescent="0.15">
      <c r="A29" s="10">
        <f t="shared" ca="1" si="0"/>
        <v>46109.249345023098</v>
      </c>
      <c r="B29" s="5" t="s">
        <v>78</v>
      </c>
      <c r="C29" s="11">
        <v>0.21878472222222201</v>
      </c>
      <c r="D29" s="11" t="s">
        <v>62</v>
      </c>
      <c r="E29" s="11">
        <v>0.249386574074074</v>
      </c>
      <c r="F29" s="12">
        <f t="shared" si="1"/>
        <v>0.73444444444444779</v>
      </c>
      <c r="G29" s="13">
        <f t="shared" si="2"/>
        <v>0</v>
      </c>
      <c r="H29" s="13">
        <f t="shared" si="3"/>
        <v>0.73444444444444779</v>
      </c>
      <c r="I29"/>
      <c r="J29"/>
    </row>
    <row r="30" spans="1:13" ht="18.75" x14ac:dyDescent="0.15">
      <c r="A30" s="10">
        <f t="shared" ca="1" si="0"/>
        <v>46109.249528935201</v>
      </c>
      <c r="B30" s="5" t="s">
        <v>80</v>
      </c>
      <c r="C30" s="11">
        <v>0.24952546296296299</v>
      </c>
      <c r="D30" s="11" t="s">
        <v>62</v>
      </c>
      <c r="E30" s="11">
        <v>0.308611111111111</v>
      </c>
      <c r="F30" s="12">
        <f t="shared" si="1"/>
        <v>1.4180555555555523</v>
      </c>
      <c r="G30" s="13">
        <f t="shared" si="2"/>
        <v>0</v>
      </c>
      <c r="H30" s="13">
        <f t="shared" si="3"/>
        <v>1.4180555555555523</v>
      </c>
      <c r="I30"/>
      <c r="J30"/>
    </row>
    <row r="31" spans="1:13" ht="18.75" x14ac:dyDescent="0.15">
      <c r="A31" s="10">
        <f t="shared" ca="1" si="0"/>
        <v>46112.751116203697</v>
      </c>
      <c r="B31" s="5" t="s">
        <v>82</v>
      </c>
      <c r="C31" s="11">
        <v>0.75111111111111095</v>
      </c>
      <c r="D31" s="11" t="s">
        <v>62</v>
      </c>
      <c r="E31" s="11">
        <v>0.88034722222222195</v>
      </c>
      <c r="F31" s="12">
        <f t="shared" si="1"/>
        <v>3.1016666666666639</v>
      </c>
      <c r="G31" s="13">
        <f t="shared" si="2"/>
        <v>3.1016666666666639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42"/>
  <sheetViews>
    <sheetView topLeftCell="A10" zoomScale="85" zoomScaleNormal="85" workbookViewId="0">
      <selection activeCell="J32" sqref="J32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46082.139711689801</v>
      </c>
      <c r="B3" s="5" t="s">
        <v>81</v>
      </c>
      <c r="C3" s="11">
        <v>0.13971064814814799</v>
      </c>
      <c r="D3" s="11" t="s">
        <v>62</v>
      </c>
      <c r="E3" s="11">
        <v>0.21243055555555601</v>
      </c>
      <c r="F3" s="12">
        <f t="shared" ref="F3:F42" si="1">(IF(E3-C3&lt;0,"24:00"-C3+E3,E3-C3))*24</f>
        <v>1.7452777777777926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1.7452777777777926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46082.212457638903</v>
      </c>
      <c r="B4" s="5" t="s">
        <v>80</v>
      </c>
      <c r="C4" s="11">
        <v>0.21245370370370401</v>
      </c>
      <c r="D4" s="11" t="s">
        <v>62</v>
      </c>
      <c r="E4" s="11">
        <v>0.23697916666666699</v>
      </c>
      <c r="F4" s="12">
        <f t="shared" si="1"/>
        <v>0.58861111111111164</v>
      </c>
      <c r="G4" s="13">
        <f t="shared" si="2"/>
        <v>0</v>
      </c>
      <c r="H4" s="13">
        <f t="shared" si="3"/>
        <v>0.58861111111111164</v>
      </c>
      <c r="I4" s="21" t="s">
        <v>64</v>
      </c>
      <c r="J4" s="22">
        <f>SUMIF(B:B,"西塔台管制席",F:F)+SUMIF(B:B,"东塔台管制席",F:F)</f>
        <v>30.104722222222176</v>
      </c>
      <c r="K4" s="23">
        <f>SUMIF(B:B,"西塔台管制席",G:G)+SUMIF(B:B,"东塔台管制席",G:G)</f>
        <v>14.715833333333304</v>
      </c>
      <c r="L4" s="23">
        <f>SUMIF(B:B,"西塔台管制席",H:H)+SUMIF(B:B,"东塔台管制席",H:H)</f>
        <v>15.388888888888873</v>
      </c>
      <c r="M4" s="19"/>
    </row>
    <row r="5" spans="1:16" ht="18.75" x14ac:dyDescent="0.25">
      <c r="A5" s="10">
        <f t="shared" ca="1" si="0"/>
        <v>46082.237019791697</v>
      </c>
      <c r="B5" s="5" t="s">
        <v>78</v>
      </c>
      <c r="C5" s="11">
        <v>0.237013888888889</v>
      </c>
      <c r="D5" s="11" t="s">
        <v>62</v>
      </c>
      <c r="E5" s="11">
        <v>0.30234953703703699</v>
      </c>
      <c r="F5" s="12">
        <f t="shared" si="1"/>
        <v>1.5680555555555518</v>
      </c>
      <c r="G5" s="13">
        <f t="shared" si="2"/>
        <v>0</v>
      </c>
      <c r="H5" s="13">
        <f t="shared" si="3"/>
        <v>1.5680555555555518</v>
      </c>
      <c r="I5" s="21" t="s">
        <v>65</v>
      </c>
      <c r="J5" s="22">
        <f>SUMIF(B:B,"西塔台协调席",F:F)+SUMIF(B:B,"东塔台协调席",F:F)</f>
        <v>24.270833333333279</v>
      </c>
      <c r="K5" s="23">
        <f>SUMIF(B:B,"西塔台协调席",G:G)+SUMIF(B:B,"东塔台协调席",G:G)</f>
        <v>15.441388888888849</v>
      </c>
      <c r="L5" s="23">
        <f>SUMIF(B:B,"西塔台协调席",H:H)+SUMIF(B:B,"东塔台协调席",H:H)</f>
        <v>8.8294444444444355</v>
      </c>
      <c r="M5" s="19"/>
    </row>
    <row r="6" spans="1:16" ht="18.75" x14ac:dyDescent="0.25">
      <c r="A6" s="10">
        <f t="shared" ca="1" si="0"/>
        <v>46085.134108564802</v>
      </c>
      <c r="B6" s="5" t="s">
        <v>84</v>
      </c>
      <c r="C6" s="11">
        <v>0.13410879629629599</v>
      </c>
      <c r="D6" s="11" t="s">
        <v>62</v>
      </c>
      <c r="E6" s="11">
        <v>0.21331018518518499</v>
      </c>
      <c r="F6" s="12">
        <f t="shared" si="1"/>
        <v>1.900833333333336</v>
      </c>
      <c r="G6" s="13">
        <f t="shared" si="2"/>
        <v>0</v>
      </c>
      <c r="H6" s="13">
        <f t="shared" si="3"/>
        <v>1.900833333333336</v>
      </c>
      <c r="I6" s="21" t="s">
        <v>66</v>
      </c>
      <c r="J6" s="22">
        <f>SUMIF(B:B,"放行席",F:F)</f>
        <v>3.3283333333333434</v>
      </c>
      <c r="K6" s="23">
        <f>SUMIF(B:B,"放行席",G:G)</f>
        <v>0.64194444444446397</v>
      </c>
      <c r="L6" s="23">
        <f>SUMIF(B:B,"放行席",H:H)</f>
        <v>2.6863888888888794</v>
      </c>
      <c r="M6" s="19"/>
    </row>
    <row r="7" spans="1:16" ht="18.75" x14ac:dyDescent="0.25">
      <c r="A7" s="10">
        <f t="shared" ca="1" si="0"/>
        <v>46086.1414121528</v>
      </c>
      <c r="B7" s="5" t="s">
        <v>78</v>
      </c>
      <c r="C7" s="11">
        <v>0.141412037037037</v>
      </c>
      <c r="D7" s="11" t="s">
        <v>62</v>
      </c>
      <c r="E7" s="11">
        <v>0.30487268518518501</v>
      </c>
      <c r="F7" s="12">
        <f t="shared" si="1"/>
        <v>3.9230555555555524</v>
      </c>
      <c r="G7" s="13">
        <f t="shared" si="2"/>
        <v>0</v>
      </c>
      <c r="H7" s="13">
        <f t="shared" si="3"/>
        <v>3.9230555555555524</v>
      </c>
      <c r="I7" s="21" t="s">
        <v>67</v>
      </c>
      <c r="J7" s="22">
        <f>SUMIF(B:B,"地面席",F:F)</f>
        <v>1.7452777777777926</v>
      </c>
      <c r="K7" s="23">
        <f>SUMIF(B:B,"地面席",G:G)</f>
        <v>0</v>
      </c>
      <c r="L7" s="23">
        <f>SUMIF(B:B,"地面席",H:H)</f>
        <v>1.7452777777777926</v>
      </c>
      <c r="M7" s="19"/>
    </row>
    <row r="8" spans="1:16" ht="18.75" x14ac:dyDescent="0.25">
      <c r="A8" s="10">
        <f t="shared" ca="1" si="0"/>
        <v>46088.356006481503</v>
      </c>
      <c r="B8" s="5" t="s">
        <v>78</v>
      </c>
      <c r="C8" s="11">
        <v>0.35599537037036999</v>
      </c>
      <c r="D8" s="11" t="s">
        <v>62</v>
      </c>
      <c r="E8" s="11">
        <v>0.50662037037037</v>
      </c>
      <c r="F8" s="12">
        <f t="shared" si="1"/>
        <v>3.6150000000000002</v>
      </c>
      <c r="G8" s="13">
        <f t="shared" si="2"/>
        <v>3.6150000000000002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46088.627117708304</v>
      </c>
      <c r="B9" s="5" t="s">
        <v>82</v>
      </c>
      <c r="C9" s="11">
        <v>0.627118055555556</v>
      </c>
      <c r="D9" s="11" t="s">
        <v>62</v>
      </c>
      <c r="E9" s="11">
        <v>0.75545138888888896</v>
      </c>
      <c r="F9" s="12">
        <f t="shared" si="1"/>
        <v>3.0799999999999912</v>
      </c>
      <c r="G9" s="13">
        <f t="shared" si="2"/>
        <v>3.0799999999999912</v>
      </c>
      <c r="H9" s="13">
        <f t="shared" si="3"/>
        <v>0</v>
      </c>
      <c r="I9" s="21" t="s">
        <v>69</v>
      </c>
      <c r="J9" s="22">
        <f>SUMIF(B:B,"航班调度席",F:F)</f>
        <v>16.797499999999992</v>
      </c>
      <c r="K9" s="23">
        <f>SUMIF(B:B,"航班调度席",G:G)</f>
        <v>16.797499999999992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46088.876056134301</v>
      </c>
      <c r="B10" s="5" t="s">
        <v>82</v>
      </c>
      <c r="C10" s="11">
        <v>0.87605324074074098</v>
      </c>
      <c r="D10" s="11" t="s">
        <v>62</v>
      </c>
      <c r="E10" s="11">
        <v>0.96347222222222195</v>
      </c>
      <c r="F10" s="12">
        <f t="shared" si="1"/>
        <v>2.0980555555555434</v>
      </c>
      <c r="G10" s="13">
        <f t="shared" si="2"/>
        <v>2.0980555555555434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46089.300147569404</v>
      </c>
      <c r="B11" s="5" t="s">
        <v>82</v>
      </c>
      <c r="C11" s="11">
        <v>0.30013888888888901</v>
      </c>
      <c r="D11" s="11" t="s">
        <v>62</v>
      </c>
      <c r="E11" s="11">
        <v>0.42344907407407401</v>
      </c>
      <c r="F11" s="12">
        <f t="shared" si="1"/>
        <v>2.9594444444444399</v>
      </c>
      <c r="G11" s="13">
        <f t="shared" si="2"/>
        <v>2.1627777777777846</v>
      </c>
      <c r="H11" s="13">
        <f t="shared" si="3"/>
        <v>0.79666666666665531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46089.503310648099</v>
      </c>
      <c r="B12" s="5" t="s">
        <v>78</v>
      </c>
      <c r="C12" s="11">
        <v>0.503310185185185</v>
      </c>
      <c r="D12" s="11" t="s">
        <v>62</v>
      </c>
      <c r="E12" s="11">
        <v>0.63061342592592595</v>
      </c>
      <c r="F12" s="12">
        <f t="shared" si="1"/>
        <v>3.0552777777777829</v>
      </c>
      <c r="G12" s="13">
        <f t="shared" si="2"/>
        <v>3.0552777777777829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46092.9607672454</v>
      </c>
      <c r="B13" s="5" t="s">
        <v>82</v>
      </c>
      <c r="C13" s="11">
        <v>0.96076388888888897</v>
      </c>
      <c r="D13" s="11" t="s">
        <v>62</v>
      </c>
      <c r="E13" s="11">
        <v>0.109664351851852</v>
      </c>
      <c r="F13" s="12">
        <f t="shared" si="1"/>
        <v>3.5736111111111128</v>
      </c>
      <c r="G13" s="13">
        <f t="shared" si="2"/>
        <v>0.94166666666666465</v>
      </c>
      <c r="H13" s="13">
        <f t="shared" si="3"/>
        <v>2.6319444444444482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46094.015294675897</v>
      </c>
      <c r="B14" s="5" t="s">
        <v>83</v>
      </c>
      <c r="C14" s="11">
        <v>1.5289351851851899E-2</v>
      </c>
      <c r="D14" s="11" t="s">
        <v>62</v>
      </c>
      <c r="E14" s="11">
        <v>0.14584490740740699</v>
      </c>
      <c r="F14" s="12">
        <f t="shared" si="1"/>
        <v>3.1333333333333222</v>
      </c>
      <c r="G14" s="13">
        <f t="shared" si="2"/>
        <v>0</v>
      </c>
      <c r="H14" s="13">
        <f t="shared" si="3"/>
        <v>3.1333333333333222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46096.375012615703</v>
      </c>
      <c r="B15" s="5" t="s">
        <v>79</v>
      </c>
      <c r="C15" s="11">
        <v>0.37501157407407398</v>
      </c>
      <c r="D15" s="11" t="s">
        <v>62</v>
      </c>
      <c r="E15" s="11">
        <v>0.504733796296296</v>
      </c>
      <c r="F15" s="12">
        <f t="shared" si="1"/>
        <v>3.1133333333333284</v>
      </c>
      <c r="G15" s="13">
        <f t="shared" si="2"/>
        <v>3.1133333333333284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46096.603408680603</v>
      </c>
      <c r="B16" s="5" t="s">
        <v>79</v>
      </c>
      <c r="C16" s="11">
        <v>0.60340277777777795</v>
      </c>
      <c r="D16" s="11" t="s">
        <v>62</v>
      </c>
      <c r="E16" s="11">
        <v>0.73473379629629598</v>
      </c>
      <c r="F16" s="12">
        <f t="shared" si="1"/>
        <v>3.1519444444444327</v>
      </c>
      <c r="G16" s="13">
        <f t="shared" si="2"/>
        <v>3.1519444444444327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46097.376229398098</v>
      </c>
      <c r="B17" s="5" t="s">
        <v>79</v>
      </c>
      <c r="C17" s="11">
        <v>0.37622685185185201</v>
      </c>
      <c r="D17" s="11" t="s">
        <v>62</v>
      </c>
      <c r="E17" s="11">
        <v>0.50670138888888905</v>
      </c>
      <c r="F17" s="12">
        <f t="shared" si="1"/>
        <v>3.131388888888889</v>
      </c>
      <c r="G17" s="13">
        <f t="shared" si="2"/>
        <v>3.131388888888889</v>
      </c>
      <c r="H17" s="13">
        <f t="shared" si="3"/>
        <v>0</v>
      </c>
      <c r="I17" s="35" t="s">
        <v>75</v>
      </c>
      <c r="J17" s="36">
        <f>J4+J5+J6+J7+J10</f>
        <v>59.449166666666585</v>
      </c>
      <c r="K17" s="37">
        <f>K4+K5+K6+K7+K10</f>
        <v>30.799166666666615</v>
      </c>
      <c r="L17" s="38">
        <f>L4+L5+L6+L7+L10</f>
        <v>28.649999999999981</v>
      </c>
      <c r="M17" s="39"/>
    </row>
    <row r="18" spans="1:13" ht="20.25" x14ac:dyDescent="0.25">
      <c r="A18" s="10">
        <f t="shared" ca="1" si="0"/>
        <v>46097.607852661997</v>
      </c>
      <c r="B18" s="5" t="s">
        <v>79</v>
      </c>
      <c r="C18" s="11">
        <v>0.60784722222222198</v>
      </c>
      <c r="D18" s="11" t="s">
        <v>62</v>
      </c>
      <c r="E18" s="11">
        <v>0.73576388888888899</v>
      </c>
      <c r="F18" s="12">
        <f t="shared" si="1"/>
        <v>3.0700000000000083</v>
      </c>
      <c r="G18" s="13">
        <f t="shared" si="2"/>
        <v>3.0700000000000083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46100.502014236103</v>
      </c>
      <c r="B19" s="5" t="s">
        <v>78</v>
      </c>
      <c r="C19" s="11">
        <v>0.50201388888888898</v>
      </c>
      <c r="D19" s="11" t="s">
        <v>62</v>
      </c>
      <c r="E19" s="11">
        <v>0.58008101851851801</v>
      </c>
      <c r="F19" s="12">
        <f t="shared" si="1"/>
        <v>1.8736111111110967</v>
      </c>
      <c r="G19" s="13">
        <f t="shared" si="2"/>
        <v>1.8736111111110967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46100.589298032399</v>
      </c>
      <c r="B20" s="5" t="s">
        <v>80</v>
      </c>
      <c r="C20" s="11">
        <v>0.58929398148148104</v>
      </c>
      <c r="D20" s="11" t="s">
        <v>62</v>
      </c>
      <c r="E20" s="11">
        <v>0.63299768518518496</v>
      </c>
      <c r="F20" s="12">
        <f t="shared" si="1"/>
        <v>1.0488888888888939</v>
      </c>
      <c r="G20" s="13">
        <f t="shared" si="2"/>
        <v>1.0488888888888939</v>
      </c>
      <c r="H20" s="13">
        <f t="shared" si="3"/>
        <v>0</v>
      </c>
      <c r="I20" s="40" t="s">
        <v>77</v>
      </c>
      <c r="J20" s="65">
        <f>J16+J17+J18+J19</f>
        <v>59.449166666666585</v>
      </c>
      <c r="K20" s="66"/>
      <c r="L20" s="67"/>
      <c r="M20" s="41"/>
    </row>
    <row r="21" spans="1:13" ht="20.25" x14ac:dyDescent="0.25">
      <c r="A21" s="10">
        <f t="shared" ca="1" si="0"/>
        <v>46100.757127893499</v>
      </c>
      <c r="B21" s="5" t="s">
        <v>80</v>
      </c>
      <c r="C21" s="11">
        <v>0.757118055555556</v>
      </c>
      <c r="D21" s="11" t="s">
        <v>62</v>
      </c>
      <c r="E21" s="11">
        <v>0.88076388888888901</v>
      </c>
      <c r="F21" s="12">
        <f t="shared" si="1"/>
        <v>2.9674999999999923</v>
      </c>
      <c r="G21" s="13">
        <f t="shared" si="2"/>
        <v>2.9674999999999923</v>
      </c>
      <c r="H21" s="13">
        <f t="shared" si="3"/>
        <v>0</v>
      </c>
      <c r="I21" s="42" t="s">
        <v>4</v>
      </c>
      <c r="J21" s="43">
        <f>SUM(J8:J9)</f>
        <v>16.797499999999992</v>
      </c>
      <c r="K21" s="37">
        <f>SUM(K8:K9)</f>
        <v>16.797499999999992</v>
      </c>
      <c r="L21" s="38">
        <f>SUM(L8:L9)</f>
        <v>0</v>
      </c>
      <c r="M21" s="44"/>
    </row>
    <row r="22" spans="1:13" ht="18.75" x14ac:dyDescent="0.15">
      <c r="A22" s="10">
        <f t="shared" ca="1" si="0"/>
        <v>46101.4279983796</v>
      </c>
      <c r="B22" s="5" t="s">
        <v>82</v>
      </c>
      <c r="C22" s="11">
        <v>0.42383101851851901</v>
      </c>
      <c r="D22" s="11" t="s">
        <v>62</v>
      </c>
      <c r="E22" s="11">
        <v>0.51503472222222202</v>
      </c>
      <c r="F22" s="12">
        <f t="shared" si="1"/>
        <v>2.1888888888888722</v>
      </c>
      <c r="G22" s="13">
        <f t="shared" si="2"/>
        <v>2.1888888888888722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46101.627464699101</v>
      </c>
      <c r="B23" s="5" t="s">
        <v>78</v>
      </c>
      <c r="C23" s="11">
        <v>0.62746527777777805</v>
      </c>
      <c r="D23" s="11" t="s">
        <v>62</v>
      </c>
      <c r="E23" s="11">
        <v>0.75583333333333302</v>
      </c>
      <c r="F23" s="12">
        <f t="shared" si="1"/>
        <v>3.0808333333333193</v>
      </c>
      <c r="G23" s="13">
        <f t="shared" si="2"/>
        <v>3.0808333333333193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46101.833625347201</v>
      </c>
      <c r="B24" s="5" t="s">
        <v>78</v>
      </c>
      <c r="C24" s="11">
        <v>0.83362268518518501</v>
      </c>
      <c r="D24" s="11" t="s">
        <v>62</v>
      </c>
      <c r="E24" s="11">
        <v>0.96241898148148097</v>
      </c>
      <c r="F24" s="12">
        <f t="shared" si="1"/>
        <v>3.0911111111111031</v>
      </c>
      <c r="G24" s="13">
        <f t="shared" si="2"/>
        <v>3.0911111111111031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46102.3006109954</v>
      </c>
      <c r="B25" s="5" t="s">
        <v>84</v>
      </c>
      <c r="C25" s="11">
        <v>0.30060185185185201</v>
      </c>
      <c r="D25" s="11" t="s">
        <v>62</v>
      </c>
      <c r="E25" s="11">
        <v>0.36008101851851898</v>
      </c>
      <c r="F25" s="12">
        <f t="shared" si="1"/>
        <v>1.4275000000000073</v>
      </c>
      <c r="G25" s="13">
        <f t="shared" si="2"/>
        <v>0.64194444444446397</v>
      </c>
      <c r="H25" s="13">
        <f t="shared" si="3"/>
        <v>0.78555555555554335</v>
      </c>
      <c r="I25"/>
      <c r="J25"/>
    </row>
    <row r="26" spans="1:13" ht="18.75" x14ac:dyDescent="0.15">
      <c r="A26" s="10">
        <f t="shared" ca="1" si="0"/>
        <v>46105.015600115701</v>
      </c>
      <c r="B26" s="5" t="s">
        <v>80</v>
      </c>
      <c r="C26" s="11">
        <v>1.55902777777778E-2</v>
      </c>
      <c r="D26" s="11" t="s">
        <v>62</v>
      </c>
      <c r="E26" s="11">
        <v>0.11208333333333299</v>
      </c>
      <c r="F26" s="12">
        <f t="shared" si="1"/>
        <v>2.3158333333333245</v>
      </c>
      <c r="G26" s="13">
        <f t="shared" si="2"/>
        <v>0</v>
      </c>
      <c r="H26" s="13">
        <f t="shared" si="3"/>
        <v>2.3158333333333245</v>
      </c>
      <c r="I26"/>
      <c r="J26"/>
    </row>
    <row r="27" spans="1:13" ht="18.75" x14ac:dyDescent="0.15">
      <c r="A27" s="10">
        <f t="shared" ca="1" si="0"/>
        <v>46105.112117129604</v>
      </c>
      <c r="B27" s="5" t="s">
        <v>78</v>
      </c>
      <c r="C27" s="11">
        <v>0.112106481481481</v>
      </c>
      <c r="D27" s="11" t="s">
        <v>62</v>
      </c>
      <c r="E27" s="11">
        <v>0.14357638888888899</v>
      </c>
      <c r="F27" s="12">
        <f t="shared" si="1"/>
        <v>0.7552777777777917</v>
      </c>
      <c r="G27" s="13">
        <f t="shared" si="2"/>
        <v>0</v>
      </c>
      <c r="H27" s="13">
        <f t="shared" si="3"/>
        <v>0.7552777777777917</v>
      </c>
      <c r="I27"/>
      <c r="J27"/>
    </row>
    <row r="28" spans="1:13" ht="18.75" x14ac:dyDescent="0.15">
      <c r="A28" s="10">
        <f t="shared" ca="1" si="0"/>
        <v>46105.9602703704</v>
      </c>
      <c r="B28" s="5" t="s">
        <v>82</v>
      </c>
      <c r="C28" s="11">
        <v>0.96026620370370397</v>
      </c>
      <c r="D28" s="11" t="s">
        <v>62</v>
      </c>
      <c r="E28" s="11">
        <v>0.101099537037037</v>
      </c>
      <c r="F28" s="12">
        <f t="shared" si="1"/>
        <v>3.3799999999999928</v>
      </c>
      <c r="G28" s="13">
        <f t="shared" si="2"/>
        <v>0.95361111111110475</v>
      </c>
      <c r="H28" s="13">
        <f t="shared" si="3"/>
        <v>2.426388888888888</v>
      </c>
      <c r="I28"/>
      <c r="J28"/>
    </row>
    <row r="29" spans="1:13" ht="18.75" x14ac:dyDescent="0.15">
      <c r="A29" s="10">
        <f t="shared" ca="1" si="0"/>
        <v>46109.140318518497</v>
      </c>
      <c r="B29" s="5" t="s">
        <v>83</v>
      </c>
      <c r="C29" s="11">
        <v>0.14031250000000001</v>
      </c>
      <c r="D29" s="11" t="s">
        <v>62</v>
      </c>
      <c r="E29" s="11">
        <v>0.23064814814814799</v>
      </c>
      <c r="F29" s="12">
        <f t="shared" si="1"/>
        <v>2.1680555555555516</v>
      </c>
      <c r="G29" s="13">
        <f t="shared" si="2"/>
        <v>0</v>
      </c>
      <c r="H29" s="13">
        <f t="shared" si="3"/>
        <v>2.1680555555555516</v>
      </c>
      <c r="I29"/>
      <c r="J29"/>
    </row>
    <row r="30" spans="1:13" ht="18.75" x14ac:dyDescent="0.15">
      <c r="A30" s="10">
        <f t="shared" ca="1" si="0"/>
        <v>46110.141298148097</v>
      </c>
      <c r="B30" s="5" t="s">
        <v>80</v>
      </c>
      <c r="C30" s="11">
        <v>0.141296296296296</v>
      </c>
      <c r="D30" s="11" t="s">
        <v>62</v>
      </c>
      <c r="E30" s="11">
        <v>0.14421296296296299</v>
      </c>
      <c r="F30" s="12">
        <f t="shared" si="1"/>
        <v>7.0000000000007612E-2</v>
      </c>
      <c r="G30" s="13">
        <f t="shared" si="2"/>
        <v>0</v>
      </c>
      <c r="H30" s="13">
        <f t="shared" si="3"/>
        <v>7.0000000000007612E-2</v>
      </c>
      <c r="I30"/>
      <c r="J30"/>
    </row>
    <row r="31" spans="1:13" ht="18.75" x14ac:dyDescent="0.15">
      <c r="A31" s="10">
        <f t="shared" ca="1" si="0"/>
        <v>46110.144241666698</v>
      </c>
      <c r="B31" s="5" t="s">
        <v>83</v>
      </c>
      <c r="C31" s="11">
        <v>0.14423611111111101</v>
      </c>
      <c r="D31" s="11" t="s">
        <v>62</v>
      </c>
      <c r="E31" s="11">
        <v>0.30428240740740697</v>
      </c>
      <c r="F31" s="12">
        <f t="shared" si="1"/>
        <v>3.8411111111111031</v>
      </c>
      <c r="G31" s="13">
        <f t="shared" si="2"/>
        <v>0</v>
      </c>
      <c r="H31" s="13">
        <f t="shared" si="3"/>
        <v>3.8411111111111031</v>
      </c>
      <c r="I31"/>
      <c r="J31"/>
    </row>
    <row r="32" spans="1:13" ht="18.75" x14ac:dyDescent="0.15">
      <c r="A32" s="10">
        <f t="shared" ca="1" si="0"/>
        <v>46112.3766628472</v>
      </c>
      <c r="B32" s="5" t="s">
        <v>79</v>
      </c>
      <c r="C32" s="11">
        <v>0.376655092592593</v>
      </c>
      <c r="D32" s="11" t="s">
        <v>62</v>
      </c>
      <c r="E32" s="11">
        <v>0.50121527777777797</v>
      </c>
      <c r="F32" s="12">
        <f t="shared" si="1"/>
        <v>2.9894444444444392</v>
      </c>
      <c r="G32" s="13">
        <f t="shared" si="2"/>
        <v>2.9894444444444392</v>
      </c>
      <c r="H32" s="13">
        <f t="shared" si="3"/>
        <v>0</v>
      </c>
      <c r="I32"/>
      <c r="J32"/>
    </row>
    <row r="33" spans="1:11" ht="18.75" x14ac:dyDescent="0.15">
      <c r="A33" s="10">
        <f t="shared" ca="1" si="0"/>
        <v>46112.6625710648</v>
      </c>
      <c r="B33" s="5" t="s">
        <v>79</v>
      </c>
      <c r="C33" s="11">
        <v>0.66256944444444399</v>
      </c>
      <c r="D33" s="11" t="s">
        <v>62</v>
      </c>
      <c r="E33" s="11">
        <v>0.71846064814814803</v>
      </c>
      <c r="F33" s="12">
        <f t="shared" si="1"/>
        <v>1.341388888888897</v>
      </c>
      <c r="G33" s="13">
        <f t="shared" si="2"/>
        <v>1.341388888888897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42"/>
  <sheetViews>
    <sheetView topLeftCell="A7" zoomScale="85" zoomScaleNormal="85" workbookViewId="0">
      <selection activeCell="E30" sqref="E30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46082.015360069403</v>
      </c>
      <c r="B3" s="5" t="s">
        <v>82</v>
      </c>
      <c r="C3" s="11">
        <v>1.5358796296296299E-2</v>
      </c>
      <c r="D3" s="11" t="s">
        <v>62</v>
      </c>
      <c r="E3" s="11">
        <v>0.105173611111111</v>
      </c>
      <c r="F3" s="12">
        <f t="shared" ref="F3:F42" si="1">(IF(E3-C3&lt;0,"24:00"-C3+E3,E3-C3))*24</f>
        <v>2.1555555555555528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2.1555555555555528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46082.105214583302</v>
      </c>
      <c r="B4" s="5" t="s">
        <v>80</v>
      </c>
      <c r="C4" s="11">
        <v>0.105208333333333</v>
      </c>
      <c r="D4" s="11" t="s">
        <v>62</v>
      </c>
      <c r="E4" s="11">
        <v>0.14447916666666699</v>
      </c>
      <c r="F4" s="12">
        <f t="shared" si="1"/>
        <v>0.94250000000001577</v>
      </c>
      <c r="G4" s="13">
        <f t="shared" si="2"/>
        <v>0</v>
      </c>
      <c r="H4" s="13">
        <f t="shared" si="3"/>
        <v>0.94250000000001577</v>
      </c>
      <c r="I4" s="21" t="s">
        <v>64</v>
      </c>
      <c r="J4" s="22">
        <f>SUMIF(B:B,"西塔台管制席",F:F)+SUMIF(B:B,"东塔台管制席",F:F)</f>
        <v>34.010000000000019</v>
      </c>
      <c r="K4" s="23">
        <f>SUMIF(B:B,"西塔台管制席",G:G)+SUMIF(B:B,"东塔台管制席",G:G)</f>
        <v>17.546111111111131</v>
      </c>
      <c r="L4" s="23">
        <f>SUMIF(B:B,"西塔台管制席",H:H)+SUMIF(B:B,"东塔台管制席",H:H)</f>
        <v>16.463888888888889</v>
      </c>
      <c r="M4" s="19"/>
    </row>
    <row r="5" spans="1:16" ht="18.75" x14ac:dyDescent="0.25">
      <c r="A5" s="10">
        <f t="shared" ca="1" si="0"/>
        <v>46085.139303935197</v>
      </c>
      <c r="B5" s="5" t="s">
        <v>81</v>
      </c>
      <c r="C5" s="11">
        <v>0.13929398148148101</v>
      </c>
      <c r="D5" s="11" t="s">
        <v>62</v>
      </c>
      <c r="E5" s="11">
        <v>0.217939814814815</v>
      </c>
      <c r="F5" s="12">
        <f t="shared" si="1"/>
        <v>1.8875000000000159</v>
      </c>
      <c r="G5" s="13">
        <f t="shared" si="2"/>
        <v>0</v>
      </c>
      <c r="H5" s="13">
        <f t="shared" si="3"/>
        <v>1.8875000000000159</v>
      </c>
      <c r="I5" s="21" t="s">
        <v>65</v>
      </c>
      <c r="J5" s="22">
        <f>SUMIF(B:B,"西塔台协调席",F:F)+SUMIF(B:B,"东塔台协调席",F:F)</f>
        <v>20.8811111111111</v>
      </c>
      <c r="K5" s="23">
        <f>SUMIF(B:B,"西塔台协调席",G:G)+SUMIF(B:B,"东塔台协调席",G:G)</f>
        <v>11.413333333333316</v>
      </c>
      <c r="L5" s="23">
        <f>SUMIF(B:B,"西塔台协调席",H:H)+SUMIF(B:B,"东塔台协调席",H:H)</f>
        <v>9.4677777777777816</v>
      </c>
      <c r="M5" s="19"/>
    </row>
    <row r="6" spans="1:16" ht="18.75" x14ac:dyDescent="0.25">
      <c r="A6" s="10">
        <f t="shared" ca="1" si="0"/>
        <v>46086.1405681713</v>
      </c>
      <c r="B6" s="5" t="s">
        <v>83</v>
      </c>
      <c r="C6" s="11">
        <v>0.14056712962963</v>
      </c>
      <c r="D6" s="11" t="s">
        <v>62</v>
      </c>
      <c r="E6" s="11">
        <v>0.22070601851851901</v>
      </c>
      <c r="F6" s="12">
        <f t="shared" si="1"/>
        <v>1.9233333333333362</v>
      </c>
      <c r="G6" s="13">
        <f t="shared" si="2"/>
        <v>0</v>
      </c>
      <c r="H6" s="13">
        <f t="shared" si="3"/>
        <v>1.9233333333333362</v>
      </c>
      <c r="I6" s="21" t="s">
        <v>66</v>
      </c>
      <c r="J6" s="22">
        <f>SUMIF(B:B,"放行席",F:F)</f>
        <v>4.4525000000000166</v>
      </c>
      <c r="K6" s="23">
        <f>SUMIF(B:B,"放行席",G:G)</f>
        <v>0</v>
      </c>
      <c r="L6" s="23">
        <f>SUMIF(B:B,"放行席",H:H)</f>
        <v>4.4525000000000166</v>
      </c>
      <c r="M6" s="19"/>
    </row>
    <row r="7" spans="1:16" ht="18.75" x14ac:dyDescent="0.25">
      <c r="A7" s="10">
        <f t="shared" ca="1" si="0"/>
        <v>46088.356270833297</v>
      </c>
      <c r="B7" s="5" t="s">
        <v>82</v>
      </c>
      <c r="C7" s="11">
        <v>0.35626157407407399</v>
      </c>
      <c r="D7" s="11" t="s">
        <v>62</v>
      </c>
      <c r="E7" s="11">
        <v>0.50568287037036996</v>
      </c>
      <c r="F7" s="12">
        <f t="shared" si="1"/>
        <v>3.5861111111111033</v>
      </c>
      <c r="G7" s="13">
        <f t="shared" si="2"/>
        <v>3.5861111111111033</v>
      </c>
      <c r="H7" s="13">
        <f t="shared" si="3"/>
        <v>0</v>
      </c>
      <c r="I7" s="21" t="s">
        <v>67</v>
      </c>
      <c r="J7" s="22">
        <f>SUMIF(B:B,"地面席",F:F)</f>
        <v>1.8875000000000159</v>
      </c>
      <c r="K7" s="23">
        <f>SUMIF(B:B,"地面席",G:G)</f>
        <v>0</v>
      </c>
      <c r="L7" s="23">
        <f>SUMIF(B:B,"地面席",H:H)</f>
        <v>1.8875000000000159</v>
      </c>
      <c r="M7" s="19"/>
    </row>
    <row r="8" spans="1:16" ht="18.75" x14ac:dyDescent="0.25">
      <c r="A8" s="10">
        <f t="shared" ca="1" si="0"/>
        <v>46088.626042592601</v>
      </c>
      <c r="B8" s="5" t="s">
        <v>78</v>
      </c>
      <c r="C8" s="11">
        <v>0.62604166666666705</v>
      </c>
      <c r="D8" s="11" t="s">
        <v>62</v>
      </c>
      <c r="E8" s="11">
        <v>0.73578703703703696</v>
      </c>
      <c r="F8" s="12">
        <f t="shared" si="1"/>
        <v>2.6338888888888778</v>
      </c>
      <c r="G8" s="13">
        <f t="shared" si="2"/>
        <v>2.6338888888888778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46088.8554842593</v>
      </c>
      <c r="B9" s="5" t="s">
        <v>78</v>
      </c>
      <c r="C9" s="11">
        <v>0.85547453703703702</v>
      </c>
      <c r="D9" s="11" t="s">
        <v>62</v>
      </c>
      <c r="E9" s="11">
        <v>0.96371527777777799</v>
      </c>
      <c r="F9" s="12">
        <f t="shared" si="1"/>
        <v>2.5977777777777833</v>
      </c>
      <c r="G9" s="13">
        <f t="shared" si="2"/>
        <v>2.5977777777777833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46089.3008497685</v>
      </c>
      <c r="B10" s="5" t="s">
        <v>78</v>
      </c>
      <c r="C10" s="11">
        <v>0.30084490740740699</v>
      </c>
      <c r="D10" s="11" t="s">
        <v>62</v>
      </c>
      <c r="E10" s="11">
        <v>0.42350694444444398</v>
      </c>
      <c r="F10" s="12">
        <f t="shared" si="1"/>
        <v>2.9438888888888877</v>
      </c>
      <c r="G10" s="13">
        <f t="shared" si="2"/>
        <v>2.1641666666666639</v>
      </c>
      <c r="H10" s="13">
        <f t="shared" si="3"/>
        <v>0.77972222222222376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46089.505317476898</v>
      </c>
      <c r="B11" s="5" t="s">
        <v>82</v>
      </c>
      <c r="C11" s="11">
        <v>0.50531250000000005</v>
      </c>
      <c r="D11" s="11" t="s">
        <v>62</v>
      </c>
      <c r="E11" s="11">
        <v>0.63094907407407397</v>
      </c>
      <c r="F11" s="12">
        <f t="shared" si="1"/>
        <v>3.0152777777777739</v>
      </c>
      <c r="G11" s="13">
        <f t="shared" si="2"/>
        <v>3.0152777777777739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46092.959297916699</v>
      </c>
      <c r="B12" s="5" t="s">
        <v>78</v>
      </c>
      <c r="C12" s="11">
        <v>0.95929398148148104</v>
      </c>
      <c r="D12" s="11" t="s">
        <v>62</v>
      </c>
      <c r="E12" s="11">
        <v>0.1121875</v>
      </c>
      <c r="F12" s="12">
        <f t="shared" si="1"/>
        <v>3.6694444444444549</v>
      </c>
      <c r="G12" s="13">
        <f t="shared" si="2"/>
        <v>0.97694444444445505</v>
      </c>
      <c r="H12" s="13">
        <f t="shared" si="3"/>
        <v>2.6924999999999999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46094.015476851899</v>
      </c>
      <c r="B13" s="5" t="s">
        <v>80</v>
      </c>
      <c r="C13" s="11">
        <v>1.5474537037037E-2</v>
      </c>
      <c r="D13" s="11" t="s">
        <v>62</v>
      </c>
      <c r="E13" s="11">
        <v>9.5659722222222202E-2</v>
      </c>
      <c r="F13" s="12">
        <f t="shared" si="1"/>
        <v>1.9244444444444451</v>
      </c>
      <c r="G13" s="13">
        <f t="shared" si="2"/>
        <v>0</v>
      </c>
      <c r="H13" s="13">
        <f t="shared" si="3"/>
        <v>1.9244444444444451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46094.095717129603</v>
      </c>
      <c r="B14" s="5" t="s">
        <v>78</v>
      </c>
      <c r="C14" s="11">
        <v>9.5717592592592604E-2</v>
      </c>
      <c r="D14" s="11" t="s">
        <v>62</v>
      </c>
      <c r="E14" s="11">
        <v>0.134293981481481</v>
      </c>
      <c r="F14" s="12">
        <f t="shared" si="1"/>
        <v>0.92583333333332152</v>
      </c>
      <c r="G14" s="13">
        <f t="shared" si="2"/>
        <v>0</v>
      </c>
      <c r="H14" s="13">
        <f t="shared" si="3"/>
        <v>0.92583333333332152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46096.958493749997</v>
      </c>
      <c r="B15" s="5" t="s">
        <v>78</v>
      </c>
      <c r="C15" s="11">
        <v>0.95848379629629599</v>
      </c>
      <c r="D15" s="11" t="s">
        <v>62</v>
      </c>
      <c r="E15" s="11">
        <v>9.6296296296296297E-2</v>
      </c>
      <c r="F15" s="12">
        <f t="shared" si="1"/>
        <v>3.3075000000000072</v>
      </c>
      <c r="G15" s="13">
        <f t="shared" si="2"/>
        <v>0.99638888888889632</v>
      </c>
      <c r="H15" s="13">
        <f t="shared" si="3"/>
        <v>2.3111111111111109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46098.133958217601</v>
      </c>
      <c r="B16" s="5" t="s">
        <v>84</v>
      </c>
      <c r="C16" s="11">
        <v>0.13395833333333301</v>
      </c>
      <c r="D16" s="11" t="s">
        <v>62</v>
      </c>
      <c r="E16" s="11">
        <v>0.226238425925926</v>
      </c>
      <c r="F16" s="12">
        <f t="shared" si="1"/>
        <v>2.2147222222222318</v>
      </c>
      <c r="G16" s="13">
        <f t="shared" si="2"/>
        <v>0</v>
      </c>
      <c r="H16" s="13">
        <f t="shared" si="3"/>
        <v>2.2147222222222318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46098.2263229167</v>
      </c>
      <c r="B17" s="5" t="s">
        <v>82</v>
      </c>
      <c r="C17" s="11">
        <v>0.22634259259259301</v>
      </c>
      <c r="D17" s="11" t="s">
        <v>62</v>
      </c>
      <c r="E17" s="11">
        <v>0.30363425925925902</v>
      </c>
      <c r="F17" s="12">
        <f t="shared" si="1"/>
        <v>1.8549999999999842</v>
      </c>
      <c r="G17" s="13">
        <f t="shared" si="2"/>
        <v>0</v>
      </c>
      <c r="H17" s="13">
        <f t="shared" si="3"/>
        <v>1.8549999999999842</v>
      </c>
      <c r="I17" s="35" t="s">
        <v>75</v>
      </c>
      <c r="J17" s="36">
        <f>J4+J5+J6+J7+J10</f>
        <v>61.231111111111147</v>
      </c>
      <c r="K17" s="37">
        <f>K4+K5+K6+K7+K10</f>
        <v>28.959444444444447</v>
      </c>
      <c r="L17" s="38">
        <f>L4+L5+L6+L7+L10</f>
        <v>32.271666666666704</v>
      </c>
      <c r="M17" s="39"/>
    </row>
    <row r="18" spans="1:13" ht="20.25" x14ac:dyDescent="0.25">
      <c r="A18" s="10">
        <f t="shared" ca="1" si="0"/>
        <v>46100.501467708302</v>
      </c>
      <c r="B18" s="5" t="s">
        <v>82</v>
      </c>
      <c r="C18" s="11">
        <v>0.50145833333333301</v>
      </c>
      <c r="D18" s="11" t="s">
        <v>62</v>
      </c>
      <c r="E18" s="11">
        <v>0.547569444444444</v>
      </c>
      <c r="F18" s="12">
        <f t="shared" si="1"/>
        <v>1.1066666666666638</v>
      </c>
      <c r="G18" s="13">
        <f t="shared" si="2"/>
        <v>1.1066666666666638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46100.562189351898</v>
      </c>
      <c r="B19" s="5" t="s">
        <v>82</v>
      </c>
      <c r="C19" s="11">
        <v>0.56218749999999995</v>
      </c>
      <c r="D19" s="11" t="s">
        <v>62</v>
      </c>
      <c r="E19" s="11">
        <v>0.58847222222222195</v>
      </c>
      <c r="F19" s="12">
        <f t="shared" si="1"/>
        <v>0.63083333333332803</v>
      </c>
      <c r="G19" s="13">
        <f t="shared" si="2"/>
        <v>0.63083333333332803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46100.588524999999</v>
      </c>
      <c r="B20" s="5" t="s">
        <v>83</v>
      </c>
      <c r="C20" s="11">
        <v>0.58861111111111097</v>
      </c>
      <c r="D20" s="11" t="s">
        <v>62</v>
      </c>
      <c r="E20" s="11">
        <v>0.63225694444444402</v>
      </c>
      <c r="F20" s="12">
        <f t="shared" si="1"/>
        <v>1.0474999999999932</v>
      </c>
      <c r="G20" s="13">
        <f t="shared" si="2"/>
        <v>1.0474999999999932</v>
      </c>
      <c r="H20" s="13">
        <f t="shared" si="3"/>
        <v>0</v>
      </c>
      <c r="I20" s="40" t="s">
        <v>77</v>
      </c>
      <c r="J20" s="65">
        <f>J16+J17+J18+J19</f>
        <v>61.231111111111147</v>
      </c>
      <c r="K20" s="66"/>
      <c r="L20" s="67"/>
      <c r="M20" s="41"/>
    </row>
    <row r="21" spans="1:13" ht="20.25" x14ac:dyDescent="0.25">
      <c r="A21" s="10">
        <f t="shared" ca="1" si="0"/>
        <v>46104.9595960648</v>
      </c>
      <c r="B21" s="5" t="s">
        <v>78</v>
      </c>
      <c r="C21" s="11">
        <v>0.95959490740740705</v>
      </c>
      <c r="D21" s="11" t="s">
        <v>62</v>
      </c>
      <c r="E21" s="11">
        <v>0.11648148148148101</v>
      </c>
      <c r="F21" s="12">
        <f t="shared" si="1"/>
        <v>3.7652777777777753</v>
      </c>
      <c r="G21" s="13">
        <f t="shared" si="2"/>
        <v>0.96972222222223126</v>
      </c>
      <c r="H21" s="13">
        <f t="shared" si="3"/>
        <v>2.795555555555544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46105.749529629597</v>
      </c>
      <c r="B22" s="5" t="s">
        <v>82</v>
      </c>
      <c r="C22" s="11">
        <v>0.74952546296296296</v>
      </c>
      <c r="D22" s="11" t="s">
        <v>62</v>
      </c>
      <c r="E22" s="11">
        <v>0.83722222222222198</v>
      </c>
      <c r="F22" s="12">
        <f t="shared" si="1"/>
        <v>2.1047222222222164</v>
      </c>
      <c r="G22" s="13">
        <f t="shared" si="2"/>
        <v>2.1047222222222164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46106.015215277803</v>
      </c>
      <c r="B23" s="5" t="s">
        <v>83</v>
      </c>
      <c r="C23" s="11">
        <v>1.5208333333333299E-2</v>
      </c>
      <c r="D23" s="11" t="s">
        <v>62</v>
      </c>
      <c r="E23" s="11">
        <v>0.14589120370370401</v>
      </c>
      <c r="F23" s="12">
        <f t="shared" si="1"/>
        <v>3.1363888888888969</v>
      </c>
      <c r="G23" s="13">
        <f t="shared" si="2"/>
        <v>0</v>
      </c>
      <c r="H23" s="13">
        <f t="shared" si="3"/>
        <v>3.1363888888888969</v>
      </c>
      <c r="I23"/>
      <c r="J23"/>
    </row>
    <row r="24" spans="1:13" ht="18.75" x14ac:dyDescent="0.15">
      <c r="A24" s="10">
        <f t="shared" ca="1" si="0"/>
        <v>46109.133280902803</v>
      </c>
      <c r="B24" s="5" t="s">
        <v>84</v>
      </c>
      <c r="C24" s="11">
        <v>0.133275462962963</v>
      </c>
      <c r="D24" s="11" t="s">
        <v>62</v>
      </c>
      <c r="E24" s="11">
        <v>0.22651620370370401</v>
      </c>
      <c r="F24" s="12">
        <f t="shared" si="1"/>
        <v>2.2377777777777843</v>
      </c>
      <c r="G24" s="13">
        <f t="shared" si="2"/>
        <v>0</v>
      </c>
      <c r="H24" s="13">
        <f t="shared" si="3"/>
        <v>2.2377777777777843</v>
      </c>
      <c r="I24"/>
      <c r="J24"/>
    </row>
    <row r="25" spans="1:13" ht="18.75" x14ac:dyDescent="0.15">
      <c r="A25" s="10">
        <f t="shared" ca="1" si="0"/>
        <v>46109.226568286998</v>
      </c>
      <c r="B25" s="5" t="s">
        <v>83</v>
      </c>
      <c r="C25" s="11">
        <v>0.2265625</v>
      </c>
      <c r="D25" s="11" t="s">
        <v>62</v>
      </c>
      <c r="E25" s="11">
        <v>0.30570601851851897</v>
      </c>
      <c r="F25" s="12">
        <f t="shared" si="1"/>
        <v>1.8994444444444554</v>
      </c>
      <c r="G25" s="13">
        <f t="shared" si="2"/>
        <v>0</v>
      </c>
      <c r="H25" s="13">
        <f t="shared" si="3"/>
        <v>1.8994444444444554</v>
      </c>
      <c r="I25"/>
      <c r="J25"/>
    </row>
    <row r="26" spans="1:13" ht="18.75" x14ac:dyDescent="0.15">
      <c r="A26" s="10">
        <f t="shared" ca="1" si="0"/>
        <v>46109.959600694398</v>
      </c>
      <c r="B26" s="5" t="s">
        <v>80</v>
      </c>
      <c r="C26" s="11">
        <v>0.95959490740740705</v>
      </c>
      <c r="D26" s="11" t="s">
        <v>62</v>
      </c>
      <c r="E26" s="11">
        <v>0.107928240740741</v>
      </c>
      <c r="F26" s="12">
        <f t="shared" si="1"/>
        <v>3.5600000000000147</v>
      </c>
      <c r="G26" s="13">
        <f t="shared" si="2"/>
        <v>0.96972222222223081</v>
      </c>
      <c r="H26" s="13">
        <f t="shared" si="3"/>
        <v>2.5902777777777839</v>
      </c>
      <c r="I26"/>
      <c r="J26"/>
    </row>
    <row r="27" spans="1:13" ht="18.75" x14ac:dyDescent="0.15">
      <c r="A27" s="10">
        <f t="shared" ca="1" si="0"/>
        <v>46112.502334143501</v>
      </c>
      <c r="B27" s="5" t="s">
        <v>78</v>
      </c>
      <c r="C27" s="11">
        <v>0.50232638888888903</v>
      </c>
      <c r="D27" s="11" t="s">
        <v>62</v>
      </c>
      <c r="E27" s="11">
        <v>0.63060185185185202</v>
      </c>
      <c r="F27" s="12">
        <f t="shared" si="1"/>
        <v>3.0786111111111119</v>
      </c>
      <c r="G27" s="13">
        <f t="shared" si="2"/>
        <v>3.0786111111111119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46112.7521039352</v>
      </c>
      <c r="B28" s="5" t="s">
        <v>78</v>
      </c>
      <c r="C28" s="11">
        <v>0.75209490740740703</v>
      </c>
      <c r="D28" s="11" t="s">
        <v>62</v>
      </c>
      <c r="E28" s="11">
        <v>0.88047453703703704</v>
      </c>
      <c r="F28" s="12">
        <f t="shared" si="1"/>
        <v>3.0811111111111202</v>
      </c>
      <c r="G28" s="13">
        <f t="shared" si="2"/>
        <v>3.0811111111111202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42"/>
  <sheetViews>
    <sheetView zoomScale="85" zoomScaleNormal="85" workbookViewId="0">
      <selection activeCell="D23" sqref="D23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46082.014627893499</v>
      </c>
      <c r="B3" s="5" t="s">
        <v>80</v>
      </c>
      <c r="C3" s="11">
        <v>3.4722222222222202E-5</v>
      </c>
      <c r="D3" s="11" t="s">
        <v>62</v>
      </c>
      <c r="E3" s="11">
        <v>0.108194444444444</v>
      </c>
      <c r="F3" s="12">
        <f t="shared" ref="F3:F42" si="1">(IF(E3-C3&lt;0,"24:00"-C3+E3,E3-C3))*24</f>
        <v>2.5958333333333226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2.5958333333333226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46085.139128009301</v>
      </c>
      <c r="B4" s="5" t="s">
        <v>83</v>
      </c>
      <c r="C4" s="11">
        <v>0.13912037037037001</v>
      </c>
      <c r="D4" s="11" t="s">
        <v>62</v>
      </c>
      <c r="E4" s="11">
        <v>0.21635416666666701</v>
      </c>
      <c r="F4" s="12">
        <f t="shared" si="1"/>
        <v>1.8536111111111282</v>
      </c>
      <c r="G4" s="13">
        <f t="shared" si="2"/>
        <v>0</v>
      </c>
      <c r="H4" s="13">
        <f t="shared" si="3"/>
        <v>1.8536111111111282</v>
      </c>
      <c r="I4" s="21" t="s">
        <v>64</v>
      </c>
      <c r="J4" s="22">
        <f>SUMIF(B:B,"西塔台管制席",F:F)+SUMIF(B:B,"东塔台管制席",F:F)</f>
        <v>15.640555555555583</v>
      </c>
      <c r="K4" s="23">
        <f>SUMIF(B:B,"西塔台管制席",G:G)+SUMIF(B:B,"东塔台管制席",G:G)</f>
        <v>9.9627777777778075</v>
      </c>
      <c r="L4" s="23">
        <f>SUMIF(B:B,"西塔台管制席",H:H)+SUMIF(B:B,"东塔台管制席",H:H)</f>
        <v>5.6777777777777745</v>
      </c>
      <c r="M4" s="19"/>
    </row>
    <row r="5" spans="1:16" ht="18.75" x14ac:dyDescent="0.25">
      <c r="A5" s="10">
        <f t="shared" ca="1" si="0"/>
        <v>46085.304948726902</v>
      </c>
      <c r="B5" s="5" t="s">
        <v>82</v>
      </c>
      <c r="C5" s="11">
        <v>0.21635416666666701</v>
      </c>
      <c r="D5" s="11" t="s">
        <v>62</v>
      </c>
      <c r="E5" s="11">
        <v>0.30521990740740701</v>
      </c>
      <c r="F5" s="12">
        <f t="shared" si="1"/>
        <v>2.1327777777777599</v>
      </c>
      <c r="G5" s="13">
        <f t="shared" si="2"/>
        <v>0</v>
      </c>
      <c r="H5" s="13">
        <f t="shared" si="3"/>
        <v>2.1327777777777599</v>
      </c>
      <c r="I5" s="21" t="s">
        <v>65</v>
      </c>
      <c r="J5" s="22">
        <f>SUMIF(B:B,"西塔台协调席",F:F)+SUMIF(B:B,"东塔台协调席",F:F)</f>
        <v>27.291944444444439</v>
      </c>
      <c r="K5" s="23">
        <f>SUMIF(B:B,"西塔台协调席",G:G)+SUMIF(B:B,"东塔台协调席",G:G)</f>
        <v>14.592500000000015</v>
      </c>
      <c r="L5" s="23">
        <f>SUMIF(B:B,"西塔台协调席",H:H)+SUMIF(B:B,"东塔台协调席",H:H)</f>
        <v>12.699444444444424</v>
      </c>
      <c r="M5" s="19"/>
    </row>
    <row r="6" spans="1:16" ht="18.75" x14ac:dyDescent="0.25">
      <c r="A6" s="10">
        <f t="shared" ca="1" si="0"/>
        <v>46086.132163194401</v>
      </c>
      <c r="B6" s="5" t="s">
        <v>84</v>
      </c>
      <c r="C6" s="11">
        <v>0.13215277777777801</v>
      </c>
      <c r="D6" s="11" t="s">
        <v>62</v>
      </c>
      <c r="E6" s="11">
        <v>0.22041666666666701</v>
      </c>
      <c r="F6" s="12">
        <f t="shared" si="1"/>
        <v>2.1183333333333358</v>
      </c>
      <c r="G6" s="13">
        <f t="shared" si="2"/>
        <v>0</v>
      </c>
      <c r="H6" s="13">
        <f t="shared" si="3"/>
        <v>2.1183333333333358</v>
      </c>
      <c r="I6" s="21" t="s">
        <v>66</v>
      </c>
      <c r="J6" s="22">
        <f>SUMIF(B:B,"放行席",F:F)</f>
        <v>3.9666666666666721</v>
      </c>
      <c r="K6" s="23">
        <f>SUMIF(B:B,"放行席",G:G)</f>
        <v>0</v>
      </c>
      <c r="L6" s="23">
        <f>SUMIF(B:B,"放行席",H:H)</f>
        <v>3.9666666666666721</v>
      </c>
      <c r="M6" s="19"/>
    </row>
    <row r="7" spans="1:16" ht="18.75" x14ac:dyDescent="0.25">
      <c r="A7" s="10">
        <f t="shared" ca="1" si="0"/>
        <v>46089.4179141204</v>
      </c>
      <c r="B7" s="5" t="s">
        <v>82</v>
      </c>
      <c r="C7" s="11">
        <v>0.41790509259259301</v>
      </c>
      <c r="D7" s="11" t="s">
        <v>62</v>
      </c>
      <c r="E7" s="11">
        <v>0.51038194444444496</v>
      </c>
      <c r="F7" s="12">
        <f t="shared" si="1"/>
        <v>2.2194444444444468</v>
      </c>
      <c r="G7" s="13">
        <f t="shared" si="2"/>
        <v>2.2194444444444468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46089.622850347201</v>
      </c>
      <c r="B8" s="5" t="s">
        <v>78</v>
      </c>
      <c r="C8" s="11">
        <v>0.622847222222222</v>
      </c>
      <c r="D8" s="11" t="s">
        <v>62</v>
      </c>
      <c r="E8" s="11">
        <v>0.75578703703703698</v>
      </c>
      <c r="F8" s="12">
        <f t="shared" si="1"/>
        <v>3.1905555555555596</v>
      </c>
      <c r="G8" s="13">
        <f t="shared" si="2"/>
        <v>3.1905555555555596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46090.297837615697</v>
      </c>
      <c r="B9" s="5" t="s">
        <v>78</v>
      </c>
      <c r="C9" s="11">
        <v>0.297835648148148</v>
      </c>
      <c r="D9" s="11" t="s">
        <v>62</v>
      </c>
      <c r="E9" s="11">
        <v>0.36357638888888899</v>
      </c>
      <c r="F9" s="12">
        <f t="shared" si="1"/>
        <v>1.5777777777777837</v>
      </c>
      <c r="G9" s="13">
        <f t="shared" si="2"/>
        <v>0.72583333333334421</v>
      </c>
      <c r="H9" s="13">
        <f t="shared" si="3"/>
        <v>0.85194444444443951</v>
      </c>
      <c r="I9" s="21" t="s">
        <v>69</v>
      </c>
      <c r="J9" s="22">
        <f>SUMIF(B:B,"航班调度席",F:F)</f>
        <v>6.9644444444444185</v>
      </c>
      <c r="K9" s="23">
        <f>SUMIF(B:B,"航班调度席",G:G)</f>
        <v>6.9644444444444185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46093.014246296298</v>
      </c>
      <c r="B10" s="5" t="s">
        <v>80</v>
      </c>
      <c r="C10" s="11">
        <v>1.42361111111111E-2</v>
      </c>
      <c r="D10" s="11" t="s">
        <v>62</v>
      </c>
      <c r="E10" s="11">
        <v>0.14915509259259299</v>
      </c>
      <c r="F10" s="12">
        <f t="shared" si="1"/>
        <v>3.2380555555555657</v>
      </c>
      <c r="G10" s="13">
        <f t="shared" si="2"/>
        <v>0</v>
      </c>
      <c r="H10" s="13">
        <f t="shared" si="3"/>
        <v>3.2380555555555657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46093.957614814797</v>
      </c>
      <c r="B11" s="5" t="s">
        <v>82</v>
      </c>
      <c r="C11" s="11">
        <v>0.95760416666666703</v>
      </c>
      <c r="D11" s="11" t="s">
        <v>62</v>
      </c>
      <c r="E11" s="11">
        <v>0.100428240740741</v>
      </c>
      <c r="F11" s="12">
        <f t="shared" si="1"/>
        <v>3.4277777777777754</v>
      </c>
      <c r="G11" s="13">
        <f t="shared" si="2"/>
        <v>1.0174999999999912</v>
      </c>
      <c r="H11" s="13">
        <f t="shared" si="3"/>
        <v>2.4102777777777842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46097.131764351798</v>
      </c>
      <c r="B12" s="5" t="s">
        <v>84</v>
      </c>
      <c r="C12" s="11">
        <v>0.13175925925925899</v>
      </c>
      <c r="D12" s="11" t="s">
        <v>62</v>
      </c>
      <c r="E12" s="11">
        <v>0.20877314814814801</v>
      </c>
      <c r="F12" s="12">
        <f t="shared" si="1"/>
        <v>1.8483333333333365</v>
      </c>
      <c r="G12" s="13">
        <f t="shared" si="2"/>
        <v>0</v>
      </c>
      <c r="H12" s="13">
        <f t="shared" si="3"/>
        <v>1.8483333333333365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46097.208849421302</v>
      </c>
      <c r="B13" s="5" t="s">
        <v>80</v>
      </c>
      <c r="C13" s="11">
        <v>0.208842592592593</v>
      </c>
      <c r="D13" s="11" t="s">
        <v>62</v>
      </c>
      <c r="E13" s="11">
        <v>0.305613425925926</v>
      </c>
      <c r="F13" s="12">
        <f t="shared" si="1"/>
        <v>2.3224999999999918</v>
      </c>
      <c r="G13" s="13">
        <f t="shared" si="2"/>
        <v>0</v>
      </c>
      <c r="H13" s="13">
        <f t="shared" si="3"/>
        <v>2.3224999999999918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46098.137583912001</v>
      </c>
      <c r="B14" s="5" t="s">
        <v>83</v>
      </c>
      <c r="C14" s="11">
        <v>0.137581018518519</v>
      </c>
      <c r="D14" s="11" t="s">
        <v>62</v>
      </c>
      <c r="E14" s="11">
        <v>0.227488425925926</v>
      </c>
      <c r="F14" s="12">
        <f t="shared" si="1"/>
        <v>2.1577777777777678</v>
      </c>
      <c r="G14" s="13">
        <f t="shared" si="2"/>
        <v>0</v>
      </c>
      <c r="H14" s="13">
        <f t="shared" si="3"/>
        <v>2.1577777777777678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46100.373703703699</v>
      </c>
      <c r="B15" s="5" t="s">
        <v>79</v>
      </c>
      <c r="C15" s="11">
        <v>0.37370370370370398</v>
      </c>
      <c r="D15" s="11" t="s">
        <v>62</v>
      </c>
      <c r="E15" s="11">
        <v>0.50440972222222202</v>
      </c>
      <c r="F15" s="12">
        <f t="shared" si="1"/>
        <v>3.136944444444433</v>
      </c>
      <c r="G15" s="13">
        <f t="shared" si="2"/>
        <v>3.136944444444433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46100.603390046301</v>
      </c>
      <c r="B16" s="5" t="s">
        <v>79</v>
      </c>
      <c r="C16" s="11">
        <v>0.60337962962962999</v>
      </c>
      <c r="D16" s="11" t="s">
        <v>62</v>
      </c>
      <c r="E16" s="11">
        <v>0.76285879629629605</v>
      </c>
      <c r="F16" s="12">
        <f t="shared" si="1"/>
        <v>3.8274999999999855</v>
      </c>
      <c r="G16" s="13">
        <f t="shared" si="2"/>
        <v>3.8274999999999855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46101.4176836806</v>
      </c>
      <c r="B17" s="5" t="s">
        <v>78</v>
      </c>
      <c r="C17" s="11">
        <v>0.41767361111111101</v>
      </c>
      <c r="D17" s="11" t="s">
        <v>62</v>
      </c>
      <c r="E17" s="11">
        <v>0.50811342592592601</v>
      </c>
      <c r="F17" s="12">
        <f t="shared" si="1"/>
        <v>2.17055555555556</v>
      </c>
      <c r="G17" s="13">
        <f t="shared" si="2"/>
        <v>2.17055555555556</v>
      </c>
      <c r="H17" s="13">
        <f t="shared" si="3"/>
        <v>0</v>
      </c>
      <c r="I17" s="35" t="s">
        <v>75</v>
      </c>
      <c r="J17" s="36">
        <f>J4+J5+J6+J7+J10</f>
        <v>46.899166666666687</v>
      </c>
      <c r="K17" s="37">
        <f>K4+K5+K6+K7+K10</f>
        <v>24.555277777777825</v>
      </c>
      <c r="L17" s="38">
        <f>L4+L5+L6+L7+L10</f>
        <v>22.34388888888887</v>
      </c>
      <c r="M17" s="39"/>
    </row>
    <row r="18" spans="1:13" ht="20.25" x14ac:dyDescent="0.25">
      <c r="A18" s="10">
        <f t="shared" ca="1" si="0"/>
        <v>46101.625139583302</v>
      </c>
      <c r="B18" s="5" t="s">
        <v>82</v>
      </c>
      <c r="C18" s="11">
        <v>0.62513888888888902</v>
      </c>
      <c r="D18" s="11" t="s">
        <v>62</v>
      </c>
      <c r="E18" s="11">
        <v>0.76697916666666699</v>
      </c>
      <c r="F18" s="12">
        <f t="shared" si="1"/>
        <v>3.4041666666666712</v>
      </c>
      <c r="G18" s="13">
        <f t="shared" si="2"/>
        <v>3.4041666666666712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46101.875557060201</v>
      </c>
      <c r="B19" s="5" t="s">
        <v>82</v>
      </c>
      <c r="C19" s="11">
        <v>0.87564814814814795</v>
      </c>
      <c r="D19" s="11" t="s">
        <v>62</v>
      </c>
      <c r="E19" s="11">
        <v>0.96491898148148103</v>
      </c>
      <c r="F19" s="12">
        <f t="shared" si="1"/>
        <v>2.1424999999999939</v>
      </c>
      <c r="G19" s="13">
        <f t="shared" si="2"/>
        <v>2.1424999999999939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46102.299407407401</v>
      </c>
      <c r="B20" s="5" t="s">
        <v>78</v>
      </c>
      <c r="C20" s="11">
        <v>0.29939814814814802</v>
      </c>
      <c r="D20" s="11" t="s">
        <v>62</v>
      </c>
      <c r="E20" s="11">
        <v>0.36327546296296298</v>
      </c>
      <c r="F20" s="12">
        <f t="shared" si="1"/>
        <v>1.5330555555555589</v>
      </c>
      <c r="G20" s="13">
        <f t="shared" si="2"/>
        <v>0.71861111111111997</v>
      </c>
      <c r="H20" s="13">
        <f t="shared" si="3"/>
        <v>0.81444444444443898</v>
      </c>
      <c r="I20" s="40" t="s">
        <v>77</v>
      </c>
      <c r="J20" s="65">
        <f>J16+J17+J18+J19</f>
        <v>46.899166666666687</v>
      </c>
      <c r="K20" s="66"/>
      <c r="L20" s="67"/>
      <c r="M20" s="41"/>
    </row>
    <row r="21" spans="1:13" ht="20.25" x14ac:dyDescent="0.25">
      <c r="A21" s="10">
        <f t="shared" ca="1" si="0"/>
        <v>46112.355436342601</v>
      </c>
      <c r="B21" s="5" t="s">
        <v>82</v>
      </c>
      <c r="C21" s="11">
        <v>0.35542824074074097</v>
      </c>
      <c r="D21" s="11" t="s">
        <v>62</v>
      </c>
      <c r="E21" s="11">
        <v>0.50759259259259304</v>
      </c>
      <c r="F21" s="12">
        <f t="shared" si="1"/>
        <v>3.6519444444444495</v>
      </c>
      <c r="G21" s="13">
        <f t="shared" si="2"/>
        <v>3.6519444444444495</v>
      </c>
      <c r="H21" s="13">
        <f t="shared" si="3"/>
        <v>0</v>
      </c>
      <c r="I21" s="42" t="s">
        <v>4</v>
      </c>
      <c r="J21" s="43">
        <f>SUM(J8:J9)</f>
        <v>6.9644444444444185</v>
      </c>
      <c r="K21" s="37">
        <f>SUM(K8:K9)</f>
        <v>6.9644444444444185</v>
      </c>
      <c r="L21" s="38">
        <f>SUM(L8:L9)</f>
        <v>0</v>
      </c>
      <c r="M21" s="44"/>
    </row>
    <row r="22" spans="1:13" ht="18.75" x14ac:dyDescent="0.15">
      <c r="A22" s="10">
        <f t="shared" ca="1" si="0"/>
        <v>46112.625916666701</v>
      </c>
      <c r="B22" s="5" t="s">
        <v>78</v>
      </c>
      <c r="C22" s="11">
        <v>0.625925925925926</v>
      </c>
      <c r="D22" s="11" t="s">
        <v>62</v>
      </c>
      <c r="E22" s="11">
        <v>0.75747685185185198</v>
      </c>
      <c r="F22" s="12">
        <f t="shared" si="1"/>
        <v>3.1572222222222237</v>
      </c>
      <c r="G22" s="13">
        <f t="shared" si="2"/>
        <v>3.1572222222222237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46112.875224652802</v>
      </c>
      <c r="B23" s="5" t="s">
        <v>82</v>
      </c>
      <c r="C23" s="11">
        <v>0.87521990740740696</v>
      </c>
      <c r="D23" s="11" t="s">
        <v>62</v>
      </c>
      <c r="E23" s="11">
        <v>0.96509259259259295</v>
      </c>
      <c r="F23" s="12">
        <f t="shared" si="1"/>
        <v>2.1569444444444636</v>
      </c>
      <c r="G23" s="13">
        <f t="shared" si="2"/>
        <v>2.1569444444444636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42"/>
  <sheetViews>
    <sheetView topLeftCell="A7" zoomScale="85" zoomScaleNormal="85" workbookViewId="0">
      <selection activeCell="E30" sqref="E30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46082.014353935199</v>
      </c>
      <c r="B3" s="5" t="s">
        <v>83</v>
      </c>
      <c r="C3" s="11">
        <v>5.78703703703704E-5</v>
      </c>
      <c r="D3" s="11" t="s">
        <v>62</v>
      </c>
      <c r="E3" s="11">
        <v>0.114560185185185</v>
      </c>
      <c r="F3" s="12">
        <f t="shared" ref="F3:F42" si="1">(IF(E3-C3&lt;0,"24:00"-C3+E3,E3-C3))*24</f>
        <v>2.7480555555555508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2.7480555555555508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46085.140684722202</v>
      </c>
      <c r="B4" s="5" t="s">
        <v>78</v>
      </c>
      <c r="C4" s="11">
        <v>0.14068287037037</v>
      </c>
      <c r="D4" s="11" t="s">
        <v>62</v>
      </c>
      <c r="E4" s="11">
        <v>0.30542824074074099</v>
      </c>
      <c r="F4" s="12">
        <f t="shared" si="1"/>
        <v>3.9538888888889039</v>
      </c>
      <c r="G4" s="13">
        <f t="shared" si="2"/>
        <v>0</v>
      </c>
      <c r="H4" s="13">
        <f t="shared" si="3"/>
        <v>3.9538888888889039</v>
      </c>
      <c r="I4" s="21" t="s">
        <v>64</v>
      </c>
      <c r="J4" s="22">
        <f>SUMIF(B:B,"西塔台管制席",F:F)+SUMIF(B:B,"东塔台管制席",F:F)</f>
        <v>33.231388888888915</v>
      </c>
      <c r="K4" s="23">
        <f>SUMIF(B:B,"西塔台管制席",G:G)+SUMIF(B:B,"东塔台管制席",G:G)</f>
        <v>15.116111111111113</v>
      </c>
      <c r="L4" s="23">
        <f>SUMIF(B:B,"西塔台管制席",H:H)+SUMIF(B:B,"东塔台管制席",H:H)</f>
        <v>18.115277777777798</v>
      </c>
      <c r="M4" s="19"/>
    </row>
    <row r="5" spans="1:16" ht="18.75" x14ac:dyDescent="0.25">
      <c r="A5" s="10">
        <f t="shared" ca="1" si="0"/>
        <v>46086.140777546301</v>
      </c>
      <c r="B5" s="5" t="s">
        <v>81</v>
      </c>
      <c r="C5" s="11">
        <v>0.140775462962963</v>
      </c>
      <c r="D5" s="11" t="s">
        <v>62</v>
      </c>
      <c r="E5" s="11">
        <v>0.21981481481481499</v>
      </c>
      <c r="F5" s="12">
        <f t="shared" si="1"/>
        <v>1.8969444444444477</v>
      </c>
      <c r="G5" s="13">
        <f t="shared" si="2"/>
        <v>0</v>
      </c>
      <c r="H5" s="13">
        <f t="shared" si="3"/>
        <v>1.8969444444444477</v>
      </c>
      <c r="I5" s="21" t="s">
        <v>65</v>
      </c>
      <c r="J5" s="22">
        <f>SUMIF(B:B,"西塔台协调席",F:F)+SUMIF(B:B,"东塔台协调席",F:F)</f>
        <v>18.283611111111092</v>
      </c>
      <c r="K5" s="23">
        <f>SUMIF(B:B,"西塔台协调席",G:G)+SUMIF(B:B,"东塔台协调席",G:G)</f>
        <v>15.772499999999972</v>
      </c>
      <c r="L5" s="23">
        <f>SUMIF(B:B,"西塔台协调席",H:H)+SUMIF(B:B,"东塔台协调席",H:H)</f>
        <v>2.51111111111112</v>
      </c>
      <c r="M5" s="19"/>
    </row>
    <row r="6" spans="1:16" ht="18.75" x14ac:dyDescent="0.25">
      <c r="A6" s="10">
        <f t="shared" ca="1" si="0"/>
        <v>46088.501256944401</v>
      </c>
      <c r="B6" s="5" t="s">
        <v>82</v>
      </c>
      <c r="C6" s="11">
        <v>0.50124999999999997</v>
      </c>
      <c r="D6" s="11" t="s">
        <v>62</v>
      </c>
      <c r="E6" s="11">
        <v>0.53469907407407402</v>
      </c>
      <c r="F6" s="12">
        <f t="shared" si="1"/>
        <v>0.80277777777777715</v>
      </c>
      <c r="G6" s="13">
        <f t="shared" si="2"/>
        <v>0.80277777777777715</v>
      </c>
      <c r="H6" s="13">
        <f t="shared" si="3"/>
        <v>0</v>
      </c>
      <c r="I6" s="21" t="s">
        <v>66</v>
      </c>
      <c r="J6" s="22">
        <f>SUMIF(B:B,"放行席",F:F)</f>
        <v>2.400555555555552</v>
      </c>
      <c r="K6" s="23">
        <f>SUMIF(B:B,"放行席",G:G)</f>
        <v>0</v>
      </c>
      <c r="L6" s="23">
        <f>SUMIF(B:B,"放行席",H:H)</f>
        <v>2.400555555555552</v>
      </c>
      <c r="M6" s="19"/>
    </row>
    <row r="7" spans="1:16" ht="18.75" x14ac:dyDescent="0.25">
      <c r="A7" s="10">
        <f t="shared" ca="1" si="0"/>
        <v>46088.547499652799</v>
      </c>
      <c r="B7" s="5" t="s">
        <v>82</v>
      </c>
      <c r="C7" s="11">
        <v>0.54749999999999999</v>
      </c>
      <c r="D7" s="11" t="s">
        <v>62</v>
      </c>
      <c r="E7" s="11">
        <v>0.63175925925925902</v>
      </c>
      <c r="F7" s="12">
        <f t="shared" si="1"/>
        <v>2.0222222222222168</v>
      </c>
      <c r="G7" s="13">
        <f t="shared" si="2"/>
        <v>2.0222222222222168</v>
      </c>
      <c r="H7" s="13">
        <f t="shared" si="3"/>
        <v>0</v>
      </c>
      <c r="I7" s="21" t="s">
        <v>67</v>
      </c>
      <c r="J7" s="22">
        <f>SUMIF(B:B,"地面席",F:F)</f>
        <v>4.0044444444444478</v>
      </c>
      <c r="K7" s="23">
        <f>SUMIF(B:B,"地面席",G:G)</f>
        <v>0</v>
      </c>
      <c r="L7" s="23">
        <f>SUMIF(B:B,"地面席",H:H)</f>
        <v>4.0044444444444478</v>
      </c>
      <c r="M7" s="19"/>
    </row>
    <row r="8" spans="1:16" ht="18.75" x14ac:dyDescent="0.25">
      <c r="A8" s="10">
        <f t="shared" ca="1" si="0"/>
        <v>46088.732644328702</v>
      </c>
      <c r="B8" s="5" t="s">
        <v>78</v>
      </c>
      <c r="C8" s="11">
        <v>0.73263888888888895</v>
      </c>
      <c r="D8" s="11" t="s">
        <v>62</v>
      </c>
      <c r="E8" s="11">
        <v>0.79712962962962997</v>
      </c>
      <c r="F8" s="12">
        <f t="shared" si="1"/>
        <v>1.5477777777777844</v>
      </c>
      <c r="G8" s="13">
        <f t="shared" si="2"/>
        <v>1.5477777777777844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46088.819836342598</v>
      </c>
      <c r="B9" s="5" t="s">
        <v>78</v>
      </c>
      <c r="C9" s="11">
        <v>0.81982638888888903</v>
      </c>
      <c r="D9" s="11" t="s">
        <v>62</v>
      </c>
      <c r="E9" s="11">
        <v>0.860335648148148</v>
      </c>
      <c r="F9" s="12">
        <f t="shared" si="1"/>
        <v>0.97222222222221522</v>
      </c>
      <c r="G9" s="13">
        <f t="shared" si="2"/>
        <v>0.97222222222221522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46097.140313773103</v>
      </c>
      <c r="B10" s="5" t="s">
        <v>83</v>
      </c>
      <c r="C10" s="11">
        <v>0.14031250000000001</v>
      </c>
      <c r="D10" s="11" t="s">
        <v>62</v>
      </c>
      <c r="E10" s="11">
        <v>0.30328703703703702</v>
      </c>
      <c r="F10" s="12">
        <f t="shared" si="1"/>
        <v>3.9113888888888884</v>
      </c>
      <c r="G10" s="13">
        <f t="shared" si="2"/>
        <v>0</v>
      </c>
      <c r="H10" s="13">
        <f t="shared" si="3"/>
        <v>3.9113888888888884</v>
      </c>
      <c r="I10" s="21" t="s">
        <v>70</v>
      </c>
      <c r="J10" s="22">
        <f>SUMIF(B:B,"综合协调席",F:F)</f>
        <v>1.3075000000000072</v>
      </c>
      <c r="K10" s="23">
        <f>SUMIF(B:B,"综合协调席",G:G)</f>
        <v>0.64388888888889584</v>
      </c>
      <c r="L10" s="23">
        <f>SUMIF(B:B,"综合协调席",H:H)</f>
        <v>0.66361111111111137</v>
      </c>
      <c r="M10" s="19"/>
    </row>
    <row r="11" spans="1:16" ht="18.75" x14ac:dyDescent="0.25">
      <c r="A11" s="10">
        <f t="shared" ca="1" si="0"/>
        <v>46098.1400222222</v>
      </c>
      <c r="B11" s="5" t="s">
        <v>81</v>
      </c>
      <c r="C11" s="11">
        <v>0.140011574074074</v>
      </c>
      <c r="D11" s="11" t="s">
        <v>62</v>
      </c>
      <c r="E11" s="11">
        <v>0.22782407407407401</v>
      </c>
      <c r="F11" s="12">
        <f t="shared" si="1"/>
        <v>2.1075000000000004</v>
      </c>
      <c r="G11" s="13">
        <f t="shared" si="2"/>
        <v>0</v>
      </c>
      <c r="H11" s="13">
        <f t="shared" si="3"/>
        <v>2.1075000000000004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46100.509077083298</v>
      </c>
      <c r="B12" s="5" t="s">
        <v>78</v>
      </c>
      <c r="C12" s="11">
        <v>0.356990740740741</v>
      </c>
      <c r="D12" s="11" t="s">
        <v>62</v>
      </c>
      <c r="E12" s="11">
        <v>0.50939814814814799</v>
      </c>
      <c r="F12" s="12">
        <f t="shared" si="1"/>
        <v>3.6577777777777678</v>
      </c>
      <c r="G12" s="13">
        <f t="shared" si="2"/>
        <v>3.6577777777777678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46100.6281229167</v>
      </c>
      <c r="B13" s="5" t="s">
        <v>80</v>
      </c>
      <c r="C13" s="11">
        <v>0.62811342592592601</v>
      </c>
      <c r="D13" s="11" t="s">
        <v>62</v>
      </c>
      <c r="E13" s="11">
        <v>0.76296296296296295</v>
      </c>
      <c r="F13" s="12">
        <f t="shared" si="1"/>
        <v>3.2363888888888868</v>
      </c>
      <c r="G13" s="13">
        <f t="shared" si="2"/>
        <v>3.2363888888888868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46100.876323611097</v>
      </c>
      <c r="B14" s="5" t="s">
        <v>83</v>
      </c>
      <c r="C14" s="11">
        <v>0.87631944444444398</v>
      </c>
      <c r="D14" s="11" t="s">
        <v>62</v>
      </c>
      <c r="E14" s="11">
        <v>0.96482638888888905</v>
      </c>
      <c r="F14" s="12">
        <f t="shared" si="1"/>
        <v>2.1241666666666816</v>
      </c>
      <c r="G14" s="13">
        <f t="shared" si="2"/>
        <v>2.1241666666666816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46101.299885995402</v>
      </c>
      <c r="B15" s="5" t="s">
        <v>82</v>
      </c>
      <c r="C15" s="11">
        <v>0.29988425925925899</v>
      </c>
      <c r="D15" s="11" t="s">
        <v>62</v>
      </c>
      <c r="E15" s="11">
        <v>0.42763888888888901</v>
      </c>
      <c r="F15" s="12">
        <f t="shared" si="1"/>
        <v>3.0661111111111206</v>
      </c>
      <c r="G15" s="13">
        <f t="shared" si="2"/>
        <v>2.2633333333333447</v>
      </c>
      <c r="H15" s="13">
        <f t="shared" si="3"/>
        <v>0.80277777777777581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46101.510969675903</v>
      </c>
      <c r="B16" s="5" t="s">
        <v>82</v>
      </c>
      <c r="C16" s="11">
        <v>0.51096064814814801</v>
      </c>
      <c r="D16" s="11" t="s">
        <v>62</v>
      </c>
      <c r="E16" s="11">
        <v>0.57951388888888899</v>
      </c>
      <c r="F16" s="12">
        <f t="shared" si="1"/>
        <v>1.6452777777777836</v>
      </c>
      <c r="G16" s="13">
        <f t="shared" si="2"/>
        <v>1.6452777777777836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46101.6035469907</v>
      </c>
      <c r="B17" s="5" t="s">
        <v>82</v>
      </c>
      <c r="C17" s="11">
        <v>0.60354166666666698</v>
      </c>
      <c r="D17" s="11" t="s">
        <v>62</v>
      </c>
      <c r="E17" s="11">
        <v>0.60636574074074101</v>
      </c>
      <c r="F17" s="12">
        <f t="shared" si="1"/>
        <v>6.7777777777776826E-2</v>
      </c>
      <c r="G17" s="13">
        <f t="shared" si="2"/>
        <v>6.7777777777776826E-2</v>
      </c>
      <c r="H17" s="13">
        <f t="shared" si="3"/>
        <v>0</v>
      </c>
      <c r="I17" s="35" t="s">
        <v>75</v>
      </c>
      <c r="J17" s="36">
        <f>J4+J5+J6+J7+J10</f>
        <v>59.227500000000006</v>
      </c>
      <c r="K17" s="37">
        <f>K4+K5+K6+K7+K10</f>
        <v>31.532499999999981</v>
      </c>
      <c r="L17" s="38">
        <f>L4+L5+L6+L7+L10</f>
        <v>27.695000000000032</v>
      </c>
      <c r="M17" s="39"/>
    </row>
    <row r="18" spans="1:13" ht="20.25" x14ac:dyDescent="0.25">
      <c r="A18" s="10">
        <f t="shared" ca="1" si="0"/>
        <v>46101.616816203699</v>
      </c>
      <c r="B18" s="5" t="s">
        <v>82</v>
      </c>
      <c r="C18" s="11">
        <v>0.60634259259259304</v>
      </c>
      <c r="D18" s="11" t="s">
        <v>62</v>
      </c>
      <c r="E18" s="11">
        <v>0.63402777777777797</v>
      </c>
      <c r="F18" s="12">
        <f t="shared" si="1"/>
        <v>0.66444444444443818</v>
      </c>
      <c r="G18" s="13">
        <f t="shared" si="2"/>
        <v>0.66444444444443818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46101.763844675901</v>
      </c>
      <c r="B19" s="5" t="s">
        <v>82</v>
      </c>
      <c r="C19" s="11">
        <v>0.76384259259259302</v>
      </c>
      <c r="D19" s="11" t="s">
        <v>62</v>
      </c>
      <c r="E19" s="11">
        <v>0.84473379629629597</v>
      </c>
      <c r="F19" s="12">
        <f t="shared" si="1"/>
        <v>1.9413888888888708</v>
      </c>
      <c r="G19" s="13">
        <f t="shared" si="2"/>
        <v>1.9413888888888708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46102.305691087997</v>
      </c>
      <c r="B20" s="5" t="s">
        <v>85</v>
      </c>
      <c r="C20" s="11">
        <v>0.30568287037037001</v>
      </c>
      <c r="D20" s="11" t="s">
        <v>62</v>
      </c>
      <c r="E20" s="11">
        <v>0.36016203703703698</v>
      </c>
      <c r="F20" s="12">
        <f t="shared" si="1"/>
        <v>1.3075000000000072</v>
      </c>
      <c r="G20" s="13">
        <f t="shared" si="2"/>
        <v>0.64388888888889584</v>
      </c>
      <c r="H20" s="13">
        <f t="shared" si="3"/>
        <v>0.66361111111111137</v>
      </c>
      <c r="I20" s="40" t="s">
        <v>77</v>
      </c>
      <c r="J20" s="65">
        <f>J16+J17+J18+J19</f>
        <v>59.227500000000006</v>
      </c>
      <c r="K20" s="66"/>
      <c r="L20" s="67"/>
      <c r="M20" s="41"/>
    </row>
    <row r="21" spans="1:13" ht="20.25" x14ac:dyDescent="0.25">
      <c r="A21" s="10">
        <f t="shared" ca="1" si="0"/>
        <v>46105.015493749997</v>
      </c>
      <c r="B21" s="5" t="s">
        <v>83</v>
      </c>
      <c r="C21" s="11">
        <v>1.54861111111111E-2</v>
      </c>
      <c r="D21" s="11" t="s">
        <v>62</v>
      </c>
      <c r="E21" s="11">
        <v>0.144976851851852</v>
      </c>
      <c r="F21" s="12">
        <f t="shared" si="1"/>
        <v>3.1077777777777817</v>
      </c>
      <c r="G21" s="13">
        <f t="shared" si="2"/>
        <v>0</v>
      </c>
      <c r="H21" s="13">
        <f t="shared" si="3"/>
        <v>3.1077777777777817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46105.959810185203</v>
      </c>
      <c r="B22" s="5" t="s">
        <v>78</v>
      </c>
      <c r="C22" s="11">
        <v>0.95980324074074097</v>
      </c>
      <c r="D22" s="11" t="s">
        <v>62</v>
      </c>
      <c r="E22" s="11">
        <v>0.100208333333333</v>
      </c>
      <c r="F22" s="12">
        <f t="shared" si="1"/>
        <v>3.369722222222209</v>
      </c>
      <c r="G22" s="13">
        <f t="shared" si="2"/>
        <v>0.96472222222221715</v>
      </c>
      <c r="H22" s="13">
        <f t="shared" si="3"/>
        <v>2.4049999999999918</v>
      </c>
      <c r="I22"/>
      <c r="J22"/>
    </row>
    <row r="23" spans="1:13" ht="18.75" x14ac:dyDescent="0.15">
      <c r="A23" s="10">
        <f t="shared" ca="1" si="0"/>
        <v>46109.142065393498</v>
      </c>
      <c r="B23" s="5" t="s">
        <v>78</v>
      </c>
      <c r="C23" s="11">
        <v>0.14206018518518501</v>
      </c>
      <c r="D23" s="11" t="s">
        <v>62</v>
      </c>
      <c r="E23" s="11">
        <v>0.22494212962963001</v>
      </c>
      <c r="F23" s="12">
        <f t="shared" si="1"/>
        <v>1.9891666666666799</v>
      </c>
      <c r="G23" s="13">
        <f t="shared" si="2"/>
        <v>0</v>
      </c>
      <c r="H23" s="13">
        <f t="shared" si="3"/>
        <v>1.9891666666666799</v>
      </c>
      <c r="I23"/>
      <c r="J23"/>
    </row>
    <row r="24" spans="1:13" ht="18.75" x14ac:dyDescent="0.15">
      <c r="A24" s="10">
        <f t="shared" ca="1" si="0"/>
        <v>46110.134212037003</v>
      </c>
      <c r="B24" s="5" t="s">
        <v>84</v>
      </c>
      <c r="C24" s="11">
        <v>0.13420138888888899</v>
      </c>
      <c r="D24" s="11" t="s">
        <v>62</v>
      </c>
      <c r="E24" s="11">
        <v>0.234224537037037</v>
      </c>
      <c r="F24" s="12">
        <f t="shared" si="1"/>
        <v>2.400555555555552</v>
      </c>
      <c r="G24" s="13">
        <f t="shared" si="2"/>
        <v>0</v>
      </c>
      <c r="H24" s="13">
        <f t="shared" si="3"/>
        <v>2.400555555555552</v>
      </c>
      <c r="I24"/>
      <c r="J24"/>
    </row>
    <row r="25" spans="1:13" ht="18.75" x14ac:dyDescent="0.15">
      <c r="A25" s="10">
        <f t="shared" ca="1" si="0"/>
        <v>46110.234291319401</v>
      </c>
      <c r="B25" s="5" t="s">
        <v>80</v>
      </c>
      <c r="C25" s="11">
        <v>0.234282407407407</v>
      </c>
      <c r="D25" s="11" t="s">
        <v>62</v>
      </c>
      <c r="E25" s="11">
        <v>0.30546296296296299</v>
      </c>
      <c r="F25" s="12">
        <f t="shared" si="1"/>
        <v>1.7083333333333439</v>
      </c>
      <c r="G25" s="13">
        <f t="shared" si="2"/>
        <v>0</v>
      </c>
      <c r="H25" s="13">
        <f t="shared" si="3"/>
        <v>1.7083333333333439</v>
      </c>
      <c r="I25"/>
      <c r="J25"/>
    </row>
    <row r="26" spans="1:13" ht="18.75" x14ac:dyDescent="0.15">
      <c r="A26" s="10">
        <f t="shared" ca="1" si="0"/>
        <v>46112.355526041698</v>
      </c>
      <c r="B26" s="5" t="s">
        <v>78</v>
      </c>
      <c r="C26" s="11">
        <v>0.35552083333333301</v>
      </c>
      <c r="D26" s="11" t="s">
        <v>62</v>
      </c>
      <c r="E26" s="11">
        <v>0.50905092592592605</v>
      </c>
      <c r="F26" s="12">
        <f t="shared" si="1"/>
        <v>3.6847222222222329</v>
      </c>
      <c r="G26" s="13">
        <f t="shared" si="2"/>
        <v>3.6847222222222329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46112.626410069402</v>
      </c>
      <c r="B27" s="5" t="s">
        <v>82</v>
      </c>
      <c r="C27" s="11">
        <v>0.62640046296296303</v>
      </c>
      <c r="D27" s="11" t="s">
        <v>62</v>
      </c>
      <c r="E27" s="11">
        <v>0.75677083333333295</v>
      </c>
      <c r="F27" s="12">
        <f t="shared" si="1"/>
        <v>3.128888888888878</v>
      </c>
      <c r="G27" s="13">
        <f t="shared" si="2"/>
        <v>3.128888888888878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46112.8771724537</v>
      </c>
      <c r="B28" s="5" t="s">
        <v>78</v>
      </c>
      <c r="C28" s="11">
        <v>0.87716435185185204</v>
      </c>
      <c r="D28" s="11" t="s">
        <v>62</v>
      </c>
      <c r="E28" s="11">
        <v>0.96736111111111101</v>
      </c>
      <c r="F28" s="12">
        <f t="shared" si="1"/>
        <v>2.1647222222222151</v>
      </c>
      <c r="G28" s="13">
        <f t="shared" si="2"/>
        <v>2.1647222222222151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46084.9396178241</v>
      </c>
      <c r="B3" s="5" t="s">
        <v>61</v>
      </c>
      <c r="C3" s="11">
        <v>0.939618055555556</v>
      </c>
      <c r="D3" s="11" t="s">
        <v>62</v>
      </c>
      <c r="E3" s="11">
        <v>0.14023148148148101</v>
      </c>
      <c r="F3" s="12">
        <f t="shared" ref="F3:F42" si="1">(IF(E3-C3&lt;0,"24:00"-C3+E3,E3-C3))*24</f>
        <v>4.8147222222222004</v>
      </c>
      <c r="G3" s="13">
        <f t="shared" ref="G3:G42" si="2">F3-H3</f>
        <v>1.4491666666666561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3.3655555555555443</v>
      </c>
      <c r="I3" s="16" t="s">
        <v>63</v>
      </c>
      <c r="J3" s="17">
        <f>SUMIF(B:B,"带班主任",F:F)</f>
        <v>84.746388888888973</v>
      </c>
      <c r="K3" s="18">
        <f>SUMIF(B:B,"带班主任",G:G)</f>
        <v>56.631111111111245</v>
      </c>
      <c r="L3" s="18">
        <f>SUMIF(B:B,"带班主任",H:H)</f>
        <v>28.115277777777717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46085.542265625001</v>
      </c>
      <c r="B4" s="5" t="s">
        <v>61</v>
      </c>
      <c r="C4" s="11">
        <v>0.54225694444444394</v>
      </c>
      <c r="D4" s="11" t="s">
        <v>62</v>
      </c>
      <c r="E4" s="11">
        <v>0.69307870370370395</v>
      </c>
      <c r="F4" s="12">
        <f t="shared" si="1"/>
        <v>3.61972222222224</v>
      </c>
      <c r="G4" s="13">
        <f t="shared" si="2"/>
        <v>3.61972222222224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3.4258333333333439</v>
      </c>
      <c r="K4" s="23">
        <f>SUMIF(B:B,"西塔台管制席",G:G)+SUMIF(B:B,"东塔台管制席",G:G)</f>
        <v>0.8166666666666722</v>
      </c>
      <c r="L4" s="23">
        <f>SUMIF(B:B,"西塔台管制席",H:H)+SUMIF(B:B,"东塔台管制席",H:H)</f>
        <v>2.6091666666666717</v>
      </c>
      <c r="M4" s="19"/>
    </row>
    <row r="5" spans="1:16" ht="18.75" x14ac:dyDescent="0.25">
      <c r="A5" s="10">
        <f t="shared" ca="1" si="0"/>
        <v>46085.704319560202</v>
      </c>
      <c r="B5" s="5" t="s">
        <v>61</v>
      </c>
      <c r="C5" s="11">
        <v>0.70431712962963</v>
      </c>
      <c r="D5" s="11" t="s">
        <v>62</v>
      </c>
      <c r="E5" s="11">
        <v>0.80125000000000002</v>
      </c>
      <c r="F5" s="12">
        <f t="shared" si="1"/>
        <v>2.3263888888888804</v>
      </c>
      <c r="G5" s="13">
        <f t="shared" si="2"/>
        <v>2.3263888888888804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2.262777777777766</v>
      </c>
      <c r="K5" s="23">
        <f>SUMIF(B:B,"西塔台协调席",G:G)+SUMIF(B:B,"东塔台协调席",G:G)</f>
        <v>0</v>
      </c>
      <c r="L5" s="23">
        <f>SUMIF(B:B,"西塔台协调席",H:H)+SUMIF(B:B,"东塔台协调席",H:H)</f>
        <v>2.262777777777766</v>
      </c>
      <c r="M5" s="19"/>
    </row>
    <row r="6" spans="1:16" ht="18.75" x14ac:dyDescent="0.25">
      <c r="A6" s="10">
        <f t="shared" ca="1" si="0"/>
        <v>46086.132505439797</v>
      </c>
      <c r="B6" s="5" t="s">
        <v>61</v>
      </c>
      <c r="C6" s="11">
        <v>0.13250000000000001</v>
      </c>
      <c r="D6" s="11" t="s">
        <v>62</v>
      </c>
      <c r="E6" s="11">
        <v>0.22803240740740699</v>
      </c>
      <c r="F6" s="12">
        <f t="shared" si="1"/>
        <v>2.2927777777777676</v>
      </c>
      <c r="G6" s="13">
        <f t="shared" si="2"/>
        <v>0</v>
      </c>
      <c r="H6" s="13">
        <f t="shared" si="3"/>
        <v>2.2927777777777676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46086.238497800899</v>
      </c>
      <c r="B7" s="5" t="s">
        <v>61</v>
      </c>
      <c r="C7" s="11">
        <v>0.23849537037037</v>
      </c>
      <c r="D7" s="11" t="s">
        <v>62</v>
      </c>
      <c r="E7" s="11">
        <v>0.30040509259259301</v>
      </c>
      <c r="F7" s="12">
        <f t="shared" si="1"/>
        <v>1.4858333333333524</v>
      </c>
      <c r="G7" s="13">
        <f t="shared" si="2"/>
        <v>0</v>
      </c>
      <c r="H7" s="13">
        <f t="shared" si="3"/>
        <v>1.4858333333333524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46089.0138822917</v>
      </c>
      <c r="B8" s="5" t="s">
        <v>80</v>
      </c>
      <c r="C8" s="11">
        <v>1.3877314814814801E-2</v>
      </c>
      <c r="D8" s="11" t="s">
        <v>62</v>
      </c>
      <c r="E8" s="11">
        <v>9.8553240740740705E-2</v>
      </c>
      <c r="F8" s="12">
        <f t="shared" si="1"/>
        <v>2.0322222222222219</v>
      </c>
      <c r="G8" s="13">
        <f t="shared" si="2"/>
        <v>0</v>
      </c>
      <c r="H8" s="13">
        <f t="shared" si="3"/>
        <v>2.0322222222222219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46089.116239004601</v>
      </c>
      <c r="B9" s="5" t="s">
        <v>82</v>
      </c>
      <c r="C9" s="11">
        <v>0.11623842592592599</v>
      </c>
      <c r="D9" s="11" t="s">
        <v>62</v>
      </c>
      <c r="E9" s="11">
        <v>0.125844907407407</v>
      </c>
      <c r="F9" s="12">
        <f t="shared" si="1"/>
        <v>0.23055555555554419</v>
      </c>
      <c r="G9" s="13">
        <f t="shared" si="2"/>
        <v>0</v>
      </c>
      <c r="H9" s="13">
        <f t="shared" si="3"/>
        <v>0.23055555555554419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46089.965973263897</v>
      </c>
      <c r="B10" s="5" t="s">
        <v>78</v>
      </c>
      <c r="C10" s="11">
        <v>0.96597222222222201</v>
      </c>
      <c r="D10" s="11" t="s">
        <v>62</v>
      </c>
      <c r="E10" s="11">
        <v>0.10871527777777799</v>
      </c>
      <c r="F10" s="12">
        <f t="shared" si="1"/>
        <v>3.4258333333333439</v>
      </c>
      <c r="G10" s="13">
        <f t="shared" si="2"/>
        <v>0.8166666666666722</v>
      </c>
      <c r="H10" s="13">
        <f t="shared" si="3"/>
        <v>2.6091666666666717</v>
      </c>
      <c r="I10" s="21" t="s">
        <v>70</v>
      </c>
      <c r="J10" s="22">
        <f>SUMIF(B:B,"综合协调席",F:F)</f>
        <v>1.8716666666666641</v>
      </c>
      <c r="K10" s="23">
        <f>SUMIF(B:B,"综合协调席",G:G)</f>
        <v>0</v>
      </c>
      <c r="L10" s="23">
        <f>SUMIF(B:B,"综合协调席",H:H)</f>
        <v>1.8716666666666641</v>
      </c>
      <c r="M10" s="19"/>
    </row>
    <row r="11" spans="1:16" ht="18.75" x14ac:dyDescent="0.25">
      <c r="A11" s="10">
        <f t="shared" ca="1" si="0"/>
        <v>46092.353189930604</v>
      </c>
      <c r="B11" s="5" t="s">
        <v>61</v>
      </c>
      <c r="C11" s="11">
        <v>0.35318287037036999</v>
      </c>
      <c r="D11" s="11" t="s">
        <v>62</v>
      </c>
      <c r="E11" s="11">
        <v>0.45415509259259301</v>
      </c>
      <c r="F11" s="12">
        <f t="shared" si="1"/>
        <v>2.4233333333333524</v>
      </c>
      <c r="G11" s="13">
        <f t="shared" si="2"/>
        <v>2.4233333333333524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46092.479280092601</v>
      </c>
      <c r="B12" s="5" t="s">
        <v>61</v>
      </c>
      <c r="C12" s="11">
        <v>0.47927083333333298</v>
      </c>
      <c r="D12" s="11" t="s">
        <v>62</v>
      </c>
      <c r="E12" s="11">
        <v>0.54998842592592601</v>
      </c>
      <c r="F12" s="12">
        <f t="shared" si="1"/>
        <v>1.6972222222222326</v>
      </c>
      <c r="G12" s="13">
        <f t="shared" si="2"/>
        <v>1.6972222222222326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46092.793050347202</v>
      </c>
      <c r="B13" s="5" t="s">
        <v>61</v>
      </c>
      <c r="C13" s="11">
        <v>0.79304398148148103</v>
      </c>
      <c r="D13" s="11" t="s">
        <v>62</v>
      </c>
      <c r="E13" s="11">
        <v>0.94444444444444497</v>
      </c>
      <c r="F13" s="12">
        <f t="shared" si="1"/>
        <v>3.6336111111111347</v>
      </c>
      <c r="G13" s="13">
        <f t="shared" si="2"/>
        <v>3.6336111111111347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46093.293573611103</v>
      </c>
      <c r="B14" s="5" t="s">
        <v>61</v>
      </c>
      <c r="C14" s="11">
        <v>0.293564814814815</v>
      </c>
      <c r="D14" s="11" t="s">
        <v>62</v>
      </c>
      <c r="E14" s="11">
        <v>0.50590277777777803</v>
      </c>
      <c r="F14" s="12">
        <f t="shared" si="1"/>
        <v>5.0961111111111128</v>
      </c>
      <c r="G14" s="13">
        <f t="shared" si="2"/>
        <v>4.1416666666666817</v>
      </c>
      <c r="H14" s="13">
        <f t="shared" si="3"/>
        <v>0.95444444444443155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46093.523046875001</v>
      </c>
      <c r="B15" s="5" t="s">
        <v>61</v>
      </c>
      <c r="C15" s="11">
        <v>0.52304398148148101</v>
      </c>
      <c r="D15" s="11" t="s">
        <v>62</v>
      </c>
      <c r="E15" s="11">
        <v>0.55197916666666702</v>
      </c>
      <c r="F15" s="12">
        <f t="shared" si="1"/>
        <v>0.69444444444446418</v>
      </c>
      <c r="G15" s="13">
        <f t="shared" si="2"/>
        <v>0.69444444444446418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46093.9395141204</v>
      </c>
      <c r="B16" s="5" t="s">
        <v>61</v>
      </c>
      <c r="C16" s="11">
        <v>0.93951388888888898</v>
      </c>
      <c r="D16" s="11" t="s">
        <v>62</v>
      </c>
      <c r="E16" s="11">
        <v>0.139548611111111</v>
      </c>
      <c r="F16" s="12">
        <f t="shared" si="1"/>
        <v>4.800833333333328</v>
      </c>
      <c r="G16" s="13">
        <f t="shared" si="2"/>
        <v>1.451666666666664</v>
      </c>
      <c r="H16" s="13">
        <f t="shared" si="3"/>
        <v>3.349166666666664</v>
      </c>
      <c r="I16" s="35" t="s">
        <v>63</v>
      </c>
      <c r="J16" s="36">
        <f t="shared" ref="J16:L16" si="4">J3</f>
        <v>84.746388888888973</v>
      </c>
      <c r="K16" s="37">
        <f t="shared" si="4"/>
        <v>56.631111111111245</v>
      </c>
      <c r="L16" s="38">
        <f t="shared" si="4"/>
        <v>28.115277777777717</v>
      </c>
      <c r="M16" s="39"/>
    </row>
    <row r="17" spans="1:13" ht="20.25" x14ac:dyDescent="0.25">
      <c r="A17" s="10">
        <f t="shared" ca="1" si="0"/>
        <v>46096.543666203703</v>
      </c>
      <c r="B17" s="5" t="s">
        <v>61</v>
      </c>
      <c r="C17" s="11">
        <v>0.54365740740740698</v>
      </c>
      <c r="D17" s="11" t="s">
        <v>62</v>
      </c>
      <c r="E17" s="11">
        <v>0.79799768518518499</v>
      </c>
      <c r="F17" s="12">
        <f t="shared" si="1"/>
        <v>6.1041666666666723</v>
      </c>
      <c r="G17" s="13">
        <f t="shared" si="2"/>
        <v>6.1041666666666723</v>
      </c>
      <c r="H17" s="13">
        <f t="shared" si="3"/>
        <v>0</v>
      </c>
      <c r="I17" s="35" t="s">
        <v>75</v>
      </c>
      <c r="J17" s="36">
        <f>J4+J5+J6+J7+J10</f>
        <v>7.5602777777777739</v>
      </c>
      <c r="K17" s="37">
        <f>K4+K5+K6+K7+K10</f>
        <v>0.8166666666666722</v>
      </c>
      <c r="L17" s="38">
        <f>L4+L5+L6+L7+L10</f>
        <v>6.7436111111111021</v>
      </c>
      <c r="M17" s="39"/>
    </row>
    <row r="18" spans="1:13" ht="20.25" x14ac:dyDescent="0.25">
      <c r="A18" s="10">
        <f t="shared" ca="1" si="0"/>
        <v>46097.133275925902</v>
      </c>
      <c r="B18" s="5" t="s">
        <v>61</v>
      </c>
      <c r="C18" s="11">
        <v>0.133275462962963</v>
      </c>
      <c r="D18" s="11" t="s">
        <v>62</v>
      </c>
      <c r="E18" s="11">
        <v>0.29834490740740699</v>
      </c>
      <c r="F18" s="12">
        <f t="shared" si="1"/>
        <v>3.9616666666666558</v>
      </c>
      <c r="G18" s="13">
        <f t="shared" si="2"/>
        <v>0</v>
      </c>
      <c r="H18" s="13">
        <f t="shared" si="3"/>
        <v>3.9616666666666558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46097.792348148098</v>
      </c>
      <c r="B19" s="5" t="s">
        <v>61</v>
      </c>
      <c r="C19" s="11">
        <v>0.79233796296296299</v>
      </c>
      <c r="D19" s="11" t="s">
        <v>62</v>
      </c>
      <c r="E19" s="11">
        <v>0.94465277777777801</v>
      </c>
      <c r="F19" s="12">
        <f t="shared" si="1"/>
        <v>3.6555555555555603</v>
      </c>
      <c r="G19" s="13">
        <f t="shared" si="2"/>
        <v>3.6555555555555603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46098.293163078699</v>
      </c>
      <c r="B20" s="5" t="s">
        <v>61</v>
      </c>
      <c r="C20" s="11">
        <v>0.29315972222222197</v>
      </c>
      <c r="D20" s="11" t="s">
        <v>62</v>
      </c>
      <c r="E20" s="11">
        <v>0.36583333333333301</v>
      </c>
      <c r="F20" s="12">
        <f t="shared" si="1"/>
        <v>1.7441666666666649</v>
      </c>
      <c r="G20" s="13">
        <f t="shared" si="2"/>
        <v>0.78000000000000069</v>
      </c>
      <c r="H20" s="13">
        <f t="shared" si="3"/>
        <v>0.96416666666666417</v>
      </c>
      <c r="I20" s="40" t="s">
        <v>77</v>
      </c>
      <c r="J20" s="65">
        <f>J16+J17+J18+J19</f>
        <v>92.306666666666743</v>
      </c>
      <c r="K20" s="66"/>
      <c r="L20" s="67"/>
      <c r="M20" s="41"/>
    </row>
    <row r="21" spans="1:13" ht="20.25" x14ac:dyDescent="0.25">
      <c r="A21" s="10">
        <f t="shared" ca="1" si="0"/>
        <v>46100.938058564803</v>
      </c>
      <c r="B21" s="5" t="s">
        <v>61</v>
      </c>
      <c r="C21" s="11">
        <v>0.93805555555555598</v>
      </c>
      <c r="D21" s="11" t="s">
        <v>62</v>
      </c>
      <c r="E21" s="11">
        <v>0.14005787037037001</v>
      </c>
      <c r="F21" s="12">
        <f t="shared" si="1"/>
        <v>4.8480555555555371</v>
      </c>
      <c r="G21" s="13">
        <f t="shared" si="2"/>
        <v>1.4866666666666566</v>
      </c>
      <c r="H21" s="13">
        <f t="shared" si="3"/>
        <v>3.3613888888888805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46101.5437052083</v>
      </c>
      <c r="B22" s="5" t="s">
        <v>61</v>
      </c>
      <c r="C22" s="11">
        <v>0.54370370370370402</v>
      </c>
      <c r="D22" s="11" t="s">
        <v>62</v>
      </c>
      <c r="E22" s="11">
        <v>0.565081018518519</v>
      </c>
      <c r="F22" s="12">
        <f t="shared" si="1"/>
        <v>0.51305555555555937</v>
      </c>
      <c r="G22" s="13">
        <f t="shared" si="2"/>
        <v>0.51305555555555937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46101.579292361101</v>
      </c>
      <c r="B23" s="5" t="s">
        <v>61</v>
      </c>
      <c r="C23" s="11">
        <v>0.579282407407407</v>
      </c>
      <c r="D23" s="11" t="s">
        <v>62</v>
      </c>
      <c r="E23" s="11">
        <v>0.801377314814815</v>
      </c>
      <c r="F23" s="12">
        <f t="shared" si="1"/>
        <v>5.3302777777777921</v>
      </c>
      <c r="G23" s="13">
        <f t="shared" si="2"/>
        <v>5.3302777777777921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46102.130394791697</v>
      </c>
      <c r="B24" s="5" t="s">
        <v>61</v>
      </c>
      <c r="C24" s="11">
        <v>0.13039351851851899</v>
      </c>
      <c r="D24" s="11" t="s">
        <v>62</v>
      </c>
      <c r="E24" s="11">
        <v>0.30070601851851902</v>
      </c>
      <c r="F24" s="12">
        <f t="shared" si="1"/>
        <v>4.0875000000000004</v>
      </c>
      <c r="G24" s="13">
        <f t="shared" si="2"/>
        <v>0</v>
      </c>
      <c r="H24" s="13">
        <f t="shared" si="3"/>
        <v>4.0875000000000004</v>
      </c>
      <c r="I24"/>
      <c r="J24"/>
    </row>
    <row r="25" spans="1:13" ht="18.75" x14ac:dyDescent="0.15">
      <c r="A25" s="10">
        <f t="shared" ca="1" si="0"/>
        <v>46105.134592361101</v>
      </c>
      <c r="B25" s="5" t="s">
        <v>85</v>
      </c>
      <c r="C25" s="11">
        <v>0.134699074074074</v>
      </c>
      <c r="D25" s="11" t="s">
        <v>62</v>
      </c>
      <c r="E25" s="11">
        <v>0.21268518518518501</v>
      </c>
      <c r="F25" s="12">
        <f t="shared" si="1"/>
        <v>1.8716666666666641</v>
      </c>
      <c r="G25" s="13">
        <f t="shared" si="2"/>
        <v>0</v>
      </c>
      <c r="H25" s="13">
        <f t="shared" si="3"/>
        <v>1.8716666666666641</v>
      </c>
      <c r="I25"/>
      <c r="J25"/>
    </row>
    <row r="26" spans="1:13" ht="18.75" x14ac:dyDescent="0.15">
      <c r="A26" s="10">
        <f t="shared" ca="1" si="0"/>
        <v>46108.358308217597</v>
      </c>
      <c r="B26" s="5" t="s">
        <v>61</v>
      </c>
      <c r="C26" s="11">
        <v>0.358298611111111</v>
      </c>
      <c r="D26" s="11" t="s">
        <v>62</v>
      </c>
      <c r="E26" s="11">
        <v>0.55105324074074102</v>
      </c>
      <c r="F26" s="12">
        <f t="shared" si="1"/>
        <v>4.6261111111111202</v>
      </c>
      <c r="G26" s="13">
        <f t="shared" si="2"/>
        <v>4.6261111111111202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46108.792030902798</v>
      </c>
      <c r="B27" s="5" t="s">
        <v>61</v>
      </c>
      <c r="C27" s="11">
        <v>0.79202546296296295</v>
      </c>
      <c r="D27" s="11" t="s">
        <v>62</v>
      </c>
      <c r="E27" s="11">
        <v>0.94652777777777797</v>
      </c>
      <c r="F27" s="12">
        <f t="shared" si="1"/>
        <v>3.7080555555555605</v>
      </c>
      <c r="G27" s="13">
        <f t="shared" si="2"/>
        <v>3.7080555555555605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46109.293917476898</v>
      </c>
      <c r="B28" s="5" t="s">
        <v>61</v>
      </c>
      <c r="C28" s="11">
        <v>0.293912037037037</v>
      </c>
      <c r="D28" s="11" t="s">
        <v>62</v>
      </c>
      <c r="E28" s="11">
        <v>0.54988425925925899</v>
      </c>
      <c r="F28" s="12">
        <f t="shared" si="1"/>
        <v>6.1433333333333273</v>
      </c>
      <c r="G28" s="13">
        <f t="shared" si="2"/>
        <v>5.1972222222222237</v>
      </c>
      <c r="H28" s="13">
        <f t="shared" si="3"/>
        <v>0.94611111111110358</v>
      </c>
      <c r="I28"/>
      <c r="J28"/>
    </row>
    <row r="29" spans="1:13" ht="18.75" x14ac:dyDescent="0.15">
      <c r="A29" s="10">
        <f t="shared" ca="1" si="0"/>
        <v>46109.937875925898</v>
      </c>
      <c r="B29" s="5" t="s">
        <v>61</v>
      </c>
      <c r="C29" s="11">
        <v>0.93787037037037002</v>
      </c>
      <c r="D29" s="11" t="s">
        <v>62</v>
      </c>
      <c r="E29" s="11">
        <v>0.13944444444444401</v>
      </c>
      <c r="F29" s="12">
        <f t="shared" si="1"/>
        <v>4.8377777777777755</v>
      </c>
      <c r="G29" s="13">
        <f t="shared" si="2"/>
        <v>1.4911111111111195</v>
      </c>
      <c r="H29" s="13">
        <f t="shared" si="3"/>
        <v>3.346666666666656</v>
      </c>
      <c r="I29"/>
      <c r="J29"/>
    </row>
    <row r="30" spans="1:13" ht="18.75" x14ac:dyDescent="0.15">
      <c r="A30" s="10">
        <f t="shared" ca="1" si="0"/>
        <v>46112.6335944444</v>
      </c>
      <c r="B30" s="5" t="s">
        <v>61</v>
      </c>
      <c r="C30" s="11">
        <v>0.63358796296296305</v>
      </c>
      <c r="D30" s="11" t="s">
        <v>62</v>
      </c>
      <c r="E30" s="11">
        <v>0.65243055555555596</v>
      </c>
      <c r="F30" s="12">
        <f t="shared" si="1"/>
        <v>0.45222222222222985</v>
      </c>
      <c r="G30" s="13">
        <f t="shared" si="2"/>
        <v>0.45222222222222985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46112.727044213003</v>
      </c>
      <c r="B31" s="5" t="s">
        <v>61</v>
      </c>
      <c r="C31" s="11">
        <v>0.72703703703703704</v>
      </c>
      <c r="D31" s="11" t="s">
        <v>62</v>
      </c>
      <c r="E31" s="11">
        <v>0.80409722222222202</v>
      </c>
      <c r="F31" s="12">
        <f t="shared" si="1"/>
        <v>1.8494444444444396</v>
      </c>
      <c r="G31" s="13">
        <f t="shared" si="2"/>
        <v>1.8494444444444396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="85" zoomScaleNormal="85" workbookViewId="0">
      <selection activeCell="I33" sqref="I33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46082.1329311343</v>
      </c>
      <c r="B3" s="5" t="s">
        <v>84</v>
      </c>
      <c r="C3" s="11">
        <v>0.132928240740741</v>
      </c>
      <c r="D3" s="11" t="s">
        <v>62</v>
      </c>
      <c r="E3" s="11">
        <v>0.216423611111111</v>
      </c>
      <c r="F3" s="12">
        <f t="shared" ref="F3:F42" si="1">(IF(E3-C3&lt;0,"24:00"-C3+E3,E3-C3))*24</f>
        <v>2.0038888888888797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2.0038888888888797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46084.502827546297</v>
      </c>
      <c r="B4" s="5" t="s">
        <v>82</v>
      </c>
      <c r="C4" s="11">
        <v>0.50282407407407403</v>
      </c>
      <c r="D4" s="11" t="s">
        <v>62</v>
      </c>
      <c r="E4" s="11">
        <v>0.63200231481481495</v>
      </c>
      <c r="F4" s="12">
        <f t="shared" si="1"/>
        <v>3.1002777777777819</v>
      </c>
      <c r="G4" s="13">
        <f t="shared" si="2"/>
        <v>3.1002777777777819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36.395555555555632</v>
      </c>
      <c r="K4" s="23">
        <f>SUMIF(B:B,"西塔台管制席",G:G)+SUMIF(B:B,"东塔台管制席",G:G)</f>
        <v>20.207777777777856</v>
      </c>
      <c r="L4" s="23">
        <f>SUMIF(B:B,"西塔台管制席",H:H)+SUMIF(B:B,"东塔台管制席",H:H)</f>
        <v>16.187777777777768</v>
      </c>
      <c r="M4" s="19"/>
    </row>
    <row r="5" spans="1:16" ht="18.75" x14ac:dyDescent="0.25">
      <c r="A5" s="10">
        <f t="shared" ca="1" si="0"/>
        <v>46084.7520798611</v>
      </c>
      <c r="B5" s="5" t="s">
        <v>78</v>
      </c>
      <c r="C5" s="11">
        <v>0.75207175925925895</v>
      </c>
      <c r="D5" s="11" t="s">
        <v>62</v>
      </c>
      <c r="E5" s="11">
        <v>0.88064814814814796</v>
      </c>
      <c r="F5" s="12">
        <f t="shared" si="1"/>
        <v>3.0858333333333361</v>
      </c>
      <c r="G5" s="13">
        <f t="shared" si="2"/>
        <v>3.0858333333333361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29.406666666666645</v>
      </c>
      <c r="K5" s="23">
        <f>SUMIF(B:B,"西塔台协调席",G:G)+SUMIF(B:B,"东塔台协调席",G:G)</f>
        <v>28.135277777777784</v>
      </c>
      <c r="L5" s="23">
        <f>SUMIF(B:B,"西塔台协调席",H:H)+SUMIF(B:B,"东塔台协调席",H:H)</f>
        <v>1.2713888888888634</v>
      </c>
      <c r="M5" s="19"/>
    </row>
    <row r="6" spans="1:16" ht="18.75" x14ac:dyDescent="0.25">
      <c r="A6" s="10">
        <f t="shared" ca="1" si="0"/>
        <v>46085.4193177083</v>
      </c>
      <c r="B6" s="5" t="s">
        <v>80</v>
      </c>
      <c r="C6" s="11">
        <v>0.41862268518518497</v>
      </c>
      <c r="D6" s="11" t="s">
        <v>62</v>
      </c>
      <c r="E6" s="11">
        <v>0.51262731481481505</v>
      </c>
      <c r="F6" s="12">
        <f t="shared" si="1"/>
        <v>2.2561111111111218</v>
      </c>
      <c r="G6" s="13">
        <f t="shared" si="2"/>
        <v>2.2561111111111218</v>
      </c>
      <c r="H6" s="13">
        <f t="shared" si="3"/>
        <v>0</v>
      </c>
      <c r="I6" s="21" t="s">
        <v>66</v>
      </c>
      <c r="J6" s="22">
        <f>SUMIF(B:B,"放行席",F:F)</f>
        <v>4.1044444444444315</v>
      </c>
      <c r="K6" s="23">
        <f>SUMIF(B:B,"放行席",G:G)</f>
        <v>0</v>
      </c>
      <c r="L6" s="23">
        <f>SUMIF(B:B,"放行席",H:H)</f>
        <v>4.1044444444444315</v>
      </c>
      <c r="M6" s="19"/>
    </row>
    <row r="7" spans="1:16" ht="18.75" x14ac:dyDescent="0.25">
      <c r="A7" s="10">
        <f t="shared" ca="1" si="0"/>
        <v>46085.626901620402</v>
      </c>
      <c r="B7" s="5" t="s">
        <v>83</v>
      </c>
      <c r="C7" s="11">
        <v>0.62689814814814804</v>
      </c>
      <c r="D7" s="11" t="s">
        <v>62</v>
      </c>
      <c r="E7" s="11">
        <v>0.75670138888888905</v>
      </c>
      <c r="F7" s="12">
        <f t="shared" si="1"/>
        <v>3.1152777777777843</v>
      </c>
      <c r="G7" s="13">
        <f t="shared" si="2"/>
        <v>3.1152777777777843</v>
      </c>
      <c r="H7" s="13">
        <f t="shared" si="3"/>
        <v>0</v>
      </c>
      <c r="I7" s="21" t="s">
        <v>67</v>
      </c>
      <c r="J7" s="22">
        <f>SUMIF(B:B,"地面席",F:F)</f>
        <v>4.0316666666666876</v>
      </c>
      <c r="K7" s="23">
        <f>SUMIF(B:B,"地面席",G:G)</f>
        <v>0</v>
      </c>
      <c r="L7" s="23">
        <f>SUMIF(B:B,"地面席",H:H)</f>
        <v>4.0316666666666876</v>
      </c>
      <c r="M7" s="19"/>
    </row>
    <row r="8" spans="1:16" ht="18.75" x14ac:dyDescent="0.25">
      <c r="A8" s="10">
        <f t="shared" ca="1" si="0"/>
        <v>46085.834178356497</v>
      </c>
      <c r="B8" s="5" t="s">
        <v>82</v>
      </c>
      <c r="C8" s="11">
        <v>0.83417824074074098</v>
      </c>
      <c r="D8" s="11" t="s">
        <v>62</v>
      </c>
      <c r="E8" s="11">
        <v>0.96306712962963004</v>
      </c>
      <c r="F8" s="12">
        <f t="shared" si="1"/>
        <v>3.0933333333333373</v>
      </c>
      <c r="G8" s="13">
        <f t="shared" si="2"/>
        <v>3.0933333333333373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46086.3004155093</v>
      </c>
      <c r="B9" s="5" t="s">
        <v>78</v>
      </c>
      <c r="C9" s="11">
        <v>0.30040509259259301</v>
      </c>
      <c r="D9" s="11" t="s">
        <v>62</v>
      </c>
      <c r="E9" s="11">
        <v>0.35870370370370402</v>
      </c>
      <c r="F9" s="12">
        <f t="shared" si="1"/>
        <v>1.3991666666666642</v>
      </c>
      <c r="G9" s="13">
        <f t="shared" si="2"/>
        <v>0.60888888888890502</v>
      </c>
      <c r="H9" s="13">
        <f t="shared" si="3"/>
        <v>0.7902777777777592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46089.013829629599</v>
      </c>
      <c r="B10" s="5" t="s">
        <v>83</v>
      </c>
      <c r="C10" s="11">
        <v>1.38194444444444E-2</v>
      </c>
      <c r="D10" s="11" t="s">
        <v>62</v>
      </c>
      <c r="E10" s="11">
        <v>9.8935185185185195E-2</v>
      </c>
      <c r="F10" s="12">
        <f t="shared" si="1"/>
        <v>2.0427777777777791</v>
      </c>
      <c r="G10" s="13">
        <f t="shared" si="2"/>
        <v>0</v>
      </c>
      <c r="H10" s="13">
        <f t="shared" si="3"/>
        <v>2.0427777777777791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46089.098962962998</v>
      </c>
      <c r="B11" s="5" t="s">
        <v>78</v>
      </c>
      <c r="C11" s="11">
        <v>9.8958333333333301E-2</v>
      </c>
      <c r="D11" s="11" t="s">
        <v>62</v>
      </c>
      <c r="E11" s="11">
        <v>0.14409722222222199</v>
      </c>
      <c r="F11" s="12">
        <f t="shared" si="1"/>
        <v>1.0833333333333286</v>
      </c>
      <c r="G11" s="13">
        <f t="shared" si="2"/>
        <v>0</v>
      </c>
      <c r="H11" s="13">
        <f t="shared" si="3"/>
        <v>1.0833333333333286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46093.139757638899</v>
      </c>
      <c r="B12" s="5" t="s">
        <v>81</v>
      </c>
      <c r="C12" s="11">
        <v>0.139756944444444</v>
      </c>
      <c r="D12" s="11" t="s">
        <v>62</v>
      </c>
      <c r="E12" s="11">
        <v>0.22251157407407399</v>
      </c>
      <c r="F12" s="12">
        <f t="shared" si="1"/>
        <v>1.9861111111111196</v>
      </c>
      <c r="G12" s="13">
        <f t="shared" si="2"/>
        <v>0</v>
      </c>
      <c r="H12" s="13">
        <f t="shared" si="3"/>
        <v>1.9861111111111196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46094.141776620403</v>
      </c>
      <c r="B13" s="5" t="s">
        <v>78</v>
      </c>
      <c r="C13" s="11">
        <v>0.14177083333333301</v>
      </c>
      <c r="D13" s="11" t="s">
        <v>62</v>
      </c>
      <c r="E13" s="11">
        <v>0.30616898148148097</v>
      </c>
      <c r="F13" s="12">
        <f t="shared" si="1"/>
        <v>3.945555555555551</v>
      </c>
      <c r="G13" s="13">
        <f t="shared" si="2"/>
        <v>0</v>
      </c>
      <c r="H13" s="13">
        <f t="shared" si="3"/>
        <v>3.945555555555551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46096.506339467604</v>
      </c>
      <c r="B14" s="5" t="s">
        <v>82</v>
      </c>
      <c r="C14" s="11">
        <v>0.35424768518518501</v>
      </c>
      <c r="D14" s="11" t="s">
        <v>62</v>
      </c>
      <c r="E14" s="11">
        <v>0.50641203703703697</v>
      </c>
      <c r="F14" s="12">
        <f t="shared" si="1"/>
        <v>3.6519444444444469</v>
      </c>
      <c r="G14" s="13">
        <f t="shared" si="2"/>
        <v>3.6519444444444469</v>
      </c>
      <c r="H14" s="13">
        <f t="shared" si="3"/>
        <v>0</v>
      </c>
      <c r="I14" s="69"/>
      <c r="J14" s="69"/>
      <c r="K14" s="69"/>
      <c r="L14" s="69"/>
      <c r="M14" s="69"/>
    </row>
    <row r="15" spans="1:16" ht="20.25" x14ac:dyDescent="0.25">
      <c r="A15" s="10">
        <f t="shared" ca="1" si="0"/>
        <v>46096.626611226799</v>
      </c>
      <c r="B15" s="5" t="s">
        <v>78</v>
      </c>
      <c r="C15" s="11">
        <v>0.62660879629629596</v>
      </c>
      <c r="D15" s="11" t="s">
        <v>62</v>
      </c>
      <c r="E15" s="11">
        <v>0.75484953703703705</v>
      </c>
      <c r="F15" s="12">
        <f t="shared" si="1"/>
        <v>3.0777777777777864</v>
      </c>
      <c r="G15" s="13">
        <f t="shared" si="2"/>
        <v>3.0777777777777864</v>
      </c>
      <c r="H15" s="13">
        <f t="shared" si="3"/>
        <v>0</v>
      </c>
      <c r="I15" s="35" t="s">
        <v>63</v>
      </c>
      <c r="J15" s="36">
        <f>J3</f>
        <v>0</v>
      </c>
      <c r="K15" s="37">
        <f>K3</f>
        <v>0</v>
      </c>
      <c r="L15" s="38">
        <f>L3</f>
        <v>0</v>
      </c>
      <c r="M15" s="39"/>
    </row>
    <row r="16" spans="1:16" ht="20.25" x14ac:dyDescent="0.25">
      <c r="A16" s="10">
        <f t="shared" ca="1" si="0"/>
        <v>46096.876179976898</v>
      </c>
      <c r="B16" s="5" t="s">
        <v>82</v>
      </c>
      <c r="C16" s="11">
        <v>0.87618055555555596</v>
      </c>
      <c r="D16" s="11" t="s">
        <v>62</v>
      </c>
      <c r="E16" s="11">
        <v>0.96357638888888897</v>
      </c>
      <c r="F16" s="12">
        <f t="shared" si="1"/>
        <v>2.0974999999999921</v>
      </c>
      <c r="G16" s="13">
        <f t="shared" si="2"/>
        <v>2.0974999999999921</v>
      </c>
      <c r="H16" s="13">
        <f t="shared" si="3"/>
        <v>0</v>
      </c>
      <c r="I16" s="35" t="s">
        <v>75</v>
      </c>
      <c r="J16" s="36">
        <f>J4+J5+J6+J7+J10</f>
        <v>73.938333333333389</v>
      </c>
      <c r="K16" s="37">
        <f>K4+K5+K6+K7+K10</f>
        <v>48.343055555555637</v>
      </c>
      <c r="L16" s="38">
        <f>L4+L5+L6+L7+L10</f>
        <v>25.595277777777753</v>
      </c>
      <c r="M16" s="39"/>
    </row>
    <row r="17" spans="1:13" ht="20.25" x14ac:dyDescent="0.25">
      <c r="A17" s="10">
        <f t="shared" ca="1" si="0"/>
        <v>46097.300283796299</v>
      </c>
      <c r="B17" s="5" t="s">
        <v>80</v>
      </c>
      <c r="C17" s="11">
        <v>0.30027777777777798</v>
      </c>
      <c r="D17" s="11" t="s">
        <v>62</v>
      </c>
      <c r="E17" s="11">
        <v>0.32020833333333298</v>
      </c>
      <c r="F17" s="12">
        <f t="shared" si="1"/>
        <v>0.47833333333332018</v>
      </c>
      <c r="G17" s="13">
        <f t="shared" si="2"/>
        <v>0</v>
      </c>
      <c r="H17" s="13">
        <f t="shared" si="3"/>
        <v>0.47833333333332018</v>
      </c>
      <c r="I17" s="35" t="s">
        <v>71</v>
      </c>
      <c r="J17" s="36">
        <f t="shared" ref="J17:L18" si="4">J11</f>
        <v>0</v>
      </c>
      <c r="K17" s="37">
        <f t="shared" si="4"/>
        <v>0</v>
      </c>
      <c r="L17" s="38">
        <f t="shared" si="4"/>
        <v>0</v>
      </c>
      <c r="M17" s="39"/>
    </row>
    <row r="18" spans="1:13" ht="20.25" x14ac:dyDescent="0.25">
      <c r="A18" s="10">
        <f t="shared" ca="1" si="0"/>
        <v>46097.320229745397</v>
      </c>
      <c r="B18" s="5" t="s">
        <v>78</v>
      </c>
      <c r="C18" s="11">
        <v>0.32021990740740702</v>
      </c>
      <c r="D18" s="11" t="s">
        <v>62</v>
      </c>
      <c r="E18" s="11">
        <v>0.42427083333333299</v>
      </c>
      <c r="F18" s="12">
        <f t="shared" si="1"/>
        <v>2.4972222222222231</v>
      </c>
      <c r="G18" s="13">
        <f t="shared" si="2"/>
        <v>2.1825000000000001</v>
      </c>
      <c r="H18" s="13">
        <f t="shared" si="3"/>
        <v>0.31472222222222301</v>
      </c>
      <c r="I18" s="35" t="s">
        <v>76</v>
      </c>
      <c r="J18" s="36">
        <f t="shared" si="4"/>
        <v>0</v>
      </c>
      <c r="K18" s="37">
        <f t="shared" si="4"/>
        <v>0</v>
      </c>
      <c r="L18" s="38">
        <f t="shared" si="4"/>
        <v>0</v>
      </c>
      <c r="M18" s="39"/>
    </row>
    <row r="19" spans="1:13" ht="20.25" x14ac:dyDescent="0.15">
      <c r="A19" s="10">
        <f t="shared" ca="1" si="0"/>
        <v>46097.501872685199</v>
      </c>
      <c r="B19" s="5" t="s">
        <v>82</v>
      </c>
      <c r="C19" s="11">
        <v>0.50186342592592603</v>
      </c>
      <c r="D19" s="11" t="s">
        <v>62</v>
      </c>
      <c r="E19" s="11">
        <v>0.63077546296296305</v>
      </c>
      <c r="F19" s="12">
        <f t="shared" si="1"/>
        <v>3.0938888888888885</v>
      </c>
      <c r="G19" s="13">
        <f t="shared" si="2"/>
        <v>3.0938888888888885</v>
      </c>
      <c r="H19" s="13">
        <f t="shared" si="3"/>
        <v>0</v>
      </c>
      <c r="I19" s="40" t="s">
        <v>77</v>
      </c>
      <c r="J19" s="65">
        <f>J15+J16+J17+J18</f>
        <v>73.938333333333389</v>
      </c>
      <c r="K19" s="66"/>
      <c r="L19" s="67"/>
      <c r="M19" s="41"/>
    </row>
    <row r="20" spans="1:13" ht="20.25" x14ac:dyDescent="0.25">
      <c r="A20" s="10">
        <f t="shared" ca="1" si="0"/>
        <v>46097.753089814803</v>
      </c>
      <c r="B20" s="5" t="s">
        <v>78</v>
      </c>
      <c r="C20" s="11">
        <v>0.75309027777777804</v>
      </c>
      <c r="D20" s="11" t="s">
        <v>62</v>
      </c>
      <c r="E20" s="11">
        <v>0.83944444444444499</v>
      </c>
      <c r="F20" s="12">
        <f t="shared" si="1"/>
        <v>2.0725000000000069</v>
      </c>
      <c r="G20" s="13">
        <f t="shared" si="2"/>
        <v>2.0725000000000069</v>
      </c>
      <c r="H20" s="13">
        <f t="shared" si="3"/>
        <v>0</v>
      </c>
      <c r="I20" s="42" t="s">
        <v>4</v>
      </c>
      <c r="J20" s="43">
        <f>SUM(J8:J9)</f>
        <v>0</v>
      </c>
      <c r="K20" s="37">
        <f>SUM(K8:K9)</f>
        <v>0</v>
      </c>
      <c r="L20" s="38">
        <f>SUM(L8:L9)</f>
        <v>0</v>
      </c>
      <c r="M20" s="44"/>
    </row>
    <row r="21" spans="1:13" ht="18.75" x14ac:dyDescent="0.15">
      <c r="A21" s="10">
        <f t="shared" ca="1" si="0"/>
        <v>46101.139764236097</v>
      </c>
      <c r="B21" s="5" t="s">
        <v>81</v>
      </c>
      <c r="C21" s="11">
        <v>0.139756944444444</v>
      </c>
      <c r="D21" s="11" t="s">
        <v>62</v>
      </c>
      <c r="E21" s="11">
        <v>0.22498842592592599</v>
      </c>
      <c r="F21" s="12">
        <f t="shared" si="1"/>
        <v>2.045555555555568</v>
      </c>
      <c r="G21" s="13">
        <f t="shared" si="2"/>
        <v>0</v>
      </c>
      <c r="H21" s="13">
        <f t="shared" si="3"/>
        <v>2.045555555555568</v>
      </c>
      <c r="I21"/>
      <c r="J21"/>
    </row>
    <row r="22" spans="1:13" ht="18.75" x14ac:dyDescent="0.15">
      <c r="A22" s="10">
        <f t="shared" ca="1" si="0"/>
        <v>46102.142845601898</v>
      </c>
      <c r="B22" s="5" t="s">
        <v>83</v>
      </c>
      <c r="C22" s="11">
        <v>0.13866898148148099</v>
      </c>
      <c r="D22" s="11" t="s">
        <v>62</v>
      </c>
      <c r="E22" s="11">
        <v>0.187210648148148</v>
      </c>
      <c r="F22" s="12">
        <f t="shared" si="1"/>
        <v>1.1650000000000083</v>
      </c>
      <c r="G22" s="13">
        <f t="shared" si="2"/>
        <v>0</v>
      </c>
      <c r="H22" s="13">
        <f t="shared" si="3"/>
        <v>1.1650000000000083</v>
      </c>
      <c r="I22"/>
      <c r="J22"/>
    </row>
    <row r="23" spans="1:13" ht="18.75" x14ac:dyDescent="0.15">
      <c r="A23" s="10">
        <f t="shared" ca="1" si="0"/>
        <v>46102.226573495398</v>
      </c>
      <c r="B23" s="5" t="s">
        <v>83</v>
      </c>
      <c r="C23" s="11">
        <v>0.2265625</v>
      </c>
      <c r="D23" s="11" t="s">
        <v>62</v>
      </c>
      <c r="E23" s="11">
        <v>0.36383101851851901</v>
      </c>
      <c r="F23" s="12">
        <f t="shared" si="1"/>
        <v>3.2944444444444563</v>
      </c>
      <c r="G23" s="13">
        <f t="shared" si="2"/>
        <v>0.73194444444446471</v>
      </c>
      <c r="H23" s="13">
        <f t="shared" si="3"/>
        <v>2.5624999999999916</v>
      </c>
      <c r="I23"/>
      <c r="J23"/>
    </row>
    <row r="24" spans="1:13" ht="18.75" x14ac:dyDescent="0.15">
      <c r="A24" s="10">
        <f t="shared" ca="1" si="0"/>
        <v>46105.140022916697</v>
      </c>
      <c r="B24" s="5" t="s">
        <v>83</v>
      </c>
      <c r="C24" s="11">
        <v>0.14002314814814801</v>
      </c>
      <c r="D24" s="11" t="s">
        <v>62</v>
      </c>
      <c r="E24" s="11">
        <v>0.232164351851852</v>
      </c>
      <c r="F24" s="12">
        <f t="shared" si="1"/>
        <v>2.2113888888888957</v>
      </c>
      <c r="G24" s="13">
        <f t="shared" si="2"/>
        <v>0</v>
      </c>
      <c r="H24" s="13">
        <f t="shared" si="3"/>
        <v>2.2113888888888957</v>
      </c>
      <c r="I24"/>
      <c r="J24"/>
    </row>
    <row r="25" spans="1:13" ht="18.75" x14ac:dyDescent="0.15">
      <c r="A25" s="10">
        <f t="shared" ca="1" si="0"/>
        <v>46106.133427314802</v>
      </c>
      <c r="B25" s="5" t="s">
        <v>84</v>
      </c>
      <c r="C25" s="11">
        <v>0.133425925925926</v>
      </c>
      <c r="D25" s="11" t="s">
        <v>62</v>
      </c>
      <c r="E25" s="11">
        <v>0.22094907407407399</v>
      </c>
      <c r="F25" s="12">
        <f t="shared" si="1"/>
        <v>2.1005555555555517</v>
      </c>
      <c r="G25" s="13">
        <f t="shared" si="2"/>
        <v>0</v>
      </c>
      <c r="H25" s="13">
        <f t="shared" si="3"/>
        <v>2.1005555555555517</v>
      </c>
      <c r="I25"/>
      <c r="J25"/>
    </row>
    <row r="26" spans="1:13" ht="18.75" x14ac:dyDescent="0.15">
      <c r="A26" s="10">
        <f t="shared" ca="1" si="0"/>
        <v>46106.220990162001</v>
      </c>
      <c r="B26" s="5" t="s">
        <v>78</v>
      </c>
      <c r="C26" s="11">
        <v>0.220983796296296</v>
      </c>
      <c r="D26" s="11" t="s">
        <v>62</v>
      </c>
      <c r="E26" s="11">
        <v>0.30732638888888902</v>
      </c>
      <c r="F26" s="12">
        <f t="shared" si="1"/>
        <v>2.0722222222222326</v>
      </c>
      <c r="G26" s="13">
        <f t="shared" si="2"/>
        <v>0</v>
      </c>
      <c r="H26" s="13">
        <f t="shared" si="3"/>
        <v>2.0722222222222326</v>
      </c>
      <c r="I26"/>
      <c r="J26"/>
    </row>
    <row r="27" spans="1:13" ht="18.75" x14ac:dyDescent="0.15">
      <c r="A27" s="10">
        <f t="shared" ca="1" si="0"/>
        <v>46108.505238773098</v>
      </c>
      <c r="B27" s="5" t="s">
        <v>82</v>
      </c>
      <c r="C27" s="11">
        <v>0.505231481481481</v>
      </c>
      <c r="D27" s="11" t="s">
        <v>62</v>
      </c>
      <c r="E27" s="11">
        <v>0.63180555555555595</v>
      </c>
      <c r="F27" s="12">
        <f t="shared" si="1"/>
        <v>3.0377777777777988</v>
      </c>
      <c r="G27" s="13">
        <f t="shared" si="2"/>
        <v>3.0377777777777988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46108.753670138904</v>
      </c>
      <c r="B28" s="5" t="s">
        <v>82</v>
      </c>
      <c r="C28" s="11">
        <v>0.75366898148148198</v>
      </c>
      <c r="D28" s="11" t="s">
        <v>62</v>
      </c>
      <c r="E28" s="11">
        <v>0.88126157407407402</v>
      </c>
      <c r="F28" s="12">
        <f t="shared" si="1"/>
        <v>3.0622222222222089</v>
      </c>
      <c r="G28" s="13">
        <f t="shared" si="2"/>
        <v>3.0622222222222089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46109.418257175901</v>
      </c>
      <c r="B29" s="5" t="s">
        <v>83</v>
      </c>
      <c r="C29" s="11">
        <v>0.41825231481481501</v>
      </c>
      <c r="D29" s="11" t="s">
        <v>62</v>
      </c>
      <c r="E29" s="11">
        <v>0.50748842592592602</v>
      </c>
      <c r="F29" s="12">
        <f t="shared" si="1"/>
        <v>2.1416666666666644</v>
      </c>
      <c r="G29" s="13">
        <f t="shared" si="2"/>
        <v>2.1416666666666644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46109.627142708297</v>
      </c>
      <c r="B30" s="5" t="s">
        <v>80</v>
      </c>
      <c r="C30" s="11">
        <v>0.62714120370370396</v>
      </c>
      <c r="D30" s="11" t="s">
        <v>62</v>
      </c>
      <c r="E30" s="11">
        <v>0.75788194444444401</v>
      </c>
      <c r="F30" s="12">
        <f t="shared" si="1"/>
        <v>3.1377777777777611</v>
      </c>
      <c r="G30" s="13">
        <f t="shared" si="2"/>
        <v>3.1377777777777611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46109.832887037002</v>
      </c>
      <c r="B31" s="5" t="s">
        <v>83</v>
      </c>
      <c r="C31" s="11">
        <v>0.83288194444444397</v>
      </c>
      <c r="D31" s="11" t="s">
        <v>62</v>
      </c>
      <c r="E31" s="11">
        <v>0.96585648148148195</v>
      </c>
      <c r="F31" s="12">
        <f t="shared" si="1"/>
        <v>3.1913888888889117</v>
      </c>
      <c r="G31" s="13">
        <f t="shared" si="2"/>
        <v>3.1913888888889117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46110.3002998843</v>
      </c>
      <c r="B32" s="5" t="s">
        <v>80</v>
      </c>
      <c r="C32" s="11">
        <v>0.30028935185185202</v>
      </c>
      <c r="D32" s="11" t="s">
        <v>62</v>
      </c>
      <c r="E32" s="11">
        <v>0.36081018518518498</v>
      </c>
      <c r="F32" s="12">
        <f t="shared" si="1"/>
        <v>1.4524999999999912</v>
      </c>
      <c r="G32" s="13">
        <f t="shared" si="2"/>
        <v>0.65944444444444805</v>
      </c>
      <c r="H32" s="13">
        <f t="shared" si="3"/>
        <v>0.79305555555554319</v>
      </c>
      <c r="I32"/>
      <c r="J32"/>
    </row>
    <row r="33" spans="1:11" ht="18.75" x14ac:dyDescent="0.15">
      <c r="A33" s="10">
        <f t="shared" ca="1" si="0"/>
        <v>46112.960491088001</v>
      </c>
      <c r="B33" s="5" t="s">
        <v>82</v>
      </c>
      <c r="C33" s="11">
        <v>0.96048611111111104</v>
      </c>
      <c r="D33" s="11" t="s">
        <v>62</v>
      </c>
      <c r="E33" s="11">
        <v>0.99986111111111098</v>
      </c>
      <c r="F33" s="12">
        <f t="shared" si="1"/>
        <v>0.94499999999999851</v>
      </c>
      <c r="G33" s="13">
        <f t="shared" si="2"/>
        <v>0.94499999999999851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 s="45"/>
      <c r="J37" s="46"/>
      <c r="K37" s="11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19:L19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7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42"/>
  <sheetViews>
    <sheetView topLeftCell="A10" zoomScale="85" zoomScaleNormal="85" workbookViewId="0">
      <selection activeCell="K31" sqref="K3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46084.957610879603</v>
      </c>
      <c r="B3" s="5" t="s">
        <v>82</v>
      </c>
      <c r="C3" s="11">
        <v>0.95679398148148198</v>
      </c>
      <c r="D3" s="11" t="s">
        <v>62</v>
      </c>
      <c r="E3" s="11">
        <v>0.118171296296296</v>
      </c>
      <c r="F3" s="12">
        <f t="shared" ref="F3:F42" si="1">(IF(E3-C3&lt;0,"24:00"-C3+E3,E3-C3))*24</f>
        <v>3.8730555555555366</v>
      </c>
      <c r="G3" s="13">
        <f t="shared" ref="G3:G42" si="2">F3-H3</f>
        <v>1.0369444444444325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2.8361111111111041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46086.010132407398</v>
      </c>
      <c r="B4" s="5" t="s">
        <v>83</v>
      </c>
      <c r="C4" s="11">
        <v>1.0127314814814801E-2</v>
      </c>
      <c r="D4" s="11" t="s">
        <v>62</v>
      </c>
      <c r="E4" s="11">
        <v>0.14537037037037001</v>
      </c>
      <c r="F4" s="12">
        <f t="shared" si="1"/>
        <v>3.2458333333333251</v>
      </c>
      <c r="G4" s="13">
        <f t="shared" si="2"/>
        <v>0</v>
      </c>
      <c r="H4" s="13">
        <f t="shared" si="3"/>
        <v>3.2458333333333251</v>
      </c>
      <c r="I4" s="21" t="s">
        <v>64</v>
      </c>
      <c r="J4" s="22">
        <f>SUMIF(B:B,"西塔台管制席",F:F)+SUMIF(B:B,"东塔台管制席",F:F)</f>
        <v>22.27277777777774</v>
      </c>
      <c r="K4" s="23">
        <f>SUMIF(B:B,"西塔台管制席",G:G)+SUMIF(B:B,"东塔台管制席",G:G)</f>
        <v>8.6986111111110951</v>
      </c>
      <c r="L4" s="23">
        <f>SUMIF(B:B,"西塔台管制席",H:H)+SUMIF(B:B,"东塔台管制席",H:H)</f>
        <v>13.574166666666649</v>
      </c>
      <c r="M4" s="19"/>
    </row>
    <row r="5" spans="1:16" ht="18.75" x14ac:dyDescent="0.25">
      <c r="A5" s="10">
        <f t="shared" ca="1" si="0"/>
        <v>46089.135019791698</v>
      </c>
      <c r="B5" s="5" t="s">
        <v>81</v>
      </c>
      <c r="C5" s="11">
        <v>0.13501157407407399</v>
      </c>
      <c r="D5" s="11" t="s">
        <v>62</v>
      </c>
      <c r="E5" s="11">
        <v>0.21327546296296301</v>
      </c>
      <c r="F5" s="12">
        <f t="shared" si="1"/>
        <v>1.8783333333333365</v>
      </c>
      <c r="G5" s="13">
        <f t="shared" si="2"/>
        <v>0</v>
      </c>
      <c r="H5" s="13">
        <f t="shared" si="3"/>
        <v>1.8783333333333365</v>
      </c>
      <c r="I5" s="21" t="s">
        <v>65</v>
      </c>
      <c r="J5" s="22">
        <f>SUMIF(B:B,"西塔台协调席",F:F)+SUMIF(B:B,"东塔台协调席",F:F)</f>
        <v>23.231111111111066</v>
      </c>
      <c r="K5" s="23">
        <f>SUMIF(B:B,"西塔台协调席",G:G)+SUMIF(B:B,"东塔台协调席",G:G)</f>
        <v>14.848333333333295</v>
      </c>
      <c r="L5" s="23">
        <f>SUMIF(B:B,"西塔台协调席",H:H)+SUMIF(B:B,"东塔台协调席",H:H)</f>
        <v>8.3827777777777683</v>
      </c>
      <c r="M5" s="19"/>
    </row>
    <row r="6" spans="1:16" ht="18.75" x14ac:dyDescent="0.25">
      <c r="A6" s="10">
        <f t="shared" ca="1" si="0"/>
        <v>46089.213310300896</v>
      </c>
      <c r="B6" s="5" t="s">
        <v>78</v>
      </c>
      <c r="C6" s="11">
        <v>0.21331018518518499</v>
      </c>
      <c r="D6" s="11" t="s">
        <v>62</v>
      </c>
      <c r="E6" s="11">
        <v>0.305763888888889</v>
      </c>
      <c r="F6" s="12">
        <f t="shared" si="1"/>
        <v>2.2188888888888965</v>
      </c>
      <c r="G6" s="13">
        <f t="shared" si="2"/>
        <v>0</v>
      </c>
      <c r="H6" s="13">
        <f t="shared" si="3"/>
        <v>2.2188888888888965</v>
      </c>
      <c r="I6" s="21" t="s">
        <v>66</v>
      </c>
      <c r="J6" s="22">
        <f>SUMIF(B:B,"放行席",F:F)</f>
        <v>2.4038888888888881</v>
      </c>
      <c r="K6" s="23">
        <f>SUMIF(B:B,"放行席",G:G)</f>
        <v>0</v>
      </c>
      <c r="L6" s="23">
        <f>SUMIF(B:B,"放行席",H:H)</f>
        <v>2.4038888888888881</v>
      </c>
      <c r="M6" s="19"/>
    </row>
    <row r="7" spans="1:16" ht="18.75" x14ac:dyDescent="0.25">
      <c r="A7" s="10">
        <f t="shared" ca="1" si="0"/>
        <v>46089.873720138901</v>
      </c>
      <c r="B7" s="5" t="s">
        <v>82</v>
      </c>
      <c r="C7" s="11">
        <v>0.87371527777777802</v>
      </c>
      <c r="D7" s="11" t="s">
        <v>62</v>
      </c>
      <c r="E7" s="11">
        <v>0.97120370370370401</v>
      </c>
      <c r="F7" s="12">
        <f t="shared" si="1"/>
        <v>2.3397222222222238</v>
      </c>
      <c r="G7" s="13">
        <f t="shared" si="2"/>
        <v>2.3397222222222238</v>
      </c>
      <c r="H7" s="13">
        <f t="shared" si="3"/>
        <v>0</v>
      </c>
      <c r="I7" s="21" t="s">
        <v>67</v>
      </c>
      <c r="J7" s="22">
        <f>SUMIF(B:B,"地面席",F:F)</f>
        <v>1.8783333333333365</v>
      </c>
      <c r="K7" s="23">
        <f>SUMIF(B:B,"地面席",G:G)</f>
        <v>0</v>
      </c>
      <c r="L7" s="23">
        <f>SUMIF(B:B,"地面席",H:H)</f>
        <v>1.8783333333333365</v>
      </c>
      <c r="M7" s="19"/>
    </row>
    <row r="8" spans="1:16" ht="18.75" x14ac:dyDescent="0.25">
      <c r="A8" s="10">
        <f t="shared" ca="1" si="0"/>
        <v>46090.131657060199</v>
      </c>
      <c r="B8" s="5" t="s">
        <v>84</v>
      </c>
      <c r="C8" s="11">
        <v>0.131655092592593</v>
      </c>
      <c r="D8" s="11" t="s">
        <v>62</v>
      </c>
      <c r="E8" s="11">
        <v>0.215266203703704</v>
      </c>
      <c r="F8" s="12">
        <f t="shared" si="1"/>
        <v>2.0066666666666642</v>
      </c>
      <c r="G8" s="13">
        <f t="shared" si="2"/>
        <v>0</v>
      </c>
      <c r="H8" s="13">
        <f t="shared" si="3"/>
        <v>2.0066666666666642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46092.377074884302</v>
      </c>
      <c r="B9" s="5" t="s">
        <v>79</v>
      </c>
      <c r="C9" s="11">
        <v>0.37707175925925901</v>
      </c>
      <c r="D9" s="11" t="s">
        <v>62</v>
      </c>
      <c r="E9" s="11">
        <v>0.53357638888888903</v>
      </c>
      <c r="F9" s="12">
        <f t="shared" si="1"/>
        <v>3.7561111111111205</v>
      </c>
      <c r="G9" s="13">
        <f t="shared" si="2"/>
        <v>3.7561111111111205</v>
      </c>
      <c r="H9" s="13">
        <f t="shared" si="3"/>
        <v>0</v>
      </c>
      <c r="I9" s="21" t="s">
        <v>69</v>
      </c>
      <c r="J9" s="22">
        <f>SUMIF(B:B,"航班调度席",F:F)</f>
        <v>18.773888888888902</v>
      </c>
      <c r="K9" s="23">
        <f>SUMIF(B:B,"航班调度席",G:G)</f>
        <v>18.773888888888902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46092.584776273201</v>
      </c>
      <c r="B10" s="5" t="s">
        <v>79</v>
      </c>
      <c r="C10" s="11">
        <v>0.58337962962962997</v>
      </c>
      <c r="D10" s="11" t="s">
        <v>62</v>
      </c>
      <c r="E10" s="11">
        <v>0.64726851851851896</v>
      </c>
      <c r="F10" s="12">
        <f t="shared" si="1"/>
        <v>1.5333333333333359</v>
      </c>
      <c r="G10" s="13">
        <f t="shared" si="2"/>
        <v>1.5333333333333359</v>
      </c>
      <c r="H10" s="13">
        <f t="shared" si="3"/>
        <v>0</v>
      </c>
      <c r="I10" s="21" t="s">
        <v>70</v>
      </c>
      <c r="J10" s="22">
        <f>SUMIF(B:B,"综合协调席",F:F)</f>
        <v>2.6897222222222399</v>
      </c>
      <c r="K10" s="23">
        <f>SUMIF(B:B,"综合协调席",G:G)</f>
        <v>0</v>
      </c>
      <c r="L10" s="23">
        <f>SUMIF(B:B,"综合协调席",H:H)</f>
        <v>2.6897222222222399</v>
      </c>
      <c r="M10" s="19"/>
    </row>
    <row r="11" spans="1:16" ht="18.75" x14ac:dyDescent="0.25">
      <c r="A11" s="10">
        <f t="shared" ca="1" si="0"/>
        <v>46092.647307175903</v>
      </c>
      <c r="B11" s="5" t="s">
        <v>78</v>
      </c>
      <c r="C11" s="11">
        <v>0.64730324074074097</v>
      </c>
      <c r="D11" s="11" t="s">
        <v>62</v>
      </c>
      <c r="E11" s="11">
        <v>0.71172453703703698</v>
      </c>
      <c r="F11" s="12">
        <f t="shared" si="1"/>
        <v>1.5461111111111041</v>
      </c>
      <c r="G11" s="13">
        <f t="shared" si="2"/>
        <v>1.5461111111111041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46092.711747453701</v>
      </c>
      <c r="B12" s="5" t="s">
        <v>79</v>
      </c>
      <c r="C12" s="11">
        <v>0.71174768518518505</v>
      </c>
      <c r="D12" s="11" t="s">
        <v>62</v>
      </c>
      <c r="E12" s="11">
        <v>0.75745370370370402</v>
      </c>
      <c r="F12" s="12">
        <f t="shared" si="1"/>
        <v>1.0969444444444552</v>
      </c>
      <c r="G12" s="13">
        <f t="shared" si="2"/>
        <v>1.0969444444444552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46093.377415740702</v>
      </c>
      <c r="B13" s="5" t="s">
        <v>79</v>
      </c>
      <c r="C13" s="11">
        <v>0.37671296296296303</v>
      </c>
      <c r="D13" s="11" t="s">
        <v>62</v>
      </c>
      <c r="E13" s="11">
        <v>0.39365740740740701</v>
      </c>
      <c r="F13" s="12">
        <f t="shared" si="1"/>
        <v>0.40666666666665563</v>
      </c>
      <c r="G13" s="13">
        <f t="shared" si="2"/>
        <v>0.40666666666665563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46093.393696759304</v>
      </c>
      <c r="B14" s="5" t="s">
        <v>82</v>
      </c>
      <c r="C14" s="11">
        <v>0.39369212962963002</v>
      </c>
      <c r="D14" s="11" t="s">
        <v>62</v>
      </c>
      <c r="E14" s="11">
        <v>0.42396990740740698</v>
      </c>
      <c r="F14" s="12">
        <f t="shared" si="1"/>
        <v>0.72666666666664703</v>
      </c>
      <c r="G14" s="13">
        <f t="shared" si="2"/>
        <v>0.72666666666664703</v>
      </c>
      <c r="H14" s="13">
        <f t="shared" si="3"/>
        <v>0</v>
      </c>
      <c r="I14" s="69"/>
      <c r="J14" s="69"/>
      <c r="K14" s="69"/>
      <c r="L14" s="69"/>
      <c r="M14" s="69"/>
    </row>
    <row r="15" spans="1:16" ht="57" customHeight="1" x14ac:dyDescent="0.15">
      <c r="A15" s="10">
        <f t="shared" ca="1" si="0"/>
        <v>46093.424006944399</v>
      </c>
      <c r="B15" s="5" t="s">
        <v>79</v>
      </c>
      <c r="C15" s="11">
        <v>0.42400462962962998</v>
      </c>
      <c r="D15" s="11" t="s">
        <v>62</v>
      </c>
      <c r="E15" s="11">
        <v>0.52603009259259303</v>
      </c>
      <c r="F15" s="12">
        <f t="shared" si="1"/>
        <v>2.4486111111111133</v>
      </c>
      <c r="G15" s="13">
        <f t="shared" si="2"/>
        <v>2.4486111111111133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46093.584382407404</v>
      </c>
      <c r="B16" s="5" t="s">
        <v>79</v>
      </c>
      <c r="C16" s="11">
        <v>0.58437499999999998</v>
      </c>
      <c r="D16" s="11" t="s">
        <v>62</v>
      </c>
      <c r="E16" s="11">
        <v>0.75020833333333303</v>
      </c>
      <c r="F16" s="12">
        <f t="shared" si="1"/>
        <v>3.9799999999999933</v>
      </c>
      <c r="G16" s="13">
        <f t="shared" si="2"/>
        <v>3.9799999999999933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46097.014399884298</v>
      </c>
      <c r="B17" s="5" t="s">
        <v>83</v>
      </c>
      <c r="C17" s="11">
        <v>1.4398148148148099E-2</v>
      </c>
      <c r="D17" s="11" t="s">
        <v>62</v>
      </c>
      <c r="E17" s="11">
        <v>0.14688657407407399</v>
      </c>
      <c r="F17" s="12">
        <f t="shared" si="1"/>
        <v>3.179722222222221</v>
      </c>
      <c r="G17" s="13">
        <f t="shared" si="2"/>
        <v>0</v>
      </c>
      <c r="H17" s="13">
        <f t="shared" si="3"/>
        <v>3.179722222222221</v>
      </c>
      <c r="I17" s="35" t="s">
        <v>75</v>
      </c>
      <c r="J17" s="36">
        <f>J4+J5+J6+J7+J10</f>
        <v>52.47583333333327</v>
      </c>
      <c r="K17" s="37">
        <f>K4+K5+K6+K7+K10</f>
        <v>23.546944444444392</v>
      </c>
      <c r="L17" s="38">
        <f>L4+L5+L6+L7+L10</f>
        <v>28.928888888888881</v>
      </c>
      <c r="M17" s="39"/>
    </row>
    <row r="18" spans="1:13" ht="20.25" x14ac:dyDescent="0.25">
      <c r="A18" s="10">
        <f t="shared" ca="1" si="0"/>
        <v>46097.957512963003</v>
      </c>
      <c r="B18" s="5" t="s">
        <v>82</v>
      </c>
      <c r="C18" s="11">
        <v>0.95751157407407395</v>
      </c>
      <c r="D18" s="11" t="s">
        <v>62</v>
      </c>
      <c r="E18" s="11">
        <v>0.116122685185185</v>
      </c>
      <c r="F18" s="12">
        <f t="shared" si="1"/>
        <v>3.8066666666666649</v>
      </c>
      <c r="G18" s="13">
        <f t="shared" si="2"/>
        <v>1.0197222222222249</v>
      </c>
      <c r="H18" s="13">
        <f t="shared" si="3"/>
        <v>2.78694444444444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46101.134768750002</v>
      </c>
      <c r="B19" s="5" t="s">
        <v>78</v>
      </c>
      <c r="C19" s="11">
        <v>0.13427083333333301</v>
      </c>
      <c r="D19" s="11" t="s">
        <v>62</v>
      </c>
      <c r="E19" s="11">
        <v>0.30658564814814798</v>
      </c>
      <c r="F19" s="12">
        <f t="shared" si="1"/>
        <v>4.135555555555559</v>
      </c>
      <c r="G19" s="13">
        <f t="shared" si="2"/>
        <v>0</v>
      </c>
      <c r="H19" s="13">
        <f t="shared" si="3"/>
        <v>4.135555555555559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46102.138201620401</v>
      </c>
      <c r="B20" s="5" t="s">
        <v>85</v>
      </c>
      <c r="C20" s="11">
        <v>0.13819444444444401</v>
      </c>
      <c r="D20" s="11" t="s">
        <v>62</v>
      </c>
      <c r="E20" s="11">
        <v>0.18306712962963001</v>
      </c>
      <c r="F20" s="12">
        <f t="shared" si="1"/>
        <v>1.076944444444464</v>
      </c>
      <c r="G20" s="13">
        <f t="shared" si="2"/>
        <v>0</v>
      </c>
      <c r="H20" s="13">
        <f t="shared" si="3"/>
        <v>1.076944444444464</v>
      </c>
      <c r="I20" s="40" t="s">
        <v>77</v>
      </c>
      <c r="J20" s="65">
        <f>J16+J17+J18+J19</f>
        <v>52.47583333333327</v>
      </c>
      <c r="K20" s="66"/>
      <c r="L20" s="67"/>
      <c r="M20" s="41"/>
    </row>
    <row r="21" spans="1:13" ht="20.25" x14ac:dyDescent="0.25">
      <c r="A21" s="10">
        <f t="shared" ca="1" si="0"/>
        <v>46102.223909259301</v>
      </c>
      <c r="B21" s="5" t="s">
        <v>84</v>
      </c>
      <c r="C21" s="11">
        <v>0.22366898148148101</v>
      </c>
      <c r="D21" s="11" t="s">
        <v>62</v>
      </c>
      <c r="E21" s="11">
        <v>0.24021990740740701</v>
      </c>
      <c r="F21" s="12">
        <f t="shared" si="1"/>
        <v>0.39722222222222392</v>
      </c>
      <c r="G21" s="13">
        <f t="shared" si="2"/>
        <v>0</v>
      </c>
      <c r="H21" s="13">
        <f t="shared" si="3"/>
        <v>0.39722222222222392</v>
      </c>
      <c r="I21" s="42" t="s">
        <v>4</v>
      </c>
      <c r="J21" s="43">
        <f>SUM(J8:J9)</f>
        <v>18.773888888888902</v>
      </c>
      <c r="K21" s="37">
        <f>SUM(K8:K9)</f>
        <v>18.773888888888902</v>
      </c>
      <c r="L21" s="38">
        <f>SUM(L8:L9)</f>
        <v>0</v>
      </c>
      <c r="M21" s="44"/>
    </row>
    <row r="22" spans="1:13" ht="18.75" x14ac:dyDescent="0.15">
      <c r="A22" s="10">
        <f t="shared" ca="1" si="0"/>
        <v>46102.240274999996</v>
      </c>
      <c r="B22" s="5" t="s">
        <v>85</v>
      </c>
      <c r="C22" s="11">
        <v>0.240266203703704</v>
      </c>
      <c r="D22" s="11" t="s">
        <v>62</v>
      </c>
      <c r="E22" s="11">
        <v>0.30746527777777799</v>
      </c>
      <c r="F22" s="12">
        <f t="shared" si="1"/>
        <v>1.6127777777777759</v>
      </c>
      <c r="G22" s="13">
        <f t="shared" si="2"/>
        <v>0</v>
      </c>
      <c r="H22" s="13">
        <f t="shared" si="3"/>
        <v>1.6127777777777759</v>
      </c>
      <c r="I22"/>
      <c r="J22"/>
    </row>
    <row r="23" spans="1:13" ht="18.75" x14ac:dyDescent="0.15">
      <c r="A23" s="10">
        <f t="shared" ca="1" si="0"/>
        <v>46104.504769791703</v>
      </c>
      <c r="B23" s="5" t="s">
        <v>80</v>
      </c>
      <c r="C23" s="11">
        <v>0.50416666666666698</v>
      </c>
      <c r="D23" s="11" t="s">
        <v>62</v>
      </c>
      <c r="E23" s="11">
        <v>0.58318287037036998</v>
      </c>
      <c r="F23" s="12">
        <f t="shared" si="1"/>
        <v>1.8963888888888718</v>
      </c>
      <c r="G23" s="13">
        <f t="shared" si="2"/>
        <v>1.8963888888888718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46104.583214814797</v>
      </c>
      <c r="B24" s="5" t="s">
        <v>82</v>
      </c>
      <c r="C24" s="11">
        <v>0.58320601851851805</v>
      </c>
      <c r="D24" s="11" t="s">
        <v>62</v>
      </c>
      <c r="E24" s="11">
        <v>0.65069444444444402</v>
      </c>
      <c r="F24" s="12">
        <f t="shared" si="1"/>
        <v>1.6197222222222232</v>
      </c>
      <c r="G24" s="13">
        <f t="shared" si="2"/>
        <v>1.6197222222222232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46104.752550347199</v>
      </c>
      <c r="B25" s="5" t="s">
        <v>78</v>
      </c>
      <c r="C25" s="11">
        <v>0.75254629629629599</v>
      </c>
      <c r="D25" s="11" t="s">
        <v>62</v>
      </c>
      <c r="E25" s="11">
        <v>0.87936342592592598</v>
      </c>
      <c r="F25" s="12">
        <f t="shared" si="1"/>
        <v>3.0436111111111197</v>
      </c>
      <c r="G25" s="13">
        <f t="shared" si="2"/>
        <v>3.0436111111111197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46105.417579513902</v>
      </c>
      <c r="B26" s="5" t="s">
        <v>82</v>
      </c>
      <c r="C26" s="11">
        <v>0.41756944444444399</v>
      </c>
      <c r="D26" s="11" t="s">
        <v>62</v>
      </c>
      <c r="E26" s="11">
        <v>0.50538194444444395</v>
      </c>
      <c r="F26" s="12">
        <f t="shared" si="1"/>
        <v>2.107499999999999</v>
      </c>
      <c r="G26" s="13">
        <f t="shared" si="2"/>
        <v>2.107499999999999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46105.624790046299</v>
      </c>
      <c r="B27" s="5" t="s">
        <v>78</v>
      </c>
      <c r="C27" s="11">
        <v>0.62478009259259304</v>
      </c>
      <c r="D27" s="11" t="s">
        <v>62</v>
      </c>
      <c r="E27" s="11">
        <v>0.76162037037037</v>
      </c>
      <c r="F27" s="12">
        <f t="shared" si="1"/>
        <v>3.2841666666666471</v>
      </c>
      <c r="G27" s="13">
        <f t="shared" si="2"/>
        <v>3.2841666666666471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46105.833087384301</v>
      </c>
      <c r="B28" s="5" t="s">
        <v>82</v>
      </c>
      <c r="C28" s="11">
        <v>0.83307870370370396</v>
      </c>
      <c r="D28" s="11" t="s">
        <v>62</v>
      </c>
      <c r="E28" s="11">
        <v>0.96460648148148198</v>
      </c>
      <c r="F28" s="12">
        <f t="shared" si="1"/>
        <v>3.1566666666666725</v>
      </c>
      <c r="G28" s="13">
        <f t="shared" si="2"/>
        <v>3.1566666666666725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46106.300242939797</v>
      </c>
      <c r="B29" s="5" t="s">
        <v>78</v>
      </c>
      <c r="C29" s="11">
        <v>0.30024305555555603</v>
      </c>
      <c r="D29" s="11" t="s">
        <v>62</v>
      </c>
      <c r="E29" s="11">
        <v>0.36769675925925899</v>
      </c>
      <c r="F29" s="12">
        <f t="shared" si="1"/>
        <v>1.6188888888888711</v>
      </c>
      <c r="G29" s="13">
        <f t="shared" si="2"/>
        <v>0.82472222222222413</v>
      </c>
      <c r="H29" s="13">
        <f t="shared" si="3"/>
        <v>0.79416666666664693</v>
      </c>
      <c r="I29"/>
      <c r="J29"/>
    </row>
    <row r="30" spans="1:13" ht="18.75" x14ac:dyDescent="0.15">
      <c r="A30" s="10">
        <f t="shared" ca="1" si="0"/>
        <v>46108.960624537001</v>
      </c>
      <c r="B30" s="5" t="s">
        <v>82</v>
      </c>
      <c r="C30" s="11">
        <v>0.96062499999999995</v>
      </c>
      <c r="D30" s="11" t="s">
        <v>62</v>
      </c>
      <c r="E30" s="11">
        <v>0.11498842592592599</v>
      </c>
      <c r="F30" s="12">
        <f t="shared" si="1"/>
        <v>3.7047222222222254</v>
      </c>
      <c r="G30" s="13">
        <f t="shared" si="2"/>
        <v>0.94500000000000162</v>
      </c>
      <c r="H30" s="13">
        <f t="shared" si="3"/>
        <v>2.7597222222222237</v>
      </c>
      <c r="I30"/>
      <c r="J30"/>
    </row>
    <row r="31" spans="1:13" ht="18.75" x14ac:dyDescent="0.15">
      <c r="A31" s="10">
        <f t="shared" ca="1" si="0"/>
        <v>46109.459521527802</v>
      </c>
      <c r="B31" s="5" t="s">
        <v>79</v>
      </c>
      <c r="C31" s="11">
        <v>0.459513888888889</v>
      </c>
      <c r="D31" s="11" t="s">
        <v>62</v>
      </c>
      <c r="E31" s="11">
        <v>0.52100694444444395</v>
      </c>
      <c r="F31" s="12">
        <f t="shared" si="1"/>
        <v>1.4758333333333189</v>
      </c>
      <c r="G31" s="13">
        <f t="shared" si="2"/>
        <v>1.4758333333333189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46109.571089236102</v>
      </c>
      <c r="B32" s="5" t="s">
        <v>79</v>
      </c>
      <c r="C32" s="11">
        <v>0.57039351851851805</v>
      </c>
      <c r="D32" s="11" t="s">
        <v>62</v>
      </c>
      <c r="E32" s="11">
        <v>0.74024305555555603</v>
      </c>
      <c r="F32" s="12">
        <f t="shared" si="1"/>
        <v>4.0763888888889115</v>
      </c>
      <c r="G32" s="13">
        <f t="shared" si="2"/>
        <v>4.0763888888889115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42"/>
  <sheetViews>
    <sheetView topLeftCell="A7" zoomScale="85" zoomScaleNormal="85" workbookViewId="0">
      <selection activeCell="D29" sqref="D29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46082.2984609954</v>
      </c>
      <c r="B3" s="5" t="s">
        <v>82</v>
      </c>
      <c r="C3" s="11">
        <v>0.29846064814814799</v>
      </c>
      <c r="D3" s="11" t="s">
        <v>62</v>
      </c>
      <c r="E3" s="11">
        <v>0.36270833333333302</v>
      </c>
      <c r="F3" s="12">
        <f t="shared" ref="F3:F42" si="1">(IF(E3-C3&lt;0,"24:00"-C3+E3,E3-C3))*24</f>
        <v>1.5419444444444408</v>
      </c>
      <c r="G3" s="13">
        <f t="shared" ref="G3:G42" si="2">F3-H3</f>
        <v>0.70500000000000096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0.83694444444443983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46089.132786574097</v>
      </c>
      <c r="B4" s="5" t="s">
        <v>84</v>
      </c>
      <c r="C4" s="11">
        <v>0.13277777777777799</v>
      </c>
      <c r="D4" s="11" t="s">
        <v>62</v>
      </c>
      <c r="E4" s="11">
        <v>0.213344907407407</v>
      </c>
      <c r="F4" s="12">
        <f t="shared" si="1"/>
        <v>1.9336111111110961</v>
      </c>
      <c r="G4" s="13">
        <f t="shared" si="2"/>
        <v>0</v>
      </c>
      <c r="H4" s="13">
        <f t="shared" si="3"/>
        <v>1.9336111111110961</v>
      </c>
      <c r="I4" s="21" t="s">
        <v>64</v>
      </c>
      <c r="J4" s="22">
        <f>SUMIF(B:B,"西塔台管制席",F:F)+SUMIF(B:B,"东塔台管制席",F:F)</f>
        <v>23.567777777777735</v>
      </c>
      <c r="K4" s="23">
        <f>SUMIF(B:B,"西塔台管制席",G:G)+SUMIF(B:B,"东塔台管制席",G:G)</f>
        <v>15.05249999999995</v>
      </c>
      <c r="L4" s="23">
        <f>SUMIF(B:B,"西塔台管制席",H:H)+SUMIF(B:B,"东塔台管制席",H:H)</f>
        <v>8.5152777777777846</v>
      </c>
      <c r="M4" s="19"/>
    </row>
    <row r="5" spans="1:16" ht="18.75" x14ac:dyDescent="0.25">
      <c r="A5" s="10">
        <f t="shared" ca="1" si="0"/>
        <v>46089.213374537001</v>
      </c>
      <c r="B5" s="5" t="s">
        <v>82</v>
      </c>
      <c r="C5" s="11">
        <v>0.21336805555555599</v>
      </c>
      <c r="D5" s="11" t="s">
        <v>62</v>
      </c>
      <c r="E5" s="11">
        <v>0.30379629629629601</v>
      </c>
      <c r="F5" s="12">
        <f t="shared" si="1"/>
        <v>2.1702777777777604</v>
      </c>
      <c r="G5" s="13">
        <f t="shared" si="2"/>
        <v>0</v>
      </c>
      <c r="H5" s="13">
        <f t="shared" si="3"/>
        <v>2.1702777777777604</v>
      </c>
      <c r="I5" s="21" t="s">
        <v>65</v>
      </c>
      <c r="J5" s="22">
        <f>SUMIF(B:B,"西塔台协调席",F:F)+SUMIF(B:B,"东塔台协调席",F:F)</f>
        <v>28.963611111111057</v>
      </c>
      <c r="K5" s="23">
        <f>SUMIF(B:B,"西塔台协调席",G:G)+SUMIF(B:B,"东塔台协调席",G:G)</f>
        <v>17.088333333333338</v>
      </c>
      <c r="L5" s="23">
        <f>SUMIF(B:B,"西塔台协调席",H:H)+SUMIF(B:B,"东塔台协调席",H:H)</f>
        <v>11.875277777777722</v>
      </c>
      <c r="M5" s="19"/>
    </row>
    <row r="6" spans="1:16" ht="18.75" x14ac:dyDescent="0.25">
      <c r="A6" s="10">
        <f t="shared" ca="1" si="0"/>
        <v>46092.353589699102</v>
      </c>
      <c r="B6" s="5" t="s">
        <v>82</v>
      </c>
      <c r="C6" s="11">
        <v>0.35358796296296302</v>
      </c>
      <c r="D6" s="11" t="s">
        <v>62</v>
      </c>
      <c r="E6" s="11">
        <v>0.50407407407407401</v>
      </c>
      <c r="F6" s="12">
        <f t="shared" si="1"/>
        <v>3.6116666666666637</v>
      </c>
      <c r="G6" s="13">
        <f t="shared" si="2"/>
        <v>3.6116666666666637</v>
      </c>
      <c r="H6" s="13">
        <f t="shared" si="3"/>
        <v>0</v>
      </c>
      <c r="I6" s="21" t="s">
        <v>66</v>
      </c>
      <c r="J6" s="22">
        <f>SUMIF(B:B,"放行席",F:F)</f>
        <v>5.7311111111110797</v>
      </c>
      <c r="K6" s="23">
        <f>SUMIF(B:B,"放行席",G:G)</f>
        <v>0</v>
      </c>
      <c r="L6" s="23">
        <f>SUMIF(B:B,"放行席",H:H)</f>
        <v>5.7311111111110797</v>
      </c>
      <c r="M6" s="19"/>
    </row>
    <row r="7" spans="1:16" ht="18.75" x14ac:dyDescent="0.25">
      <c r="A7" s="10">
        <f t="shared" ca="1" si="0"/>
        <v>46092.6472146991</v>
      </c>
      <c r="B7" s="5" t="s">
        <v>79</v>
      </c>
      <c r="C7" s="11">
        <v>0.64721064814814799</v>
      </c>
      <c r="D7" s="11" t="s">
        <v>62</v>
      </c>
      <c r="E7" s="11">
        <v>0.71184027777777803</v>
      </c>
      <c r="F7" s="12">
        <f t="shared" si="1"/>
        <v>1.5511111111111209</v>
      </c>
      <c r="G7" s="13">
        <f t="shared" si="2"/>
        <v>1.5511111111111209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46092.711877314803</v>
      </c>
      <c r="B8" s="5" t="s">
        <v>78</v>
      </c>
      <c r="C8" s="11">
        <v>0.71187500000000004</v>
      </c>
      <c r="D8" s="11" t="s">
        <v>62</v>
      </c>
      <c r="E8" s="11">
        <v>0.75998842592592597</v>
      </c>
      <c r="F8" s="12">
        <f t="shared" si="1"/>
        <v>1.1547222222222224</v>
      </c>
      <c r="G8" s="13">
        <f t="shared" si="2"/>
        <v>1.1547222222222224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46092.876123032402</v>
      </c>
      <c r="B9" s="5" t="s">
        <v>82</v>
      </c>
      <c r="C9" s="11">
        <v>0.87612268518518499</v>
      </c>
      <c r="D9" s="11" t="s">
        <v>62</v>
      </c>
      <c r="E9" s="11">
        <v>0.96418981481481503</v>
      </c>
      <c r="F9" s="12">
        <f t="shared" si="1"/>
        <v>2.1136111111111209</v>
      </c>
      <c r="G9" s="13">
        <f t="shared" si="2"/>
        <v>2.1136111111111209</v>
      </c>
      <c r="H9" s="13">
        <f t="shared" si="3"/>
        <v>0</v>
      </c>
      <c r="I9" s="21" t="s">
        <v>69</v>
      </c>
      <c r="J9" s="22">
        <f>SUMIF(B:B,"航班调度席",F:F)</f>
        <v>1.5511111111111209</v>
      </c>
      <c r="K9" s="23">
        <f>SUMIF(B:B,"航班调度席",G:G)</f>
        <v>1.5511111111111209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46093.298380786997</v>
      </c>
      <c r="B10" s="5" t="s">
        <v>82</v>
      </c>
      <c r="C10" s="11">
        <v>0.29837962962962999</v>
      </c>
      <c r="D10" s="11" t="s">
        <v>62</v>
      </c>
      <c r="E10" s="11">
        <v>0.39754629629629601</v>
      </c>
      <c r="F10" s="12">
        <f t="shared" si="1"/>
        <v>2.3799999999999844</v>
      </c>
      <c r="G10" s="13">
        <f t="shared" si="2"/>
        <v>1.5411111111111127</v>
      </c>
      <c r="H10" s="13">
        <f t="shared" si="3"/>
        <v>0.8388888888888717</v>
      </c>
      <c r="I10" s="21" t="s">
        <v>70</v>
      </c>
      <c r="J10" s="22">
        <f>SUMIF(B:B,"综合协调席",F:F)</f>
        <v>0.30027777777777587</v>
      </c>
      <c r="K10" s="23">
        <f>SUMIF(B:B,"综合协调席",G:G)</f>
        <v>0</v>
      </c>
      <c r="L10" s="23">
        <f>SUMIF(B:B,"综合协调席",H:H)</f>
        <v>0.30027777777777587</v>
      </c>
      <c r="M10" s="19"/>
    </row>
    <row r="11" spans="1:16" ht="18.75" x14ac:dyDescent="0.25">
      <c r="A11" s="10">
        <f t="shared" ca="1" si="0"/>
        <v>46093.504198032402</v>
      </c>
      <c r="B11" s="5" t="s">
        <v>78</v>
      </c>
      <c r="C11" s="11">
        <v>0.50418981481481495</v>
      </c>
      <c r="D11" s="11" t="s">
        <v>62</v>
      </c>
      <c r="E11" s="11">
        <v>0.63024305555555504</v>
      </c>
      <c r="F11" s="12">
        <f t="shared" si="1"/>
        <v>3.0252777777777622</v>
      </c>
      <c r="G11" s="13">
        <f t="shared" si="2"/>
        <v>3.0252777777777622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46093.749647685203</v>
      </c>
      <c r="B12" s="5" t="s">
        <v>82</v>
      </c>
      <c r="C12" s="11">
        <v>0.74964120370370402</v>
      </c>
      <c r="D12" s="11" t="s">
        <v>62</v>
      </c>
      <c r="E12" s="11">
        <v>0.836666666666667</v>
      </c>
      <c r="F12" s="12">
        <f t="shared" si="1"/>
        <v>2.0886111111111116</v>
      </c>
      <c r="G12" s="13">
        <f t="shared" si="2"/>
        <v>2.0886111111111116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46097.014190740701</v>
      </c>
      <c r="B13" s="5" t="s">
        <v>80</v>
      </c>
      <c r="C13" s="11">
        <v>1.4189814814814799E-2</v>
      </c>
      <c r="D13" s="11" t="s">
        <v>62</v>
      </c>
      <c r="E13" s="11">
        <v>0.14226851851851899</v>
      </c>
      <c r="F13" s="12">
        <f t="shared" si="1"/>
        <v>3.0738888888889004</v>
      </c>
      <c r="G13" s="13">
        <f t="shared" si="2"/>
        <v>0</v>
      </c>
      <c r="H13" s="13">
        <f t="shared" si="3"/>
        <v>3.0738888888889004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46097.9571454861</v>
      </c>
      <c r="B14" s="5" t="s">
        <v>78</v>
      </c>
      <c r="C14" s="11">
        <v>0.95714120370370404</v>
      </c>
      <c r="D14" s="11" t="s">
        <v>62</v>
      </c>
      <c r="E14" s="11">
        <v>0.118680555555556</v>
      </c>
      <c r="F14" s="12">
        <f t="shared" si="1"/>
        <v>3.8769444444444474</v>
      </c>
      <c r="G14" s="13">
        <f t="shared" si="2"/>
        <v>1.0286111111111036</v>
      </c>
      <c r="H14" s="13">
        <f t="shared" si="3"/>
        <v>2.8483333333333438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46101.139454166703</v>
      </c>
      <c r="B15" s="5" t="s">
        <v>83</v>
      </c>
      <c r="C15" s="11">
        <v>0.13944444444444401</v>
      </c>
      <c r="D15" s="11" t="s">
        <v>62</v>
      </c>
      <c r="E15" s="11">
        <v>0.228796296296296</v>
      </c>
      <c r="F15" s="12">
        <f t="shared" si="1"/>
        <v>2.1444444444444475</v>
      </c>
      <c r="G15" s="13">
        <f t="shared" si="2"/>
        <v>0</v>
      </c>
      <c r="H15" s="13">
        <f t="shared" si="3"/>
        <v>2.1444444444444475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46101.228857523201</v>
      </c>
      <c r="B16" s="5" t="s">
        <v>82</v>
      </c>
      <c r="C16" s="11">
        <v>0.228854166666667</v>
      </c>
      <c r="D16" s="11" t="s">
        <v>62</v>
      </c>
      <c r="E16" s="11">
        <v>0.30459490740740702</v>
      </c>
      <c r="F16" s="12">
        <f t="shared" si="1"/>
        <v>1.8177777777777606</v>
      </c>
      <c r="G16" s="13">
        <f t="shared" si="2"/>
        <v>0</v>
      </c>
      <c r="H16" s="13">
        <f t="shared" si="3"/>
        <v>1.8177777777777606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46102.132975347202</v>
      </c>
      <c r="B17" s="5" t="s">
        <v>84</v>
      </c>
      <c r="C17" s="11">
        <v>0.13297453703703699</v>
      </c>
      <c r="D17" s="11" t="s">
        <v>62</v>
      </c>
      <c r="E17" s="11">
        <v>0.22770833333333301</v>
      </c>
      <c r="F17" s="12">
        <f t="shared" si="1"/>
        <v>2.2736111111111046</v>
      </c>
      <c r="G17" s="13">
        <f t="shared" si="2"/>
        <v>0</v>
      </c>
      <c r="H17" s="13">
        <f t="shared" si="3"/>
        <v>2.2736111111111046</v>
      </c>
      <c r="I17" s="35" t="s">
        <v>75</v>
      </c>
      <c r="J17" s="36">
        <f>J4+J5+J6+J7+J10</f>
        <v>58.562777777777654</v>
      </c>
      <c r="K17" s="37">
        <f>K4+K5+K6+K7+K10</f>
        <v>32.140833333333291</v>
      </c>
      <c r="L17" s="38">
        <f>L4+L5+L6+L7+L10</f>
        <v>26.421944444444364</v>
      </c>
      <c r="M17" s="39"/>
    </row>
    <row r="18" spans="1:13" ht="20.25" x14ac:dyDescent="0.25">
      <c r="A18" s="10">
        <f t="shared" ca="1" si="0"/>
        <v>46102.227790393503</v>
      </c>
      <c r="B18" s="5" t="s">
        <v>85</v>
      </c>
      <c r="C18" s="11">
        <v>0.22778935185185201</v>
      </c>
      <c r="D18" s="11" t="s">
        <v>62</v>
      </c>
      <c r="E18" s="11">
        <v>0.240300925925926</v>
      </c>
      <c r="F18" s="12">
        <f t="shared" si="1"/>
        <v>0.30027777777777587</v>
      </c>
      <c r="G18" s="13">
        <f t="shared" si="2"/>
        <v>0</v>
      </c>
      <c r="H18" s="13">
        <f t="shared" si="3"/>
        <v>0.30027777777777587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46102.240334143498</v>
      </c>
      <c r="B19" s="5" t="s">
        <v>84</v>
      </c>
      <c r="C19" s="11">
        <v>0.240324074074074</v>
      </c>
      <c r="D19" s="11" t="s">
        <v>62</v>
      </c>
      <c r="E19" s="11">
        <v>0.30381944444444398</v>
      </c>
      <c r="F19" s="12">
        <f t="shared" si="1"/>
        <v>1.5238888888888795</v>
      </c>
      <c r="G19" s="13">
        <f t="shared" si="2"/>
        <v>0</v>
      </c>
      <c r="H19" s="13">
        <f t="shared" si="3"/>
        <v>1.5238888888888795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46104.500279050902</v>
      </c>
      <c r="B20" s="5" t="s">
        <v>83</v>
      </c>
      <c r="C20" s="11">
        <v>0.50027777777777804</v>
      </c>
      <c r="D20" s="11" t="s">
        <v>62</v>
      </c>
      <c r="E20" s="11">
        <v>0.58307870370370396</v>
      </c>
      <c r="F20" s="12">
        <f t="shared" si="1"/>
        <v>1.987222222222222</v>
      </c>
      <c r="G20" s="13">
        <f t="shared" si="2"/>
        <v>1.987222222222222</v>
      </c>
      <c r="H20" s="13">
        <f t="shared" si="3"/>
        <v>0</v>
      </c>
      <c r="I20" s="40" t="s">
        <v>77</v>
      </c>
      <c r="J20" s="65">
        <f>J16+J17+J18+J19</f>
        <v>58.562777777777654</v>
      </c>
      <c r="K20" s="66"/>
      <c r="L20" s="67"/>
      <c r="M20" s="41"/>
    </row>
    <row r="21" spans="1:13" ht="20.25" x14ac:dyDescent="0.25">
      <c r="A21" s="10">
        <f t="shared" ca="1" si="0"/>
        <v>46104.583109722204</v>
      </c>
      <c r="B21" s="5" t="s">
        <v>78</v>
      </c>
      <c r="C21" s="11">
        <v>0.58310185185185204</v>
      </c>
      <c r="D21" s="11" t="s">
        <v>62</v>
      </c>
      <c r="E21" s="11">
        <v>0.64973379629629602</v>
      </c>
      <c r="F21" s="12">
        <f t="shared" si="1"/>
        <v>1.5991666666666555</v>
      </c>
      <c r="G21" s="13">
        <f t="shared" si="2"/>
        <v>1.5991666666666555</v>
      </c>
      <c r="H21" s="13">
        <f t="shared" si="3"/>
        <v>0</v>
      </c>
      <c r="I21" s="42" t="s">
        <v>4</v>
      </c>
      <c r="J21" s="43">
        <f>SUM(J8:J9)</f>
        <v>1.5511111111111209</v>
      </c>
      <c r="K21" s="37">
        <f>SUM(K8:K9)</f>
        <v>1.5511111111111209</v>
      </c>
      <c r="L21" s="38">
        <f>SUM(L8:L9)</f>
        <v>0</v>
      </c>
      <c r="M21" s="44"/>
    </row>
    <row r="22" spans="1:13" ht="18.75" x14ac:dyDescent="0.15">
      <c r="A22" s="10">
        <f t="shared" ca="1" si="0"/>
        <v>46104.749342245399</v>
      </c>
      <c r="B22" s="5" t="s">
        <v>82</v>
      </c>
      <c r="C22" s="11">
        <v>0.74934027777777801</v>
      </c>
      <c r="D22" s="11" t="s">
        <v>62</v>
      </c>
      <c r="E22" s="11">
        <v>0.87956018518518497</v>
      </c>
      <c r="F22" s="12">
        <f t="shared" si="1"/>
        <v>3.1252777777777672</v>
      </c>
      <c r="G22" s="13">
        <f t="shared" si="2"/>
        <v>3.1252777777777672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46105.417354513898</v>
      </c>
      <c r="B23" s="5" t="s">
        <v>78</v>
      </c>
      <c r="C23" s="11">
        <v>0.41734953703703698</v>
      </c>
      <c r="D23" s="11" t="s">
        <v>62</v>
      </c>
      <c r="E23" s="11">
        <v>0.50690972222222197</v>
      </c>
      <c r="F23" s="12">
        <f t="shared" si="1"/>
        <v>2.1494444444444398</v>
      </c>
      <c r="G23" s="13">
        <f t="shared" si="2"/>
        <v>2.1494444444444398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46105.624647338002</v>
      </c>
      <c r="B24" s="5" t="s">
        <v>82</v>
      </c>
      <c r="C24" s="11">
        <v>0.62464120370370402</v>
      </c>
      <c r="D24" s="11" t="s">
        <v>62</v>
      </c>
      <c r="E24" s="11">
        <v>0.75364583333333302</v>
      </c>
      <c r="F24" s="12">
        <f t="shared" si="1"/>
        <v>3.0961111111110959</v>
      </c>
      <c r="G24" s="13">
        <f t="shared" si="2"/>
        <v>3.0961111111110959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46105.8330488426</v>
      </c>
      <c r="B25" s="5" t="s">
        <v>78</v>
      </c>
      <c r="C25" s="11">
        <v>0.83304398148148195</v>
      </c>
      <c r="D25" s="11" t="s">
        <v>62</v>
      </c>
      <c r="E25" s="11">
        <v>0.963553240740741</v>
      </c>
      <c r="F25" s="12">
        <f t="shared" si="1"/>
        <v>3.1322222222222171</v>
      </c>
      <c r="G25" s="13">
        <f t="shared" si="2"/>
        <v>3.1322222222222171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46106.298803356498</v>
      </c>
      <c r="B26" s="5" t="s">
        <v>82</v>
      </c>
      <c r="C26" s="11">
        <v>0.298796296296296</v>
      </c>
      <c r="D26" s="11" t="s">
        <v>62</v>
      </c>
      <c r="E26" s="11">
        <v>0.366956018518519</v>
      </c>
      <c r="F26" s="12">
        <f t="shared" si="1"/>
        <v>1.6358333333333519</v>
      </c>
      <c r="G26" s="13">
        <f t="shared" si="2"/>
        <v>0.80694444444446445</v>
      </c>
      <c r="H26" s="13">
        <f t="shared" si="3"/>
        <v>0.82888888888888745</v>
      </c>
      <c r="I26"/>
      <c r="J26"/>
    </row>
    <row r="27" spans="1:13" ht="18.75" x14ac:dyDescent="0.15">
      <c r="A27" s="10">
        <f t="shared" ca="1" si="0"/>
        <v>46109.014193287003</v>
      </c>
      <c r="B27" s="5" t="s">
        <v>80</v>
      </c>
      <c r="C27" s="11">
        <v>1.4189814814814799E-2</v>
      </c>
      <c r="D27" s="11" t="s">
        <v>62</v>
      </c>
      <c r="E27" s="11">
        <v>0.11038194444444401</v>
      </c>
      <c r="F27" s="12">
        <f t="shared" si="1"/>
        <v>2.3086111111111012</v>
      </c>
      <c r="G27" s="13">
        <f t="shared" si="2"/>
        <v>0</v>
      </c>
      <c r="H27" s="13">
        <f t="shared" si="3"/>
        <v>2.3086111111111012</v>
      </c>
      <c r="I27"/>
      <c r="J27"/>
    </row>
    <row r="28" spans="1:13" ht="18.75" x14ac:dyDescent="0.15">
      <c r="A28" s="10">
        <f t="shared" ca="1" si="0"/>
        <v>46109.110423611099</v>
      </c>
      <c r="B28" s="5" t="s">
        <v>78</v>
      </c>
      <c r="C28" s="11">
        <v>0.110416666666667</v>
      </c>
      <c r="D28" s="11" t="s">
        <v>62</v>
      </c>
      <c r="E28" s="11">
        <v>0.14623842592592601</v>
      </c>
      <c r="F28" s="12">
        <f t="shared" si="1"/>
        <v>0.85972222222221628</v>
      </c>
      <c r="G28" s="13">
        <f t="shared" si="2"/>
        <v>0</v>
      </c>
      <c r="H28" s="13">
        <f t="shared" si="3"/>
        <v>0.85972222222221628</v>
      </c>
      <c r="I28"/>
      <c r="J28"/>
    </row>
    <row r="29" spans="1:13" ht="18.75" x14ac:dyDescent="0.15">
      <c r="A29" s="10">
        <f t="shared" ca="1" si="0"/>
        <v>46109.959349884302</v>
      </c>
      <c r="B29" s="5" t="s">
        <v>83</v>
      </c>
      <c r="C29" s="11">
        <v>0.95934027777777797</v>
      </c>
      <c r="D29" s="11" t="s">
        <v>62</v>
      </c>
      <c r="E29" s="11">
        <v>0.11094907407407401</v>
      </c>
      <c r="F29" s="12">
        <f t="shared" si="1"/>
        <v>3.6386111111111048</v>
      </c>
      <c r="G29" s="13">
        <f t="shared" si="2"/>
        <v>0.97583333333332867</v>
      </c>
      <c r="H29" s="13">
        <f t="shared" si="3"/>
        <v>2.6627777777777761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2"/>
  <sheetViews>
    <sheetView topLeftCell="A13" zoomScale="85" zoomScaleNormal="85" workbookViewId="0">
      <selection activeCell="E21" sqref="E2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46084.957712847201</v>
      </c>
      <c r="B3" s="5" t="s">
        <v>78</v>
      </c>
      <c r="C3" s="11">
        <v>0.95770833333333305</v>
      </c>
      <c r="D3" s="11" t="s">
        <v>62</v>
      </c>
      <c r="E3" s="11">
        <v>0.120023148148148</v>
      </c>
      <c r="F3" s="12">
        <f t="shared" ref="F3:F42" si="1">(IF(E3-C3&lt;0,"24:00"-C3+E3,E3-C3))*24</f>
        <v>3.8955555555555592</v>
      </c>
      <c r="G3" s="13">
        <f t="shared" ref="G3:G42" si="2">F3-H3</f>
        <v>1.0150000000000072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2.880555555555552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46086.013985648096</v>
      </c>
      <c r="B4" s="5" t="s">
        <v>80</v>
      </c>
      <c r="C4" s="11">
        <v>1.3981481481481499E-2</v>
      </c>
      <c r="D4" s="11" t="s">
        <v>62</v>
      </c>
      <c r="E4" s="11">
        <v>0.113263888888889</v>
      </c>
      <c r="F4" s="12">
        <f t="shared" si="1"/>
        <v>2.3827777777777799</v>
      </c>
      <c r="G4" s="13">
        <f t="shared" si="2"/>
        <v>0</v>
      </c>
      <c r="H4" s="13">
        <f t="shared" si="3"/>
        <v>2.3827777777777799</v>
      </c>
      <c r="I4" s="21" t="s">
        <v>64</v>
      </c>
      <c r="J4" s="22">
        <f>SUMIF(B:B,"西塔台管制席",F:F)+SUMIF(B:B,"东塔台管制席",F:F)</f>
        <v>23.856944444444402</v>
      </c>
      <c r="K4" s="23">
        <f>SUMIF(B:B,"西塔台管制席",G:G)+SUMIF(B:B,"东塔台管制席",G:G)</f>
        <v>13.917222222222215</v>
      </c>
      <c r="L4" s="23">
        <f>SUMIF(B:B,"西塔台管制席",H:H)+SUMIF(B:B,"东塔台管制席",H:H)</f>
        <v>9.9397222222221835</v>
      </c>
      <c r="M4" s="19"/>
    </row>
    <row r="5" spans="1:16" ht="18.75" x14ac:dyDescent="0.25">
      <c r="A5" s="10">
        <f t="shared" ca="1" si="0"/>
        <v>46086.113295601797</v>
      </c>
      <c r="B5" s="5" t="s">
        <v>78</v>
      </c>
      <c r="C5" s="11">
        <v>0.11328703703703701</v>
      </c>
      <c r="D5" s="11" t="s">
        <v>62</v>
      </c>
      <c r="E5" s="11">
        <v>0.146168981481481</v>
      </c>
      <c r="F5" s="12">
        <f t="shared" si="1"/>
        <v>0.7891666666666558</v>
      </c>
      <c r="G5" s="13">
        <f t="shared" si="2"/>
        <v>0</v>
      </c>
      <c r="H5" s="13">
        <f t="shared" si="3"/>
        <v>0.7891666666666558</v>
      </c>
      <c r="I5" s="21" t="s">
        <v>65</v>
      </c>
      <c r="J5" s="22">
        <f>SUMIF(B:B,"西塔台协调席",F:F)+SUMIF(B:B,"东塔台协调席",F:F)</f>
        <v>9.6680555555555134</v>
      </c>
      <c r="K5" s="23">
        <f>SUMIF(B:B,"西塔台协调席",G:G)+SUMIF(B:B,"东塔台协调席",G:G)</f>
        <v>5.2316666666666372</v>
      </c>
      <c r="L5" s="23">
        <f>SUMIF(B:B,"西塔台协调席",H:H)+SUMIF(B:B,"东塔台协调席",H:H)</f>
        <v>4.4363888888888763</v>
      </c>
      <c r="M5" s="19"/>
    </row>
    <row r="6" spans="1:16" ht="18.75" x14ac:dyDescent="0.25">
      <c r="A6" s="10">
        <f t="shared" ca="1" si="0"/>
        <v>46089.138413541703</v>
      </c>
      <c r="B6" s="5" t="s">
        <v>78</v>
      </c>
      <c r="C6" s="11">
        <v>0.13840277777777801</v>
      </c>
      <c r="D6" s="11" t="s">
        <v>62</v>
      </c>
      <c r="E6" s="11">
        <v>0.219479166666667</v>
      </c>
      <c r="F6" s="12">
        <f t="shared" si="1"/>
        <v>1.9458333333333357</v>
      </c>
      <c r="G6" s="13">
        <f t="shared" si="2"/>
        <v>0</v>
      </c>
      <c r="H6" s="13">
        <f t="shared" si="3"/>
        <v>1.9458333333333357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46089.749789236099</v>
      </c>
      <c r="B7" s="5" t="s">
        <v>78</v>
      </c>
      <c r="C7" s="11">
        <v>0.74978009259259304</v>
      </c>
      <c r="D7" s="11" t="s">
        <v>62</v>
      </c>
      <c r="E7" s="11">
        <v>0.83876157407407403</v>
      </c>
      <c r="F7" s="12">
        <f t="shared" si="1"/>
        <v>2.1355555555555439</v>
      </c>
      <c r="G7" s="13">
        <f t="shared" si="2"/>
        <v>2.1355555555555439</v>
      </c>
      <c r="H7" s="13">
        <f t="shared" si="3"/>
        <v>0</v>
      </c>
      <c r="I7" s="21" t="s">
        <v>67</v>
      </c>
      <c r="J7" s="22">
        <f>SUMIF(B:B,"地面席",F:F)</f>
        <v>3.8791666666666558</v>
      </c>
      <c r="K7" s="23">
        <f>SUMIF(B:B,"地面席",G:G)</f>
        <v>0</v>
      </c>
      <c r="L7" s="23">
        <f>SUMIF(B:B,"地面席",H:H)</f>
        <v>3.8791666666666558</v>
      </c>
      <c r="M7" s="19"/>
    </row>
    <row r="8" spans="1:16" ht="18.75" x14ac:dyDescent="0.25">
      <c r="A8" s="10">
        <f t="shared" ca="1" si="0"/>
        <v>46090.138871875002</v>
      </c>
      <c r="B8" s="5" t="s">
        <v>81</v>
      </c>
      <c r="C8" s="11">
        <v>0.13886574074074101</v>
      </c>
      <c r="D8" s="11" t="s">
        <v>62</v>
      </c>
      <c r="E8" s="11">
        <v>0.21912037037036999</v>
      </c>
      <c r="F8" s="12">
        <f t="shared" si="1"/>
        <v>1.9261111111110956</v>
      </c>
      <c r="G8" s="13">
        <f t="shared" si="2"/>
        <v>0</v>
      </c>
      <c r="H8" s="13">
        <f t="shared" si="3"/>
        <v>1.9261111111110956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46090.219157060201</v>
      </c>
      <c r="B9" s="5" t="s">
        <v>82</v>
      </c>
      <c r="C9" s="11">
        <v>0.219155092592593</v>
      </c>
      <c r="D9" s="11" t="s">
        <v>62</v>
      </c>
      <c r="E9" s="11">
        <v>0.30472222222222201</v>
      </c>
      <c r="F9" s="12">
        <f t="shared" si="1"/>
        <v>2.0536111111110964</v>
      </c>
      <c r="G9" s="13">
        <f t="shared" si="2"/>
        <v>0</v>
      </c>
      <c r="H9" s="13">
        <f t="shared" si="3"/>
        <v>2.0536111111110964</v>
      </c>
      <c r="I9" s="21" t="s">
        <v>69</v>
      </c>
      <c r="J9" s="22">
        <f>SUMIF(B:B,"航班调度席",F:F)</f>
        <v>8.9702777777777776</v>
      </c>
      <c r="K9" s="23">
        <f>SUMIF(B:B,"航班调度席",G:G)</f>
        <v>8.9702777777777776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46092.3534365741</v>
      </c>
      <c r="B10" s="5" t="s">
        <v>78</v>
      </c>
      <c r="C10" s="11">
        <v>0.35342592592592598</v>
      </c>
      <c r="D10" s="11" t="s">
        <v>62</v>
      </c>
      <c r="E10" s="11">
        <v>0.50684027777777796</v>
      </c>
      <c r="F10" s="12">
        <f t="shared" si="1"/>
        <v>3.6819444444444476</v>
      </c>
      <c r="G10" s="13">
        <f t="shared" si="2"/>
        <v>3.6819444444444476</v>
      </c>
      <c r="H10" s="13">
        <f t="shared" si="3"/>
        <v>0</v>
      </c>
      <c r="I10" s="21" t="s">
        <v>70</v>
      </c>
      <c r="J10" s="22">
        <f>SUMIF(B:B,"综合协调席",F:F)</f>
        <v>1.9327777777777679</v>
      </c>
      <c r="K10" s="23">
        <f>SUMIF(B:B,"综合协调席",G:G)</f>
        <v>0</v>
      </c>
      <c r="L10" s="23">
        <f>SUMIF(B:B,"综合协调席",H:H)</f>
        <v>1.9327777777777679</v>
      </c>
      <c r="M10" s="19"/>
    </row>
    <row r="11" spans="1:16" ht="18.75" x14ac:dyDescent="0.25">
      <c r="A11" s="10">
        <f t="shared" ca="1" si="0"/>
        <v>46092.647597916701</v>
      </c>
      <c r="B11" s="5" t="s">
        <v>82</v>
      </c>
      <c r="C11" s="11">
        <v>0.64759259259259305</v>
      </c>
      <c r="D11" s="11" t="s">
        <v>62</v>
      </c>
      <c r="E11" s="11">
        <v>0.75770833333333298</v>
      </c>
      <c r="F11" s="12">
        <f t="shared" si="1"/>
        <v>2.6427777777777584</v>
      </c>
      <c r="G11" s="13">
        <f t="shared" si="2"/>
        <v>2.6427777777777584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46092.879273495397</v>
      </c>
      <c r="B12" s="5" t="s">
        <v>78</v>
      </c>
      <c r="C12" s="11">
        <v>0.879270833333333</v>
      </c>
      <c r="D12" s="11" t="s">
        <v>62</v>
      </c>
      <c r="E12" s="11">
        <v>0.96429398148148104</v>
      </c>
      <c r="F12" s="12">
        <f t="shared" si="1"/>
        <v>2.040555555555553</v>
      </c>
      <c r="G12" s="13">
        <f t="shared" si="2"/>
        <v>2.040555555555553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46093.3001141204</v>
      </c>
      <c r="B13" s="5" t="s">
        <v>78</v>
      </c>
      <c r="C13" s="11">
        <v>0.300104166666667</v>
      </c>
      <c r="D13" s="11" t="s">
        <v>62</v>
      </c>
      <c r="E13" s="11">
        <v>0.33156249999999998</v>
      </c>
      <c r="F13" s="12">
        <f t="shared" si="1"/>
        <v>0.75499999999999146</v>
      </c>
      <c r="G13" s="13">
        <f t="shared" si="2"/>
        <v>0</v>
      </c>
      <c r="H13" s="13">
        <f t="shared" si="3"/>
        <v>0.75499999999999146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46093.348238888902</v>
      </c>
      <c r="B14" s="5" t="s">
        <v>78</v>
      </c>
      <c r="C14" s="11">
        <v>0.34822916666666698</v>
      </c>
      <c r="D14" s="11" t="s">
        <v>62</v>
      </c>
      <c r="E14" s="11">
        <v>0.42255787037037001</v>
      </c>
      <c r="F14" s="12">
        <f t="shared" si="1"/>
        <v>1.7838888888888729</v>
      </c>
      <c r="G14" s="13">
        <f t="shared" si="2"/>
        <v>1.7838888888888729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46093.501592013898</v>
      </c>
      <c r="B15" s="5" t="s">
        <v>82</v>
      </c>
      <c r="C15" s="11">
        <v>0.50158564814814799</v>
      </c>
      <c r="D15" s="11" t="s">
        <v>62</v>
      </c>
      <c r="E15" s="11">
        <v>0.561076388888889</v>
      </c>
      <c r="F15" s="12">
        <f t="shared" si="1"/>
        <v>1.4277777777777843</v>
      </c>
      <c r="G15" s="13">
        <f t="shared" si="2"/>
        <v>1.4277777777777843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46093.581816088001</v>
      </c>
      <c r="B16" s="5" t="s">
        <v>82</v>
      </c>
      <c r="C16" s="11">
        <v>0.58180555555555602</v>
      </c>
      <c r="D16" s="11" t="s">
        <v>62</v>
      </c>
      <c r="E16" s="11">
        <v>0.63018518518518496</v>
      </c>
      <c r="F16" s="12">
        <f t="shared" si="1"/>
        <v>1.1611111111110946</v>
      </c>
      <c r="G16" s="13">
        <f t="shared" si="2"/>
        <v>1.1611111111110946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46093.749880902797</v>
      </c>
      <c r="B17" s="5" t="s">
        <v>78</v>
      </c>
      <c r="C17" s="11">
        <v>0.74987268518518502</v>
      </c>
      <c r="D17" s="11" t="s">
        <v>62</v>
      </c>
      <c r="E17" s="11">
        <v>0.76628472222222199</v>
      </c>
      <c r="F17" s="12">
        <f t="shared" si="1"/>
        <v>0.3938888888888874</v>
      </c>
      <c r="G17" s="13">
        <f t="shared" si="2"/>
        <v>0.3938888888888874</v>
      </c>
      <c r="H17" s="13">
        <f t="shared" si="3"/>
        <v>0</v>
      </c>
      <c r="I17" s="35" t="s">
        <v>75</v>
      </c>
      <c r="J17" s="36">
        <f>J4+J5+J6+J7+J10</f>
        <v>39.336944444444335</v>
      </c>
      <c r="K17" s="37">
        <f>K4+K5+K6+K7+K10</f>
        <v>19.148888888888852</v>
      </c>
      <c r="L17" s="38">
        <f>L4+L5+L6+L7+L10</f>
        <v>20.188055555555483</v>
      </c>
      <c r="M17" s="39"/>
    </row>
    <row r="18" spans="1:13" ht="20.25" x14ac:dyDescent="0.25">
      <c r="A18" s="10">
        <f t="shared" ca="1" si="0"/>
        <v>46093.7901269676</v>
      </c>
      <c r="B18" s="5" t="s">
        <v>78</v>
      </c>
      <c r="C18" s="11">
        <v>0.79012731481481502</v>
      </c>
      <c r="D18" s="11" t="s">
        <v>62</v>
      </c>
      <c r="E18" s="11">
        <v>0.83712962962963</v>
      </c>
      <c r="F18" s="12">
        <f t="shared" si="1"/>
        <v>1.1280555555555596</v>
      </c>
      <c r="G18" s="13">
        <f t="shared" si="2"/>
        <v>1.1280555555555596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46094.299515046303</v>
      </c>
      <c r="B19" s="5" t="s">
        <v>78</v>
      </c>
      <c r="C19" s="11">
        <v>0.29951388888888902</v>
      </c>
      <c r="D19" s="11" t="s">
        <v>62</v>
      </c>
      <c r="E19" s="11">
        <v>0.36563657407407402</v>
      </c>
      <c r="F19" s="12">
        <f t="shared" si="1"/>
        <v>1.5869444444444398</v>
      </c>
      <c r="G19" s="13">
        <f t="shared" si="2"/>
        <v>0.77527777777778484</v>
      </c>
      <c r="H19" s="13">
        <f t="shared" si="3"/>
        <v>0.81166666666665499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46104.376872800902</v>
      </c>
      <c r="B20" s="5" t="s">
        <v>79</v>
      </c>
      <c r="C20" s="11">
        <v>0.37686342592592598</v>
      </c>
      <c r="D20" s="11" t="s">
        <v>62</v>
      </c>
      <c r="E20" s="11">
        <v>0.504039351851852</v>
      </c>
      <c r="F20" s="12">
        <f t="shared" si="1"/>
        <v>3.0522222222222246</v>
      </c>
      <c r="G20" s="13">
        <f t="shared" si="2"/>
        <v>3.0522222222222246</v>
      </c>
      <c r="H20" s="13">
        <f t="shared" si="3"/>
        <v>0</v>
      </c>
      <c r="I20" s="40" t="s">
        <v>77</v>
      </c>
      <c r="J20" s="65">
        <f>J16+J17+J18+J19</f>
        <v>39.336944444444335</v>
      </c>
      <c r="K20" s="66"/>
      <c r="L20" s="67"/>
      <c r="M20" s="41"/>
    </row>
    <row r="21" spans="1:13" ht="20.25" x14ac:dyDescent="0.25">
      <c r="A21" s="10">
        <f t="shared" ca="1" si="0"/>
        <v>46104.626406828698</v>
      </c>
      <c r="B21" s="5" t="s">
        <v>79</v>
      </c>
      <c r="C21" s="11">
        <v>0.62640046296296303</v>
      </c>
      <c r="D21" s="11" t="s">
        <v>62</v>
      </c>
      <c r="E21" s="11">
        <v>0.69429398148148103</v>
      </c>
      <c r="F21" s="12">
        <f t="shared" si="1"/>
        <v>1.6294444444444318</v>
      </c>
      <c r="G21" s="13">
        <f t="shared" si="2"/>
        <v>1.6294444444444318</v>
      </c>
      <c r="H21" s="13">
        <f t="shared" si="3"/>
        <v>0</v>
      </c>
      <c r="I21" s="42" t="s">
        <v>4</v>
      </c>
      <c r="J21" s="43">
        <f>SUM(J8:J9)</f>
        <v>8.9702777777777776</v>
      </c>
      <c r="K21" s="37">
        <f>SUM(K8:K9)</f>
        <v>8.9702777777777776</v>
      </c>
      <c r="L21" s="38">
        <f>SUM(L8:L9)</f>
        <v>0</v>
      </c>
      <c r="M21" s="44"/>
    </row>
    <row r="22" spans="1:13" ht="18.75" x14ac:dyDescent="0.15">
      <c r="A22" s="10">
        <f t="shared" ca="1" si="0"/>
        <v>46105.425294212997</v>
      </c>
      <c r="B22" s="5" t="s">
        <v>79</v>
      </c>
      <c r="C22" s="11">
        <v>0.38917824074074098</v>
      </c>
      <c r="D22" s="11" t="s">
        <v>62</v>
      </c>
      <c r="E22" s="11">
        <v>0.459513888888889</v>
      </c>
      <c r="F22" s="12">
        <f t="shared" si="1"/>
        <v>1.6880555555555525</v>
      </c>
      <c r="G22" s="13">
        <f t="shared" si="2"/>
        <v>1.6880555555555525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46105.592186342597</v>
      </c>
      <c r="B23" s="5" t="s">
        <v>79</v>
      </c>
      <c r="C23" s="11">
        <v>0.59217592592592605</v>
      </c>
      <c r="D23" s="11" t="s">
        <v>62</v>
      </c>
      <c r="E23" s="11">
        <v>0.608217592592593</v>
      </c>
      <c r="F23" s="12">
        <f t="shared" si="1"/>
        <v>0.38500000000000689</v>
      </c>
      <c r="G23" s="13">
        <f t="shared" si="2"/>
        <v>0.38500000000000689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46105.629599652799</v>
      </c>
      <c r="B24" s="5" t="s">
        <v>79</v>
      </c>
      <c r="C24" s="11">
        <v>0.62959490740740698</v>
      </c>
      <c r="D24" s="11" t="s">
        <v>62</v>
      </c>
      <c r="E24" s="11">
        <v>0.72190972222222205</v>
      </c>
      <c r="F24" s="12">
        <f t="shared" si="1"/>
        <v>2.2155555555555617</v>
      </c>
      <c r="G24" s="13">
        <f t="shared" si="2"/>
        <v>2.2155555555555617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46106.1342135417</v>
      </c>
      <c r="B25" s="5" t="s">
        <v>85</v>
      </c>
      <c r="C25" s="11">
        <v>0.13421296296296301</v>
      </c>
      <c r="D25" s="11" t="s">
        <v>62</v>
      </c>
      <c r="E25" s="11">
        <v>0.21474537037037</v>
      </c>
      <c r="F25" s="12">
        <f t="shared" si="1"/>
        <v>1.9327777777777679</v>
      </c>
      <c r="G25" s="13">
        <f t="shared" si="2"/>
        <v>0</v>
      </c>
      <c r="H25" s="13">
        <f t="shared" si="3"/>
        <v>1.9327777777777679</v>
      </c>
      <c r="I25"/>
      <c r="J25"/>
    </row>
    <row r="26" spans="1:13" ht="18.75" x14ac:dyDescent="0.15">
      <c r="A26" s="10">
        <f t="shared" ca="1" si="0"/>
        <v>46108.9598780093</v>
      </c>
      <c r="B26" s="5" t="s">
        <v>78</v>
      </c>
      <c r="C26" s="11">
        <v>0.95987268518518498</v>
      </c>
      <c r="D26" s="11" t="s">
        <v>62</v>
      </c>
      <c r="E26" s="11">
        <v>0.114895833333333</v>
      </c>
      <c r="F26" s="12">
        <f t="shared" si="1"/>
        <v>3.7205555555555527</v>
      </c>
      <c r="G26" s="13">
        <f t="shared" si="2"/>
        <v>0.96305555555556044</v>
      </c>
      <c r="H26" s="13">
        <f t="shared" si="3"/>
        <v>2.7574999999999923</v>
      </c>
      <c r="I26"/>
      <c r="J26"/>
    </row>
    <row r="27" spans="1:13" ht="18.75" x14ac:dyDescent="0.15">
      <c r="A27" s="10">
        <f t="shared" ca="1" si="0"/>
        <v>46110.140455902801</v>
      </c>
      <c r="B27" s="5" t="s">
        <v>81</v>
      </c>
      <c r="C27" s="11">
        <v>0.140451388888889</v>
      </c>
      <c r="D27" s="11" t="s">
        <v>62</v>
      </c>
      <c r="E27" s="11">
        <v>0.221828703703704</v>
      </c>
      <c r="F27" s="12">
        <f t="shared" si="1"/>
        <v>1.95305555555556</v>
      </c>
      <c r="G27" s="13">
        <f t="shared" si="2"/>
        <v>0</v>
      </c>
      <c r="H27" s="13">
        <f t="shared" si="3"/>
        <v>1.95305555555556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42"/>
  <sheetViews>
    <sheetView topLeftCell="B16" zoomScale="85" zoomScaleNormal="85" workbookViewId="0">
      <selection activeCell="E43" sqref="E43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46082.139196643497</v>
      </c>
      <c r="B3" s="5" t="s">
        <v>83</v>
      </c>
      <c r="C3" s="11">
        <v>0.13918981481481499</v>
      </c>
      <c r="D3" s="11" t="s">
        <v>62</v>
      </c>
      <c r="E3" s="11">
        <v>0.238240740740741</v>
      </c>
      <c r="F3" s="12">
        <f t="shared" ref="F3:F42" si="1">(IF(E3-C3&lt;0,"24:00"-C3+E3,E3-C3))*24</f>
        <v>2.3772222222222243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2.3772222222222243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46082.238278588004</v>
      </c>
      <c r="B4" s="5" t="s">
        <v>82</v>
      </c>
      <c r="C4" s="11">
        <v>0.23827546296296301</v>
      </c>
      <c r="D4" s="11" t="s">
        <v>62</v>
      </c>
      <c r="E4" s="11">
        <v>0.30234953703703699</v>
      </c>
      <c r="F4" s="12">
        <f t="shared" si="1"/>
        <v>1.5377777777777755</v>
      </c>
      <c r="G4" s="13">
        <f t="shared" si="2"/>
        <v>0</v>
      </c>
      <c r="H4" s="13">
        <f t="shared" si="3"/>
        <v>1.5377777777777755</v>
      </c>
      <c r="I4" s="21" t="s">
        <v>64</v>
      </c>
      <c r="J4" s="22">
        <f>SUMIF(B:B,"西塔台管制席",F:F)+SUMIF(B:B,"东塔台管制席",F:F)</f>
        <v>38.407222222222231</v>
      </c>
      <c r="K4" s="23">
        <f>SUMIF(B:B,"西塔台管制席",G:G)+SUMIF(B:B,"东塔台管制席",G:G)</f>
        <v>25.277500000000011</v>
      </c>
      <c r="L4" s="23">
        <f>SUMIF(B:B,"西塔台管制席",H:H)+SUMIF(B:B,"东塔台管制席",H:H)</f>
        <v>13.129722222222215</v>
      </c>
      <c r="M4" s="19"/>
    </row>
    <row r="5" spans="1:16" ht="18.75" x14ac:dyDescent="0.25">
      <c r="A5" s="10">
        <f t="shared" ca="1" si="0"/>
        <v>46084.502910648102</v>
      </c>
      <c r="B5" s="5" t="s">
        <v>78</v>
      </c>
      <c r="C5" s="11">
        <v>0.50290509259259297</v>
      </c>
      <c r="D5" s="11" t="s">
        <v>62</v>
      </c>
      <c r="E5" s="11">
        <v>0.63244212962962998</v>
      </c>
      <c r="F5" s="12">
        <f t="shared" si="1"/>
        <v>3.1088888888888881</v>
      </c>
      <c r="G5" s="13">
        <f t="shared" si="2"/>
        <v>3.1088888888888881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39.846111111111092</v>
      </c>
      <c r="K5" s="23">
        <f>SUMIF(B:B,"西塔台协调席",G:G)+SUMIF(B:B,"东塔台协调席",G:G)</f>
        <v>33.063611111111115</v>
      </c>
      <c r="L5" s="23">
        <f>SUMIF(B:B,"西塔台协调席",H:H)+SUMIF(B:B,"东塔台协调席",H:H)</f>
        <v>6.7824999999999758</v>
      </c>
      <c r="M5" s="19"/>
    </row>
    <row r="6" spans="1:16" ht="18.75" x14ac:dyDescent="0.25">
      <c r="A6" s="10">
        <f t="shared" ca="1" si="0"/>
        <v>46084.751458680599</v>
      </c>
      <c r="B6" s="5" t="s">
        <v>82</v>
      </c>
      <c r="C6" s="11">
        <v>0.75145833333333301</v>
      </c>
      <c r="D6" s="11" t="s">
        <v>62</v>
      </c>
      <c r="E6" s="11">
        <v>0.88358796296296305</v>
      </c>
      <c r="F6" s="12">
        <f t="shared" si="1"/>
        <v>3.171111111111121</v>
      </c>
      <c r="G6" s="13">
        <f t="shared" si="2"/>
        <v>3.171111111111121</v>
      </c>
      <c r="H6" s="13">
        <f t="shared" si="3"/>
        <v>0</v>
      </c>
      <c r="I6" s="21" t="s">
        <v>66</v>
      </c>
      <c r="J6" s="22">
        <f>SUMIF(B:B,"放行席",F:F)</f>
        <v>2.0799999999999841</v>
      </c>
      <c r="K6" s="23">
        <f>SUMIF(B:B,"放行席",G:G)</f>
        <v>0</v>
      </c>
      <c r="L6" s="23">
        <f>SUMIF(B:B,"放行席",H:H)</f>
        <v>2.0799999999999841</v>
      </c>
      <c r="M6" s="19"/>
    </row>
    <row r="7" spans="1:16" ht="18.75" x14ac:dyDescent="0.25">
      <c r="A7" s="10">
        <f t="shared" ca="1" si="0"/>
        <v>46085.417930555603</v>
      </c>
      <c r="B7" s="5" t="s">
        <v>83</v>
      </c>
      <c r="C7" s="11">
        <v>0.41792824074074097</v>
      </c>
      <c r="D7" s="11" t="s">
        <v>62</v>
      </c>
      <c r="E7" s="11">
        <v>0.508738425925926</v>
      </c>
      <c r="F7" s="12">
        <f t="shared" si="1"/>
        <v>2.1794444444444405</v>
      </c>
      <c r="G7" s="13">
        <f t="shared" si="2"/>
        <v>2.1794444444444405</v>
      </c>
      <c r="H7" s="13">
        <f t="shared" si="3"/>
        <v>0</v>
      </c>
      <c r="I7" s="21" t="s">
        <v>67</v>
      </c>
      <c r="J7" s="22">
        <f>SUMIF(B:B,"地面席",F:F)</f>
        <v>2.1449999999999996</v>
      </c>
      <c r="K7" s="23">
        <f>SUMIF(B:B,"地面席",G:G)</f>
        <v>0</v>
      </c>
      <c r="L7" s="23">
        <f>SUMIF(B:B,"地面席",H:H)</f>
        <v>2.1449999999999996</v>
      </c>
      <c r="M7" s="19"/>
    </row>
    <row r="8" spans="1:16" ht="18.75" x14ac:dyDescent="0.25">
      <c r="A8" s="10">
        <f t="shared" ca="1" si="0"/>
        <v>46085.624817129603</v>
      </c>
      <c r="B8" s="5" t="s">
        <v>80</v>
      </c>
      <c r="C8" s="11">
        <v>0.62481481481481504</v>
      </c>
      <c r="D8" s="11" t="s">
        <v>62</v>
      </c>
      <c r="E8" s="11">
        <v>0.757349537037037</v>
      </c>
      <c r="F8" s="12">
        <f t="shared" si="1"/>
        <v>3.180833333333327</v>
      </c>
      <c r="G8" s="13">
        <f t="shared" si="2"/>
        <v>3.180833333333327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46085.833726736098</v>
      </c>
      <c r="B9" s="5" t="s">
        <v>78</v>
      </c>
      <c r="C9" s="11">
        <v>0.83372685185185202</v>
      </c>
      <c r="D9" s="11" t="s">
        <v>62</v>
      </c>
      <c r="E9" s="11">
        <v>0.96135416666666695</v>
      </c>
      <c r="F9" s="12">
        <f t="shared" si="1"/>
        <v>3.0630555555555583</v>
      </c>
      <c r="G9" s="13">
        <f t="shared" si="2"/>
        <v>3.0630555555555583</v>
      </c>
      <c r="H9" s="13">
        <f t="shared" si="3"/>
        <v>0</v>
      </c>
      <c r="I9" s="21" t="s">
        <v>69</v>
      </c>
      <c r="J9" s="22">
        <f>SUMIF(B:B,"航班调度席",F:F)</f>
        <v>16.109722222222246</v>
      </c>
      <c r="K9" s="23">
        <f>SUMIF(B:B,"航班调度席",G:G)</f>
        <v>16.109722222222246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46086.298215509298</v>
      </c>
      <c r="B10" s="5" t="s">
        <v>82</v>
      </c>
      <c r="C10" s="11">
        <v>0.29820601851851902</v>
      </c>
      <c r="D10" s="11" t="s">
        <v>62</v>
      </c>
      <c r="E10" s="11">
        <v>0.36343750000000002</v>
      </c>
      <c r="F10" s="12">
        <f t="shared" si="1"/>
        <v>1.565555555555544</v>
      </c>
      <c r="G10" s="13">
        <f t="shared" si="2"/>
        <v>0.72250000000000902</v>
      </c>
      <c r="H10" s="13">
        <f t="shared" si="3"/>
        <v>0.84305555555553502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46088.377424421298</v>
      </c>
      <c r="B11" s="5" t="s">
        <v>79</v>
      </c>
      <c r="C11" s="11">
        <v>0.37741898148148101</v>
      </c>
      <c r="D11" s="11" t="s">
        <v>62</v>
      </c>
      <c r="E11" s="11">
        <v>0.51628472222222199</v>
      </c>
      <c r="F11" s="12">
        <f t="shared" si="1"/>
        <v>3.3327777777777836</v>
      </c>
      <c r="G11" s="13">
        <f t="shared" si="2"/>
        <v>3.3327777777777836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46088.611272222202</v>
      </c>
      <c r="B12" s="5" t="s">
        <v>79</v>
      </c>
      <c r="C12" s="11">
        <v>0.611261574074074</v>
      </c>
      <c r="D12" s="11" t="s">
        <v>62</v>
      </c>
      <c r="E12" s="11">
        <v>0.70222222222222197</v>
      </c>
      <c r="F12" s="12">
        <f t="shared" si="1"/>
        <v>2.1830555555555513</v>
      </c>
      <c r="G12" s="13">
        <f t="shared" si="2"/>
        <v>2.1830555555555513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46089.374232060203</v>
      </c>
      <c r="B13" s="5" t="s">
        <v>79</v>
      </c>
      <c r="C13" s="11">
        <v>0.37422453703703701</v>
      </c>
      <c r="D13" s="11" t="s">
        <v>62</v>
      </c>
      <c r="E13" s="11">
        <v>0.50152777777777802</v>
      </c>
      <c r="F13" s="12">
        <f t="shared" si="1"/>
        <v>3.0552777777777842</v>
      </c>
      <c r="G13" s="13">
        <f t="shared" si="2"/>
        <v>3.0552777777777842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46089.607063425901</v>
      </c>
      <c r="B14" s="5" t="s">
        <v>79</v>
      </c>
      <c r="C14" s="11">
        <v>0.60706018518518501</v>
      </c>
      <c r="D14" s="11" t="s">
        <v>62</v>
      </c>
      <c r="E14" s="11">
        <v>0.71011574074074102</v>
      </c>
      <c r="F14" s="12">
        <f t="shared" si="1"/>
        <v>2.4733333333333443</v>
      </c>
      <c r="G14" s="13">
        <f t="shared" si="2"/>
        <v>2.4733333333333443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46089.750264699098</v>
      </c>
      <c r="B15" s="5" t="s">
        <v>82</v>
      </c>
      <c r="C15" s="11">
        <v>0.75025462962962997</v>
      </c>
      <c r="D15" s="11" t="s">
        <v>62</v>
      </c>
      <c r="E15" s="11">
        <v>0.87743055555555605</v>
      </c>
      <c r="F15" s="12">
        <f t="shared" si="1"/>
        <v>3.0522222222222259</v>
      </c>
      <c r="G15" s="13">
        <f t="shared" si="2"/>
        <v>3.0522222222222259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46093.131337036997</v>
      </c>
      <c r="B16" s="5" t="s">
        <v>84</v>
      </c>
      <c r="C16" s="11">
        <v>0.131331018518519</v>
      </c>
      <c r="D16" s="11" t="s">
        <v>62</v>
      </c>
      <c r="E16" s="11">
        <v>0.217997685185185</v>
      </c>
      <c r="F16" s="12">
        <f t="shared" si="1"/>
        <v>2.0799999999999841</v>
      </c>
      <c r="G16" s="13">
        <f t="shared" si="2"/>
        <v>0</v>
      </c>
      <c r="H16" s="13">
        <f t="shared" si="3"/>
        <v>2.0799999999999841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46094.140033101903</v>
      </c>
      <c r="B17" s="5" t="s">
        <v>83</v>
      </c>
      <c r="C17" s="11">
        <v>0.14002314814814801</v>
      </c>
      <c r="D17" s="11" t="s">
        <v>62</v>
      </c>
      <c r="E17" s="11">
        <v>0.26560185185185198</v>
      </c>
      <c r="F17" s="12">
        <f t="shared" si="1"/>
        <v>3.0138888888888955</v>
      </c>
      <c r="G17" s="13">
        <f t="shared" si="2"/>
        <v>0</v>
      </c>
      <c r="H17" s="13">
        <f t="shared" si="3"/>
        <v>3.0138888888888955</v>
      </c>
      <c r="I17" s="35" t="s">
        <v>75</v>
      </c>
      <c r="J17" s="36">
        <f>J4+J5+J6+J7+J10</f>
        <v>82.47833333333331</v>
      </c>
      <c r="K17" s="37">
        <f>K4+K5+K6+K7+K10</f>
        <v>58.341111111111125</v>
      </c>
      <c r="L17" s="38">
        <f>L4+L5+L6+L7+L10</f>
        <v>24.137222222222174</v>
      </c>
      <c r="M17" s="39"/>
    </row>
    <row r="18" spans="1:13" ht="20.25" x14ac:dyDescent="0.25">
      <c r="A18" s="10">
        <f t="shared" ca="1" si="0"/>
        <v>46094.265637152799</v>
      </c>
      <c r="B18" s="5" t="s">
        <v>82</v>
      </c>
      <c r="C18" s="11">
        <v>0.26563657407407398</v>
      </c>
      <c r="D18" s="11" t="s">
        <v>62</v>
      </c>
      <c r="E18" s="11">
        <v>0.30298611111111101</v>
      </c>
      <c r="F18" s="12">
        <f t="shared" si="1"/>
        <v>0.89638888888888868</v>
      </c>
      <c r="G18" s="13">
        <f t="shared" si="2"/>
        <v>0</v>
      </c>
      <c r="H18" s="13">
        <f t="shared" si="3"/>
        <v>0.89638888888888868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46096.3545922454</v>
      </c>
      <c r="B19" s="5" t="s">
        <v>78</v>
      </c>
      <c r="C19" s="11">
        <v>0.35458333333333297</v>
      </c>
      <c r="D19" s="11" t="s">
        <v>62</v>
      </c>
      <c r="E19" s="11">
        <v>0.50724537037036999</v>
      </c>
      <c r="F19" s="12">
        <f t="shared" si="1"/>
        <v>3.6638888888888883</v>
      </c>
      <c r="G19" s="13">
        <f t="shared" si="2"/>
        <v>3.6638888888888883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46096.6251430556</v>
      </c>
      <c r="B20" s="5" t="s">
        <v>82</v>
      </c>
      <c r="C20" s="11">
        <v>0.62513888888888902</v>
      </c>
      <c r="D20" s="11" t="s">
        <v>62</v>
      </c>
      <c r="E20" s="11">
        <v>0.75525462962962997</v>
      </c>
      <c r="F20" s="12">
        <f t="shared" si="1"/>
        <v>3.1227777777777828</v>
      </c>
      <c r="G20" s="13">
        <f t="shared" si="2"/>
        <v>3.1227777777777828</v>
      </c>
      <c r="H20" s="13">
        <f t="shared" si="3"/>
        <v>0</v>
      </c>
      <c r="I20" s="40" t="s">
        <v>77</v>
      </c>
      <c r="J20" s="65">
        <f>J16+J17+J18+J19</f>
        <v>82.47833333333331</v>
      </c>
      <c r="K20" s="66"/>
      <c r="L20" s="67"/>
      <c r="M20" s="41"/>
    </row>
    <row r="21" spans="1:13" ht="20.25" x14ac:dyDescent="0.25">
      <c r="A21" s="10">
        <f t="shared" ca="1" si="0"/>
        <v>46096.874997453699</v>
      </c>
      <c r="B21" s="5" t="s">
        <v>78</v>
      </c>
      <c r="C21" s="11">
        <v>0.87498842592592596</v>
      </c>
      <c r="D21" s="11" t="s">
        <v>62</v>
      </c>
      <c r="E21" s="11">
        <v>0.96363425925925905</v>
      </c>
      <c r="F21" s="12">
        <f t="shared" si="1"/>
        <v>2.1274999999999942</v>
      </c>
      <c r="G21" s="13">
        <f t="shared" si="2"/>
        <v>2.1274999999999942</v>
      </c>
      <c r="H21" s="13">
        <f t="shared" si="3"/>
        <v>0</v>
      </c>
      <c r="I21" s="42" t="s">
        <v>4</v>
      </c>
      <c r="J21" s="43">
        <f>SUM(J8:J9)</f>
        <v>16.109722222222246</v>
      </c>
      <c r="K21" s="37">
        <f>SUM(K8:K9)</f>
        <v>16.109722222222246</v>
      </c>
      <c r="L21" s="38">
        <f>SUM(L8:L9)</f>
        <v>0</v>
      </c>
      <c r="M21" s="44"/>
    </row>
    <row r="22" spans="1:13" ht="18.75" x14ac:dyDescent="0.15">
      <c r="A22" s="10">
        <f t="shared" ca="1" si="0"/>
        <v>46097.298215856499</v>
      </c>
      <c r="B22" s="5" t="s">
        <v>83</v>
      </c>
      <c r="C22" s="11">
        <v>0.29820601851851902</v>
      </c>
      <c r="D22" s="11" t="s">
        <v>62</v>
      </c>
      <c r="E22" s="11">
        <v>0.32026620370370401</v>
      </c>
      <c r="F22" s="12">
        <f t="shared" si="1"/>
        <v>0.52944444444443972</v>
      </c>
      <c r="G22" s="13">
        <f t="shared" si="2"/>
        <v>0</v>
      </c>
      <c r="H22" s="13">
        <f t="shared" si="3"/>
        <v>0.52944444444443972</v>
      </c>
      <c r="I22"/>
      <c r="J22"/>
    </row>
    <row r="23" spans="1:13" ht="18.75" x14ac:dyDescent="0.15">
      <c r="A23" s="10">
        <f t="shared" ca="1" si="0"/>
        <v>46097.320295717604</v>
      </c>
      <c r="B23" s="5" t="s">
        <v>82</v>
      </c>
      <c r="C23" s="11">
        <v>0.32028935185185198</v>
      </c>
      <c r="D23" s="11" t="s">
        <v>62</v>
      </c>
      <c r="E23" s="11">
        <v>0.425335648148148</v>
      </c>
      <c r="F23" s="12">
        <f t="shared" si="1"/>
        <v>2.5211111111111046</v>
      </c>
      <c r="G23" s="13">
        <f t="shared" si="2"/>
        <v>2.2080555555555605</v>
      </c>
      <c r="H23" s="13">
        <f t="shared" si="3"/>
        <v>0.3130555555555441</v>
      </c>
      <c r="I23"/>
      <c r="J23"/>
    </row>
    <row r="24" spans="1:13" ht="18.75" x14ac:dyDescent="0.15">
      <c r="A24" s="10">
        <f t="shared" ca="1" si="0"/>
        <v>46097.500352083298</v>
      </c>
      <c r="B24" s="5" t="s">
        <v>78</v>
      </c>
      <c r="C24" s="11">
        <v>0.50034722222222205</v>
      </c>
      <c r="D24" s="11" t="s">
        <v>62</v>
      </c>
      <c r="E24" s="11">
        <v>0.63096064814814801</v>
      </c>
      <c r="F24" s="12">
        <f t="shared" si="1"/>
        <v>3.1347222222222229</v>
      </c>
      <c r="G24" s="13">
        <f t="shared" si="2"/>
        <v>3.1347222222222229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46097.749862037002</v>
      </c>
      <c r="B25" s="5" t="s">
        <v>82</v>
      </c>
      <c r="C25" s="11">
        <v>0.74986111111111098</v>
      </c>
      <c r="D25" s="11" t="s">
        <v>62</v>
      </c>
      <c r="E25" s="11">
        <v>0.83940972222222199</v>
      </c>
      <c r="F25" s="12">
        <f t="shared" si="1"/>
        <v>2.1491666666666642</v>
      </c>
      <c r="G25" s="13">
        <f t="shared" si="2"/>
        <v>2.1491666666666642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46100.958362500001</v>
      </c>
      <c r="B26" s="5" t="s">
        <v>83</v>
      </c>
      <c r="C26" s="11">
        <v>0.958356481481481</v>
      </c>
      <c r="D26" s="11" t="s">
        <v>62</v>
      </c>
      <c r="E26" s="11">
        <v>0.101284722222222</v>
      </c>
      <c r="F26" s="12">
        <f t="shared" si="1"/>
        <v>3.4302777777777842</v>
      </c>
      <c r="G26" s="13">
        <f t="shared" si="2"/>
        <v>0.99944444444445635</v>
      </c>
      <c r="H26" s="13">
        <f t="shared" si="3"/>
        <v>2.4308333333333279</v>
      </c>
      <c r="I26"/>
      <c r="J26"/>
    </row>
    <row r="27" spans="1:13" ht="18.75" x14ac:dyDescent="0.15">
      <c r="A27" s="10">
        <f t="shared" ca="1" si="0"/>
        <v>46101.101323611103</v>
      </c>
      <c r="B27" s="5" t="s">
        <v>80</v>
      </c>
      <c r="C27" s="11">
        <v>0.10136574074074101</v>
      </c>
      <c r="D27" s="11" t="s">
        <v>62</v>
      </c>
      <c r="E27" s="11">
        <v>0.111331018518519</v>
      </c>
      <c r="F27" s="12">
        <f t="shared" si="1"/>
        <v>0.23916666666667175</v>
      </c>
      <c r="G27" s="13">
        <f t="shared" si="2"/>
        <v>0</v>
      </c>
      <c r="H27" s="13">
        <f t="shared" si="3"/>
        <v>0.23916666666667175</v>
      </c>
      <c r="I27"/>
      <c r="J27"/>
    </row>
    <row r="28" spans="1:13" ht="18.75" x14ac:dyDescent="0.15">
      <c r="A28" s="10">
        <f t="shared" ca="1" si="0"/>
        <v>46101.444072338003</v>
      </c>
      <c r="B28" s="5" t="s">
        <v>79</v>
      </c>
      <c r="C28" s="11">
        <v>0.451006944444444</v>
      </c>
      <c r="D28" s="11" t="s">
        <v>62</v>
      </c>
      <c r="E28" s="11">
        <v>0.51895833333333297</v>
      </c>
      <c r="F28" s="12">
        <f t="shared" si="1"/>
        <v>1.6308333333333351</v>
      </c>
      <c r="G28" s="13">
        <f t="shared" si="2"/>
        <v>1.6308333333333351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46101.582055555598</v>
      </c>
      <c r="B29" s="5" t="s">
        <v>79</v>
      </c>
      <c r="C29" s="11">
        <v>0.58204861111111095</v>
      </c>
      <c r="D29" s="11" t="s">
        <v>62</v>
      </c>
      <c r="E29" s="11">
        <v>0.72515046296296304</v>
      </c>
      <c r="F29" s="12">
        <f t="shared" si="1"/>
        <v>3.4344444444444502</v>
      </c>
      <c r="G29" s="13">
        <f t="shared" si="2"/>
        <v>3.4344444444444502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46101.834198263903</v>
      </c>
      <c r="B30" s="5" t="s">
        <v>82</v>
      </c>
      <c r="C30" s="11">
        <v>0.83418981481481502</v>
      </c>
      <c r="D30" s="11" t="s">
        <v>62</v>
      </c>
      <c r="E30" s="11">
        <v>0.88018518518518496</v>
      </c>
      <c r="F30" s="12">
        <f t="shared" si="1"/>
        <v>1.1038888888888785</v>
      </c>
      <c r="G30" s="13">
        <f t="shared" si="2"/>
        <v>1.1038888888888785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46102.013640972204</v>
      </c>
      <c r="B31" s="5" t="s">
        <v>80</v>
      </c>
      <c r="C31" s="11">
        <v>1.3634259259259301E-2</v>
      </c>
      <c r="D31" s="11" t="s">
        <v>62</v>
      </c>
      <c r="E31" s="11">
        <v>0.136678240740741</v>
      </c>
      <c r="F31" s="12">
        <f t="shared" si="1"/>
        <v>2.9530555555555607</v>
      </c>
      <c r="G31" s="13">
        <f t="shared" si="2"/>
        <v>0</v>
      </c>
      <c r="H31" s="13">
        <f t="shared" si="3"/>
        <v>2.9530555555555607</v>
      </c>
      <c r="I31"/>
      <c r="J31"/>
    </row>
    <row r="32" spans="1:13" ht="18.75" x14ac:dyDescent="0.15">
      <c r="A32" s="10">
        <f t="shared" ca="1" si="0"/>
        <v>46105.138964004604</v>
      </c>
      <c r="B32" s="5" t="s">
        <v>78</v>
      </c>
      <c r="C32" s="11">
        <v>0.13895833333333299</v>
      </c>
      <c r="D32" s="11" t="s">
        <v>62</v>
      </c>
      <c r="E32" s="11">
        <v>0.303263888888889</v>
      </c>
      <c r="F32" s="12">
        <f t="shared" si="1"/>
        <v>3.943333333333344</v>
      </c>
      <c r="G32" s="13">
        <f t="shared" si="2"/>
        <v>0</v>
      </c>
      <c r="H32" s="13">
        <f t="shared" si="3"/>
        <v>3.943333333333344</v>
      </c>
      <c r="I32"/>
      <c r="J32"/>
    </row>
    <row r="33" spans="1:11" ht="18.75" x14ac:dyDescent="0.15">
      <c r="A33" s="10">
        <f t="shared" ca="1" si="0"/>
        <v>46106.1375819444</v>
      </c>
      <c r="B33" s="5" t="s">
        <v>81</v>
      </c>
      <c r="C33" s="11">
        <v>0.137581018518519</v>
      </c>
      <c r="D33" s="11" t="s">
        <v>62</v>
      </c>
      <c r="E33" s="11">
        <v>0.22695601851851899</v>
      </c>
      <c r="F33" s="12">
        <f t="shared" si="1"/>
        <v>2.1449999999999996</v>
      </c>
      <c r="G33" s="13">
        <f t="shared" si="2"/>
        <v>0</v>
      </c>
      <c r="H33" s="13">
        <f t="shared" si="3"/>
        <v>2.1449999999999996</v>
      </c>
      <c r="I33"/>
      <c r="J33"/>
    </row>
    <row r="34" spans="1:11" ht="18.75" x14ac:dyDescent="0.15">
      <c r="A34" s="10">
        <f t="shared" ca="1" si="0"/>
        <v>46108.359904861099</v>
      </c>
      <c r="B34" s="5" t="s">
        <v>82</v>
      </c>
      <c r="C34" s="11">
        <v>0.35989583333333303</v>
      </c>
      <c r="D34" s="11" t="s">
        <v>62</v>
      </c>
      <c r="E34" s="11">
        <v>0.50972222222222197</v>
      </c>
      <c r="F34" s="12">
        <f t="shared" si="1"/>
        <v>3.5958333333333345</v>
      </c>
      <c r="G34" s="13">
        <f t="shared" si="2"/>
        <v>3.5958333333333345</v>
      </c>
      <c r="H34" s="13">
        <f t="shared" si="3"/>
        <v>0</v>
      </c>
      <c r="I34"/>
      <c r="J34"/>
    </row>
    <row r="35" spans="1:11" ht="18.75" x14ac:dyDescent="0.15">
      <c r="A35" s="10">
        <f t="shared" ca="1" si="0"/>
        <v>46108.625387963002</v>
      </c>
      <c r="B35" s="5" t="s">
        <v>78</v>
      </c>
      <c r="C35" s="11">
        <v>0.62538194444444495</v>
      </c>
      <c r="D35" s="11" t="s">
        <v>62</v>
      </c>
      <c r="E35" s="11">
        <v>0.75884259259259301</v>
      </c>
      <c r="F35" s="12">
        <f t="shared" si="1"/>
        <v>3.2030555555555535</v>
      </c>
      <c r="G35" s="13">
        <f t="shared" si="2"/>
        <v>3.2030555555555535</v>
      </c>
      <c r="H35" s="13">
        <f t="shared" si="3"/>
        <v>0</v>
      </c>
      <c r="I35"/>
      <c r="J35"/>
    </row>
    <row r="36" spans="1:11" ht="18.75" x14ac:dyDescent="0.15">
      <c r="A36" s="10">
        <f t="shared" ca="1" si="0"/>
        <v>46108.875592824101</v>
      </c>
      <c r="B36" s="5" t="s">
        <v>82</v>
      </c>
      <c r="C36" s="11">
        <v>0.87559027777777798</v>
      </c>
      <c r="D36" s="11" t="s">
        <v>62</v>
      </c>
      <c r="E36" s="11">
        <v>0.96421296296296299</v>
      </c>
      <c r="F36" s="12">
        <f t="shared" si="1"/>
        <v>2.1269444444444403</v>
      </c>
      <c r="G36" s="13">
        <f t="shared" si="2"/>
        <v>2.1269444444444403</v>
      </c>
      <c r="H36" s="13">
        <f t="shared" si="3"/>
        <v>0</v>
      </c>
      <c r="I36"/>
      <c r="J36"/>
    </row>
    <row r="37" spans="1:11" ht="18.75" x14ac:dyDescent="0.15">
      <c r="A37" s="10">
        <f t="shared" ca="1" si="0"/>
        <v>46109.4175328704</v>
      </c>
      <c r="B37" s="5" t="s">
        <v>80</v>
      </c>
      <c r="C37" s="11">
        <v>0.417523148148148</v>
      </c>
      <c r="D37" s="11" t="s">
        <v>62</v>
      </c>
      <c r="E37" s="11">
        <v>0.51666666666666705</v>
      </c>
      <c r="F37" s="12">
        <f t="shared" si="1"/>
        <v>2.3794444444444571</v>
      </c>
      <c r="G37" s="13">
        <f t="shared" si="2"/>
        <v>2.3794444444444571</v>
      </c>
      <c r="H37" s="13">
        <f t="shared" si="3"/>
        <v>0</v>
      </c>
      <c r="I37"/>
      <c r="J37"/>
    </row>
    <row r="38" spans="1:11" ht="18.75" x14ac:dyDescent="0.15">
      <c r="A38" s="10">
        <f t="shared" ca="1" si="0"/>
        <v>46109.624831250003</v>
      </c>
      <c r="B38" s="5" t="s">
        <v>83</v>
      </c>
      <c r="C38" s="11">
        <v>0.62482638888888897</v>
      </c>
      <c r="D38" s="11" t="s">
        <v>62</v>
      </c>
      <c r="E38" s="11">
        <v>0.75593750000000004</v>
      </c>
      <c r="F38" s="12">
        <f t="shared" si="1"/>
        <v>3.1466666666666656</v>
      </c>
      <c r="G38" s="13">
        <f t="shared" si="2"/>
        <v>3.1466666666666656</v>
      </c>
      <c r="H38" s="13">
        <f t="shared" si="3"/>
        <v>0</v>
      </c>
      <c r="I38" s="45"/>
      <c r="J38" s="46"/>
      <c r="K38" s="11"/>
    </row>
    <row r="39" spans="1:11" ht="18.75" x14ac:dyDescent="0.15">
      <c r="A39" s="10">
        <f t="shared" ca="1" si="0"/>
        <v>46109.834152777803</v>
      </c>
      <c r="B39" s="5" t="s">
        <v>80</v>
      </c>
      <c r="C39" s="11">
        <v>0.83414351851851898</v>
      </c>
      <c r="D39" s="11" t="s">
        <v>62</v>
      </c>
      <c r="E39" s="11">
        <v>0.96392361111111102</v>
      </c>
      <c r="F39" s="12">
        <f t="shared" si="1"/>
        <v>3.1147222222222091</v>
      </c>
      <c r="G39" s="13">
        <f t="shared" si="2"/>
        <v>3.1147222222222091</v>
      </c>
      <c r="H39" s="13">
        <f t="shared" si="3"/>
        <v>0</v>
      </c>
      <c r="I39" s="45"/>
      <c r="J39" s="46"/>
      <c r="K39" s="11"/>
    </row>
    <row r="40" spans="1:11" ht="18.75" x14ac:dyDescent="0.15">
      <c r="A40" s="10">
        <f t="shared" ca="1" si="0"/>
        <v>46110.298542013901</v>
      </c>
      <c r="B40" s="5" t="s">
        <v>83</v>
      </c>
      <c r="C40" s="11">
        <v>0.29854166666666698</v>
      </c>
      <c r="D40" s="11" t="s">
        <v>62</v>
      </c>
      <c r="E40" s="11">
        <v>0.360451388888889</v>
      </c>
      <c r="F40" s="12">
        <f t="shared" si="1"/>
        <v>1.4858333333333285</v>
      </c>
      <c r="G40" s="13">
        <f t="shared" si="2"/>
        <v>0.65083333333334448</v>
      </c>
      <c r="H40" s="13">
        <f t="shared" si="3"/>
        <v>0.83499999999998398</v>
      </c>
      <c r="I40" s="45"/>
      <c r="J40" s="46"/>
      <c r="K40" s="11"/>
    </row>
    <row r="41" spans="1:11" ht="18.75" x14ac:dyDescent="0.15">
      <c r="A41" s="10">
        <f t="shared" ca="1" si="0"/>
        <v>46112.500493749998</v>
      </c>
      <c r="B41" s="5" t="s">
        <v>82</v>
      </c>
      <c r="C41" s="11">
        <v>0.50048611111111097</v>
      </c>
      <c r="D41" s="11" t="s">
        <v>62</v>
      </c>
      <c r="E41" s="11">
        <v>0.631157407407407</v>
      </c>
      <c r="F41" s="12">
        <f t="shared" si="1"/>
        <v>3.1361111111111049</v>
      </c>
      <c r="G41" s="13">
        <f t="shared" si="2"/>
        <v>3.1361111111111049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46082.710186805598</v>
      </c>
      <c r="B3" s="5" t="s">
        <v>78</v>
      </c>
      <c r="C3" s="11">
        <v>0.71018518518518503</v>
      </c>
      <c r="D3" s="11" t="s">
        <v>62</v>
      </c>
      <c r="E3" s="11">
        <v>0.840706018518519</v>
      </c>
      <c r="F3" s="12">
        <f t="shared" ref="F3:F42" si="1">(IF(E3-C3&lt;0,"24:00"-C3+E3,E3-C3))*24</f>
        <v>3.1325000000000154</v>
      </c>
      <c r="G3" s="13">
        <f t="shared" ref="G3:G42" si="2">F3-H3</f>
        <v>3.1325000000000154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46090.522568749999</v>
      </c>
      <c r="B4" s="5" t="s">
        <v>78</v>
      </c>
      <c r="C4" s="11">
        <v>0.52255787037037005</v>
      </c>
      <c r="D4" s="11" t="s">
        <v>62</v>
      </c>
      <c r="E4" s="11">
        <v>0.69408564814814799</v>
      </c>
      <c r="F4" s="12">
        <f t="shared" si="1"/>
        <v>4.1166666666666707</v>
      </c>
      <c r="G4" s="13">
        <f t="shared" si="2"/>
        <v>4.1166666666666707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24.78333333333336</v>
      </c>
      <c r="K4" s="23">
        <f>SUMIF(B:B,"西塔台管制席",G:G)+SUMIF(B:B,"东塔台管制席",G:G)</f>
        <v>20.329722222222237</v>
      </c>
      <c r="L4" s="23">
        <f>SUMIF(B:B,"西塔台管制席",H:H)+SUMIF(B:B,"东塔台管制席",H:H)</f>
        <v>4.4536111111111207</v>
      </c>
      <c r="M4" s="19"/>
    </row>
    <row r="5" spans="1:16" ht="18.75" x14ac:dyDescent="0.25">
      <c r="A5" s="10">
        <f t="shared" ca="1" si="0"/>
        <v>46090.791576273099</v>
      </c>
      <c r="B5" s="5" t="s">
        <v>78</v>
      </c>
      <c r="C5" s="11">
        <v>0.79157407407407399</v>
      </c>
      <c r="D5" s="11" t="s">
        <v>62</v>
      </c>
      <c r="E5" s="11">
        <v>0.88200231481481495</v>
      </c>
      <c r="F5" s="12">
        <f t="shared" si="1"/>
        <v>2.1702777777777831</v>
      </c>
      <c r="G5" s="13">
        <f t="shared" si="2"/>
        <v>2.1702777777777831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33.203055555555551</v>
      </c>
      <c r="K5" s="23">
        <f>SUMIF(B:B,"西塔台协调席",G:G)+SUMIF(B:B,"东塔台协调席",G:G)</f>
        <v>18.872777777777785</v>
      </c>
      <c r="L5" s="23">
        <f>SUMIF(B:B,"西塔台协调席",H:H)+SUMIF(B:B,"东塔台协调席",H:H)</f>
        <v>14.330277777777766</v>
      </c>
      <c r="M5" s="19"/>
    </row>
    <row r="6" spans="1:16" ht="18.75" x14ac:dyDescent="0.25">
      <c r="A6" s="10">
        <f t="shared" ca="1" si="0"/>
        <v>46091.416341435201</v>
      </c>
      <c r="B6" s="5" t="s">
        <v>82</v>
      </c>
      <c r="C6" s="11">
        <v>0.416331018518519</v>
      </c>
      <c r="D6" s="11" t="s">
        <v>62</v>
      </c>
      <c r="E6" s="11">
        <v>0.53968749999999999</v>
      </c>
      <c r="F6" s="12">
        <f t="shared" si="1"/>
        <v>2.9605555555555436</v>
      </c>
      <c r="G6" s="13">
        <f t="shared" si="2"/>
        <v>2.9605555555555436</v>
      </c>
      <c r="H6" s="13">
        <f t="shared" si="3"/>
        <v>0</v>
      </c>
      <c r="I6" s="21" t="s">
        <v>66</v>
      </c>
      <c r="J6" s="22">
        <f>SUMIF(B:B,"放行席",F:F)</f>
        <v>4.2883333333333216</v>
      </c>
      <c r="K6" s="23">
        <f>SUMIF(B:B,"放行席",G:G)</f>
        <v>0</v>
      </c>
      <c r="L6" s="23">
        <f>SUMIF(B:B,"放行席",H:H)</f>
        <v>4.2883333333333216</v>
      </c>
      <c r="M6" s="19"/>
    </row>
    <row r="7" spans="1:16" ht="18.75" x14ac:dyDescent="0.25">
      <c r="A7" s="10">
        <f t="shared" ca="1" si="0"/>
        <v>46091.626552083297</v>
      </c>
      <c r="B7" s="5" t="s">
        <v>82</v>
      </c>
      <c r="C7" s="11">
        <v>0.62655092592592598</v>
      </c>
      <c r="D7" s="11" t="s">
        <v>62</v>
      </c>
      <c r="E7" s="11">
        <v>0.65818287037037004</v>
      </c>
      <c r="F7" s="12">
        <f t="shared" si="1"/>
        <v>0.75916666666665744</v>
      </c>
      <c r="G7" s="13">
        <f t="shared" si="2"/>
        <v>0.75916666666665744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46091.674165856501</v>
      </c>
      <c r="B8" s="5" t="s">
        <v>82</v>
      </c>
      <c r="C8" s="11">
        <v>0.67415509259259299</v>
      </c>
      <c r="D8" s="11" t="s">
        <v>62</v>
      </c>
      <c r="E8" s="11">
        <v>0.80490740740740696</v>
      </c>
      <c r="F8" s="12">
        <f t="shared" si="1"/>
        <v>3.1380555555555354</v>
      </c>
      <c r="G8" s="13">
        <f t="shared" si="2"/>
        <v>3.1380555555555354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46091.876148148098</v>
      </c>
      <c r="B9" s="5" t="s">
        <v>82</v>
      </c>
      <c r="C9" s="11">
        <v>0.87614583333333296</v>
      </c>
      <c r="D9" s="11" t="s">
        <v>62</v>
      </c>
      <c r="E9" s="11">
        <v>0.95850694444444395</v>
      </c>
      <c r="F9" s="12">
        <f t="shared" si="1"/>
        <v>1.9766666666666639</v>
      </c>
      <c r="G9" s="13">
        <f t="shared" si="2"/>
        <v>1.9766666666666639</v>
      </c>
      <c r="H9" s="13">
        <f t="shared" si="3"/>
        <v>0</v>
      </c>
      <c r="I9" s="21" t="s">
        <v>69</v>
      </c>
      <c r="J9" s="22">
        <f>SUMIF(B:B,"航班调度席",F:F)</f>
        <v>2.1466666666666798</v>
      </c>
      <c r="K9" s="23">
        <f>SUMIF(B:B,"航班调度席",G:G)</f>
        <v>2.1466666666666798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46092.293152083301</v>
      </c>
      <c r="B10" s="5" t="s">
        <v>82</v>
      </c>
      <c r="C10" s="11">
        <v>0.29314814814814799</v>
      </c>
      <c r="D10" s="11" t="s">
        <v>62</v>
      </c>
      <c r="E10" s="11">
        <v>0.36072916666666699</v>
      </c>
      <c r="F10" s="12">
        <f t="shared" si="1"/>
        <v>1.621944444444456</v>
      </c>
      <c r="G10" s="13">
        <f t="shared" si="2"/>
        <v>0.65750000000001618</v>
      </c>
      <c r="H10" s="13">
        <f t="shared" si="3"/>
        <v>0.96444444444443977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46094.950476041697</v>
      </c>
      <c r="B11" s="5" t="s">
        <v>82</v>
      </c>
      <c r="C11" s="11">
        <v>0.95047453703703699</v>
      </c>
      <c r="D11" s="11" t="s">
        <v>62</v>
      </c>
      <c r="E11" s="11">
        <v>0.118206018518519</v>
      </c>
      <c r="F11" s="12">
        <f t="shared" si="1"/>
        <v>4.0255555555555684</v>
      </c>
      <c r="G11" s="13">
        <f t="shared" si="2"/>
        <v>1.1886111111111122</v>
      </c>
      <c r="H11" s="13">
        <f t="shared" si="3"/>
        <v>2.8369444444444563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46096.015172337997</v>
      </c>
      <c r="B12" s="5" t="s">
        <v>80</v>
      </c>
      <c r="C12" s="11">
        <v>1.5162037037037E-2</v>
      </c>
      <c r="D12" s="11" t="s">
        <v>62</v>
      </c>
      <c r="E12" s="11">
        <v>0.14475694444444401</v>
      </c>
      <c r="F12" s="12">
        <f t="shared" si="1"/>
        <v>3.1102777777777684</v>
      </c>
      <c r="G12" s="13">
        <f t="shared" si="2"/>
        <v>0</v>
      </c>
      <c r="H12" s="13">
        <f t="shared" si="3"/>
        <v>3.1102777777777684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46099.128593402798</v>
      </c>
      <c r="B13" s="5" t="s">
        <v>84</v>
      </c>
      <c r="C13" s="11">
        <v>0.12858796296296299</v>
      </c>
      <c r="D13" s="11" t="s">
        <v>62</v>
      </c>
      <c r="E13" s="11">
        <v>0.22378472222222201</v>
      </c>
      <c r="F13" s="12">
        <f t="shared" si="1"/>
        <v>2.2847222222222165</v>
      </c>
      <c r="G13" s="13">
        <f t="shared" si="2"/>
        <v>0</v>
      </c>
      <c r="H13" s="13">
        <f t="shared" si="3"/>
        <v>2.2847222222222165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46099.223828588001</v>
      </c>
      <c r="B14" s="5" t="s">
        <v>78</v>
      </c>
      <c r="C14" s="11">
        <v>0.22381944444444399</v>
      </c>
      <c r="D14" s="11" t="s">
        <v>62</v>
      </c>
      <c r="E14" s="11">
        <v>0.30174768518518502</v>
      </c>
      <c r="F14" s="12">
        <f t="shared" si="1"/>
        <v>1.8702777777777848</v>
      </c>
      <c r="G14" s="13">
        <f t="shared" si="2"/>
        <v>0</v>
      </c>
      <c r="H14" s="13">
        <f t="shared" si="3"/>
        <v>1.8702777777777848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46099.952919675903</v>
      </c>
      <c r="B15" s="5" t="s">
        <v>82</v>
      </c>
      <c r="C15" s="11">
        <v>0.95291666666666697</v>
      </c>
      <c r="D15" s="11" t="s">
        <v>62</v>
      </c>
      <c r="E15" s="11">
        <v>0.14577546296296301</v>
      </c>
      <c r="F15" s="12">
        <f t="shared" si="1"/>
        <v>4.6286111111111055</v>
      </c>
      <c r="G15" s="13">
        <f t="shared" si="2"/>
        <v>1.1299999999999932</v>
      </c>
      <c r="H15" s="13">
        <f t="shared" si="3"/>
        <v>3.4986111111111122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46102.352922916703</v>
      </c>
      <c r="B16" s="5" t="s">
        <v>83</v>
      </c>
      <c r="C16" s="11">
        <v>0.35291666666666699</v>
      </c>
      <c r="D16" s="11" t="s">
        <v>62</v>
      </c>
      <c r="E16" s="11">
        <v>0.47885416666666702</v>
      </c>
      <c r="F16" s="12">
        <f t="shared" si="1"/>
        <v>3.0225000000000009</v>
      </c>
      <c r="G16" s="13">
        <f t="shared" si="2"/>
        <v>3.0225000000000009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46102.4788835648</v>
      </c>
      <c r="B17" s="5" t="s">
        <v>82</v>
      </c>
      <c r="C17" s="11">
        <v>0.47887731481481499</v>
      </c>
      <c r="D17" s="11" t="s">
        <v>62</v>
      </c>
      <c r="E17" s="11">
        <v>0.52730324074074097</v>
      </c>
      <c r="F17" s="12">
        <f t="shared" si="1"/>
        <v>1.1622222222222236</v>
      </c>
      <c r="G17" s="13">
        <f t="shared" si="2"/>
        <v>1.1622222222222236</v>
      </c>
      <c r="H17" s="13">
        <f t="shared" si="3"/>
        <v>0</v>
      </c>
      <c r="I17" s="35" t="s">
        <v>75</v>
      </c>
      <c r="J17" s="36">
        <f>J4+J5+J6+J7+J10</f>
        <v>62.274722222222231</v>
      </c>
      <c r="K17" s="37">
        <f>K4+K5+K6+K7+K10</f>
        <v>39.202500000000022</v>
      </c>
      <c r="L17" s="38">
        <f>L4+L5+L6+L7+L10</f>
        <v>23.072222222222209</v>
      </c>
      <c r="M17" s="39"/>
    </row>
    <row r="18" spans="1:13" ht="20.25" x14ac:dyDescent="0.25">
      <c r="A18" s="10">
        <f t="shared" ca="1" si="0"/>
        <v>46102.638307523099</v>
      </c>
      <c r="B18" s="5" t="s">
        <v>79</v>
      </c>
      <c r="C18" s="11">
        <v>0.63829861111111097</v>
      </c>
      <c r="D18" s="11" t="s">
        <v>62</v>
      </c>
      <c r="E18" s="11">
        <v>0.68971064814814798</v>
      </c>
      <c r="F18" s="12">
        <f t="shared" si="1"/>
        <v>1.2338888888888881</v>
      </c>
      <c r="G18" s="13">
        <f t="shared" si="2"/>
        <v>1.2338888888888881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46102.6897650463</v>
      </c>
      <c r="B19" s="5" t="s">
        <v>82</v>
      </c>
      <c r="C19" s="11">
        <v>0.68975694444444402</v>
      </c>
      <c r="D19" s="11" t="s">
        <v>62</v>
      </c>
      <c r="E19" s="11">
        <v>0.79769675925925898</v>
      </c>
      <c r="F19" s="12">
        <f t="shared" si="1"/>
        <v>2.5905555555555591</v>
      </c>
      <c r="G19" s="13">
        <f t="shared" si="2"/>
        <v>2.5905555555555591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46102.873507754601</v>
      </c>
      <c r="B20" s="5" t="s">
        <v>78</v>
      </c>
      <c r="C20" s="11">
        <v>0.87350694444444399</v>
      </c>
      <c r="D20" s="11" t="s">
        <v>62</v>
      </c>
      <c r="E20" s="11">
        <v>0.95712962962963</v>
      </c>
      <c r="F20" s="12">
        <f t="shared" si="1"/>
        <v>2.0069444444444642</v>
      </c>
      <c r="G20" s="13">
        <f t="shared" si="2"/>
        <v>2.0069444444444642</v>
      </c>
      <c r="H20" s="13">
        <f t="shared" si="3"/>
        <v>0</v>
      </c>
      <c r="I20" s="40" t="s">
        <v>77</v>
      </c>
      <c r="J20" s="65">
        <f>J16+J17+J18+J19</f>
        <v>62.274722222222231</v>
      </c>
      <c r="K20" s="66"/>
      <c r="L20" s="67"/>
      <c r="M20" s="41"/>
    </row>
    <row r="21" spans="1:13" ht="20.25" x14ac:dyDescent="0.25">
      <c r="A21" s="10">
        <f t="shared" ca="1" si="0"/>
        <v>46103.293067592604</v>
      </c>
      <c r="B21" s="5" t="s">
        <v>82</v>
      </c>
      <c r="C21" s="11">
        <v>0.29306712962963</v>
      </c>
      <c r="D21" s="11" t="s">
        <v>62</v>
      </c>
      <c r="E21" s="11">
        <v>0.373229166666667</v>
      </c>
      <c r="F21" s="12">
        <f t="shared" si="1"/>
        <v>1.9238888888888881</v>
      </c>
      <c r="G21" s="13">
        <f t="shared" si="2"/>
        <v>0.95750000000001645</v>
      </c>
      <c r="H21" s="13">
        <f t="shared" si="3"/>
        <v>0.96638888888887164</v>
      </c>
      <c r="I21" s="42" t="s">
        <v>4</v>
      </c>
      <c r="J21" s="43">
        <f>SUM(J8:J9)</f>
        <v>2.1466666666666798</v>
      </c>
      <c r="K21" s="37">
        <f>SUM(K8:K9)</f>
        <v>2.1466666666666798</v>
      </c>
      <c r="L21" s="38">
        <f>SUM(L8:L9)</f>
        <v>0</v>
      </c>
      <c r="M21" s="44"/>
    </row>
    <row r="22" spans="1:13" ht="18.75" x14ac:dyDescent="0.15">
      <c r="A22" s="10">
        <f t="shared" ca="1" si="0"/>
        <v>46103.375986226798</v>
      </c>
      <c r="B22" s="5" t="s">
        <v>82</v>
      </c>
      <c r="C22" s="11">
        <v>0.37598379629629602</v>
      </c>
      <c r="D22" s="11" t="s">
        <v>62</v>
      </c>
      <c r="E22" s="11">
        <v>0.42620370370370397</v>
      </c>
      <c r="F22" s="12">
        <f t="shared" si="1"/>
        <v>1.2052777777777908</v>
      </c>
      <c r="G22" s="13">
        <f t="shared" si="2"/>
        <v>1.2052777777777908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46103.5204711806</v>
      </c>
      <c r="B23" s="5" t="s">
        <v>83</v>
      </c>
      <c r="C23" s="11">
        <v>0.52046296296296302</v>
      </c>
      <c r="D23" s="11" t="s">
        <v>62</v>
      </c>
      <c r="E23" s="11">
        <v>0.63178240740740699</v>
      </c>
      <c r="F23" s="12">
        <f t="shared" si="1"/>
        <v>2.6716666666666553</v>
      </c>
      <c r="G23" s="13">
        <f t="shared" si="2"/>
        <v>2.6716666666666553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46103.715691203703</v>
      </c>
      <c r="B24" s="5" t="s">
        <v>79</v>
      </c>
      <c r="C24" s="11">
        <v>0.71568287037037004</v>
      </c>
      <c r="D24" s="11" t="s">
        <v>62</v>
      </c>
      <c r="E24" s="11">
        <v>0.75371527777777803</v>
      </c>
      <c r="F24" s="12">
        <f t="shared" si="1"/>
        <v>0.91277777777779168</v>
      </c>
      <c r="G24" s="13">
        <f t="shared" si="2"/>
        <v>0.91277777777779168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46103.753845023202</v>
      </c>
      <c r="B25" s="5" t="s">
        <v>83</v>
      </c>
      <c r="C25" s="11">
        <v>0.75384259259259301</v>
      </c>
      <c r="D25" s="11" t="s">
        <v>62</v>
      </c>
      <c r="E25" s="11">
        <v>0.83945601851851803</v>
      </c>
      <c r="F25" s="12">
        <f t="shared" si="1"/>
        <v>2.0547222222222006</v>
      </c>
      <c r="G25" s="13">
        <f t="shared" si="2"/>
        <v>2.0547222222222006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46106.952225694396</v>
      </c>
      <c r="B26" s="5" t="s">
        <v>82</v>
      </c>
      <c r="C26" s="11">
        <v>0.95222222222222197</v>
      </c>
      <c r="D26" s="11" t="s">
        <v>62</v>
      </c>
      <c r="E26" s="11">
        <v>0.12306712962963</v>
      </c>
      <c r="F26" s="12">
        <f t="shared" si="1"/>
        <v>4.1002777777777926</v>
      </c>
      <c r="G26" s="13">
        <f t="shared" si="2"/>
        <v>1.1466666666666727</v>
      </c>
      <c r="H26" s="13">
        <f t="shared" si="3"/>
        <v>2.9536111111111198</v>
      </c>
      <c r="I26"/>
      <c r="J26"/>
    </row>
    <row r="27" spans="1:13" ht="18.75" x14ac:dyDescent="0.15">
      <c r="A27" s="10">
        <f t="shared" ca="1" si="0"/>
        <v>46108.1310332176</v>
      </c>
      <c r="B27" s="5" t="s">
        <v>84</v>
      </c>
      <c r="C27" s="11">
        <v>0.13103009259259299</v>
      </c>
      <c r="D27" s="11" t="s">
        <v>62</v>
      </c>
      <c r="E27" s="11">
        <v>0.214513888888889</v>
      </c>
      <c r="F27" s="12">
        <f t="shared" si="1"/>
        <v>2.0036111111111046</v>
      </c>
      <c r="G27" s="13">
        <f t="shared" si="2"/>
        <v>0</v>
      </c>
      <c r="H27" s="13">
        <f t="shared" si="3"/>
        <v>2.0036111111111046</v>
      </c>
      <c r="I27"/>
      <c r="J27"/>
    </row>
    <row r="28" spans="1:13" ht="18.75" x14ac:dyDescent="0.15">
      <c r="A28" s="10">
        <f t="shared" ca="1" si="0"/>
        <v>46111.951907638897</v>
      </c>
      <c r="B28" s="5" t="s">
        <v>78</v>
      </c>
      <c r="C28" s="11">
        <v>0.95189814814814799</v>
      </c>
      <c r="D28" s="11" t="s">
        <v>62</v>
      </c>
      <c r="E28" s="11">
        <v>0.10763888888888901</v>
      </c>
      <c r="F28" s="12">
        <f t="shared" si="1"/>
        <v>3.7377777777777843</v>
      </c>
      <c r="G28" s="13">
        <f t="shared" si="2"/>
        <v>1.1544444444444482</v>
      </c>
      <c r="H28" s="13">
        <f t="shared" si="3"/>
        <v>2.5833333333333361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46083.133549421298</v>
      </c>
      <c r="B3" s="5" t="s">
        <v>84</v>
      </c>
      <c r="C3" s="11">
        <v>0.133541666666667</v>
      </c>
      <c r="D3" s="11" t="s">
        <v>62</v>
      </c>
      <c r="E3" s="11">
        <v>0.22337962962963001</v>
      </c>
      <c r="F3" s="12">
        <f t="shared" ref="F3:F42" si="1">(IF(E3-C3&lt;0,"24:00"-C3+E3,E3-C3))*24</f>
        <v>2.1561111111111124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2.1561111111111124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46084.144025000001</v>
      </c>
      <c r="B4" s="5" t="s">
        <v>86</v>
      </c>
      <c r="C4" s="11">
        <v>0.14401620370370399</v>
      </c>
      <c r="D4" s="11" t="s">
        <v>62</v>
      </c>
      <c r="E4" s="11">
        <v>0.29767361111111101</v>
      </c>
      <c r="F4" s="12">
        <f t="shared" si="1"/>
        <v>3.6877777777777685</v>
      </c>
      <c r="G4" s="13">
        <f t="shared" si="2"/>
        <v>0</v>
      </c>
      <c r="H4" s="13">
        <f t="shared" si="3"/>
        <v>3.6877777777777685</v>
      </c>
      <c r="I4" s="21" t="s">
        <v>64</v>
      </c>
      <c r="J4" s="22">
        <f>SUMIF(B:B,"西塔台管制席",F:F)+SUMIF(B:B,"东塔台管制席",F:F)</f>
        <v>11.225277777777771</v>
      </c>
      <c r="K4" s="23">
        <f>SUMIF(B:B,"西塔台管制席",G:G)+SUMIF(B:B,"东塔台管制席",G:G)</f>
        <v>10.268611111111108</v>
      </c>
      <c r="L4" s="23">
        <f>SUMIF(B:B,"西塔台管制席",H:H)+SUMIF(B:B,"东塔台管制席",H:H)</f>
        <v>0.956666666666663</v>
      </c>
      <c r="M4" s="19"/>
    </row>
    <row r="5" spans="1:16" ht="18.75" x14ac:dyDescent="0.25">
      <c r="A5" s="10">
        <f t="shared" ca="1" si="0"/>
        <v>46087.137918171298</v>
      </c>
      <c r="B5" s="5" t="s">
        <v>86</v>
      </c>
      <c r="C5" s="11">
        <v>0.13791666666666699</v>
      </c>
      <c r="D5" s="11" t="s">
        <v>62</v>
      </c>
      <c r="E5" s="11">
        <v>0.218252314814815</v>
      </c>
      <c r="F5" s="12">
        <f t="shared" si="1"/>
        <v>1.9280555555555521</v>
      </c>
      <c r="G5" s="13">
        <f t="shared" si="2"/>
        <v>0</v>
      </c>
      <c r="H5" s="13">
        <f t="shared" si="3"/>
        <v>1.9280555555555521</v>
      </c>
      <c r="I5" s="21" t="s">
        <v>65</v>
      </c>
      <c r="J5" s="22">
        <f>SUMIF(B:B,"西塔台协调席",F:F)+SUMIF(B:B,"东塔台协调席",F:F)</f>
        <v>2.8125</v>
      </c>
      <c r="K5" s="23">
        <f>SUMIF(B:B,"西塔台协调席",G:G)+SUMIF(B:B,"东塔台协调席",G:G)</f>
        <v>2.8125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46090.354455671302</v>
      </c>
      <c r="B6" s="5" t="s">
        <v>86</v>
      </c>
      <c r="C6" s="11">
        <v>0.35445601851851899</v>
      </c>
      <c r="D6" s="11" t="s">
        <v>62</v>
      </c>
      <c r="E6" s="11">
        <v>0.52762731481481495</v>
      </c>
      <c r="F6" s="12">
        <f t="shared" si="1"/>
        <v>4.1561111111111035</v>
      </c>
      <c r="G6" s="13">
        <f t="shared" si="2"/>
        <v>4.1561111111111035</v>
      </c>
      <c r="H6" s="13">
        <f t="shared" si="3"/>
        <v>0</v>
      </c>
      <c r="I6" s="21" t="s">
        <v>66</v>
      </c>
      <c r="J6" s="22">
        <f>SUMIF(B:B,"放行席",F:F)</f>
        <v>2.1561111111111124</v>
      </c>
      <c r="K6" s="23">
        <f>SUMIF(B:B,"放行席",G:G)</f>
        <v>0</v>
      </c>
      <c r="L6" s="23">
        <f>SUMIF(B:B,"放行席",H:H)</f>
        <v>2.1561111111111124</v>
      </c>
      <c r="M6" s="19"/>
    </row>
    <row r="7" spans="1:16" ht="18.75" x14ac:dyDescent="0.25">
      <c r="A7" s="10">
        <f t="shared" ca="1" si="0"/>
        <v>46090.687390277802</v>
      </c>
      <c r="B7" s="5" t="s">
        <v>86</v>
      </c>
      <c r="C7" s="11">
        <v>0.68740740740740702</v>
      </c>
      <c r="D7" s="11" t="s">
        <v>62</v>
      </c>
      <c r="E7" s="11">
        <v>0.79859953703703701</v>
      </c>
      <c r="F7" s="12">
        <f t="shared" si="1"/>
        <v>2.6686111111111197</v>
      </c>
      <c r="G7" s="13">
        <f t="shared" si="2"/>
        <v>2.6686111111111197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46090.875767245401</v>
      </c>
      <c r="B8" s="5" t="s">
        <v>78</v>
      </c>
      <c r="C8" s="11">
        <v>0.87576388888888901</v>
      </c>
      <c r="D8" s="11" t="s">
        <v>62</v>
      </c>
      <c r="E8" s="11">
        <v>0.95820601851851805</v>
      </c>
      <c r="F8" s="12">
        <f t="shared" si="1"/>
        <v>1.9786111111110971</v>
      </c>
      <c r="G8" s="13">
        <f t="shared" si="2"/>
        <v>1.9786111111110971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46091.293476273102</v>
      </c>
      <c r="B9" s="5" t="s">
        <v>78</v>
      </c>
      <c r="C9" s="11">
        <v>0.29347222222222202</v>
      </c>
      <c r="D9" s="11" t="s">
        <v>62</v>
      </c>
      <c r="E9" s="11">
        <v>0.42401620370370402</v>
      </c>
      <c r="F9" s="12">
        <f t="shared" si="1"/>
        <v>3.1330555555555679</v>
      </c>
      <c r="G9" s="13">
        <f t="shared" si="2"/>
        <v>2.1763888888889049</v>
      </c>
      <c r="H9" s="13">
        <f t="shared" si="3"/>
        <v>0.956666666666663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46091.5213321759</v>
      </c>
      <c r="B10" s="5" t="s">
        <v>82</v>
      </c>
      <c r="C10" s="11">
        <v>0.52133101851851804</v>
      </c>
      <c r="D10" s="11" t="s">
        <v>62</v>
      </c>
      <c r="E10" s="11">
        <v>0.63851851851851804</v>
      </c>
      <c r="F10" s="12">
        <f t="shared" si="1"/>
        <v>2.8125</v>
      </c>
      <c r="G10" s="13">
        <f t="shared" si="2"/>
        <v>2.8125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46091.793856018499</v>
      </c>
      <c r="B11" s="5" t="s">
        <v>78</v>
      </c>
      <c r="C11" s="11">
        <v>0.79385416666666697</v>
      </c>
      <c r="D11" s="11" t="s">
        <v>62</v>
      </c>
      <c r="E11" s="11">
        <v>0.88371527777777803</v>
      </c>
      <c r="F11" s="12">
        <f t="shared" si="1"/>
        <v>2.1566666666666654</v>
      </c>
      <c r="G11" s="13">
        <f t="shared" si="2"/>
        <v>2.1566666666666654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46095.013242824098</v>
      </c>
      <c r="B12" s="5" t="s">
        <v>86</v>
      </c>
      <c r="C12" s="11">
        <v>1.3240740740740701E-2</v>
      </c>
      <c r="D12" s="11" t="s">
        <v>62</v>
      </c>
      <c r="E12" s="11">
        <v>0.14552083333333299</v>
      </c>
      <c r="F12" s="12">
        <f t="shared" si="1"/>
        <v>3.1747222222222149</v>
      </c>
      <c r="G12" s="13">
        <f t="shared" si="2"/>
        <v>0</v>
      </c>
      <c r="H12" s="13">
        <f t="shared" si="3"/>
        <v>3.1747222222222149</v>
      </c>
      <c r="I12" s="27" t="s">
        <v>72</v>
      </c>
      <c r="J12" s="28">
        <f>SUMIF(B:B,"管制教员席",F:F)</f>
        <v>58.564999999999976</v>
      </c>
      <c r="K12" s="29">
        <f>SUMIF(B:B,"管制教员席",G:G)</f>
        <v>26.469166666666627</v>
      </c>
      <c r="L12" s="29">
        <f>SUMIF(B:B,"管制教员席",H:H)</f>
        <v>32.095833333333346</v>
      </c>
      <c r="M12" s="19"/>
    </row>
    <row r="13" spans="1:16" ht="18.75" x14ac:dyDescent="0.15">
      <c r="A13" s="10">
        <f t="shared" ca="1" si="0"/>
        <v>46096.139181597202</v>
      </c>
      <c r="B13" s="5" t="s">
        <v>86</v>
      </c>
      <c r="C13" s="11">
        <v>0.139178240740741</v>
      </c>
      <c r="D13" s="11" t="s">
        <v>62</v>
      </c>
      <c r="E13" s="11">
        <v>0.30032407407407402</v>
      </c>
      <c r="F13" s="12">
        <f t="shared" si="1"/>
        <v>3.8674999999999926</v>
      </c>
      <c r="G13" s="13">
        <f t="shared" si="2"/>
        <v>0</v>
      </c>
      <c r="H13" s="13">
        <f t="shared" si="3"/>
        <v>3.8674999999999926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46099.013485069401</v>
      </c>
      <c r="B14" s="5" t="s">
        <v>86</v>
      </c>
      <c r="C14" s="11">
        <v>1.3483796296296299E-2</v>
      </c>
      <c r="D14" s="11" t="s">
        <v>62</v>
      </c>
      <c r="E14" s="11">
        <v>0.14479166666666701</v>
      </c>
      <c r="F14" s="12">
        <f t="shared" si="1"/>
        <v>3.1513888888888975</v>
      </c>
      <c r="G14" s="13">
        <f t="shared" si="2"/>
        <v>0</v>
      </c>
      <c r="H14" s="13">
        <f t="shared" si="3"/>
        <v>3.1513888888888975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46099.460245023103</v>
      </c>
      <c r="B15" s="5" t="s">
        <v>78</v>
      </c>
      <c r="C15" s="11">
        <v>0.460243055555556</v>
      </c>
      <c r="D15" s="11" t="s">
        <v>62</v>
      </c>
      <c r="E15" s="11">
        <v>0.54587962962962999</v>
      </c>
      <c r="F15" s="12">
        <f t="shared" si="1"/>
        <v>2.0552777777777758</v>
      </c>
      <c r="G15" s="13">
        <f t="shared" si="2"/>
        <v>2.0552777777777758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46099.552952430597</v>
      </c>
      <c r="B16" s="5" t="s">
        <v>78</v>
      </c>
      <c r="C16" s="11">
        <v>0.55295138888888895</v>
      </c>
      <c r="D16" s="11" t="s">
        <v>62</v>
      </c>
      <c r="E16" s="11">
        <v>0.63218750000000001</v>
      </c>
      <c r="F16" s="12">
        <f t="shared" si="1"/>
        <v>1.9016666666666655</v>
      </c>
      <c r="G16" s="13">
        <f t="shared" si="2"/>
        <v>1.9016666666666655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46099.953385416702</v>
      </c>
      <c r="B17" s="5" t="s">
        <v>86</v>
      </c>
      <c r="C17" s="11">
        <v>0.95337962962962997</v>
      </c>
      <c r="D17" s="11" t="s">
        <v>62</v>
      </c>
      <c r="E17" s="11">
        <v>0.14584490740740699</v>
      </c>
      <c r="F17" s="12">
        <f t="shared" si="1"/>
        <v>4.6191666666666489</v>
      </c>
      <c r="G17" s="13">
        <f t="shared" si="2"/>
        <v>1.1188888888888808</v>
      </c>
      <c r="H17" s="13">
        <f t="shared" si="3"/>
        <v>3.5002777777777681</v>
      </c>
      <c r="I17" s="35" t="s">
        <v>75</v>
      </c>
      <c r="J17" s="36">
        <f>J4+J5+J6+J7+J10</f>
        <v>16.193888888888885</v>
      </c>
      <c r="K17" s="37">
        <f>K4+K5+K6+K7+K10</f>
        <v>13.081111111111108</v>
      </c>
      <c r="L17" s="38">
        <f>L4+L5+L6+L7+L10</f>
        <v>3.1127777777777754</v>
      </c>
      <c r="M17" s="39"/>
    </row>
    <row r="18" spans="1:13" ht="20.25" x14ac:dyDescent="0.25">
      <c r="A18" s="10">
        <f t="shared" ca="1" si="0"/>
        <v>46102.390560648098</v>
      </c>
      <c r="B18" s="5" t="s">
        <v>86</v>
      </c>
      <c r="C18" s="11">
        <v>0.39055555555555599</v>
      </c>
      <c r="D18" s="11" t="s">
        <v>62</v>
      </c>
      <c r="E18" s="11">
        <v>0.45940972222222198</v>
      </c>
      <c r="F18" s="12">
        <f t="shared" si="1"/>
        <v>1.6524999999999839</v>
      </c>
      <c r="G18" s="13">
        <f t="shared" si="2"/>
        <v>1.6524999999999839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46102.522315624999</v>
      </c>
      <c r="B19" s="5" t="s">
        <v>86</v>
      </c>
      <c r="C19" s="11">
        <v>0.52231481481481501</v>
      </c>
      <c r="D19" s="11" t="s">
        <v>62</v>
      </c>
      <c r="E19" s="11">
        <v>0.69601851851851804</v>
      </c>
      <c r="F19" s="12">
        <f t="shared" si="1"/>
        <v>4.1688888888888727</v>
      </c>
      <c r="G19" s="13">
        <f t="shared" si="2"/>
        <v>4.1688888888888727</v>
      </c>
      <c r="H19" s="13">
        <f t="shared" si="3"/>
        <v>0</v>
      </c>
      <c r="I19" s="35" t="s">
        <v>76</v>
      </c>
      <c r="J19" s="36">
        <f t="shared" ref="J19:L19" si="6">J12</f>
        <v>58.564999999999976</v>
      </c>
      <c r="K19" s="37">
        <f t="shared" si="6"/>
        <v>26.469166666666627</v>
      </c>
      <c r="L19" s="38">
        <f t="shared" si="6"/>
        <v>32.095833333333346</v>
      </c>
      <c r="M19" s="39"/>
    </row>
    <row r="20" spans="1:13" ht="20.25" x14ac:dyDescent="0.15">
      <c r="A20" s="10">
        <f t="shared" ca="1" si="0"/>
        <v>46102.792354976897</v>
      </c>
      <c r="B20" s="5" t="s">
        <v>86</v>
      </c>
      <c r="C20" s="11">
        <v>0.79234953703703703</v>
      </c>
      <c r="D20" s="11" t="s">
        <v>62</v>
      </c>
      <c r="E20" s="11">
        <v>0.87861111111111101</v>
      </c>
      <c r="F20" s="12">
        <f t="shared" si="1"/>
        <v>2.0702777777777754</v>
      </c>
      <c r="G20" s="13">
        <f t="shared" si="2"/>
        <v>2.0702777777777754</v>
      </c>
      <c r="H20" s="13">
        <f t="shared" si="3"/>
        <v>0</v>
      </c>
      <c r="I20" s="40" t="s">
        <v>77</v>
      </c>
      <c r="J20" s="65">
        <f>J16+J17+J18+J19</f>
        <v>74.758888888888862</v>
      </c>
      <c r="K20" s="66"/>
      <c r="L20" s="67"/>
      <c r="M20" s="41"/>
    </row>
    <row r="21" spans="1:13" ht="20.25" x14ac:dyDescent="0.25">
      <c r="A21" s="10">
        <f t="shared" ca="1" si="0"/>
        <v>46103.418844213003</v>
      </c>
      <c r="B21" s="5" t="s">
        <v>86</v>
      </c>
      <c r="C21" s="11">
        <v>0.41884259259259299</v>
      </c>
      <c r="D21" s="11" t="s">
        <v>62</v>
      </c>
      <c r="E21" s="11">
        <v>0.52510416666666704</v>
      </c>
      <c r="F21" s="12">
        <f t="shared" si="1"/>
        <v>2.5502777777777772</v>
      </c>
      <c r="G21" s="13">
        <f t="shared" si="2"/>
        <v>2.5502777777777772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46103.625466666701</v>
      </c>
      <c r="B22" s="5" t="s">
        <v>86</v>
      </c>
      <c r="C22" s="11">
        <v>0.625462962962963</v>
      </c>
      <c r="D22" s="11" t="s">
        <v>62</v>
      </c>
      <c r="E22" s="11">
        <v>0.76003472222222201</v>
      </c>
      <c r="F22" s="12">
        <f t="shared" si="1"/>
        <v>3.2297222222222164</v>
      </c>
      <c r="G22" s="13">
        <f t="shared" si="2"/>
        <v>3.2297222222222164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46103.833651736102</v>
      </c>
      <c r="B23" s="5" t="s">
        <v>86</v>
      </c>
      <c r="C23" s="11">
        <v>0.83364583333333298</v>
      </c>
      <c r="D23" s="11" t="s">
        <v>62</v>
      </c>
      <c r="E23" s="11">
        <v>0.95708333333333295</v>
      </c>
      <c r="F23" s="12">
        <f t="shared" si="1"/>
        <v>2.9624999999999995</v>
      </c>
      <c r="G23" s="13">
        <f t="shared" si="2"/>
        <v>2.9624999999999995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46104.293181828703</v>
      </c>
      <c r="B24" s="5" t="s">
        <v>86</v>
      </c>
      <c r="C24" s="11">
        <v>0.29317129629629601</v>
      </c>
      <c r="D24" s="11" t="s">
        <v>62</v>
      </c>
      <c r="E24" s="11">
        <v>0.36650462962962999</v>
      </c>
      <c r="F24" s="12">
        <f t="shared" si="1"/>
        <v>1.7600000000000153</v>
      </c>
      <c r="G24" s="13">
        <f t="shared" si="2"/>
        <v>0.79611111111112809</v>
      </c>
      <c r="H24" s="13">
        <f t="shared" si="3"/>
        <v>0.96388888888888724</v>
      </c>
      <c r="I24"/>
      <c r="J24"/>
    </row>
    <row r="25" spans="1:13" ht="18.75" x14ac:dyDescent="0.15">
      <c r="A25" s="10">
        <f t="shared" ca="1" si="0"/>
        <v>46106.954371064799</v>
      </c>
      <c r="B25" s="5" t="s">
        <v>86</v>
      </c>
      <c r="C25" s="11">
        <v>0.95436342592592605</v>
      </c>
      <c r="D25" s="11" t="s">
        <v>62</v>
      </c>
      <c r="E25" s="11">
        <v>0.12320601851851901</v>
      </c>
      <c r="F25" s="12">
        <f t="shared" si="1"/>
        <v>4.0522222222222313</v>
      </c>
      <c r="G25" s="13">
        <f t="shared" si="2"/>
        <v>1.0952777777777749</v>
      </c>
      <c r="H25" s="13">
        <f t="shared" si="3"/>
        <v>2.9569444444444564</v>
      </c>
      <c r="I25"/>
      <c r="J25"/>
    </row>
    <row r="26" spans="1:13" ht="18.75" x14ac:dyDescent="0.15">
      <c r="A26" s="10">
        <f t="shared" ca="1" si="0"/>
        <v>46108.139555208298</v>
      </c>
      <c r="B26" s="5" t="s">
        <v>86</v>
      </c>
      <c r="C26" s="11">
        <v>0.139548611111111</v>
      </c>
      <c r="D26" s="11" t="s">
        <v>62</v>
      </c>
      <c r="E26" s="11">
        <v>0.21540509259259299</v>
      </c>
      <c r="F26" s="12">
        <f t="shared" si="1"/>
        <v>1.8205555555555679</v>
      </c>
      <c r="G26" s="13">
        <f t="shared" si="2"/>
        <v>0</v>
      </c>
      <c r="H26" s="13">
        <f t="shared" si="3"/>
        <v>1.8205555555555679</v>
      </c>
      <c r="I26"/>
      <c r="J26"/>
    </row>
    <row r="27" spans="1:13" ht="18.75" x14ac:dyDescent="0.15">
      <c r="A27" s="10">
        <f t="shared" ca="1" si="0"/>
        <v>46111.139285995399</v>
      </c>
      <c r="B27" s="5" t="s">
        <v>86</v>
      </c>
      <c r="C27" s="11">
        <v>0.13928240740740699</v>
      </c>
      <c r="D27" s="11" t="s">
        <v>62</v>
      </c>
      <c r="E27" s="11">
        <v>0.301030092592593</v>
      </c>
      <c r="F27" s="12">
        <f t="shared" si="1"/>
        <v>3.8819444444444642</v>
      </c>
      <c r="G27" s="13">
        <f t="shared" si="2"/>
        <v>0</v>
      </c>
      <c r="H27" s="13">
        <f t="shared" si="3"/>
        <v>3.8819444444444642</v>
      </c>
      <c r="I27"/>
      <c r="J27"/>
    </row>
    <row r="28" spans="1:13" ht="18.75" x14ac:dyDescent="0.15">
      <c r="A28" s="10">
        <f t="shared" ca="1" si="0"/>
        <v>46112.012455555603</v>
      </c>
      <c r="B28" s="5" t="s">
        <v>86</v>
      </c>
      <c r="C28" s="11">
        <v>1.2453703703703699E-2</v>
      </c>
      <c r="D28" s="11" t="s">
        <v>62</v>
      </c>
      <c r="E28" s="11">
        <v>0.14423611111111101</v>
      </c>
      <c r="F28" s="12">
        <f t="shared" si="1"/>
        <v>3.1627777777777757</v>
      </c>
      <c r="G28" s="13">
        <f t="shared" si="2"/>
        <v>0</v>
      </c>
      <c r="H28" s="13">
        <f t="shared" si="3"/>
        <v>3.1627777777777757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42"/>
  <sheetViews>
    <sheetView zoomScale="85" zoomScaleNormal="85" workbookViewId="0">
      <selection activeCell="D24" sqref="D2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46082.951916898099</v>
      </c>
      <c r="B3" s="5" t="s">
        <v>78</v>
      </c>
      <c r="C3" s="11">
        <v>0.95190972222222203</v>
      </c>
      <c r="D3" s="11" t="s">
        <v>62</v>
      </c>
      <c r="E3" s="11">
        <v>6.5208333333333299E-2</v>
      </c>
      <c r="F3" s="12">
        <f t="shared" ref="F3:F42" si="1">(IF(E3-C3&lt;0,"24:00"-C3+E3,E3-C3))*24</f>
        <v>2.7191666666666703</v>
      </c>
      <c r="G3" s="13">
        <f t="shared" ref="G3:G42" si="2">F3-H3</f>
        <v>1.1541666666666712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1.5649999999999991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46083.070350000002</v>
      </c>
      <c r="B4" s="5" t="s">
        <v>78</v>
      </c>
      <c r="C4" s="11">
        <v>7.03472222222222E-2</v>
      </c>
      <c r="D4" s="11" t="s">
        <v>62</v>
      </c>
      <c r="E4" s="11">
        <v>0.10619212962963</v>
      </c>
      <c r="F4" s="12">
        <f t="shared" si="1"/>
        <v>0.86027777777778713</v>
      </c>
      <c r="G4" s="13">
        <f t="shared" si="2"/>
        <v>0</v>
      </c>
      <c r="H4" s="13">
        <f t="shared" si="3"/>
        <v>0.86027777777778713</v>
      </c>
      <c r="I4" s="21" t="s">
        <v>64</v>
      </c>
      <c r="J4" s="22">
        <f>SUMIF(B:B,"西塔台管制席",F:F)+SUMIF(B:B,"东塔台管制席",F:F)</f>
        <v>32.714722222222207</v>
      </c>
      <c r="K4" s="23">
        <f>SUMIF(B:B,"西塔台管制席",G:G)+SUMIF(B:B,"东塔台管制席",G:G)</f>
        <v>20.402777777777764</v>
      </c>
      <c r="L4" s="23">
        <f>SUMIF(B:B,"西塔台管制席",H:H)+SUMIF(B:B,"东塔台管制席",H:H)</f>
        <v>12.311944444444444</v>
      </c>
      <c r="M4" s="19"/>
    </row>
    <row r="5" spans="1:16" ht="18.75" x14ac:dyDescent="0.25">
      <c r="A5" s="10">
        <f t="shared" ca="1" si="0"/>
        <v>46084.132344097197</v>
      </c>
      <c r="B5" s="5" t="s">
        <v>84</v>
      </c>
      <c r="C5" s="11">
        <v>0.13233796296296299</v>
      </c>
      <c r="D5" s="11" t="s">
        <v>62</v>
      </c>
      <c r="E5" s="11">
        <v>0.222384259259259</v>
      </c>
      <c r="F5" s="12">
        <f t="shared" si="1"/>
        <v>2.1611111111111043</v>
      </c>
      <c r="G5" s="13">
        <f t="shared" si="2"/>
        <v>0</v>
      </c>
      <c r="H5" s="13">
        <f t="shared" si="3"/>
        <v>2.1611111111111043</v>
      </c>
      <c r="I5" s="21" t="s">
        <v>65</v>
      </c>
      <c r="J5" s="22">
        <f>SUMIF(B:B,"西塔台协调席",F:F)+SUMIF(B:B,"东塔台协调席",F:F)</f>
        <v>12.381666666666671</v>
      </c>
      <c r="K5" s="23">
        <f>SUMIF(B:B,"西塔台协调席",G:G)+SUMIF(B:B,"东塔台协调席",G:G)</f>
        <v>8.039722222222224</v>
      </c>
      <c r="L5" s="23">
        <f>SUMIF(B:B,"西塔台协调席",H:H)+SUMIF(B:B,"东塔台协调席",H:H)</f>
        <v>4.3419444444444473</v>
      </c>
      <c r="M5" s="19"/>
    </row>
    <row r="6" spans="1:16" ht="18.75" x14ac:dyDescent="0.25">
      <c r="A6" s="10">
        <f t="shared" ca="1" si="0"/>
        <v>46087.133480092598</v>
      </c>
      <c r="B6" s="5" t="s">
        <v>84</v>
      </c>
      <c r="C6" s="11">
        <v>0.13347222222222199</v>
      </c>
      <c r="D6" s="11" t="s">
        <v>62</v>
      </c>
      <c r="E6" s="11">
        <v>0.218310185185185</v>
      </c>
      <c r="F6" s="12">
        <f t="shared" si="1"/>
        <v>2.0361111111111123</v>
      </c>
      <c r="G6" s="13">
        <f t="shared" si="2"/>
        <v>0</v>
      </c>
      <c r="H6" s="13">
        <f t="shared" si="3"/>
        <v>2.0361111111111123</v>
      </c>
      <c r="I6" s="21" t="s">
        <v>66</v>
      </c>
      <c r="J6" s="22">
        <f>SUMIF(B:B,"放行席",F:F)</f>
        <v>6.3933333333333362</v>
      </c>
      <c r="K6" s="23">
        <f>SUMIF(B:B,"放行席",G:G)</f>
        <v>0</v>
      </c>
      <c r="L6" s="23">
        <f>SUMIF(B:B,"放行席",H:H)</f>
        <v>6.3933333333333362</v>
      </c>
      <c r="M6" s="19"/>
    </row>
    <row r="7" spans="1:16" ht="18.75" x14ac:dyDescent="0.25">
      <c r="A7" s="10">
        <f t="shared" ca="1" si="0"/>
        <v>46088.138618171302</v>
      </c>
      <c r="B7" s="5" t="s">
        <v>83</v>
      </c>
      <c r="C7" s="11">
        <v>0.13861111111111099</v>
      </c>
      <c r="D7" s="11" t="s">
        <v>62</v>
      </c>
      <c r="E7" s="11">
        <v>0.22228009259259299</v>
      </c>
      <c r="F7" s="12">
        <f t="shared" si="1"/>
        <v>2.0080555555555679</v>
      </c>
      <c r="G7" s="13">
        <f t="shared" si="2"/>
        <v>0</v>
      </c>
      <c r="H7" s="13">
        <f t="shared" si="3"/>
        <v>2.0080555555555679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46090.794295138898</v>
      </c>
      <c r="B8" s="5" t="s">
        <v>82</v>
      </c>
      <c r="C8" s="11">
        <v>0.794293981481481</v>
      </c>
      <c r="D8" s="11" t="s">
        <v>62</v>
      </c>
      <c r="E8" s="11">
        <v>0.88157407407407395</v>
      </c>
      <c r="F8" s="12">
        <f t="shared" si="1"/>
        <v>2.0947222222222308</v>
      </c>
      <c r="G8" s="13">
        <f t="shared" si="2"/>
        <v>2.0947222222222308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46091.417138541699</v>
      </c>
      <c r="B9" s="5" t="s">
        <v>78</v>
      </c>
      <c r="C9" s="11">
        <v>0.41712962962963002</v>
      </c>
      <c r="D9" s="11" t="s">
        <v>62</v>
      </c>
      <c r="E9" s="11">
        <v>0.53158564814814802</v>
      </c>
      <c r="F9" s="12">
        <f t="shared" si="1"/>
        <v>2.746944444444432</v>
      </c>
      <c r="G9" s="13">
        <f t="shared" si="2"/>
        <v>2.746944444444432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46091.627036805599</v>
      </c>
      <c r="B10" s="5" t="s">
        <v>78</v>
      </c>
      <c r="C10" s="11">
        <v>0.62703703703703695</v>
      </c>
      <c r="D10" s="11" t="s">
        <v>62</v>
      </c>
      <c r="E10" s="11">
        <v>0.800914351851852</v>
      </c>
      <c r="F10" s="12">
        <f t="shared" si="1"/>
        <v>4.1730555555555613</v>
      </c>
      <c r="G10" s="13">
        <f t="shared" si="2"/>
        <v>4.1730555555555613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46091.877446643499</v>
      </c>
      <c r="B11" s="5" t="s">
        <v>78</v>
      </c>
      <c r="C11" s="11">
        <v>0.87744212962962997</v>
      </c>
      <c r="D11" s="11" t="s">
        <v>62</v>
      </c>
      <c r="E11" s="11">
        <v>0.95874999999999999</v>
      </c>
      <c r="F11" s="12">
        <f t="shared" si="1"/>
        <v>1.9513888888888804</v>
      </c>
      <c r="G11" s="13">
        <f t="shared" si="2"/>
        <v>1.9513888888888804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46092.293104513898</v>
      </c>
      <c r="B12" s="5" t="s">
        <v>78</v>
      </c>
      <c r="C12" s="11">
        <v>0.293101851851852</v>
      </c>
      <c r="D12" s="11" t="s">
        <v>62</v>
      </c>
      <c r="E12" s="11">
        <v>0.36276620370370399</v>
      </c>
      <c r="F12" s="12">
        <f t="shared" si="1"/>
        <v>1.6719444444444478</v>
      </c>
      <c r="G12" s="13">
        <f t="shared" si="2"/>
        <v>0.70638888888890428</v>
      </c>
      <c r="H12" s="13">
        <f t="shared" si="3"/>
        <v>0.96555555555554351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46094.952629976899</v>
      </c>
      <c r="B13" s="5" t="s">
        <v>78</v>
      </c>
      <c r="C13" s="11">
        <v>0.952627314814815</v>
      </c>
      <c r="D13" s="11" t="s">
        <v>62</v>
      </c>
      <c r="E13" s="11">
        <v>0.118622685185185</v>
      </c>
      <c r="F13" s="12">
        <f t="shared" si="1"/>
        <v>3.9838888888888797</v>
      </c>
      <c r="G13" s="13">
        <f t="shared" si="2"/>
        <v>1.1369444444444397</v>
      </c>
      <c r="H13" s="13">
        <f t="shared" si="3"/>
        <v>2.8469444444444401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46100.016239120399</v>
      </c>
      <c r="B14" s="5" t="s">
        <v>83</v>
      </c>
      <c r="C14" s="11">
        <v>1.6238425925925899E-2</v>
      </c>
      <c r="D14" s="11" t="s">
        <v>62</v>
      </c>
      <c r="E14" s="11">
        <v>0.14590277777777799</v>
      </c>
      <c r="F14" s="12">
        <f t="shared" si="1"/>
        <v>3.1119444444444504</v>
      </c>
      <c r="G14" s="13">
        <f t="shared" si="2"/>
        <v>0</v>
      </c>
      <c r="H14" s="13">
        <f t="shared" si="3"/>
        <v>3.1119444444444504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46102.354973611102</v>
      </c>
      <c r="B15" s="5" t="s">
        <v>78</v>
      </c>
      <c r="C15" s="11">
        <v>0.35496527777777798</v>
      </c>
      <c r="D15" s="11" t="s">
        <v>62</v>
      </c>
      <c r="E15" s="11">
        <v>0.53630787037036998</v>
      </c>
      <c r="F15" s="12">
        <f t="shared" si="1"/>
        <v>4.352222222222208</v>
      </c>
      <c r="G15" s="13">
        <f t="shared" si="2"/>
        <v>4.352222222222208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46102.710166550904</v>
      </c>
      <c r="B16" s="5" t="s">
        <v>78</v>
      </c>
      <c r="C16" s="11">
        <v>0.71809027777777801</v>
      </c>
      <c r="D16" s="11" t="s">
        <v>62</v>
      </c>
      <c r="E16" s="11">
        <v>0.79950231481481504</v>
      </c>
      <c r="F16" s="12">
        <f t="shared" si="1"/>
        <v>1.9538888888888888</v>
      </c>
      <c r="G16" s="13">
        <f t="shared" si="2"/>
        <v>1.9538888888888888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46103.293584722203</v>
      </c>
      <c r="B17" s="5" t="s">
        <v>78</v>
      </c>
      <c r="C17" s="11">
        <v>0.29357638888888898</v>
      </c>
      <c r="D17" s="11" t="s">
        <v>62</v>
      </c>
      <c r="E17" s="11">
        <v>0.42615740740740699</v>
      </c>
      <c r="F17" s="12">
        <f t="shared" si="1"/>
        <v>3.181944444444432</v>
      </c>
      <c r="G17" s="13">
        <f t="shared" si="2"/>
        <v>2.2277777777777761</v>
      </c>
      <c r="H17" s="13">
        <f t="shared" si="3"/>
        <v>0.95416666666665595</v>
      </c>
      <c r="I17" s="35" t="s">
        <v>75</v>
      </c>
      <c r="J17" s="36">
        <f>J4+J5+J6+J7+J10</f>
        <v>51.48972222222222</v>
      </c>
      <c r="K17" s="37">
        <f>K4+K5+K6+K7+K10</f>
        <v>28.442499999999988</v>
      </c>
      <c r="L17" s="38">
        <f>L4+L5+L6+L7+L10</f>
        <v>23.047222222222231</v>
      </c>
      <c r="M17" s="39"/>
    </row>
    <row r="18" spans="1:13" ht="20.25" x14ac:dyDescent="0.25">
      <c r="A18" s="10">
        <f t="shared" ca="1" si="0"/>
        <v>46103.521612268501</v>
      </c>
      <c r="B18" s="5" t="s">
        <v>80</v>
      </c>
      <c r="C18" s="11">
        <v>0.52160879629629597</v>
      </c>
      <c r="D18" s="11" t="s">
        <v>62</v>
      </c>
      <c r="E18" s="11">
        <v>0.63190972222222197</v>
      </c>
      <c r="F18" s="12">
        <f t="shared" si="1"/>
        <v>2.6472222222222239</v>
      </c>
      <c r="G18" s="13">
        <f t="shared" si="2"/>
        <v>2.6472222222222239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46103.7929679398</v>
      </c>
      <c r="B19" s="5" t="s">
        <v>80</v>
      </c>
      <c r="C19" s="11">
        <v>0.79296296296296298</v>
      </c>
      <c r="D19" s="11" t="s">
        <v>62</v>
      </c>
      <c r="E19" s="11">
        <v>0.88232638888888903</v>
      </c>
      <c r="F19" s="12">
        <f t="shared" si="1"/>
        <v>2.1447222222222253</v>
      </c>
      <c r="G19" s="13">
        <f t="shared" si="2"/>
        <v>2.1447222222222253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46111.134894907402</v>
      </c>
      <c r="B20" s="5" t="s">
        <v>84</v>
      </c>
      <c r="C20" s="11">
        <v>0.13488425925925901</v>
      </c>
      <c r="D20" s="11" t="s">
        <v>62</v>
      </c>
      <c r="E20" s="11">
        <v>0.226388888888889</v>
      </c>
      <c r="F20" s="12">
        <f t="shared" si="1"/>
        <v>2.1961111111111196</v>
      </c>
      <c r="G20" s="13">
        <f t="shared" si="2"/>
        <v>0</v>
      </c>
      <c r="H20" s="13">
        <f t="shared" si="3"/>
        <v>2.1961111111111196</v>
      </c>
      <c r="I20" s="40" t="s">
        <v>77</v>
      </c>
      <c r="J20" s="65">
        <f>J16+J17+J18+J19</f>
        <v>51.48972222222222</v>
      </c>
      <c r="K20" s="66"/>
      <c r="L20" s="67"/>
      <c r="M20" s="41"/>
    </row>
    <row r="21" spans="1:13" ht="20.25" x14ac:dyDescent="0.25">
      <c r="A21" s="10">
        <f t="shared" ca="1" si="0"/>
        <v>46111.226455555603</v>
      </c>
      <c r="B21" s="5" t="s">
        <v>80</v>
      </c>
      <c r="C21" s="11">
        <v>0.226446759259259</v>
      </c>
      <c r="D21" s="11" t="s">
        <v>62</v>
      </c>
      <c r="E21" s="11">
        <v>0.30120370370370397</v>
      </c>
      <c r="F21" s="12">
        <f t="shared" si="1"/>
        <v>1.7941666666666793</v>
      </c>
      <c r="G21" s="13">
        <f t="shared" si="2"/>
        <v>0</v>
      </c>
      <c r="H21" s="13">
        <f t="shared" si="3"/>
        <v>1.7941666666666793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46111.951957060199</v>
      </c>
      <c r="B22" s="5" t="s">
        <v>82</v>
      </c>
      <c r="C22" s="11">
        <v>0.95195601851851896</v>
      </c>
      <c r="D22" s="11" t="s">
        <v>62</v>
      </c>
      <c r="E22" s="11">
        <v>0.10615740740740701</v>
      </c>
      <c r="F22" s="12">
        <f t="shared" si="1"/>
        <v>3.7008333333333132</v>
      </c>
      <c r="G22" s="13">
        <f t="shared" si="2"/>
        <v>1.1530555555555448</v>
      </c>
      <c r="H22" s="13">
        <f t="shared" si="3"/>
        <v>2.5477777777777684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46083.139600000002</v>
      </c>
      <c r="B3" s="5" t="s">
        <v>83</v>
      </c>
      <c r="C3" s="11">
        <v>0.13913194444444399</v>
      </c>
      <c r="D3" s="11" t="s">
        <v>62</v>
      </c>
      <c r="E3" s="11">
        <v>0.29982638888888902</v>
      </c>
      <c r="F3" s="12">
        <f t="shared" ref="F3:F42" si="1">(IF(E3-C3&lt;0,"24:00"-C3+E3,E3-C3))*24</f>
        <v>3.8566666666666807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3.8566666666666807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46084.015412731504</v>
      </c>
      <c r="B4" s="5" t="s">
        <v>83</v>
      </c>
      <c r="C4" s="11">
        <v>1.54050925925926E-2</v>
      </c>
      <c r="D4" s="11" t="s">
        <v>62</v>
      </c>
      <c r="E4" s="11">
        <v>0.12068287037037</v>
      </c>
      <c r="F4" s="12">
        <f t="shared" si="1"/>
        <v>2.5266666666666575</v>
      </c>
      <c r="G4" s="13">
        <f t="shared" si="2"/>
        <v>0</v>
      </c>
      <c r="H4" s="13">
        <f t="shared" si="3"/>
        <v>2.5266666666666575</v>
      </c>
      <c r="I4" s="21" t="s">
        <v>64</v>
      </c>
      <c r="J4" s="22">
        <f>SUMIF(B:B,"西塔台管制席",F:F)+SUMIF(B:B,"东塔台管制席",F:F)</f>
        <v>20.525000000000027</v>
      </c>
      <c r="K4" s="23">
        <f>SUMIF(B:B,"西塔台管制席",G:G)+SUMIF(B:B,"东塔台管制席",G:G)</f>
        <v>10.298333333333378</v>
      </c>
      <c r="L4" s="23">
        <f>SUMIF(B:B,"西塔台管制席",H:H)+SUMIF(B:B,"东塔台管制席",H:H)</f>
        <v>10.226666666666649</v>
      </c>
      <c r="M4" s="19"/>
    </row>
    <row r="5" spans="1:16" ht="18.75" x14ac:dyDescent="0.25">
      <c r="A5" s="10">
        <f t="shared" ca="1" si="0"/>
        <v>46086.372109374999</v>
      </c>
      <c r="B5" s="5" t="s">
        <v>79</v>
      </c>
      <c r="C5" s="11">
        <v>0.37210648148148101</v>
      </c>
      <c r="D5" s="11" t="s">
        <v>62</v>
      </c>
      <c r="E5" s="11">
        <v>0.41524305555555602</v>
      </c>
      <c r="F5" s="12">
        <f t="shared" si="1"/>
        <v>1.0352777777778002</v>
      </c>
      <c r="G5" s="13">
        <f t="shared" si="2"/>
        <v>1.0352777777778002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38.068055555555475</v>
      </c>
      <c r="K5" s="23">
        <f>SUMIF(B:B,"西塔台协调席",G:G)+SUMIF(B:B,"东塔台协调席",G:G)</f>
        <v>25.852499999999949</v>
      </c>
      <c r="L5" s="23">
        <f>SUMIF(B:B,"西塔台协调席",H:H)+SUMIF(B:B,"东塔台协调席",H:H)</f>
        <v>12.215555555555529</v>
      </c>
      <c r="M5" s="19"/>
    </row>
    <row r="6" spans="1:16" ht="18.75" x14ac:dyDescent="0.25">
      <c r="A6" s="10">
        <f t="shared" ca="1" si="0"/>
        <v>46086.4432914352</v>
      </c>
      <c r="B6" s="5" t="s">
        <v>79</v>
      </c>
      <c r="C6" s="11">
        <v>0.44328703703703698</v>
      </c>
      <c r="D6" s="11" t="s">
        <v>62</v>
      </c>
      <c r="E6" s="11">
        <v>0.45560185185185198</v>
      </c>
      <c r="F6" s="12">
        <f t="shared" si="1"/>
        <v>0.29555555555556001</v>
      </c>
      <c r="G6" s="13">
        <f t="shared" si="2"/>
        <v>0.29555555555556001</v>
      </c>
      <c r="H6" s="13">
        <f t="shared" si="3"/>
        <v>0</v>
      </c>
      <c r="I6" s="21" t="s">
        <v>66</v>
      </c>
      <c r="J6" s="22">
        <f>SUMIF(B:B,"放行席",F:F)</f>
        <v>1.9269444444444477</v>
      </c>
      <c r="K6" s="23">
        <f>SUMIF(B:B,"放行席",G:G)</f>
        <v>0</v>
      </c>
      <c r="L6" s="23">
        <f>SUMIF(B:B,"放行席",H:H)</f>
        <v>1.9269444444444477</v>
      </c>
      <c r="M6" s="19"/>
    </row>
    <row r="7" spans="1:16" ht="18.75" x14ac:dyDescent="0.25">
      <c r="A7" s="10">
        <f t="shared" ca="1" si="0"/>
        <v>46086.523405439802</v>
      </c>
      <c r="B7" s="5" t="s">
        <v>82</v>
      </c>
      <c r="C7" s="11">
        <v>0.52340277777777799</v>
      </c>
      <c r="D7" s="11" t="s">
        <v>62</v>
      </c>
      <c r="E7" s="11">
        <v>0.57297453703703705</v>
      </c>
      <c r="F7" s="12">
        <f t="shared" si="1"/>
        <v>1.1897222222222172</v>
      </c>
      <c r="G7" s="13">
        <f t="shared" si="2"/>
        <v>1.1897222222222172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46086.589815046304</v>
      </c>
      <c r="B8" s="5" t="s">
        <v>82</v>
      </c>
      <c r="C8" s="11">
        <v>0.58981481481481501</v>
      </c>
      <c r="D8" s="11" t="s">
        <v>62</v>
      </c>
      <c r="E8" s="11">
        <v>0.69334490740740795</v>
      </c>
      <c r="F8" s="12">
        <f t="shared" si="1"/>
        <v>2.4847222222222305</v>
      </c>
      <c r="G8" s="13">
        <f t="shared" si="2"/>
        <v>2.4847222222222305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46086.772802893502</v>
      </c>
      <c r="B9" s="5" t="s">
        <v>78</v>
      </c>
      <c r="C9" s="11">
        <v>0.77280092592592597</v>
      </c>
      <c r="D9" s="11" t="s">
        <v>62</v>
      </c>
      <c r="E9" s="11">
        <v>0.82491898148148202</v>
      </c>
      <c r="F9" s="12">
        <f t="shared" si="1"/>
        <v>1.250833333333345</v>
      </c>
      <c r="G9" s="13">
        <f t="shared" si="2"/>
        <v>1.250833333333345</v>
      </c>
      <c r="H9" s="13">
        <f t="shared" si="3"/>
        <v>0</v>
      </c>
      <c r="I9" s="21" t="s">
        <v>69</v>
      </c>
      <c r="J9" s="22">
        <f>SUMIF(B:B,"航班调度席",F:F)</f>
        <v>4.2911111111111282</v>
      </c>
      <c r="K9" s="23">
        <f>SUMIF(B:B,"航班调度席",G:G)</f>
        <v>4.2911111111111282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46087.418670254599</v>
      </c>
      <c r="B10" s="5" t="s">
        <v>78</v>
      </c>
      <c r="C10" s="11">
        <v>0.41866898148148102</v>
      </c>
      <c r="D10" s="11" t="s">
        <v>62</v>
      </c>
      <c r="E10" s="11">
        <v>0.52785879629629595</v>
      </c>
      <c r="F10" s="12">
        <f t="shared" si="1"/>
        <v>2.6205555555555584</v>
      </c>
      <c r="G10" s="13">
        <f t="shared" si="2"/>
        <v>2.6205555555555584</v>
      </c>
      <c r="H10" s="13">
        <f t="shared" si="3"/>
        <v>0</v>
      </c>
      <c r="I10" s="21" t="s">
        <v>70</v>
      </c>
      <c r="J10" s="22">
        <f>SUMIF(B:B,"综合协调席",F:F)</f>
        <v>1.8608333333333278</v>
      </c>
      <c r="K10" s="23">
        <f>SUMIF(B:B,"综合协调席",G:G)</f>
        <v>0</v>
      </c>
      <c r="L10" s="23">
        <f>SUMIF(B:B,"综合协调席",H:H)</f>
        <v>1.8608333333333278</v>
      </c>
      <c r="M10" s="19"/>
    </row>
    <row r="11" spans="1:16" ht="18.75" x14ac:dyDescent="0.25">
      <c r="A11" s="10">
        <f t="shared" ca="1" si="0"/>
        <v>46087.647290509303</v>
      </c>
      <c r="B11" s="5" t="s">
        <v>82</v>
      </c>
      <c r="C11" s="11">
        <v>0.647280092592593</v>
      </c>
      <c r="D11" s="11" t="s">
        <v>62</v>
      </c>
      <c r="E11" s="11">
        <v>0.77733796296296298</v>
      </c>
      <c r="F11" s="12">
        <f t="shared" si="1"/>
        <v>3.1213888888888794</v>
      </c>
      <c r="G11" s="13">
        <f t="shared" si="2"/>
        <v>3.1213888888888794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46087.875550347198</v>
      </c>
      <c r="B12" s="5" t="s">
        <v>78</v>
      </c>
      <c r="C12" s="11">
        <v>0.87554398148148105</v>
      </c>
      <c r="D12" s="11" t="s">
        <v>62</v>
      </c>
      <c r="E12" s="11">
        <v>0.95806712962963003</v>
      </c>
      <c r="F12" s="12">
        <f t="shared" si="1"/>
        <v>1.9805555555555756</v>
      </c>
      <c r="G12" s="13">
        <f t="shared" si="2"/>
        <v>1.9805555555555756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46088.293113541702</v>
      </c>
      <c r="B13" s="5" t="s">
        <v>82</v>
      </c>
      <c r="C13" s="11">
        <v>0.29311342592592599</v>
      </c>
      <c r="D13" s="11" t="s">
        <v>62</v>
      </c>
      <c r="E13" s="11">
        <v>0.36597222222222198</v>
      </c>
      <c r="F13" s="12">
        <f t="shared" si="1"/>
        <v>1.7486111111111038</v>
      </c>
      <c r="G13" s="13">
        <f t="shared" si="2"/>
        <v>0.78333333333333588</v>
      </c>
      <c r="H13" s="13">
        <f t="shared" si="3"/>
        <v>0.96527777777776791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46091.015082870399</v>
      </c>
      <c r="B14" s="5" t="s">
        <v>80</v>
      </c>
      <c r="C14" s="11">
        <v>1.5081018518518501E-2</v>
      </c>
      <c r="D14" s="11" t="s">
        <v>62</v>
      </c>
      <c r="E14" s="11">
        <v>0.14432870370370399</v>
      </c>
      <c r="F14" s="12">
        <f t="shared" si="1"/>
        <v>3.1019444444444515</v>
      </c>
      <c r="G14" s="13">
        <f t="shared" si="2"/>
        <v>0</v>
      </c>
      <c r="H14" s="13">
        <f t="shared" si="3"/>
        <v>3.1019444444444515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46092.130753240701</v>
      </c>
      <c r="B15" s="5" t="s">
        <v>84</v>
      </c>
      <c r="C15" s="11">
        <v>0.130752314814815</v>
      </c>
      <c r="D15" s="11" t="s">
        <v>62</v>
      </c>
      <c r="E15" s="11">
        <v>0.21104166666666699</v>
      </c>
      <c r="F15" s="12">
        <f t="shared" si="1"/>
        <v>1.9269444444444477</v>
      </c>
      <c r="G15" s="13">
        <f t="shared" si="2"/>
        <v>0</v>
      </c>
      <c r="H15" s="13">
        <f t="shared" si="3"/>
        <v>1.9269444444444477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46095.015132175897</v>
      </c>
      <c r="B16" s="5" t="s">
        <v>80</v>
      </c>
      <c r="C16" s="11">
        <v>1.51273148148148E-2</v>
      </c>
      <c r="D16" s="11" t="s">
        <v>62</v>
      </c>
      <c r="E16" s="11">
        <v>0.11659722222222201</v>
      </c>
      <c r="F16" s="12">
        <f t="shared" si="1"/>
        <v>2.435277777777773</v>
      </c>
      <c r="G16" s="13">
        <f t="shared" si="2"/>
        <v>0</v>
      </c>
      <c r="H16" s="13">
        <f t="shared" si="3"/>
        <v>2.435277777777773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46095.116651388897</v>
      </c>
      <c r="B17" s="5" t="s">
        <v>82</v>
      </c>
      <c r="C17" s="11">
        <v>0.11664351851851899</v>
      </c>
      <c r="D17" s="11" t="s">
        <v>62</v>
      </c>
      <c r="E17" s="11">
        <v>0.14412037037037001</v>
      </c>
      <c r="F17" s="12">
        <f t="shared" si="1"/>
        <v>0.6594444444444244</v>
      </c>
      <c r="G17" s="13">
        <f t="shared" si="2"/>
        <v>0</v>
      </c>
      <c r="H17" s="13">
        <f t="shared" si="3"/>
        <v>0.6594444444444244</v>
      </c>
      <c r="I17" s="35" t="s">
        <v>75</v>
      </c>
      <c r="J17" s="36">
        <f>J4+J5+J6+J7+J10</f>
        <v>62.380833333333271</v>
      </c>
      <c r="K17" s="37">
        <f>K4+K5+K6+K7+K10</f>
        <v>36.150833333333324</v>
      </c>
      <c r="L17" s="38">
        <f>L4+L5+L6+L7+L10</f>
        <v>26.229999999999954</v>
      </c>
      <c r="M17" s="39"/>
    </row>
    <row r="18" spans="1:13" ht="20.25" x14ac:dyDescent="0.25">
      <c r="A18" s="10">
        <f t="shared" ca="1" si="0"/>
        <v>46098.6893277778</v>
      </c>
      <c r="B18" s="5" t="s">
        <v>82</v>
      </c>
      <c r="C18" s="11">
        <v>0.68931712962962999</v>
      </c>
      <c r="D18" s="11" t="s">
        <v>62</v>
      </c>
      <c r="E18" s="11">
        <v>0.80034722222222199</v>
      </c>
      <c r="F18" s="12">
        <f t="shared" si="1"/>
        <v>2.664722222222208</v>
      </c>
      <c r="G18" s="13">
        <f t="shared" si="2"/>
        <v>2.664722222222208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46098.818809027798</v>
      </c>
      <c r="B19" s="5" t="s">
        <v>82</v>
      </c>
      <c r="C19" s="11">
        <v>0.81883101851851903</v>
      </c>
      <c r="D19" s="11" t="s">
        <v>62</v>
      </c>
      <c r="E19" s="11">
        <v>0.86299768518518505</v>
      </c>
      <c r="F19" s="12">
        <f t="shared" si="1"/>
        <v>1.0599999999999845</v>
      </c>
      <c r="G19" s="13">
        <f t="shared" si="2"/>
        <v>1.0599999999999845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46099.460152662003</v>
      </c>
      <c r="B20" s="5" t="s">
        <v>82</v>
      </c>
      <c r="C20" s="11">
        <v>0.46015046296296302</v>
      </c>
      <c r="D20" s="11" t="s">
        <v>62</v>
      </c>
      <c r="E20" s="11">
        <v>0.50629629629629602</v>
      </c>
      <c r="F20" s="12">
        <f t="shared" si="1"/>
        <v>1.1074999999999919</v>
      </c>
      <c r="G20" s="13">
        <f t="shared" si="2"/>
        <v>1.1074999999999919</v>
      </c>
      <c r="H20" s="13">
        <f t="shared" si="3"/>
        <v>0</v>
      </c>
      <c r="I20" s="40" t="s">
        <v>77</v>
      </c>
      <c r="J20" s="65">
        <f>J16+J17+J18+J19</f>
        <v>62.380833333333271</v>
      </c>
      <c r="K20" s="66"/>
      <c r="L20" s="67"/>
      <c r="M20" s="41"/>
    </row>
    <row r="21" spans="1:13" ht="20.25" x14ac:dyDescent="0.25">
      <c r="A21" s="10">
        <f t="shared" ca="1" si="0"/>
        <v>46099.530980902797</v>
      </c>
      <c r="B21" s="5" t="s">
        <v>82</v>
      </c>
      <c r="C21" s="11">
        <v>0.53097222222222196</v>
      </c>
      <c r="D21" s="11" t="s">
        <v>62</v>
      </c>
      <c r="E21" s="11">
        <v>0.68006944444444395</v>
      </c>
      <c r="F21" s="12">
        <f t="shared" si="1"/>
        <v>3.5783333333333278</v>
      </c>
      <c r="G21" s="13">
        <f t="shared" si="2"/>
        <v>3.5783333333333278</v>
      </c>
      <c r="H21" s="13">
        <f t="shared" si="3"/>
        <v>0</v>
      </c>
      <c r="I21" s="42" t="s">
        <v>4</v>
      </c>
      <c r="J21" s="43">
        <f>SUM(J8:J9)</f>
        <v>4.2911111111111282</v>
      </c>
      <c r="K21" s="37">
        <f>SUM(K8:K9)</f>
        <v>4.2911111111111282</v>
      </c>
      <c r="L21" s="38">
        <f>SUM(L8:L9)</f>
        <v>0</v>
      </c>
      <c r="M21" s="44"/>
    </row>
    <row r="22" spans="1:13" ht="18.75" x14ac:dyDescent="0.15">
      <c r="A22" s="10">
        <f t="shared" ca="1" si="0"/>
        <v>46103.013356597199</v>
      </c>
      <c r="B22" s="5" t="s">
        <v>80</v>
      </c>
      <c r="C22" s="11">
        <v>1.33564814814815E-2</v>
      </c>
      <c r="D22" s="11" t="s">
        <v>62</v>
      </c>
      <c r="E22" s="11">
        <v>0.14516203703703701</v>
      </c>
      <c r="F22" s="12">
        <f t="shared" si="1"/>
        <v>3.1633333333333322</v>
      </c>
      <c r="G22" s="13">
        <f t="shared" si="2"/>
        <v>0</v>
      </c>
      <c r="H22" s="13">
        <f t="shared" si="3"/>
        <v>3.1633333333333322</v>
      </c>
      <c r="I22"/>
      <c r="J22"/>
    </row>
    <row r="23" spans="1:13" ht="18.75" x14ac:dyDescent="0.15">
      <c r="A23" s="10">
        <f t="shared" ca="1" si="0"/>
        <v>46103.953006944401</v>
      </c>
      <c r="B23" s="5" t="s">
        <v>80</v>
      </c>
      <c r="C23" s="11">
        <v>0.95303240740740702</v>
      </c>
      <c r="D23" s="11" t="s">
        <v>62</v>
      </c>
      <c r="E23" s="11">
        <v>7.8761574074074095E-2</v>
      </c>
      <c r="F23" s="12">
        <f t="shared" si="1"/>
        <v>3.0175000000000094</v>
      </c>
      <c r="G23" s="13">
        <f t="shared" si="2"/>
        <v>1.127222222222231</v>
      </c>
      <c r="H23" s="13">
        <f t="shared" si="3"/>
        <v>1.8902777777777784</v>
      </c>
      <c r="I23"/>
      <c r="J23"/>
    </row>
    <row r="24" spans="1:13" ht="18.75" x14ac:dyDescent="0.15">
      <c r="A24" s="10">
        <f t="shared" ca="1" si="0"/>
        <v>46107.136969907398</v>
      </c>
      <c r="B24" s="5" t="s">
        <v>85</v>
      </c>
      <c r="C24" s="11">
        <v>0.136967592592593</v>
      </c>
      <c r="D24" s="11" t="s">
        <v>62</v>
      </c>
      <c r="E24" s="11">
        <v>0.21450231481481499</v>
      </c>
      <c r="F24" s="12">
        <f t="shared" si="1"/>
        <v>1.8608333333333278</v>
      </c>
      <c r="G24" s="13">
        <f t="shared" si="2"/>
        <v>0</v>
      </c>
      <c r="H24" s="13">
        <f t="shared" si="3"/>
        <v>1.8608333333333278</v>
      </c>
      <c r="I24"/>
      <c r="J24"/>
    </row>
    <row r="25" spans="1:13" ht="18.75" x14ac:dyDescent="0.15">
      <c r="A25" s="10">
        <f t="shared" ca="1" si="0"/>
        <v>46107.953285069401</v>
      </c>
      <c r="B25" s="5" t="s">
        <v>78</v>
      </c>
      <c r="C25" s="11">
        <v>0.95327546296296295</v>
      </c>
      <c r="D25" s="11" t="s">
        <v>62</v>
      </c>
      <c r="E25" s="11">
        <v>0.12001157407407401</v>
      </c>
      <c r="F25" s="12">
        <f t="shared" si="1"/>
        <v>4.0016666666666652</v>
      </c>
      <c r="G25" s="13">
        <f t="shared" si="2"/>
        <v>1.1213888888888892</v>
      </c>
      <c r="H25" s="13">
        <f t="shared" si="3"/>
        <v>2.8802777777777759</v>
      </c>
      <c r="I25"/>
      <c r="J25"/>
    </row>
    <row r="26" spans="1:13" ht="18.75" x14ac:dyDescent="0.15">
      <c r="A26" s="10">
        <f t="shared" ca="1" si="0"/>
        <v>46110.362747685198</v>
      </c>
      <c r="B26" s="5" t="s">
        <v>79</v>
      </c>
      <c r="C26" s="11">
        <v>0.36281249999999998</v>
      </c>
      <c r="D26" s="11" t="s">
        <v>62</v>
      </c>
      <c r="E26" s="11">
        <v>0.48615740740740698</v>
      </c>
      <c r="F26" s="12">
        <f t="shared" si="1"/>
        <v>2.960277777777768</v>
      </c>
      <c r="G26" s="13">
        <f t="shared" si="2"/>
        <v>2.960277777777768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46110.522393981497</v>
      </c>
      <c r="B27" s="5" t="s">
        <v>82</v>
      </c>
      <c r="C27" s="11">
        <v>0.52238425925925902</v>
      </c>
      <c r="D27" s="11" t="s">
        <v>62</v>
      </c>
      <c r="E27" s="11">
        <v>0.73799768518518505</v>
      </c>
      <c r="F27" s="12">
        <f t="shared" si="1"/>
        <v>5.1747222222222247</v>
      </c>
      <c r="G27" s="13">
        <f t="shared" si="2"/>
        <v>5.1747222222222247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46110.773087268499</v>
      </c>
      <c r="B28" s="5" t="s">
        <v>82</v>
      </c>
      <c r="C28" s="11">
        <v>0.77307870370370402</v>
      </c>
      <c r="D28" s="11" t="s">
        <v>62</v>
      </c>
      <c r="E28" s="11">
        <v>0.81953703703703695</v>
      </c>
      <c r="F28" s="12">
        <f t="shared" si="1"/>
        <v>1.1149999999999904</v>
      </c>
      <c r="G28" s="13">
        <f t="shared" si="2"/>
        <v>1.1149999999999904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46111.417833796302</v>
      </c>
      <c r="B29" s="5" t="s">
        <v>78</v>
      </c>
      <c r="C29" s="11">
        <v>0.41782407407407401</v>
      </c>
      <c r="D29" s="11" t="s">
        <v>62</v>
      </c>
      <c r="E29" s="11">
        <v>0.52891203703703704</v>
      </c>
      <c r="F29" s="12">
        <f t="shared" si="1"/>
        <v>2.6661111111111127</v>
      </c>
      <c r="G29" s="13">
        <f t="shared" si="2"/>
        <v>2.6661111111111127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46111.855771990697</v>
      </c>
      <c r="B30" s="5" t="s">
        <v>82</v>
      </c>
      <c r="C30" s="11">
        <v>0.85576388888888899</v>
      </c>
      <c r="D30" s="11" t="s">
        <v>62</v>
      </c>
      <c r="E30" s="11">
        <v>0.95767361111111104</v>
      </c>
      <c r="F30" s="12">
        <f t="shared" si="1"/>
        <v>2.4458333333333293</v>
      </c>
      <c r="G30" s="13">
        <f t="shared" si="2"/>
        <v>2.4458333333333293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46112.293210995398</v>
      </c>
      <c r="B31" s="5" t="s">
        <v>78</v>
      </c>
      <c r="C31" s="11">
        <v>0.29320601851851902</v>
      </c>
      <c r="D31" s="11" t="s">
        <v>62</v>
      </c>
      <c r="E31" s="11">
        <v>0.36078703703703702</v>
      </c>
      <c r="F31" s="12">
        <f t="shared" si="1"/>
        <v>1.621944444444432</v>
      </c>
      <c r="G31" s="13">
        <f t="shared" si="2"/>
        <v>0.65888888888889685</v>
      </c>
      <c r="H31" s="13">
        <f t="shared" si="3"/>
        <v>0.96305555555553513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46082.9412675926</v>
      </c>
      <c r="B3" s="5" t="s">
        <v>61</v>
      </c>
      <c r="C3" s="11">
        <v>0.94126157407407396</v>
      </c>
      <c r="D3" s="11" t="s">
        <v>62</v>
      </c>
      <c r="E3" s="11">
        <v>0.138912037037037</v>
      </c>
      <c r="F3" s="12">
        <f t="shared" ref="F3:F42" si="1">(IF(E3-C3&lt;0,"24:00"-C3+E3,E3-C3))*24</f>
        <v>4.7436111111111128</v>
      </c>
      <c r="G3" s="13">
        <f t="shared" ref="G3:G42" si="2">F3-H3</f>
        <v>1.409722222222225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3.3338888888888878</v>
      </c>
      <c r="I3" s="16" t="s">
        <v>63</v>
      </c>
      <c r="J3" s="17">
        <f>SUMIF(B:B,"带班主任",F:F)</f>
        <v>108.69500000000009</v>
      </c>
      <c r="K3" s="18">
        <f>SUMIF(B:B,"带班主任",G:G)</f>
        <v>67.976944444444555</v>
      </c>
      <c r="L3" s="18">
        <f>SUMIF(B:B,"带班主任",H:H)</f>
        <v>40.718055555555523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46083.540099537</v>
      </c>
      <c r="B4" s="5" t="s">
        <v>61</v>
      </c>
      <c r="C4" s="11">
        <v>0.54009259259259301</v>
      </c>
      <c r="D4" s="11" t="s">
        <v>62</v>
      </c>
      <c r="E4" s="11">
        <v>0.79858796296296297</v>
      </c>
      <c r="F4" s="12">
        <f t="shared" si="1"/>
        <v>6.203888888888879</v>
      </c>
      <c r="G4" s="13">
        <f t="shared" si="2"/>
        <v>6.203888888888879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3.9230555555555524</v>
      </c>
      <c r="K4" s="23">
        <f>SUMIF(B:B,"西塔台管制席",G:G)+SUMIF(B:B,"东塔台管制席",G:G)</f>
        <v>0</v>
      </c>
      <c r="L4" s="23">
        <f>SUMIF(B:B,"西塔台管制席",H:H)+SUMIF(B:B,"东塔台管制席",H:H)</f>
        <v>3.9230555555555524</v>
      </c>
      <c r="M4" s="19"/>
    </row>
    <row r="5" spans="1:16" ht="18.75" x14ac:dyDescent="0.25">
      <c r="A5" s="10">
        <f t="shared" ca="1" si="0"/>
        <v>46084.128439930602</v>
      </c>
      <c r="B5" s="5" t="s">
        <v>61</v>
      </c>
      <c r="C5" s="11">
        <v>0.12843750000000001</v>
      </c>
      <c r="D5" s="11" t="s">
        <v>62</v>
      </c>
      <c r="E5" s="11">
        <v>0.298298611111111</v>
      </c>
      <c r="F5" s="12">
        <f t="shared" si="1"/>
        <v>4.0766666666666636</v>
      </c>
      <c r="G5" s="13">
        <f t="shared" si="2"/>
        <v>0</v>
      </c>
      <c r="H5" s="13">
        <f t="shared" si="3"/>
        <v>4.0766666666666636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46086.348462384303</v>
      </c>
      <c r="B6" s="5" t="s">
        <v>61</v>
      </c>
      <c r="C6" s="11">
        <v>0.34846064814814798</v>
      </c>
      <c r="D6" s="11" t="s">
        <v>62</v>
      </c>
      <c r="E6" s="11">
        <v>0.55119212962963005</v>
      </c>
      <c r="F6" s="12">
        <f t="shared" si="1"/>
        <v>4.8655555555555701</v>
      </c>
      <c r="G6" s="13">
        <f t="shared" si="2"/>
        <v>4.8655555555555701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46086.7886609954</v>
      </c>
      <c r="B7" s="5" t="s">
        <v>61</v>
      </c>
      <c r="C7" s="11">
        <v>0.78865740740740697</v>
      </c>
      <c r="D7" s="11" t="s">
        <v>62</v>
      </c>
      <c r="E7" s="11">
        <v>0.94374999999999998</v>
      </c>
      <c r="F7" s="12">
        <f t="shared" si="1"/>
        <v>3.7222222222222321</v>
      </c>
      <c r="G7" s="13">
        <f t="shared" si="2"/>
        <v>3.7222222222222321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46087.290735763898</v>
      </c>
      <c r="B8" s="5" t="s">
        <v>61</v>
      </c>
      <c r="C8" s="11">
        <v>0.29072916666666698</v>
      </c>
      <c r="D8" s="11" t="s">
        <v>62</v>
      </c>
      <c r="E8" s="11">
        <v>0.54761574074074104</v>
      </c>
      <c r="F8" s="12">
        <f t="shared" si="1"/>
        <v>6.1652777777777779</v>
      </c>
      <c r="G8" s="13">
        <f t="shared" si="2"/>
        <v>5.1427777777777939</v>
      </c>
      <c r="H8" s="13">
        <f t="shared" si="3"/>
        <v>1.022499999999984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46087.939385416699</v>
      </c>
      <c r="B9" s="5" t="s">
        <v>61</v>
      </c>
      <c r="C9" s="11">
        <v>0.93937499999999996</v>
      </c>
      <c r="D9" s="11" t="s">
        <v>62</v>
      </c>
      <c r="E9" s="11">
        <v>0.13765046296296299</v>
      </c>
      <c r="F9" s="12">
        <f t="shared" si="1"/>
        <v>4.7586111111111125</v>
      </c>
      <c r="G9" s="13">
        <f t="shared" si="2"/>
        <v>1.455000000000001</v>
      </c>
      <c r="H9" s="13">
        <f t="shared" si="3"/>
        <v>3.3036111111111115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46090.540475115697</v>
      </c>
      <c r="B10" s="5" t="s">
        <v>61</v>
      </c>
      <c r="C10" s="11">
        <v>0.54047453703703696</v>
      </c>
      <c r="D10" s="11" t="s">
        <v>62</v>
      </c>
      <c r="E10" s="11">
        <v>0.79787037037037001</v>
      </c>
      <c r="F10" s="12">
        <f t="shared" si="1"/>
        <v>6.1774999999999931</v>
      </c>
      <c r="G10" s="13">
        <f t="shared" si="2"/>
        <v>6.1774999999999931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46091.132558101897</v>
      </c>
      <c r="B11" s="5" t="s">
        <v>61</v>
      </c>
      <c r="C11" s="11">
        <v>0.13255787037037001</v>
      </c>
      <c r="D11" s="11" t="s">
        <v>62</v>
      </c>
      <c r="E11" s="11">
        <v>0.29855324074074102</v>
      </c>
      <c r="F11" s="12">
        <f t="shared" si="1"/>
        <v>3.9838888888889041</v>
      </c>
      <c r="G11" s="13">
        <f t="shared" si="2"/>
        <v>0</v>
      </c>
      <c r="H11" s="13">
        <f t="shared" si="3"/>
        <v>3.9838888888889041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46091.793693171297</v>
      </c>
      <c r="B12" s="5" t="s">
        <v>61</v>
      </c>
      <c r="C12" s="11">
        <v>0.79369212962962998</v>
      </c>
      <c r="D12" s="11" t="s">
        <v>62</v>
      </c>
      <c r="E12" s="11">
        <v>0.94267361111111103</v>
      </c>
      <c r="F12" s="12">
        <f t="shared" si="1"/>
        <v>3.5755555555555452</v>
      </c>
      <c r="G12" s="13">
        <f t="shared" si="2"/>
        <v>3.5755555555555452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46092.2924591435</v>
      </c>
      <c r="B13" s="5" t="s">
        <v>61</v>
      </c>
      <c r="C13" s="11">
        <v>0.29245370370370399</v>
      </c>
      <c r="D13" s="11" t="s">
        <v>62</v>
      </c>
      <c r="E13" s="11">
        <v>0.36060185185185201</v>
      </c>
      <c r="F13" s="12">
        <f t="shared" si="1"/>
        <v>1.6355555555555523</v>
      </c>
      <c r="G13" s="13">
        <f t="shared" si="2"/>
        <v>0.6544444444444566</v>
      </c>
      <c r="H13" s="13">
        <f t="shared" si="3"/>
        <v>0.98111111111109572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46095.138101736098</v>
      </c>
      <c r="B14" s="5" t="s">
        <v>78</v>
      </c>
      <c r="C14" s="11">
        <v>0.138101851851852</v>
      </c>
      <c r="D14" s="11" t="s">
        <v>62</v>
      </c>
      <c r="E14" s="11">
        <v>0.30156250000000001</v>
      </c>
      <c r="F14" s="12">
        <f t="shared" si="1"/>
        <v>3.9230555555555524</v>
      </c>
      <c r="G14" s="13">
        <f t="shared" si="2"/>
        <v>0</v>
      </c>
      <c r="H14" s="13">
        <f t="shared" si="3"/>
        <v>3.9230555555555524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46098.931169907402</v>
      </c>
      <c r="B15" s="5" t="s">
        <v>61</v>
      </c>
      <c r="C15" s="11">
        <v>0.93116898148148097</v>
      </c>
      <c r="D15" s="11" t="s">
        <v>62</v>
      </c>
      <c r="E15" s="11">
        <v>0.13947916666666699</v>
      </c>
      <c r="F15" s="12">
        <f t="shared" si="1"/>
        <v>4.9994444444444639</v>
      </c>
      <c r="G15" s="13">
        <f t="shared" si="2"/>
        <v>1.6519444444444562</v>
      </c>
      <c r="H15" s="13">
        <f t="shared" si="3"/>
        <v>3.3475000000000077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46099.540164467602</v>
      </c>
      <c r="B16" s="5" t="s">
        <v>61</v>
      </c>
      <c r="C16" s="11">
        <v>0.54016203703703702</v>
      </c>
      <c r="D16" s="11" t="s">
        <v>62</v>
      </c>
      <c r="E16" s="11">
        <v>0.80155092592592603</v>
      </c>
      <c r="F16" s="12">
        <f t="shared" si="1"/>
        <v>6.2733333333333361</v>
      </c>
      <c r="G16" s="13">
        <f t="shared" si="2"/>
        <v>6.2733333333333361</v>
      </c>
      <c r="H16" s="13">
        <f t="shared" si="3"/>
        <v>0</v>
      </c>
      <c r="I16" s="35" t="s">
        <v>63</v>
      </c>
      <c r="J16" s="36">
        <f t="shared" ref="J16:L16" si="4">J3</f>
        <v>108.69500000000009</v>
      </c>
      <c r="K16" s="37">
        <f t="shared" si="4"/>
        <v>67.976944444444555</v>
      </c>
      <c r="L16" s="38">
        <f t="shared" si="4"/>
        <v>40.718055555555523</v>
      </c>
      <c r="M16" s="39"/>
    </row>
    <row r="17" spans="1:13" ht="20.25" x14ac:dyDescent="0.25">
      <c r="A17" s="10">
        <f t="shared" ca="1" si="0"/>
        <v>46100.294468749998</v>
      </c>
      <c r="B17" s="5" t="s">
        <v>61</v>
      </c>
      <c r="C17" s="11">
        <v>0.12780092592592601</v>
      </c>
      <c r="D17" s="11" t="s">
        <v>62</v>
      </c>
      <c r="E17" s="11">
        <v>0.294490740740741</v>
      </c>
      <c r="F17" s="12">
        <f t="shared" si="1"/>
        <v>4.0005555555555592</v>
      </c>
      <c r="G17" s="13">
        <f t="shared" si="2"/>
        <v>0</v>
      </c>
      <c r="H17" s="13">
        <f t="shared" si="3"/>
        <v>4.0005555555555592</v>
      </c>
      <c r="I17" s="35" t="s">
        <v>75</v>
      </c>
      <c r="J17" s="36">
        <f>J4+J5+J6+J7+J10</f>
        <v>3.9230555555555524</v>
      </c>
      <c r="K17" s="37">
        <f>K4+K5+K6+K7+K10</f>
        <v>0</v>
      </c>
      <c r="L17" s="38">
        <f>L4+L5+L6+L7+L10</f>
        <v>3.9230555555555524</v>
      </c>
      <c r="M17" s="39"/>
    </row>
    <row r="18" spans="1:13" ht="20.25" x14ac:dyDescent="0.25">
      <c r="A18" s="10">
        <f t="shared" ca="1" si="0"/>
        <v>46102.542105092602</v>
      </c>
      <c r="B18" s="5" t="s">
        <v>61</v>
      </c>
      <c r="C18" s="11">
        <v>0.54209490740740696</v>
      </c>
      <c r="D18" s="11" t="s">
        <v>62</v>
      </c>
      <c r="E18" s="11">
        <v>0.57254629629629605</v>
      </c>
      <c r="F18" s="12">
        <f t="shared" si="1"/>
        <v>0.73083333333333833</v>
      </c>
      <c r="G18" s="13">
        <f t="shared" si="2"/>
        <v>0.73083333333333833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46102.584208796303</v>
      </c>
      <c r="B19" s="5" t="s">
        <v>61</v>
      </c>
      <c r="C19" s="11">
        <v>0.58420138888888895</v>
      </c>
      <c r="D19" s="11" t="s">
        <v>62</v>
      </c>
      <c r="E19" s="11">
        <v>0.79824074074074103</v>
      </c>
      <c r="F19" s="12">
        <f t="shared" si="1"/>
        <v>5.1369444444444499</v>
      </c>
      <c r="G19" s="13">
        <f t="shared" si="2"/>
        <v>5.1369444444444499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46103.130412847197</v>
      </c>
      <c r="B20" s="5" t="s">
        <v>61</v>
      </c>
      <c r="C20" s="11">
        <v>0.130405092592593</v>
      </c>
      <c r="D20" s="11" t="s">
        <v>62</v>
      </c>
      <c r="E20" s="11">
        <v>0.29415509259259298</v>
      </c>
      <c r="F20" s="12">
        <f t="shared" si="1"/>
        <v>3.9299999999999997</v>
      </c>
      <c r="G20" s="13">
        <f t="shared" si="2"/>
        <v>0</v>
      </c>
      <c r="H20" s="13">
        <f t="shared" si="3"/>
        <v>3.9299999999999997</v>
      </c>
      <c r="I20" s="40" t="s">
        <v>77</v>
      </c>
      <c r="J20" s="65">
        <f>J16+J17+J18+J19</f>
        <v>112.61805555555564</v>
      </c>
      <c r="K20" s="66"/>
      <c r="L20" s="67"/>
      <c r="M20" s="41"/>
    </row>
    <row r="21" spans="1:13" ht="20.25" x14ac:dyDescent="0.25">
      <c r="A21" s="10">
        <f t="shared" ca="1" si="0"/>
        <v>46103.786325810201</v>
      </c>
      <c r="B21" s="5" t="s">
        <v>61</v>
      </c>
      <c r="C21" s="11">
        <v>0.78631944444444402</v>
      </c>
      <c r="D21" s="11" t="s">
        <v>62</v>
      </c>
      <c r="E21" s="11">
        <v>0.94245370370370396</v>
      </c>
      <c r="F21" s="12">
        <f t="shared" si="1"/>
        <v>3.7472222222222387</v>
      </c>
      <c r="G21" s="13">
        <f t="shared" si="2"/>
        <v>3.7472222222222387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46104.288996990697</v>
      </c>
      <c r="B22" s="5" t="s">
        <v>61</v>
      </c>
      <c r="C22" s="11">
        <v>0.28899305555555599</v>
      </c>
      <c r="D22" s="11" t="s">
        <v>62</v>
      </c>
      <c r="E22" s="11">
        <v>0.36385416666666698</v>
      </c>
      <c r="F22" s="12">
        <f t="shared" si="1"/>
        <v>1.7966666666666637</v>
      </c>
      <c r="G22" s="13">
        <f t="shared" si="2"/>
        <v>0.73250000000001592</v>
      </c>
      <c r="H22" s="13">
        <f t="shared" si="3"/>
        <v>1.0641666666666478</v>
      </c>
      <c r="I22"/>
      <c r="J22"/>
    </row>
    <row r="23" spans="1:13" ht="18.75" x14ac:dyDescent="0.15">
      <c r="A23" s="10">
        <f t="shared" ca="1" si="0"/>
        <v>46106.938618287</v>
      </c>
      <c r="B23" s="5" t="s">
        <v>61</v>
      </c>
      <c r="C23" s="11">
        <v>0.93861111111111095</v>
      </c>
      <c r="D23" s="11" t="s">
        <v>62</v>
      </c>
      <c r="E23" s="11">
        <v>0.13884259259259299</v>
      </c>
      <c r="F23" s="12">
        <f t="shared" si="1"/>
        <v>4.8055555555555687</v>
      </c>
      <c r="G23" s="13">
        <f t="shared" si="2"/>
        <v>1.4733333333333372</v>
      </c>
      <c r="H23" s="13">
        <f t="shared" si="3"/>
        <v>3.3322222222222315</v>
      </c>
      <c r="I23"/>
      <c r="J23"/>
    </row>
    <row r="24" spans="1:13" ht="18.75" x14ac:dyDescent="0.15">
      <c r="A24" s="10">
        <f t="shared" ca="1" si="0"/>
        <v>46108.127789583297</v>
      </c>
      <c r="B24" s="5" t="s">
        <v>61</v>
      </c>
      <c r="C24" s="11">
        <v>0.127789351851852</v>
      </c>
      <c r="D24" s="11" t="s">
        <v>62</v>
      </c>
      <c r="E24" s="11">
        <v>0.29761574074074099</v>
      </c>
      <c r="F24" s="12">
        <f t="shared" si="1"/>
        <v>4.0758333333333354</v>
      </c>
      <c r="G24" s="13">
        <f t="shared" si="2"/>
        <v>0</v>
      </c>
      <c r="H24" s="13">
        <f t="shared" si="3"/>
        <v>4.0758333333333354</v>
      </c>
      <c r="I24"/>
      <c r="J24"/>
    </row>
    <row r="25" spans="1:13" ht="18.75" x14ac:dyDescent="0.15">
      <c r="A25" s="10">
        <f t="shared" ca="1" si="0"/>
        <v>46110.350032638897</v>
      </c>
      <c r="B25" s="5" t="s">
        <v>61</v>
      </c>
      <c r="C25" s="11">
        <v>0.350023148148148</v>
      </c>
      <c r="D25" s="11" t="s">
        <v>62</v>
      </c>
      <c r="E25" s="11">
        <v>0.54887731481481505</v>
      </c>
      <c r="F25" s="12">
        <f t="shared" si="1"/>
        <v>4.7725000000000097</v>
      </c>
      <c r="G25" s="13">
        <f t="shared" si="2"/>
        <v>4.7725000000000097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46110.793834374999</v>
      </c>
      <c r="B26" s="5" t="s">
        <v>61</v>
      </c>
      <c r="C26" s="11">
        <v>0.793831018518519</v>
      </c>
      <c r="D26" s="11" t="s">
        <v>62</v>
      </c>
      <c r="E26" s="11">
        <v>0.94369212962963001</v>
      </c>
      <c r="F26" s="12">
        <f t="shared" si="1"/>
        <v>3.596666666666664</v>
      </c>
      <c r="G26" s="13">
        <f t="shared" si="2"/>
        <v>3.596666666666664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46111.293599421297</v>
      </c>
      <c r="B27" s="5" t="s">
        <v>61</v>
      </c>
      <c r="C27" s="11">
        <v>0.29359953703703701</v>
      </c>
      <c r="D27" s="11" t="s">
        <v>62</v>
      </c>
      <c r="E27" s="11">
        <v>0.54719907407407398</v>
      </c>
      <c r="F27" s="12">
        <f t="shared" si="1"/>
        <v>6.0863888888888873</v>
      </c>
      <c r="G27" s="13">
        <f t="shared" si="2"/>
        <v>5.1327777777777843</v>
      </c>
      <c r="H27" s="13">
        <f t="shared" si="3"/>
        <v>0.95361111111110342</v>
      </c>
      <c r="I27"/>
      <c r="J27"/>
    </row>
    <row r="28" spans="1:13" ht="18.75" x14ac:dyDescent="0.15">
      <c r="A28" s="10">
        <f t="shared" ca="1" si="0"/>
        <v>46111.936582523202</v>
      </c>
      <c r="B28" s="5" t="s">
        <v>61</v>
      </c>
      <c r="C28" s="11">
        <v>0.936574074074074</v>
      </c>
      <c r="D28" s="11" t="s">
        <v>62</v>
      </c>
      <c r="E28" s="11">
        <v>0.13802083333333301</v>
      </c>
      <c r="F28" s="12">
        <f t="shared" si="1"/>
        <v>4.8347222222222159</v>
      </c>
      <c r="G28" s="13">
        <f t="shared" si="2"/>
        <v>1.5222222222222239</v>
      </c>
      <c r="H28" s="13">
        <f t="shared" si="3"/>
        <v>3.312499999999992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42"/>
  <sheetViews>
    <sheetView zoomScale="85" zoomScaleNormal="85" workbookViewId="0">
      <selection activeCell="D30" sqref="D30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46083.013778125001</v>
      </c>
      <c r="B3" s="5" t="s">
        <v>80</v>
      </c>
      <c r="C3" s="11">
        <v>1.37731481481481E-2</v>
      </c>
      <c r="D3" s="11" t="s">
        <v>62</v>
      </c>
      <c r="E3" s="11">
        <v>0.141724537037037</v>
      </c>
      <c r="F3" s="12">
        <f t="shared" ref="F3:F42" si="1">(IF(E3-C3&lt;0,"24:00"-C3+E3,E3-C3))*24</f>
        <v>3.0708333333333337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3.0708333333333337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46084.137497800897</v>
      </c>
      <c r="B4" s="5" t="s">
        <v>78</v>
      </c>
      <c r="C4" s="11">
        <v>0.137488425925926</v>
      </c>
      <c r="D4" s="11" t="s">
        <v>62</v>
      </c>
      <c r="E4" s="11">
        <v>0.297951388888889</v>
      </c>
      <c r="F4" s="12">
        <f t="shared" si="1"/>
        <v>3.8511111111111118</v>
      </c>
      <c r="G4" s="13">
        <f t="shared" si="2"/>
        <v>0</v>
      </c>
      <c r="H4" s="13">
        <f t="shared" si="3"/>
        <v>3.8511111111111118</v>
      </c>
      <c r="I4" s="21" t="s">
        <v>64</v>
      </c>
      <c r="J4" s="22">
        <f>SUMIF(B:B,"西塔台管制席",F:F)+SUMIF(B:B,"东塔台管制席",F:F)</f>
        <v>38.471666666666721</v>
      </c>
      <c r="K4" s="23">
        <f>SUMIF(B:B,"西塔台管制席",G:G)+SUMIF(B:B,"东塔台管制席",G:G)</f>
        <v>20.372222222222259</v>
      </c>
      <c r="L4" s="23">
        <f>SUMIF(B:B,"西塔台管制席",H:H)+SUMIF(B:B,"东塔台管制席",H:H)</f>
        <v>18.099444444444465</v>
      </c>
      <c r="M4" s="19"/>
    </row>
    <row r="5" spans="1:16" ht="18.75" x14ac:dyDescent="0.25">
      <c r="A5" s="10">
        <f t="shared" ca="1" si="0"/>
        <v>46086.529010069396</v>
      </c>
      <c r="B5" s="5" t="s">
        <v>79</v>
      </c>
      <c r="C5" s="11">
        <v>0.52908564814814796</v>
      </c>
      <c r="D5" s="11" t="s">
        <v>62</v>
      </c>
      <c r="E5" s="11">
        <v>0.59803240740740704</v>
      </c>
      <c r="F5" s="12">
        <f t="shared" si="1"/>
        <v>1.654722222222218</v>
      </c>
      <c r="G5" s="13">
        <f t="shared" si="2"/>
        <v>1.654722222222218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23.788611111111123</v>
      </c>
      <c r="K5" s="23">
        <f>SUMIF(B:B,"西塔台协调席",G:G)+SUMIF(B:B,"东塔台协调席",G:G)</f>
        <v>15.836944444444445</v>
      </c>
      <c r="L5" s="23">
        <f>SUMIF(B:B,"西塔台协调席",H:H)+SUMIF(B:B,"东塔台协调席",H:H)</f>
        <v>7.9516666666666787</v>
      </c>
      <c r="M5" s="19"/>
    </row>
    <row r="6" spans="1:16" ht="18.75" x14ac:dyDescent="0.25">
      <c r="A6" s="10">
        <f t="shared" ca="1" si="0"/>
        <v>46086.647937962996</v>
      </c>
      <c r="B6" s="5" t="s">
        <v>78</v>
      </c>
      <c r="C6" s="11">
        <v>0.64792824074074096</v>
      </c>
      <c r="D6" s="11" t="s">
        <v>62</v>
      </c>
      <c r="E6" s="11">
        <v>0.77873842592592601</v>
      </c>
      <c r="F6" s="12">
        <f t="shared" si="1"/>
        <v>3.1394444444444414</v>
      </c>
      <c r="G6" s="13">
        <f t="shared" si="2"/>
        <v>3.1394444444444414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46087.5209553241</v>
      </c>
      <c r="B7" s="5" t="s">
        <v>78</v>
      </c>
      <c r="C7" s="11">
        <v>0.52094907407407398</v>
      </c>
      <c r="D7" s="11" t="s">
        <v>62</v>
      </c>
      <c r="E7" s="11">
        <v>0.65275462962963005</v>
      </c>
      <c r="F7" s="12">
        <f t="shared" si="1"/>
        <v>3.1633333333333455</v>
      </c>
      <c r="G7" s="13">
        <f t="shared" si="2"/>
        <v>3.1633333333333455</v>
      </c>
      <c r="H7" s="13">
        <f t="shared" si="3"/>
        <v>0</v>
      </c>
      <c r="I7" s="21" t="s">
        <v>67</v>
      </c>
      <c r="J7" s="22">
        <f>SUMIF(B:B,"地面席",F:F)</f>
        <v>2.5047222222222243</v>
      </c>
      <c r="K7" s="23">
        <f>SUMIF(B:B,"地面席",G:G)</f>
        <v>0</v>
      </c>
      <c r="L7" s="23">
        <f>SUMIF(B:B,"地面席",H:H)</f>
        <v>2.5047222222222243</v>
      </c>
      <c r="M7" s="19"/>
    </row>
    <row r="8" spans="1:16" ht="18.75" x14ac:dyDescent="0.25">
      <c r="A8" s="10">
        <f t="shared" ca="1" si="0"/>
        <v>46087.8748297454</v>
      </c>
      <c r="B8" s="5" t="s">
        <v>82</v>
      </c>
      <c r="C8" s="11">
        <v>0.87482638888888897</v>
      </c>
      <c r="D8" s="11" t="s">
        <v>62</v>
      </c>
      <c r="E8" s="11">
        <v>0.95795138888888898</v>
      </c>
      <c r="F8" s="12">
        <f t="shared" si="1"/>
        <v>1.9950000000000001</v>
      </c>
      <c r="G8" s="13">
        <f t="shared" si="2"/>
        <v>1.9950000000000001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46088.2930508102</v>
      </c>
      <c r="B9" s="5" t="s">
        <v>78</v>
      </c>
      <c r="C9" s="11">
        <v>0.29304398148148098</v>
      </c>
      <c r="D9" s="11" t="s">
        <v>62</v>
      </c>
      <c r="E9" s="11">
        <v>0.36640046296296302</v>
      </c>
      <c r="F9" s="12">
        <f t="shared" si="1"/>
        <v>1.7605555555555692</v>
      </c>
      <c r="G9" s="13">
        <f t="shared" si="2"/>
        <v>0.79361111111112104</v>
      </c>
      <c r="H9" s="13">
        <f t="shared" si="3"/>
        <v>0.96694444444444816</v>
      </c>
      <c r="I9" s="21" t="s">
        <v>69</v>
      </c>
      <c r="J9" s="22">
        <f>SUMIF(B:B,"航班调度席",F:F)</f>
        <v>6.2394444444444508</v>
      </c>
      <c r="K9" s="23">
        <f>SUMIF(B:B,"航班调度席",G:G)</f>
        <v>6.2394444444444508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46090.5255265046</v>
      </c>
      <c r="B10" s="5" t="s">
        <v>82</v>
      </c>
      <c r="C10" s="11">
        <v>0.52552083333333299</v>
      </c>
      <c r="D10" s="11" t="s">
        <v>62</v>
      </c>
      <c r="E10" s="11">
        <v>0.69408564814814799</v>
      </c>
      <c r="F10" s="12">
        <f t="shared" si="1"/>
        <v>4.04555555555556</v>
      </c>
      <c r="G10" s="13">
        <f t="shared" si="2"/>
        <v>4.04555555555556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46091.395581365701</v>
      </c>
      <c r="B11" s="5" t="s">
        <v>79</v>
      </c>
      <c r="C11" s="11">
        <v>0.39557870370370402</v>
      </c>
      <c r="D11" s="11" t="s">
        <v>62</v>
      </c>
      <c r="E11" s="11">
        <v>0.481759259259259</v>
      </c>
      <c r="F11" s="12">
        <f t="shared" si="1"/>
        <v>2.0683333333333196</v>
      </c>
      <c r="G11" s="13">
        <f t="shared" si="2"/>
        <v>2.0683333333333196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46091.523061226799</v>
      </c>
      <c r="B12" s="5" t="s">
        <v>78</v>
      </c>
      <c r="C12" s="11">
        <v>0.52305555555555505</v>
      </c>
      <c r="D12" s="11" t="s">
        <v>62</v>
      </c>
      <c r="E12" s="11">
        <v>0.63862268518518495</v>
      </c>
      <c r="F12" s="12">
        <f t="shared" si="1"/>
        <v>2.7736111111111175</v>
      </c>
      <c r="G12" s="13">
        <f t="shared" si="2"/>
        <v>2.7736111111111175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46095.139248032399</v>
      </c>
      <c r="B13" s="5" t="s">
        <v>83</v>
      </c>
      <c r="C13" s="11">
        <v>0.13924768518518499</v>
      </c>
      <c r="D13" s="11" t="s">
        <v>62</v>
      </c>
      <c r="E13" s="11">
        <v>0.215613425925926</v>
      </c>
      <c r="F13" s="12">
        <f t="shared" si="1"/>
        <v>1.8327777777777843</v>
      </c>
      <c r="G13" s="13">
        <f t="shared" si="2"/>
        <v>0</v>
      </c>
      <c r="H13" s="13">
        <f t="shared" si="3"/>
        <v>1.8327777777777843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46095.2156384259</v>
      </c>
      <c r="B14" s="5" t="s">
        <v>82</v>
      </c>
      <c r="C14" s="11">
        <v>0.21563657407407399</v>
      </c>
      <c r="D14" s="11" t="s">
        <v>62</v>
      </c>
      <c r="E14" s="11">
        <v>0.30166666666666703</v>
      </c>
      <c r="F14" s="12">
        <f t="shared" si="1"/>
        <v>2.0647222222222328</v>
      </c>
      <c r="G14" s="13">
        <f t="shared" si="2"/>
        <v>0</v>
      </c>
      <c r="H14" s="13">
        <f t="shared" si="3"/>
        <v>2.0647222222222328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46096.015113773101</v>
      </c>
      <c r="B15" s="5" t="s">
        <v>83</v>
      </c>
      <c r="C15" s="11">
        <v>1.51041666666667E-2</v>
      </c>
      <c r="D15" s="11" t="s">
        <v>62</v>
      </c>
      <c r="E15" s="11">
        <v>0.14482638888888899</v>
      </c>
      <c r="F15" s="12">
        <f t="shared" si="1"/>
        <v>3.1133333333333351</v>
      </c>
      <c r="G15" s="13">
        <f t="shared" si="2"/>
        <v>0</v>
      </c>
      <c r="H15" s="13">
        <f t="shared" si="3"/>
        <v>3.1133333333333351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46098.524354050896</v>
      </c>
      <c r="B16" s="5" t="s">
        <v>82</v>
      </c>
      <c r="C16" s="11">
        <v>0.52435185185185196</v>
      </c>
      <c r="D16" s="11" t="s">
        <v>62</v>
      </c>
      <c r="E16" s="11">
        <v>0.69565972222222205</v>
      </c>
      <c r="F16" s="12">
        <f t="shared" si="1"/>
        <v>4.1113888888888823</v>
      </c>
      <c r="G16" s="13">
        <f t="shared" si="2"/>
        <v>4.1113888888888823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46098.772135763902</v>
      </c>
      <c r="B17" s="5" t="s">
        <v>78</v>
      </c>
      <c r="C17" s="11">
        <v>0.77212962962963005</v>
      </c>
      <c r="D17" s="11" t="s">
        <v>62</v>
      </c>
      <c r="E17" s="11">
        <v>0.86307870370370399</v>
      </c>
      <c r="F17" s="12">
        <f t="shared" si="1"/>
        <v>2.1827777777777744</v>
      </c>
      <c r="G17" s="13">
        <f t="shared" si="2"/>
        <v>2.1827777777777744</v>
      </c>
      <c r="H17" s="13">
        <f t="shared" si="3"/>
        <v>0</v>
      </c>
      <c r="I17" s="35" t="s">
        <v>75</v>
      </c>
      <c r="J17" s="36">
        <f>J4+J5+J6+J7+J10</f>
        <v>64.765000000000072</v>
      </c>
      <c r="K17" s="37">
        <f>K4+K5+K6+K7+K10</f>
        <v>36.209166666666704</v>
      </c>
      <c r="L17" s="38">
        <f>L4+L5+L6+L7+L10</f>
        <v>28.555833333333368</v>
      </c>
      <c r="M17" s="39"/>
    </row>
    <row r="18" spans="1:13" ht="20.25" x14ac:dyDescent="0.25">
      <c r="A18" s="10">
        <f t="shared" ca="1" si="0"/>
        <v>46099.293659606497</v>
      </c>
      <c r="B18" s="5" t="s">
        <v>78</v>
      </c>
      <c r="C18" s="11">
        <v>0.29365740740740698</v>
      </c>
      <c r="D18" s="11" t="s">
        <v>62</v>
      </c>
      <c r="E18" s="11">
        <v>0.40486111111111101</v>
      </c>
      <c r="F18" s="12">
        <f t="shared" si="1"/>
        <v>2.6688888888888966</v>
      </c>
      <c r="G18" s="13">
        <f t="shared" si="2"/>
        <v>1.7166666666666726</v>
      </c>
      <c r="H18" s="13">
        <f t="shared" si="3"/>
        <v>0.95222222222222408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46099.410337847199</v>
      </c>
      <c r="B19" s="5" t="s">
        <v>78</v>
      </c>
      <c r="C19" s="11">
        <v>0.41033564814814799</v>
      </c>
      <c r="D19" s="11" t="s">
        <v>62</v>
      </c>
      <c r="E19" s="11">
        <v>0.47016203703703702</v>
      </c>
      <c r="F19" s="12">
        <f t="shared" si="1"/>
        <v>1.4358333333333366</v>
      </c>
      <c r="G19" s="13">
        <f t="shared" si="2"/>
        <v>1.4358333333333366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46099.477223148097</v>
      </c>
      <c r="B20" s="5" t="s">
        <v>79</v>
      </c>
      <c r="C20" s="11">
        <v>0.47722222222222199</v>
      </c>
      <c r="D20" s="11" t="s">
        <v>62</v>
      </c>
      <c r="E20" s="11">
        <v>0.51681712962963</v>
      </c>
      <c r="F20" s="12">
        <f t="shared" si="1"/>
        <v>0.95027777777779221</v>
      </c>
      <c r="G20" s="13">
        <f t="shared" si="2"/>
        <v>0.95027777777779221</v>
      </c>
      <c r="H20" s="13">
        <f t="shared" si="3"/>
        <v>0</v>
      </c>
      <c r="I20" s="40" t="s">
        <v>77</v>
      </c>
      <c r="J20" s="65">
        <f>J16+J17+J18+J19</f>
        <v>64.765000000000072</v>
      </c>
      <c r="K20" s="66"/>
      <c r="L20" s="67"/>
      <c r="M20" s="41"/>
    </row>
    <row r="21" spans="1:13" ht="20.25" x14ac:dyDescent="0.25">
      <c r="A21" s="10">
        <f t="shared" ca="1" si="0"/>
        <v>46099.856362963001</v>
      </c>
      <c r="B21" s="5" t="s">
        <v>82</v>
      </c>
      <c r="C21" s="11">
        <v>0.85635416666666697</v>
      </c>
      <c r="D21" s="11" t="s">
        <v>62</v>
      </c>
      <c r="E21" s="11">
        <v>0.95755787037036999</v>
      </c>
      <c r="F21" s="12">
        <f t="shared" si="1"/>
        <v>2.4288888888888724</v>
      </c>
      <c r="G21" s="13">
        <f t="shared" si="2"/>
        <v>2.4288888888888724</v>
      </c>
      <c r="H21" s="13">
        <f t="shared" si="3"/>
        <v>0</v>
      </c>
      <c r="I21" s="42" t="s">
        <v>4</v>
      </c>
      <c r="J21" s="43">
        <f>SUM(J8:J9)</f>
        <v>6.2394444444444508</v>
      </c>
      <c r="K21" s="37">
        <f>SUM(K8:K9)</f>
        <v>6.2394444444444508</v>
      </c>
      <c r="L21" s="38">
        <f>SUM(L8:L9)</f>
        <v>0</v>
      </c>
      <c r="M21" s="44"/>
    </row>
    <row r="22" spans="1:13" ht="18.75" x14ac:dyDescent="0.15">
      <c r="A22" s="10">
        <f t="shared" ca="1" si="0"/>
        <v>46100.292926388902</v>
      </c>
      <c r="B22" s="5" t="s">
        <v>78</v>
      </c>
      <c r="C22" s="11">
        <v>0.29291666666666699</v>
      </c>
      <c r="D22" s="11" t="s">
        <v>62</v>
      </c>
      <c r="E22" s="11">
        <v>0.36868055555555601</v>
      </c>
      <c r="F22" s="12">
        <f t="shared" si="1"/>
        <v>1.8183333333333365</v>
      </c>
      <c r="G22" s="13">
        <f t="shared" si="2"/>
        <v>0.8483333333333527</v>
      </c>
      <c r="H22" s="13">
        <f t="shared" si="3"/>
        <v>0.96999999999998376</v>
      </c>
      <c r="I22"/>
      <c r="J22"/>
    </row>
    <row r="23" spans="1:13" ht="18.75" x14ac:dyDescent="0.15">
      <c r="A23" s="10">
        <f t="shared" ca="1" si="0"/>
        <v>46104.140867476897</v>
      </c>
      <c r="B23" s="5" t="s">
        <v>78</v>
      </c>
      <c r="C23" s="11">
        <v>0.140856481481481</v>
      </c>
      <c r="D23" s="11" t="s">
        <v>62</v>
      </c>
      <c r="E23" s="11">
        <v>0.14136574074074101</v>
      </c>
      <c r="F23" s="12">
        <f t="shared" si="1"/>
        <v>1.2222222222240342E-2</v>
      </c>
      <c r="G23" s="13">
        <f t="shared" si="2"/>
        <v>0</v>
      </c>
      <c r="H23" s="13">
        <f t="shared" si="3"/>
        <v>1.2222222222240342E-2</v>
      </c>
      <c r="I23"/>
      <c r="J23"/>
    </row>
    <row r="24" spans="1:13" ht="18.75" x14ac:dyDescent="0.15">
      <c r="A24" s="10">
        <f t="shared" ca="1" si="0"/>
        <v>46104.141399884298</v>
      </c>
      <c r="B24" s="5" t="s">
        <v>83</v>
      </c>
      <c r="C24" s="11">
        <v>0.14140046296296299</v>
      </c>
      <c r="D24" s="11" t="s">
        <v>62</v>
      </c>
      <c r="E24" s="11">
        <v>0.29870370370370403</v>
      </c>
      <c r="F24" s="12">
        <f t="shared" si="1"/>
        <v>3.7752777777777848</v>
      </c>
      <c r="G24" s="13">
        <f t="shared" si="2"/>
        <v>0</v>
      </c>
      <c r="H24" s="13">
        <f t="shared" si="3"/>
        <v>3.7752777777777848</v>
      </c>
      <c r="I24"/>
      <c r="J24"/>
    </row>
    <row r="25" spans="1:13" ht="18.75" x14ac:dyDescent="0.15">
      <c r="A25" s="10">
        <f t="shared" ca="1" si="0"/>
        <v>46107.137367476898</v>
      </c>
      <c r="B25" s="5" t="s">
        <v>81</v>
      </c>
      <c r="C25" s="11">
        <v>0.13736111111111099</v>
      </c>
      <c r="D25" s="11" t="s">
        <v>62</v>
      </c>
      <c r="E25" s="11">
        <v>0.241724537037037</v>
      </c>
      <c r="F25" s="12">
        <f t="shared" si="1"/>
        <v>2.5047222222222243</v>
      </c>
      <c r="G25" s="13">
        <f t="shared" si="2"/>
        <v>0</v>
      </c>
      <c r="H25" s="13">
        <f t="shared" si="3"/>
        <v>2.5047222222222243</v>
      </c>
      <c r="I25"/>
      <c r="J25"/>
    </row>
    <row r="26" spans="1:13" ht="18.75" x14ac:dyDescent="0.15">
      <c r="A26" s="10">
        <f t="shared" ca="1" si="0"/>
        <v>46107.952550231501</v>
      </c>
      <c r="B26" s="5" t="s">
        <v>82</v>
      </c>
      <c r="C26" s="11">
        <v>0.95254629629629595</v>
      </c>
      <c r="D26" s="11" t="s">
        <v>62</v>
      </c>
      <c r="E26" s="11">
        <v>0.117337962962963</v>
      </c>
      <c r="F26" s="12">
        <f t="shared" si="1"/>
        <v>3.9550000000000094</v>
      </c>
      <c r="G26" s="13">
        <f t="shared" si="2"/>
        <v>1.1388888888888973</v>
      </c>
      <c r="H26" s="13">
        <f t="shared" si="3"/>
        <v>2.8161111111111121</v>
      </c>
      <c r="I26"/>
      <c r="J26"/>
    </row>
    <row r="27" spans="1:13" ht="18.75" x14ac:dyDescent="0.15">
      <c r="A27" s="10">
        <f t="shared" ca="1" si="0"/>
        <v>46110.951983564803</v>
      </c>
      <c r="B27" s="5" t="s">
        <v>78</v>
      </c>
      <c r="C27" s="11">
        <v>0.95197916666666704</v>
      </c>
      <c r="D27" s="11" t="s">
        <v>62</v>
      </c>
      <c r="E27" s="11">
        <v>0.10939814814814799</v>
      </c>
      <c r="F27" s="12">
        <f t="shared" si="1"/>
        <v>3.7780555555555431</v>
      </c>
      <c r="G27" s="13">
        <f t="shared" si="2"/>
        <v>1.152499999999991</v>
      </c>
      <c r="H27" s="13">
        <f t="shared" si="3"/>
        <v>2.6255555555555521</v>
      </c>
      <c r="I27"/>
      <c r="J27"/>
    </row>
    <row r="28" spans="1:13" ht="18.75" x14ac:dyDescent="0.15">
      <c r="A28" s="10">
        <f t="shared" ca="1" si="0"/>
        <v>46111.522322685203</v>
      </c>
      <c r="B28" s="5" t="s">
        <v>78</v>
      </c>
      <c r="C28" s="11">
        <v>0.52231481481481501</v>
      </c>
      <c r="D28" s="11" t="s">
        <v>62</v>
      </c>
      <c r="E28" s="11">
        <v>0.65423611111111102</v>
      </c>
      <c r="F28" s="12">
        <f t="shared" si="1"/>
        <v>3.1661111111111042</v>
      </c>
      <c r="G28" s="13">
        <f t="shared" si="2"/>
        <v>3.1661111111111042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46111.663289814802</v>
      </c>
      <c r="B29" s="5" t="s">
        <v>79</v>
      </c>
      <c r="C29" s="11">
        <v>0.66328703703703695</v>
      </c>
      <c r="D29" s="11" t="s">
        <v>62</v>
      </c>
      <c r="E29" s="11">
        <v>0.72854166666666698</v>
      </c>
      <c r="F29" s="12">
        <f t="shared" si="1"/>
        <v>1.5661111111111206</v>
      </c>
      <c r="G29" s="13">
        <f t="shared" si="2"/>
        <v>1.5661111111111206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46111.7717766204</v>
      </c>
      <c r="B30" s="5" t="s">
        <v>82</v>
      </c>
      <c r="C30" s="11">
        <v>0.77177083333333296</v>
      </c>
      <c r="D30" s="11" t="s">
        <v>62</v>
      </c>
      <c r="E30" s="11">
        <v>0.85998842592592595</v>
      </c>
      <c r="F30" s="12">
        <f t="shared" si="1"/>
        <v>2.1172222222222317</v>
      </c>
      <c r="G30" s="13">
        <f t="shared" si="2"/>
        <v>2.1172222222222317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46082.3550211806</v>
      </c>
      <c r="B3" s="5" t="s">
        <v>86</v>
      </c>
      <c r="C3" s="11">
        <v>0.35375000000000001</v>
      </c>
      <c r="D3" s="11" t="s">
        <v>62</v>
      </c>
      <c r="E3" s="11">
        <v>0.50670138888888905</v>
      </c>
      <c r="F3" s="12">
        <f t="shared" ref="F3:F42" si="1">(IF(E3-C3&lt;0,"24:00"-C3+E3,E3-C3))*24</f>
        <v>3.6708333333333369</v>
      </c>
      <c r="G3" s="13">
        <f t="shared" ref="G3:G42" si="2">F3-H3</f>
        <v>3.6708333333333369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46082.625844675902</v>
      </c>
      <c r="B4" s="5" t="s">
        <v>86</v>
      </c>
      <c r="C4" s="11">
        <v>0.62584490740740695</v>
      </c>
      <c r="D4" s="11" t="s">
        <v>62</v>
      </c>
      <c r="E4" s="11">
        <v>0.71506944444444398</v>
      </c>
      <c r="F4" s="12">
        <f t="shared" si="1"/>
        <v>2.1413888888888888</v>
      </c>
      <c r="G4" s="13">
        <f t="shared" si="2"/>
        <v>2.1413888888888888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17.576388888888872</v>
      </c>
      <c r="K4" s="23">
        <f>SUMIF(B:B,"西塔台管制席",G:G)+SUMIF(B:B,"东塔台管制席",G:G)</f>
        <v>9.7830555555555332</v>
      </c>
      <c r="L4" s="23">
        <f>SUMIF(B:B,"西塔台管制席",H:H)+SUMIF(B:B,"东塔台管制席",H:H)</f>
        <v>7.7933333333333374</v>
      </c>
      <c r="M4" s="19"/>
    </row>
    <row r="5" spans="1:16" ht="18.75" x14ac:dyDescent="0.25">
      <c r="A5" s="10">
        <f t="shared" ca="1" si="0"/>
        <v>46083.292375231496</v>
      </c>
      <c r="B5" s="5" t="s">
        <v>80</v>
      </c>
      <c r="C5" s="11">
        <v>0.292372685185185</v>
      </c>
      <c r="D5" s="11" t="s">
        <v>62</v>
      </c>
      <c r="E5" s="11">
        <v>0.30839120370370399</v>
      </c>
      <c r="F5" s="12">
        <f t="shared" si="1"/>
        <v>0.38444444444445569</v>
      </c>
      <c r="G5" s="13">
        <f t="shared" si="2"/>
        <v>0</v>
      </c>
      <c r="H5" s="13">
        <f t="shared" si="3"/>
        <v>0.38444444444445569</v>
      </c>
      <c r="I5" s="21" t="s">
        <v>65</v>
      </c>
      <c r="J5" s="22">
        <f>SUMIF(B:B,"西塔台协调席",F:F)+SUMIF(B:B,"东塔台协调席",F:F)</f>
        <v>38.618333333333297</v>
      </c>
      <c r="K5" s="23">
        <f>SUMIF(B:B,"西塔台协调席",G:G)+SUMIF(B:B,"东塔台协调席",G:G)</f>
        <v>23.592777777777776</v>
      </c>
      <c r="L5" s="23">
        <f>SUMIF(B:B,"西塔台协调席",H:H)+SUMIF(B:B,"东塔台协调席",H:H)</f>
        <v>15.025555555555519</v>
      </c>
      <c r="M5" s="19"/>
    </row>
    <row r="6" spans="1:16" ht="18.75" x14ac:dyDescent="0.25">
      <c r="A6" s="10">
        <f t="shared" ca="1" si="0"/>
        <v>46083.308432523103</v>
      </c>
      <c r="B6" s="5" t="s">
        <v>82</v>
      </c>
      <c r="C6" s="11">
        <v>0.30837962962963</v>
      </c>
      <c r="D6" s="11" t="s">
        <v>62</v>
      </c>
      <c r="E6" s="11">
        <v>0.42451388888888902</v>
      </c>
      <c r="F6" s="12">
        <f t="shared" si="1"/>
        <v>2.7872222222222165</v>
      </c>
      <c r="G6" s="13">
        <f t="shared" si="2"/>
        <v>2.188333333333345</v>
      </c>
      <c r="H6" s="13">
        <f t="shared" si="3"/>
        <v>0.59888888888887148</v>
      </c>
      <c r="I6" s="21" t="s">
        <v>66</v>
      </c>
      <c r="J6" s="22">
        <f>SUMIF(B:B,"放行席",F:F)</f>
        <v>1.9866666666666721</v>
      </c>
      <c r="K6" s="23">
        <f>SUMIF(B:B,"放行席",G:G)</f>
        <v>0</v>
      </c>
      <c r="L6" s="23">
        <f>SUMIF(B:B,"放行席",H:H)</f>
        <v>1.9866666666666721</v>
      </c>
      <c r="M6" s="19"/>
    </row>
    <row r="7" spans="1:16" ht="18.75" x14ac:dyDescent="0.25">
      <c r="A7" s="10">
        <f t="shared" ca="1" si="0"/>
        <v>46083.519345138899</v>
      </c>
      <c r="B7" s="5" t="s">
        <v>82</v>
      </c>
      <c r="C7" s="11">
        <v>0.51934027777777803</v>
      </c>
      <c r="D7" s="11" t="s">
        <v>62</v>
      </c>
      <c r="E7" s="11">
        <v>0.557731481481481</v>
      </c>
      <c r="F7" s="12">
        <f t="shared" si="1"/>
        <v>0.92138888888887127</v>
      </c>
      <c r="G7" s="13">
        <f t="shared" si="2"/>
        <v>0.92138888888887127</v>
      </c>
      <c r="H7" s="13">
        <f t="shared" si="3"/>
        <v>0</v>
      </c>
      <c r="I7" s="21" t="s">
        <v>67</v>
      </c>
      <c r="J7" s="22">
        <f>SUMIF(B:B,"地面席",F:F)</f>
        <v>2.2108333333333445</v>
      </c>
      <c r="K7" s="23">
        <f>SUMIF(B:B,"地面席",G:G)</f>
        <v>0</v>
      </c>
      <c r="L7" s="23">
        <f>SUMIF(B:B,"地面席",H:H)</f>
        <v>2.2108333333333445</v>
      </c>
      <c r="M7" s="19"/>
    </row>
    <row r="8" spans="1:16" ht="18.75" x14ac:dyDescent="0.25">
      <c r="A8" s="10">
        <f t="shared" ca="1" si="0"/>
        <v>46083.5752005787</v>
      </c>
      <c r="B8" s="5" t="s">
        <v>82</v>
      </c>
      <c r="C8" s="11">
        <v>0.57519675925925895</v>
      </c>
      <c r="D8" s="11" t="s">
        <v>62</v>
      </c>
      <c r="E8" s="11">
        <v>0.61203703703703705</v>
      </c>
      <c r="F8" s="12">
        <f t="shared" si="1"/>
        <v>0.88416666666667432</v>
      </c>
      <c r="G8" s="13">
        <f t="shared" si="2"/>
        <v>0.88416666666667432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46083.729647569402</v>
      </c>
      <c r="B9" s="5" t="s">
        <v>78</v>
      </c>
      <c r="C9" s="11">
        <v>0.729641203703704</v>
      </c>
      <c r="D9" s="11" t="s">
        <v>62</v>
      </c>
      <c r="E9" s="11">
        <v>0.80597222222222198</v>
      </c>
      <c r="F9" s="12">
        <f t="shared" si="1"/>
        <v>1.8319444444444315</v>
      </c>
      <c r="G9" s="13">
        <f t="shared" si="2"/>
        <v>1.8319444444444315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46083.816941550896</v>
      </c>
      <c r="B10" s="5" t="s">
        <v>78</v>
      </c>
      <c r="C10" s="11">
        <v>0.81693287037036999</v>
      </c>
      <c r="D10" s="11" t="s">
        <v>62</v>
      </c>
      <c r="E10" s="11">
        <v>0.83903935185185197</v>
      </c>
      <c r="F10" s="12">
        <f t="shared" si="1"/>
        <v>0.53055555555556744</v>
      </c>
      <c r="G10" s="13">
        <f t="shared" si="2"/>
        <v>0.53055555555556744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46084.292511226799</v>
      </c>
      <c r="B11" s="5" t="s">
        <v>82</v>
      </c>
      <c r="C11" s="11">
        <v>0.29251157407407402</v>
      </c>
      <c r="D11" s="11" t="s">
        <v>62</v>
      </c>
      <c r="E11" s="11">
        <v>0.367453703703704</v>
      </c>
      <c r="F11" s="12">
        <f t="shared" si="1"/>
        <v>1.7986111111111196</v>
      </c>
      <c r="G11" s="13">
        <f t="shared" si="2"/>
        <v>0.81888888888890454</v>
      </c>
      <c r="H11" s="13">
        <f t="shared" si="3"/>
        <v>0.97972222222221506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46087.012857407397</v>
      </c>
      <c r="B12" s="5" t="s">
        <v>83</v>
      </c>
      <c r="C12" s="11">
        <v>1.29050925925926E-2</v>
      </c>
      <c r="D12" s="11" t="s">
        <v>62</v>
      </c>
      <c r="E12" s="11">
        <v>0.126481481481481</v>
      </c>
      <c r="F12" s="12">
        <f t="shared" si="1"/>
        <v>2.7258333333333216</v>
      </c>
      <c r="G12" s="13">
        <f t="shared" si="2"/>
        <v>0</v>
      </c>
      <c r="H12" s="13">
        <f t="shared" si="3"/>
        <v>2.7258333333333216</v>
      </c>
      <c r="I12" s="27" t="s">
        <v>72</v>
      </c>
      <c r="J12" s="28">
        <f>SUMIF(B:B,"管制教员席",F:F)</f>
        <v>9.7611111111110898</v>
      </c>
      <c r="K12" s="29">
        <f>SUMIF(B:B,"管制教员席",G:G)</f>
        <v>5.8122222222222257</v>
      </c>
      <c r="L12" s="29">
        <f>SUMIF(B:B,"管制教员席",H:H)</f>
        <v>3.9488888888888636</v>
      </c>
      <c r="M12" s="19"/>
    </row>
    <row r="13" spans="1:16" ht="18.75" x14ac:dyDescent="0.15">
      <c r="A13" s="10">
        <f t="shared" ca="1" si="0"/>
        <v>46088.138830671298</v>
      </c>
      <c r="B13" s="5" t="s">
        <v>86</v>
      </c>
      <c r="C13" s="11">
        <v>0.13883101851851901</v>
      </c>
      <c r="D13" s="11" t="s">
        <v>62</v>
      </c>
      <c r="E13" s="11">
        <v>0.22130787037037</v>
      </c>
      <c r="F13" s="12">
        <f t="shared" si="1"/>
        <v>1.9794444444444239</v>
      </c>
      <c r="G13" s="13">
        <f t="shared" si="2"/>
        <v>0</v>
      </c>
      <c r="H13" s="13">
        <f t="shared" si="3"/>
        <v>1.9794444444444239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46088.221367592603</v>
      </c>
      <c r="B14" s="5" t="s">
        <v>82</v>
      </c>
      <c r="C14" s="11">
        <v>0.221365740740741</v>
      </c>
      <c r="D14" s="11" t="s">
        <v>62</v>
      </c>
      <c r="E14" s="11">
        <v>0.29761574074074099</v>
      </c>
      <c r="F14" s="12">
        <f t="shared" si="1"/>
        <v>1.8299999999999996</v>
      </c>
      <c r="G14" s="13">
        <f t="shared" si="2"/>
        <v>0</v>
      </c>
      <c r="H14" s="13">
        <f t="shared" si="3"/>
        <v>1.8299999999999996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46091.138857523103</v>
      </c>
      <c r="B15" s="5" t="s">
        <v>86</v>
      </c>
      <c r="C15" s="11">
        <v>0.138854166666667</v>
      </c>
      <c r="D15" s="11" t="s">
        <v>62</v>
      </c>
      <c r="E15" s="11">
        <v>0.22091435185185199</v>
      </c>
      <c r="F15" s="12">
        <f t="shared" si="1"/>
        <v>1.9694444444444397</v>
      </c>
      <c r="G15" s="13">
        <f t="shared" si="2"/>
        <v>0</v>
      </c>
      <c r="H15" s="13">
        <f t="shared" si="3"/>
        <v>1.9694444444444397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46091.952625231497</v>
      </c>
      <c r="B16" s="5" t="s">
        <v>82</v>
      </c>
      <c r="C16" s="11">
        <v>0.95261574074074096</v>
      </c>
      <c r="D16" s="11" t="s">
        <v>62</v>
      </c>
      <c r="E16" s="11">
        <v>0.106400462962963</v>
      </c>
      <c r="F16" s="12">
        <f t="shared" si="1"/>
        <v>3.6908333333333294</v>
      </c>
      <c r="G16" s="13">
        <f t="shared" si="2"/>
        <v>1.1372222222222175</v>
      </c>
      <c r="H16" s="13">
        <f t="shared" si="3"/>
        <v>2.5536111111111119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46094.500967476903</v>
      </c>
      <c r="B17" s="5" t="s">
        <v>78</v>
      </c>
      <c r="C17" s="11">
        <v>0.500960648148148</v>
      </c>
      <c r="D17" s="11" t="s">
        <v>62</v>
      </c>
      <c r="E17" s="11">
        <v>0.58163194444444399</v>
      </c>
      <c r="F17" s="12">
        <f t="shared" si="1"/>
        <v>1.9361111111111038</v>
      </c>
      <c r="G17" s="13">
        <f t="shared" si="2"/>
        <v>1.9361111111111038</v>
      </c>
      <c r="H17" s="13">
        <f t="shared" si="3"/>
        <v>0</v>
      </c>
      <c r="I17" s="35" t="s">
        <v>75</v>
      </c>
      <c r="J17" s="36">
        <f>J4+J5+J6+J7+J10</f>
        <v>60.392222222222188</v>
      </c>
      <c r="K17" s="37">
        <f>K4+K5+K6+K7+K10</f>
        <v>33.375833333333311</v>
      </c>
      <c r="L17" s="38">
        <f>L4+L5+L6+L7+L10</f>
        <v>27.016388888888873</v>
      </c>
      <c r="M17" s="39"/>
    </row>
    <row r="18" spans="1:13" ht="20.25" x14ac:dyDescent="0.25">
      <c r="A18" s="10">
        <f t="shared" ca="1" si="0"/>
        <v>46094.590318287002</v>
      </c>
      <c r="B18" s="5" t="s">
        <v>78</v>
      </c>
      <c r="C18" s="11">
        <v>0.59031250000000002</v>
      </c>
      <c r="D18" s="11" t="s">
        <v>62</v>
      </c>
      <c r="E18" s="11">
        <v>0.63244212962962998</v>
      </c>
      <c r="F18" s="12">
        <f t="shared" si="1"/>
        <v>1.0111111111111191</v>
      </c>
      <c r="G18" s="13">
        <f t="shared" si="2"/>
        <v>1.0111111111111191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46094.709960648099</v>
      </c>
      <c r="B19" s="5" t="s">
        <v>82</v>
      </c>
      <c r="C19" s="11">
        <v>0.70995370370370403</v>
      </c>
      <c r="D19" s="11" t="s">
        <v>62</v>
      </c>
      <c r="E19" s="11">
        <v>0.83925925925925904</v>
      </c>
      <c r="F19" s="12">
        <f t="shared" si="1"/>
        <v>3.1033333333333202</v>
      </c>
      <c r="G19" s="13">
        <f t="shared" si="2"/>
        <v>3.1033333333333202</v>
      </c>
      <c r="H19" s="13">
        <f t="shared" si="3"/>
        <v>0</v>
      </c>
      <c r="I19" s="35" t="s">
        <v>76</v>
      </c>
      <c r="J19" s="36">
        <f t="shared" ref="J19:L19" si="6">J12</f>
        <v>9.7611111111110898</v>
      </c>
      <c r="K19" s="37">
        <f t="shared" si="6"/>
        <v>5.8122222222222257</v>
      </c>
      <c r="L19" s="38">
        <f t="shared" si="6"/>
        <v>3.9488888888888636</v>
      </c>
      <c r="M19" s="39"/>
    </row>
    <row r="20" spans="1:13" ht="20.25" x14ac:dyDescent="0.15">
      <c r="A20" s="10">
        <f t="shared" ca="1" si="0"/>
        <v>46095.295290162001</v>
      </c>
      <c r="B20" s="5" t="s">
        <v>82</v>
      </c>
      <c r="C20" s="11">
        <v>0.29528935185185201</v>
      </c>
      <c r="D20" s="11" t="s">
        <v>62</v>
      </c>
      <c r="E20" s="11">
        <v>0.42194444444444401</v>
      </c>
      <c r="F20" s="12">
        <f t="shared" si="1"/>
        <v>3.039722222222208</v>
      </c>
      <c r="G20" s="13">
        <f t="shared" si="2"/>
        <v>2.1266666666666647</v>
      </c>
      <c r="H20" s="13">
        <f t="shared" si="3"/>
        <v>0.9130555555555433</v>
      </c>
      <c r="I20" s="40" t="s">
        <v>77</v>
      </c>
      <c r="J20" s="65">
        <f>J16+J17+J18+J19</f>
        <v>70.153333333333279</v>
      </c>
      <c r="K20" s="66"/>
      <c r="L20" s="67"/>
      <c r="M20" s="41"/>
    </row>
    <row r="21" spans="1:13" ht="20.25" x14ac:dyDescent="0.25">
      <c r="A21" s="10">
        <f t="shared" ca="1" si="0"/>
        <v>46095.543597338001</v>
      </c>
      <c r="B21" s="5" t="s">
        <v>82</v>
      </c>
      <c r="C21" s="11">
        <v>0.54358796296296297</v>
      </c>
      <c r="D21" s="11" t="s">
        <v>62</v>
      </c>
      <c r="E21" s="11">
        <v>0.71037037037036999</v>
      </c>
      <c r="F21" s="12">
        <f t="shared" si="1"/>
        <v>4.0027777777777684</v>
      </c>
      <c r="G21" s="13">
        <f t="shared" si="2"/>
        <v>4.0027777777777684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46099.139117245402</v>
      </c>
      <c r="B22" s="5" t="s">
        <v>78</v>
      </c>
      <c r="C22" s="11">
        <v>0.13910879629629599</v>
      </c>
      <c r="D22" s="11" t="s">
        <v>62</v>
      </c>
      <c r="E22" s="11">
        <v>0.22762731481481499</v>
      </c>
      <c r="F22" s="12">
        <f t="shared" si="1"/>
        <v>2.1244444444444559</v>
      </c>
      <c r="G22" s="13">
        <f t="shared" si="2"/>
        <v>0</v>
      </c>
      <c r="H22" s="13">
        <f t="shared" si="3"/>
        <v>2.1244444444444559</v>
      </c>
      <c r="I22"/>
      <c r="J22"/>
    </row>
    <row r="23" spans="1:13" ht="18.75" x14ac:dyDescent="0.15">
      <c r="A23" s="10">
        <f t="shared" ca="1" si="0"/>
        <v>46100.132688773097</v>
      </c>
      <c r="B23" s="5" t="s">
        <v>81</v>
      </c>
      <c r="C23" s="11">
        <v>0.13268518518518499</v>
      </c>
      <c r="D23" s="11" t="s">
        <v>62</v>
      </c>
      <c r="E23" s="11">
        <v>0.22480324074074101</v>
      </c>
      <c r="F23" s="12">
        <f t="shared" si="1"/>
        <v>2.2108333333333445</v>
      </c>
      <c r="G23" s="13">
        <f t="shared" si="2"/>
        <v>0</v>
      </c>
      <c r="H23" s="13">
        <f t="shared" si="3"/>
        <v>2.2108333333333445</v>
      </c>
      <c r="I23"/>
      <c r="J23"/>
    </row>
    <row r="24" spans="1:13" ht="18.75" x14ac:dyDescent="0.15">
      <c r="A24" s="10">
        <f t="shared" ca="1" si="0"/>
        <v>46104.131079629602</v>
      </c>
      <c r="B24" s="5" t="s">
        <v>84</v>
      </c>
      <c r="C24" s="11">
        <v>0.13107638888888901</v>
      </c>
      <c r="D24" s="11" t="s">
        <v>62</v>
      </c>
      <c r="E24" s="11">
        <v>0.21385416666666701</v>
      </c>
      <c r="F24" s="12">
        <f t="shared" si="1"/>
        <v>1.9866666666666721</v>
      </c>
      <c r="G24" s="13">
        <f t="shared" si="2"/>
        <v>0</v>
      </c>
      <c r="H24" s="13">
        <f t="shared" si="3"/>
        <v>1.9866666666666721</v>
      </c>
      <c r="I24"/>
      <c r="J24"/>
    </row>
    <row r="25" spans="1:13" ht="18.75" x14ac:dyDescent="0.15">
      <c r="A25" s="10">
        <f t="shared" ca="1" si="0"/>
        <v>46104.213900231502</v>
      </c>
      <c r="B25" s="5" t="s">
        <v>80</v>
      </c>
      <c r="C25" s="11">
        <v>0.213900462962963</v>
      </c>
      <c r="D25" s="11" t="s">
        <v>62</v>
      </c>
      <c r="E25" s="11">
        <v>0.298761574074074</v>
      </c>
      <c r="F25" s="12">
        <f t="shared" si="1"/>
        <v>2.036666666666664</v>
      </c>
      <c r="G25" s="13">
        <f t="shared" si="2"/>
        <v>0</v>
      </c>
      <c r="H25" s="13">
        <f t="shared" si="3"/>
        <v>2.036666666666664</v>
      </c>
      <c r="I25"/>
      <c r="J25"/>
    </row>
    <row r="26" spans="1:13" ht="18.75" x14ac:dyDescent="0.15">
      <c r="A26" s="10">
        <f t="shared" ca="1" si="0"/>
        <v>46106.498821643501</v>
      </c>
      <c r="B26" s="5" t="s">
        <v>82</v>
      </c>
      <c r="C26" s="11">
        <v>0.49881944444444398</v>
      </c>
      <c r="D26" s="11" t="s">
        <v>62</v>
      </c>
      <c r="E26" s="11">
        <v>0.632083333333333</v>
      </c>
      <c r="F26" s="12">
        <f t="shared" si="1"/>
        <v>3.1983333333333364</v>
      </c>
      <c r="G26" s="13">
        <f t="shared" si="2"/>
        <v>3.1983333333333364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46106.752157638897</v>
      </c>
      <c r="B27" s="5" t="s">
        <v>78</v>
      </c>
      <c r="C27" s="11">
        <v>0.752152777777778</v>
      </c>
      <c r="D27" s="11" t="s">
        <v>62</v>
      </c>
      <c r="E27" s="11">
        <v>0.83755787037036999</v>
      </c>
      <c r="F27" s="12">
        <f t="shared" si="1"/>
        <v>2.0497222222222078</v>
      </c>
      <c r="G27" s="13">
        <f t="shared" si="2"/>
        <v>2.0497222222222078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46107.2935363426</v>
      </c>
      <c r="B28" s="5" t="s">
        <v>82</v>
      </c>
      <c r="C28" s="11">
        <v>0.29353009259259299</v>
      </c>
      <c r="D28" s="11" t="s">
        <v>62</v>
      </c>
      <c r="E28" s="11">
        <v>0.422256944444444</v>
      </c>
      <c r="F28" s="12">
        <f t="shared" si="1"/>
        <v>3.0894444444444242</v>
      </c>
      <c r="G28" s="13">
        <f t="shared" si="2"/>
        <v>2.1341666666666645</v>
      </c>
      <c r="H28" s="13">
        <f t="shared" si="3"/>
        <v>0.95527777777775968</v>
      </c>
      <c r="I28"/>
      <c r="J28"/>
    </row>
    <row r="29" spans="1:13" ht="18.75" x14ac:dyDescent="0.15">
      <c r="A29" s="10">
        <f t="shared" ca="1" si="0"/>
        <v>46107.5448203704</v>
      </c>
      <c r="B29" s="5" t="s">
        <v>82</v>
      </c>
      <c r="C29" s="11">
        <v>0.54481481481481497</v>
      </c>
      <c r="D29" s="11" t="s">
        <v>62</v>
      </c>
      <c r="E29" s="11">
        <v>0.67304398148148203</v>
      </c>
      <c r="F29" s="12">
        <f t="shared" si="1"/>
        <v>3.0775000000000095</v>
      </c>
      <c r="G29" s="13">
        <f t="shared" si="2"/>
        <v>3.0775000000000095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46107.772161226902</v>
      </c>
      <c r="B30" s="5" t="s">
        <v>78</v>
      </c>
      <c r="C30" s="11">
        <v>0.77215277777777802</v>
      </c>
      <c r="D30" s="11" t="s">
        <v>62</v>
      </c>
      <c r="E30" s="11">
        <v>0.83875</v>
      </c>
      <c r="F30" s="12">
        <f t="shared" si="1"/>
        <v>1.5983333333333274</v>
      </c>
      <c r="G30" s="13">
        <f t="shared" si="2"/>
        <v>1.5983333333333274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46108.300498726901</v>
      </c>
      <c r="B31" s="5" t="s">
        <v>78</v>
      </c>
      <c r="C31" s="11">
        <v>0.30049768518518499</v>
      </c>
      <c r="D31" s="11" t="s">
        <v>62</v>
      </c>
      <c r="E31" s="11">
        <v>0.36771990740740701</v>
      </c>
      <c r="F31" s="12">
        <f t="shared" si="1"/>
        <v>1.6133333333333284</v>
      </c>
      <c r="G31" s="13">
        <f t="shared" si="2"/>
        <v>0.82527777777777667</v>
      </c>
      <c r="H31" s="13">
        <f t="shared" si="3"/>
        <v>0.78805555555555173</v>
      </c>
      <c r="I31"/>
      <c r="J31"/>
    </row>
    <row r="32" spans="1:13" ht="18.75" x14ac:dyDescent="0.15">
      <c r="A32" s="10">
        <f t="shared" ca="1" si="0"/>
        <v>46111.014165046297</v>
      </c>
      <c r="B32" s="5" t="s">
        <v>80</v>
      </c>
      <c r="C32" s="11">
        <v>1.4155092592592599E-2</v>
      </c>
      <c r="D32" s="11" t="s">
        <v>62</v>
      </c>
      <c r="E32" s="11">
        <v>0.14459490740740699</v>
      </c>
      <c r="F32" s="12">
        <f t="shared" si="1"/>
        <v>3.1305555555555458</v>
      </c>
      <c r="G32" s="13">
        <f t="shared" si="2"/>
        <v>0</v>
      </c>
      <c r="H32" s="13">
        <f t="shared" si="3"/>
        <v>3.1305555555555458</v>
      </c>
      <c r="I32"/>
      <c r="J32"/>
    </row>
    <row r="33" spans="1:11" ht="18.75" x14ac:dyDescent="0.15">
      <c r="A33" s="10">
        <f t="shared" ca="1" si="0"/>
        <v>46112.139105902803</v>
      </c>
      <c r="B33" s="5" t="s">
        <v>83</v>
      </c>
      <c r="C33" s="11">
        <v>0.13909722222222201</v>
      </c>
      <c r="D33" s="11" t="s">
        <v>62</v>
      </c>
      <c r="E33" s="11">
        <v>0.228888888888889</v>
      </c>
      <c r="F33" s="12">
        <f t="shared" si="1"/>
        <v>2.1550000000000078</v>
      </c>
      <c r="G33" s="13">
        <f t="shared" si="2"/>
        <v>0</v>
      </c>
      <c r="H33" s="13">
        <f t="shared" si="3"/>
        <v>2.1550000000000078</v>
      </c>
      <c r="I33"/>
      <c r="J33"/>
    </row>
    <row r="34" spans="1:11" ht="18.75" x14ac:dyDescent="0.15">
      <c r="A34" s="10">
        <f t="shared" ca="1" si="0"/>
        <v>46112.2289653935</v>
      </c>
      <c r="B34" s="5" t="s">
        <v>82</v>
      </c>
      <c r="C34" s="11">
        <v>0.22895833333333299</v>
      </c>
      <c r="D34" s="11" t="s">
        <v>62</v>
      </c>
      <c r="E34" s="11">
        <v>0.29743055555555598</v>
      </c>
      <c r="F34" s="12">
        <f t="shared" si="1"/>
        <v>1.6433333333333517</v>
      </c>
      <c r="G34" s="13">
        <f t="shared" si="2"/>
        <v>0</v>
      </c>
      <c r="H34" s="13">
        <f t="shared" si="3"/>
        <v>1.6433333333333517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42"/>
  <sheetViews>
    <sheetView topLeftCell="A10" zoomScale="85" zoomScaleNormal="85" workbookViewId="0">
      <selection activeCell="D34" sqref="D3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46082.951841087997</v>
      </c>
      <c r="B3" s="5" t="s">
        <v>82</v>
      </c>
      <c r="C3" s="11">
        <v>0.95184027777777802</v>
      </c>
      <c r="D3" s="11" t="s">
        <v>62</v>
      </c>
      <c r="E3" s="11">
        <v>0.10627314814814801</v>
      </c>
      <c r="F3" s="12">
        <f t="shared" ref="F3:F42" si="1">(IF(E3-C3&lt;0,"24:00"-C3+E3,E3-C3))*24</f>
        <v>3.7063888888888794</v>
      </c>
      <c r="G3" s="13">
        <f t="shared" ref="G3:G42" si="2">F3-H3</f>
        <v>1.1558333333333275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2.5505555555555519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46084.139468055597</v>
      </c>
      <c r="B4" s="5" t="s">
        <v>83</v>
      </c>
      <c r="C4" s="11">
        <v>0.139467592592593</v>
      </c>
      <c r="D4" s="11" t="s">
        <v>62</v>
      </c>
      <c r="E4" s="11">
        <v>0.250462962962963</v>
      </c>
      <c r="F4" s="12">
        <f t="shared" si="1"/>
        <v>2.6638888888888799</v>
      </c>
      <c r="G4" s="13">
        <f t="shared" si="2"/>
        <v>0</v>
      </c>
      <c r="H4" s="13">
        <f t="shared" si="3"/>
        <v>2.6638888888888799</v>
      </c>
      <c r="I4" s="21" t="s">
        <v>64</v>
      </c>
      <c r="J4" s="22">
        <f>SUMIF(B:B,"西塔台管制席",F:F)+SUMIF(B:B,"东塔台管制席",F:F)</f>
        <v>30.130000000000003</v>
      </c>
      <c r="K4" s="23">
        <f>SUMIF(B:B,"西塔台管制席",G:G)+SUMIF(B:B,"东塔台管制席",G:G)</f>
        <v>10.763055555555553</v>
      </c>
      <c r="L4" s="23">
        <f>SUMIF(B:B,"西塔台管制席",H:H)+SUMIF(B:B,"东塔台管制席",H:H)</f>
        <v>19.366944444444457</v>
      </c>
      <c r="M4" s="19"/>
    </row>
    <row r="5" spans="1:16" ht="18.75" x14ac:dyDescent="0.25">
      <c r="A5" s="10">
        <f t="shared" ca="1" si="0"/>
        <v>46087.141506944397</v>
      </c>
      <c r="B5" s="5" t="s">
        <v>83</v>
      </c>
      <c r="C5" s="11">
        <v>0.14150462962963001</v>
      </c>
      <c r="D5" s="11" t="s">
        <v>62</v>
      </c>
      <c r="E5" s="11">
        <v>0.22116898148148101</v>
      </c>
      <c r="F5" s="12">
        <f t="shared" si="1"/>
        <v>1.911944444444424</v>
      </c>
      <c r="G5" s="13">
        <f t="shared" si="2"/>
        <v>0</v>
      </c>
      <c r="H5" s="13">
        <f t="shared" si="3"/>
        <v>1.911944444444424</v>
      </c>
      <c r="I5" s="21" t="s">
        <v>65</v>
      </c>
      <c r="J5" s="22">
        <f>SUMIF(B:B,"西塔台协调席",F:F)+SUMIF(B:B,"东塔台协调席",F:F)</f>
        <v>41.591111111111132</v>
      </c>
      <c r="K5" s="23">
        <f>SUMIF(B:B,"西塔台协调席",G:G)+SUMIF(B:B,"东塔台协调席",G:G)</f>
        <v>25.165277777777789</v>
      </c>
      <c r="L5" s="23">
        <f>SUMIF(B:B,"西塔台协调席",H:H)+SUMIF(B:B,"东塔台协调席",H:H)</f>
        <v>16.425833333333344</v>
      </c>
      <c r="M5" s="19"/>
    </row>
    <row r="6" spans="1:16" ht="18.75" x14ac:dyDescent="0.25">
      <c r="A6" s="10">
        <f t="shared" ca="1" si="0"/>
        <v>46087.221156944397</v>
      </c>
      <c r="B6" s="5" t="s">
        <v>82</v>
      </c>
      <c r="C6" s="11">
        <v>0.221157407407407</v>
      </c>
      <c r="D6" s="11" t="s">
        <v>62</v>
      </c>
      <c r="E6" s="11">
        <v>0.29905092592592603</v>
      </c>
      <c r="F6" s="12">
        <f t="shared" si="1"/>
        <v>1.8694444444444567</v>
      </c>
      <c r="G6" s="13">
        <f t="shared" si="2"/>
        <v>0</v>
      </c>
      <c r="H6" s="13">
        <f t="shared" si="3"/>
        <v>1.8694444444444567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46088.0136039352</v>
      </c>
      <c r="B7" s="5" t="s">
        <v>80</v>
      </c>
      <c r="C7" s="11">
        <v>1.32175925925926E-2</v>
      </c>
      <c r="D7" s="11" t="s">
        <v>62</v>
      </c>
      <c r="E7" s="11">
        <v>0.109895833333333</v>
      </c>
      <c r="F7" s="12">
        <f t="shared" si="1"/>
        <v>2.3202777777777697</v>
      </c>
      <c r="G7" s="13">
        <f t="shared" si="2"/>
        <v>0</v>
      </c>
      <c r="H7" s="13">
        <f t="shared" si="3"/>
        <v>2.3202777777777697</v>
      </c>
      <c r="I7" s="21" t="s">
        <v>67</v>
      </c>
      <c r="J7" s="22">
        <f>SUMIF(B:B,"地面席",F:F)</f>
        <v>1.8358333333333439</v>
      </c>
      <c r="K7" s="23">
        <f>SUMIF(B:B,"地面席",G:G)</f>
        <v>0</v>
      </c>
      <c r="L7" s="23">
        <f>SUMIF(B:B,"地面席",H:H)</f>
        <v>1.8358333333333439</v>
      </c>
      <c r="M7" s="19"/>
    </row>
    <row r="8" spans="1:16" ht="18.75" x14ac:dyDescent="0.25">
      <c r="A8" s="10">
        <f t="shared" ca="1" si="0"/>
        <v>46088.109922916701</v>
      </c>
      <c r="B8" s="5" t="s">
        <v>82</v>
      </c>
      <c r="C8" s="11">
        <v>0.10991898148148101</v>
      </c>
      <c r="D8" s="11" t="s">
        <v>62</v>
      </c>
      <c r="E8" s="11">
        <v>0.14854166666666699</v>
      </c>
      <c r="F8" s="12">
        <f t="shared" si="1"/>
        <v>0.92694444444446356</v>
      </c>
      <c r="G8" s="13">
        <f t="shared" si="2"/>
        <v>0</v>
      </c>
      <c r="H8" s="13">
        <f t="shared" si="3"/>
        <v>0.92694444444446356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46090.354612847201</v>
      </c>
      <c r="B9" s="5" t="s">
        <v>82</v>
      </c>
      <c r="C9" s="11">
        <v>0.354606481481481</v>
      </c>
      <c r="D9" s="11" t="s">
        <v>62</v>
      </c>
      <c r="E9" s="11">
        <v>0.52996527777777802</v>
      </c>
      <c r="F9" s="12">
        <f t="shared" si="1"/>
        <v>4.2086111111111286</v>
      </c>
      <c r="G9" s="13">
        <f t="shared" si="2"/>
        <v>4.2086111111111286</v>
      </c>
      <c r="H9" s="13">
        <f t="shared" si="3"/>
        <v>0</v>
      </c>
      <c r="I9" s="21" t="s">
        <v>69</v>
      </c>
      <c r="J9" s="22">
        <f>SUMIF(B:B,"航班调度席",F:F)</f>
        <v>1.807777777777777</v>
      </c>
      <c r="K9" s="23">
        <f>SUMIF(B:B,"航班调度席",G:G)</f>
        <v>1.807777777777777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46090.688588078701</v>
      </c>
      <c r="B10" s="5" t="s">
        <v>78</v>
      </c>
      <c r="C10" s="11">
        <v>0.68858796296296299</v>
      </c>
      <c r="D10" s="11" t="s">
        <v>62</v>
      </c>
      <c r="E10" s="11">
        <v>0.79854166666666704</v>
      </c>
      <c r="F10" s="12">
        <f t="shared" si="1"/>
        <v>2.6388888888888973</v>
      </c>
      <c r="G10" s="13">
        <f t="shared" si="2"/>
        <v>2.6388888888888973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46090.875900115701</v>
      </c>
      <c r="B11" s="5" t="s">
        <v>82</v>
      </c>
      <c r="C11" s="11">
        <v>0.87589120370370399</v>
      </c>
      <c r="D11" s="11" t="s">
        <v>62</v>
      </c>
      <c r="E11" s="11">
        <v>0.95813657407407404</v>
      </c>
      <c r="F11" s="12">
        <f t="shared" si="1"/>
        <v>1.9738888888888813</v>
      </c>
      <c r="G11" s="13">
        <f t="shared" si="2"/>
        <v>1.9738888888888813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46091.293031481502</v>
      </c>
      <c r="B12" s="5" t="s">
        <v>82</v>
      </c>
      <c r="C12" s="11">
        <v>0.29302083333333301</v>
      </c>
      <c r="D12" s="11" t="s">
        <v>62</v>
      </c>
      <c r="E12" s="11">
        <v>0.42436342592592602</v>
      </c>
      <c r="F12" s="12">
        <f t="shared" si="1"/>
        <v>3.1522222222222323</v>
      </c>
      <c r="G12" s="13">
        <f t="shared" si="2"/>
        <v>2.1847222222222329</v>
      </c>
      <c r="H12" s="13">
        <f t="shared" si="3"/>
        <v>0.96749999999999936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46091.664590162</v>
      </c>
      <c r="B13" s="5" t="s">
        <v>79</v>
      </c>
      <c r="C13" s="11">
        <v>0.66458333333333297</v>
      </c>
      <c r="D13" s="11" t="s">
        <v>62</v>
      </c>
      <c r="E13" s="11">
        <v>0.73990740740740701</v>
      </c>
      <c r="F13" s="12">
        <f t="shared" si="1"/>
        <v>1.807777777777777</v>
      </c>
      <c r="G13" s="13">
        <f t="shared" si="2"/>
        <v>1.807777777777777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46091.8000322917</v>
      </c>
      <c r="B14" s="5" t="s">
        <v>82</v>
      </c>
      <c r="C14" s="11">
        <v>0.80011574074074099</v>
      </c>
      <c r="D14" s="11" t="s">
        <v>62</v>
      </c>
      <c r="E14" s="11">
        <v>0.87585648148148199</v>
      </c>
      <c r="F14" s="12">
        <f t="shared" si="1"/>
        <v>1.8177777777777839</v>
      </c>
      <c r="G14" s="13">
        <f t="shared" si="2"/>
        <v>1.8177777777777839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46091.8759005787</v>
      </c>
      <c r="B15" s="5" t="s">
        <v>82</v>
      </c>
      <c r="C15" s="11">
        <v>0.87589120370370399</v>
      </c>
      <c r="D15" s="11" t="s">
        <v>62</v>
      </c>
      <c r="E15" s="11">
        <v>0.88292824074074105</v>
      </c>
      <c r="F15" s="12">
        <f t="shared" si="1"/>
        <v>0.16888888888888953</v>
      </c>
      <c r="G15" s="13">
        <f t="shared" si="2"/>
        <v>0.16888888888888953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46095.140655787</v>
      </c>
      <c r="B16" s="5" t="s">
        <v>81</v>
      </c>
      <c r="C16" s="11">
        <v>0.14068287037037</v>
      </c>
      <c r="D16" s="11" t="s">
        <v>62</v>
      </c>
      <c r="E16" s="11">
        <v>0.21717592592592599</v>
      </c>
      <c r="F16" s="12">
        <f t="shared" si="1"/>
        <v>1.8358333333333439</v>
      </c>
      <c r="G16" s="13">
        <f t="shared" si="2"/>
        <v>0</v>
      </c>
      <c r="H16" s="13">
        <f t="shared" si="3"/>
        <v>1.8358333333333439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46096.140504745403</v>
      </c>
      <c r="B17" s="5" t="s">
        <v>83</v>
      </c>
      <c r="C17" s="11">
        <v>0.14049768518518499</v>
      </c>
      <c r="D17" s="11" t="s">
        <v>62</v>
      </c>
      <c r="E17" s="11">
        <v>0.286099537037037</v>
      </c>
      <c r="F17" s="12">
        <f t="shared" si="1"/>
        <v>3.494444444444448</v>
      </c>
      <c r="G17" s="13">
        <f t="shared" si="2"/>
        <v>0</v>
      </c>
      <c r="H17" s="13">
        <f t="shared" si="3"/>
        <v>3.494444444444448</v>
      </c>
      <c r="I17" s="35" t="s">
        <v>75</v>
      </c>
      <c r="J17" s="36">
        <f>J4+J5+J6+J7+J10</f>
        <v>73.556944444444468</v>
      </c>
      <c r="K17" s="37">
        <f>K4+K5+K6+K7+K10</f>
        <v>35.928333333333342</v>
      </c>
      <c r="L17" s="38">
        <f>L4+L5+L6+L7+L10</f>
        <v>37.628611111111141</v>
      </c>
      <c r="M17" s="39"/>
    </row>
    <row r="18" spans="1:13" ht="20.25" x14ac:dyDescent="0.25">
      <c r="A18" s="10">
        <f t="shared" ca="1" si="0"/>
        <v>46096.286143750003</v>
      </c>
      <c r="B18" s="5" t="s">
        <v>82</v>
      </c>
      <c r="C18" s="11">
        <v>0.28613425925925901</v>
      </c>
      <c r="D18" s="11" t="s">
        <v>62</v>
      </c>
      <c r="E18" s="11">
        <v>0.298912037037037</v>
      </c>
      <c r="F18" s="12">
        <f t="shared" si="1"/>
        <v>0.30666666666667197</v>
      </c>
      <c r="G18" s="13">
        <f t="shared" si="2"/>
        <v>0</v>
      </c>
      <c r="H18" s="13">
        <f t="shared" si="3"/>
        <v>0.30666666666667197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/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ca="1">IF(B20="","",IF(A20="",NOW(),A20))</f>
        <v>46099.141231018497</v>
      </c>
      <c r="B20" s="5" t="s">
        <v>83</v>
      </c>
      <c r="C20" s="11">
        <v>0.14122685185185199</v>
      </c>
      <c r="D20" s="11" t="s">
        <v>62</v>
      </c>
      <c r="E20" s="11">
        <v>0.24435185185185199</v>
      </c>
      <c r="F20" s="12">
        <f t="shared" si="1"/>
        <v>2.4749999999999996</v>
      </c>
      <c r="G20" s="13">
        <f t="shared" si="2"/>
        <v>0</v>
      </c>
      <c r="H20" s="13">
        <f t="shared" si="3"/>
        <v>2.4749999999999996</v>
      </c>
      <c r="I20" s="40" t="s">
        <v>77</v>
      </c>
      <c r="J20" s="65">
        <f>J16+J17+J18+J19</f>
        <v>73.556944444444468</v>
      </c>
      <c r="K20" s="66"/>
      <c r="L20" s="67"/>
      <c r="M20" s="41"/>
    </row>
    <row r="21" spans="1:13" ht="20.25" x14ac:dyDescent="0.25">
      <c r="A21" s="10">
        <f t="shared" ca="1" si="0"/>
        <v>46099.244418634298</v>
      </c>
      <c r="B21" s="5" t="s">
        <v>82</v>
      </c>
      <c r="C21" s="11">
        <v>0.24440972222222199</v>
      </c>
      <c r="D21" s="11" t="s">
        <v>62</v>
      </c>
      <c r="E21" s="11">
        <v>0.29989583333333297</v>
      </c>
      <c r="F21" s="12">
        <f t="shared" si="1"/>
        <v>1.3316666666666637</v>
      </c>
      <c r="G21" s="13">
        <f t="shared" si="2"/>
        <v>0</v>
      </c>
      <c r="H21" s="13">
        <f t="shared" si="3"/>
        <v>1.3316666666666637</v>
      </c>
      <c r="I21" s="42" t="s">
        <v>4</v>
      </c>
      <c r="J21" s="43">
        <f>SUM(J8:J9)</f>
        <v>1.807777777777777</v>
      </c>
      <c r="K21" s="37">
        <f>SUM(K8:K9)</f>
        <v>1.807777777777777</v>
      </c>
      <c r="L21" s="38">
        <f>SUM(L8:L9)</f>
        <v>0</v>
      </c>
      <c r="M21" s="44"/>
    </row>
    <row r="22" spans="1:13" ht="18.75" x14ac:dyDescent="0.15">
      <c r="A22" s="10">
        <f t="shared" ca="1" si="0"/>
        <v>46099.626009027801</v>
      </c>
      <c r="B22" s="5" t="s">
        <v>78</v>
      </c>
      <c r="C22" s="11">
        <v>0.62600694444444405</v>
      </c>
      <c r="D22" s="11" t="s">
        <v>62</v>
      </c>
      <c r="E22" s="11">
        <v>0.77803240740740698</v>
      </c>
      <c r="F22" s="12">
        <f t="shared" si="1"/>
        <v>3.6486111111111104</v>
      </c>
      <c r="G22" s="13">
        <f t="shared" si="2"/>
        <v>3.6486111111111104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46100.282396296301</v>
      </c>
      <c r="B23" s="5" t="s">
        <v>78</v>
      </c>
      <c r="C23" s="11">
        <v>0.138645833333333</v>
      </c>
      <c r="D23" s="11" t="s">
        <v>62</v>
      </c>
      <c r="E23" s="11">
        <v>0.29918981481481499</v>
      </c>
      <c r="F23" s="12">
        <f t="shared" si="1"/>
        <v>3.8530555555555681</v>
      </c>
      <c r="G23" s="13">
        <f t="shared" si="2"/>
        <v>0</v>
      </c>
      <c r="H23" s="13">
        <f t="shared" si="3"/>
        <v>3.8530555555555681</v>
      </c>
      <c r="I23"/>
      <c r="J23"/>
    </row>
    <row r="24" spans="1:13" ht="18.75" x14ac:dyDescent="0.15">
      <c r="A24" s="10">
        <f t="shared" ca="1" si="0"/>
        <v>46102.531678472202</v>
      </c>
      <c r="B24" s="5" t="s">
        <v>78</v>
      </c>
      <c r="C24" s="11">
        <v>0.53167824074074099</v>
      </c>
      <c r="D24" s="11" t="s">
        <v>62</v>
      </c>
      <c r="E24" s="11">
        <v>0.71815972222222202</v>
      </c>
      <c r="F24" s="12">
        <f t="shared" si="1"/>
        <v>4.4755555555555446</v>
      </c>
      <c r="G24" s="13">
        <f t="shared" si="2"/>
        <v>4.4755555555555446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46102.792450925903</v>
      </c>
      <c r="B25" s="5" t="s">
        <v>82</v>
      </c>
      <c r="C25" s="11">
        <v>0.79244212962963001</v>
      </c>
      <c r="D25" s="11" t="s">
        <v>62</v>
      </c>
      <c r="E25" s="11">
        <v>0.95754629629629595</v>
      </c>
      <c r="F25" s="12">
        <f t="shared" si="1"/>
        <v>3.9624999999999826</v>
      </c>
      <c r="G25" s="13">
        <f t="shared" si="2"/>
        <v>3.9624999999999826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46103.417936111102</v>
      </c>
      <c r="B26" s="5" t="s">
        <v>80</v>
      </c>
      <c r="C26" s="11">
        <v>0.41792824074074097</v>
      </c>
      <c r="D26" s="11" t="s">
        <v>62</v>
      </c>
      <c r="E26" s="11">
        <v>0.53</v>
      </c>
      <c r="F26" s="12">
        <f t="shared" si="1"/>
        <v>2.6897222222222172</v>
      </c>
      <c r="G26" s="13">
        <f t="shared" si="2"/>
        <v>2.6897222222222172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46103.6256721065</v>
      </c>
      <c r="B27" s="5" t="s">
        <v>80</v>
      </c>
      <c r="C27" s="11">
        <v>0.62579861111111101</v>
      </c>
      <c r="D27" s="11" t="s">
        <v>62</v>
      </c>
      <c r="E27" s="11">
        <v>0.80103009259259295</v>
      </c>
      <c r="F27" s="12">
        <f t="shared" si="1"/>
        <v>4.2055555555555664</v>
      </c>
      <c r="G27" s="13">
        <f t="shared" si="2"/>
        <v>4.2055555555555664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46103.876184953697</v>
      </c>
      <c r="B28" s="5" t="s">
        <v>80</v>
      </c>
      <c r="C28" s="11">
        <v>0.87618055555555596</v>
      </c>
      <c r="D28" s="11" t="s">
        <v>62</v>
      </c>
      <c r="E28" s="11">
        <v>0.95971064814814799</v>
      </c>
      <c r="F28" s="12">
        <f t="shared" si="1"/>
        <v>2.0047222222222087</v>
      </c>
      <c r="G28" s="13">
        <f t="shared" si="2"/>
        <v>2.0047222222222087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46104.293505786998</v>
      </c>
      <c r="B29" s="5" t="s">
        <v>80</v>
      </c>
      <c r="C29" s="11">
        <v>0.29349537037036999</v>
      </c>
      <c r="D29" s="11" t="s">
        <v>62</v>
      </c>
      <c r="E29" s="11">
        <v>0.366377314814815</v>
      </c>
      <c r="F29" s="12">
        <f t="shared" si="1"/>
        <v>1.7491666666666803</v>
      </c>
      <c r="G29" s="13">
        <f t="shared" si="2"/>
        <v>0.7930555555555685</v>
      </c>
      <c r="H29" s="13">
        <f t="shared" si="3"/>
        <v>0.9561111111111118</v>
      </c>
      <c r="I29"/>
      <c r="J29"/>
    </row>
    <row r="30" spans="1:13" ht="18.75" x14ac:dyDescent="0.15">
      <c r="A30" s="10">
        <f t="shared" ca="1" si="0"/>
        <v>46107.015095138901</v>
      </c>
      <c r="B30" s="5" t="s">
        <v>80</v>
      </c>
      <c r="C30" s="11">
        <v>1.50925925925926E-2</v>
      </c>
      <c r="D30" s="11" t="s">
        <v>62</v>
      </c>
      <c r="E30" s="11">
        <v>0.117083333333333</v>
      </c>
      <c r="F30" s="12">
        <f t="shared" si="1"/>
        <v>2.4477777777777696</v>
      </c>
      <c r="G30" s="13">
        <f t="shared" si="2"/>
        <v>0</v>
      </c>
      <c r="H30" s="13">
        <f t="shared" si="3"/>
        <v>2.4477777777777696</v>
      </c>
      <c r="I30"/>
      <c r="J30"/>
    </row>
    <row r="31" spans="1:13" ht="18.75" x14ac:dyDescent="0.15">
      <c r="A31" s="10">
        <f t="shared" ca="1" si="0"/>
        <v>46107.117162731498</v>
      </c>
      <c r="B31" s="5" t="s">
        <v>82</v>
      </c>
      <c r="C31" s="11">
        <v>0.11715277777777799</v>
      </c>
      <c r="D31" s="11" t="s">
        <v>62</v>
      </c>
      <c r="E31" s="11">
        <v>0.145451388888889</v>
      </c>
      <c r="F31" s="12">
        <f t="shared" si="1"/>
        <v>0.67916666666666425</v>
      </c>
      <c r="G31" s="13">
        <f t="shared" si="2"/>
        <v>0</v>
      </c>
      <c r="H31" s="13">
        <f t="shared" si="3"/>
        <v>0.67916666666666425</v>
      </c>
      <c r="I31"/>
      <c r="J31"/>
    </row>
    <row r="32" spans="1:13" ht="18.75" x14ac:dyDescent="0.15">
      <c r="A32" s="10">
        <f t="shared" ca="1" si="0"/>
        <v>46108.141316203699</v>
      </c>
      <c r="B32" s="5" t="s">
        <v>78</v>
      </c>
      <c r="C32" s="11">
        <v>0.14130787037036999</v>
      </c>
      <c r="D32" s="11" t="s">
        <v>62</v>
      </c>
      <c r="E32" s="11">
        <v>0.30603009259259301</v>
      </c>
      <c r="F32" s="12">
        <f t="shared" si="1"/>
        <v>3.9533333333333527</v>
      </c>
      <c r="G32" s="13">
        <f t="shared" si="2"/>
        <v>0</v>
      </c>
      <c r="H32" s="13">
        <f t="shared" si="3"/>
        <v>3.9533333333333527</v>
      </c>
      <c r="I32"/>
      <c r="J32"/>
    </row>
    <row r="33" spans="1:11" ht="18.75" x14ac:dyDescent="0.15">
      <c r="A33" s="10">
        <f t="shared" ca="1" si="0"/>
        <v>46112.015637037002</v>
      </c>
      <c r="B33" s="5" t="s">
        <v>80</v>
      </c>
      <c r="C33" s="11">
        <v>1.5636574074074101E-2</v>
      </c>
      <c r="D33" s="11" t="s">
        <v>62</v>
      </c>
      <c r="E33" s="11">
        <v>0.10187499999999999</v>
      </c>
      <c r="F33" s="12">
        <f t="shared" si="1"/>
        <v>2.0697222222222216</v>
      </c>
      <c r="G33" s="13">
        <f t="shared" si="2"/>
        <v>0</v>
      </c>
      <c r="H33" s="13">
        <f t="shared" si="3"/>
        <v>2.0697222222222216</v>
      </c>
      <c r="I33"/>
      <c r="J33"/>
    </row>
    <row r="34" spans="1:11" ht="18.75" x14ac:dyDescent="0.15">
      <c r="A34" s="10">
        <f t="shared" ca="1" si="0"/>
        <v>46112.101916550899</v>
      </c>
      <c r="B34" s="5" t="s">
        <v>78</v>
      </c>
      <c r="C34" s="11">
        <v>0.101909722222222</v>
      </c>
      <c r="D34" s="11" t="s">
        <v>62</v>
      </c>
      <c r="E34" s="11">
        <v>0.14421296296296299</v>
      </c>
      <c r="F34" s="12">
        <f t="shared" si="1"/>
        <v>1.0152777777777837</v>
      </c>
      <c r="G34" s="13">
        <f t="shared" si="2"/>
        <v>0</v>
      </c>
      <c r="H34" s="13">
        <f t="shared" si="3"/>
        <v>1.0152777777777837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46082.355096874999</v>
      </c>
      <c r="B3" s="5" t="s">
        <v>82</v>
      </c>
      <c r="C3" s="11">
        <v>0.35509259259259301</v>
      </c>
      <c r="D3" s="11" t="s">
        <v>62</v>
      </c>
      <c r="E3" s="11">
        <v>0.50570601851851804</v>
      </c>
      <c r="F3" s="12">
        <f t="shared" ref="F3:F42" si="1">(IF(E3-C3&lt;0,"24:00"-C3+E3,E3-C3))*24</f>
        <v>3.6147222222222006</v>
      </c>
      <c r="G3" s="13">
        <f t="shared" ref="G3:G42" si="2">F3-H3</f>
        <v>3.6147222222222006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46082.835372222202</v>
      </c>
      <c r="B4" s="5" t="s">
        <v>78</v>
      </c>
      <c r="C4" s="11">
        <v>0.83537037037036999</v>
      </c>
      <c r="D4" s="11" t="s">
        <v>62</v>
      </c>
      <c r="E4" s="11">
        <v>0.95741898148148197</v>
      </c>
      <c r="F4" s="12">
        <f t="shared" si="1"/>
        <v>2.9291666666666876</v>
      </c>
      <c r="G4" s="13">
        <f t="shared" si="2"/>
        <v>2.9291666666666876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23.281111111111137</v>
      </c>
      <c r="K4" s="23">
        <f>SUMIF(B:B,"西塔台管制席",G:G)+SUMIF(B:B,"东塔台管制席",G:G)</f>
        <v>17.403055555555582</v>
      </c>
      <c r="L4" s="23">
        <f>SUMIF(B:B,"西塔台管制席",H:H)+SUMIF(B:B,"东塔台管制席",H:H)</f>
        <v>5.8780555555555534</v>
      </c>
      <c r="M4" s="19"/>
    </row>
    <row r="5" spans="1:16" ht="18.75" x14ac:dyDescent="0.25">
      <c r="A5" s="10">
        <f t="shared" ca="1" si="0"/>
        <v>46083.377650000002</v>
      </c>
      <c r="B5" s="5" t="s">
        <v>79</v>
      </c>
      <c r="C5" s="11">
        <v>0.37765046296296301</v>
      </c>
      <c r="D5" s="11" t="s">
        <v>62</v>
      </c>
      <c r="E5" s="11">
        <v>0.42521990740740701</v>
      </c>
      <c r="F5" s="12">
        <f t="shared" si="1"/>
        <v>1.1416666666666559</v>
      </c>
      <c r="G5" s="13">
        <f t="shared" si="2"/>
        <v>1.1416666666666559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38.846111111111085</v>
      </c>
      <c r="K5" s="23">
        <f>SUMIF(B:B,"西塔台协调席",G:G)+SUMIF(B:B,"东塔台协调席",G:G)</f>
        <v>23.331666666666621</v>
      </c>
      <c r="L5" s="23">
        <f>SUMIF(B:B,"西塔台协调席",H:H)+SUMIF(B:B,"东塔台协调席",H:H)</f>
        <v>15.514444444444461</v>
      </c>
      <c r="M5" s="19"/>
    </row>
    <row r="6" spans="1:16" ht="18.75" x14ac:dyDescent="0.25">
      <c r="A6" s="10">
        <f t="shared" ca="1" si="0"/>
        <v>46083.437620254597</v>
      </c>
      <c r="B6" s="5" t="s">
        <v>79</v>
      </c>
      <c r="C6" s="11">
        <v>0.437615740740741</v>
      </c>
      <c r="D6" s="11" t="s">
        <v>62</v>
      </c>
      <c r="E6" s="11">
        <v>0.48770833333333302</v>
      </c>
      <c r="F6" s="12">
        <f t="shared" si="1"/>
        <v>1.2022222222222085</v>
      </c>
      <c r="G6" s="13">
        <f t="shared" si="2"/>
        <v>1.2022222222222085</v>
      </c>
      <c r="H6" s="13">
        <f t="shared" si="3"/>
        <v>0</v>
      </c>
      <c r="I6" s="21" t="s">
        <v>66</v>
      </c>
      <c r="J6" s="22">
        <f>SUMIF(B:B,"放行席",F:F)</f>
        <v>6.4897222222221842</v>
      </c>
      <c r="K6" s="23">
        <f>SUMIF(B:B,"放行席",G:G)</f>
        <v>0</v>
      </c>
      <c r="L6" s="23">
        <f>SUMIF(B:B,"放行席",H:H)</f>
        <v>6.4897222222221842</v>
      </c>
      <c r="M6" s="19"/>
    </row>
    <row r="7" spans="1:16" ht="18.75" x14ac:dyDescent="0.25">
      <c r="A7" s="10">
        <f t="shared" ca="1" si="0"/>
        <v>46083.584891435203</v>
      </c>
      <c r="B7" s="5" t="s">
        <v>78</v>
      </c>
      <c r="C7" s="11">
        <v>0.58506944444444398</v>
      </c>
      <c r="D7" s="11" t="s">
        <v>62</v>
      </c>
      <c r="E7" s="11">
        <v>0.73482638888888896</v>
      </c>
      <c r="F7" s="12">
        <f t="shared" si="1"/>
        <v>3.5941666666666796</v>
      </c>
      <c r="G7" s="13">
        <f t="shared" si="2"/>
        <v>3.5941666666666796</v>
      </c>
      <c r="H7" s="13">
        <f t="shared" si="3"/>
        <v>0</v>
      </c>
      <c r="I7" s="21" t="s">
        <v>67</v>
      </c>
      <c r="J7" s="22">
        <f>SUMIF(B:B,"地面席",F:F)</f>
        <v>1.8091666666666564</v>
      </c>
      <c r="K7" s="23">
        <f>SUMIF(B:B,"地面席",G:G)</f>
        <v>0</v>
      </c>
      <c r="L7" s="23">
        <f>SUMIF(B:B,"地面席",H:H)</f>
        <v>1.8091666666666564</v>
      </c>
      <c r="M7" s="19"/>
    </row>
    <row r="8" spans="1:16" ht="18.75" x14ac:dyDescent="0.25">
      <c r="A8" s="10">
        <f t="shared" ca="1" si="0"/>
        <v>46083.834054398103</v>
      </c>
      <c r="B8" s="5" t="s">
        <v>78</v>
      </c>
      <c r="C8" s="11">
        <v>0.834050925925926</v>
      </c>
      <c r="D8" s="11" t="s">
        <v>62</v>
      </c>
      <c r="E8" s="11">
        <v>0.95609953703703698</v>
      </c>
      <c r="F8" s="12">
        <f t="shared" si="1"/>
        <v>2.9291666666666636</v>
      </c>
      <c r="G8" s="13">
        <f t="shared" si="2"/>
        <v>2.9291666666666636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46087.014720370396</v>
      </c>
      <c r="B9" s="5" t="s">
        <v>80</v>
      </c>
      <c r="C9" s="11">
        <v>1.4710648148148099E-2</v>
      </c>
      <c r="D9" s="11" t="s">
        <v>62</v>
      </c>
      <c r="E9" s="11">
        <v>0.12640046296296301</v>
      </c>
      <c r="F9" s="12">
        <f t="shared" si="1"/>
        <v>2.680555555555558</v>
      </c>
      <c r="G9" s="13">
        <f t="shared" si="2"/>
        <v>0</v>
      </c>
      <c r="H9" s="13">
        <f t="shared" si="3"/>
        <v>2.680555555555558</v>
      </c>
      <c r="I9" s="21" t="s">
        <v>69</v>
      </c>
      <c r="J9" s="22">
        <f>SUMIF(B:B,"航班调度席",F:F)</f>
        <v>4.6772222222222162</v>
      </c>
      <c r="K9" s="23">
        <f>SUMIF(B:B,"航班调度席",G:G)</f>
        <v>4.6772222222222162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46087.953076967598</v>
      </c>
      <c r="B10" s="5" t="s">
        <v>82</v>
      </c>
      <c r="C10" s="11">
        <v>0.95306712962963003</v>
      </c>
      <c r="D10" s="11" t="s">
        <v>62</v>
      </c>
      <c r="E10" s="11">
        <v>0.11407407407407399</v>
      </c>
      <c r="F10" s="12">
        <f t="shared" si="1"/>
        <v>3.8641666666666552</v>
      </c>
      <c r="G10" s="13">
        <f t="shared" si="2"/>
        <v>1.1263888888888793</v>
      </c>
      <c r="H10" s="13">
        <f t="shared" si="3"/>
        <v>2.7377777777777759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46091.139863541699</v>
      </c>
      <c r="B11" s="5" t="s">
        <v>83</v>
      </c>
      <c r="C11" s="11">
        <v>0.13986111111111099</v>
      </c>
      <c r="D11" s="11" t="s">
        <v>62</v>
      </c>
      <c r="E11" s="11">
        <v>0.22106481481481499</v>
      </c>
      <c r="F11" s="12">
        <f t="shared" si="1"/>
        <v>1.948888888888896</v>
      </c>
      <c r="G11" s="13">
        <f t="shared" si="2"/>
        <v>0</v>
      </c>
      <c r="H11" s="13">
        <f t="shared" si="3"/>
        <v>1.948888888888896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46091.221104166703</v>
      </c>
      <c r="B12" s="5" t="s">
        <v>82</v>
      </c>
      <c r="C12" s="11">
        <v>0.221134259259259</v>
      </c>
      <c r="D12" s="11" t="s">
        <v>62</v>
      </c>
      <c r="E12" s="11">
        <v>0.29734953703703698</v>
      </c>
      <c r="F12" s="12">
        <f t="shared" si="1"/>
        <v>1.8291666666666715</v>
      </c>
      <c r="G12" s="13">
        <f t="shared" si="2"/>
        <v>0</v>
      </c>
      <c r="H12" s="13">
        <f t="shared" si="3"/>
        <v>1.8291666666666715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46092.015250578697</v>
      </c>
      <c r="B13" s="5" t="s">
        <v>83</v>
      </c>
      <c r="C13" s="11">
        <v>1.52430555555556E-2</v>
      </c>
      <c r="D13" s="11" t="s">
        <v>62</v>
      </c>
      <c r="E13" s="11">
        <v>0.139490740740741</v>
      </c>
      <c r="F13" s="12">
        <f t="shared" si="1"/>
        <v>2.9819444444444496</v>
      </c>
      <c r="G13" s="13">
        <f t="shared" si="2"/>
        <v>0</v>
      </c>
      <c r="H13" s="13">
        <f t="shared" si="3"/>
        <v>2.9819444444444496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46094.498719907402</v>
      </c>
      <c r="B14" s="5" t="s">
        <v>82</v>
      </c>
      <c r="C14" s="11">
        <v>0.49871527777777802</v>
      </c>
      <c r="D14" s="11" t="s">
        <v>62</v>
      </c>
      <c r="E14" s="11">
        <v>0.63144675925925897</v>
      </c>
      <c r="F14" s="12">
        <f t="shared" si="1"/>
        <v>3.1855555555555428</v>
      </c>
      <c r="G14" s="13">
        <f t="shared" si="2"/>
        <v>3.1855555555555428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46094.660510879599</v>
      </c>
      <c r="B15" s="5" t="s">
        <v>79</v>
      </c>
      <c r="C15" s="11">
        <v>0.66050925925925896</v>
      </c>
      <c r="D15" s="11" t="s">
        <v>62</v>
      </c>
      <c r="E15" s="11">
        <v>0.75773148148148195</v>
      </c>
      <c r="F15" s="12">
        <f t="shared" si="1"/>
        <v>2.3333333333333517</v>
      </c>
      <c r="G15" s="13">
        <f t="shared" si="2"/>
        <v>2.3333333333333517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46094.835028240697</v>
      </c>
      <c r="B16" s="5" t="s">
        <v>82</v>
      </c>
      <c r="C16" s="11">
        <v>0.83502314814814804</v>
      </c>
      <c r="D16" s="11" t="s">
        <v>62</v>
      </c>
      <c r="E16" s="11">
        <v>0.95578703703703705</v>
      </c>
      <c r="F16" s="12">
        <f t="shared" si="1"/>
        <v>2.8983333333333361</v>
      </c>
      <c r="G16" s="13">
        <f t="shared" si="2"/>
        <v>2.8983333333333361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46095.2938671296</v>
      </c>
      <c r="B17" s="5" t="s">
        <v>78</v>
      </c>
      <c r="C17" s="11">
        <v>0.29386574074074101</v>
      </c>
      <c r="D17" s="11" t="s">
        <v>62</v>
      </c>
      <c r="E17" s="11">
        <v>0.42363425925925902</v>
      </c>
      <c r="F17" s="12">
        <f t="shared" si="1"/>
        <v>3.1144444444444321</v>
      </c>
      <c r="G17" s="13">
        <f t="shared" si="2"/>
        <v>2.1672222222222248</v>
      </c>
      <c r="H17" s="13">
        <f t="shared" si="3"/>
        <v>0.94722222222220731</v>
      </c>
      <c r="I17" s="35" t="s">
        <v>75</v>
      </c>
      <c r="J17" s="36">
        <f>J4+J5+J6+J7+J10</f>
        <v>70.426111111111069</v>
      </c>
      <c r="K17" s="37">
        <f>K4+K5+K6+K7+K10</f>
        <v>40.734722222222203</v>
      </c>
      <c r="L17" s="38">
        <f>L4+L5+L6+L7+L10</f>
        <v>29.691388888888852</v>
      </c>
      <c r="M17" s="39"/>
    </row>
    <row r="18" spans="1:13" ht="20.25" x14ac:dyDescent="0.25">
      <c r="A18" s="10">
        <f t="shared" ca="1" si="0"/>
        <v>46095.705937152801</v>
      </c>
      <c r="B18" s="5" t="s">
        <v>82</v>
      </c>
      <c r="C18" s="11">
        <v>0.7059375</v>
      </c>
      <c r="D18" s="11" t="s">
        <v>62</v>
      </c>
      <c r="E18" s="11">
        <v>0.81798611111111097</v>
      </c>
      <c r="F18" s="12">
        <f t="shared" si="1"/>
        <v>2.6891666666666634</v>
      </c>
      <c r="G18" s="13">
        <f t="shared" si="2"/>
        <v>2.6891666666666634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46098.951188194398</v>
      </c>
      <c r="B19" s="5" t="s">
        <v>82</v>
      </c>
      <c r="C19" s="11">
        <v>0.95118055555555603</v>
      </c>
      <c r="D19" s="11" t="s">
        <v>62</v>
      </c>
      <c r="E19" s="11">
        <v>0.116655092592593</v>
      </c>
      <c r="F19" s="12">
        <f t="shared" si="1"/>
        <v>3.9713888888888871</v>
      </c>
      <c r="G19" s="13">
        <f t="shared" si="2"/>
        <v>1.1716666666666549</v>
      </c>
      <c r="H19" s="13">
        <f t="shared" si="3"/>
        <v>2.7997222222222322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46100.1325923611</v>
      </c>
      <c r="B20" s="5" t="s">
        <v>84</v>
      </c>
      <c r="C20" s="11">
        <v>0.13259259259259301</v>
      </c>
      <c r="D20" s="11" t="s">
        <v>62</v>
      </c>
      <c r="E20" s="11">
        <v>0.22474537037037001</v>
      </c>
      <c r="F20" s="12">
        <f t="shared" si="1"/>
        <v>2.2116666666666482</v>
      </c>
      <c r="G20" s="13">
        <f t="shared" si="2"/>
        <v>0</v>
      </c>
      <c r="H20" s="13">
        <f t="shared" si="3"/>
        <v>2.2116666666666482</v>
      </c>
      <c r="I20" s="40" t="s">
        <v>77</v>
      </c>
      <c r="J20" s="65">
        <f>J16+J17+J18+J19</f>
        <v>70.426111111111069</v>
      </c>
      <c r="K20" s="66"/>
      <c r="L20" s="67"/>
      <c r="M20" s="41"/>
    </row>
    <row r="21" spans="1:13" ht="20.25" x14ac:dyDescent="0.25">
      <c r="A21" s="10">
        <f t="shared" ca="1" si="0"/>
        <v>46103.131350925898</v>
      </c>
      <c r="B21" s="5" t="s">
        <v>84</v>
      </c>
      <c r="C21" s="11">
        <v>0.13134259259259301</v>
      </c>
      <c r="D21" s="11" t="s">
        <v>62</v>
      </c>
      <c r="E21" s="11">
        <v>0.224351851851852</v>
      </c>
      <c r="F21" s="12">
        <f t="shared" si="1"/>
        <v>2.2322222222222159</v>
      </c>
      <c r="G21" s="13">
        <f t="shared" si="2"/>
        <v>0</v>
      </c>
      <c r="H21" s="13">
        <f t="shared" si="3"/>
        <v>2.2322222222222159</v>
      </c>
      <c r="I21" s="42" t="s">
        <v>4</v>
      </c>
      <c r="J21" s="43">
        <f>SUM(J8:J9)</f>
        <v>4.6772222222222162</v>
      </c>
      <c r="K21" s="37">
        <f>SUM(K8:K9)</f>
        <v>4.6772222222222162</v>
      </c>
      <c r="L21" s="38">
        <f>SUM(L8:L9)</f>
        <v>0</v>
      </c>
      <c r="M21" s="44"/>
    </row>
    <row r="22" spans="1:13" ht="18.75" x14ac:dyDescent="0.15">
      <c r="A22" s="10">
        <f t="shared" ca="1" si="0"/>
        <v>46103.224391319403</v>
      </c>
      <c r="B22" s="5" t="s">
        <v>82</v>
      </c>
      <c r="C22" s="11">
        <v>0.224386574074074</v>
      </c>
      <c r="D22" s="11" t="s">
        <v>62</v>
      </c>
      <c r="E22" s="11">
        <v>0.300104166666667</v>
      </c>
      <c r="F22" s="12">
        <f t="shared" si="1"/>
        <v>1.8172222222222321</v>
      </c>
      <c r="G22" s="13">
        <f t="shared" si="2"/>
        <v>0</v>
      </c>
      <c r="H22" s="13">
        <f t="shared" si="3"/>
        <v>1.8172222222222321</v>
      </c>
      <c r="I22"/>
      <c r="J22"/>
    </row>
    <row r="23" spans="1:13" ht="18.75" x14ac:dyDescent="0.15">
      <c r="A23" s="10">
        <f t="shared" ca="1" si="0"/>
        <v>46104.138562847198</v>
      </c>
      <c r="B23" s="5" t="s">
        <v>81</v>
      </c>
      <c r="C23" s="11">
        <v>0.13855324074074099</v>
      </c>
      <c r="D23" s="11" t="s">
        <v>62</v>
      </c>
      <c r="E23" s="11">
        <v>0.21393518518518501</v>
      </c>
      <c r="F23" s="12">
        <f t="shared" si="1"/>
        <v>1.8091666666666564</v>
      </c>
      <c r="G23" s="13">
        <f t="shared" si="2"/>
        <v>0</v>
      </c>
      <c r="H23" s="13">
        <f t="shared" si="3"/>
        <v>1.8091666666666564</v>
      </c>
      <c r="I23"/>
      <c r="J23"/>
    </row>
    <row r="24" spans="1:13" ht="18.75" x14ac:dyDescent="0.15">
      <c r="A24" s="10">
        <f t="shared" ca="1" si="0"/>
        <v>46106.358502777803</v>
      </c>
      <c r="B24" s="5" t="s">
        <v>82</v>
      </c>
      <c r="C24" s="11">
        <v>0.35849537037036999</v>
      </c>
      <c r="D24" s="11" t="s">
        <v>62</v>
      </c>
      <c r="E24" s="11">
        <v>0.50512731481481499</v>
      </c>
      <c r="F24" s="12">
        <f t="shared" si="1"/>
        <v>3.5191666666666799</v>
      </c>
      <c r="G24" s="13">
        <f t="shared" si="2"/>
        <v>3.5191666666666799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46106.832769675901</v>
      </c>
      <c r="B25" s="5" t="s">
        <v>78</v>
      </c>
      <c r="C25" s="11">
        <v>0.83276620370370402</v>
      </c>
      <c r="D25" s="11" t="s">
        <v>62</v>
      </c>
      <c r="E25" s="11">
        <v>0.95844907407407398</v>
      </c>
      <c r="F25" s="12">
        <f t="shared" si="1"/>
        <v>3.016388888888879</v>
      </c>
      <c r="G25" s="13">
        <f t="shared" si="2"/>
        <v>3.016388888888879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46107.418212615703</v>
      </c>
      <c r="B26" s="5" t="s">
        <v>82</v>
      </c>
      <c r="C26" s="11">
        <v>0.41820601851851902</v>
      </c>
      <c r="D26" s="11" t="s">
        <v>62</v>
      </c>
      <c r="E26" s="11">
        <v>0.55003472222222205</v>
      </c>
      <c r="F26" s="12">
        <f t="shared" si="1"/>
        <v>3.1638888888888728</v>
      </c>
      <c r="G26" s="13">
        <f t="shared" si="2"/>
        <v>3.1638888888888728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46107.668135416701</v>
      </c>
      <c r="B27" s="5" t="s">
        <v>78</v>
      </c>
      <c r="C27" s="11">
        <v>0.66812499999999997</v>
      </c>
      <c r="D27" s="11" t="s">
        <v>62</v>
      </c>
      <c r="E27" s="11">
        <v>0.78341435185185204</v>
      </c>
      <c r="F27" s="12">
        <f t="shared" si="1"/>
        <v>2.7669444444444498</v>
      </c>
      <c r="G27" s="13">
        <f t="shared" si="2"/>
        <v>2.7669444444444498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46108.290604166701</v>
      </c>
      <c r="B28" s="5" t="s">
        <v>82</v>
      </c>
      <c r="C28" s="11">
        <v>0.290601851851852</v>
      </c>
      <c r="D28" s="11" t="s">
        <v>62</v>
      </c>
      <c r="E28" s="11">
        <v>0.36716435185185198</v>
      </c>
      <c r="F28" s="12">
        <f t="shared" si="1"/>
        <v>1.8374999999999995</v>
      </c>
      <c r="G28" s="13">
        <f t="shared" si="2"/>
        <v>0.8119444444444559</v>
      </c>
      <c r="H28" s="13">
        <f t="shared" si="3"/>
        <v>1.0255555555555436</v>
      </c>
      <c r="I28"/>
      <c r="J28"/>
    </row>
    <row r="29" spans="1:13" ht="18.75" x14ac:dyDescent="0.15">
      <c r="A29" s="10">
        <f t="shared" ca="1" si="0"/>
        <v>46110.952052893503</v>
      </c>
      <c r="B29" s="5" t="s">
        <v>82</v>
      </c>
      <c r="C29" s="11">
        <v>0.95204861111111105</v>
      </c>
      <c r="D29" s="11" t="s">
        <v>62</v>
      </c>
      <c r="E29" s="11">
        <v>0.10935185185185201</v>
      </c>
      <c r="F29" s="12">
        <f t="shared" si="1"/>
        <v>3.7752777777777826</v>
      </c>
      <c r="G29" s="13">
        <f t="shared" si="2"/>
        <v>1.1508333333333347</v>
      </c>
      <c r="H29" s="13">
        <f t="shared" si="3"/>
        <v>2.6244444444444479</v>
      </c>
      <c r="I29"/>
      <c r="J29"/>
    </row>
    <row r="30" spans="1:13" ht="18.75" x14ac:dyDescent="0.15">
      <c r="A30" s="10">
        <f t="shared" ca="1" si="0"/>
        <v>46112.129007060197</v>
      </c>
      <c r="B30" s="5" t="s">
        <v>84</v>
      </c>
      <c r="C30" s="11">
        <v>0.12900462962963</v>
      </c>
      <c r="D30" s="11" t="s">
        <v>62</v>
      </c>
      <c r="E30" s="11">
        <v>0.214247685185185</v>
      </c>
      <c r="F30" s="12">
        <f t="shared" si="1"/>
        <v>2.0458333333333201</v>
      </c>
      <c r="G30" s="13">
        <f t="shared" si="2"/>
        <v>0</v>
      </c>
      <c r="H30" s="13">
        <f t="shared" si="3"/>
        <v>2.0458333333333201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42"/>
  <sheetViews>
    <sheetView topLeftCell="A10" zoomScale="85" zoomScaleNormal="85" workbookViewId="0">
      <selection activeCell="D33" sqref="D33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46082.502063194399</v>
      </c>
      <c r="B3" s="5" t="s">
        <v>82</v>
      </c>
      <c r="C3" s="11">
        <v>0.50206018518518503</v>
      </c>
      <c r="D3" s="11" t="s">
        <v>62</v>
      </c>
      <c r="E3" s="11">
        <v>0.63083333333333302</v>
      </c>
      <c r="F3" s="12">
        <f t="shared" ref="F3:F42" si="1">(IF(E3-C3&lt;0,"24:00"-C3+E3,E3-C3))*24</f>
        <v>3.0905555555555519</v>
      </c>
      <c r="G3" s="13">
        <f t="shared" ref="G3:G42" si="2">F3-H3</f>
        <v>3.0905555555555519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46082.502063194399</v>
      </c>
      <c r="B4" s="5" t="s">
        <v>82</v>
      </c>
      <c r="C4" s="11">
        <v>0.70840277777777805</v>
      </c>
      <c r="D4" s="11" t="s">
        <v>62</v>
      </c>
      <c r="E4" s="11">
        <v>0.83546296296296296</v>
      </c>
      <c r="F4" s="12">
        <f t="shared" si="1"/>
        <v>3.049444444444438</v>
      </c>
      <c r="G4" s="13">
        <f t="shared" si="2"/>
        <v>3.049444444444438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19.763333333333321</v>
      </c>
      <c r="K4" s="23">
        <f>SUMIF(B:B,"西塔台管制席",G:G)+SUMIF(B:B,"东塔台管制席",G:G)</f>
        <v>9.2011111111110928</v>
      </c>
      <c r="L4" s="23">
        <f>SUMIF(B:B,"西塔台管制席",H:H)+SUMIF(B:B,"东塔台管制席",H:H)</f>
        <v>10.56222222222223</v>
      </c>
      <c r="M4" s="19"/>
    </row>
    <row r="5" spans="1:16" ht="18.75" x14ac:dyDescent="0.25">
      <c r="A5" s="10">
        <f t="shared" ca="1" si="0"/>
        <v>46083.418975000001</v>
      </c>
      <c r="B5" s="5" t="s">
        <v>82</v>
      </c>
      <c r="C5" s="11">
        <v>0.41896990740740703</v>
      </c>
      <c r="D5" s="11" t="s">
        <v>62</v>
      </c>
      <c r="E5" s="11">
        <v>0.52321759259259304</v>
      </c>
      <c r="F5" s="12">
        <f t="shared" si="1"/>
        <v>2.5019444444444643</v>
      </c>
      <c r="G5" s="13">
        <f t="shared" si="2"/>
        <v>2.5019444444444643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45.274444444444477</v>
      </c>
      <c r="K5" s="23">
        <f>SUMIF(B:B,"西塔台协调席",G:G)+SUMIF(B:B,"东塔台协调席",G:G)</f>
        <v>37.932777777777822</v>
      </c>
      <c r="L5" s="23">
        <f>SUMIF(B:B,"西塔台协调席",H:H)+SUMIF(B:B,"东塔台协调席",H:H)</f>
        <v>7.3416666666666419</v>
      </c>
      <c r="M5" s="19"/>
    </row>
    <row r="6" spans="1:16" ht="18.75" x14ac:dyDescent="0.25">
      <c r="A6" s="10">
        <f t="shared" ca="1" si="0"/>
        <v>46083.605020254603</v>
      </c>
      <c r="B6" s="5" t="s">
        <v>82</v>
      </c>
      <c r="C6" s="11">
        <v>0.60501157407407402</v>
      </c>
      <c r="D6" s="11" t="s">
        <v>62</v>
      </c>
      <c r="E6" s="11">
        <v>0.71625000000000005</v>
      </c>
      <c r="F6" s="12">
        <f t="shared" si="1"/>
        <v>2.6697222222222248</v>
      </c>
      <c r="G6" s="13">
        <f t="shared" si="2"/>
        <v>2.6697222222222248</v>
      </c>
      <c r="H6" s="13">
        <f t="shared" si="3"/>
        <v>0</v>
      </c>
      <c r="I6" s="21" t="s">
        <v>66</v>
      </c>
      <c r="J6" s="22">
        <f>SUMIF(B:B,"放行席",F:F)</f>
        <v>1.8725000000000156</v>
      </c>
      <c r="K6" s="23">
        <f>SUMIF(B:B,"放行席",G:G)</f>
        <v>0</v>
      </c>
      <c r="L6" s="23">
        <f>SUMIF(B:B,"放行席",H:H)</f>
        <v>1.8725000000000156</v>
      </c>
      <c r="M6" s="19"/>
    </row>
    <row r="7" spans="1:16" ht="18.75" x14ac:dyDescent="0.25">
      <c r="A7" s="10">
        <f t="shared" ca="1" si="0"/>
        <v>46083.855536111099</v>
      </c>
      <c r="B7" s="5" t="s">
        <v>82</v>
      </c>
      <c r="C7" s="11">
        <v>0.85553240740740699</v>
      </c>
      <c r="D7" s="11" t="s">
        <v>62</v>
      </c>
      <c r="E7" s="11">
        <v>0.95502314814814804</v>
      </c>
      <c r="F7" s="12">
        <f t="shared" si="1"/>
        <v>2.3877777777777851</v>
      </c>
      <c r="G7" s="13">
        <f t="shared" si="2"/>
        <v>2.3877777777777851</v>
      </c>
      <c r="H7" s="13">
        <f t="shared" si="3"/>
        <v>0</v>
      </c>
      <c r="I7" s="21" t="s">
        <v>67</v>
      </c>
      <c r="J7" s="22">
        <f>SUMIF(B:B,"地面席",F:F)</f>
        <v>2.4880555555555683</v>
      </c>
      <c r="K7" s="23">
        <f>SUMIF(B:B,"地面席",G:G)</f>
        <v>0</v>
      </c>
      <c r="L7" s="23">
        <f>SUMIF(B:B,"地面席",H:H)</f>
        <v>2.4880555555555683</v>
      </c>
      <c r="M7" s="19"/>
    </row>
    <row r="8" spans="1:16" ht="18.75" x14ac:dyDescent="0.25">
      <c r="A8" s="10">
        <f t="shared" ca="1" si="0"/>
        <v>46086.953829050901</v>
      </c>
      <c r="B8" s="5" t="s">
        <v>82</v>
      </c>
      <c r="C8" s="11">
        <v>0.953819444444444</v>
      </c>
      <c r="D8" s="11" t="s">
        <v>62</v>
      </c>
      <c r="E8" s="11">
        <v>0.141377314814815</v>
      </c>
      <c r="F8" s="12">
        <f t="shared" si="1"/>
        <v>4.5013888888889042</v>
      </c>
      <c r="G8" s="13">
        <f t="shared" si="2"/>
        <v>1.1083333333333441</v>
      </c>
      <c r="H8" s="13">
        <f t="shared" si="3"/>
        <v>3.3930555555555602</v>
      </c>
      <c r="I8" s="21" t="s">
        <v>68</v>
      </c>
      <c r="J8" s="22">
        <f>SUMIF(B:B,"生产调度席",F:F)</f>
        <v>1.2425000000000184</v>
      </c>
      <c r="K8" s="23">
        <f>SUMIF(B:B,"生产调度席",G:G)</f>
        <v>1.2425000000000184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46088.135503587997</v>
      </c>
      <c r="B9" s="5" t="s">
        <v>84</v>
      </c>
      <c r="C9" s="11">
        <v>0.13549768518518501</v>
      </c>
      <c r="D9" s="11" t="s">
        <v>62</v>
      </c>
      <c r="E9" s="11">
        <v>0.213518518518519</v>
      </c>
      <c r="F9" s="12">
        <f t="shared" si="1"/>
        <v>1.8725000000000156</v>
      </c>
      <c r="G9" s="13">
        <f t="shared" si="2"/>
        <v>0</v>
      </c>
      <c r="H9" s="13">
        <f t="shared" si="3"/>
        <v>1.8725000000000156</v>
      </c>
      <c r="I9" s="21" t="s">
        <v>69</v>
      </c>
      <c r="J9" s="22">
        <f>SUMIF(B:B,"航班调度席",F:F)</f>
        <v>2.719444444444441</v>
      </c>
      <c r="K9" s="23">
        <f>SUMIF(B:B,"航班调度席",G:G)</f>
        <v>2.719444444444441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46092.140551620403</v>
      </c>
      <c r="B10" s="5" t="s">
        <v>78</v>
      </c>
      <c r="C10" s="11">
        <v>0.14054398148148101</v>
      </c>
      <c r="D10" s="11" t="s">
        <v>62</v>
      </c>
      <c r="E10" s="11">
        <v>0.22170138888888899</v>
      </c>
      <c r="F10" s="12">
        <f t="shared" si="1"/>
        <v>1.9477777777777916</v>
      </c>
      <c r="G10" s="13">
        <f t="shared" si="2"/>
        <v>0</v>
      </c>
      <c r="H10" s="13">
        <f t="shared" si="3"/>
        <v>1.9477777777777916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46092.221739814799</v>
      </c>
      <c r="B11" s="5" t="s">
        <v>83</v>
      </c>
      <c r="C11" s="11">
        <v>0.221736111111111</v>
      </c>
      <c r="D11" s="11" t="s">
        <v>62</v>
      </c>
      <c r="E11" s="11">
        <v>0.30170138888888898</v>
      </c>
      <c r="F11" s="12">
        <f t="shared" si="1"/>
        <v>1.9191666666666716</v>
      </c>
      <c r="G11" s="13">
        <f t="shared" si="2"/>
        <v>0</v>
      </c>
      <c r="H11" s="13">
        <f t="shared" si="3"/>
        <v>1.9191666666666716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46094.355361921298</v>
      </c>
      <c r="B12" s="5" t="s">
        <v>82</v>
      </c>
      <c r="C12" s="11">
        <v>0.35535879629629602</v>
      </c>
      <c r="D12" s="11" t="s">
        <v>62</v>
      </c>
      <c r="E12" s="11">
        <v>0.50356481481481496</v>
      </c>
      <c r="F12" s="12">
        <f t="shared" si="1"/>
        <v>3.5569444444444547</v>
      </c>
      <c r="G12" s="13">
        <f t="shared" si="2"/>
        <v>3.5569444444444547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46094.627305902803</v>
      </c>
      <c r="B13" s="5" t="s">
        <v>82</v>
      </c>
      <c r="C13" s="11">
        <v>0.62730324074074095</v>
      </c>
      <c r="D13" s="11" t="s">
        <v>62</v>
      </c>
      <c r="E13" s="11">
        <v>0.71504629629629601</v>
      </c>
      <c r="F13" s="12">
        <f t="shared" si="1"/>
        <v>2.1058333333333215</v>
      </c>
      <c r="G13" s="13">
        <f t="shared" si="2"/>
        <v>2.1058333333333215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46095.418364004603</v>
      </c>
      <c r="B14" s="5" t="s">
        <v>82</v>
      </c>
      <c r="C14" s="11">
        <v>0.41835648148148102</v>
      </c>
      <c r="D14" s="11" t="s">
        <v>62</v>
      </c>
      <c r="E14" s="11">
        <v>0.54989583333333303</v>
      </c>
      <c r="F14" s="12">
        <f t="shared" si="1"/>
        <v>3.1569444444444481</v>
      </c>
      <c r="G14" s="13">
        <f t="shared" si="2"/>
        <v>3.1569444444444481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46095.710660648103</v>
      </c>
      <c r="B15" s="5" t="s">
        <v>87</v>
      </c>
      <c r="C15" s="11">
        <v>0.71065972222222196</v>
      </c>
      <c r="D15" s="11" t="s">
        <v>62</v>
      </c>
      <c r="E15" s="11">
        <v>0.76243055555555606</v>
      </c>
      <c r="F15" s="12">
        <f t="shared" si="1"/>
        <v>1.2425000000000184</v>
      </c>
      <c r="G15" s="13">
        <f t="shared" si="2"/>
        <v>1.2425000000000184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46095.8125329861</v>
      </c>
      <c r="B16" s="5" t="s">
        <v>82</v>
      </c>
      <c r="C16" s="11">
        <v>0.81265046296296295</v>
      </c>
      <c r="D16" s="11" t="s">
        <v>62</v>
      </c>
      <c r="E16" s="11">
        <v>0.95599537037036997</v>
      </c>
      <c r="F16" s="12">
        <f t="shared" si="1"/>
        <v>3.4402777777777684</v>
      </c>
      <c r="G16" s="13">
        <f t="shared" si="2"/>
        <v>3.4402777777777684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46096.293690509301</v>
      </c>
      <c r="B17" s="5" t="s">
        <v>82</v>
      </c>
      <c r="C17" s="11">
        <v>0.293680555555556</v>
      </c>
      <c r="D17" s="11" t="s">
        <v>62</v>
      </c>
      <c r="E17" s="11">
        <v>0.36307870370370399</v>
      </c>
      <c r="F17" s="12">
        <f t="shared" si="1"/>
        <v>1.6655555555555517</v>
      </c>
      <c r="G17" s="13">
        <f t="shared" si="2"/>
        <v>0.71388888888890412</v>
      </c>
      <c r="H17" s="13">
        <f t="shared" si="3"/>
        <v>0.95166666666664756</v>
      </c>
      <c r="I17" s="35" t="s">
        <v>75</v>
      </c>
      <c r="J17" s="36">
        <f>J4+J5+J6+J7+J10</f>
        <v>69.398333333333369</v>
      </c>
      <c r="K17" s="37">
        <f>K4+K5+K6+K7+K10</f>
        <v>47.133888888888919</v>
      </c>
      <c r="L17" s="38">
        <f>L4+L5+L6+L7+L10</f>
        <v>22.264444444444457</v>
      </c>
      <c r="M17" s="39"/>
    </row>
    <row r="18" spans="1:13" ht="20.25" x14ac:dyDescent="0.25">
      <c r="A18" s="10">
        <f t="shared" ca="1" si="0"/>
        <v>46098.953465277802</v>
      </c>
      <c r="B18" s="5" t="s">
        <v>78</v>
      </c>
      <c r="C18" s="11">
        <v>0.95346064814814802</v>
      </c>
      <c r="D18" s="11" t="s">
        <v>62</v>
      </c>
      <c r="E18" s="11">
        <v>0.120173611111111</v>
      </c>
      <c r="F18" s="12">
        <f t="shared" si="1"/>
        <v>4.0011111111111113</v>
      </c>
      <c r="G18" s="13">
        <f t="shared" si="2"/>
        <v>1.1169444444444476</v>
      </c>
      <c r="H18" s="13">
        <f t="shared" si="3"/>
        <v>2.8841666666666637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46100.240347685198</v>
      </c>
      <c r="B19" s="5" t="s">
        <v>81</v>
      </c>
      <c r="C19" s="11">
        <v>0.13689814814814799</v>
      </c>
      <c r="D19" s="11" t="s">
        <v>62</v>
      </c>
      <c r="E19" s="11">
        <v>0.24056712962963001</v>
      </c>
      <c r="F19" s="12">
        <f t="shared" si="1"/>
        <v>2.4880555555555683</v>
      </c>
      <c r="G19" s="13">
        <f t="shared" si="2"/>
        <v>0</v>
      </c>
      <c r="H19" s="13">
        <f t="shared" si="3"/>
        <v>2.4880555555555683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46103.139650231496</v>
      </c>
      <c r="B20" s="5" t="s">
        <v>83</v>
      </c>
      <c r="C20" s="11">
        <v>0.139641203703704</v>
      </c>
      <c r="D20" s="11" t="s">
        <v>62</v>
      </c>
      <c r="E20" s="11">
        <v>0.21983796296296301</v>
      </c>
      <c r="F20" s="12">
        <f t="shared" si="1"/>
        <v>1.9247222222222162</v>
      </c>
      <c r="G20" s="13">
        <f t="shared" si="2"/>
        <v>0</v>
      </c>
      <c r="H20" s="13">
        <f t="shared" si="3"/>
        <v>1.9247222222222162</v>
      </c>
      <c r="I20" s="40" t="s">
        <v>77</v>
      </c>
      <c r="J20" s="65">
        <f>J16+J17+J18+J19</f>
        <v>69.398333333333369</v>
      </c>
      <c r="K20" s="66"/>
      <c r="L20" s="67"/>
      <c r="M20" s="41"/>
    </row>
    <row r="21" spans="1:13" ht="20.25" x14ac:dyDescent="0.25">
      <c r="A21" s="10">
        <f t="shared" ca="1" si="0"/>
        <v>46103.219903240701</v>
      </c>
      <c r="B21" s="5" t="s">
        <v>78</v>
      </c>
      <c r="C21" s="11">
        <v>0.21989583333333301</v>
      </c>
      <c r="D21" s="11" t="s">
        <v>62</v>
      </c>
      <c r="E21" s="11">
        <v>0.29849537037036999</v>
      </c>
      <c r="F21" s="12">
        <f t="shared" si="1"/>
        <v>1.8863888888888876</v>
      </c>
      <c r="G21" s="13">
        <f t="shared" si="2"/>
        <v>0</v>
      </c>
      <c r="H21" s="13">
        <f t="shared" si="3"/>
        <v>1.8863888888888876</v>
      </c>
      <c r="I21" s="42" t="s">
        <v>4</v>
      </c>
      <c r="J21" s="43">
        <f>SUM(J8:J9)</f>
        <v>3.9619444444444594</v>
      </c>
      <c r="K21" s="37">
        <f>SUM(K8:K9)</f>
        <v>3.9619444444444594</v>
      </c>
      <c r="L21" s="38">
        <f>SUM(L8:L9)</f>
        <v>0</v>
      </c>
      <c r="M21" s="44"/>
    </row>
    <row r="22" spans="1:13" ht="18.75" x14ac:dyDescent="0.15">
      <c r="A22" s="10">
        <f t="shared" ca="1" si="0"/>
        <v>46104.014730902803</v>
      </c>
      <c r="B22" s="5" t="s">
        <v>82</v>
      </c>
      <c r="C22" s="11">
        <v>1.4722222222222201E-2</v>
      </c>
      <c r="D22" s="11" t="s">
        <v>62</v>
      </c>
      <c r="E22" s="11">
        <v>0.13959490740740699</v>
      </c>
      <c r="F22" s="12">
        <f t="shared" si="1"/>
        <v>2.9969444444444346</v>
      </c>
      <c r="G22" s="13">
        <f t="shared" si="2"/>
        <v>0</v>
      </c>
      <c r="H22" s="13">
        <f t="shared" si="3"/>
        <v>2.9969444444444346</v>
      </c>
      <c r="I22"/>
      <c r="J22"/>
    </row>
    <row r="23" spans="1:13" ht="18.75" x14ac:dyDescent="0.15">
      <c r="A23" s="10">
        <f t="shared" ca="1" si="0"/>
        <v>46106.376280324097</v>
      </c>
      <c r="B23" s="5" t="s">
        <v>79</v>
      </c>
      <c r="C23" s="11">
        <v>0.376273148148148</v>
      </c>
      <c r="D23" s="11" t="s">
        <v>62</v>
      </c>
      <c r="E23" s="11">
        <v>0.45753472222222202</v>
      </c>
      <c r="F23" s="12">
        <f t="shared" si="1"/>
        <v>1.9502777777777767</v>
      </c>
      <c r="G23" s="13">
        <f t="shared" si="2"/>
        <v>1.9502777777777767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46106.6256790509</v>
      </c>
      <c r="B24" s="5" t="s">
        <v>82</v>
      </c>
      <c r="C24" s="11">
        <v>0.62567129629629603</v>
      </c>
      <c r="D24" s="11" t="s">
        <v>62</v>
      </c>
      <c r="E24" s="11">
        <v>0.71684027777777803</v>
      </c>
      <c r="F24" s="12">
        <f t="shared" si="1"/>
        <v>2.1880555555555681</v>
      </c>
      <c r="G24" s="13">
        <f t="shared" si="2"/>
        <v>2.1880555555555681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46106.727968749998</v>
      </c>
      <c r="B25" s="5" t="s">
        <v>82</v>
      </c>
      <c r="C25" s="11">
        <v>0.72796296296296303</v>
      </c>
      <c r="D25" s="11" t="s">
        <v>62</v>
      </c>
      <c r="E25" s="11">
        <v>0.75796296296296295</v>
      </c>
      <c r="F25" s="12">
        <f t="shared" si="1"/>
        <v>0.71999999999999797</v>
      </c>
      <c r="G25" s="13">
        <f t="shared" si="2"/>
        <v>0.71999999999999797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46106.832714004602</v>
      </c>
      <c r="B26" s="5" t="s">
        <v>82</v>
      </c>
      <c r="C26" s="11">
        <v>0.83270833333333305</v>
      </c>
      <c r="D26" s="11" t="s">
        <v>62</v>
      </c>
      <c r="E26" s="11">
        <v>0.95815972222222201</v>
      </c>
      <c r="F26" s="12">
        <f t="shared" si="1"/>
        <v>3.010833333333335</v>
      </c>
      <c r="G26" s="13">
        <f t="shared" si="2"/>
        <v>3.010833333333335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46107.417748842599</v>
      </c>
      <c r="B27" s="5" t="s">
        <v>78</v>
      </c>
      <c r="C27" s="11">
        <v>0.41774305555555602</v>
      </c>
      <c r="D27" s="11" t="s">
        <v>62</v>
      </c>
      <c r="E27" s="11">
        <v>0.48981481481481498</v>
      </c>
      <c r="F27" s="12">
        <f t="shared" si="1"/>
        <v>1.7297222222222151</v>
      </c>
      <c r="G27" s="13">
        <f t="shared" si="2"/>
        <v>1.7297222222222151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46107.496712847198</v>
      </c>
      <c r="B28" s="5" t="s">
        <v>78</v>
      </c>
      <c r="C28" s="11">
        <v>0.49671296296296302</v>
      </c>
      <c r="D28" s="11" t="s">
        <v>62</v>
      </c>
      <c r="E28" s="11">
        <v>0.550648148148148</v>
      </c>
      <c r="F28" s="12">
        <f t="shared" si="1"/>
        <v>1.2944444444444394</v>
      </c>
      <c r="G28" s="13">
        <f t="shared" si="2"/>
        <v>1.2944444444444394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46107.712607754598</v>
      </c>
      <c r="B29" s="5" t="s">
        <v>79</v>
      </c>
      <c r="C29" s="11">
        <v>0.71260416666666704</v>
      </c>
      <c r="D29" s="11" t="s">
        <v>62</v>
      </c>
      <c r="E29" s="11">
        <v>0.74465277777777805</v>
      </c>
      <c r="F29" s="12">
        <f t="shared" si="1"/>
        <v>0.76916666666666433</v>
      </c>
      <c r="G29" s="13">
        <f t="shared" si="2"/>
        <v>0.76916666666666433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46107.8345603009</v>
      </c>
      <c r="B30" s="5" t="s">
        <v>78</v>
      </c>
      <c r="C30" s="11">
        <v>0.83456018518518504</v>
      </c>
      <c r="D30" s="11" t="s">
        <v>62</v>
      </c>
      <c r="E30" s="11">
        <v>0.957395833333333</v>
      </c>
      <c r="F30" s="12">
        <f t="shared" si="1"/>
        <v>2.948055555555551</v>
      </c>
      <c r="G30" s="13">
        <f t="shared" si="2"/>
        <v>2.948055555555551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46110.350475925901</v>
      </c>
      <c r="B31" s="5" t="s">
        <v>80</v>
      </c>
      <c r="C31" s="11">
        <v>0.35047453703703701</v>
      </c>
      <c r="D31" s="11" t="s">
        <v>62</v>
      </c>
      <c r="E31" s="11">
        <v>0.360648148148148</v>
      </c>
      <c r="F31" s="12">
        <f t="shared" si="1"/>
        <v>0.24416666666666353</v>
      </c>
      <c r="G31" s="13">
        <f t="shared" si="2"/>
        <v>0.24416666666666353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46110.360688425899</v>
      </c>
      <c r="B32" s="5" t="s">
        <v>82</v>
      </c>
      <c r="C32" s="11">
        <v>0.36071759259259301</v>
      </c>
      <c r="D32" s="11" t="s">
        <v>62</v>
      </c>
      <c r="E32" s="11">
        <v>0.52688657407407402</v>
      </c>
      <c r="F32" s="12">
        <f t="shared" si="1"/>
        <v>3.9880555555555444</v>
      </c>
      <c r="G32" s="13">
        <f t="shared" si="2"/>
        <v>3.9880555555555444</v>
      </c>
      <c r="H32" s="13">
        <f t="shared" si="3"/>
        <v>0</v>
      </c>
      <c r="I32"/>
      <c r="J32"/>
    </row>
    <row r="33" spans="1:11" ht="18.75" x14ac:dyDescent="0.15">
      <c r="A33" s="10">
        <f t="shared" ca="1" si="0"/>
        <v>46110.688800347198</v>
      </c>
      <c r="B33" s="5" t="s">
        <v>78</v>
      </c>
      <c r="C33" s="11">
        <v>0.68879629629629602</v>
      </c>
      <c r="D33" s="11" t="s">
        <v>62</v>
      </c>
      <c r="E33" s="11">
        <v>0.77679398148148104</v>
      </c>
      <c r="F33" s="12">
        <f t="shared" si="1"/>
        <v>2.1119444444444406</v>
      </c>
      <c r="G33" s="13">
        <f t="shared" si="2"/>
        <v>2.1119444444444406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46083.0129296296</v>
      </c>
      <c r="B3" s="5" t="s">
        <v>83</v>
      </c>
      <c r="C3" s="11">
        <v>1.29282407407407E-2</v>
      </c>
      <c r="D3" s="11" t="s">
        <v>62</v>
      </c>
      <c r="E3" s="11">
        <v>0.146516203703704</v>
      </c>
      <c r="F3" s="12">
        <f t="shared" ref="F3:F42" si="1">(IF(E3-C3&lt;0,"24:00"-C3+E3,E3-C3))*24</f>
        <v>3.2061111111111193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3.2061111111111193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46083.950840972197</v>
      </c>
      <c r="B4" s="5" t="s">
        <v>82</v>
      </c>
      <c r="C4" s="11">
        <v>0.95083333333333298</v>
      </c>
      <c r="D4" s="11" t="s">
        <v>62</v>
      </c>
      <c r="E4" s="11">
        <v>0.14351851851851899</v>
      </c>
      <c r="F4" s="12">
        <f t="shared" si="1"/>
        <v>4.6244444444444639</v>
      </c>
      <c r="G4" s="13">
        <f t="shared" si="2"/>
        <v>1.1800000000000082</v>
      </c>
      <c r="H4" s="13">
        <f t="shared" si="3"/>
        <v>3.4444444444444557</v>
      </c>
      <c r="I4" s="21" t="s">
        <v>64</v>
      </c>
      <c r="J4" s="22">
        <f>SUMIF(B:B,"西塔台管制席",F:F)+SUMIF(B:B,"东塔台管制席",F:F)</f>
        <v>29.427500000000002</v>
      </c>
      <c r="K4" s="23">
        <f>SUMIF(B:B,"西塔台管制席",G:G)+SUMIF(B:B,"东塔台管制席",G:G)</f>
        <v>12.062777777777761</v>
      </c>
      <c r="L4" s="23">
        <f>SUMIF(B:B,"西塔台管制席",H:H)+SUMIF(B:B,"东塔台管制席",H:H)</f>
        <v>17.364722222222241</v>
      </c>
      <c r="M4" s="19"/>
    </row>
    <row r="5" spans="1:16" ht="18.75" x14ac:dyDescent="0.25">
      <c r="A5" s="10">
        <f t="shared" ca="1" si="0"/>
        <v>46086.355997222199</v>
      </c>
      <c r="B5" s="5" t="s">
        <v>82</v>
      </c>
      <c r="C5" s="11">
        <v>0.35599537037036999</v>
      </c>
      <c r="D5" s="11" t="s">
        <v>62</v>
      </c>
      <c r="E5" s="11">
        <v>0.48751157407407397</v>
      </c>
      <c r="F5" s="12">
        <f t="shared" si="1"/>
        <v>3.1563888888888956</v>
      </c>
      <c r="G5" s="13">
        <f t="shared" si="2"/>
        <v>3.1563888888888956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45.494999999999976</v>
      </c>
      <c r="K5" s="23">
        <f>SUMIF(B:B,"西塔台协调席",G:G)+SUMIF(B:B,"东塔台协调席",G:G)</f>
        <v>35.091388888888872</v>
      </c>
      <c r="L5" s="23">
        <f>SUMIF(B:B,"西塔台协调席",H:H)+SUMIF(B:B,"东塔台协调席",H:H)</f>
        <v>10.403611111111102</v>
      </c>
      <c r="M5" s="19"/>
    </row>
    <row r="6" spans="1:16" ht="18.75" x14ac:dyDescent="0.25">
      <c r="A6" s="10">
        <f t="shared" ca="1" si="0"/>
        <v>46086.494628703702</v>
      </c>
      <c r="B6" s="5" t="s">
        <v>82</v>
      </c>
      <c r="C6" s="11">
        <v>0.49461805555555599</v>
      </c>
      <c r="D6" s="11" t="s">
        <v>62</v>
      </c>
      <c r="E6" s="11">
        <v>0.52859953703703699</v>
      </c>
      <c r="F6" s="12">
        <f t="shared" si="1"/>
        <v>0.81555555555554404</v>
      </c>
      <c r="G6" s="13">
        <f t="shared" si="2"/>
        <v>0.81555555555554404</v>
      </c>
      <c r="H6" s="13">
        <f t="shared" si="3"/>
        <v>0</v>
      </c>
      <c r="I6" s="21" t="s">
        <v>66</v>
      </c>
      <c r="J6" s="22">
        <f>SUMIF(B:B,"放行席",F:F)</f>
        <v>2.0436111111111126</v>
      </c>
      <c r="K6" s="23">
        <f>SUMIF(B:B,"放行席",G:G)</f>
        <v>0</v>
      </c>
      <c r="L6" s="23">
        <f>SUMIF(B:B,"放行席",H:H)</f>
        <v>2.0436111111111126</v>
      </c>
      <c r="M6" s="19"/>
    </row>
    <row r="7" spans="1:16" ht="18.75" x14ac:dyDescent="0.25">
      <c r="A7" s="10">
        <f t="shared" ca="1" si="0"/>
        <v>46086.688541898096</v>
      </c>
      <c r="B7" s="5" t="s">
        <v>82</v>
      </c>
      <c r="C7" s="11">
        <v>0.68854166666666705</v>
      </c>
      <c r="D7" s="11" t="s">
        <v>62</v>
      </c>
      <c r="E7" s="11">
        <v>0.77821759259259304</v>
      </c>
      <c r="F7" s="12">
        <f t="shared" si="1"/>
        <v>2.1522222222222238</v>
      </c>
      <c r="G7" s="13">
        <f t="shared" si="2"/>
        <v>2.1522222222222238</v>
      </c>
      <c r="H7" s="13">
        <f t="shared" si="3"/>
        <v>0</v>
      </c>
      <c r="I7" s="21" t="s">
        <v>67</v>
      </c>
      <c r="J7" s="22">
        <f>SUMIF(B:B,"地面席",F:F)</f>
        <v>0.12416666666666409</v>
      </c>
      <c r="K7" s="23">
        <f>SUMIF(B:B,"地面席",G:G)</f>
        <v>0</v>
      </c>
      <c r="L7" s="23">
        <f>SUMIF(B:B,"地面席",H:H)</f>
        <v>0.12416666666666409</v>
      </c>
      <c r="M7" s="19"/>
    </row>
    <row r="8" spans="1:16" ht="18.75" x14ac:dyDescent="0.25">
      <c r="A8" s="10">
        <f t="shared" ca="1" si="0"/>
        <v>46086.820341666702</v>
      </c>
      <c r="B8" s="5" t="s">
        <v>78</v>
      </c>
      <c r="C8" s="11">
        <v>0.82033564814814797</v>
      </c>
      <c r="D8" s="11" t="s">
        <v>62</v>
      </c>
      <c r="E8" s="11">
        <v>0.95847222222222195</v>
      </c>
      <c r="F8" s="12">
        <f t="shared" si="1"/>
        <v>3.3152777777777755</v>
      </c>
      <c r="G8" s="13">
        <f t="shared" si="2"/>
        <v>3.3152777777777755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46087.292410763897</v>
      </c>
      <c r="B9" s="5" t="s">
        <v>78</v>
      </c>
      <c r="C9" s="11">
        <v>0.29240740740740701</v>
      </c>
      <c r="D9" s="11" t="s">
        <v>62</v>
      </c>
      <c r="E9" s="11">
        <v>0.42859953703703701</v>
      </c>
      <c r="F9" s="12">
        <f t="shared" si="1"/>
        <v>3.2686111111111202</v>
      </c>
      <c r="G9" s="13">
        <f t="shared" si="2"/>
        <v>2.2863888888888968</v>
      </c>
      <c r="H9" s="13">
        <f t="shared" si="3"/>
        <v>0.98222222222222344</v>
      </c>
      <c r="I9" s="21" t="s">
        <v>69</v>
      </c>
      <c r="J9" s="22">
        <f>SUMIF(B:B,"航班调度席",F:F)</f>
        <v>5.5938888888888743</v>
      </c>
      <c r="K9" s="23">
        <f>SUMIF(B:B,"航班调度席",G:G)</f>
        <v>5.5938888888888743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46087.457029282399</v>
      </c>
      <c r="B10" s="5" t="s">
        <v>79</v>
      </c>
      <c r="C10" s="11">
        <v>0.45702546296296298</v>
      </c>
      <c r="D10" s="11" t="s">
        <v>62</v>
      </c>
      <c r="E10" s="11">
        <v>0.52637731481481498</v>
      </c>
      <c r="F10" s="12">
        <f t="shared" si="1"/>
        <v>1.6644444444444479</v>
      </c>
      <c r="G10" s="13">
        <f t="shared" si="2"/>
        <v>1.6644444444444479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46087.771321527798</v>
      </c>
      <c r="B11" s="5" t="s">
        <v>82</v>
      </c>
      <c r="C11" s="11">
        <v>0.771319444444444</v>
      </c>
      <c r="D11" s="11" t="s">
        <v>62</v>
      </c>
      <c r="E11" s="11">
        <v>0.87951388888888904</v>
      </c>
      <c r="F11" s="12">
        <f t="shared" si="1"/>
        <v>2.5966666666666809</v>
      </c>
      <c r="G11" s="13">
        <f t="shared" si="2"/>
        <v>2.5966666666666809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46090.950920833297</v>
      </c>
      <c r="B12" s="5" t="s">
        <v>82</v>
      </c>
      <c r="C12" s="11">
        <v>0.95091435185185202</v>
      </c>
      <c r="D12" s="11" t="s">
        <v>62</v>
      </c>
      <c r="E12" s="11">
        <v>0.12850694444444399</v>
      </c>
      <c r="F12" s="12">
        <f t="shared" si="1"/>
        <v>4.2622222222222073</v>
      </c>
      <c r="G12" s="13">
        <f t="shared" si="2"/>
        <v>1.1780555555555514</v>
      </c>
      <c r="H12" s="13">
        <f t="shared" si="3"/>
        <v>3.0841666666666558</v>
      </c>
      <c r="I12" s="27" t="s">
        <v>72</v>
      </c>
      <c r="J12" s="28">
        <f>SUMIF(B:B,"管制教员席",F:F)</f>
        <v>1.9572222222222</v>
      </c>
      <c r="K12" s="29">
        <f>SUMIF(B:B,"管制教员席",G:G)</f>
        <v>0</v>
      </c>
      <c r="L12" s="29">
        <f>SUMIF(B:B,"管制教员席",H:H)</f>
        <v>1.9572222222222</v>
      </c>
      <c r="M12" s="19"/>
    </row>
    <row r="13" spans="1:16" ht="18.75" x14ac:dyDescent="0.15">
      <c r="A13" s="10">
        <f t="shared" ca="1" si="0"/>
        <v>46092.135019212998</v>
      </c>
      <c r="B13" s="5" t="s">
        <v>81</v>
      </c>
      <c r="C13" s="11">
        <v>0.13501157407407399</v>
      </c>
      <c r="D13" s="11" t="s">
        <v>62</v>
      </c>
      <c r="E13" s="11">
        <v>0.140185185185185</v>
      </c>
      <c r="F13" s="12">
        <f t="shared" si="1"/>
        <v>0.12416666666666409</v>
      </c>
      <c r="G13" s="13">
        <f t="shared" si="2"/>
        <v>0</v>
      </c>
      <c r="H13" s="13">
        <f t="shared" si="3"/>
        <v>0.12416666666666409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46092.140247338</v>
      </c>
      <c r="B14" s="5" t="s">
        <v>86</v>
      </c>
      <c r="C14" s="11">
        <v>0.140243055555556</v>
      </c>
      <c r="D14" s="11" t="s">
        <v>62</v>
      </c>
      <c r="E14" s="11">
        <v>0.221793981481481</v>
      </c>
      <c r="F14" s="12">
        <f t="shared" si="1"/>
        <v>1.9572222222222</v>
      </c>
      <c r="G14" s="13">
        <f t="shared" si="2"/>
        <v>0</v>
      </c>
      <c r="H14" s="13">
        <f t="shared" si="3"/>
        <v>1.9572222222222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46092.221841898201</v>
      </c>
      <c r="B15" s="5" t="s">
        <v>80</v>
      </c>
      <c r="C15" s="11">
        <v>0.22184027777777801</v>
      </c>
      <c r="D15" s="11" t="s">
        <v>62</v>
      </c>
      <c r="E15" s="11">
        <v>0.30127314814814798</v>
      </c>
      <c r="F15" s="12">
        <f t="shared" si="1"/>
        <v>1.9063888888888794</v>
      </c>
      <c r="G15" s="13">
        <f t="shared" si="2"/>
        <v>0</v>
      </c>
      <c r="H15" s="13">
        <f t="shared" si="3"/>
        <v>1.9063888888888794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46095.130016319403</v>
      </c>
      <c r="B16" s="5" t="s">
        <v>84</v>
      </c>
      <c r="C16" s="11">
        <v>0.13001157407407399</v>
      </c>
      <c r="D16" s="11" t="s">
        <v>62</v>
      </c>
      <c r="E16" s="11">
        <v>0.21516203703703701</v>
      </c>
      <c r="F16" s="12">
        <f t="shared" si="1"/>
        <v>2.0436111111111126</v>
      </c>
      <c r="G16" s="13">
        <f t="shared" si="2"/>
        <v>0</v>
      </c>
      <c r="H16" s="13">
        <f t="shared" si="3"/>
        <v>2.0436111111111126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46095.9505945602</v>
      </c>
      <c r="B17" s="5" t="s">
        <v>78</v>
      </c>
      <c r="C17" s="11">
        <v>0.95059027777777805</v>
      </c>
      <c r="D17" s="11" t="s">
        <v>62</v>
      </c>
      <c r="E17" s="11">
        <v>0.11042824074074099</v>
      </c>
      <c r="F17" s="12">
        <f t="shared" si="1"/>
        <v>3.8361111111111104</v>
      </c>
      <c r="G17" s="13">
        <f t="shared" si="2"/>
        <v>1.1858333333333264</v>
      </c>
      <c r="H17" s="13">
        <f t="shared" si="3"/>
        <v>2.6502777777777839</v>
      </c>
      <c r="I17" s="35" t="s">
        <v>75</v>
      </c>
      <c r="J17" s="36">
        <f>J4+J5+J6+J7+J10</f>
        <v>77.090277777777771</v>
      </c>
      <c r="K17" s="37">
        <f>K4+K5+K6+K7+K10</f>
        <v>47.154166666666633</v>
      </c>
      <c r="L17" s="38">
        <f>L4+L5+L6+L7+L10</f>
        <v>29.936111111111121</v>
      </c>
      <c r="M17" s="39"/>
    </row>
    <row r="18" spans="1:13" ht="20.25" x14ac:dyDescent="0.25">
      <c r="A18" s="10">
        <f t="shared" ca="1" si="0"/>
        <v>46098.356431828703</v>
      </c>
      <c r="B18" s="5" t="s">
        <v>82</v>
      </c>
      <c r="C18" s="11">
        <v>0.35642361111111098</v>
      </c>
      <c r="D18" s="11" t="s">
        <v>62</v>
      </c>
      <c r="E18" s="11">
        <v>0.53343750000000001</v>
      </c>
      <c r="F18" s="12">
        <f t="shared" si="1"/>
        <v>4.2483333333333366</v>
      </c>
      <c r="G18" s="13">
        <f t="shared" si="2"/>
        <v>4.2483333333333366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46098.642045717599</v>
      </c>
      <c r="B19" s="5" t="s">
        <v>79</v>
      </c>
      <c r="C19" s="11">
        <v>0.64203703703703696</v>
      </c>
      <c r="D19" s="11" t="s">
        <v>62</v>
      </c>
      <c r="E19" s="11">
        <v>0.67833333333333301</v>
      </c>
      <c r="F19" s="12">
        <f t="shared" si="1"/>
        <v>0.87111111111110517</v>
      </c>
      <c r="G19" s="13">
        <f t="shared" si="2"/>
        <v>0.87111111111110517</v>
      </c>
      <c r="H19" s="13">
        <f t="shared" si="3"/>
        <v>0</v>
      </c>
      <c r="I19" s="35" t="s">
        <v>76</v>
      </c>
      <c r="J19" s="36">
        <f t="shared" ref="J19:L19" si="6">J12</f>
        <v>1.9572222222222</v>
      </c>
      <c r="K19" s="37">
        <f t="shared" si="6"/>
        <v>0</v>
      </c>
      <c r="L19" s="38">
        <f t="shared" si="6"/>
        <v>1.9572222222222</v>
      </c>
      <c r="M19" s="39"/>
    </row>
    <row r="20" spans="1:13" ht="20.25" x14ac:dyDescent="0.15">
      <c r="A20" s="10">
        <f t="shared" ca="1" si="0"/>
        <v>46098.698076967601</v>
      </c>
      <c r="B20" s="5" t="s">
        <v>78</v>
      </c>
      <c r="C20" s="11">
        <v>0.69806712962963002</v>
      </c>
      <c r="D20" s="11" t="s">
        <v>62</v>
      </c>
      <c r="E20" s="11">
        <v>0.77768518518518504</v>
      </c>
      <c r="F20" s="12">
        <f t="shared" si="1"/>
        <v>1.9108333333333203</v>
      </c>
      <c r="G20" s="13">
        <f t="shared" si="2"/>
        <v>1.9108333333333203</v>
      </c>
      <c r="H20" s="13">
        <f t="shared" si="3"/>
        <v>0</v>
      </c>
      <c r="I20" s="40" t="s">
        <v>77</v>
      </c>
      <c r="J20" s="65">
        <f>J16+J17+J18+J19</f>
        <v>79.047499999999971</v>
      </c>
      <c r="K20" s="66"/>
      <c r="L20" s="67"/>
      <c r="M20" s="41"/>
    </row>
    <row r="21" spans="1:13" ht="20.25" x14ac:dyDescent="0.25">
      <c r="A21" s="10">
        <f t="shared" ca="1" si="0"/>
        <v>46098.856382407401</v>
      </c>
      <c r="B21" s="5" t="s">
        <v>82</v>
      </c>
      <c r="C21" s="11">
        <v>0.85637731481481505</v>
      </c>
      <c r="D21" s="11" t="s">
        <v>62</v>
      </c>
      <c r="E21" s="11">
        <v>0.95660879629629603</v>
      </c>
      <c r="F21" s="12">
        <f t="shared" si="1"/>
        <v>2.4055555555555435</v>
      </c>
      <c r="G21" s="13">
        <f t="shared" si="2"/>
        <v>2.4055555555555435</v>
      </c>
      <c r="H21" s="13">
        <f t="shared" si="3"/>
        <v>0</v>
      </c>
      <c r="I21" s="42" t="s">
        <v>4</v>
      </c>
      <c r="J21" s="43">
        <f>SUM(J8:J9)</f>
        <v>5.5938888888888743</v>
      </c>
      <c r="K21" s="37">
        <f>SUM(K8:K9)</f>
        <v>5.5938888888888743</v>
      </c>
      <c r="L21" s="38">
        <f>SUM(L8:L9)</f>
        <v>0</v>
      </c>
      <c r="M21" s="44"/>
    </row>
    <row r="22" spans="1:13" ht="18.75" x14ac:dyDescent="0.15">
      <c r="A22" s="10">
        <f t="shared" ca="1" si="0"/>
        <v>46099.291484490699</v>
      </c>
      <c r="B22" s="5" t="s">
        <v>82</v>
      </c>
      <c r="C22" s="11">
        <v>0.29148148148148201</v>
      </c>
      <c r="D22" s="11" t="s">
        <v>62</v>
      </c>
      <c r="E22" s="11">
        <v>0.470983796296296</v>
      </c>
      <c r="F22" s="12">
        <f t="shared" si="1"/>
        <v>4.3080555555555353</v>
      </c>
      <c r="G22" s="13">
        <f t="shared" si="2"/>
        <v>3.3036111111111119</v>
      </c>
      <c r="H22" s="13">
        <f t="shared" si="3"/>
        <v>1.0044444444444234</v>
      </c>
      <c r="I22"/>
      <c r="J22"/>
    </row>
    <row r="23" spans="1:13" ht="18.75" x14ac:dyDescent="0.15">
      <c r="A23" s="10">
        <f t="shared" ca="1" si="0"/>
        <v>46099.648247800898</v>
      </c>
      <c r="B23" s="5" t="s">
        <v>79</v>
      </c>
      <c r="C23" s="11">
        <v>0.64824074074074101</v>
      </c>
      <c r="D23" s="11" t="s">
        <v>62</v>
      </c>
      <c r="E23" s="11">
        <v>0.67363425925925902</v>
      </c>
      <c r="F23" s="12">
        <f t="shared" si="1"/>
        <v>0.60944444444443224</v>
      </c>
      <c r="G23" s="13">
        <f t="shared" si="2"/>
        <v>0.60944444444443224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46099.673721412</v>
      </c>
      <c r="B24" s="5" t="s">
        <v>82</v>
      </c>
      <c r="C24" s="11">
        <v>0.67371527777777795</v>
      </c>
      <c r="D24" s="11" t="s">
        <v>62</v>
      </c>
      <c r="E24" s="11">
        <v>0.86302083333333302</v>
      </c>
      <c r="F24" s="12">
        <f t="shared" si="1"/>
        <v>4.5433333333333215</v>
      </c>
      <c r="G24" s="13">
        <f t="shared" si="2"/>
        <v>4.5433333333333215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46102.9508943287</v>
      </c>
      <c r="B25" s="5" t="s">
        <v>78</v>
      </c>
      <c r="C25" s="11">
        <v>0.95133101851851898</v>
      </c>
      <c r="D25" s="11" t="s">
        <v>62</v>
      </c>
      <c r="E25" s="11">
        <v>0.103391203703704</v>
      </c>
      <c r="F25" s="12">
        <f t="shared" si="1"/>
        <v>3.6494444444444403</v>
      </c>
      <c r="G25" s="13">
        <f t="shared" si="2"/>
        <v>1.1680555555555445</v>
      </c>
      <c r="H25" s="13">
        <f t="shared" si="3"/>
        <v>2.4813888888888957</v>
      </c>
      <c r="I25"/>
      <c r="J25"/>
    </row>
    <row r="26" spans="1:13" ht="18.75" x14ac:dyDescent="0.15">
      <c r="A26" s="10">
        <f t="shared" ca="1" si="0"/>
        <v>46103.103827893501</v>
      </c>
      <c r="B26" s="5" t="s">
        <v>80</v>
      </c>
      <c r="C26" s="11">
        <v>0.10381944444444401</v>
      </c>
      <c r="D26" s="11" t="s">
        <v>62</v>
      </c>
      <c r="E26" s="11">
        <v>0.143993055555556</v>
      </c>
      <c r="F26" s="12">
        <f t="shared" si="1"/>
        <v>0.96416666666668782</v>
      </c>
      <c r="G26" s="13">
        <f t="shared" si="2"/>
        <v>0</v>
      </c>
      <c r="H26" s="13">
        <f t="shared" si="3"/>
        <v>0.96416666666668782</v>
      </c>
      <c r="I26"/>
      <c r="J26"/>
    </row>
    <row r="27" spans="1:13" ht="18.75" x14ac:dyDescent="0.15">
      <c r="A27" s="10">
        <f t="shared" ca="1" si="0"/>
        <v>46107.137771064801</v>
      </c>
      <c r="B27" s="5" t="s">
        <v>78</v>
      </c>
      <c r="C27" s="11">
        <v>0.13776620370370399</v>
      </c>
      <c r="D27" s="11" t="s">
        <v>62</v>
      </c>
      <c r="E27" s="11">
        <v>0.299837962962963</v>
      </c>
      <c r="F27" s="12">
        <f t="shared" si="1"/>
        <v>3.8897222222222165</v>
      </c>
      <c r="G27" s="13">
        <f t="shared" si="2"/>
        <v>0</v>
      </c>
      <c r="H27" s="13">
        <f t="shared" si="3"/>
        <v>3.8897222222222165</v>
      </c>
      <c r="I27"/>
      <c r="J27"/>
    </row>
    <row r="28" spans="1:13" ht="18.75" x14ac:dyDescent="0.15">
      <c r="A28" s="10">
        <f t="shared" ca="1" si="0"/>
        <v>46107.759774537</v>
      </c>
      <c r="B28" s="5" t="s">
        <v>82</v>
      </c>
      <c r="C28" s="11">
        <v>0.75976851851851901</v>
      </c>
      <c r="D28" s="11" t="s">
        <v>62</v>
      </c>
      <c r="E28" s="11">
        <v>0.84033564814814798</v>
      </c>
      <c r="F28" s="12">
        <f t="shared" si="1"/>
        <v>1.9336111111110954</v>
      </c>
      <c r="G28" s="13">
        <f t="shared" si="2"/>
        <v>1.9336111111110954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46108.012168634297</v>
      </c>
      <c r="B29" s="5" t="s">
        <v>83</v>
      </c>
      <c r="C29" s="11">
        <v>1.21643518518519E-2</v>
      </c>
      <c r="D29" s="11" t="s">
        <v>62</v>
      </c>
      <c r="E29" s="11">
        <v>0.14493055555555601</v>
      </c>
      <c r="F29" s="12">
        <f t="shared" si="1"/>
        <v>3.1863888888888985</v>
      </c>
      <c r="G29" s="13">
        <f t="shared" si="2"/>
        <v>0</v>
      </c>
      <c r="H29" s="13">
        <f t="shared" si="3"/>
        <v>3.1863888888888985</v>
      </c>
      <c r="I29"/>
      <c r="J29"/>
    </row>
    <row r="30" spans="1:13" ht="18.75" x14ac:dyDescent="0.15">
      <c r="A30" s="10">
        <f t="shared" ca="1" si="0"/>
        <v>46110.598588541703</v>
      </c>
      <c r="B30" s="5" t="s">
        <v>79</v>
      </c>
      <c r="C30" s="11">
        <v>0.59858796296296302</v>
      </c>
      <c r="D30" s="11" t="s">
        <v>62</v>
      </c>
      <c r="E30" s="11">
        <v>0.70062500000000005</v>
      </c>
      <c r="F30" s="12">
        <f t="shared" si="1"/>
        <v>2.4488888888888889</v>
      </c>
      <c r="G30" s="13">
        <f t="shared" si="2"/>
        <v>2.4488888888888889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46110.7304351852</v>
      </c>
      <c r="B31" s="5" t="s">
        <v>82</v>
      </c>
      <c r="C31" s="11">
        <v>0.73042824074074097</v>
      </c>
      <c r="D31" s="11" t="s">
        <v>62</v>
      </c>
      <c r="E31" s="11">
        <v>0.77784722222222202</v>
      </c>
      <c r="F31" s="12">
        <f t="shared" si="1"/>
        <v>1.1380555555555452</v>
      </c>
      <c r="G31" s="13">
        <f t="shared" si="2"/>
        <v>1.1380555555555452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46110.814133564803</v>
      </c>
      <c r="B32" s="5" t="s">
        <v>82</v>
      </c>
      <c r="C32" s="11">
        <v>0.81413194444444403</v>
      </c>
      <c r="D32" s="11" t="s">
        <v>62</v>
      </c>
      <c r="E32" s="11">
        <v>0.95758101851851896</v>
      </c>
      <c r="F32" s="12">
        <f t="shared" si="1"/>
        <v>3.4427777777777981</v>
      </c>
      <c r="G32" s="13">
        <f t="shared" si="2"/>
        <v>3.4427777777777981</v>
      </c>
      <c r="H32" s="13">
        <f t="shared" si="3"/>
        <v>0</v>
      </c>
      <c r="I32"/>
      <c r="J32"/>
    </row>
    <row r="33" spans="1:11" ht="18.75" x14ac:dyDescent="0.15">
      <c r="A33" s="10">
        <f t="shared" ca="1" si="0"/>
        <v>46111.292974536998</v>
      </c>
      <c r="B33" s="5" t="s">
        <v>83</v>
      </c>
      <c r="C33" s="11">
        <v>0.29297453703703702</v>
      </c>
      <c r="D33" s="11" t="s">
        <v>62</v>
      </c>
      <c r="E33" s="11">
        <v>0.35137731481481499</v>
      </c>
      <c r="F33" s="12">
        <f t="shared" si="1"/>
        <v>1.4016666666666713</v>
      </c>
      <c r="G33" s="13">
        <f t="shared" si="2"/>
        <v>0.43305555555556818</v>
      </c>
      <c r="H33" s="13">
        <f t="shared" si="3"/>
        <v>0.9686111111111031</v>
      </c>
      <c r="I33"/>
      <c r="J33"/>
    </row>
    <row r="34" spans="1:11" ht="18.75" x14ac:dyDescent="0.15">
      <c r="A34" s="10">
        <f t="shared" ca="1" si="0"/>
        <v>46111.351446180597</v>
      </c>
      <c r="B34" s="5" t="s">
        <v>78</v>
      </c>
      <c r="C34" s="11">
        <v>0.351446759259259</v>
      </c>
      <c r="D34" s="11" t="s">
        <v>62</v>
      </c>
      <c r="E34" s="11">
        <v>0.424918981481481</v>
      </c>
      <c r="F34" s="12">
        <f t="shared" si="1"/>
        <v>1.7633333333333279</v>
      </c>
      <c r="G34" s="13">
        <f t="shared" si="2"/>
        <v>1.7633333333333279</v>
      </c>
      <c r="H34" s="13">
        <f t="shared" si="3"/>
        <v>0</v>
      </c>
      <c r="I34"/>
      <c r="J34"/>
    </row>
    <row r="35" spans="1:11" ht="18.75" x14ac:dyDescent="0.15">
      <c r="A35" s="10">
        <f t="shared" ca="1" si="0"/>
        <v>46111.646728009298</v>
      </c>
      <c r="B35" s="5" t="s">
        <v>82</v>
      </c>
      <c r="C35" s="11">
        <v>0.65297453703703701</v>
      </c>
      <c r="D35" s="11" t="s">
        <v>62</v>
      </c>
      <c r="E35" s="11">
        <v>0.77785879629629595</v>
      </c>
      <c r="F35" s="12">
        <f t="shared" si="1"/>
        <v>2.9972222222222147</v>
      </c>
      <c r="G35" s="13">
        <f t="shared" si="2"/>
        <v>2.9972222222222147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42"/>
  <sheetViews>
    <sheetView topLeftCell="A4" zoomScale="85" zoomScaleNormal="85" workbookViewId="0">
      <selection activeCell="D27" sqref="D27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46083.134245254601</v>
      </c>
      <c r="B3" s="5" t="s">
        <v>81</v>
      </c>
      <c r="C3" s="11">
        <v>0.134236111111111</v>
      </c>
      <c r="D3" s="11" t="s">
        <v>62</v>
      </c>
      <c r="E3" s="11">
        <v>0.221365740740741</v>
      </c>
      <c r="F3" s="12">
        <f t="shared" ref="F3:F42" si="1">(IF(E3-C3&lt;0,"24:00"-C3+E3,E3-C3))*24</f>
        <v>2.09111111111112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2.09111111111112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46083.221414236097</v>
      </c>
      <c r="B4" s="5" t="s">
        <v>80</v>
      </c>
      <c r="C4" s="11">
        <v>0.22141203703703699</v>
      </c>
      <c r="D4" s="11" t="s">
        <v>62</v>
      </c>
      <c r="E4" s="11">
        <v>0.29769675925925898</v>
      </c>
      <c r="F4" s="12">
        <f t="shared" si="1"/>
        <v>1.8308333333333278</v>
      </c>
      <c r="G4" s="13">
        <f t="shared" si="2"/>
        <v>0</v>
      </c>
      <c r="H4" s="13">
        <f t="shared" si="3"/>
        <v>1.8308333333333278</v>
      </c>
      <c r="I4" s="21" t="s">
        <v>64</v>
      </c>
      <c r="J4" s="22">
        <f>SUMIF(B:B,"西塔台管制席",F:F)+SUMIF(B:B,"东塔台管制席",F:F)</f>
        <v>32.114444444444445</v>
      </c>
      <c r="K4" s="23">
        <f>SUMIF(B:B,"西塔台管制席",G:G)+SUMIF(B:B,"东塔台管制席",G:G)</f>
        <v>23.592777777777741</v>
      </c>
      <c r="L4" s="23">
        <f>SUMIF(B:B,"西塔台管制席",H:H)+SUMIF(B:B,"东塔台管制席",H:H)</f>
        <v>8.5216666666667038</v>
      </c>
      <c r="M4" s="19"/>
    </row>
    <row r="5" spans="1:16" ht="18.75" x14ac:dyDescent="0.25">
      <c r="A5" s="10">
        <f t="shared" ca="1" si="0"/>
        <v>46083.950926157398</v>
      </c>
      <c r="B5" s="5" t="s">
        <v>78</v>
      </c>
      <c r="C5" s="11">
        <v>0.95092592592592595</v>
      </c>
      <c r="D5" s="11" t="s">
        <v>62</v>
      </c>
      <c r="E5" s="11">
        <v>0.14383101851851901</v>
      </c>
      <c r="F5" s="12">
        <f t="shared" si="1"/>
        <v>4.6297222222222336</v>
      </c>
      <c r="G5" s="13">
        <f t="shared" si="2"/>
        <v>1.1777777777777771</v>
      </c>
      <c r="H5" s="13">
        <f t="shared" si="3"/>
        <v>3.4519444444444565</v>
      </c>
      <c r="I5" s="21" t="s">
        <v>65</v>
      </c>
      <c r="J5" s="22">
        <f>SUMIF(B:B,"西塔台协调席",F:F)+SUMIF(B:B,"东塔台协调席",F:F)</f>
        <v>20.023055555555541</v>
      </c>
      <c r="K5" s="23">
        <f>SUMIF(B:B,"西塔台协调席",G:G)+SUMIF(B:B,"东塔台协调席",G:G)</f>
        <v>13.392777777777793</v>
      </c>
      <c r="L5" s="23">
        <f>SUMIF(B:B,"西塔台协调席",H:H)+SUMIF(B:B,"东塔台协调席",H:H)</f>
        <v>6.6302777777777502</v>
      </c>
      <c r="M5" s="19"/>
    </row>
    <row r="6" spans="1:16" ht="18.75" x14ac:dyDescent="0.25">
      <c r="A6" s="10">
        <f t="shared" ca="1" si="0"/>
        <v>46086.350192708298</v>
      </c>
      <c r="B6" s="5" t="s">
        <v>78</v>
      </c>
      <c r="C6" s="11">
        <v>0.35018518518518499</v>
      </c>
      <c r="D6" s="11" t="s">
        <v>62</v>
      </c>
      <c r="E6" s="11">
        <v>0.526018518518519</v>
      </c>
      <c r="F6" s="12">
        <f t="shared" si="1"/>
        <v>4.2200000000000166</v>
      </c>
      <c r="G6" s="13">
        <f t="shared" si="2"/>
        <v>4.2200000000000166</v>
      </c>
      <c r="H6" s="13">
        <f t="shared" si="3"/>
        <v>0</v>
      </c>
      <c r="I6" s="21" t="s">
        <v>66</v>
      </c>
      <c r="J6" s="22">
        <f>SUMIF(B:B,"放行席",F:F)</f>
        <v>3.9488888888888876</v>
      </c>
      <c r="K6" s="23">
        <f>SUMIF(B:B,"放行席",G:G)</f>
        <v>0</v>
      </c>
      <c r="L6" s="23">
        <f>SUMIF(B:B,"放行席",H:H)</f>
        <v>3.9488888888888876</v>
      </c>
      <c r="M6" s="19"/>
    </row>
    <row r="7" spans="1:16" ht="18.75" x14ac:dyDescent="0.25">
      <c r="A7" s="10">
        <f t="shared" ca="1" si="0"/>
        <v>46086.7729616898</v>
      </c>
      <c r="B7" s="5" t="s">
        <v>82</v>
      </c>
      <c r="C7" s="11">
        <v>0.77295138888888903</v>
      </c>
      <c r="D7" s="11" t="s">
        <v>62</v>
      </c>
      <c r="E7" s="11">
        <v>0.86192129629629599</v>
      </c>
      <c r="F7" s="12">
        <f t="shared" si="1"/>
        <v>2.1352777777777669</v>
      </c>
      <c r="G7" s="13">
        <f t="shared" si="2"/>
        <v>2.1352777777777669</v>
      </c>
      <c r="H7" s="13">
        <f t="shared" si="3"/>
        <v>0</v>
      </c>
      <c r="I7" s="21" t="s">
        <v>67</v>
      </c>
      <c r="J7" s="22">
        <f>SUMIF(B:B,"地面席",F:F)</f>
        <v>2.09111111111112</v>
      </c>
      <c r="K7" s="23">
        <f>SUMIF(B:B,"地面席",G:G)</f>
        <v>0</v>
      </c>
      <c r="L7" s="23">
        <f>SUMIF(B:B,"地面席",H:H)</f>
        <v>2.09111111111112</v>
      </c>
      <c r="M7" s="19"/>
    </row>
    <row r="8" spans="1:16" ht="18.75" x14ac:dyDescent="0.25">
      <c r="A8" s="10">
        <f t="shared" ca="1" si="0"/>
        <v>46087.292615046303</v>
      </c>
      <c r="B8" s="5" t="s">
        <v>82</v>
      </c>
      <c r="C8" s="11">
        <v>0.292604166666667</v>
      </c>
      <c r="D8" s="11" t="s">
        <v>62</v>
      </c>
      <c r="E8" s="11">
        <v>0.42866898148148103</v>
      </c>
      <c r="F8" s="12">
        <f t="shared" si="1"/>
        <v>3.2655555555555367</v>
      </c>
      <c r="G8" s="13">
        <f t="shared" si="2"/>
        <v>2.2880555555555531</v>
      </c>
      <c r="H8" s="13">
        <f t="shared" si="3"/>
        <v>0.9774999999999836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46087.541516666701</v>
      </c>
      <c r="B9" s="5" t="s">
        <v>82</v>
      </c>
      <c r="C9" s="11">
        <v>0.54151620370370401</v>
      </c>
      <c r="D9" s="11" t="s">
        <v>62</v>
      </c>
      <c r="E9" s="11">
        <v>0.651053240740741</v>
      </c>
      <c r="F9" s="12">
        <f t="shared" si="1"/>
        <v>2.6288888888888877</v>
      </c>
      <c r="G9" s="13">
        <f t="shared" si="2"/>
        <v>2.6288888888888877</v>
      </c>
      <c r="H9" s="13">
        <f t="shared" si="3"/>
        <v>0</v>
      </c>
      <c r="I9" s="21" t="s">
        <v>69</v>
      </c>
      <c r="J9" s="22">
        <f>SUMIF(B:B,"航班调度席",F:F)</f>
        <v>2.7663888888888706</v>
      </c>
      <c r="K9" s="23">
        <f>SUMIF(B:B,"航班调度席",G:G)</f>
        <v>2.7663888888888706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46087.652921875</v>
      </c>
      <c r="B10" s="5" t="s">
        <v>79</v>
      </c>
      <c r="C10" s="11">
        <v>0.65291666666666703</v>
      </c>
      <c r="D10" s="11" t="s">
        <v>62</v>
      </c>
      <c r="E10" s="11">
        <v>0.71311342592592597</v>
      </c>
      <c r="F10" s="12">
        <f t="shared" si="1"/>
        <v>1.4447222222222145</v>
      </c>
      <c r="G10" s="13">
        <f t="shared" si="2"/>
        <v>1.4447222222222145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46087.771395254596</v>
      </c>
      <c r="B11" s="5" t="s">
        <v>78</v>
      </c>
      <c r="C11" s="11">
        <v>0.77138888888888901</v>
      </c>
      <c r="D11" s="11" t="s">
        <v>62</v>
      </c>
      <c r="E11" s="11">
        <v>0.87961805555555495</v>
      </c>
      <c r="F11" s="12">
        <f t="shared" si="1"/>
        <v>2.5974999999999824</v>
      </c>
      <c r="G11" s="13">
        <f t="shared" si="2"/>
        <v>2.5974999999999824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46096.130077546302</v>
      </c>
      <c r="B12" s="5" t="s">
        <v>84</v>
      </c>
      <c r="C12" s="11">
        <v>0.13006944444444399</v>
      </c>
      <c r="D12" s="11" t="s">
        <v>62</v>
      </c>
      <c r="E12" s="11">
        <v>0.21600694444444399</v>
      </c>
      <c r="F12" s="12">
        <f t="shared" si="1"/>
        <v>2.0625</v>
      </c>
      <c r="G12" s="13">
        <f t="shared" si="2"/>
        <v>0</v>
      </c>
      <c r="H12" s="13">
        <f t="shared" si="3"/>
        <v>2.0625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46098.375709838001</v>
      </c>
      <c r="B13" s="5" t="s">
        <v>79</v>
      </c>
      <c r="C13" s="11">
        <v>0.37570601851851898</v>
      </c>
      <c r="D13" s="11" t="s">
        <v>62</v>
      </c>
      <c r="E13" s="11">
        <v>0.43077546296296299</v>
      </c>
      <c r="F13" s="12">
        <f t="shared" si="1"/>
        <v>1.3216666666666561</v>
      </c>
      <c r="G13" s="13">
        <f t="shared" si="2"/>
        <v>1.3216666666666561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46098.522293981499</v>
      </c>
      <c r="B14" s="5" t="s">
        <v>78</v>
      </c>
      <c r="C14" s="11">
        <v>0.52229166666666704</v>
      </c>
      <c r="D14" s="11" t="s">
        <v>62</v>
      </c>
      <c r="E14" s="11">
        <v>0.70300925925925895</v>
      </c>
      <c r="F14" s="12">
        <f t="shared" si="1"/>
        <v>4.3372222222222057</v>
      </c>
      <c r="G14" s="13">
        <f t="shared" si="2"/>
        <v>4.3372222222222057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46099.856260763903</v>
      </c>
      <c r="B15" s="5" t="s">
        <v>78</v>
      </c>
      <c r="C15" s="11">
        <v>0.85624999999999996</v>
      </c>
      <c r="D15" s="11" t="s">
        <v>62</v>
      </c>
      <c r="E15" s="11">
        <v>0.95750000000000002</v>
      </c>
      <c r="F15" s="12">
        <f t="shared" si="1"/>
        <v>2.4300000000000015</v>
      </c>
      <c r="G15" s="13">
        <f t="shared" si="2"/>
        <v>2.4300000000000015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46100.291719444402</v>
      </c>
      <c r="B16" s="5" t="s">
        <v>82</v>
      </c>
      <c r="C16" s="11">
        <v>0.29171296296296301</v>
      </c>
      <c r="D16" s="11" t="s">
        <v>62</v>
      </c>
      <c r="E16" s="11">
        <v>0.36871527777777802</v>
      </c>
      <c r="F16" s="12">
        <f t="shared" si="1"/>
        <v>1.8480555555555602</v>
      </c>
      <c r="G16" s="13">
        <f t="shared" si="2"/>
        <v>0.84916666666668084</v>
      </c>
      <c r="H16" s="13">
        <f t="shared" si="3"/>
        <v>0.99888888888887939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46103.013289583301</v>
      </c>
      <c r="B17" s="5" t="s">
        <v>83</v>
      </c>
      <c r="C17" s="11">
        <v>1.3287037037037E-2</v>
      </c>
      <c r="D17" s="11" t="s">
        <v>62</v>
      </c>
      <c r="E17" s="11">
        <v>0.144953703703704</v>
      </c>
      <c r="F17" s="12">
        <f t="shared" si="1"/>
        <v>3.1600000000000077</v>
      </c>
      <c r="G17" s="13">
        <f t="shared" si="2"/>
        <v>0</v>
      </c>
      <c r="H17" s="13">
        <f t="shared" si="3"/>
        <v>3.1600000000000077</v>
      </c>
      <c r="I17" s="35" t="s">
        <v>75</v>
      </c>
      <c r="J17" s="36">
        <f>J4+J5+J6+J7+J10</f>
        <v>58.177499999999995</v>
      </c>
      <c r="K17" s="37">
        <f>K4+K5+K6+K7+K10</f>
        <v>36.985555555555536</v>
      </c>
      <c r="L17" s="38">
        <f>L4+L5+L6+L7+L10</f>
        <v>21.191944444444459</v>
      </c>
      <c r="M17" s="39"/>
    </row>
    <row r="18" spans="1:13" ht="20.25" x14ac:dyDescent="0.25">
      <c r="A18" s="10">
        <f t="shared" ca="1" si="0"/>
        <v>46107.135810069398</v>
      </c>
      <c r="B18" s="5" t="s">
        <v>84</v>
      </c>
      <c r="C18" s="11">
        <v>0.13581018518518501</v>
      </c>
      <c r="D18" s="11" t="s">
        <v>62</v>
      </c>
      <c r="E18" s="11">
        <v>0.21440972222222199</v>
      </c>
      <c r="F18" s="12">
        <f t="shared" si="1"/>
        <v>1.8863888888888876</v>
      </c>
      <c r="G18" s="13">
        <f t="shared" si="2"/>
        <v>0</v>
      </c>
      <c r="H18" s="13">
        <f t="shared" si="3"/>
        <v>1.8863888888888876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46108.140054629599</v>
      </c>
      <c r="B19" s="5" t="s">
        <v>83</v>
      </c>
      <c r="C19" s="11">
        <v>0.140046296296296</v>
      </c>
      <c r="D19" s="11" t="s">
        <v>62</v>
      </c>
      <c r="E19" s="11">
        <v>0.219618055555556</v>
      </c>
      <c r="F19" s="12">
        <f t="shared" si="1"/>
        <v>1.9097222222222399</v>
      </c>
      <c r="G19" s="13">
        <f t="shared" si="2"/>
        <v>0</v>
      </c>
      <c r="H19" s="13">
        <f t="shared" si="3"/>
        <v>1.9097222222222399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46108.219717939799</v>
      </c>
      <c r="B20" s="5" t="s">
        <v>82</v>
      </c>
      <c r="C20" s="11">
        <v>0.219710648148148</v>
      </c>
      <c r="D20" s="11" t="s">
        <v>62</v>
      </c>
      <c r="E20" s="11">
        <v>0.29777777777777797</v>
      </c>
      <c r="F20" s="12">
        <f t="shared" si="1"/>
        <v>1.8736111111111193</v>
      </c>
      <c r="G20" s="13">
        <f t="shared" si="2"/>
        <v>0</v>
      </c>
      <c r="H20" s="13">
        <f t="shared" si="3"/>
        <v>1.8736111111111193</v>
      </c>
      <c r="I20" s="40" t="s">
        <v>77</v>
      </c>
      <c r="J20" s="65">
        <f>J16+J17+J18+J19</f>
        <v>58.177499999999995</v>
      </c>
      <c r="K20" s="66"/>
      <c r="L20" s="67"/>
      <c r="M20" s="41"/>
    </row>
    <row r="21" spans="1:13" ht="20.25" x14ac:dyDescent="0.25">
      <c r="A21" s="10">
        <f t="shared" ca="1" si="0"/>
        <v>46110.350579745398</v>
      </c>
      <c r="B21" s="5" t="s">
        <v>83</v>
      </c>
      <c r="C21" s="11">
        <v>0.35057870370370398</v>
      </c>
      <c r="D21" s="11" t="s">
        <v>62</v>
      </c>
      <c r="E21" s="11">
        <v>0.36056712962963</v>
      </c>
      <c r="F21" s="12">
        <f t="shared" si="1"/>
        <v>0.23972222222222461</v>
      </c>
      <c r="G21" s="13">
        <f t="shared" si="2"/>
        <v>0.23972222222222461</v>
      </c>
      <c r="H21" s="13">
        <f t="shared" si="3"/>
        <v>0</v>
      </c>
      <c r="I21" s="42" t="s">
        <v>4</v>
      </c>
      <c r="J21" s="43">
        <f>SUM(J8:J9)</f>
        <v>2.7663888888888706</v>
      </c>
      <c r="K21" s="37">
        <f>SUM(K8:K9)</f>
        <v>2.7663888888888706</v>
      </c>
      <c r="L21" s="38">
        <f>SUM(L8:L9)</f>
        <v>0</v>
      </c>
      <c r="M21" s="44"/>
    </row>
    <row r="22" spans="1:13" ht="18.75" x14ac:dyDescent="0.15">
      <c r="A22" s="10">
        <f t="shared" ca="1" si="0"/>
        <v>46110.360592013902</v>
      </c>
      <c r="B22" s="5" t="s">
        <v>78</v>
      </c>
      <c r="C22" s="11">
        <v>0.36059027777777802</v>
      </c>
      <c r="D22" s="11" t="s">
        <v>62</v>
      </c>
      <c r="E22" s="11">
        <v>0.525787037037037</v>
      </c>
      <c r="F22" s="12">
        <f t="shared" si="1"/>
        <v>3.9647222222222154</v>
      </c>
      <c r="G22" s="13">
        <f t="shared" si="2"/>
        <v>3.9647222222222154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46110.853857407397</v>
      </c>
      <c r="B23" s="5" t="s">
        <v>78</v>
      </c>
      <c r="C23" s="11">
        <v>0.85385416666666702</v>
      </c>
      <c r="D23" s="11" t="s">
        <v>62</v>
      </c>
      <c r="E23" s="11">
        <v>0.95829861111111103</v>
      </c>
      <c r="F23" s="12">
        <f t="shared" si="1"/>
        <v>2.5066666666666562</v>
      </c>
      <c r="G23" s="13">
        <f t="shared" si="2"/>
        <v>2.5066666666666562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46111.293782291701</v>
      </c>
      <c r="B24" s="5" t="s">
        <v>80</v>
      </c>
      <c r="C24" s="11">
        <v>0.29377314814814798</v>
      </c>
      <c r="D24" s="11" t="s">
        <v>62</v>
      </c>
      <c r="E24" s="11">
        <v>0.35150462962963003</v>
      </c>
      <c r="F24" s="12">
        <f t="shared" si="1"/>
        <v>1.3855555555555692</v>
      </c>
      <c r="G24" s="13">
        <f t="shared" si="2"/>
        <v>0.4361111111111291</v>
      </c>
      <c r="H24" s="13">
        <f t="shared" si="3"/>
        <v>0.94944444444444009</v>
      </c>
      <c r="I24"/>
      <c r="J24"/>
    </row>
    <row r="25" spans="1:13" ht="18.75" x14ac:dyDescent="0.15">
      <c r="A25" s="10">
        <f t="shared" ca="1" si="0"/>
        <v>46111.351544444398</v>
      </c>
      <c r="B25" s="5" t="s">
        <v>82</v>
      </c>
      <c r="C25" s="11">
        <v>0.35153935185185198</v>
      </c>
      <c r="D25" s="11" t="s">
        <v>62</v>
      </c>
      <c r="E25" s="11">
        <v>0.42276620370370399</v>
      </c>
      <c r="F25" s="12">
        <f t="shared" si="1"/>
        <v>1.7094444444444483</v>
      </c>
      <c r="G25" s="13">
        <f t="shared" si="2"/>
        <v>1.7094444444444483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46111.522457638901</v>
      </c>
      <c r="B26" s="5" t="s">
        <v>82</v>
      </c>
      <c r="C26" s="11">
        <v>0.52245370370370403</v>
      </c>
      <c r="D26" s="11" t="s">
        <v>62</v>
      </c>
      <c r="E26" s="11">
        <v>0.66186342592592595</v>
      </c>
      <c r="F26" s="12">
        <f t="shared" si="1"/>
        <v>3.3458333333333261</v>
      </c>
      <c r="G26" s="13">
        <f t="shared" si="2"/>
        <v>3.3458333333333261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46111.771832407401</v>
      </c>
      <c r="B27" s="5" t="s">
        <v>78</v>
      </c>
      <c r="C27" s="11">
        <v>0.77182870370370404</v>
      </c>
      <c r="D27" s="11" t="s">
        <v>62</v>
      </c>
      <c r="E27" s="11">
        <v>0.86012731481481497</v>
      </c>
      <c r="F27" s="12">
        <f t="shared" si="1"/>
        <v>2.1191666666666622</v>
      </c>
      <c r="G27" s="13">
        <f t="shared" si="2"/>
        <v>2.1191666666666622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42"/>
  <sheetViews>
    <sheetView topLeftCell="A10" zoomScale="85" zoomScaleNormal="85" workbookViewId="0">
      <selection activeCell="E36" sqref="E36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46082.292668287002</v>
      </c>
      <c r="B3" s="5" t="s">
        <v>61</v>
      </c>
      <c r="C3" s="11">
        <v>0.29266203703703703</v>
      </c>
      <c r="D3" s="11" t="s">
        <v>62</v>
      </c>
      <c r="E3" s="11">
        <v>0.36125000000000002</v>
      </c>
      <c r="F3" s="12">
        <f t="shared" ref="F3:F42" si="1">(IF(E3-C3&lt;0,"24:00"-C3+E3,E3-C3))*24</f>
        <v>1.6461111111111117</v>
      </c>
      <c r="G3" s="13">
        <f t="shared" ref="G3:G42" si="2">F3-H3</f>
        <v>0.67000000000000881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0.97611111111110294</v>
      </c>
      <c r="I3" s="16" t="s">
        <v>63</v>
      </c>
      <c r="J3" s="17">
        <f>SUMIF(B:B,"带班主任",F:F)</f>
        <v>69.416111111111093</v>
      </c>
      <c r="K3" s="18">
        <f>SUMIF(B:B,"带班主任",G:G)</f>
        <v>52.911388888888887</v>
      </c>
      <c r="L3" s="18">
        <f>SUMIF(B:B,"带班主任",H:H)</f>
        <v>16.504722222222192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46084.358411921297</v>
      </c>
      <c r="B4" s="5" t="s">
        <v>82</v>
      </c>
      <c r="C4" s="11">
        <v>0.35840277777777801</v>
      </c>
      <c r="D4" s="11" t="s">
        <v>62</v>
      </c>
      <c r="E4" s="11">
        <v>0.50681712962962999</v>
      </c>
      <c r="F4" s="12">
        <f t="shared" si="1"/>
        <v>3.5619444444444475</v>
      </c>
      <c r="G4" s="13">
        <f t="shared" si="2"/>
        <v>3.5619444444444475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6.3536111111111264</v>
      </c>
      <c r="K4" s="23">
        <f>SUMIF(B:B,"西塔台管制席",G:G)+SUMIF(B:B,"东塔台管制席",G:G)</f>
        <v>5.5694444444444624</v>
      </c>
      <c r="L4" s="23">
        <f>SUMIF(B:B,"西塔台管制席",H:H)+SUMIF(B:B,"东塔台管制席",H:H)</f>
        <v>0.78416666666666401</v>
      </c>
      <c r="M4" s="19"/>
    </row>
    <row r="5" spans="1:16" ht="18.75" x14ac:dyDescent="0.25">
      <c r="A5" s="10">
        <f t="shared" ca="1" si="0"/>
        <v>46084.627136805597</v>
      </c>
      <c r="B5" s="5" t="s">
        <v>78</v>
      </c>
      <c r="C5" s="11">
        <v>0.62508101851851805</v>
      </c>
      <c r="D5" s="11" t="s">
        <v>62</v>
      </c>
      <c r="E5" s="11">
        <v>0.75594907407407397</v>
      </c>
      <c r="F5" s="12">
        <f t="shared" si="1"/>
        <v>3.140833333333342</v>
      </c>
      <c r="G5" s="13">
        <f t="shared" si="2"/>
        <v>3.140833333333342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8.5636111111111184</v>
      </c>
      <c r="K5" s="23">
        <f>SUMIF(B:B,"西塔台协调席",G:G)+SUMIF(B:B,"东塔台协调席",G:G)</f>
        <v>8.5636111111111184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46084.876495949102</v>
      </c>
      <c r="B6" s="5" t="s">
        <v>82</v>
      </c>
      <c r="C6" s="11">
        <v>0.87649305555555601</v>
      </c>
      <c r="D6" s="11" t="s">
        <v>62</v>
      </c>
      <c r="E6" s="11">
        <v>0.96321759259259299</v>
      </c>
      <c r="F6" s="12">
        <f t="shared" si="1"/>
        <v>2.0813888888888874</v>
      </c>
      <c r="G6" s="13">
        <f t="shared" si="2"/>
        <v>2.0813888888888874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46085.300636342603</v>
      </c>
      <c r="B7" s="5" t="s">
        <v>78</v>
      </c>
      <c r="C7" s="11">
        <v>0.30065972222222198</v>
      </c>
      <c r="D7" s="11" t="s">
        <v>62</v>
      </c>
      <c r="E7" s="11">
        <v>0.43452546296296302</v>
      </c>
      <c r="F7" s="12">
        <f t="shared" si="1"/>
        <v>3.2127777777777848</v>
      </c>
      <c r="G7" s="13">
        <f t="shared" si="2"/>
        <v>2.4286111111111208</v>
      </c>
      <c r="H7" s="13">
        <f t="shared" si="3"/>
        <v>0.78416666666666401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46085.507323611098</v>
      </c>
      <c r="B8" s="5" t="s">
        <v>80</v>
      </c>
      <c r="C8" s="11">
        <v>0.507314814814815</v>
      </c>
      <c r="D8" s="11" t="s">
        <v>62</v>
      </c>
      <c r="E8" s="11">
        <v>0.62899305555555596</v>
      </c>
      <c r="F8" s="12">
        <f t="shared" si="1"/>
        <v>2.9202777777777831</v>
      </c>
      <c r="G8" s="13">
        <f t="shared" si="2"/>
        <v>2.9202777777777831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46088.508065046299</v>
      </c>
      <c r="B9" s="5" t="s">
        <v>61</v>
      </c>
      <c r="C9" s="11">
        <v>0.35458333333333297</v>
      </c>
      <c r="D9" s="11" t="s">
        <v>62</v>
      </c>
      <c r="E9" s="11">
        <v>0.50696759259259305</v>
      </c>
      <c r="F9" s="12">
        <f t="shared" si="1"/>
        <v>3.6572222222222419</v>
      </c>
      <c r="G9" s="13">
        <f t="shared" si="2"/>
        <v>3.6572222222222419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46088.744072337999</v>
      </c>
      <c r="B10" s="5" t="s">
        <v>61</v>
      </c>
      <c r="C10" s="11">
        <v>0.74406249999999996</v>
      </c>
      <c r="D10" s="11" t="s">
        <v>62</v>
      </c>
      <c r="E10" s="11">
        <v>0.94114583333333302</v>
      </c>
      <c r="F10" s="12">
        <f t="shared" si="1"/>
        <v>4.7299999999999933</v>
      </c>
      <c r="G10" s="13">
        <f t="shared" si="2"/>
        <v>4.7299999999999933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46089.338783101899</v>
      </c>
      <c r="B11" s="5" t="s">
        <v>61</v>
      </c>
      <c r="C11" s="11">
        <v>0.33877314814814802</v>
      </c>
      <c r="D11" s="11" t="s">
        <v>62</v>
      </c>
      <c r="E11" s="11">
        <v>0.51459490740740699</v>
      </c>
      <c r="F11" s="12">
        <f t="shared" si="1"/>
        <v>4.2197222222222148</v>
      </c>
      <c r="G11" s="13">
        <f t="shared" si="2"/>
        <v>4.2197222222222148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46089.524333449102</v>
      </c>
      <c r="B12" s="5" t="s">
        <v>61</v>
      </c>
      <c r="C12" s="11">
        <v>0.52432870370370399</v>
      </c>
      <c r="D12" s="11" t="s">
        <v>62</v>
      </c>
      <c r="E12" s="11">
        <v>0.54569444444444404</v>
      </c>
      <c r="F12" s="12">
        <f t="shared" si="1"/>
        <v>0.51277777777776112</v>
      </c>
      <c r="G12" s="13">
        <f t="shared" si="2"/>
        <v>0.51277777777776112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46089.939174305597</v>
      </c>
      <c r="B13" s="5" t="s">
        <v>61</v>
      </c>
      <c r="C13" s="11">
        <v>0.93847222222222204</v>
      </c>
      <c r="D13" s="11" t="s">
        <v>62</v>
      </c>
      <c r="E13" s="11">
        <v>0.13557870370370401</v>
      </c>
      <c r="F13" s="12">
        <f t="shared" si="1"/>
        <v>4.7305555555555667</v>
      </c>
      <c r="G13" s="13">
        <f t="shared" si="2"/>
        <v>1.4766666666666706</v>
      </c>
      <c r="H13" s="13">
        <f t="shared" si="3"/>
        <v>3.2538888888888962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46100.356932754599</v>
      </c>
      <c r="B14" s="5" t="s">
        <v>61</v>
      </c>
      <c r="C14" s="11">
        <v>0.35693287037037003</v>
      </c>
      <c r="D14" s="11" t="s">
        <v>62</v>
      </c>
      <c r="E14" s="11">
        <v>0.50815972222222205</v>
      </c>
      <c r="F14" s="12">
        <f t="shared" si="1"/>
        <v>3.6294444444444487</v>
      </c>
      <c r="G14" s="13">
        <f t="shared" si="2"/>
        <v>3.6294444444444487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46100.523405555599</v>
      </c>
      <c r="B15" s="5" t="s">
        <v>61</v>
      </c>
      <c r="C15" s="11">
        <v>0.52340277777777799</v>
      </c>
      <c r="D15" s="11" t="s">
        <v>62</v>
      </c>
      <c r="E15" s="11">
        <v>0.54987268518518495</v>
      </c>
      <c r="F15" s="12">
        <f t="shared" si="1"/>
        <v>0.63527777777776695</v>
      </c>
      <c r="G15" s="13">
        <f t="shared" si="2"/>
        <v>0.63527777777776695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46100.791725463001</v>
      </c>
      <c r="B16" s="5" t="s">
        <v>61</v>
      </c>
      <c r="C16" s="11">
        <v>0.79172453703703705</v>
      </c>
      <c r="D16" s="11" t="s">
        <v>62</v>
      </c>
      <c r="E16" s="11">
        <v>0.90040509259259205</v>
      </c>
      <c r="F16" s="12">
        <f t="shared" si="1"/>
        <v>2.6083333333333201</v>
      </c>
      <c r="G16" s="13">
        <f t="shared" si="2"/>
        <v>2.6083333333333201</v>
      </c>
      <c r="H16" s="13">
        <f t="shared" si="3"/>
        <v>0</v>
      </c>
      <c r="I16" s="35" t="s">
        <v>63</v>
      </c>
      <c r="J16" s="36">
        <f t="shared" ref="J16:L16" si="4">J3</f>
        <v>69.416111111111093</v>
      </c>
      <c r="K16" s="37">
        <f t="shared" si="4"/>
        <v>52.911388888888887</v>
      </c>
      <c r="L16" s="38">
        <f t="shared" si="4"/>
        <v>16.504722222222192</v>
      </c>
      <c r="M16" s="39"/>
    </row>
    <row r="17" spans="1:13" ht="20.25" x14ac:dyDescent="0.25">
      <c r="A17" s="10">
        <f t="shared" ca="1" si="0"/>
        <v>46100.9188377315</v>
      </c>
      <c r="B17" s="5" t="s">
        <v>61</v>
      </c>
      <c r="C17" s="11">
        <v>0.918831018518519</v>
      </c>
      <c r="D17" s="11" t="s">
        <v>62</v>
      </c>
      <c r="E17" s="11">
        <v>0.94278935185185198</v>
      </c>
      <c r="F17" s="12">
        <f t="shared" si="1"/>
        <v>0.5749999999999913</v>
      </c>
      <c r="G17" s="13">
        <f t="shared" si="2"/>
        <v>0.5749999999999913</v>
      </c>
      <c r="H17" s="13">
        <f t="shared" si="3"/>
        <v>0</v>
      </c>
      <c r="I17" s="35" t="s">
        <v>75</v>
      </c>
      <c r="J17" s="36">
        <f>J4+J5+J6+J7+J10</f>
        <v>14.917222222222245</v>
      </c>
      <c r="K17" s="37">
        <f>K4+K5+K6+K7+K10</f>
        <v>14.133055555555581</v>
      </c>
      <c r="L17" s="38">
        <f>L4+L5+L6+L7+L10</f>
        <v>0.78416666666666401</v>
      </c>
      <c r="M17" s="39"/>
    </row>
    <row r="18" spans="1:13" ht="20.25" x14ac:dyDescent="0.25">
      <c r="A18" s="10">
        <f t="shared" ca="1" si="0"/>
        <v>46101.293102083298</v>
      </c>
      <c r="B18" s="5" t="s">
        <v>61</v>
      </c>
      <c r="C18" s="11">
        <v>0.293101851851852</v>
      </c>
      <c r="D18" s="11" t="s">
        <v>62</v>
      </c>
      <c r="E18" s="11">
        <v>0.45668981481481502</v>
      </c>
      <c r="F18" s="12">
        <f t="shared" si="1"/>
        <v>3.9261111111111124</v>
      </c>
      <c r="G18" s="13">
        <f t="shared" si="2"/>
        <v>2.9605555555555689</v>
      </c>
      <c r="H18" s="13">
        <f t="shared" si="3"/>
        <v>0.96555555555554351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46101.490895717601</v>
      </c>
      <c r="B19" s="5" t="s">
        <v>61</v>
      </c>
      <c r="C19" s="11">
        <v>0.49089120370370398</v>
      </c>
      <c r="D19" s="11" t="s">
        <v>62</v>
      </c>
      <c r="E19" s="11">
        <v>0.54716435185185197</v>
      </c>
      <c r="F19" s="12">
        <f t="shared" si="1"/>
        <v>1.3505555555555517</v>
      </c>
      <c r="G19" s="13">
        <f t="shared" si="2"/>
        <v>1.3505555555555517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46101.939357407398</v>
      </c>
      <c r="B20" s="5" t="s">
        <v>61</v>
      </c>
      <c r="C20" s="11">
        <v>0.93935185185185199</v>
      </c>
      <c r="D20" s="11" t="s">
        <v>62</v>
      </c>
      <c r="E20" s="11">
        <v>0.13366898148148099</v>
      </c>
      <c r="F20" s="12">
        <f t="shared" si="1"/>
        <v>4.6636111111110958</v>
      </c>
      <c r="G20" s="13">
        <f t="shared" si="2"/>
        <v>1.4555555555555522</v>
      </c>
      <c r="H20" s="13">
        <f t="shared" si="3"/>
        <v>3.2080555555555437</v>
      </c>
      <c r="I20" s="40" t="s">
        <v>77</v>
      </c>
      <c r="J20" s="65">
        <f>J16+J17+J18+J19</f>
        <v>84.333333333333343</v>
      </c>
      <c r="K20" s="66"/>
      <c r="L20" s="67"/>
      <c r="M20" s="41"/>
    </row>
    <row r="21" spans="1:13" ht="20.25" x14ac:dyDescent="0.25">
      <c r="A21" s="10">
        <f t="shared" ca="1" si="0"/>
        <v>46104.364015972198</v>
      </c>
      <c r="B21" s="5" t="s">
        <v>61</v>
      </c>
      <c r="C21" s="11">
        <v>0.354988425925926</v>
      </c>
      <c r="D21" s="11" t="s">
        <v>62</v>
      </c>
      <c r="E21" s="11">
        <v>0.50393518518518499</v>
      </c>
      <c r="F21" s="12">
        <f t="shared" si="1"/>
        <v>3.5747222222222157</v>
      </c>
      <c r="G21" s="13">
        <f t="shared" si="2"/>
        <v>3.5747222222222157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46104.545426504599</v>
      </c>
      <c r="B22" s="5" t="s">
        <v>61</v>
      </c>
      <c r="C22" s="11">
        <v>0.54541666666666699</v>
      </c>
      <c r="D22" s="11" t="s">
        <v>62</v>
      </c>
      <c r="E22" s="11">
        <v>0.57628472222222205</v>
      </c>
      <c r="F22" s="12">
        <f t="shared" si="1"/>
        <v>0.74083333333332124</v>
      </c>
      <c r="G22" s="13">
        <f t="shared" si="2"/>
        <v>0.74083333333332124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46104.774127662</v>
      </c>
      <c r="B23" s="5" t="s">
        <v>61</v>
      </c>
      <c r="C23" s="11">
        <v>0.77412037037036996</v>
      </c>
      <c r="D23" s="11" t="s">
        <v>62</v>
      </c>
      <c r="E23" s="11">
        <v>0.94248842592592597</v>
      </c>
      <c r="F23" s="12">
        <f t="shared" si="1"/>
        <v>4.0408333333333442</v>
      </c>
      <c r="G23" s="13">
        <f t="shared" si="2"/>
        <v>4.0408333333333442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46105.333630439804</v>
      </c>
      <c r="B24" s="5" t="s">
        <v>61</v>
      </c>
      <c r="C24" s="11">
        <v>0.33362268518518501</v>
      </c>
      <c r="D24" s="11" t="s">
        <v>62</v>
      </c>
      <c r="E24" s="11">
        <v>0.50555555555555598</v>
      </c>
      <c r="F24" s="12">
        <f t="shared" si="1"/>
        <v>4.1263888888889033</v>
      </c>
      <c r="G24" s="13">
        <f t="shared" si="2"/>
        <v>4.1263888888889033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46105.517428356499</v>
      </c>
      <c r="B25" s="5" t="s">
        <v>61</v>
      </c>
      <c r="C25" s="11">
        <v>0.51741898148148102</v>
      </c>
      <c r="D25" s="11" t="s">
        <v>62</v>
      </c>
      <c r="E25" s="11">
        <v>0.54554398148148098</v>
      </c>
      <c r="F25" s="12">
        <f t="shared" si="1"/>
        <v>0.67499999999999893</v>
      </c>
      <c r="G25" s="13">
        <f t="shared" si="2"/>
        <v>0.67499999999999893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46105.939665856502</v>
      </c>
      <c r="B26" s="5" t="s">
        <v>61</v>
      </c>
      <c r="C26" s="11">
        <v>0.93966435185185204</v>
      </c>
      <c r="D26" s="11" t="s">
        <v>62</v>
      </c>
      <c r="E26" s="11">
        <v>0.13401620370370401</v>
      </c>
      <c r="F26" s="12">
        <f t="shared" si="1"/>
        <v>4.6644444444444471</v>
      </c>
      <c r="G26" s="13">
        <f t="shared" si="2"/>
        <v>1.448055555555551</v>
      </c>
      <c r="H26" s="13">
        <f t="shared" si="3"/>
        <v>3.2163888888888961</v>
      </c>
      <c r="I26"/>
      <c r="J26"/>
    </row>
    <row r="27" spans="1:13" ht="18.75" x14ac:dyDescent="0.15">
      <c r="A27" s="10">
        <f t="shared" ca="1" si="0"/>
        <v>46108.5421377315</v>
      </c>
      <c r="B27" s="5" t="s">
        <v>61</v>
      </c>
      <c r="C27" s="11">
        <v>0.54212962962962996</v>
      </c>
      <c r="D27" s="11" t="s">
        <v>62</v>
      </c>
      <c r="E27" s="11">
        <v>0.76530092592592602</v>
      </c>
      <c r="F27" s="12">
        <f t="shared" si="1"/>
        <v>5.3561111111111055</v>
      </c>
      <c r="G27" s="13">
        <f t="shared" si="2"/>
        <v>5.3561111111111055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46108.790370717601</v>
      </c>
      <c r="B28" s="5" t="s">
        <v>61</v>
      </c>
      <c r="C28" s="11">
        <v>0.79037037037036995</v>
      </c>
      <c r="D28" s="11" t="s">
        <v>62</v>
      </c>
      <c r="E28" s="11">
        <v>0.79606481481481495</v>
      </c>
      <c r="F28" s="12">
        <f t="shared" si="1"/>
        <v>0.13666666666668004</v>
      </c>
      <c r="G28" s="13">
        <f t="shared" si="2"/>
        <v>0.13666666666668004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46109.134428356498</v>
      </c>
      <c r="B29" s="5" t="s">
        <v>61</v>
      </c>
      <c r="C29" s="11">
        <v>0.13372685185185201</v>
      </c>
      <c r="D29" s="11" t="s">
        <v>62</v>
      </c>
      <c r="E29" s="11">
        <v>0.29677083333333298</v>
      </c>
      <c r="F29" s="12">
        <f t="shared" si="1"/>
        <v>3.9130555555555433</v>
      </c>
      <c r="G29" s="13">
        <f t="shared" si="2"/>
        <v>0</v>
      </c>
      <c r="H29" s="13">
        <f t="shared" si="3"/>
        <v>3.9130555555555433</v>
      </c>
      <c r="I29"/>
      <c r="J29"/>
    </row>
    <row r="30" spans="1:13" ht="18.75" x14ac:dyDescent="0.15">
      <c r="A30" s="10">
        <f t="shared" ca="1" si="0"/>
        <v>46109.806141666697</v>
      </c>
      <c r="B30" s="5" t="s">
        <v>61</v>
      </c>
      <c r="C30" s="11">
        <v>0.80613425925925897</v>
      </c>
      <c r="D30" s="11" t="s">
        <v>62</v>
      </c>
      <c r="E30" s="11">
        <v>0.84091435185185204</v>
      </c>
      <c r="F30" s="12">
        <f t="shared" si="1"/>
        <v>0.83472222222223369</v>
      </c>
      <c r="G30" s="13">
        <f t="shared" si="2"/>
        <v>0.83472222222223369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46109.878161226901</v>
      </c>
      <c r="B31" s="5" t="s">
        <v>61</v>
      </c>
      <c r="C31" s="11">
        <v>0.87677083333333306</v>
      </c>
      <c r="D31" s="11" t="s">
        <v>62</v>
      </c>
      <c r="E31" s="11">
        <v>0.94144675925925903</v>
      </c>
      <c r="F31" s="12">
        <f t="shared" si="1"/>
        <v>1.5522222222222233</v>
      </c>
      <c r="G31" s="13">
        <f t="shared" si="2"/>
        <v>1.5522222222222233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46110.292853240702</v>
      </c>
      <c r="B32" s="5" t="s">
        <v>61</v>
      </c>
      <c r="C32" s="11">
        <v>0.29284722222222198</v>
      </c>
      <c r="D32" s="11" t="s">
        <v>62</v>
      </c>
      <c r="E32" s="11">
        <v>0.35586805555555601</v>
      </c>
      <c r="F32" s="12">
        <f t="shared" si="1"/>
        <v>1.5125000000000166</v>
      </c>
      <c r="G32" s="13">
        <f t="shared" si="2"/>
        <v>0.54083333333335259</v>
      </c>
      <c r="H32" s="13">
        <f t="shared" si="3"/>
        <v>0.97166666666666401</v>
      </c>
      <c r="I32"/>
      <c r="J32"/>
    </row>
    <row r="33" spans="1:11" ht="18.75" x14ac:dyDescent="0.15">
      <c r="A33" s="10">
        <f t="shared" ca="1" si="0"/>
        <v>46112.940904745403</v>
      </c>
      <c r="B33" s="5" t="s">
        <v>61</v>
      </c>
      <c r="C33" s="11">
        <v>0.94090277777777798</v>
      </c>
      <c r="D33" s="11" t="s">
        <v>62</v>
      </c>
      <c r="E33" s="11">
        <v>0.99939814814814798</v>
      </c>
      <c r="F33" s="12">
        <f t="shared" si="1"/>
        <v>1.4038888888888801</v>
      </c>
      <c r="G33" s="13">
        <f t="shared" si="2"/>
        <v>1.4038888888888801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P42"/>
  <sheetViews>
    <sheetView topLeftCell="A7" zoomScale="85" zoomScaleNormal="85" workbookViewId="0">
      <selection activeCell="K29" sqref="K29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46082.298028009303</v>
      </c>
      <c r="B3" s="5" t="s">
        <v>78</v>
      </c>
      <c r="C3" s="11">
        <v>0.29802083333333301</v>
      </c>
      <c r="D3" s="11" t="s">
        <v>62</v>
      </c>
      <c r="E3" s="11">
        <v>0.36344907407407401</v>
      </c>
      <c r="F3" s="12">
        <f t="shared" ref="F3:F42" si="1">(IF(E3-C3&lt;0,"24:00"-C3+E3,E3-C3))*24</f>
        <v>1.5702777777777839</v>
      </c>
      <c r="G3" s="13">
        <f t="shared" ref="G3:G42" si="2">F3-H3</f>
        <v>0.72277777777778462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0.84749999999999925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46085.011762152797</v>
      </c>
      <c r="B4" s="5" t="s">
        <v>80</v>
      </c>
      <c r="C4" s="11">
        <v>1.1759259259259301E-2</v>
      </c>
      <c r="D4" s="11" t="s">
        <v>62</v>
      </c>
      <c r="E4" s="11">
        <v>0.11550925925925901</v>
      </c>
      <c r="F4" s="12">
        <f t="shared" si="1"/>
        <v>2.4899999999999931</v>
      </c>
      <c r="G4" s="13">
        <f t="shared" si="2"/>
        <v>0</v>
      </c>
      <c r="H4" s="13">
        <f t="shared" si="3"/>
        <v>2.4899999999999931</v>
      </c>
      <c r="I4" s="21" t="s">
        <v>64</v>
      </c>
      <c r="J4" s="22">
        <f>SUMIF(B:B,"西塔台管制席",F:F)+SUMIF(B:B,"东塔台管制席",F:F)</f>
        <v>30.286944444444433</v>
      </c>
      <c r="K4" s="23">
        <f>SUMIF(B:B,"西塔台管制席",G:G)+SUMIF(B:B,"东塔台管制席",G:G)</f>
        <v>16.794444444444434</v>
      </c>
      <c r="L4" s="23">
        <f>SUMIF(B:B,"西塔台管制席",H:H)+SUMIF(B:B,"东塔台管制席",H:H)</f>
        <v>13.492500000000001</v>
      </c>
      <c r="M4" s="19"/>
    </row>
    <row r="5" spans="1:16" ht="18.75" x14ac:dyDescent="0.25">
      <c r="A5" s="10">
        <f t="shared" ca="1" si="0"/>
        <v>46085.115543749998</v>
      </c>
      <c r="B5" s="5" t="s">
        <v>78</v>
      </c>
      <c r="C5" s="11">
        <v>0.115543981481481</v>
      </c>
      <c r="D5" s="11" t="s">
        <v>62</v>
      </c>
      <c r="E5" s="11">
        <v>0.14687500000000001</v>
      </c>
      <c r="F5" s="12">
        <f t="shared" si="1"/>
        <v>0.75194444444445618</v>
      </c>
      <c r="G5" s="13">
        <f t="shared" si="2"/>
        <v>0</v>
      </c>
      <c r="H5" s="13">
        <f t="shared" si="3"/>
        <v>0.75194444444445618</v>
      </c>
      <c r="I5" s="21" t="s">
        <v>65</v>
      </c>
      <c r="J5" s="22">
        <f>SUMIF(B:B,"西塔台协调席",F:F)+SUMIF(B:B,"东塔台协调席",F:F)</f>
        <v>28.826944444444429</v>
      </c>
      <c r="K5" s="23">
        <f>SUMIF(B:B,"西塔台协调席",G:G)+SUMIF(B:B,"东塔台协调席",G:G)</f>
        <v>18.89027777777779</v>
      </c>
      <c r="L5" s="23">
        <f>SUMIF(B:B,"西塔台协调席",H:H)+SUMIF(B:B,"东塔台协调席",H:H)</f>
        <v>9.936666666666639</v>
      </c>
      <c r="M5" s="19"/>
    </row>
    <row r="6" spans="1:16" ht="18.75" x14ac:dyDescent="0.25">
      <c r="A6" s="10">
        <f t="shared" ca="1" si="0"/>
        <v>46085.753291088004</v>
      </c>
      <c r="B6" s="5" t="s">
        <v>78</v>
      </c>
      <c r="C6" s="11">
        <v>0.75328703703703703</v>
      </c>
      <c r="D6" s="11" t="s">
        <v>62</v>
      </c>
      <c r="E6" s="11">
        <v>0.83895833333333303</v>
      </c>
      <c r="F6" s="12">
        <f t="shared" si="1"/>
        <v>2.0561111111111039</v>
      </c>
      <c r="G6" s="13">
        <f t="shared" si="2"/>
        <v>2.0561111111111039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46085.957356365703</v>
      </c>
      <c r="B7" s="5" t="s">
        <v>78</v>
      </c>
      <c r="C7" s="11">
        <v>0.95734953703703696</v>
      </c>
      <c r="D7" s="11" t="s">
        <v>62</v>
      </c>
      <c r="E7" s="11">
        <v>0.112928240740741</v>
      </c>
      <c r="F7" s="12">
        <f t="shared" si="1"/>
        <v>3.7338888888888966</v>
      </c>
      <c r="G7" s="13">
        <f t="shared" si="2"/>
        <v>1.0236111111111126</v>
      </c>
      <c r="H7" s="13">
        <f t="shared" si="3"/>
        <v>2.710277777777784</v>
      </c>
      <c r="I7" s="21" t="s">
        <v>67</v>
      </c>
      <c r="J7" s="22">
        <f>SUMIF(B:B,"地面席",F:F)</f>
        <v>2.0902777777777928</v>
      </c>
      <c r="K7" s="23">
        <f>SUMIF(B:B,"地面席",G:G)</f>
        <v>0</v>
      </c>
      <c r="L7" s="23">
        <f>SUMIF(B:B,"地面席",H:H)</f>
        <v>2.0902777777777928</v>
      </c>
      <c r="M7" s="19"/>
    </row>
    <row r="8" spans="1:16" ht="18.75" x14ac:dyDescent="0.25">
      <c r="A8" s="10">
        <f t="shared" ca="1" si="0"/>
        <v>46090.1387048611</v>
      </c>
      <c r="B8" s="5" t="s">
        <v>78</v>
      </c>
      <c r="C8" s="11">
        <v>0.138703703703704</v>
      </c>
      <c r="D8" s="11" t="s">
        <v>62</v>
      </c>
      <c r="E8" s="11">
        <v>0.30560185185185201</v>
      </c>
      <c r="F8" s="12">
        <f t="shared" si="1"/>
        <v>4.0055555555555529</v>
      </c>
      <c r="G8" s="13">
        <f t="shared" si="2"/>
        <v>0</v>
      </c>
      <c r="H8" s="13">
        <f t="shared" si="3"/>
        <v>4.0055555555555529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46092.4994346065</v>
      </c>
      <c r="B9" s="5" t="s">
        <v>82</v>
      </c>
      <c r="C9" s="11">
        <v>0.49943287037036999</v>
      </c>
      <c r="D9" s="11" t="s">
        <v>62</v>
      </c>
      <c r="E9" s="11">
        <v>0.65420138888888901</v>
      </c>
      <c r="F9" s="12">
        <f t="shared" si="1"/>
        <v>3.7144444444444566</v>
      </c>
      <c r="G9" s="13">
        <f t="shared" si="2"/>
        <v>3.7144444444444566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46092.756487152801</v>
      </c>
      <c r="B10" s="5" t="s">
        <v>78</v>
      </c>
      <c r="C10" s="11">
        <v>0.75648148148148098</v>
      </c>
      <c r="D10" s="11" t="s">
        <v>62</v>
      </c>
      <c r="E10" s="11">
        <v>0.88402777777777797</v>
      </c>
      <c r="F10" s="12">
        <f t="shared" si="1"/>
        <v>3.0611111111111278</v>
      </c>
      <c r="G10" s="13">
        <f t="shared" si="2"/>
        <v>3.0611111111111278</v>
      </c>
      <c r="H10" s="13">
        <f t="shared" si="3"/>
        <v>0</v>
      </c>
      <c r="I10" s="21" t="s">
        <v>70</v>
      </c>
      <c r="J10" s="22">
        <f>SUMIF(B:B,"综合协调席",F:F)</f>
        <v>1.9377777777777601</v>
      </c>
      <c r="K10" s="23">
        <f>SUMIF(B:B,"综合协调席",G:G)</f>
        <v>0</v>
      </c>
      <c r="L10" s="23">
        <f>SUMIF(B:B,"综合协调席",H:H)</f>
        <v>1.9377777777777601</v>
      </c>
      <c r="M10" s="19"/>
    </row>
    <row r="11" spans="1:16" ht="18.75" x14ac:dyDescent="0.25">
      <c r="A11" s="10">
        <f t="shared" ca="1" si="0"/>
        <v>46093.4177305556</v>
      </c>
      <c r="B11" s="5" t="s">
        <v>82</v>
      </c>
      <c r="C11" s="11">
        <v>0.417719907407407</v>
      </c>
      <c r="D11" s="11" t="s">
        <v>62</v>
      </c>
      <c r="E11" s="11">
        <v>0.50581018518518495</v>
      </c>
      <c r="F11" s="12">
        <f t="shared" si="1"/>
        <v>2.1141666666666707</v>
      </c>
      <c r="G11" s="13">
        <f t="shared" si="2"/>
        <v>2.1141666666666707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46093.625285532398</v>
      </c>
      <c r="B12" s="5" t="s">
        <v>78</v>
      </c>
      <c r="C12" s="11">
        <v>0.62527777777777804</v>
      </c>
      <c r="D12" s="11" t="s">
        <v>62</v>
      </c>
      <c r="E12" s="11">
        <v>0.75464120370370402</v>
      </c>
      <c r="F12" s="12">
        <f t="shared" si="1"/>
        <v>3.1047222222222235</v>
      </c>
      <c r="G12" s="13">
        <f t="shared" si="2"/>
        <v>3.1047222222222235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46093.832543518503</v>
      </c>
      <c r="B13" s="5" t="s">
        <v>82</v>
      </c>
      <c r="C13" s="11">
        <v>0.83253472222222202</v>
      </c>
      <c r="D13" s="11" t="s">
        <v>62</v>
      </c>
      <c r="E13" s="11">
        <v>0.963553240740741</v>
      </c>
      <c r="F13" s="12">
        <f t="shared" si="1"/>
        <v>3.1444444444444555</v>
      </c>
      <c r="G13" s="13">
        <f t="shared" si="2"/>
        <v>3.1444444444444555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46096.958326620399</v>
      </c>
      <c r="B14" s="5" t="s">
        <v>82</v>
      </c>
      <c r="C14" s="11">
        <v>0.958321759259259</v>
      </c>
      <c r="D14" s="11" t="s">
        <v>62</v>
      </c>
      <c r="E14" s="11">
        <v>9.6053240740740703E-2</v>
      </c>
      <c r="F14" s="12">
        <f t="shared" si="1"/>
        <v>3.3055555555555607</v>
      </c>
      <c r="G14" s="13">
        <f t="shared" si="2"/>
        <v>1.000277777777784</v>
      </c>
      <c r="H14" s="13">
        <f t="shared" si="3"/>
        <v>2.3052777777777766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46098.015628703703</v>
      </c>
      <c r="B15" s="5" t="s">
        <v>80</v>
      </c>
      <c r="C15" s="11">
        <v>1.5625E-2</v>
      </c>
      <c r="D15" s="11" t="s">
        <v>62</v>
      </c>
      <c r="E15" s="11">
        <v>0.13413194444444401</v>
      </c>
      <c r="F15" s="12">
        <f t="shared" si="1"/>
        <v>2.8441666666666565</v>
      </c>
      <c r="G15" s="13">
        <f t="shared" si="2"/>
        <v>0</v>
      </c>
      <c r="H15" s="13">
        <f t="shared" si="3"/>
        <v>2.8441666666666565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46098.134190740697</v>
      </c>
      <c r="B16" s="5" t="s">
        <v>78</v>
      </c>
      <c r="C16" s="11">
        <v>0.13418981481481501</v>
      </c>
      <c r="D16" s="11" t="s">
        <v>62</v>
      </c>
      <c r="E16" s="11">
        <v>0.14572916666666699</v>
      </c>
      <c r="F16" s="12">
        <f t="shared" si="1"/>
        <v>0.27694444444444755</v>
      </c>
      <c r="G16" s="13">
        <f t="shared" si="2"/>
        <v>0</v>
      </c>
      <c r="H16" s="13">
        <f t="shared" si="3"/>
        <v>0.27694444444444755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46101.131023148097</v>
      </c>
      <c r="B17" s="5" t="s">
        <v>85</v>
      </c>
      <c r="C17" s="11">
        <v>0.13101851851851901</v>
      </c>
      <c r="D17" s="11" t="s">
        <v>62</v>
      </c>
      <c r="E17" s="11">
        <v>0.21175925925925901</v>
      </c>
      <c r="F17" s="12">
        <f t="shared" si="1"/>
        <v>1.9377777777777601</v>
      </c>
      <c r="G17" s="13">
        <f t="shared" si="2"/>
        <v>0</v>
      </c>
      <c r="H17" s="13">
        <f t="shared" si="3"/>
        <v>1.9377777777777601</v>
      </c>
      <c r="I17" s="35" t="s">
        <v>75</v>
      </c>
      <c r="J17" s="36">
        <f>J4+J5+J6+J7+J10</f>
        <v>63.14194444444442</v>
      </c>
      <c r="K17" s="37">
        <f>K4+K5+K6+K7+K10</f>
        <v>35.68472222222222</v>
      </c>
      <c r="L17" s="38">
        <f>L4+L5+L6+L7+L10</f>
        <v>27.457222222222192</v>
      </c>
      <c r="M17" s="39"/>
    </row>
    <row r="18" spans="1:13" ht="20.25" x14ac:dyDescent="0.25">
      <c r="A18" s="10">
        <f t="shared" ca="1" si="0"/>
        <v>46102.138373263901</v>
      </c>
      <c r="B18" s="5" t="s">
        <v>78</v>
      </c>
      <c r="C18" s="11">
        <v>0.13836805555555601</v>
      </c>
      <c r="D18" s="11" t="s">
        <v>62</v>
      </c>
      <c r="E18" s="11">
        <v>0.18673611111111099</v>
      </c>
      <c r="F18" s="12">
        <f t="shared" si="1"/>
        <v>1.1608333333333196</v>
      </c>
      <c r="G18" s="13">
        <f t="shared" si="2"/>
        <v>0</v>
      </c>
      <c r="H18" s="13">
        <f t="shared" si="3"/>
        <v>1.1608333333333196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46102.223043865699</v>
      </c>
      <c r="B19" s="5" t="s">
        <v>78</v>
      </c>
      <c r="C19" s="11">
        <v>0.223043981481481</v>
      </c>
      <c r="D19" s="11" t="s">
        <v>62</v>
      </c>
      <c r="E19" s="11">
        <v>0.303993055555556</v>
      </c>
      <c r="F19" s="12">
        <f t="shared" si="1"/>
        <v>1.9427777777778001</v>
      </c>
      <c r="G19" s="13">
        <f t="shared" si="2"/>
        <v>0</v>
      </c>
      <c r="H19" s="13">
        <f t="shared" si="3"/>
        <v>1.9427777777778001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46104.357143055597</v>
      </c>
      <c r="B20" s="5" t="s">
        <v>80</v>
      </c>
      <c r="C20" s="11">
        <v>0.357141203703704</v>
      </c>
      <c r="D20" s="11" t="s">
        <v>62</v>
      </c>
      <c r="E20" s="11">
        <v>0.50956018518518498</v>
      </c>
      <c r="F20" s="12">
        <f t="shared" si="1"/>
        <v>3.6580555555555434</v>
      </c>
      <c r="G20" s="13">
        <f t="shared" si="2"/>
        <v>3.6580555555555434</v>
      </c>
      <c r="H20" s="13">
        <f t="shared" si="3"/>
        <v>0</v>
      </c>
      <c r="I20" s="40" t="s">
        <v>77</v>
      </c>
      <c r="J20" s="65">
        <f>J16+J17+J18+J19</f>
        <v>63.14194444444442</v>
      </c>
      <c r="K20" s="66"/>
      <c r="L20" s="67"/>
      <c r="M20" s="41"/>
    </row>
    <row r="21" spans="1:13" ht="20.25" x14ac:dyDescent="0.25">
      <c r="A21" s="10">
        <f t="shared" ca="1" si="0"/>
        <v>46104.644956944401</v>
      </c>
      <c r="B21" s="5" t="s">
        <v>78</v>
      </c>
      <c r="C21" s="11">
        <v>0.64495370370370397</v>
      </c>
      <c r="D21" s="11" t="s">
        <v>62</v>
      </c>
      <c r="E21" s="11">
        <v>0.75646990740740705</v>
      </c>
      <c r="F21" s="12">
        <f t="shared" si="1"/>
        <v>2.6763888888888738</v>
      </c>
      <c r="G21" s="13">
        <f t="shared" si="2"/>
        <v>2.6763888888888738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46104.875235185202</v>
      </c>
      <c r="B22" s="5" t="s">
        <v>82</v>
      </c>
      <c r="C22" s="11">
        <v>0.875231481481482</v>
      </c>
      <c r="D22" s="11" t="s">
        <v>62</v>
      </c>
      <c r="E22" s="11">
        <v>0.96412037037037002</v>
      </c>
      <c r="F22" s="12">
        <f t="shared" si="1"/>
        <v>2.1333333333333124</v>
      </c>
      <c r="G22" s="13">
        <f t="shared" si="2"/>
        <v>2.1333333333333124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46105.297904398103</v>
      </c>
      <c r="B23" s="5" t="s">
        <v>78</v>
      </c>
      <c r="C23" s="11">
        <v>0.29789351851851897</v>
      </c>
      <c r="D23" s="11" t="s">
        <v>62</v>
      </c>
      <c r="E23" s="11">
        <v>0.423645833333333</v>
      </c>
      <c r="F23" s="12">
        <f t="shared" si="1"/>
        <v>3.0180555555555366</v>
      </c>
      <c r="G23" s="13">
        <f t="shared" si="2"/>
        <v>2.1675000000000004</v>
      </c>
      <c r="H23" s="13">
        <f t="shared" si="3"/>
        <v>0.85055555555553619</v>
      </c>
      <c r="I23"/>
      <c r="J23"/>
    </row>
    <row r="24" spans="1:13" ht="18.75" x14ac:dyDescent="0.15">
      <c r="A24" s="10">
        <f t="shared" ca="1" si="0"/>
        <v>46105.500845601899</v>
      </c>
      <c r="B24" s="5" t="s">
        <v>82</v>
      </c>
      <c r="C24" s="11">
        <v>0.50084490740740695</v>
      </c>
      <c r="D24" s="11" t="s">
        <v>62</v>
      </c>
      <c r="E24" s="11">
        <v>0.63107638888888895</v>
      </c>
      <c r="F24" s="12">
        <f t="shared" si="1"/>
        <v>3.1255555555555681</v>
      </c>
      <c r="G24" s="13">
        <f t="shared" si="2"/>
        <v>3.1255555555555681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46105.755431597201</v>
      </c>
      <c r="B25" s="5" t="s">
        <v>78</v>
      </c>
      <c r="C25" s="11">
        <v>0.755428240740741</v>
      </c>
      <c r="D25" s="11" t="s">
        <v>62</v>
      </c>
      <c r="E25" s="11">
        <v>0.83802083333333299</v>
      </c>
      <c r="F25" s="12">
        <f t="shared" si="1"/>
        <v>1.9822222222222079</v>
      </c>
      <c r="G25" s="13">
        <f t="shared" si="2"/>
        <v>1.9822222222222079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46109.223268055597</v>
      </c>
      <c r="B26" s="5" t="s">
        <v>81</v>
      </c>
      <c r="C26" s="11">
        <v>0.13645833333333299</v>
      </c>
      <c r="D26" s="11" t="s">
        <v>62</v>
      </c>
      <c r="E26" s="11">
        <v>0.22355324074074101</v>
      </c>
      <c r="F26" s="12">
        <f t="shared" si="1"/>
        <v>2.0902777777777928</v>
      </c>
      <c r="G26" s="13">
        <f t="shared" si="2"/>
        <v>0</v>
      </c>
      <c r="H26" s="13">
        <f t="shared" si="3"/>
        <v>2.0902777777777928</v>
      </c>
      <c r="I26"/>
      <c r="J26"/>
    </row>
    <row r="27" spans="1:13" ht="18.75" x14ac:dyDescent="0.15">
      <c r="A27" s="10">
        <f t="shared" ca="1" si="0"/>
        <v>46110.013717476897</v>
      </c>
      <c r="B27" s="5" t="s">
        <v>82</v>
      </c>
      <c r="C27" s="11">
        <v>1.37152777777778E-2</v>
      </c>
      <c r="D27" s="11" t="s">
        <v>62</v>
      </c>
      <c r="E27" s="11">
        <v>0.10943287037037</v>
      </c>
      <c r="F27" s="12">
        <f t="shared" si="1"/>
        <v>2.2972222222222127</v>
      </c>
      <c r="G27" s="13">
        <f t="shared" si="2"/>
        <v>0</v>
      </c>
      <c r="H27" s="13">
        <f t="shared" si="3"/>
        <v>2.2972222222222127</v>
      </c>
      <c r="I27"/>
      <c r="J27"/>
    </row>
    <row r="28" spans="1:13" ht="18.75" x14ac:dyDescent="0.15">
      <c r="A28" s="10">
        <f t="shared" ca="1" si="0"/>
        <v>46110.109496759302</v>
      </c>
      <c r="B28" s="5" t="s">
        <v>83</v>
      </c>
      <c r="C28" s="11">
        <v>0.109490740740741</v>
      </c>
      <c r="D28" s="11" t="s">
        <v>62</v>
      </c>
      <c r="E28" s="11">
        <v>0.14891203703703701</v>
      </c>
      <c r="F28" s="12">
        <f t="shared" si="1"/>
        <v>0.94611111111110424</v>
      </c>
      <c r="G28" s="13">
        <f t="shared" si="2"/>
        <v>0</v>
      </c>
      <c r="H28" s="13">
        <f t="shared" si="3"/>
        <v>0.94611111111110424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46082.353955902799</v>
      </c>
      <c r="B3" s="5" t="s">
        <v>61</v>
      </c>
      <c r="C3" s="11">
        <v>0.353946759259259</v>
      </c>
      <c r="D3" s="11" t="s">
        <v>62</v>
      </c>
      <c r="E3" s="11">
        <v>0.54901620370370396</v>
      </c>
      <c r="F3" s="12">
        <f t="shared" ref="F3:F42" si="1">(IF(E3-C3&lt;0,"24:00"-C3+E3,E3-C3))*24</f>
        <v>4.6816666666666791</v>
      </c>
      <c r="G3" s="13">
        <f t="shared" ref="G3:G42" si="2">F3-H3</f>
        <v>4.6816666666666791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93.838611111111177</v>
      </c>
      <c r="K3" s="18">
        <f>SUMIF(B:B,"带班主任",G:G)</f>
        <v>67.443055555555659</v>
      </c>
      <c r="L3" s="18">
        <f>SUMIF(B:B,"带班主任",H:H)</f>
        <v>26.395555555555532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46082.7884962963</v>
      </c>
      <c r="B4" s="5" t="s">
        <v>61</v>
      </c>
      <c r="C4" s="11">
        <v>0.78849537037036999</v>
      </c>
      <c r="D4" s="11" t="s">
        <v>62</v>
      </c>
      <c r="E4" s="11">
        <v>0.95085648148148105</v>
      </c>
      <c r="F4" s="12">
        <f t="shared" si="1"/>
        <v>3.8966666666666656</v>
      </c>
      <c r="G4" s="13">
        <f t="shared" si="2"/>
        <v>3.8966666666666656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10.937777777777793</v>
      </c>
      <c r="K4" s="23">
        <f>SUMIF(B:B,"西塔台管制席",G:G)+SUMIF(B:B,"东塔台管制席",G:G)</f>
        <v>1.1041666666666798</v>
      </c>
      <c r="L4" s="23">
        <f>SUMIF(B:B,"西塔台管制席",H:H)+SUMIF(B:B,"东塔台管制席",H:H)</f>
        <v>9.8336111111111126</v>
      </c>
      <c r="M4" s="19"/>
    </row>
    <row r="5" spans="1:16" ht="18.75" x14ac:dyDescent="0.25">
      <c r="A5" s="10">
        <f t="shared" ca="1" si="0"/>
        <v>46083.290805671299</v>
      </c>
      <c r="B5" s="5" t="s">
        <v>61</v>
      </c>
      <c r="C5" s="11">
        <v>0.29079861111111099</v>
      </c>
      <c r="D5" s="11" t="s">
        <v>62</v>
      </c>
      <c r="E5" s="11">
        <v>0.33994212962963</v>
      </c>
      <c r="F5" s="12">
        <f t="shared" si="1"/>
        <v>1.1794444444444561</v>
      </c>
      <c r="G5" s="13">
        <f t="shared" si="2"/>
        <v>0.15861111111112836</v>
      </c>
      <c r="H5" s="13">
        <f t="shared" si="3"/>
        <v>1.0208333333333277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46083.346817245401</v>
      </c>
      <c r="B6" s="5" t="s">
        <v>61</v>
      </c>
      <c r="C6" s="11">
        <v>0.34681712962963002</v>
      </c>
      <c r="D6" s="11" t="s">
        <v>62</v>
      </c>
      <c r="E6" s="11">
        <v>0.54445601851851899</v>
      </c>
      <c r="F6" s="12">
        <f t="shared" si="1"/>
        <v>4.7433333333333358</v>
      </c>
      <c r="G6" s="13">
        <f t="shared" si="2"/>
        <v>4.7433333333333358</v>
      </c>
      <c r="H6" s="13">
        <f t="shared" si="3"/>
        <v>0</v>
      </c>
      <c r="I6" s="21" t="s">
        <v>66</v>
      </c>
      <c r="J6" s="22">
        <f>SUMIF(B:B,"放行席",F:F)</f>
        <v>1.9811111111111281</v>
      </c>
      <c r="K6" s="23">
        <f>SUMIF(B:B,"放行席",G:G)</f>
        <v>0</v>
      </c>
      <c r="L6" s="23">
        <f>SUMIF(B:B,"放行席",H:H)</f>
        <v>1.9811111111111281</v>
      </c>
      <c r="M6" s="19"/>
    </row>
    <row r="7" spans="1:16" ht="18.75" x14ac:dyDescent="0.25">
      <c r="A7" s="10">
        <f t="shared" ca="1" si="0"/>
        <v>46083.934525925899</v>
      </c>
      <c r="B7" s="5" t="s">
        <v>61</v>
      </c>
      <c r="C7" s="11">
        <v>0.93452546296296302</v>
      </c>
      <c r="D7" s="11" t="s">
        <v>62</v>
      </c>
      <c r="E7" s="11">
        <v>0.13407407407407401</v>
      </c>
      <c r="F7" s="12">
        <f t="shared" si="1"/>
        <v>4.7891666666666639</v>
      </c>
      <c r="G7" s="13">
        <f t="shared" si="2"/>
        <v>1.5713888888888876</v>
      </c>
      <c r="H7" s="13">
        <f t="shared" si="3"/>
        <v>3.2177777777777763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46086.953997569399</v>
      </c>
      <c r="B8" s="5" t="s">
        <v>78</v>
      </c>
      <c r="C8" s="11">
        <v>0.95399305555555503</v>
      </c>
      <c r="D8" s="11" t="s">
        <v>62</v>
      </c>
      <c r="E8" s="11">
        <v>0.14719907407407401</v>
      </c>
      <c r="F8" s="12">
        <f t="shared" si="1"/>
        <v>4.6369444444444561</v>
      </c>
      <c r="G8" s="13">
        <f t="shared" si="2"/>
        <v>1.1041666666666798</v>
      </c>
      <c r="H8" s="13">
        <f t="shared" si="3"/>
        <v>3.5327777777777762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46088.013438310198</v>
      </c>
      <c r="B9" s="5" t="s">
        <v>83</v>
      </c>
      <c r="C9" s="11">
        <v>1.34375E-2</v>
      </c>
      <c r="D9" s="11" t="s">
        <v>62</v>
      </c>
      <c r="E9" s="11">
        <v>0.11003472222222201</v>
      </c>
      <c r="F9" s="12">
        <f t="shared" si="1"/>
        <v>2.318333333333328</v>
      </c>
      <c r="G9" s="13">
        <f t="shared" si="2"/>
        <v>0</v>
      </c>
      <c r="H9" s="13">
        <f t="shared" si="3"/>
        <v>2.318333333333328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46088.110066782399</v>
      </c>
      <c r="B10" s="5" t="s">
        <v>78</v>
      </c>
      <c r="C10" s="11">
        <v>0.11005787037037</v>
      </c>
      <c r="D10" s="11" t="s">
        <v>62</v>
      </c>
      <c r="E10" s="11">
        <v>0.143668981481481</v>
      </c>
      <c r="F10" s="12">
        <f t="shared" si="1"/>
        <v>0.80666666666666387</v>
      </c>
      <c r="G10" s="13">
        <f t="shared" si="2"/>
        <v>0</v>
      </c>
      <c r="H10" s="13">
        <f t="shared" si="3"/>
        <v>0.80666666666666387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46090.936295138898</v>
      </c>
      <c r="B11" s="5" t="s">
        <v>61</v>
      </c>
      <c r="C11" s="11">
        <v>0.93628472222222203</v>
      </c>
      <c r="D11" s="11" t="s">
        <v>62</v>
      </c>
      <c r="E11" s="11">
        <v>0.14083333333333301</v>
      </c>
      <c r="F11" s="12">
        <f t="shared" si="1"/>
        <v>4.9091666666666631</v>
      </c>
      <c r="G11" s="13">
        <f t="shared" si="2"/>
        <v>1.5291666666666712</v>
      </c>
      <c r="H11" s="13">
        <f t="shared" si="3"/>
        <v>3.3799999999999919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46091.543670138897</v>
      </c>
      <c r="B12" s="5" t="s">
        <v>61</v>
      </c>
      <c r="C12" s="11">
        <v>0.54366898148148102</v>
      </c>
      <c r="D12" s="11" t="s">
        <v>62</v>
      </c>
      <c r="E12" s="11">
        <v>0.79994212962962996</v>
      </c>
      <c r="F12" s="12">
        <f t="shared" si="1"/>
        <v>6.1505555555555746</v>
      </c>
      <c r="G12" s="13">
        <f t="shared" si="2"/>
        <v>6.1505555555555746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46092.129710069399</v>
      </c>
      <c r="B13" s="5" t="s">
        <v>61</v>
      </c>
      <c r="C13" s="11">
        <v>0.12971064814814801</v>
      </c>
      <c r="D13" s="11" t="s">
        <v>62</v>
      </c>
      <c r="E13" s="11">
        <v>0.300763888888889</v>
      </c>
      <c r="F13" s="12">
        <f t="shared" si="1"/>
        <v>4.1052777777777836</v>
      </c>
      <c r="G13" s="13">
        <f t="shared" si="2"/>
        <v>0</v>
      </c>
      <c r="H13" s="13">
        <f t="shared" si="3"/>
        <v>4.1052777777777836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46094.538879282401</v>
      </c>
      <c r="B14" s="5" t="s">
        <v>61</v>
      </c>
      <c r="C14" s="11">
        <v>0.53887731481481504</v>
      </c>
      <c r="D14" s="11" t="s">
        <v>62</v>
      </c>
      <c r="E14" s="11">
        <v>0.80084490740740699</v>
      </c>
      <c r="F14" s="12">
        <f t="shared" si="1"/>
        <v>6.2872222222222067</v>
      </c>
      <c r="G14" s="13">
        <f t="shared" si="2"/>
        <v>6.2872222222222067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46095.127559722197</v>
      </c>
      <c r="B15" s="5" t="s">
        <v>61</v>
      </c>
      <c r="C15" s="11">
        <v>0.12755787037037</v>
      </c>
      <c r="D15" s="11" t="s">
        <v>62</v>
      </c>
      <c r="E15" s="11">
        <v>0.30239583333333298</v>
      </c>
      <c r="F15" s="12">
        <f t="shared" si="1"/>
        <v>4.1961111111111116</v>
      </c>
      <c r="G15" s="13">
        <f t="shared" si="2"/>
        <v>0</v>
      </c>
      <c r="H15" s="13">
        <f t="shared" si="3"/>
        <v>4.1961111111111116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46095.790864351897</v>
      </c>
      <c r="B16" s="5" t="s">
        <v>61</v>
      </c>
      <c r="C16" s="11">
        <v>0.79085648148148102</v>
      </c>
      <c r="D16" s="11" t="s">
        <v>62</v>
      </c>
      <c r="E16" s="11">
        <v>0.94100694444444499</v>
      </c>
      <c r="F16" s="12">
        <f t="shared" si="1"/>
        <v>3.6036111111111353</v>
      </c>
      <c r="G16" s="13">
        <f t="shared" si="2"/>
        <v>3.6036111111111353</v>
      </c>
      <c r="H16" s="13">
        <f t="shared" si="3"/>
        <v>0</v>
      </c>
      <c r="I16" s="35" t="s">
        <v>63</v>
      </c>
      <c r="J16" s="36">
        <f t="shared" ref="J16:L16" si="4">J3</f>
        <v>93.838611111111177</v>
      </c>
      <c r="K16" s="37">
        <f t="shared" si="4"/>
        <v>67.443055555555659</v>
      </c>
      <c r="L16" s="38">
        <f t="shared" si="4"/>
        <v>26.395555555555532</v>
      </c>
      <c r="M16" s="39"/>
    </row>
    <row r="17" spans="1:13" ht="20.25" x14ac:dyDescent="0.25">
      <c r="A17" s="10">
        <f t="shared" ca="1" si="0"/>
        <v>46096.289317129602</v>
      </c>
      <c r="B17" s="5" t="s">
        <v>61</v>
      </c>
      <c r="C17" s="11">
        <v>0.28931712962963002</v>
      </c>
      <c r="D17" s="11" t="s">
        <v>62</v>
      </c>
      <c r="E17" s="11">
        <v>0.362106481481481</v>
      </c>
      <c r="F17" s="12">
        <f t="shared" si="1"/>
        <v>1.7469444444444235</v>
      </c>
      <c r="G17" s="13">
        <f t="shared" si="2"/>
        <v>0.69055555555555248</v>
      </c>
      <c r="H17" s="13">
        <f t="shared" si="3"/>
        <v>1.0563888888888711</v>
      </c>
      <c r="I17" s="35" t="s">
        <v>75</v>
      </c>
      <c r="J17" s="36">
        <f>J4+J5+J6+J7+J10</f>
        <v>12.918888888888921</v>
      </c>
      <c r="K17" s="37">
        <f>K4+K5+K6+K7+K10</f>
        <v>1.1041666666666798</v>
      </c>
      <c r="L17" s="38">
        <f>L4+L5+L6+L7+L10</f>
        <v>11.81472222222224</v>
      </c>
      <c r="M17" s="39"/>
    </row>
    <row r="18" spans="1:13" ht="20.25" x14ac:dyDescent="0.25">
      <c r="A18" s="10">
        <f t="shared" ca="1" si="0"/>
        <v>46098.549872916701</v>
      </c>
      <c r="B18" s="5" t="s">
        <v>61</v>
      </c>
      <c r="C18" s="11">
        <v>0.35473379629629598</v>
      </c>
      <c r="D18" s="11" t="s">
        <v>62</v>
      </c>
      <c r="E18" s="11">
        <v>0.54987268518518495</v>
      </c>
      <c r="F18" s="12">
        <f t="shared" si="1"/>
        <v>4.6833333333333353</v>
      </c>
      <c r="G18" s="13">
        <f t="shared" si="2"/>
        <v>4.6833333333333353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46098.791850000001</v>
      </c>
      <c r="B19" s="5" t="s">
        <v>61</v>
      </c>
      <c r="C19" s="11">
        <v>0.79184027777777799</v>
      </c>
      <c r="D19" s="11" t="s">
        <v>62</v>
      </c>
      <c r="E19" s="11">
        <v>0.93872685185185201</v>
      </c>
      <c r="F19" s="12">
        <f t="shared" si="1"/>
        <v>3.5252777777777764</v>
      </c>
      <c r="G19" s="13">
        <f t="shared" si="2"/>
        <v>3.5252777777777764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46099.446604398101</v>
      </c>
      <c r="B20" s="5" t="s">
        <v>61</v>
      </c>
      <c r="C20" s="11">
        <v>0.44659722222222198</v>
      </c>
      <c r="D20" s="11" t="s">
        <v>62</v>
      </c>
      <c r="E20" s="11">
        <v>0.553993055555556</v>
      </c>
      <c r="F20" s="12">
        <f t="shared" si="1"/>
        <v>2.5775000000000166</v>
      </c>
      <c r="G20" s="13">
        <f t="shared" si="2"/>
        <v>2.5775000000000166</v>
      </c>
      <c r="H20" s="13">
        <f t="shared" si="3"/>
        <v>0</v>
      </c>
      <c r="I20" s="40" t="s">
        <v>77</v>
      </c>
      <c r="J20" s="65">
        <f>J16+J17+J18+J19</f>
        <v>106.75750000000009</v>
      </c>
      <c r="K20" s="66"/>
      <c r="L20" s="67"/>
      <c r="M20" s="41"/>
    </row>
    <row r="21" spans="1:13" ht="20.25" x14ac:dyDescent="0.25">
      <c r="A21" s="10">
        <f t="shared" ca="1" si="0"/>
        <v>46103.286701388897</v>
      </c>
      <c r="B21" s="5" t="s">
        <v>61</v>
      </c>
      <c r="C21" s="11">
        <v>0.28670138888888902</v>
      </c>
      <c r="D21" s="11" t="s">
        <v>62</v>
      </c>
      <c r="E21" s="11">
        <v>0.55236111111111097</v>
      </c>
      <c r="F21" s="12">
        <f t="shared" si="1"/>
        <v>6.3758333333333272</v>
      </c>
      <c r="G21" s="13">
        <f t="shared" si="2"/>
        <v>5.2566666666666721</v>
      </c>
      <c r="H21" s="13">
        <f t="shared" si="3"/>
        <v>1.1191666666666551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46103.935362847202</v>
      </c>
      <c r="B22" s="5" t="s">
        <v>61</v>
      </c>
      <c r="C22" s="11">
        <v>0.93535879629629604</v>
      </c>
      <c r="D22" s="11" t="s">
        <v>62</v>
      </c>
      <c r="E22" s="11">
        <v>0.13805555555555599</v>
      </c>
      <c r="F22" s="12">
        <f t="shared" si="1"/>
        <v>4.8647222222222393</v>
      </c>
      <c r="G22" s="13">
        <f t="shared" si="2"/>
        <v>1.5513888888888956</v>
      </c>
      <c r="H22" s="13">
        <f t="shared" si="3"/>
        <v>3.3133333333333437</v>
      </c>
      <c r="I22"/>
      <c r="J22"/>
    </row>
    <row r="23" spans="1:13" ht="18.75" x14ac:dyDescent="0.15">
      <c r="A23" s="10">
        <f t="shared" ca="1" si="0"/>
        <v>46107.011505555602</v>
      </c>
      <c r="B23" s="5" t="s">
        <v>83</v>
      </c>
      <c r="C23" s="11">
        <v>1.1504629629629601E-2</v>
      </c>
      <c r="D23" s="11" t="s">
        <v>62</v>
      </c>
      <c r="E23" s="11">
        <v>0.117303240740741</v>
      </c>
      <c r="F23" s="12">
        <f t="shared" si="1"/>
        <v>2.5391666666666737</v>
      </c>
      <c r="G23" s="13">
        <f t="shared" si="2"/>
        <v>0</v>
      </c>
      <c r="H23" s="13">
        <f t="shared" si="3"/>
        <v>2.5391666666666737</v>
      </c>
      <c r="I23"/>
      <c r="J23"/>
    </row>
    <row r="24" spans="1:13" ht="18.75" x14ac:dyDescent="0.15">
      <c r="A24" s="10">
        <f t="shared" ca="1" si="0"/>
        <v>46107.117348726897</v>
      </c>
      <c r="B24" s="5" t="s">
        <v>78</v>
      </c>
      <c r="C24" s="11">
        <v>0.117337962962963</v>
      </c>
      <c r="D24" s="11" t="s">
        <v>62</v>
      </c>
      <c r="E24" s="11">
        <v>0.14386574074074099</v>
      </c>
      <c r="F24" s="12">
        <f t="shared" si="1"/>
        <v>0.6366666666666716</v>
      </c>
      <c r="G24" s="13">
        <f t="shared" si="2"/>
        <v>0</v>
      </c>
      <c r="H24" s="13">
        <f t="shared" si="3"/>
        <v>0.6366666666666716</v>
      </c>
      <c r="I24"/>
      <c r="J24"/>
    </row>
    <row r="25" spans="1:13" ht="18.75" x14ac:dyDescent="0.15">
      <c r="A25" s="10">
        <f t="shared" ca="1" si="0"/>
        <v>46107.538567245399</v>
      </c>
      <c r="B25" s="5" t="s">
        <v>61</v>
      </c>
      <c r="C25" s="11">
        <v>0.538564814814815</v>
      </c>
      <c r="D25" s="11" t="s">
        <v>62</v>
      </c>
      <c r="E25" s="11">
        <v>0.79532407407407402</v>
      </c>
      <c r="F25" s="12">
        <f t="shared" si="1"/>
        <v>6.1622222222222165</v>
      </c>
      <c r="G25" s="13">
        <f t="shared" si="2"/>
        <v>6.1622222222222165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46108.131937615697</v>
      </c>
      <c r="B26" s="5" t="s">
        <v>84</v>
      </c>
      <c r="C26" s="11">
        <v>0.13193287037036999</v>
      </c>
      <c r="D26" s="11" t="s">
        <v>62</v>
      </c>
      <c r="E26" s="11">
        <v>0.214479166666667</v>
      </c>
      <c r="F26" s="12">
        <f t="shared" si="1"/>
        <v>1.9811111111111281</v>
      </c>
      <c r="G26" s="13">
        <f t="shared" si="2"/>
        <v>0</v>
      </c>
      <c r="H26" s="13">
        <f t="shared" si="3"/>
        <v>1.9811111111111281</v>
      </c>
      <c r="I26"/>
      <c r="J26"/>
    </row>
    <row r="27" spans="1:13" ht="18.75" x14ac:dyDescent="0.15">
      <c r="A27" s="10">
        <f t="shared" ca="1" si="0"/>
        <v>46110.541880671299</v>
      </c>
      <c r="B27" s="5" t="s">
        <v>61</v>
      </c>
      <c r="C27" s="11">
        <v>0.541875</v>
      </c>
      <c r="D27" s="11" t="s">
        <v>62</v>
      </c>
      <c r="E27" s="11">
        <v>0.68012731481481503</v>
      </c>
      <c r="F27" s="12">
        <f t="shared" si="1"/>
        <v>3.3180555555555609</v>
      </c>
      <c r="G27" s="13">
        <f t="shared" si="2"/>
        <v>3.3180555555555609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46110.690389699099</v>
      </c>
      <c r="B28" s="5" t="s">
        <v>61</v>
      </c>
      <c r="C28" s="11">
        <v>0.69038194444444401</v>
      </c>
      <c r="D28" s="11" t="s">
        <v>62</v>
      </c>
      <c r="E28" s="11">
        <v>0.799259259259259</v>
      </c>
      <c r="F28" s="12">
        <f t="shared" si="1"/>
        <v>2.6130555555555599</v>
      </c>
      <c r="G28" s="13">
        <f t="shared" si="2"/>
        <v>2.6130555555555599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46111.132629976899</v>
      </c>
      <c r="B29" s="5" t="s">
        <v>61</v>
      </c>
      <c r="C29" s="11">
        <v>0.13262731481481499</v>
      </c>
      <c r="D29" s="11" t="s">
        <v>62</v>
      </c>
      <c r="E29" s="11">
        <v>0.29743055555555598</v>
      </c>
      <c r="F29" s="12">
        <f t="shared" si="1"/>
        <v>3.9552777777777837</v>
      </c>
      <c r="G29" s="13">
        <f t="shared" si="2"/>
        <v>0</v>
      </c>
      <c r="H29" s="13">
        <f t="shared" si="3"/>
        <v>3.9552777777777837</v>
      </c>
      <c r="I29"/>
      <c r="J29"/>
    </row>
    <row r="30" spans="1:13" ht="18.75" x14ac:dyDescent="0.15">
      <c r="A30" s="10">
        <f t="shared" ca="1" si="0"/>
        <v>46111.788441319397</v>
      </c>
      <c r="B30" s="5" t="s">
        <v>61</v>
      </c>
      <c r="C30" s="11">
        <v>0.78843750000000001</v>
      </c>
      <c r="D30" s="11" t="s">
        <v>62</v>
      </c>
      <c r="E30" s="11">
        <v>0.94277777777777805</v>
      </c>
      <c r="F30" s="12">
        <f t="shared" si="1"/>
        <v>3.7041666666666728</v>
      </c>
      <c r="G30" s="13">
        <f t="shared" si="2"/>
        <v>3.7041666666666728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46112.290359143502</v>
      </c>
      <c r="B31" s="5" t="s">
        <v>61</v>
      </c>
      <c r="C31" s="11">
        <v>0.29035879629629602</v>
      </c>
      <c r="D31" s="11" t="s">
        <v>62</v>
      </c>
      <c r="E31" s="11">
        <v>0.364108796296296</v>
      </c>
      <c r="F31" s="12">
        <f t="shared" si="1"/>
        <v>1.7699999999999996</v>
      </c>
      <c r="G31" s="13">
        <f t="shared" si="2"/>
        <v>0.73861111111111244</v>
      </c>
      <c r="H31" s="13">
        <f t="shared" si="3"/>
        <v>1.0313888888888871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46082.134470370402</v>
      </c>
      <c r="B3" s="5" t="s">
        <v>61</v>
      </c>
      <c r="C3" s="11">
        <v>0.134467592592593</v>
      </c>
      <c r="D3" s="11" t="s">
        <v>62</v>
      </c>
      <c r="E3" s="11">
        <v>0.30016203703703698</v>
      </c>
      <c r="F3" s="12">
        <f t="shared" ref="F3:F42" si="1">(IF(E3-C3&lt;0,"24:00"-C3+E3,E3-C3))*24</f>
        <v>3.9766666666666555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3.9766666666666555</v>
      </c>
      <c r="I3" s="16" t="s">
        <v>63</v>
      </c>
      <c r="J3" s="17">
        <f>SUMIF(B:B,"带班主任",F:F)</f>
        <v>100.33916666666673</v>
      </c>
      <c r="K3" s="18">
        <f>SUMIF(B:B,"带班主任",G:G)</f>
        <v>58.311944444444535</v>
      </c>
      <c r="L3" s="18">
        <f>SUMIF(B:B,"带班主任",H:H)</f>
        <v>42.027222222222186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46084.358353935197</v>
      </c>
      <c r="B4" s="5" t="s">
        <v>61</v>
      </c>
      <c r="C4" s="11">
        <v>0.35834490740740699</v>
      </c>
      <c r="D4" s="11" t="s">
        <v>62</v>
      </c>
      <c r="E4" s="11">
        <v>0.54892361111111099</v>
      </c>
      <c r="F4" s="12">
        <f t="shared" si="1"/>
        <v>4.573888888888896</v>
      </c>
      <c r="G4" s="13">
        <f t="shared" si="2"/>
        <v>4.573888888888896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3.046111111111105</v>
      </c>
      <c r="K4" s="23">
        <f>SUMIF(B:B,"西塔台管制席",G:G)+SUMIF(B:B,"东塔台管制席",G:G)</f>
        <v>2.9136111111111127</v>
      </c>
      <c r="L4" s="23">
        <f>SUMIF(B:B,"西塔台管制席",H:H)+SUMIF(B:B,"东塔台管制席",H:H)</f>
        <v>0.13249999999999207</v>
      </c>
      <c r="M4" s="19"/>
    </row>
    <row r="5" spans="1:16" ht="18.75" x14ac:dyDescent="0.25">
      <c r="A5" s="10">
        <f t="shared" ca="1" si="0"/>
        <v>46084.793351967601</v>
      </c>
      <c r="B5" s="5" t="s">
        <v>61</v>
      </c>
      <c r="C5" s="11">
        <v>0.79334490740740704</v>
      </c>
      <c r="D5" s="11" t="s">
        <v>62</v>
      </c>
      <c r="E5" s="11">
        <v>0.944814814814815</v>
      </c>
      <c r="F5" s="12">
        <f t="shared" si="1"/>
        <v>3.6352777777777909</v>
      </c>
      <c r="G5" s="13">
        <f t="shared" si="2"/>
        <v>3.6352777777777909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3.3863888888888871</v>
      </c>
      <c r="K5" s="23">
        <f>SUMIF(B:B,"西塔台协调席",G:G)+SUMIF(B:B,"东塔台协调席",G:G)</f>
        <v>0.94833333333333503</v>
      </c>
      <c r="L5" s="23">
        <f>SUMIF(B:B,"西塔台协调席",H:H)+SUMIF(B:B,"东塔台协调席",H:H)</f>
        <v>2.4380555555555521</v>
      </c>
      <c r="M5" s="19"/>
    </row>
    <row r="6" spans="1:16" ht="18.75" x14ac:dyDescent="0.25">
      <c r="A6" s="10">
        <f t="shared" ca="1" si="0"/>
        <v>46085.293494097197</v>
      </c>
      <c r="B6" s="5" t="s">
        <v>61</v>
      </c>
      <c r="C6" s="11">
        <v>0.29348379629629601</v>
      </c>
      <c r="D6" s="11" t="s">
        <v>62</v>
      </c>
      <c r="E6" s="11">
        <v>0.547604166666667</v>
      </c>
      <c r="F6" s="12">
        <f t="shared" si="1"/>
        <v>6.0988888888889043</v>
      </c>
      <c r="G6" s="13">
        <f t="shared" si="2"/>
        <v>5.1425000000000169</v>
      </c>
      <c r="H6" s="13">
        <f t="shared" si="3"/>
        <v>0.9563888888888874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46085.940746759297</v>
      </c>
      <c r="B7" s="5" t="s">
        <v>61</v>
      </c>
      <c r="C7" s="11">
        <v>0.94074074074074099</v>
      </c>
      <c r="D7" s="11" t="s">
        <v>62</v>
      </c>
      <c r="E7" s="11">
        <v>0.13944444444444401</v>
      </c>
      <c r="F7" s="12">
        <f t="shared" si="1"/>
        <v>4.7688888888888723</v>
      </c>
      <c r="G7" s="13">
        <f t="shared" si="2"/>
        <v>1.4222222222222163</v>
      </c>
      <c r="H7" s="13">
        <f t="shared" si="3"/>
        <v>3.346666666666656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46088.503781944397</v>
      </c>
      <c r="B8" s="5" t="s">
        <v>61</v>
      </c>
      <c r="C8" s="11">
        <v>0.503773148148148</v>
      </c>
      <c r="D8" s="11" t="s">
        <v>62</v>
      </c>
      <c r="E8" s="11">
        <v>0.78846064814814798</v>
      </c>
      <c r="F8" s="12">
        <f t="shared" si="1"/>
        <v>6.8324999999999996</v>
      </c>
      <c r="G8" s="13">
        <f t="shared" si="2"/>
        <v>6.8324999999999996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46089.132362152799</v>
      </c>
      <c r="B9" s="5" t="s">
        <v>61</v>
      </c>
      <c r="C9" s="11">
        <v>0.13236111111111101</v>
      </c>
      <c r="D9" s="11" t="s">
        <v>62</v>
      </c>
      <c r="E9" s="11">
        <v>0.34494212962963</v>
      </c>
      <c r="F9" s="12">
        <f t="shared" si="1"/>
        <v>5.1019444444444559</v>
      </c>
      <c r="G9" s="13">
        <f t="shared" si="2"/>
        <v>0.27861111111112891</v>
      </c>
      <c r="H9" s="13">
        <f t="shared" si="3"/>
        <v>4.823333333333327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46089.794559722199</v>
      </c>
      <c r="B10" s="5" t="s">
        <v>61</v>
      </c>
      <c r="C10" s="11">
        <v>0.79456018518518501</v>
      </c>
      <c r="D10" s="11" t="s">
        <v>62</v>
      </c>
      <c r="E10" s="11">
        <v>0.87906249999999997</v>
      </c>
      <c r="F10" s="12">
        <f t="shared" si="1"/>
        <v>2.0280555555555591</v>
      </c>
      <c r="G10" s="13">
        <f t="shared" si="2"/>
        <v>2.0280555555555591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46089.934163194397</v>
      </c>
      <c r="B11" s="5" t="s">
        <v>61</v>
      </c>
      <c r="C11" s="11">
        <v>0.89596064814814802</v>
      </c>
      <c r="D11" s="11" t="s">
        <v>62</v>
      </c>
      <c r="E11" s="11">
        <v>0.94511574074074101</v>
      </c>
      <c r="F11" s="12">
        <f t="shared" si="1"/>
        <v>1.1797222222222317</v>
      </c>
      <c r="G11" s="13">
        <f t="shared" si="2"/>
        <v>1.1797222222222317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46090.280476273103</v>
      </c>
      <c r="B12" s="5" t="s">
        <v>61</v>
      </c>
      <c r="C12" s="11">
        <v>0.28047453703703701</v>
      </c>
      <c r="D12" s="11" t="s">
        <v>62</v>
      </c>
      <c r="E12" s="11">
        <v>0.36371527777777801</v>
      </c>
      <c r="F12" s="12">
        <f t="shared" si="1"/>
        <v>1.9977777777777841</v>
      </c>
      <c r="G12" s="13">
        <f t="shared" si="2"/>
        <v>0.72916666666668073</v>
      </c>
      <c r="H12" s="13">
        <f t="shared" si="3"/>
        <v>1.2686111111111034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46092.937576157397</v>
      </c>
      <c r="B13" s="5" t="s">
        <v>61</v>
      </c>
      <c r="C13" s="11">
        <v>0.93756944444444401</v>
      </c>
      <c r="D13" s="11" t="s">
        <v>62</v>
      </c>
      <c r="E13" s="11">
        <v>0.13997685185185199</v>
      </c>
      <c r="F13" s="12">
        <f t="shared" si="1"/>
        <v>4.8577777777777911</v>
      </c>
      <c r="G13" s="13">
        <f t="shared" si="2"/>
        <v>1.4983333333333433</v>
      </c>
      <c r="H13" s="13">
        <f t="shared" si="3"/>
        <v>3.3594444444444478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46093.547914583301</v>
      </c>
      <c r="B14" s="5" t="s">
        <v>61</v>
      </c>
      <c r="C14" s="11">
        <v>0.54790509259259301</v>
      </c>
      <c r="D14" s="11" t="s">
        <v>62</v>
      </c>
      <c r="E14" s="11">
        <v>0.79906250000000001</v>
      </c>
      <c r="F14" s="12">
        <f t="shared" si="1"/>
        <v>6.0277777777777679</v>
      </c>
      <c r="G14" s="13">
        <f t="shared" si="2"/>
        <v>6.0277777777777679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46094.135148611102</v>
      </c>
      <c r="B16" s="5" t="s">
        <v>61</v>
      </c>
      <c r="C16" s="11">
        <v>0.135138888888889</v>
      </c>
      <c r="D16" s="11" t="s">
        <v>62</v>
      </c>
      <c r="E16" s="11">
        <v>0.30020833333333302</v>
      </c>
      <c r="F16" s="12">
        <f t="shared" si="1"/>
        <v>3.9616666666666562</v>
      </c>
      <c r="G16" s="13">
        <f t="shared" si="2"/>
        <v>0</v>
      </c>
      <c r="H16" s="13">
        <f t="shared" si="3"/>
        <v>3.9616666666666562</v>
      </c>
      <c r="I16" s="35" t="s">
        <v>63</v>
      </c>
      <c r="J16" s="36">
        <f t="shared" ref="J16:L16" si="4">J3</f>
        <v>100.33916666666673</v>
      </c>
      <c r="K16" s="37">
        <f t="shared" si="4"/>
        <v>58.311944444444535</v>
      </c>
      <c r="L16" s="38">
        <f t="shared" si="4"/>
        <v>42.027222222222186</v>
      </c>
      <c r="M16" s="39"/>
    </row>
    <row r="17" spans="1:13" ht="20.25" x14ac:dyDescent="0.25">
      <c r="A17" s="10">
        <f t="shared" ca="1" si="0"/>
        <v>46096.935733217601</v>
      </c>
      <c r="B17" s="5" t="s">
        <v>61</v>
      </c>
      <c r="C17" s="11">
        <v>0.93572916666666694</v>
      </c>
      <c r="D17" s="11" t="s">
        <v>62</v>
      </c>
      <c r="E17" s="11">
        <v>0.14019675925925901</v>
      </c>
      <c r="F17" s="12">
        <f t="shared" si="1"/>
        <v>4.9072222222222095</v>
      </c>
      <c r="G17" s="13">
        <f t="shared" si="2"/>
        <v>1.5424999999999933</v>
      </c>
      <c r="H17" s="13">
        <f t="shared" si="3"/>
        <v>3.3647222222222162</v>
      </c>
      <c r="I17" s="35" t="s">
        <v>75</v>
      </c>
      <c r="J17" s="36">
        <f>J4+J5+J6+J7+J10</f>
        <v>6.4324999999999921</v>
      </c>
      <c r="K17" s="37">
        <f>K4+K5+K6+K7+K10</f>
        <v>3.8619444444444477</v>
      </c>
      <c r="L17" s="38">
        <f>L4+L5+L6+L7+L10</f>
        <v>2.5705555555555444</v>
      </c>
      <c r="M17" s="39"/>
    </row>
    <row r="18" spans="1:13" ht="20.25" x14ac:dyDescent="0.25">
      <c r="A18" s="10">
        <f t="shared" ca="1" si="0"/>
        <v>46097.5510266204</v>
      </c>
      <c r="B18" s="5" t="s">
        <v>61</v>
      </c>
      <c r="C18" s="11">
        <v>0.55101851851851802</v>
      </c>
      <c r="D18" s="11" t="s">
        <v>62</v>
      </c>
      <c r="E18" s="11">
        <v>0.79887731481481505</v>
      </c>
      <c r="F18" s="12">
        <f t="shared" si="1"/>
        <v>5.9486111111111288</v>
      </c>
      <c r="G18" s="13">
        <f t="shared" si="2"/>
        <v>5.9486111111111288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46098.132890277797</v>
      </c>
      <c r="B19" s="5" t="s">
        <v>61</v>
      </c>
      <c r="C19" s="11">
        <v>0.13288194444444401</v>
      </c>
      <c r="D19" s="11" t="s">
        <v>62</v>
      </c>
      <c r="E19" s="11">
        <v>0.299027777777778</v>
      </c>
      <c r="F19" s="12">
        <f t="shared" si="1"/>
        <v>3.9875000000000158</v>
      </c>
      <c r="G19" s="13">
        <f t="shared" si="2"/>
        <v>0</v>
      </c>
      <c r="H19" s="13">
        <f t="shared" si="3"/>
        <v>3.9875000000000158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46100.960485763899</v>
      </c>
      <c r="B20" s="5" t="s">
        <v>80</v>
      </c>
      <c r="C20" s="11">
        <v>0.96048611111111104</v>
      </c>
      <c r="D20" s="11" t="s">
        <v>62</v>
      </c>
      <c r="E20" s="11">
        <v>0.10158564814814799</v>
      </c>
      <c r="F20" s="12">
        <f t="shared" si="1"/>
        <v>3.3863888888888871</v>
      </c>
      <c r="G20" s="13">
        <f t="shared" si="2"/>
        <v>0.94833333333333503</v>
      </c>
      <c r="H20" s="13">
        <f t="shared" si="3"/>
        <v>2.4380555555555521</v>
      </c>
      <c r="I20" s="40" t="s">
        <v>77</v>
      </c>
      <c r="J20" s="65">
        <f>J16+J17+J18+J19</f>
        <v>106.77166666666672</v>
      </c>
      <c r="K20" s="66"/>
      <c r="L20" s="67"/>
      <c r="M20" s="41"/>
    </row>
    <row r="21" spans="1:13" ht="20.25" x14ac:dyDescent="0.25">
      <c r="A21" s="10">
        <f t="shared" ca="1" si="0"/>
        <v>46101.101702662003</v>
      </c>
      <c r="B21" s="5" t="s">
        <v>83</v>
      </c>
      <c r="C21" s="11">
        <v>0.10170138888888899</v>
      </c>
      <c r="D21" s="11" t="s">
        <v>62</v>
      </c>
      <c r="E21" s="11">
        <v>0.107222222222222</v>
      </c>
      <c r="F21" s="12">
        <f t="shared" si="1"/>
        <v>0.13249999999999207</v>
      </c>
      <c r="G21" s="13">
        <f t="shared" si="2"/>
        <v>0</v>
      </c>
      <c r="H21" s="13">
        <f t="shared" si="3"/>
        <v>0.13249999999999207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46101.503292708301</v>
      </c>
      <c r="B22" s="5" t="s">
        <v>78</v>
      </c>
      <c r="C22" s="11">
        <v>0.50328703703703703</v>
      </c>
      <c r="D22" s="11" t="s">
        <v>62</v>
      </c>
      <c r="E22" s="11">
        <v>0.60684027777777805</v>
      </c>
      <c r="F22" s="12">
        <f t="shared" si="1"/>
        <v>2.4852777777777844</v>
      </c>
      <c r="G22" s="13">
        <f t="shared" si="2"/>
        <v>2.4852777777777844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46101.617152662002</v>
      </c>
      <c r="B23" s="5" t="s">
        <v>78</v>
      </c>
      <c r="C23" s="11">
        <v>0.61715277777777799</v>
      </c>
      <c r="D23" s="11" t="s">
        <v>62</v>
      </c>
      <c r="E23" s="11">
        <v>0.63500000000000001</v>
      </c>
      <c r="F23" s="12">
        <f t="shared" si="1"/>
        <v>0.42833333333332835</v>
      </c>
      <c r="G23" s="13">
        <f t="shared" si="2"/>
        <v>0.42833333333332835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46104.569230208297</v>
      </c>
      <c r="B24" s="5" t="s">
        <v>61</v>
      </c>
      <c r="C24" s="11">
        <v>0.56922453703703701</v>
      </c>
      <c r="D24" s="11" t="s">
        <v>62</v>
      </c>
      <c r="E24" s="11">
        <v>0.77736111111111095</v>
      </c>
      <c r="F24" s="12">
        <f t="shared" si="1"/>
        <v>4.9952777777777744</v>
      </c>
      <c r="G24" s="13">
        <f t="shared" si="2"/>
        <v>4.9952777777777744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46105.131488078703</v>
      </c>
      <c r="B25" s="5" t="s">
        <v>61</v>
      </c>
      <c r="C25" s="11">
        <v>0.13148148148148101</v>
      </c>
      <c r="D25" s="11" t="s">
        <v>62</v>
      </c>
      <c r="E25" s="11">
        <v>0.33902777777777798</v>
      </c>
      <c r="F25" s="12">
        <f t="shared" si="1"/>
        <v>4.9811111111111277</v>
      </c>
      <c r="G25" s="13">
        <f t="shared" si="2"/>
        <v>0.13666666666668004</v>
      </c>
      <c r="H25" s="13">
        <f t="shared" si="3"/>
        <v>4.8444444444444477</v>
      </c>
      <c r="I25"/>
      <c r="J25"/>
    </row>
    <row r="26" spans="1:13" ht="18.75" x14ac:dyDescent="0.15">
      <c r="A26" s="10">
        <f t="shared" ca="1" si="0"/>
        <v>46105.791571064801</v>
      </c>
      <c r="B26" s="5" t="s">
        <v>61</v>
      </c>
      <c r="C26" s="11">
        <v>0.79156249999999995</v>
      </c>
      <c r="D26" s="11" t="s">
        <v>62</v>
      </c>
      <c r="E26" s="11">
        <v>0.94773148148148101</v>
      </c>
      <c r="F26" s="12">
        <f t="shared" si="1"/>
        <v>3.7480555555555455</v>
      </c>
      <c r="G26" s="13">
        <f t="shared" si="2"/>
        <v>3.7480555555555455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46106.298189004599</v>
      </c>
      <c r="B27" s="5" t="s">
        <v>61</v>
      </c>
      <c r="C27" s="11">
        <v>0.29818287037037</v>
      </c>
      <c r="D27" s="11" t="s">
        <v>62</v>
      </c>
      <c r="E27" s="11">
        <v>0.361643518518519</v>
      </c>
      <c r="F27" s="12">
        <f t="shared" si="1"/>
        <v>1.523055555555576</v>
      </c>
      <c r="G27" s="13">
        <f t="shared" si="2"/>
        <v>0.6794444444444645</v>
      </c>
      <c r="H27" s="13">
        <f t="shared" si="3"/>
        <v>0.84361111111111153</v>
      </c>
      <c r="I27"/>
      <c r="J27"/>
    </row>
    <row r="28" spans="1:13" ht="18.75" x14ac:dyDescent="0.15">
      <c r="A28" s="10">
        <f t="shared" ca="1" si="0"/>
        <v>46108.939942824101</v>
      </c>
      <c r="B28" s="5" t="s">
        <v>61</v>
      </c>
      <c r="C28" s="11">
        <v>0.93994212962962997</v>
      </c>
      <c r="D28" s="11" t="s">
        <v>62</v>
      </c>
      <c r="E28" s="11">
        <v>0.13909722222222201</v>
      </c>
      <c r="F28" s="12">
        <f t="shared" si="1"/>
        <v>4.7797222222222091</v>
      </c>
      <c r="G28" s="13">
        <f t="shared" si="2"/>
        <v>1.4413888888888806</v>
      </c>
      <c r="H28" s="13">
        <f t="shared" si="3"/>
        <v>3.3383333333333285</v>
      </c>
      <c r="I28"/>
      <c r="J28"/>
    </row>
    <row r="29" spans="1:13" ht="18.75" x14ac:dyDescent="0.15">
      <c r="A29" s="10">
        <f t="shared" ca="1" si="0"/>
        <v>46109.542646180598</v>
      </c>
      <c r="B29" s="5" t="s">
        <v>61</v>
      </c>
      <c r="C29" s="11">
        <v>0.542638888888889</v>
      </c>
      <c r="D29" s="11" t="s">
        <v>62</v>
      </c>
      <c r="E29" s="11">
        <v>0.81230324074074101</v>
      </c>
      <c r="F29" s="12">
        <f t="shared" si="1"/>
        <v>6.4719444444444481</v>
      </c>
      <c r="G29" s="13">
        <f t="shared" si="2"/>
        <v>6.4719444444444481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46110.134412036998</v>
      </c>
      <c r="B30" s="5" t="s">
        <v>61</v>
      </c>
      <c r="C30" s="11">
        <v>0.134409722222222</v>
      </c>
      <c r="D30" s="11" t="s">
        <v>62</v>
      </c>
      <c r="E30" s="11">
        <v>0.29923611111111098</v>
      </c>
      <c r="F30" s="12">
        <f t="shared" si="1"/>
        <v>3.9558333333333353</v>
      </c>
      <c r="G30" s="13">
        <f t="shared" si="2"/>
        <v>0</v>
      </c>
      <c r="H30" s="13">
        <f t="shared" si="3"/>
        <v>3.9558333333333353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46082.538784606499</v>
      </c>
      <c r="B3" s="5" t="s">
        <v>61</v>
      </c>
      <c r="C3" s="11">
        <v>0.53878472222222196</v>
      </c>
      <c r="D3" s="11" t="s">
        <v>62</v>
      </c>
      <c r="E3" s="11">
        <v>0.79598379629629601</v>
      </c>
      <c r="F3" s="12">
        <f t="shared" ref="F3:F42" si="1">(IF(E3-C3&lt;0,"24:00"-C3+E3,E3-C3))*24</f>
        <v>6.1727777777777773</v>
      </c>
      <c r="G3" s="13">
        <f t="shared" ref="G3:G42" si="2">F3-H3</f>
        <v>6.1727777777777773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109.18694444444442</v>
      </c>
      <c r="K3" s="18">
        <f>SUMIF(B:B,"带班主任",G:G)</f>
        <v>69.275277777777845</v>
      </c>
      <c r="L3" s="18">
        <f>SUMIF(B:B,"带班主任",H:H)</f>
        <v>39.911666666666612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46083.127473611101</v>
      </c>
      <c r="B4" s="5" t="s">
        <v>61</v>
      </c>
      <c r="C4" s="11">
        <v>0.127465277777778</v>
      </c>
      <c r="D4" s="11" t="s">
        <v>62</v>
      </c>
      <c r="E4" s="11">
        <v>0.29781249999999998</v>
      </c>
      <c r="F4" s="12">
        <f t="shared" si="1"/>
        <v>4.0883333333333276</v>
      </c>
      <c r="G4" s="13">
        <f t="shared" si="2"/>
        <v>0</v>
      </c>
      <c r="H4" s="13">
        <f t="shared" si="3"/>
        <v>4.0883333333333276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46083.789838657402</v>
      </c>
      <c r="B5" s="5" t="s">
        <v>61</v>
      </c>
      <c r="C5" s="11">
        <v>0.78983796296296305</v>
      </c>
      <c r="D5" s="11" t="s">
        <v>62</v>
      </c>
      <c r="E5" s="11">
        <v>0.942696759259259</v>
      </c>
      <c r="F5" s="12">
        <f t="shared" si="1"/>
        <v>3.6686111111111028</v>
      </c>
      <c r="G5" s="13">
        <f t="shared" si="2"/>
        <v>3.6686111111111028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46084.292166898202</v>
      </c>
      <c r="B6" s="5" t="s">
        <v>61</v>
      </c>
      <c r="C6" s="11">
        <v>0.29216435185185202</v>
      </c>
      <c r="D6" s="11" t="s">
        <v>62</v>
      </c>
      <c r="E6" s="11">
        <v>0.36560185185185201</v>
      </c>
      <c r="F6" s="12">
        <f t="shared" si="1"/>
        <v>1.7624999999999997</v>
      </c>
      <c r="G6" s="13">
        <f t="shared" si="2"/>
        <v>0.7744444444444567</v>
      </c>
      <c r="H6" s="13">
        <f t="shared" si="3"/>
        <v>0.98805555555554303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46086.936592129598</v>
      </c>
      <c r="B7" s="5" t="s">
        <v>61</v>
      </c>
      <c r="C7" s="11">
        <v>0.93658564814814804</v>
      </c>
      <c r="D7" s="11" t="s">
        <v>62</v>
      </c>
      <c r="E7" s="11">
        <v>0.13875000000000001</v>
      </c>
      <c r="F7" s="12">
        <f t="shared" si="1"/>
        <v>4.8519444444444471</v>
      </c>
      <c r="G7" s="13">
        <f t="shared" si="2"/>
        <v>1.521944444444447</v>
      </c>
      <c r="H7" s="13">
        <f t="shared" si="3"/>
        <v>3.33</v>
      </c>
      <c r="I7" s="21" t="s">
        <v>67</v>
      </c>
      <c r="J7" s="22">
        <f>SUMIF(B:B,"地面席",F:F)</f>
        <v>2.207500000000008</v>
      </c>
      <c r="K7" s="23">
        <f>SUMIF(B:B,"地面席",G:G)</f>
        <v>0</v>
      </c>
      <c r="L7" s="23">
        <f>SUMIF(B:B,"地面席",H:H)</f>
        <v>2.207500000000008</v>
      </c>
      <c r="M7" s="19"/>
    </row>
    <row r="8" spans="1:16" ht="18.75" x14ac:dyDescent="0.25">
      <c r="A8" s="10">
        <f t="shared" ca="1" si="0"/>
        <v>46087.540414120398</v>
      </c>
      <c r="B8" s="5" t="s">
        <v>61</v>
      </c>
      <c r="C8" s="11">
        <v>0.54040509259259295</v>
      </c>
      <c r="D8" s="11" t="s">
        <v>62</v>
      </c>
      <c r="E8" s="11">
        <v>0.79789351851851897</v>
      </c>
      <c r="F8" s="12">
        <f t="shared" si="1"/>
        <v>6.1797222222222246</v>
      </c>
      <c r="G8" s="13">
        <f t="shared" si="2"/>
        <v>6.1797222222222246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46088.1304459491</v>
      </c>
      <c r="B9" s="5" t="s">
        <v>61</v>
      </c>
      <c r="C9" s="11">
        <v>0.13043981481481501</v>
      </c>
      <c r="D9" s="11" t="s">
        <v>62</v>
      </c>
      <c r="E9" s="11">
        <v>0.29916666666666702</v>
      </c>
      <c r="F9" s="12">
        <f t="shared" si="1"/>
        <v>4.0494444444444486</v>
      </c>
      <c r="G9" s="13">
        <f t="shared" si="2"/>
        <v>0</v>
      </c>
      <c r="H9" s="13">
        <f t="shared" si="3"/>
        <v>4.0494444444444486</v>
      </c>
      <c r="I9" s="21" t="s">
        <v>69</v>
      </c>
      <c r="J9" s="22">
        <f>SUMIF(B:B,"航班调度席",F:F)</f>
        <v>0.2291666666666865</v>
      </c>
      <c r="K9" s="23">
        <f>SUMIF(B:B,"航班调度席",G:G)</f>
        <v>0.2291666666666865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46090.354274305602</v>
      </c>
      <c r="B10" s="5" t="s">
        <v>61</v>
      </c>
      <c r="C10" s="11">
        <v>0.35427083333333298</v>
      </c>
      <c r="D10" s="11" t="s">
        <v>62</v>
      </c>
      <c r="E10" s="11">
        <v>0.54755787037036996</v>
      </c>
      <c r="F10" s="12">
        <f t="shared" si="1"/>
        <v>4.6388888888888875</v>
      </c>
      <c r="G10" s="13">
        <f t="shared" si="2"/>
        <v>4.6388888888888875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46090.790549305602</v>
      </c>
      <c r="B11" s="5" t="s">
        <v>61</v>
      </c>
      <c r="C11" s="11">
        <v>0.79054398148148097</v>
      </c>
      <c r="D11" s="11" t="s">
        <v>62</v>
      </c>
      <c r="E11" s="11">
        <v>0.94341435185185196</v>
      </c>
      <c r="F11" s="12">
        <f t="shared" si="1"/>
        <v>3.6688888888889037</v>
      </c>
      <c r="G11" s="13">
        <f t="shared" si="2"/>
        <v>3.6688888888889037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46091.291433912003</v>
      </c>
      <c r="B12" s="5" t="s">
        <v>61</v>
      </c>
      <c r="C12" s="11">
        <v>0.29142361111111098</v>
      </c>
      <c r="D12" s="11" t="s">
        <v>62</v>
      </c>
      <c r="E12" s="11">
        <v>0.54194444444444401</v>
      </c>
      <c r="F12" s="12">
        <f t="shared" si="1"/>
        <v>6.0124999999999922</v>
      </c>
      <c r="G12" s="13">
        <f t="shared" si="2"/>
        <v>5.0066666666666642</v>
      </c>
      <c r="H12" s="13">
        <f t="shared" si="3"/>
        <v>1.005833333333328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46091.9356938657</v>
      </c>
      <c r="B13" s="5" t="s">
        <v>61</v>
      </c>
      <c r="C13" s="11">
        <v>0.93569444444444405</v>
      </c>
      <c r="D13" s="11" t="s">
        <v>62</v>
      </c>
      <c r="E13" s="11">
        <v>0.13724537037036999</v>
      </c>
      <c r="F13" s="12">
        <f t="shared" si="1"/>
        <v>4.8372222222222225</v>
      </c>
      <c r="G13" s="13">
        <f t="shared" si="2"/>
        <v>1.5433333333333428</v>
      </c>
      <c r="H13" s="13">
        <f t="shared" si="3"/>
        <v>3.2938888888888798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46094.934815393499</v>
      </c>
      <c r="B14" s="5" t="s">
        <v>61</v>
      </c>
      <c r="C14" s="11">
        <v>0.93481481481481499</v>
      </c>
      <c r="D14" s="11" t="s">
        <v>62</v>
      </c>
      <c r="E14" s="11">
        <v>0.134699074074074</v>
      </c>
      <c r="F14" s="12">
        <f t="shared" si="1"/>
        <v>4.7972222222222163</v>
      </c>
      <c r="G14" s="13">
        <f t="shared" si="2"/>
        <v>1.5644444444444403</v>
      </c>
      <c r="H14" s="13">
        <f t="shared" si="3"/>
        <v>3.232777777777776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46095.542651504598</v>
      </c>
      <c r="B15" s="5" t="s">
        <v>61</v>
      </c>
      <c r="C15" s="11">
        <v>0.54265046296296304</v>
      </c>
      <c r="D15" s="11" t="s">
        <v>62</v>
      </c>
      <c r="E15" s="11">
        <v>0.79775462962962995</v>
      </c>
      <c r="F15" s="12">
        <f t="shared" si="1"/>
        <v>6.1225000000000058</v>
      </c>
      <c r="G15" s="13">
        <f t="shared" si="2"/>
        <v>6.1225000000000058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46096.130295601899</v>
      </c>
      <c r="B16" s="5" t="s">
        <v>61</v>
      </c>
      <c r="C16" s="11">
        <v>0.130289351851852</v>
      </c>
      <c r="D16" s="11" t="s">
        <v>62</v>
      </c>
      <c r="E16" s="11">
        <v>0.29703703703703699</v>
      </c>
      <c r="F16" s="12">
        <f t="shared" si="1"/>
        <v>4.0019444444444394</v>
      </c>
      <c r="G16" s="13">
        <f t="shared" si="2"/>
        <v>0</v>
      </c>
      <c r="H16" s="13">
        <f t="shared" si="3"/>
        <v>4.0019444444444394</v>
      </c>
      <c r="I16" s="35" t="s">
        <v>63</v>
      </c>
      <c r="J16" s="36">
        <f t="shared" ref="J16:L16" si="4">J3</f>
        <v>109.18694444444442</v>
      </c>
      <c r="K16" s="37">
        <f t="shared" si="4"/>
        <v>69.275277777777845</v>
      </c>
      <c r="L16" s="38">
        <f t="shared" si="4"/>
        <v>39.911666666666612</v>
      </c>
      <c r="M16" s="39"/>
    </row>
    <row r="17" spans="1:13" ht="20.25" x14ac:dyDescent="0.25">
      <c r="A17" s="10">
        <f t="shared" ca="1" si="0"/>
        <v>46099.1368435185</v>
      </c>
      <c r="B17" s="5" t="s">
        <v>81</v>
      </c>
      <c r="C17" s="11">
        <v>0.13686342592592601</v>
      </c>
      <c r="D17" s="11" t="s">
        <v>62</v>
      </c>
      <c r="E17" s="11">
        <v>0.22884259259259301</v>
      </c>
      <c r="F17" s="12">
        <f t="shared" si="1"/>
        <v>2.207500000000008</v>
      </c>
      <c r="G17" s="13">
        <f t="shared" si="2"/>
        <v>0</v>
      </c>
      <c r="H17" s="13">
        <f t="shared" si="3"/>
        <v>2.207500000000008</v>
      </c>
      <c r="I17" s="35" t="s">
        <v>75</v>
      </c>
      <c r="J17" s="36">
        <f>J4+J5+J6+J7+J10</f>
        <v>2.207500000000008</v>
      </c>
      <c r="K17" s="37">
        <f>K4+K5+K6+K7+K10</f>
        <v>0</v>
      </c>
      <c r="L17" s="38">
        <f>L4+L5+L6+L7+L10</f>
        <v>2.207500000000008</v>
      </c>
      <c r="M17" s="39"/>
    </row>
    <row r="18" spans="1:13" ht="20.25" x14ac:dyDescent="0.25">
      <c r="A18" s="10">
        <f t="shared" ca="1" si="0"/>
        <v>46099.637878819398</v>
      </c>
      <c r="B18" s="5" t="s">
        <v>79</v>
      </c>
      <c r="C18" s="11">
        <v>0.63851851851851804</v>
      </c>
      <c r="D18" s="11" t="s">
        <v>62</v>
      </c>
      <c r="E18" s="11">
        <v>0.64806712962962998</v>
      </c>
      <c r="F18" s="12">
        <f t="shared" si="1"/>
        <v>0.2291666666666865</v>
      </c>
      <c r="G18" s="13">
        <f t="shared" si="2"/>
        <v>0.2291666666666865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46099.935696643501</v>
      </c>
      <c r="B19" s="5" t="s">
        <v>61</v>
      </c>
      <c r="C19" s="11">
        <v>0.93569444444444405</v>
      </c>
      <c r="D19" s="11" t="s">
        <v>62</v>
      </c>
      <c r="E19" s="11">
        <v>0.145034722222222</v>
      </c>
      <c r="F19" s="12">
        <f t="shared" si="1"/>
        <v>5.0241666666666704</v>
      </c>
      <c r="G19" s="13">
        <f t="shared" si="2"/>
        <v>1.5433333333333428</v>
      </c>
      <c r="H19" s="13">
        <f t="shared" si="3"/>
        <v>3.4808333333333277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46102.3530412037</v>
      </c>
      <c r="B20" s="5" t="s">
        <v>61</v>
      </c>
      <c r="C20" s="11">
        <v>0.35303240740740699</v>
      </c>
      <c r="D20" s="11" t="s">
        <v>62</v>
      </c>
      <c r="E20" s="11">
        <v>0.54944444444444496</v>
      </c>
      <c r="F20" s="12">
        <f t="shared" si="1"/>
        <v>4.7138888888889117</v>
      </c>
      <c r="G20" s="13">
        <f t="shared" si="2"/>
        <v>4.7138888888889117</v>
      </c>
      <c r="H20" s="13">
        <f t="shared" si="3"/>
        <v>0</v>
      </c>
      <c r="I20" s="40" t="s">
        <v>77</v>
      </c>
      <c r="J20" s="65">
        <f>J16+J17+J18+J19</f>
        <v>111.39444444444443</v>
      </c>
      <c r="K20" s="66"/>
      <c r="L20" s="67"/>
      <c r="M20" s="41"/>
    </row>
    <row r="21" spans="1:13" ht="20.25" x14ac:dyDescent="0.25">
      <c r="A21" s="10">
        <f t="shared" ca="1" si="0"/>
        <v>46102.790789120401</v>
      </c>
      <c r="B21" s="5" t="s">
        <v>61</v>
      </c>
      <c r="C21" s="11">
        <v>0.79078703703703701</v>
      </c>
      <c r="D21" s="11" t="s">
        <v>62</v>
      </c>
      <c r="E21" s="11">
        <v>0.94402777777777802</v>
      </c>
      <c r="F21" s="12">
        <f t="shared" si="1"/>
        <v>3.6777777777777843</v>
      </c>
      <c r="G21" s="13">
        <f t="shared" si="2"/>
        <v>3.6777777777777843</v>
      </c>
      <c r="H21" s="13">
        <f t="shared" si="3"/>
        <v>0</v>
      </c>
      <c r="I21" s="42" t="s">
        <v>4</v>
      </c>
      <c r="J21" s="43">
        <f>SUM(J8:J9)</f>
        <v>0.2291666666666865</v>
      </c>
      <c r="K21" s="37">
        <f>SUM(K8:K9)</f>
        <v>0.2291666666666865</v>
      </c>
      <c r="L21" s="38">
        <f>SUM(L8:L9)</f>
        <v>0</v>
      </c>
      <c r="M21" s="44"/>
    </row>
    <row r="22" spans="1:13" ht="18.75" x14ac:dyDescent="0.15">
      <c r="A22" s="10">
        <f t="shared" ca="1" si="0"/>
        <v>46106.538563541697</v>
      </c>
      <c r="B22" s="5" t="s">
        <v>61</v>
      </c>
      <c r="C22" s="11">
        <v>0.53855324074074096</v>
      </c>
      <c r="D22" s="11" t="s">
        <v>62</v>
      </c>
      <c r="E22" s="11">
        <v>0.799259259259259</v>
      </c>
      <c r="F22" s="12">
        <f t="shared" si="1"/>
        <v>6.2569444444444331</v>
      </c>
      <c r="G22" s="13">
        <f t="shared" si="2"/>
        <v>6.2569444444444331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46107.1316224537</v>
      </c>
      <c r="B23" s="5" t="s">
        <v>61</v>
      </c>
      <c r="C23" s="11">
        <v>0.13162037037037</v>
      </c>
      <c r="D23" s="11" t="s">
        <v>62</v>
      </c>
      <c r="E23" s="11">
        <v>0.29998842592592601</v>
      </c>
      <c r="F23" s="12">
        <f t="shared" si="1"/>
        <v>4.0408333333333442</v>
      </c>
      <c r="G23" s="13">
        <f t="shared" si="2"/>
        <v>0</v>
      </c>
      <c r="H23" s="13">
        <f t="shared" si="3"/>
        <v>4.0408333333333442</v>
      </c>
      <c r="I23"/>
      <c r="J23"/>
    </row>
    <row r="24" spans="1:13" ht="18.75" x14ac:dyDescent="0.15">
      <c r="A24" s="10">
        <f t="shared" ca="1" si="0"/>
        <v>46107.789418402797</v>
      </c>
      <c r="B24" s="5" t="s">
        <v>61</v>
      </c>
      <c r="C24" s="11">
        <v>0.78940972222222205</v>
      </c>
      <c r="D24" s="11" t="s">
        <v>62</v>
      </c>
      <c r="E24" s="11">
        <v>0.94501157407407399</v>
      </c>
      <c r="F24" s="12">
        <f t="shared" si="1"/>
        <v>3.7344444444444465</v>
      </c>
      <c r="G24" s="13">
        <f t="shared" si="2"/>
        <v>3.7344444444444465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46108.290442939797</v>
      </c>
      <c r="B25" s="5" t="s">
        <v>61</v>
      </c>
      <c r="C25" s="11">
        <v>0.29043981481481501</v>
      </c>
      <c r="D25" s="11" t="s">
        <v>62</v>
      </c>
      <c r="E25" s="11">
        <v>0.365300925925926</v>
      </c>
      <c r="F25" s="12">
        <f t="shared" si="1"/>
        <v>1.7966666666666637</v>
      </c>
      <c r="G25" s="13">
        <f t="shared" si="2"/>
        <v>0.76722222222223246</v>
      </c>
      <c r="H25" s="13">
        <f t="shared" si="3"/>
        <v>1.0294444444444313</v>
      </c>
      <c r="I25"/>
      <c r="J25"/>
    </row>
    <row r="26" spans="1:13" ht="18.75" x14ac:dyDescent="0.15">
      <c r="A26" s="10">
        <f t="shared" ca="1" si="0"/>
        <v>46110.936539699098</v>
      </c>
      <c r="B26" s="5" t="s">
        <v>61</v>
      </c>
      <c r="C26" s="11">
        <v>0.936539351851852</v>
      </c>
      <c r="D26" s="11" t="s">
        <v>62</v>
      </c>
      <c r="E26" s="11">
        <v>0.139988425925926</v>
      </c>
      <c r="F26" s="12">
        <f t="shared" si="1"/>
        <v>4.8827777777777763</v>
      </c>
      <c r="G26" s="13">
        <f t="shared" si="2"/>
        <v>1.5230555555555521</v>
      </c>
      <c r="H26" s="13">
        <f t="shared" si="3"/>
        <v>3.3597222222222243</v>
      </c>
      <c r="I26"/>
      <c r="J26"/>
    </row>
    <row r="27" spans="1:13" ht="18.75" x14ac:dyDescent="0.15">
      <c r="A27" s="10">
        <f t="shared" ca="1" si="0"/>
        <v>46111.540646064801</v>
      </c>
      <c r="B27" s="5" t="s">
        <v>61</v>
      </c>
      <c r="C27" s="11">
        <v>0.54063657407407395</v>
      </c>
      <c r="D27" s="11" t="s">
        <v>62</v>
      </c>
      <c r="E27" s="11">
        <v>0.79881944444444397</v>
      </c>
      <c r="F27" s="12">
        <f t="shared" si="1"/>
        <v>6.1963888888888805</v>
      </c>
      <c r="G27" s="13">
        <f t="shared" si="2"/>
        <v>6.1963888888888805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46112.130559953701</v>
      </c>
      <c r="B28" s="5" t="s">
        <v>61</v>
      </c>
      <c r="C28" s="11">
        <v>0.13055555555555601</v>
      </c>
      <c r="D28" s="11" t="s">
        <v>62</v>
      </c>
      <c r="E28" s="11">
        <v>0.29766203703703698</v>
      </c>
      <c r="F28" s="12">
        <f t="shared" si="1"/>
        <v>4.010555555555543</v>
      </c>
      <c r="G28" s="13">
        <f t="shared" si="2"/>
        <v>0</v>
      </c>
      <c r="H28" s="13">
        <f t="shared" si="3"/>
        <v>4.010555555555543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46086.5438490741</v>
      </c>
      <c r="B3" s="5" t="s">
        <v>61</v>
      </c>
      <c r="C3" s="11">
        <v>0.54384259259259304</v>
      </c>
      <c r="D3" s="11" t="s">
        <v>62</v>
      </c>
      <c r="E3" s="11">
        <v>0.80013888888888896</v>
      </c>
      <c r="F3" s="12">
        <f t="shared" ref="F3:F42" si="1">(IF(E3-C3&lt;0,"24:00"-C3+E3,E3-C3))*24</f>
        <v>6.1511111111111019</v>
      </c>
      <c r="G3" s="13">
        <f t="shared" ref="G3:G42" si="2">F3-H3</f>
        <v>6.1511111111111019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84.834166666666704</v>
      </c>
      <c r="K3" s="18">
        <f>SUMIF(B:B,"带班主任",G:G)</f>
        <v>58.973055555555639</v>
      </c>
      <c r="L3" s="18">
        <f>SUMIF(B:B,"带班主任",H:H)</f>
        <v>25.861111111111075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46087.131987268498</v>
      </c>
      <c r="B4" s="5" t="s">
        <v>61</v>
      </c>
      <c r="C4" s="11">
        <v>0.13197916666666701</v>
      </c>
      <c r="D4" s="11" t="s">
        <v>62</v>
      </c>
      <c r="E4" s="11">
        <v>0.29697916666666702</v>
      </c>
      <c r="F4" s="12">
        <f t="shared" si="1"/>
        <v>3.96</v>
      </c>
      <c r="G4" s="13">
        <f t="shared" si="2"/>
        <v>0</v>
      </c>
      <c r="H4" s="13">
        <f t="shared" si="3"/>
        <v>3.96</v>
      </c>
      <c r="I4" s="21" t="s">
        <v>64</v>
      </c>
      <c r="J4" s="22">
        <f>SUMIF(B:B,"西塔台管制席",F:F)+SUMIF(B:B,"东塔台管制席",F:F)</f>
        <v>3.12083333333333</v>
      </c>
      <c r="K4" s="23">
        <f>SUMIF(B:B,"西塔台管制席",G:G)+SUMIF(B:B,"东塔台管制席",G:G)</f>
        <v>0</v>
      </c>
      <c r="L4" s="23">
        <f>SUMIF(B:B,"西塔台管制席",H:H)+SUMIF(B:B,"东塔台管制席",H:H)</f>
        <v>3.12083333333333</v>
      </c>
      <c r="M4" s="19"/>
    </row>
    <row r="5" spans="1:16" ht="18.75" x14ac:dyDescent="0.25">
      <c r="A5" s="10">
        <f t="shared" ca="1" si="0"/>
        <v>46087.790779861098</v>
      </c>
      <c r="B5" s="5" t="s">
        <v>61</v>
      </c>
      <c r="C5" s="11">
        <v>0.79077546296296297</v>
      </c>
      <c r="D5" s="11" t="s">
        <v>62</v>
      </c>
      <c r="E5" s="11">
        <v>0.94770833333333304</v>
      </c>
      <c r="F5" s="12">
        <f t="shared" si="1"/>
        <v>3.7663888888888817</v>
      </c>
      <c r="G5" s="13">
        <f t="shared" si="2"/>
        <v>3.7663888888888817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46088.292137962999</v>
      </c>
      <c r="B6" s="5" t="s">
        <v>61</v>
      </c>
      <c r="C6" s="11">
        <v>0.29212962962963002</v>
      </c>
      <c r="D6" s="11" t="s">
        <v>62</v>
      </c>
      <c r="E6" s="11">
        <v>0.37306712962963001</v>
      </c>
      <c r="F6" s="12">
        <f t="shared" si="1"/>
        <v>1.9424999999999999</v>
      </c>
      <c r="G6" s="13">
        <f t="shared" si="2"/>
        <v>0.95361111111112873</v>
      </c>
      <c r="H6" s="13">
        <f t="shared" si="3"/>
        <v>0.98888888888887116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46091.015300347201</v>
      </c>
      <c r="B7" s="5" t="s">
        <v>83</v>
      </c>
      <c r="C7" s="11">
        <v>1.53009259259259E-2</v>
      </c>
      <c r="D7" s="11" t="s">
        <v>62</v>
      </c>
      <c r="E7" s="11">
        <v>0.14533564814814801</v>
      </c>
      <c r="F7" s="12">
        <f t="shared" si="1"/>
        <v>3.12083333333333</v>
      </c>
      <c r="G7" s="13">
        <f t="shared" si="2"/>
        <v>0</v>
      </c>
      <c r="H7" s="13">
        <f t="shared" si="3"/>
        <v>3.12083333333333</v>
      </c>
      <c r="I7" s="21" t="s">
        <v>67</v>
      </c>
      <c r="J7" s="22">
        <f>SUMIF(B:B,"地面席",F:F)</f>
        <v>1.8822222222222242</v>
      </c>
      <c r="K7" s="23">
        <f>SUMIF(B:B,"地面席",G:G)</f>
        <v>0</v>
      </c>
      <c r="L7" s="23">
        <f>SUMIF(B:B,"地面席",H:H)</f>
        <v>1.8822222222222242</v>
      </c>
      <c r="M7" s="19"/>
    </row>
    <row r="8" spans="1:16" ht="18.75" x14ac:dyDescent="0.25">
      <c r="A8" s="10">
        <f t="shared" ca="1" si="0"/>
        <v>46092.191434375003</v>
      </c>
      <c r="B8" s="5" t="s">
        <v>85</v>
      </c>
      <c r="C8" s="11">
        <v>0.153229166666667</v>
      </c>
      <c r="D8" s="11" t="s">
        <v>62</v>
      </c>
      <c r="E8" s="11">
        <v>0.21569444444444399</v>
      </c>
      <c r="F8" s="12">
        <f t="shared" si="1"/>
        <v>1.4991666666666479</v>
      </c>
      <c r="G8" s="13">
        <f t="shared" si="2"/>
        <v>0</v>
      </c>
      <c r="H8" s="13">
        <f t="shared" si="3"/>
        <v>1.4991666666666479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46094.355026157398</v>
      </c>
      <c r="B9" s="5" t="s">
        <v>61</v>
      </c>
      <c r="C9" s="11">
        <v>0.355023148148148</v>
      </c>
      <c r="D9" s="11" t="s">
        <v>62</v>
      </c>
      <c r="E9" s="11">
        <v>0.55089120370370404</v>
      </c>
      <c r="F9" s="12">
        <f t="shared" si="1"/>
        <v>4.7008333333333443</v>
      </c>
      <c r="G9" s="13">
        <f t="shared" si="2"/>
        <v>4.7008333333333443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46094.791032986097</v>
      </c>
      <c r="B10" s="5" t="s">
        <v>61</v>
      </c>
      <c r="C10" s="11">
        <v>0.79103009259259205</v>
      </c>
      <c r="D10" s="11" t="s">
        <v>62</v>
      </c>
      <c r="E10" s="11">
        <v>0.94283564814814802</v>
      </c>
      <c r="F10" s="12">
        <f t="shared" si="1"/>
        <v>3.6433333333333433</v>
      </c>
      <c r="G10" s="13">
        <f t="shared" si="2"/>
        <v>3.6433333333333433</v>
      </c>
      <c r="H10" s="13">
        <f t="shared" si="3"/>
        <v>0</v>
      </c>
      <c r="I10" s="21" t="s">
        <v>70</v>
      </c>
      <c r="J10" s="22">
        <f>SUMIF(B:B,"综合协调席",F:F)</f>
        <v>1.4991666666666479</v>
      </c>
      <c r="K10" s="23">
        <f>SUMIF(B:B,"综合协调席",G:G)</f>
        <v>0</v>
      </c>
      <c r="L10" s="23">
        <f>SUMIF(B:B,"综合协调席",H:H)</f>
        <v>1.4991666666666479</v>
      </c>
      <c r="M10" s="19"/>
    </row>
    <row r="11" spans="1:16" ht="18.75" x14ac:dyDescent="0.25">
      <c r="A11" s="10">
        <f t="shared" ca="1" si="0"/>
        <v>46095.292031365701</v>
      </c>
      <c r="B11" s="5" t="s">
        <v>61</v>
      </c>
      <c r="C11" s="11">
        <v>0.292025462962963</v>
      </c>
      <c r="D11" s="11" t="s">
        <v>62</v>
      </c>
      <c r="E11" s="11">
        <v>0.54929398148148101</v>
      </c>
      <c r="F11" s="12">
        <f t="shared" si="1"/>
        <v>6.1744444444444326</v>
      </c>
      <c r="G11" s="13">
        <f t="shared" si="2"/>
        <v>5.1830555555555531</v>
      </c>
      <c r="H11" s="13">
        <f t="shared" si="3"/>
        <v>0.99138888888887955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46095.937814236102</v>
      </c>
      <c r="B12" s="5" t="s">
        <v>61</v>
      </c>
      <c r="C12" s="11">
        <v>0.93781250000000005</v>
      </c>
      <c r="D12" s="11" t="s">
        <v>62</v>
      </c>
      <c r="E12" s="11">
        <v>0.137638888888889</v>
      </c>
      <c r="F12" s="12">
        <f t="shared" si="1"/>
        <v>4.7958333333333352</v>
      </c>
      <c r="G12" s="13">
        <f t="shared" si="2"/>
        <v>1.4924999999999988</v>
      </c>
      <c r="H12" s="13">
        <f t="shared" si="3"/>
        <v>3.3033333333333363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46098.542068402799</v>
      </c>
      <c r="B13" s="5" t="s">
        <v>61</v>
      </c>
      <c r="C13" s="11">
        <v>0.54206018518518495</v>
      </c>
      <c r="D13" s="11" t="s">
        <v>62</v>
      </c>
      <c r="E13" s="11">
        <v>0.80159722222222196</v>
      </c>
      <c r="F13" s="12">
        <f t="shared" si="1"/>
        <v>6.2288888888888883</v>
      </c>
      <c r="G13" s="13">
        <f t="shared" si="2"/>
        <v>6.2288888888888883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46099.132250347197</v>
      </c>
      <c r="B14" s="5" t="s">
        <v>61</v>
      </c>
      <c r="C14" s="11">
        <v>0.13224537037037001</v>
      </c>
      <c r="D14" s="11" t="s">
        <v>62</v>
      </c>
      <c r="E14" s="11">
        <v>0.30038194444444399</v>
      </c>
      <c r="F14" s="12">
        <f t="shared" si="1"/>
        <v>4.0352777777777753</v>
      </c>
      <c r="G14" s="13">
        <f t="shared" si="2"/>
        <v>0</v>
      </c>
      <c r="H14" s="13">
        <f t="shared" si="3"/>
        <v>4.0352777777777753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46099.794524421297</v>
      </c>
      <c r="B16" s="5" t="s">
        <v>61</v>
      </c>
      <c r="C16" s="11">
        <v>0.79451388888888896</v>
      </c>
      <c r="D16" s="11" t="s">
        <v>62</v>
      </c>
      <c r="E16" s="11">
        <v>0.94400462962963005</v>
      </c>
      <c r="F16" s="12">
        <f t="shared" si="1"/>
        <v>3.5877777777777862</v>
      </c>
      <c r="G16" s="13">
        <f t="shared" si="2"/>
        <v>3.5877777777777862</v>
      </c>
      <c r="H16" s="13">
        <f t="shared" si="3"/>
        <v>0</v>
      </c>
      <c r="I16" s="35" t="s">
        <v>63</v>
      </c>
      <c r="J16" s="36">
        <f t="shared" ref="J16:L16" si="4">J3</f>
        <v>84.834166666666704</v>
      </c>
      <c r="K16" s="37">
        <f t="shared" si="4"/>
        <v>58.973055555555639</v>
      </c>
      <c r="L16" s="38">
        <f t="shared" si="4"/>
        <v>25.861111111111075</v>
      </c>
      <c r="M16" s="39"/>
    </row>
    <row r="17" spans="1:13" ht="20.25" x14ac:dyDescent="0.25">
      <c r="A17" s="10">
        <f t="shared" ca="1" si="0"/>
        <v>46100.287089583297</v>
      </c>
      <c r="B17" s="5" t="s">
        <v>61</v>
      </c>
      <c r="C17" s="11">
        <v>0.28708333333333302</v>
      </c>
      <c r="D17" s="11" t="s">
        <v>62</v>
      </c>
      <c r="E17" s="11">
        <v>0.36547453703703697</v>
      </c>
      <c r="F17" s="12">
        <f t="shared" si="1"/>
        <v>1.8813888888888948</v>
      </c>
      <c r="G17" s="13">
        <f t="shared" si="2"/>
        <v>0.77138888888889579</v>
      </c>
      <c r="H17" s="13">
        <f t="shared" si="3"/>
        <v>1.109999999999999</v>
      </c>
      <c r="I17" s="35" t="s">
        <v>75</v>
      </c>
      <c r="J17" s="36">
        <f>J4+J5+J6+J7+J10</f>
        <v>6.5022222222222021</v>
      </c>
      <c r="K17" s="37">
        <f>K4+K5+K6+K7+K10</f>
        <v>0</v>
      </c>
      <c r="L17" s="38">
        <f>L4+L5+L6+L7+L10</f>
        <v>6.5022222222222021</v>
      </c>
      <c r="M17" s="39"/>
    </row>
    <row r="18" spans="1:13" ht="20.25" x14ac:dyDescent="0.25">
      <c r="A18" s="10">
        <f t="shared" ca="1" si="0"/>
        <v>46102.937027546301</v>
      </c>
      <c r="B18" s="5" t="s">
        <v>61</v>
      </c>
      <c r="C18" s="11">
        <v>0.93702546296296296</v>
      </c>
      <c r="D18" s="11" t="s">
        <v>62</v>
      </c>
      <c r="E18" s="11">
        <v>0.13706018518518501</v>
      </c>
      <c r="F18" s="12">
        <f t="shared" si="1"/>
        <v>4.8008333333333288</v>
      </c>
      <c r="G18" s="13">
        <f t="shared" si="2"/>
        <v>1.5113888888888889</v>
      </c>
      <c r="H18" s="13">
        <f t="shared" si="3"/>
        <v>3.28944444444444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46103.5431783565</v>
      </c>
      <c r="B19" s="5" t="s">
        <v>61</v>
      </c>
      <c r="C19" s="11">
        <v>0.54317129629629601</v>
      </c>
      <c r="D19" s="11" t="s">
        <v>62</v>
      </c>
      <c r="E19" s="11">
        <v>0.79556712962963005</v>
      </c>
      <c r="F19" s="12">
        <f t="shared" si="1"/>
        <v>6.057500000000017</v>
      </c>
      <c r="G19" s="13">
        <f t="shared" si="2"/>
        <v>6.057500000000017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46104.132029513901</v>
      </c>
      <c r="B20" s="5" t="s">
        <v>61</v>
      </c>
      <c r="C20" s="11">
        <v>0.132025462962963</v>
      </c>
      <c r="D20" s="11" t="s">
        <v>62</v>
      </c>
      <c r="E20" s="11">
        <v>0.29770833333333302</v>
      </c>
      <c r="F20" s="12">
        <f t="shared" si="1"/>
        <v>3.9763888888888808</v>
      </c>
      <c r="G20" s="13">
        <f t="shared" si="2"/>
        <v>0</v>
      </c>
      <c r="H20" s="13">
        <f t="shared" si="3"/>
        <v>3.9763888888888808</v>
      </c>
      <c r="I20" s="40" t="s">
        <v>77</v>
      </c>
      <c r="J20" s="65">
        <f>J16+J17+J18+J19</f>
        <v>91.336388888888905</v>
      </c>
      <c r="K20" s="66"/>
      <c r="L20" s="67"/>
      <c r="M20" s="41"/>
    </row>
    <row r="21" spans="1:13" ht="20.25" x14ac:dyDescent="0.25">
      <c r="A21" s="10">
        <f t="shared" ca="1" si="0"/>
        <v>46106.357832638903</v>
      </c>
      <c r="B21" s="5" t="s">
        <v>61</v>
      </c>
      <c r="C21" s="11">
        <v>0.35782407407407402</v>
      </c>
      <c r="D21" s="11" t="s">
        <v>62</v>
      </c>
      <c r="E21" s="11">
        <v>0.54815972222222198</v>
      </c>
      <c r="F21" s="12">
        <f t="shared" si="1"/>
        <v>4.5680555555555511</v>
      </c>
      <c r="G21" s="13">
        <f t="shared" si="2"/>
        <v>4.5680555555555511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46106.792109027803</v>
      </c>
      <c r="B22" s="5" t="s">
        <v>61</v>
      </c>
      <c r="C22" s="11">
        <v>0.792106481481481</v>
      </c>
      <c r="D22" s="11" t="s">
        <v>62</v>
      </c>
      <c r="E22" s="11">
        <v>0.94501157407407399</v>
      </c>
      <c r="F22" s="12">
        <f t="shared" si="1"/>
        <v>3.6697222222222319</v>
      </c>
      <c r="G22" s="13">
        <f t="shared" si="2"/>
        <v>3.6697222222222319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46107.293002199098</v>
      </c>
      <c r="B23" s="5" t="s">
        <v>61</v>
      </c>
      <c r="C23" s="11">
        <v>0.29299768518518499</v>
      </c>
      <c r="D23" s="11" t="s">
        <v>62</v>
      </c>
      <c r="E23" s="11">
        <v>0.54966435185185203</v>
      </c>
      <c r="F23" s="12">
        <f t="shared" si="1"/>
        <v>6.160000000000009</v>
      </c>
      <c r="G23" s="13">
        <f t="shared" si="2"/>
        <v>5.1919444444444576</v>
      </c>
      <c r="H23" s="13">
        <f t="shared" si="3"/>
        <v>0.96805555555555189</v>
      </c>
      <c r="I23"/>
      <c r="J23"/>
    </row>
    <row r="24" spans="1:13" ht="18.75" x14ac:dyDescent="0.15">
      <c r="A24" s="10">
        <f t="shared" ca="1" si="0"/>
        <v>46107.937693287</v>
      </c>
      <c r="B24" s="5" t="s">
        <v>61</v>
      </c>
      <c r="C24" s="11">
        <v>0.93768518518518496</v>
      </c>
      <c r="D24" s="11" t="s">
        <v>62</v>
      </c>
      <c r="E24" s="11">
        <v>0.134930555555556</v>
      </c>
      <c r="F24" s="12">
        <f t="shared" si="1"/>
        <v>4.733888888888905</v>
      </c>
      <c r="G24" s="13">
        <f t="shared" si="2"/>
        <v>1.4955555555555611</v>
      </c>
      <c r="H24" s="13">
        <f t="shared" si="3"/>
        <v>3.2383333333333439</v>
      </c>
      <c r="I24"/>
      <c r="J24"/>
    </row>
    <row r="25" spans="1:13" ht="18.75" x14ac:dyDescent="0.15">
      <c r="A25" s="10">
        <f t="shared" ca="1" si="0"/>
        <v>46112.140376851901</v>
      </c>
      <c r="B25" s="5" t="s">
        <v>81</v>
      </c>
      <c r="C25" s="11">
        <v>0.14072916666666699</v>
      </c>
      <c r="D25" s="11" t="s">
        <v>62</v>
      </c>
      <c r="E25" s="11">
        <v>0.219155092592593</v>
      </c>
      <c r="F25" s="12">
        <f t="shared" si="1"/>
        <v>1.8822222222222242</v>
      </c>
      <c r="G25" s="13">
        <f t="shared" si="2"/>
        <v>0</v>
      </c>
      <c r="H25" s="13">
        <f t="shared" si="3"/>
        <v>1.8822222222222242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46085.386733217601</v>
      </c>
      <c r="B3" s="5" t="s">
        <v>85</v>
      </c>
      <c r="C3" s="11">
        <v>0.38672453703703702</v>
      </c>
      <c r="D3" s="11" t="s">
        <v>62</v>
      </c>
      <c r="E3" s="11">
        <v>0.49981481481481499</v>
      </c>
      <c r="F3" s="12">
        <f t="shared" ref="F3:F42" si="1">(IF(E3-C3&lt;0,"24:00"-C3+E3,E3-C3))*24</f>
        <v>2.7141666666666713</v>
      </c>
      <c r="G3" s="13">
        <f t="shared" ref="G3:G42" si="2">F3-H3</f>
        <v>2.7141666666666713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4.7869444444444564</v>
      </c>
      <c r="K3" s="18">
        <f>SUMIF(B:B,"带班主任",G:G)</f>
        <v>4.7869444444444564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46085.666588310203</v>
      </c>
      <c r="B4" s="5" t="s">
        <v>85</v>
      </c>
      <c r="C4" s="11">
        <v>0.66658564814814802</v>
      </c>
      <c r="D4" s="11" t="s">
        <v>62</v>
      </c>
      <c r="E4" s="11">
        <v>0.73381944444444402</v>
      </c>
      <c r="F4" s="12">
        <f t="shared" si="1"/>
        <v>1.613611111111104</v>
      </c>
      <c r="G4" s="13">
        <f t="shared" si="2"/>
        <v>1.613611111111104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46090.892591782402</v>
      </c>
      <c r="B5" s="5" t="s">
        <v>85</v>
      </c>
      <c r="C5" s="11">
        <v>0.89259259259259205</v>
      </c>
      <c r="D5" s="11" t="s">
        <v>62</v>
      </c>
      <c r="E5" s="11">
        <v>0.95873842592592595</v>
      </c>
      <c r="F5" s="12">
        <f t="shared" si="1"/>
        <v>1.5875000000000137</v>
      </c>
      <c r="G5" s="13">
        <f t="shared" si="2"/>
        <v>1.5875000000000137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46092.6237420139</v>
      </c>
      <c r="B6" s="5" t="s">
        <v>85</v>
      </c>
      <c r="C6" s="11">
        <v>0.62373842592592599</v>
      </c>
      <c r="D6" s="11" t="s">
        <v>62</v>
      </c>
      <c r="E6" s="11">
        <v>0.70893518518518495</v>
      </c>
      <c r="F6" s="12">
        <f t="shared" si="1"/>
        <v>2.044722222222215</v>
      </c>
      <c r="G6" s="13">
        <f t="shared" si="2"/>
        <v>2.044722222222215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46095.375704861101</v>
      </c>
      <c r="B7" s="5" t="s">
        <v>85</v>
      </c>
      <c r="C7" s="11">
        <v>0.375694444444444</v>
      </c>
      <c r="D7" s="11" t="s">
        <v>62</v>
      </c>
      <c r="E7" s="11">
        <v>0.50659722222222203</v>
      </c>
      <c r="F7" s="12">
        <f t="shared" si="1"/>
        <v>3.1416666666666728</v>
      </c>
      <c r="G7" s="13">
        <f t="shared" si="2"/>
        <v>3.1416666666666728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46095.816453125</v>
      </c>
      <c r="B8" s="5" t="s">
        <v>85</v>
      </c>
      <c r="C8" s="11">
        <v>0.81644675925925903</v>
      </c>
      <c r="D8" s="11" t="s">
        <v>62</v>
      </c>
      <c r="E8" s="11">
        <v>0.87820601851851798</v>
      </c>
      <c r="F8" s="12">
        <f t="shared" si="1"/>
        <v>1.482222222222215</v>
      </c>
      <c r="G8" s="13">
        <f t="shared" si="2"/>
        <v>1.482222222222215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46098.3608038194</v>
      </c>
      <c r="B9" s="5" t="s">
        <v>85</v>
      </c>
      <c r="C9" s="11">
        <v>0.360798611111111</v>
      </c>
      <c r="D9" s="11" t="s">
        <v>62</v>
      </c>
      <c r="E9" s="11">
        <v>0.51268518518518502</v>
      </c>
      <c r="F9" s="12">
        <f t="shared" si="1"/>
        <v>3.6452777777777765</v>
      </c>
      <c r="G9" s="13">
        <f t="shared" si="2"/>
        <v>3.6452777777777765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46099.666377546302</v>
      </c>
      <c r="B10" s="5" t="s">
        <v>85</v>
      </c>
      <c r="C10" s="11">
        <v>0.66637731481481499</v>
      </c>
      <c r="D10" s="11" t="s">
        <v>62</v>
      </c>
      <c r="E10" s="11">
        <v>0.78728009259259302</v>
      </c>
      <c r="F10" s="12">
        <f t="shared" si="1"/>
        <v>2.9016666666666726</v>
      </c>
      <c r="G10" s="13">
        <f t="shared" si="2"/>
        <v>2.9016666666666726</v>
      </c>
      <c r="H10" s="13">
        <f t="shared" si="3"/>
        <v>0</v>
      </c>
      <c r="I10" s="21" t="s">
        <v>70</v>
      </c>
      <c r="J10" s="22">
        <f>SUMIF(B:B,"综合协调席",F:F)</f>
        <v>29.000833333333336</v>
      </c>
      <c r="K10" s="23">
        <f>SUMIF(B:B,"综合协调席",G:G)</f>
        <v>28.278333333333336</v>
      </c>
      <c r="L10" s="23">
        <f>SUMIF(B:B,"综合协调席",H:H)</f>
        <v>0.72249999999999848</v>
      </c>
      <c r="M10" s="19"/>
    </row>
    <row r="11" spans="1:16" ht="18.75" x14ac:dyDescent="0.25">
      <c r="A11" s="10">
        <f t="shared" ca="1" si="0"/>
        <v>46100.344876041701</v>
      </c>
      <c r="B11" s="5" t="s">
        <v>85</v>
      </c>
      <c r="C11" s="11">
        <v>0.34487268518518499</v>
      </c>
      <c r="D11" s="11" t="s">
        <v>62</v>
      </c>
      <c r="E11" s="11">
        <v>0.57637731481481502</v>
      </c>
      <c r="F11" s="12">
        <f t="shared" si="1"/>
        <v>5.5561111111111208</v>
      </c>
      <c r="G11" s="13">
        <f t="shared" si="2"/>
        <v>5.5561111111111208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46105.374969213</v>
      </c>
      <c r="B12" s="5" t="s">
        <v>85</v>
      </c>
      <c r="C12" s="11">
        <v>0.37496527777777799</v>
      </c>
      <c r="D12" s="11" t="s">
        <v>62</v>
      </c>
      <c r="E12" s="11">
        <v>0.52460648148148104</v>
      </c>
      <c r="F12" s="12">
        <f t="shared" si="1"/>
        <v>3.591388888888873</v>
      </c>
      <c r="G12" s="13">
        <f t="shared" si="2"/>
        <v>3.591388888888873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46106.013671990702</v>
      </c>
      <c r="B13" s="5" t="s">
        <v>85</v>
      </c>
      <c r="C13" s="11">
        <v>1.3668981481481501E-2</v>
      </c>
      <c r="D13" s="11" t="s">
        <v>62</v>
      </c>
      <c r="E13" s="11">
        <v>4.3773148148148103E-2</v>
      </c>
      <c r="F13" s="12">
        <f t="shared" si="1"/>
        <v>0.72249999999999848</v>
      </c>
      <c r="G13" s="13">
        <f t="shared" si="2"/>
        <v>0</v>
      </c>
      <c r="H13" s="13">
        <f t="shared" si="3"/>
        <v>0.72249999999999848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46112.573609490697</v>
      </c>
      <c r="B14" s="5" t="s">
        <v>61</v>
      </c>
      <c r="C14" s="11">
        <v>0.53193287037036996</v>
      </c>
      <c r="D14" s="11" t="s">
        <v>62</v>
      </c>
      <c r="E14" s="11">
        <v>0.64221064814814799</v>
      </c>
      <c r="F14" s="12">
        <f t="shared" si="1"/>
        <v>2.6466666666666727</v>
      </c>
      <c r="G14" s="13">
        <f t="shared" si="2"/>
        <v>2.6466666666666727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46112.648188310202</v>
      </c>
      <c r="B15" s="5" t="s">
        <v>61</v>
      </c>
      <c r="C15" s="11">
        <v>0.64818287037037003</v>
      </c>
      <c r="D15" s="11" t="s">
        <v>62</v>
      </c>
      <c r="E15" s="11">
        <v>0.73736111111111102</v>
      </c>
      <c r="F15" s="12">
        <f t="shared" si="1"/>
        <v>2.1402777777777837</v>
      </c>
      <c r="G15" s="13">
        <f t="shared" si="2"/>
        <v>2.1402777777777837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4.7869444444444564</v>
      </c>
      <c r="K16" s="37">
        <f t="shared" si="4"/>
        <v>4.7869444444444564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75</v>
      </c>
      <c r="J17" s="36">
        <f>J4+J5+J6+J7+J10</f>
        <v>29.000833333333336</v>
      </c>
      <c r="K17" s="37">
        <f>K4+K5+K6+K7+K10</f>
        <v>28.278333333333336</v>
      </c>
      <c r="L17" s="38">
        <f>L4+L5+L6+L7+L10</f>
        <v>0.72249999999999848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77</v>
      </c>
      <c r="J20" s="65">
        <f>J16+J17+J18+J19</f>
        <v>33.787777777777791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46085.386806018498</v>
      </c>
      <c r="B3" s="5" t="s">
        <v>85</v>
      </c>
      <c r="C3" s="11">
        <v>0.38680555555555601</v>
      </c>
      <c r="D3" s="11" t="s">
        <v>62</v>
      </c>
      <c r="E3" s="11">
        <v>0.48946759259259298</v>
      </c>
      <c r="F3" s="12">
        <f t="shared" ref="F3:F42" si="1">(IF(E3-C3&lt;0,"24:00"-C3+E3,E3-C3))*24</f>
        <v>2.4638888888888872</v>
      </c>
      <c r="G3" s="13">
        <f t="shared" ref="G3:G42" si="2">F3-H3</f>
        <v>2.4638888888888872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46092.632483564797</v>
      </c>
      <c r="B4" s="5" t="s">
        <v>85</v>
      </c>
      <c r="C4" s="11">
        <v>0.63247685185185198</v>
      </c>
      <c r="D4" s="11" t="s">
        <v>62</v>
      </c>
      <c r="E4" s="11">
        <v>0.71908564814814802</v>
      </c>
      <c r="F4" s="12">
        <f t="shared" si="1"/>
        <v>2.0786111111111047</v>
      </c>
      <c r="G4" s="13">
        <f t="shared" si="2"/>
        <v>2.0786111111111047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46094.344228588001</v>
      </c>
      <c r="B5" s="5" t="s">
        <v>85</v>
      </c>
      <c r="C5" s="11">
        <v>1.08912037037037E-2</v>
      </c>
      <c r="D5" s="11" t="s">
        <v>62</v>
      </c>
      <c r="E5" s="11">
        <v>5.26273148148148E-2</v>
      </c>
      <c r="F5" s="12">
        <f t="shared" si="1"/>
        <v>1.0016666666666665</v>
      </c>
      <c r="G5" s="13">
        <f t="shared" si="2"/>
        <v>0</v>
      </c>
      <c r="H5" s="13">
        <f t="shared" si="3"/>
        <v>1.0016666666666665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46096.400838078698</v>
      </c>
      <c r="B6" s="5" t="s">
        <v>85</v>
      </c>
      <c r="C6" s="11">
        <v>0.40083333333333299</v>
      </c>
      <c r="D6" s="11" t="s">
        <v>62</v>
      </c>
      <c r="E6" s="11">
        <v>0.49509259259259297</v>
      </c>
      <c r="F6" s="12">
        <f t="shared" si="1"/>
        <v>2.2622222222222397</v>
      </c>
      <c r="G6" s="13">
        <f t="shared" si="2"/>
        <v>2.2622222222222397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46096.817495833297</v>
      </c>
      <c r="B7" s="5" t="s">
        <v>85</v>
      </c>
      <c r="C7" s="11">
        <v>0.81748842592592597</v>
      </c>
      <c r="D7" s="11" t="s">
        <v>62</v>
      </c>
      <c r="E7" s="11">
        <v>0.95064814814814802</v>
      </c>
      <c r="F7" s="12">
        <f t="shared" si="1"/>
        <v>3.1958333333333293</v>
      </c>
      <c r="G7" s="13">
        <f t="shared" si="2"/>
        <v>3.1958333333333293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46099.822386805601</v>
      </c>
      <c r="B8" s="5" t="s">
        <v>85</v>
      </c>
      <c r="C8" s="11">
        <v>0.82238425925925895</v>
      </c>
      <c r="D8" s="11" t="s">
        <v>62</v>
      </c>
      <c r="E8" s="11">
        <v>0.97056712962962999</v>
      </c>
      <c r="F8" s="12">
        <f t="shared" si="1"/>
        <v>3.5563888888889048</v>
      </c>
      <c r="G8" s="13">
        <f t="shared" si="2"/>
        <v>3.5563888888889048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46106.808604513899</v>
      </c>
      <c r="B9" s="5" t="s">
        <v>85</v>
      </c>
      <c r="C9" s="11">
        <v>0.80859953703703702</v>
      </c>
      <c r="D9" s="11" t="s">
        <v>62</v>
      </c>
      <c r="E9" s="11">
        <v>0.97555555555555595</v>
      </c>
      <c r="F9" s="12">
        <f t="shared" si="1"/>
        <v>4.0069444444444544</v>
      </c>
      <c r="G9" s="13">
        <f t="shared" si="2"/>
        <v>4.0069444444444544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46107.396848263903</v>
      </c>
      <c r="B10" s="5" t="s">
        <v>85</v>
      </c>
      <c r="C10" s="11">
        <v>0.39684027777777803</v>
      </c>
      <c r="D10" s="11" t="s">
        <v>62</v>
      </c>
      <c r="E10" s="11">
        <v>0.47991898148148099</v>
      </c>
      <c r="F10" s="12">
        <f t="shared" si="1"/>
        <v>1.9938888888888711</v>
      </c>
      <c r="G10" s="13">
        <f t="shared" si="2"/>
        <v>1.9938888888888711</v>
      </c>
      <c r="H10" s="13">
        <f t="shared" si="3"/>
        <v>0</v>
      </c>
      <c r="I10" s="21" t="s">
        <v>70</v>
      </c>
      <c r="J10" s="22">
        <f>SUMIF(B:B,"综合协调席",F:F)</f>
        <v>31.078055555555572</v>
      </c>
      <c r="K10" s="23">
        <f>SUMIF(B:B,"综合协调席",G:G)</f>
        <v>30.0763888888889</v>
      </c>
      <c r="L10" s="23">
        <f>SUMIF(B:B,"综合协调席",H:H)</f>
        <v>1.0016666666666665</v>
      </c>
      <c r="M10" s="19"/>
    </row>
    <row r="11" spans="1:16" ht="18.75" x14ac:dyDescent="0.25">
      <c r="A11" s="10">
        <f t="shared" ca="1" si="0"/>
        <v>46108.376266898202</v>
      </c>
      <c r="B11" s="5" t="s">
        <v>85</v>
      </c>
      <c r="C11" s="11">
        <v>0.37626157407407401</v>
      </c>
      <c r="D11" s="11" t="s">
        <v>62</v>
      </c>
      <c r="E11" s="11">
        <v>0.50052083333333297</v>
      </c>
      <c r="F11" s="12">
        <f t="shared" si="1"/>
        <v>2.982222222222215</v>
      </c>
      <c r="G11" s="13">
        <f t="shared" si="2"/>
        <v>2.982222222222215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46112.363921296303</v>
      </c>
      <c r="B12" s="5" t="s">
        <v>85</v>
      </c>
      <c r="C12" s="11">
        <v>0.36391203703703701</v>
      </c>
      <c r="D12" s="11" t="s">
        <v>62</v>
      </c>
      <c r="E12" s="11">
        <v>0.67792824074074098</v>
      </c>
      <c r="F12" s="12">
        <f t="shared" si="1"/>
        <v>7.5363888888888955</v>
      </c>
      <c r="G12" s="13">
        <f t="shared" si="2"/>
        <v>7.5363888888888955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75</v>
      </c>
      <c r="J17" s="36">
        <f>J4+J5+J6+J7+J10</f>
        <v>31.078055555555572</v>
      </c>
      <c r="K17" s="37">
        <f>K4+K5+K6+K7+K10</f>
        <v>30.0763888888889</v>
      </c>
      <c r="L17" s="38">
        <f>L4+L5+L6+L7+L10</f>
        <v>1.0016666666666665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77</v>
      </c>
      <c r="J20" s="65">
        <f>J16+J17+J18+J19</f>
        <v>31.078055555555572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46082.502143055601</v>
      </c>
      <c r="B3" s="5" t="s">
        <v>78</v>
      </c>
      <c r="C3" s="11">
        <v>0.50214120370370396</v>
      </c>
      <c r="D3" s="11" t="s">
        <v>62</v>
      </c>
      <c r="E3" s="11">
        <v>0.63222222222222202</v>
      </c>
      <c r="F3" s="12">
        <f t="shared" ref="F3:F42" si="1">(IF(E3-C3&lt;0,"24:00"-C3+E3,E3-C3))*24</f>
        <v>3.1219444444444333</v>
      </c>
      <c r="G3" s="13">
        <f t="shared" ref="G3:G42" si="2">F3-H3</f>
        <v>3.1219444444444333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46082.635257407397</v>
      </c>
      <c r="B4" s="5" t="s">
        <v>79</v>
      </c>
      <c r="C4" s="11">
        <v>0.63525462962962997</v>
      </c>
      <c r="D4" s="11" t="s">
        <v>62</v>
      </c>
      <c r="E4" s="11">
        <v>0.68115740740740705</v>
      </c>
      <c r="F4" s="12">
        <f t="shared" si="1"/>
        <v>1.1016666666666497</v>
      </c>
      <c r="G4" s="13">
        <f t="shared" si="2"/>
        <v>1.1016666666666497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45.926944444444395</v>
      </c>
      <c r="K4" s="23">
        <f>SUMIF(B:B,"西塔台管制席",G:G)+SUMIF(B:B,"东塔台管制席",G:G)</f>
        <v>28.448611111111077</v>
      </c>
      <c r="L4" s="23">
        <f>SUMIF(B:B,"西塔台管制席",H:H)+SUMIF(B:B,"东塔台管制席",H:H)</f>
        <v>17.478333333333321</v>
      </c>
      <c r="M4" s="19"/>
    </row>
    <row r="5" spans="1:16" ht="18.75" x14ac:dyDescent="0.25">
      <c r="A5" s="10">
        <f t="shared" ca="1" si="0"/>
        <v>46083.418535416698</v>
      </c>
      <c r="B5" s="5" t="s">
        <v>78</v>
      </c>
      <c r="C5" s="11">
        <v>0.41853009259259299</v>
      </c>
      <c r="D5" s="11" t="s">
        <v>62</v>
      </c>
      <c r="E5" s="11">
        <v>0.590706018518519</v>
      </c>
      <c r="F5" s="12">
        <f t="shared" si="1"/>
        <v>4.1322222222222242</v>
      </c>
      <c r="G5" s="13">
        <f t="shared" si="2"/>
        <v>4.1322222222222242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11.919166666666674</v>
      </c>
      <c r="K5" s="23">
        <f>SUMIF(B:B,"西塔台协调席",G:G)+SUMIF(B:B,"东塔台协调席",G:G)</f>
        <v>4.9627777777777933</v>
      </c>
      <c r="L5" s="23">
        <f>SUMIF(B:B,"西塔台协调席",H:H)+SUMIF(B:B,"东塔台协调席",H:H)</f>
        <v>6.9563888888888812</v>
      </c>
      <c r="M5" s="19"/>
    </row>
    <row r="6" spans="1:16" ht="18.75" x14ac:dyDescent="0.25">
      <c r="A6" s="10">
        <f t="shared" ca="1" si="0"/>
        <v>46084.016083680603</v>
      </c>
      <c r="B6" s="5" t="s">
        <v>80</v>
      </c>
      <c r="C6" s="11">
        <v>1.60763888888889E-2</v>
      </c>
      <c r="D6" s="11" t="s">
        <v>62</v>
      </c>
      <c r="E6" s="11">
        <v>0.121354166666667</v>
      </c>
      <c r="F6" s="12">
        <f t="shared" si="1"/>
        <v>2.5266666666666744</v>
      </c>
      <c r="G6" s="13">
        <f t="shared" si="2"/>
        <v>0</v>
      </c>
      <c r="H6" s="13">
        <f t="shared" si="3"/>
        <v>2.5266666666666744</v>
      </c>
      <c r="I6" s="21" t="s">
        <v>66</v>
      </c>
      <c r="J6" s="22">
        <f>SUMIF(B:B,"放行席",F:F)</f>
        <v>1.9591666666666558</v>
      </c>
      <c r="K6" s="23">
        <f>SUMIF(B:B,"放行席",G:G)</f>
        <v>0</v>
      </c>
      <c r="L6" s="23">
        <f>SUMIF(B:B,"放行席",H:H)</f>
        <v>1.9591666666666558</v>
      </c>
      <c r="M6" s="19"/>
    </row>
    <row r="7" spans="1:16" ht="18.75" x14ac:dyDescent="0.25">
      <c r="A7" s="10">
        <f t="shared" ca="1" si="0"/>
        <v>46088.139401967601</v>
      </c>
      <c r="B7" s="5" t="s">
        <v>78</v>
      </c>
      <c r="C7" s="11">
        <v>0.13939814814814799</v>
      </c>
      <c r="D7" s="47" t="s">
        <v>62</v>
      </c>
      <c r="E7" s="11">
        <v>0.29909722222222201</v>
      </c>
      <c r="F7" s="12">
        <f t="shared" si="1"/>
        <v>3.8327777777777765</v>
      </c>
      <c r="G7" s="13">
        <f t="shared" si="2"/>
        <v>0</v>
      </c>
      <c r="H7" s="13">
        <f t="shared" si="3"/>
        <v>3.8327777777777765</v>
      </c>
      <c r="I7" s="21" t="s">
        <v>67</v>
      </c>
      <c r="J7" s="22">
        <f>SUMIF(B:B,"地面席",F:F)</f>
        <v>1.9536111111111119</v>
      </c>
      <c r="K7" s="23">
        <f>SUMIF(B:B,"地面席",G:G)</f>
        <v>0</v>
      </c>
      <c r="L7" s="23">
        <f>SUMIF(B:B,"地面席",H:H)</f>
        <v>1.9536111111111119</v>
      </c>
      <c r="M7" s="19"/>
    </row>
    <row r="8" spans="1:16" ht="18.75" x14ac:dyDescent="0.25">
      <c r="A8" s="10">
        <f t="shared" ca="1" si="0"/>
        <v>46091.133409027803</v>
      </c>
      <c r="B8" s="5" t="s">
        <v>84</v>
      </c>
      <c r="C8" s="11">
        <v>0.13340277777777801</v>
      </c>
      <c r="D8" s="11" t="s">
        <v>62</v>
      </c>
      <c r="E8" s="11">
        <v>0.215034722222222</v>
      </c>
      <c r="F8" s="12">
        <f t="shared" si="1"/>
        <v>1.9591666666666558</v>
      </c>
      <c r="G8" s="13">
        <f t="shared" si="2"/>
        <v>0</v>
      </c>
      <c r="H8" s="13">
        <f t="shared" si="3"/>
        <v>1.9591666666666558</v>
      </c>
      <c r="I8" s="21" t="s">
        <v>68</v>
      </c>
      <c r="J8" s="22">
        <f>SUMIF(B:B,"生产调度席",F:F)</f>
        <v>1.1508333333333374</v>
      </c>
      <c r="K8" s="23">
        <f>SUMIF(B:B,"生产调度席",G:G)</f>
        <v>1.1508333333333374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46091.952696296299</v>
      </c>
      <c r="B9" s="5" t="s">
        <v>78</v>
      </c>
      <c r="C9" s="11">
        <v>0.95269675925925901</v>
      </c>
      <c r="D9" s="11" t="s">
        <v>62</v>
      </c>
      <c r="E9" s="11">
        <v>0.106527777777778</v>
      </c>
      <c r="F9" s="12">
        <f t="shared" si="1"/>
        <v>3.6919444444444558</v>
      </c>
      <c r="G9" s="13">
        <f t="shared" si="2"/>
        <v>1.1352777777777838</v>
      </c>
      <c r="H9" s="13">
        <f t="shared" si="3"/>
        <v>2.556666666666672</v>
      </c>
      <c r="I9" s="21" t="s">
        <v>69</v>
      </c>
      <c r="J9" s="22">
        <f>SUMIF(B:B,"航班调度席",F:F)</f>
        <v>3.2466666666666479</v>
      </c>
      <c r="K9" s="23">
        <f>SUMIF(B:B,"航班调度席",G:G)</f>
        <v>3.2466666666666479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46094.355603703698</v>
      </c>
      <c r="B10" s="5" t="s">
        <v>78</v>
      </c>
      <c r="C10" s="11">
        <v>0.355601851851852</v>
      </c>
      <c r="D10" s="11" t="s">
        <v>62</v>
      </c>
      <c r="E10" s="11">
        <v>0.50537037037037003</v>
      </c>
      <c r="F10" s="12">
        <f t="shared" si="1"/>
        <v>3.5944444444444326</v>
      </c>
      <c r="G10" s="13">
        <f t="shared" si="2"/>
        <v>3.5944444444444326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46094.710723495402</v>
      </c>
      <c r="B11" s="5" t="s">
        <v>78</v>
      </c>
      <c r="C11" s="11">
        <v>0.71071759259259304</v>
      </c>
      <c r="D11" s="11" t="s">
        <v>62</v>
      </c>
      <c r="E11" s="11">
        <v>0.81844907407407397</v>
      </c>
      <c r="F11" s="12">
        <f t="shared" si="1"/>
        <v>2.5855555555555423</v>
      </c>
      <c r="G11" s="13">
        <f t="shared" si="2"/>
        <v>2.5855555555555423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46095.376267824096</v>
      </c>
      <c r="B12" s="5" t="s">
        <v>79</v>
      </c>
      <c r="C12" s="11">
        <v>0.37626157407407401</v>
      </c>
      <c r="D12" s="11" t="s">
        <v>62</v>
      </c>
      <c r="E12" s="11">
        <v>0.41923611111111098</v>
      </c>
      <c r="F12" s="12">
        <f t="shared" si="1"/>
        <v>1.0313888888888871</v>
      </c>
      <c r="G12" s="13">
        <f t="shared" si="2"/>
        <v>1.0313888888888871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46095.543681249997</v>
      </c>
      <c r="B13" s="5" t="s">
        <v>78</v>
      </c>
      <c r="C13" s="11">
        <v>0.54368055555555606</v>
      </c>
      <c r="D13" s="11" t="s">
        <v>62</v>
      </c>
      <c r="E13" s="11">
        <v>0.69407407407407395</v>
      </c>
      <c r="F13" s="12">
        <f t="shared" si="1"/>
        <v>3.6094444444444296</v>
      </c>
      <c r="G13" s="13">
        <f t="shared" si="2"/>
        <v>3.6094444444444296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46095.834683796304</v>
      </c>
      <c r="B14" s="5" t="s">
        <v>78</v>
      </c>
      <c r="C14" s="11">
        <v>0.83467592592592599</v>
      </c>
      <c r="D14" s="11" t="s">
        <v>62</v>
      </c>
      <c r="E14" s="11">
        <v>0.9559375</v>
      </c>
      <c r="F14" s="12">
        <f t="shared" si="1"/>
        <v>2.9102777777777762</v>
      </c>
      <c r="G14" s="13">
        <f t="shared" si="2"/>
        <v>2.9102777777777762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46099.015226041702</v>
      </c>
      <c r="B15" s="5" t="s">
        <v>80</v>
      </c>
      <c r="C15" s="11">
        <v>1.5219907407407401E-2</v>
      </c>
      <c r="D15" s="11" t="s">
        <v>62</v>
      </c>
      <c r="E15" s="11">
        <v>0.11254629629629601</v>
      </c>
      <c r="F15" s="12">
        <f t="shared" si="1"/>
        <v>2.3358333333333263</v>
      </c>
      <c r="G15" s="13">
        <f t="shared" si="2"/>
        <v>0</v>
      </c>
      <c r="H15" s="13">
        <f t="shared" si="3"/>
        <v>2.3358333333333263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46099.112593171303</v>
      </c>
      <c r="B16" s="5" t="s">
        <v>82</v>
      </c>
      <c r="C16" s="11">
        <v>0.11259259259259299</v>
      </c>
      <c r="D16" s="11" t="s">
        <v>62</v>
      </c>
      <c r="E16" s="11">
        <v>0.14319444444444401</v>
      </c>
      <c r="F16" s="12">
        <f t="shared" si="1"/>
        <v>0.73444444444442447</v>
      </c>
      <c r="G16" s="13">
        <f t="shared" si="2"/>
        <v>0</v>
      </c>
      <c r="H16" s="13">
        <f t="shared" si="3"/>
        <v>0.73444444444442447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46100.238918634299</v>
      </c>
      <c r="B17" s="5" t="s">
        <v>82</v>
      </c>
      <c r="C17" s="11">
        <v>0.23891203703703701</v>
      </c>
      <c r="D17" s="11" t="s">
        <v>62</v>
      </c>
      <c r="E17" s="11">
        <v>0.29555555555555602</v>
      </c>
      <c r="F17" s="12">
        <f t="shared" si="1"/>
        <v>1.3594444444444562</v>
      </c>
      <c r="G17" s="13">
        <f t="shared" si="2"/>
        <v>0</v>
      </c>
      <c r="H17" s="13">
        <f t="shared" si="3"/>
        <v>1.3594444444444562</v>
      </c>
      <c r="I17" s="35" t="s">
        <v>75</v>
      </c>
      <c r="J17" s="36">
        <f>J4+J5+J6+J7+J10</f>
        <v>61.758888888888833</v>
      </c>
      <c r="K17" s="37">
        <f>K4+K5+K6+K7+K10</f>
        <v>33.411388888888872</v>
      </c>
      <c r="L17" s="38">
        <f>L4+L5+L6+L7+L10</f>
        <v>28.347499999999972</v>
      </c>
      <c r="M17" s="39"/>
    </row>
    <row r="18" spans="1:13" ht="20.25" x14ac:dyDescent="0.25">
      <c r="A18" s="10">
        <f t="shared" ca="1" si="0"/>
        <v>46103.139752083298</v>
      </c>
      <c r="B18" s="5" t="s">
        <v>81</v>
      </c>
      <c r="C18" s="11">
        <v>0.13974537037036999</v>
      </c>
      <c r="D18" s="11" t="s">
        <v>62</v>
      </c>
      <c r="E18" s="11">
        <v>0.22114583333333299</v>
      </c>
      <c r="F18" s="12">
        <f t="shared" si="1"/>
        <v>1.9536111111111119</v>
      </c>
      <c r="G18" s="13">
        <f t="shared" si="2"/>
        <v>0</v>
      </c>
      <c r="H18" s="13">
        <f t="shared" si="3"/>
        <v>1.9536111111111119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46103.953299189801</v>
      </c>
      <c r="B19" s="5" t="s">
        <v>83</v>
      </c>
      <c r="C19" s="11">
        <v>0.95329861111111103</v>
      </c>
      <c r="D19" s="11" t="s">
        <v>62</v>
      </c>
      <c r="E19" s="11">
        <v>7.9004629629629605E-2</v>
      </c>
      <c r="F19" s="12">
        <f t="shared" si="1"/>
        <v>3.0169444444444462</v>
      </c>
      <c r="G19" s="13">
        <f t="shared" si="2"/>
        <v>1.1208333333333358</v>
      </c>
      <c r="H19" s="13">
        <f t="shared" si="3"/>
        <v>1.8961111111111104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46106.502200347197</v>
      </c>
      <c r="B20" s="5" t="s">
        <v>78</v>
      </c>
      <c r="C20" s="11">
        <v>0.50219907407407405</v>
      </c>
      <c r="D20" s="11" t="s">
        <v>62</v>
      </c>
      <c r="E20" s="11">
        <v>0.63217592592592597</v>
      </c>
      <c r="F20" s="12">
        <f t="shared" si="1"/>
        <v>3.1194444444444462</v>
      </c>
      <c r="G20" s="13">
        <f t="shared" si="2"/>
        <v>3.1194444444444462</v>
      </c>
      <c r="H20" s="13">
        <f t="shared" si="3"/>
        <v>0</v>
      </c>
      <c r="I20" s="40" t="s">
        <v>77</v>
      </c>
      <c r="J20" s="65">
        <f>J16+J17+J18+J19</f>
        <v>61.758888888888833</v>
      </c>
      <c r="K20" s="66"/>
      <c r="L20" s="67"/>
      <c r="M20" s="41"/>
    </row>
    <row r="21" spans="1:13" ht="20.25" x14ac:dyDescent="0.25">
      <c r="A21" s="10">
        <f t="shared" ca="1" si="0"/>
        <v>46106.6772859954</v>
      </c>
      <c r="B21" s="5" t="s">
        <v>87</v>
      </c>
      <c r="C21" s="11">
        <v>0.62936342592592598</v>
      </c>
      <c r="D21" s="11" t="s">
        <v>62</v>
      </c>
      <c r="E21" s="11">
        <v>0.67731481481481504</v>
      </c>
      <c r="F21" s="12">
        <f t="shared" si="1"/>
        <v>1.1508333333333374</v>
      </c>
      <c r="G21" s="13">
        <f t="shared" si="2"/>
        <v>1.1508333333333374</v>
      </c>
      <c r="H21" s="13">
        <f t="shared" si="3"/>
        <v>0</v>
      </c>
      <c r="I21" s="42" t="s">
        <v>4</v>
      </c>
      <c r="J21" s="43">
        <f>SUM(J8:J9)</f>
        <v>4.3974999999999849</v>
      </c>
      <c r="K21" s="37">
        <f>SUM(K8:K9)</f>
        <v>4.3974999999999849</v>
      </c>
      <c r="L21" s="38">
        <f>SUM(L8:L9)</f>
        <v>0</v>
      </c>
      <c r="M21" s="44"/>
    </row>
    <row r="22" spans="1:13" ht="18.75" x14ac:dyDescent="0.15">
      <c r="A22" s="10">
        <f t="shared" ca="1" si="0"/>
        <v>46106.752557060201</v>
      </c>
      <c r="B22" s="5" t="s">
        <v>82</v>
      </c>
      <c r="C22" s="11">
        <v>0.75254629629629599</v>
      </c>
      <c r="D22" s="11" t="s">
        <v>62</v>
      </c>
      <c r="E22" s="11">
        <v>0.83763888888888904</v>
      </c>
      <c r="F22" s="12">
        <f t="shared" si="1"/>
        <v>2.0422222222222333</v>
      </c>
      <c r="G22" s="13">
        <f t="shared" si="2"/>
        <v>2.0422222222222333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46107.385107291702</v>
      </c>
      <c r="B23" s="5" t="s">
        <v>79</v>
      </c>
      <c r="C23" s="11">
        <v>0.38510416666666702</v>
      </c>
      <c r="D23" s="11" t="s">
        <v>62</v>
      </c>
      <c r="E23" s="11">
        <v>0.43150462962962999</v>
      </c>
      <c r="F23" s="12">
        <f t="shared" si="1"/>
        <v>1.1136111111111111</v>
      </c>
      <c r="G23" s="13">
        <f t="shared" si="2"/>
        <v>1.1136111111111111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46107.5448944444</v>
      </c>
      <c r="B24" s="5" t="s">
        <v>78</v>
      </c>
      <c r="C24" s="11">
        <v>0.54488425925925899</v>
      </c>
      <c r="D24" s="11" t="s">
        <v>62</v>
      </c>
      <c r="E24" s="11">
        <v>0.67484953703703698</v>
      </c>
      <c r="F24" s="12">
        <f t="shared" si="1"/>
        <v>3.119166666666672</v>
      </c>
      <c r="G24" s="13">
        <f t="shared" si="2"/>
        <v>3.119166666666672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46107.835791203703</v>
      </c>
      <c r="B25" s="5" t="s">
        <v>82</v>
      </c>
      <c r="C25" s="11">
        <v>0.83578703703703705</v>
      </c>
      <c r="D25" s="11" t="s">
        <v>62</v>
      </c>
      <c r="E25" s="11">
        <v>0.95747685185185205</v>
      </c>
      <c r="F25" s="12">
        <f t="shared" si="1"/>
        <v>2.92055555555556</v>
      </c>
      <c r="G25" s="13">
        <f t="shared" si="2"/>
        <v>2.92055555555556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46111.014259606498</v>
      </c>
      <c r="B26" s="5" t="s">
        <v>83</v>
      </c>
      <c r="C26" s="11">
        <v>1.42592592592593E-2</v>
      </c>
      <c r="D26" s="11" t="s">
        <v>62</v>
      </c>
      <c r="E26" s="11">
        <v>0.14763888888888901</v>
      </c>
      <c r="F26" s="12">
        <f t="shared" si="1"/>
        <v>3.2011111111111132</v>
      </c>
      <c r="G26" s="13">
        <f t="shared" si="2"/>
        <v>0</v>
      </c>
      <c r="H26" s="13">
        <f t="shared" si="3"/>
        <v>3.2011111111111132</v>
      </c>
      <c r="I26"/>
      <c r="J26"/>
    </row>
    <row r="27" spans="1:13" ht="18.75" x14ac:dyDescent="0.15">
      <c r="A27" s="10">
        <f t="shared" ca="1" si="0"/>
        <v>46112.139485879597</v>
      </c>
      <c r="B27" s="5" t="s">
        <v>78</v>
      </c>
      <c r="C27" s="11">
        <v>0.13947916666666699</v>
      </c>
      <c r="D27" s="11" t="s">
        <v>62</v>
      </c>
      <c r="E27" s="11">
        <v>0.29813657407407401</v>
      </c>
      <c r="F27" s="12">
        <f t="shared" si="1"/>
        <v>3.8077777777777686</v>
      </c>
      <c r="G27" s="13">
        <f t="shared" si="2"/>
        <v>0</v>
      </c>
      <c r="H27" s="13">
        <f t="shared" si="3"/>
        <v>3.8077777777777686</v>
      </c>
      <c r="I27"/>
      <c r="J27"/>
    </row>
    <row r="28" spans="1:13" ht="18.75" x14ac:dyDescent="0.15">
      <c r="A28" s="10">
        <v>46100</v>
      </c>
      <c r="B28" s="5" t="s">
        <v>83</v>
      </c>
      <c r="C28" s="11">
        <v>0.13729166666666701</v>
      </c>
      <c r="D28" s="11" t="s">
        <v>62</v>
      </c>
      <c r="E28" s="11">
        <v>0.22828703703703701</v>
      </c>
      <c r="F28" s="12">
        <f t="shared" si="1"/>
        <v>2.1838888888888803</v>
      </c>
      <c r="G28" s="13">
        <f t="shared" si="2"/>
        <v>0</v>
      </c>
      <c r="H28" s="13">
        <f t="shared" si="3"/>
        <v>2.1838888888888803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E7 D3:D6 D8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46082.355255092603</v>
      </c>
      <c r="B3" s="5" t="s">
        <v>88</v>
      </c>
      <c r="C3" s="11">
        <v>0.35525462962963</v>
      </c>
      <c r="D3" s="11" t="s">
        <v>62</v>
      </c>
      <c r="E3" s="11">
        <v>0.50687499999999996</v>
      </c>
      <c r="F3" s="12">
        <f t="shared" ref="F3:F42" si="1">(IF(E3-C3&lt;0,"24:00"-C3+E3,E3-C3))*24</f>
        <v>3.6388888888888791</v>
      </c>
      <c r="G3" s="13">
        <f t="shared" ref="G3:G42" si="2">F3-H3</f>
        <v>3.6388888888888791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46082.625949884299</v>
      </c>
      <c r="B4" s="5" t="s">
        <v>88</v>
      </c>
      <c r="C4" s="11">
        <v>0.62594907407407396</v>
      </c>
      <c r="D4" s="11" t="s">
        <v>62</v>
      </c>
      <c r="E4" s="11">
        <v>0.715208333333333</v>
      </c>
      <c r="F4" s="12">
        <f t="shared" si="1"/>
        <v>2.1422222222222169</v>
      </c>
      <c r="G4" s="13">
        <f t="shared" si="2"/>
        <v>2.1422222222222169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46084.144146296298</v>
      </c>
      <c r="B5" s="5" t="s">
        <v>88</v>
      </c>
      <c r="C5" s="11">
        <v>0.144143518518519</v>
      </c>
      <c r="D5" s="11" t="s">
        <v>62</v>
      </c>
      <c r="E5" s="11">
        <v>0.298032407407407</v>
      </c>
      <c r="F5" s="12">
        <f t="shared" si="1"/>
        <v>3.693333333333312</v>
      </c>
      <c r="G5" s="13">
        <f t="shared" si="2"/>
        <v>0</v>
      </c>
      <c r="H5" s="13">
        <f t="shared" si="3"/>
        <v>3.693333333333312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46087.216705555598</v>
      </c>
      <c r="B6" s="5" t="s">
        <v>88</v>
      </c>
      <c r="C6" s="11">
        <v>0.13822916666666701</v>
      </c>
      <c r="D6" s="11" t="s">
        <v>62</v>
      </c>
      <c r="E6" s="11">
        <v>0.21839120370370399</v>
      </c>
      <c r="F6" s="12">
        <f t="shared" si="1"/>
        <v>1.9238888888888874</v>
      </c>
      <c r="G6" s="13">
        <f t="shared" si="2"/>
        <v>0</v>
      </c>
      <c r="H6" s="13">
        <f t="shared" si="3"/>
        <v>1.9238888888888874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46088.138935995397</v>
      </c>
      <c r="B7" s="5" t="s">
        <v>88</v>
      </c>
      <c r="C7" s="11">
        <v>0.138935185185185</v>
      </c>
      <c r="D7" s="11" t="s">
        <v>62</v>
      </c>
      <c r="E7" s="11">
        <v>0.22114583333333299</v>
      </c>
      <c r="F7" s="12">
        <f t="shared" si="1"/>
        <v>1.9730555555555518</v>
      </c>
      <c r="G7" s="13">
        <f t="shared" si="2"/>
        <v>0</v>
      </c>
      <c r="H7" s="13">
        <f t="shared" si="3"/>
        <v>1.9730555555555518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46090.354716550901</v>
      </c>
      <c r="B8" s="5" t="s">
        <v>88</v>
      </c>
      <c r="C8" s="11">
        <v>0.35471064814814801</v>
      </c>
      <c r="D8" s="11" t="s">
        <v>62</v>
      </c>
      <c r="E8" s="11">
        <v>0.52769675925925896</v>
      </c>
      <c r="F8" s="12">
        <f t="shared" si="1"/>
        <v>4.1516666666666628</v>
      </c>
      <c r="G8" s="13">
        <f t="shared" si="2"/>
        <v>4.1516666666666628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46090.687524189801</v>
      </c>
      <c r="B9" s="5" t="s">
        <v>88</v>
      </c>
      <c r="C9" s="11">
        <v>0.68752314814814797</v>
      </c>
      <c r="D9" s="11" t="s">
        <v>62</v>
      </c>
      <c r="E9" s="11">
        <v>0.79872685185185199</v>
      </c>
      <c r="F9" s="12">
        <f t="shared" si="1"/>
        <v>2.6688888888888966</v>
      </c>
      <c r="G9" s="13">
        <f t="shared" si="2"/>
        <v>2.6688888888888966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46091.138778819397</v>
      </c>
      <c r="B10" s="5" t="s">
        <v>88</v>
      </c>
      <c r="C10" s="11">
        <v>0.13877314814814801</v>
      </c>
      <c r="D10" s="11" t="s">
        <v>62</v>
      </c>
      <c r="E10" s="11">
        <v>0.22083333333333299</v>
      </c>
      <c r="F10" s="12">
        <f t="shared" si="1"/>
        <v>1.9694444444444397</v>
      </c>
      <c r="G10" s="13">
        <f t="shared" si="2"/>
        <v>0</v>
      </c>
      <c r="H10" s="13">
        <f t="shared" si="3"/>
        <v>1.9694444444444397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46092.140102430603</v>
      </c>
      <c r="B11" s="5" t="s">
        <v>88</v>
      </c>
      <c r="C11" s="11">
        <v>0.14009259259259299</v>
      </c>
      <c r="D11" s="11" t="s">
        <v>62</v>
      </c>
      <c r="E11" s="11">
        <v>0.221944444444444</v>
      </c>
      <c r="F11" s="12">
        <f t="shared" si="1"/>
        <v>1.9644444444444242</v>
      </c>
      <c r="G11" s="13">
        <f t="shared" si="2"/>
        <v>0</v>
      </c>
      <c r="H11" s="13">
        <f t="shared" si="3"/>
        <v>1.9644444444444242</v>
      </c>
      <c r="I11" s="24" t="s">
        <v>71</v>
      </c>
      <c r="J11" s="25">
        <f>SUMIF(B:B,"见习管制员",F:F)</f>
        <v>70.087222222222152</v>
      </c>
      <c r="K11" s="26">
        <f>SUMIF(B:B,"见习管制员",G:G)</f>
        <v>32.134722222222216</v>
      </c>
      <c r="L11" s="26">
        <f>SUMIF(B:B,"见习管制员",H:H)</f>
        <v>37.95249999999993</v>
      </c>
      <c r="M11" s="19"/>
    </row>
    <row r="12" spans="1:16" ht="18.75" x14ac:dyDescent="0.25">
      <c r="A12" s="10">
        <f t="shared" ca="1" si="0"/>
        <v>46095.013334490701</v>
      </c>
      <c r="B12" s="5" t="s">
        <v>88</v>
      </c>
      <c r="C12" s="11">
        <v>1.3333333333333299E-2</v>
      </c>
      <c r="D12" s="11" t="s">
        <v>62</v>
      </c>
      <c r="E12" s="11">
        <v>0.14556712962963</v>
      </c>
      <c r="F12" s="12">
        <f t="shared" si="1"/>
        <v>3.1736111111111205</v>
      </c>
      <c r="G12" s="13">
        <f t="shared" si="2"/>
        <v>0</v>
      </c>
      <c r="H12" s="13">
        <f t="shared" si="3"/>
        <v>3.1736111111111205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46096.139278819399</v>
      </c>
      <c r="B13" s="5" t="s">
        <v>88</v>
      </c>
      <c r="C13" s="11">
        <v>0.13927083333333301</v>
      </c>
      <c r="D13" s="11" t="s">
        <v>62</v>
      </c>
      <c r="E13" s="11">
        <v>0.299108796296296</v>
      </c>
      <c r="F13" s="12">
        <f t="shared" si="1"/>
        <v>3.8361111111111117</v>
      </c>
      <c r="G13" s="13">
        <f t="shared" si="2"/>
        <v>0</v>
      </c>
      <c r="H13" s="13">
        <f t="shared" si="3"/>
        <v>3.8361111111111117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46099.013635532399</v>
      </c>
      <c r="B14" s="5" t="s">
        <v>88</v>
      </c>
      <c r="C14" s="11">
        <v>1.3634259259259301E-2</v>
      </c>
      <c r="D14" s="11" t="s">
        <v>62</v>
      </c>
      <c r="E14" s="11">
        <v>0.144895833333333</v>
      </c>
      <c r="F14" s="12">
        <f t="shared" si="1"/>
        <v>3.1502777777777693</v>
      </c>
      <c r="G14" s="13">
        <f t="shared" si="2"/>
        <v>0</v>
      </c>
      <c r="H14" s="13">
        <f t="shared" si="3"/>
        <v>3.1502777777777693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46099.953496296301</v>
      </c>
      <c r="B15" s="5" t="s">
        <v>88</v>
      </c>
      <c r="C15" s="11">
        <v>0.95349537037037002</v>
      </c>
      <c r="D15" s="11" t="s">
        <v>62</v>
      </c>
      <c r="E15" s="11">
        <v>0.146145833333333</v>
      </c>
      <c r="F15" s="12">
        <f t="shared" si="1"/>
        <v>4.6236111111111118</v>
      </c>
      <c r="G15" s="13">
        <f t="shared" si="2"/>
        <v>1.1161111111111195</v>
      </c>
      <c r="H15" s="13">
        <f t="shared" si="3"/>
        <v>3.5074999999999923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46102.393266782397</v>
      </c>
      <c r="B16" s="5" t="s">
        <v>88</v>
      </c>
      <c r="C16" s="11">
        <v>0.39326388888888902</v>
      </c>
      <c r="D16" s="11" t="s">
        <v>62</v>
      </c>
      <c r="E16" s="11">
        <v>0.45945601851851903</v>
      </c>
      <c r="F16" s="12">
        <f t="shared" si="1"/>
        <v>1.5886111111111201</v>
      </c>
      <c r="G16" s="13">
        <f t="shared" si="2"/>
        <v>1.5886111111111201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46102.522226967601</v>
      </c>
      <c r="B17" s="5" t="s">
        <v>88</v>
      </c>
      <c r="C17" s="11">
        <v>0.52222222222222203</v>
      </c>
      <c r="D17" s="11" t="s">
        <v>62</v>
      </c>
      <c r="E17" s="11">
        <v>0.69427083333333295</v>
      </c>
      <c r="F17" s="12">
        <f t="shared" si="1"/>
        <v>4.129166666666662</v>
      </c>
      <c r="G17" s="13">
        <f t="shared" si="2"/>
        <v>4.129166666666662</v>
      </c>
      <c r="H17" s="13">
        <f t="shared" si="3"/>
        <v>0</v>
      </c>
      <c r="I17" s="35" t="s">
        <v>75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>
        <f t="shared" ca="1" si="0"/>
        <v>46102.792547338002</v>
      </c>
      <c r="B18" s="5" t="s">
        <v>88</v>
      </c>
      <c r="C18" s="11">
        <v>0.79256944444444499</v>
      </c>
      <c r="D18" s="11" t="s">
        <v>62</v>
      </c>
      <c r="E18" s="11">
        <v>0.87869212962962995</v>
      </c>
      <c r="F18" s="12">
        <f t="shared" si="1"/>
        <v>2.0669444444444389</v>
      </c>
      <c r="G18" s="13">
        <f t="shared" si="2"/>
        <v>2.0669444444444389</v>
      </c>
      <c r="H18" s="13">
        <f t="shared" si="3"/>
        <v>0</v>
      </c>
      <c r="I18" s="35" t="s">
        <v>71</v>
      </c>
      <c r="J18" s="36">
        <f t="shared" ref="J18:L18" si="5">J11</f>
        <v>70.087222222222152</v>
      </c>
      <c r="K18" s="37">
        <f t="shared" si="5"/>
        <v>32.134722222222216</v>
      </c>
      <c r="L18" s="38">
        <f t="shared" si="5"/>
        <v>37.95249999999993</v>
      </c>
      <c r="M18" s="39"/>
    </row>
    <row r="19" spans="1:13" ht="20.25" x14ac:dyDescent="0.25">
      <c r="A19" s="10">
        <f t="shared" ca="1" si="0"/>
        <v>46103.418770370401</v>
      </c>
      <c r="B19" s="5" t="s">
        <v>88</v>
      </c>
      <c r="C19" s="11">
        <v>0.41876157407407399</v>
      </c>
      <c r="D19" s="11" t="s">
        <v>62</v>
      </c>
      <c r="E19" s="11">
        <v>0.52520833333333306</v>
      </c>
      <c r="F19" s="12">
        <f t="shared" si="1"/>
        <v>2.5547222222222175</v>
      </c>
      <c r="G19" s="13">
        <f t="shared" si="2"/>
        <v>2.5547222222222175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46103.625587615701</v>
      </c>
      <c r="B20" s="5" t="s">
        <v>88</v>
      </c>
      <c r="C20" s="11">
        <v>0.62557870370370405</v>
      </c>
      <c r="D20" s="11" t="s">
        <v>62</v>
      </c>
      <c r="E20" s="11">
        <v>0.75975694444444397</v>
      </c>
      <c r="F20" s="12">
        <f t="shared" si="1"/>
        <v>3.220277777777758</v>
      </c>
      <c r="G20" s="13">
        <f t="shared" si="2"/>
        <v>3.220277777777758</v>
      </c>
      <c r="H20" s="13">
        <f t="shared" si="3"/>
        <v>0</v>
      </c>
      <c r="I20" s="40" t="s">
        <v>77</v>
      </c>
      <c r="J20" s="65">
        <f>J16+J17+J18+J19</f>
        <v>70.087222222222152</v>
      </c>
      <c r="K20" s="66"/>
      <c r="L20" s="67"/>
      <c r="M20" s="41"/>
    </row>
    <row r="21" spans="1:13" ht="20.25" x14ac:dyDescent="0.25">
      <c r="A21" s="10">
        <f t="shared" ca="1" si="0"/>
        <v>46103.833724074102</v>
      </c>
      <c r="B21" s="5" t="s">
        <v>88</v>
      </c>
      <c r="C21" s="11">
        <v>0.83371527777777799</v>
      </c>
      <c r="D21" s="11" t="s">
        <v>62</v>
      </c>
      <c r="E21" s="11">
        <v>0.95715277777777796</v>
      </c>
      <c r="F21" s="12">
        <f t="shared" si="1"/>
        <v>2.9624999999999995</v>
      </c>
      <c r="G21" s="13">
        <f t="shared" si="2"/>
        <v>2.9624999999999995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46104.293301388898</v>
      </c>
      <c r="B22" s="5" t="s">
        <v>88</v>
      </c>
      <c r="C22" s="11">
        <v>0.293298611111111</v>
      </c>
      <c r="D22" s="11" t="s">
        <v>62</v>
      </c>
      <c r="E22" s="11">
        <v>0.36656250000000001</v>
      </c>
      <c r="F22" s="12">
        <f t="shared" si="1"/>
        <v>1.7583333333333364</v>
      </c>
      <c r="G22" s="13">
        <f t="shared" si="2"/>
        <v>0.79750000000000876</v>
      </c>
      <c r="H22" s="13">
        <f t="shared" si="3"/>
        <v>0.96083333333332765</v>
      </c>
      <c r="I22"/>
      <c r="J22"/>
    </row>
    <row r="23" spans="1:13" ht="18.75" x14ac:dyDescent="0.15">
      <c r="A23" s="10">
        <f t="shared" ca="1" si="0"/>
        <v>46106.954287731503</v>
      </c>
      <c r="B23" s="5" t="s">
        <v>88</v>
      </c>
      <c r="C23" s="11">
        <v>0.954282407407407</v>
      </c>
      <c r="D23" s="11" t="s">
        <v>62</v>
      </c>
      <c r="E23" s="11">
        <v>0.12314814814814801</v>
      </c>
      <c r="F23" s="12">
        <f t="shared" si="1"/>
        <v>4.0527777777777843</v>
      </c>
      <c r="G23" s="13">
        <f t="shared" si="2"/>
        <v>1.0972222222222321</v>
      </c>
      <c r="H23" s="13">
        <f t="shared" si="3"/>
        <v>2.9555555555555522</v>
      </c>
      <c r="I23"/>
      <c r="J23"/>
    </row>
    <row r="24" spans="1:13" ht="18.75" x14ac:dyDescent="0.15">
      <c r="A24" s="10">
        <f t="shared" ca="1" si="0"/>
        <v>46108.139653356498</v>
      </c>
      <c r="B24" s="5" t="s">
        <v>88</v>
      </c>
      <c r="C24" s="11">
        <v>0.13965277777777799</v>
      </c>
      <c r="D24" s="11" t="s">
        <v>62</v>
      </c>
      <c r="E24" s="11">
        <v>0.21545138888888901</v>
      </c>
      <c r="F24" s="12">
        <f t="shared" si="1"/>
        <v>1.8191666666666646</v>
      </c>
      <c r="G24" s="13">
        <f t="shared" si="2"/>
        <v>0</v>
      </c>
      <c r="H24" s="13">
        <f t="shared" si="3"/>
        <v>1.8191666666666646</v>
      </c>
      <c r="I24"/>
      <c r="J24"/>
    </row>
    <row r="25" spans="1:13" ht="18.75" x14ac:dyDescent="0.15">
      <c r="A25" s="10">
        <f t="shared" ca="1" si="0"/>
        <v>46111.139362731497</v>
      </c>
      <c r="B25" s="5" t="s">
        <v>88</v>
      </c>
      <c r="C25" s="11">
        <v>0.139351851851852</v>
      </c>
      <c r="D25" s="11" t="s">
        <v>62</v>
      </c>
      <c r="E25" s="11">
        <v>0.30097222222222197</v>
      </c>
      <c r="F25" s="12">
        <f t="shared" si="1"/>
        <v>3.8788888888888793</v>
      </c>
      <c r="G25" s="13">
        <f t="shared" si="2"/>
        <v>0</v>
      </c>
      <c r="H25" s="13">
        <f t="shared" si="3"/>
        <v>3.8788888888888793</v>
      </c>
      <c r="I25"/>
      <c r="J25"/>
    </row>
    <row r="26" spans="1:13" ht="18.75" x14ac:dyDescent="0.15">
      <c r="A26" s="10">
        <f t="shared" ca="1" si="0"/>
        <v>46112.012623842602</v>
      </c>
      <c r="B26" s="5" t="s">
        <v>88</v>
      </c>
      <c r="C26" s="11">
        <v>1.26157407407407E-2</v>
      </c>
      <c r="D26" s="11" t="s">
        <v>62</v>
      </c>
      <c r="E26" s="11">
        <v>0.14371527777777801</v>
      </c>
      <c r="F26" s="12">
        <f t="shared" si="1"/>
        <v>3.1463888888888953</v>
      </c>
      <c r="G26" s="13">
        <f t="shared" si="2"/>
        <v>0</v>
      </c>
      <c r="H26" s="13">
        <f t="shared" si="3"/>
        <v>3.1463888888888953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P42"/>
  <sheetViews>
    <sheetView zoomScale="85" zoomScaleNormal="85" workbookViewId="0">
      <selection activeCell="D28" sqref="D28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46086.522462847199</v>
      </c>
      <c r="B3" s="5" t="s">
        <v>78</v>
      </c>
      <c r="C3" s="11">
        <v>0.52245370370370403</v>
      </c>
      <c r="D3" s="11" t="s">
        <v>62</v>
      </c>
      <c r="E3" s="11">
        <v>0.56037037037036996</v>
      </c>
      <c r="F3" s="12">
        <f t="shared" ref="F3:F42" si="1">(IF(E3-C3&lt;0,"24:00"-C3+E3,E3-C3))*24</f>
        <v>0.90999999999998238</v>
      </c>
      <c r="G3" s="13">
        <f t="shared" ref="G3:G42" si="2">F3-H3</f>
        <v>0.90999999999998238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46086.5712061343</v>
      </c>
      <c r="B4" s="5" t="s">
        <v>78</v>
      </c>
      <c r="C4" s="11">
        <v>0.57120370370370399</v>
      </c>
      <c r="D4" s="11" t="s">
        <v>62</v>
      </c>
      <c r="E4" s="11">
        <v>0.65620370370370396</v>
      </c>
      <c r="F4" s="12">
        <f t="shared" si="1"/>
        <v>2.0399999999999991</v>
      </c>
      <c r="G4" s="13">
        <f t="shared" si="2"/>
        <v>2.0399999999999991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36.716388888888886</v>
      </c>
      <c r="K4" s="23">
        <f>SUMIF(B:B,"西塔台管制席",G:G)+SUMIF(B:B,"东塔台管制席",G:G)</f>
        <v>27.657499999999992</v>
      </c>
      <c r="L4" s="23">
        <f>SUMIF(B:B,"西塔台管制席",H:H)+SUMIF(B:B,"东塔台管制席",H:H)</f>
        <v>9.0588888888888963</v>
      </c>
      <c r="M4" s="19"/>
    </row>
    <row r="5" spans="1:16" ht="18.75" x14ac:dyDescent="0.25">
      <c r="A5" s="10">
        <f t="shared" ca="1" si="0"/>
        <v>46086.7179398148</v>
      </c>
      <c r="B5" s="5" t="s">
        <v>79</v>
      </c>
      <c r="C5" s="11">
        <v>0.71793981481481495</v>
      </c>
      <c r="D5" s="11" t="s">
        <v>62</v>
      </c>
      <c r="E5" s="11">
        <v>0.74650462962963005</v>
      </c>
      <c r="F5" s="12">
        <f t="shared" si="1"/>
        <v>0.68555555555556236</v>
      </c>
      <c r="G5" s="13">
        <f t="shared" si="2"/>
        <v>0.68555555555556236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20.538333333333377</v>
      </c>
      <c r="K5" s="23">
        <f>SUMIF(B:B,"西塔台协调席",G:G)+SUMIF(B:B,"东塔台协调席",G:G)</f>
        <v>11.256388888888921</v>
      </c>
      <c r="L5" s="23">
        <f>SUMIF(B:B,"西塔台协调席",H:H)+SUMIF(B:B,"东塔台协调席",H:H)</f>
        <v>9.2819444444444539</v>
      </c>
      <c r="M5" s="19"/>
    </row>
    <row r="6" spans="1:16" ht="18.75" x14ac:dyDescent="0.25">
      <c r="A6" s="10">
        <f t="shared" ca="1" si="0"/>
        <v>46086.855632175902</v>
      </c>
      <c r="B6" s="5" t="s">
        <v>82</v>
      </c>
      <c r="C6" s="11">
        <v>0.85562499999999997</v>
      </c>
      <c r="D6" s="11" t="s">
        <v>62</v>
      </c>
      <c r="E6" s="11">
        <v>0.95853009259259303</v>
      </c>
      <c r="F6" s="12">
        <f t="shared" si="1"/>
        <v>2.4697222222222335</v>
      </c>
      <c r="G6" s="13">
        <f t="shared" si="2"/>
        <v>2.4697222222222335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46087.417787152801</v>
      </c>
      <c r="B7" s="5" t="s">
        <v>82</v>
      </c>
      <c r="C7" s="11">
        <v>0.41777777777777803</v>
      </c>
      <c r="D7" s="11" t="s">
        <v>62</v>
      </c>
      <c r="E7" s="11">
        <v>0.54658564814814803</v>
      </c>
      <c r="F7" s="12">
        <f t="shared" si="1"/>
        <v>3.0913888888888801</v>
      </c>
      <c r="G7" s="13">
        <f t="shared" si="2"/>
        <v>3.0913888888888801</v>
      </c>
      <c r="H7" s="13">
        <f t="shared" si="3"/>
        <v>0</v>
      </c>
      <c r="I7" s="21" t="s">
        <v>67</v>
      </c>
      <c r="J7" s="22">
        <f>SUMIF(B:B,"地面席",F:F)</f>
        <v>1.8355555555555683</v>
      </c>
      <c r="K7" s="23">
        <f>SUMIF(B:B,"地面席",G:G)</f>
        <v>0</v>
      </c>
      <c r="L7" s="23">
        <f>SUMIF(B:B,"地面席",H:H)</f>
        <v>1.8355555555555683</v>
      </c>
      <c r="M7" s="19"/>
    </row>
    <row r="8" spans="1:16" ht="18.75" x14ac:dyDescent="0.25">
      <c r="A8" s="10">
        <f t="shared" ca="1" si="0"/>
        <v>46087.647432060199</v>
      </c>
      <c r="B8" s="5" t="s">
        <v>78</v>
      </c>
      <c r="C8" s="11">
        <v>0.64743055555555595</v>
      </c>
      <c r="D8" s="11" t="s">
        <v>62</v>
      </c>
      <c r="E8" s="11">
        <v>0.77775462962963005</v>
      </c>
      <c r="F8" s="12">
        <f t="shared" si="1"/>
        <v>3.1277777777777782</v>
      </c>
      <c r="G8" s="13">
        <f t="shared" si="2"/>
        <v>3.1277777777777782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46090.951029629599</v>
      </c>
      <c r="B9" s="5" t="s">
        <v>78</v>
      </c>
      <c r="C9" s="11">
        <v>0.95103009259259297</v>
      </c>
      <c r="D9" s="11" t="s">
        <v>62</v>
      </c>
      <c r="E9" s="11">
        <v>0.128599537037037</v>
      </c>
      <c r="F9" s="12">
        <f t="shared" si="1"/>
        <v>4.2616666666666569</v>
      </c>
      <c r="G9" s="13">
        <f t="shared" si="2"/>
        <v>1.1752777777777688</v>
      </c>
      <c r="H9" s="13">
        <f t="shared" si="3"/>
        <v>3.0863888888888882</v>
      </c>
      <c r="I9" s="21" t="s">
        <v>69</v>
      </c>
      <c r="J9" s="22">
        <f>SUMIF(B:B,"航班调度席",F:F)</f>
        <v>0.68555555555556236</v>
      </c>
      <c r="K9" s="23">
        <f>SUMIF(B:B,"航班调度席",G:G)</f>
        <v>0.68555555555556236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46092.133090740703</v>
      </c>
      <c r="B10" s="5" t="s">
        <v>83</v>
      </c>
      <c r="C10" s="11">
        <v>0.13309027777777799</v>
      </c>
      <c r="D10" s="11" t="s">
        <v>62</v>
      </c>
      <c r="E10" s="11">
        <v>0.222326388888889</v>
      </c>
      <c r="F10" s="12">
        <f t="shared" si="1"/>
        <v>2.1416666666666644</v>
      </c>
      <c r="G10" s="13">
        <f t="shared" si="2"/>
        <v>0</v>
      </c>
      <c r="H10" s="13">
        <f t="shared" si="3"/>
        <v>2.1416666666666644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46095.138793402803</v>
      </c>
      <c r="B11" s="5" t="s">
        <v>81</v>
      </c>
      <c r="C11" s="11">
        <v>0.13878472222222199</v>
      </c>
      <c r="D11" s="11" t="s">
        <v>62</v>
      </c>
      <c r="E11" s="11">
        <v>0.215266203703704</v>
      </c>
      <c r="F11" s="12">
        <f t="shared" si="1"/>
        <v>1.8355555555555683</v>
      </c>
      <c r="G11" s="13">
        <f t="shared" si="2"/>
        <v>0</v>
      </c>
      <c r="H11" s="13">
        <f t="shared" si="3"/>
        <v>1.8355555555555683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46095.952377199101</v>
      </c>
      <c r="B12" s="5" t="s">
        <v>82</v>
      </c>
      <c r="C12" s="11">
        <v>0.95237268518518503</v>
      </c>
      <c r="D12" s="11" t="s">
        <v>62</v>
      </c>
      <c r="E12" s="11">
        <v>0.110613425925926</v>
      </c>
      <c r="F12" s="12">
        <f t="shared" si="1"/>
        <v>3.797777777777783</v>
      </c>
      <c r="G12" s="13">
        <f t="shared" si="2"/>
        <v>1.1430555555555588</v>
      </c>
      <c r="H12" s="13">
        <f t="shared" si="3"/>
        <v>2.6547222222222242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46098.356724537</v>
      </c>
      <c r="B13" s="5" t="s">
        <v>78</v>
      </c>
      <c r="C13" s="11">
        <v>0.35672453703703699</v>
      </c>
      <c r="D13" s="11" t="s">
        <v>62</v>
      </c>
      <c r="E13" s="11">
        <v>0.52537037037037004</v>
      </c>
      <c r="F13" s="12">
        <f t="shared" si="1"/>
        <v>4.0474999999999932</v>
      </c>
      <c r="G13" s="13">
        <f t="shared" si="2"/>
        <v>4.0474999999999932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46098.857283449099</v>
      </c>
      <c r="B14" s="5" t="s">
        <v>78</v>
      </c>
      <c r="C14" s="11">
        <v>0.85728009259259297</v>
      </c>
      <c r="D14" s="11" t="s">
        <v>62</v>
      </c>
      <c r="E14" s="11">
        <v>0.95775462962962998</v>
      </c>
      <c r="F14" s="12">
        <f t="shared" si="1"/>
        <v>2.4113888888888884</v>
      </c>
      <c r="G14" s="13">
        <f t="shared" si="2"/>
        <v>2.4113888888888884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46099.772370138897</v>
      </c>
      <c r="B15" s="5" t="s">
        <v>78</v>
      </c>
      <c r="C15" s="11">
        <v>0.77236111111111105</v>
      </c>
      <c r="D15" s="11" t="s">
        <v>62</v>
      </c>
      <c r="E15" s="11">
        <v>0.862916666666667</v>
      </c>
      <c r="F15" s="12">
        <f t="shared" si="1"/>
        <v>2.1733333333333427</v>
      </c>
      <c r="G15" s="13">
        <f t="shared" si="2"/>
        <v>2.1733333333333427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46102.9515636574</v>
      </c>
      <c r="B16" s="5" t="s">
        <v>82</v>
      </c>
      <c r="C16" s="11">
        <v>0.95156249999999998</v>
      </c>
      <c r="D16" s="11" t="s">
        <v>62</v>
      </c>
      <c r="E16" s="11">
        <v>0.10353009259259301</v>
      </c>
      <c r="F16" s="12">
        <f t="shared" si="1"/>
        <v>3.6472222222222324</v>
      </c>
      <c r="G16" s="13">
        <f t="shared" si="2"/>
        <v>1.1625000000000001</v>
      </c>
      <c r="H16" s="13">
        <f t="shared" si="3"/>
        <v>2.4847222222222323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46107.137152893498</v>
      </c>
      <c r="B17" s="5" t="s">
        <v>83</v>
      </c>
      <c r="C17" s="11">
        <v>0.13715277777777801</v>
      </c>
      <c r="D17" s="11" t="s">
        <v>62</v>
      </c>
      <c r="E17" s="11">
        <v>0.26228009259259299</v>
      </c>
      <c r="F17" s="12">
        <f t="shared" si="1"/>
        <v>3.0030555555555596</v>
      </c>
      <c r="G17" s="13">
        <f t="shared" si="2"/>
        <v>0</v>
      </c>
      <c r="H17" s="13">
        <f t="shared" si="3"/>
        <v>3.0030555555555596</v>
      </c>
      <c r="I17" s="35" t="s">
        <v>75</v>
      </c>
      <c r="J17" s="36">
        <f>J4+J5+J6+J7+J10</f>
        <v>59.090277777777828</v>
      </c>
      <c r="K17" s="37">
        <f>K4+K5+K6+K7+K10</f>
        <v>38.913888888888913</v>
      </c>
      <c r="L17" s="38">
        <f>L4+L5+L6+L7+L10</f>
        <v>20.176388888888919</v>
      </c>
      <c r="M17" s="39"/>
    </row>
    <row r="18" spans="1:13" ht="20.25" x14ac:dyDescent="0.25">
      <c r="A18" s="10">
        <f t="shared" ca="1" si="0"/>
        <v>46107.266998958301</v>
      </c>
      <c r="B18" s="5" t="s">
        <v>82</v>
      </c>
      <c r="C18" s="11">
        <v>0.26699074074074097</v>
      </c>
      <c r="D18" s="11" t="s">
        <v>62</v>
      </c>
      <c r="E18" s="11">
        <v>0.29930555555555599</v>
      </c>
      <c r="F18" s="12">
        <f t="shared" si="1"/>
        <v>0.77555555555556044</v>
      </c>
      <c r="G18" s="13">
        <f t="shared" si="2"/>
        <v>0</v>
      </c>
      <c r="H18" s="13">
        <f t="shared" si="3"/>
        <v>0.77555555555556044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46108.012269328698</v>
      </c>
      <c r="B19" s="5" t="s">
        <v>80</v>
      </c>
      <c r="C19" s="11">
        <v>1.22685185185185E-2</v>
      </c>
      <c r="D19" s="11" t="s">
        <v>62</v>
      </c>
      <c r="E19" s="11">
        <v>0.112615740740741</v>
      </c>
      <c r="F19" s="12">
        <f t="shared" si="1"/>
        <v>2.4083333333333403</v>
      </c>
      <c r="G19" s="13">
        <f t="shared" si="2"/>
        <v>0</v>
      </c>
      <c r="H19" s="13">
        <f t="shared" si="3"/>
        <v>2.4083333333333403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46108.1126373843</v>
      </c>
      <c r="B20" s="5" t="s">
        <v>78</v>
      </c>
      <c r="C20" s="11">
        <v>0.112627314814815</v>
      </c>
      <c r="D20" s="11" t="s">
        <v>62</v>
      </c>
      <c r="E20" s="11">
        <v>0.14711805555555599</v>
      </c>
      <c r="F20" s="12">
        <f t="shared" si="1"/>
        <v>0.82777777777778372</v>
      </c>
      <c r="G20" s="13">
        <f t="shared" si="2"/>
        <v>0</v>
      </c>
      <c r="H20" s="13">
        <f t="shared" si="3"/>
        <v>0.82777777777778372</v>
      </c>
      <c r="I20" s="40" t="s">
        <v>77</v>
      </c>
      <c r="J20" s="65">
        <f>J16+J17+J18+J19</f>
        <v>59.090277777777828</v>
      </c>
      <c r="K20" s="66"/>
      <c r="L20" s="67"/>
      <c r="M20" s="41"/>
    </row>
    <row r="21" spans="1:13" ht="20.25" x14ac:dyDescent="0.25">
      <c r="A21" s="10">
        <f t="shared" ca="1" si="0"/>
        <v>46110.521398842597</v>
      </c>
      <c r="B21" s="5" t="s">
        <v>78</v>
      </c>
      <c r="C21" s="11">
        <v>0.52138888888888901</v>
      </c>
      <c r="D21" s="11" t="s">
        <v>62</v>
      </c>
      <c r="E21" s="11">
        <v>0.694583333333333</v>
      </c>
      <c r="F21" s="12">
        <f t="shared" si="1"/>
        <v>4.1566666666666556</v>
      </c>
      <c r="G21" s="13">
        <f t="shared" si="2"/>
        <v>4.1566666666666556</v>
      </c>
      <c r="H21" s="13">
        <f t="shared" si="3"/>
        <v>0</v>
      </c>
      <c r="I21" s="42" t="s">
        <v>4</v>
      </c>
      <c r="J21" s="43">
        <f>SUM(J8:J9)</f>
        <v>0.68555555555556236</v>
      </c>
      <c r="K21" s="37">
        <f>SUM(K8:K9)</f>
        <v>0.68555555555556236</v>
      </c>
      <c r="L21" s="38">
        <f>SUM(L8:L9)</f>
        <v>0</v>
      </c>
      <c r="M21" s="44"/>
    </row>
    <row r="22" spans="1:13" ht="18.75" x14ac:dyDescent="0.15">
      <c r="A22" s="10">
        <f t="shared" ca="1" si="0"/>
        <v>46110.772089814804</v>
      </c>
      <c r="B22" s="5" t="s">
        <v>78</v>
      </c>
      <c r="C22" s="11">
        <v>0.77208333333333301</v>
      </c>
      <c r="D22" s="11" t="s">
        <v>62</v>
      </c>
      <c r="E22" s="11">
        <v>0.8565625</v>
      </c>
      <c r="F22" s="12">
        <f t="shared" si="1"/>
        <v>2.0275000000000079</v>
      </c>
      <c r="G22" s="13">
        <f t="shared" si="2"/>
        <v>2.0275000000000079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46111.4179828704</v>
      </c>
      <c r="B23" s="5" t="s">
        <v>82</v>
      </c>
      <c r="C23" s="11">
        <v>0.41797453703703702</v>
      </c>
      <c r="D23" s="11" t="s">
        <v>62</v>
      </c>
      <c r="E23" s="11">
        <v>0.52728009259259301</v>
      </c>
      <c r="F23" s="12">
        <f t="shared" si="1"/>
        <v>2.6233333333333437</v>
      </c>
      <c r="G23" s="13">
        <f t="shared" si="2"/>
        <v>2.6233333333333437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46111.647653240703</v>
      </c>
      <c r="B24" s="5" t="s">
        <v>78</v>
      </c>
      <c r="C24" s="11">
        <v>0.64765046296296302</v>
      </c>
      <c r="D24" s="11" t="s">
        <v>62</v>
      </c>
      <c r="E24" s="11">
        <v>0.77856481481481499</v>
      </c>
      <c r="F24" s="12">
        <f t="shared" si="1"/>
        <v>3.1419444444444471</v>
      </c>
      <c r="G24" s="13">
        <f t="shared" si="2"/>
        <v>3.1419444444444471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46111.855872916698</v>
      </c>
      <c r="B25" s="5" t="s">
        <v>78</v>
      </c>
      <c r="C25" s="11">
        <v>0.85586805555555501</v>
      </c>
      <c r="D25" s="11" t="s">
        <v>62</v>
      </c>
      <c r="E25" s="11">
        <v>0.95778935185185199</v>
      </c>
      <c r="F25" s="12">
        <f t="shared" si="1"/>
        <v>2.4461111111111276</v>
      </c>
      <c r="G25" s="13">
        <f t="shared" si="2"/>
        <v>2.4461111111111276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46112.293400463001</v>
      </c>
      <c r="B26" s="5" t="s">
        <v>82</v>
      </c>
      <c r="C26" s="11">
        <v>0.29339120370370397</v>
      </c>
      <c r="D26" s="11" t="s">
        <v>62</v>
      </c>
      <c r="E26" s="11">
        <v>0.365266203703704</v>
      </c>
      <c r="F26" s="12">
        <f t="shared" si="1"/>
        <v>1.7250000000000005</v>
      </c>
      <c r="G26" s="13">
        <f t="shared" si="2"/>
        <v>0.76638888888890433</v>
      </c>
      <c r="H26" s="13">
        <f t="shared" si="3"/>
        <v>0.9586111111110962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P42"/>
  <sheetViews>
    <sheetView zoomScale="85" zoomScaleNormal="85" workbookViewId="0">
      <selection activeCell="E29" sqref="E29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46085.011812847202</v>
      </c>
      <c r="B3" s="5" t="s">
        <v>83</v>
      </c>
      <c r="C3" s="11">
        <v>1.18055555555556E-2</v>
      </c>
      <c r="D3" s="11" t="s">
        <v>62</v>
      </c>
      <c r="E3" s="11">
        <v>0.14662037037037001</v>
      </c>
      <c r="F3" s="12">
        <f t="shared" ref="F3:F42" si="1">(IF(E3-C3&lt;0,"24:00"-C3+E3,E3-C3))*24</f>
        <v>3.2355555555555462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3.2355555555555462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46085.957592592596</v>
      </c>
      <c r="B4" s="5" t="s">
        <v>82</v>
      </c>
      <c r="C4" s="11">
        <v>0.95759259259259299</v>
      </c>
      <c r="D4" s="11" t="s">
        <v>62</v>
      </c>
      <c r="E4" s="11">
        <v>0.113414351851852</v>
      </c>
      <c r="F4" s="12">
        <f t="shared" si="1"/>
        <v>3.7397222222222162</v>
      </c>
      <c r="G4" s="13">
        <f t="shared" si="2"/>
        <v>1.0177777777777681</v>
      </c>
      <c r="H4" s="13">
        <f t="shared" si="3"/>
        <v>2.7219444444444481</v>
      </c>
      <c r="I4" s="21" t="s">
        <v>64</v>
      </c>
      <c r="J4" s="22">
        <f>SUMIF(B:B,"西塔台管制席",F:F)+SUMIF(B:B,"东塔台管制席",F:F)</f>
        <v>34.536111111111111</v>
      </c>
      <c r="K4" s="23">
        <f>SUMIF(B:B,"西塔台管制席",G:G)+SUMIF(B:B,"东塔台管制席",G:G)</f>
        <v>20.806666666666658</v>
      </c>
      <c r="L4" s="23">
        <f>SUMIF(B:B,"西塔台管制席",H:H)+SUMIF(B:B,"东塔台管制席",H:H)</f>
        <v>13.729444444444448</v>
      </c>
      <c r="M4" s="19"/>
    </row>
    <row r="5" spans="1:16" ht="18.75" x14ac:dyDescent="0.25">
      <c r="A5" s="10">
        <f t="shared" ca="1" si="0"/>
        <v>46089.1338771991</v>
      </c>
      <c r="B5" s="5" t="s">
        <v>85</v>
      </c>
      <c r="C5" s="11">
        <v>0.13387731481481499</v>
      </c>
      <c r="D5" s="11" t="s">
        <v>62</v>
      </c>
      <c r="E5" s="11">
        <v>0.143854166666667</v>
      </c>
      <c r="F5" s="12">
        <f t="shared" si="1"/>
        <v>0.23944444444444835</v>
      </c>
      <c r="G5" s="13">
        <f t="shared" si="2"/>
        <v>0</v>
      </c>
      <c r="H5" s="13">
        <f t="shared" si="3"/>
        <v>0.23944444444444835</v>
      </c>
      <c r="I5" s="21" t="s">
        <v>65</v>
      </c>
      <c r="J5" s="22">
        <f>SUMIF(B:B,"西塔台协调席",F:F)+SUMIF(B:B,"东塔台协调席",F:F)</f>
        <v>22.406111111111116</v>
      </c>
      <c r="K5" s="23">
        <f>SUMIF(B:B,"西塔台协调席",G:G)+SUMIF(B:B,"东塔台协调席",G:G)</f>
        <v>13.664722222222252</v>
      </c>
      <c r="L5" s="23">
        <f>SUMIF(B:B,"西塔台协调席",H:H)+SUMIF(B:B,"东塔台协调席",H:H)</f>
        <v>8.7413888888888618</v>
      </c>
      <c r="M5" s="19"/>
    </row>
    <row r="6" spans="1:16" ht="18.75" x14ac:dyDescent="0.25">
      <c r="A6" s="10">
        <f t="shared" ca="1" si="0"/>
        <v>46089.143889351799</v>
      </c>
      <c r="B6" s="5" t="s">
        <v>82</v>
      </c>
      <c r="C6" s="11">
        <v>0.14388888888888901</v>
      </c>
      <c r="D6" s="11" t="s">
        <v>62</v>
      </c>
      <c r="E6" s="11">
        <v>0.21795138888888901</v>
      </c>
      <c r="F6" s="12">
        <f t="shared" si="1"/>
        <v>1.7775000000000001</v>
      </c>
      <c r="G6" s="13">
        <f t="shared" si="2"/>
        <v>0</v>
      </c>
      <c r="H6" s="13">
        <f t="shared" si="3"/>
        <v>1.7775000000000001</v>
      </c>
      <c r="I6" s="21" t="s">
        <v>66</v>
      </c>
      <c r="J6" s="22">
        <f>SUMIF(B:B,"放行席",F:F)</f>
        <v>1.909166666666664</v>
      </c>
      <c r="K6" s="23">
        <f>SUMIF(B:B,"放行席",G:G)</f>
        <v>0</v>
      </c>
      <c r="L6" s="23">
        <f>SUMIF(B:B,"放行席",H:H)</f>
        <v>1.909166666666664</v>
      </c>
      <c r="M6" s="19"/>
    </row>
    <row r="7" spans="1:16" ht="18.75" x14ac:dyDescent="0.25">
      <c r="A7" s="10">
        <f t="shared" ca="1" si="0"/>
        <v>46089.957494675902</v>
      </c>
      <c r="B7" s="5" t="s">
        <v>82</v>
      </c>
      <c r="C7" s="11">
        <v>0.95748842592592598</v>
      </c>
      <c r="D7" s="11" t="s">
        <v>62</v>
      </c>
      <c r="E7" s="11">
        <v>0.106631944444444</v>
      </c>
      <c r="F7" s="12">
        <f t="shared" si="1"/>
        <v>3.5794444444444329</v>
      </c>
      <c r="G7" s="13">
        <f t="shared" si="2"/>
        <v>1.020277777777777</v>
      </c>
      <c r="H7" s="13">
        <f t="shared" si="3"/>
        <v>2.5591666666666559</v>
      </c>
      <c r="I7" s="21" t="s">
        <v>67</v>
      </c>
      <c r="J7" s="22">
        <f>SUMIF(B:B,"地面席",F:F)</f>
        <v>2.9886111111111111</v>
      </c>
      <c r="K7" s="23">
        <f>SUMIF(B:B,"地面席",G:G)</f>
        <v>0</v>
      </c>
      <c r="L7" s="23">
        <f>SUMIF(B:B,"地面席",H:H)</f>
        <v>2.9886111111111111</v>
      </c>
      <c r="M7" s="19"/>
    </row>
    <row r="8" spans="1:16" ht="18.75" x14ac:dyDescent="0.25">
      <c r="A8" s="10">
        <f t="shared" ca="1" si="0"/>
        <v>46092.5025753472</v>
      </c>
      <c r="B8" s="5" t="s">
        <v>78</v>
      </c>
      <c r="C8" s="11">
        <v>0.50256944444444496</v>
      </c>
      <c r="D8" s="11" t="s">
        <v>62</v>
      </c>
      <c r="E8" s="11">
        <v>0.65394675925925905</v>
      </c>
      <c r="F8" s="12">
        <f t="shared" si="1"/>
        <v>3.6330555555555382</v>
      </c>
      <c r="G8" s="13">
        <f t="shared" si="2"/>
        <v>3.6330555555555382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46092.749773032403</v>
      </c>
      <c r="B9" s="5" t="s">
        <v>82</v>
      </c>
      <c r="C9" s="11">
        <v>0.749768518518518</v>
      </c>
      <c r="D9" s="11" t="s">
        <v>62</v>
      </c>
      <c r="E9" s="11">
        <v>0.87952546296296297</v>
      </c>
      <c r="F9" s="12">
        <f t="shared" si="1"/>
        <v>3.1141666666666792</v>
      </c>
      <c r="G9" s="13">
        <f t="shared" si="2"/>
        <v>3.1141666666666792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46093.416991666702</v>
      </c>
      <c r="B10" s="5" t="s">
        <v>78</v>
      </c>
      <c r="C10" s="11">
        <v>0.415601851851852</v>
      </c>
      <c r="D10" s="11" t="s">
        <v>62</v>
      </c>
      <c r="E10" s="11">
        <v>0.50798611111111103</v>
      </c>
      <c r="F10" s="12">
        <f t="shared" si="1"/>
        <v>2.2172222222222167</v>
      </c>
      <c r="G10" s="13">
        <f t="shared" si="2"/>
        <v>2.2172222222222167</v>
      </c>
      <c r="H10" s="13">
        <f t="shared" si="3"/>
        <v>0</v>
      </c>
      <c r="I10" s="21" t="s">
        <v>70</v>
      </c>
      <c r="J10" s="22">
        <f>SUMIF(B:B,"综合协调席",F:F)</f>
        <v>0.23944444444444835</v>
      </c>
      <c r="K10" s="23">
        <f>SUMIF(B:B,"综合协调席",G:G)</f>
        <v>0</v>
      </c>
      <c r="L10" s="23">
        <f>SUMIF(B:B,"综合协调席",H:H)</f>
        <v>0.23944444444444835</v>
      </c>
      <c r="M10" s="19"/>
    </row>
    <row r="11" spans="1:16" ht="18.75" x14ac:dyDescent="0.25">
      <c r="A11" s="10">
        <f t="shared" ca="1" si="0"/>
        <v>46093.626085300901</v>
      </c>
      <c r="B11" s="5" t="s">
        <v>82</v>
      </c>
      <c r="C11" s="11">
        <v>0.62607638888888895</v>
      </c>
      <c r="D11" s="11" t="s">
        <v>62</v>
      </c>
      <c r="E11" s="11">
        <v>0.75390046296296298</v>
      </c>
      <c r="F11" s="12">
        <f t="shared" si="1"/>
        <v>3.0677777777777768</v>
      </c>
      <c r="G11" s="13">
        <f t="shared" si="2"/>
        <v>3.0677777777777768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46093.963717476901</v>
      </c>
      <c r="B12" s="5" t="s">
        <v>78</v>
      </c>
      <c r="C12" s="11">
        <v>0.83385416666666701</v>
      </c>
      <c r="D12" s="11" t="s">
        <v>62</v>
      </c>
      <c r="E12" s="11">
        <v>0.96387731481481498</v>
      </c>
      <c r="F12" s="12">
        <f t="shared" si="1"/>
        <v>3.1205555555555513</v>
      </c>
      <c r="G12" s="13">
        <f t="shared" si="2"/>
        <v>3.1205555555555513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46094.298558449103</v>
      </c>
      <c r="B13" s="5" t="s">
        <v>82</v>
      </c>
      <c r="C13" s="11">
        <v>0.29855324074074102</v>
      </c>
      <c r="D13" s="11" t="s">
        <v>62</v>
      </c>
      <c r="E13" s="11">
        <v>0.36346064814814799</v>
      </c>
      <c r="F13" s="12">
        <f t="shared" si="1"/>
        <v>1.5577777777777673</v>
      </c>
      <c r="G13" s="13">
        <f t="shared" si="2"/>
        <v>0.72305555555556023</v>
      </c>
      <c r="H13" s="13">
        <f t="shared" si="3"/>
        <v>0.83472222222220704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46098.016066435201</v>
      </c>
      <c r="B14" s="5" t="s">
        <v>83</v>
      </c>
      <c r="C14" s="11">
        <v>1.6064814814814799E-2</v>
      </c>
      <c r="D14" s="11" t="s">
        <v>62</v>
      </c>
      <c r="E14" s="11">
        <v>0.14586805555555599</v>
      </c>
      <c r="F14" s="12">
        <f t="shared" si="1"/>
        <v>3.1152777777777882</v>
      </c>
      <c r="G14" s="13">
        <f t="shared" si="2"/>
        <v>0</v>
      </c>
      <c r="H14" s="13">
        <f t="shared" si="3"/>
        <v>3.1152777777777882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46100.752371412003</v>
      </c>
      <c r="B15" s="5" t="s">
        <v>83</v>
      </c>
      <c r="C15" s="11">
        <v>0.75236111111111104</v>
      </c>
      <c r="D15" s="11" t="s">
        <v>62</v>
      </c>
      <c r="E15" s="11">
        <v>0.88055555555555598</v>
      </c>
      <c r="F15" s="12">
        <f t="shared" si="1"/>
        <v>3.0766666666666787</v>
      </c>
      <c r="G15" s="13">
        <f t="shared" si="2"/>
        <v>3.0766666666666787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46101.132295601798</v>
      </c>
      <c r="B16" s="5" t="s">
        <v>84</v>
      </c>
      <c r="C16" s="11">
        <v>0.132291666666667</v>
      </c>
      <c r="D16" s="11" t="s">
        <v>62</v>
      </c>
      <c r="E16" s="11">
        <v>0.211840277777778</v>
      </c>
      <c r="F16" s="12">
        <f t="shared" si="1"/>
        <v>1.909166666666664</v>
      </c>
      <c r="G16" s="13">
        <f t="shared" si="2"/>
        <v>0</v>
      </c>
      <c r="H16" s="13">
        <f t="shared" si="3"/>
        <v>1.909166666666664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46102.135258217597</v>
      </c>
      <c r="B17" s="5" t="s">
        <v>81</v>
      </c>
      <c r="C17" s="11">
        <v>0.13525462962963</v>
      </c>
      <c r="D17" s="11" t="s">
        <v>62</v>
      </c>
      <c r="E17" s="11">
        <v>0.18290509259259299</v>
      </c>
      <c r="F17" s="12">
        <f t="shared" si="1"/>
        <v>1.1436111111111118</v>
      </c>
      <c r="G17" s="13">
        <f t="shared" si="2"/>
        <v>0</v>
      </c>
      <c r="H17" s="13">
        <f t="shared" si="3"/>
        <v>1.1436111111111118</v>
      </c>
      <c r="I17" s="35" t="s">
        <v>75</v>
      </c>
      <c r="J17" s="36">
        <f>J4+J5+J6+J7+J10</f>
        <v>62.079444444444455</v>
      </c>
      <c r="K17" s="37">
        <f>K4+K5+K6+K7+K10</f>
        <v>34.47138888888891</v>
      </c>
      <c r="L17" s="38">
        <f>L4+L5+L6+L7+L10</f>
        <v>27.608055555555534</v>
      </c>
      <c r="M17" s="39"/>
    </row>
    <row r="18" spans="1:13" ht="20.25" x14ac:dyDescent="0.25">
      <c r="A18" s="10">
        <f t="shared" ca="1" si="0"/>
        <v>46102.182939467602</v>
      </c>
      <c r="B18" s="5" t="s">
        <v>83</v>
      </c>
      <c r="C18" s="11">
        <v>0.182939814814815</v>
      </c>
      <c r="D18" s="11" t="s">
        <v>62</v>
      </c>
      <c r="E18" s="11">
        <v>0.23043981481481501</v>
      </c>
      <c r="F18" s="12">
        <f t="shared" si="1"/>
        <v>1.1400000000000003</v>
      </c>
      <c r="G18" s="13">
        <f t="shared" si="2"/>
        <v>0</v>
      </c>
      <c r="H18" s="13">
        <f t="shared" si="3"/>
        <v>1.1400000000000003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46102.230496527802</v>
      </c>
      <c r="B19" s="5" t="s">
        <v>81</v>
      </c>
      <c r="C19" s="11">
        <v>0.230486111111111</v>
      </c>
      <c r="D19" s="11" t="s">
        <v>62</v>
      </c>
      <c r="E19" s="11">
        <v>0.30736111111111097</v>
      </c>
      <c r="F19" s="12">
        <f t="shared" si="1"/>
        <v>1.8449999999999993</v>
      </c>
      <c r="G19" s="13">
        <f t="shared" si="2"/>
        <v>0</v>
      </c>
      <c r="H19" s="13">
        <f t="shared" si="3"/>
        <v>1.8449999999999993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46104.357213773103</v>
      </c>
      <c r="B20" s="5" t="s">
        <v>83</v>
      </c>
      <c r="C20" s="11">
        <v>0.35721064814814801</v>
      </c>
      <c r="D20" s="11" t="s">
        <v>62</v>
      </c>
      <c r="E20" s="11">
        <v>0.50409722222222197</v>
      </c>
      <c r="F20" s="12">
        <f t="shared" si="1"/>
        <v>3.5252777777777751</v>
      </c>
      <c r="G20" s="13">
        <f t="shared" si="2"/>
        <v>3.5252777777777751</v>
      </c>
      <c r="H20" s="13">
        <f t="shared" si="3"/>
        <v>0</v>
      </c>
      <c r="I20" s="40" t="s">
        <v>77</v>
      </c>
      <c r="J20" s="65">
        <f>J16+J17+J18+J19</f>
        <v>62.079444444444455</v>
      </c>
      <c r="K20" s="66"/>
      <c r="L20" s="67"/>
      <c r="M20" s="41"/>
    </row>
    <row r="21" spans="1:13" ht="20.25" x14ac:dyDescent="0.25">
      <c r="A21" s="10">
        <f t="shared" ca="1" si="0"/>
        <v>46104.645854629598</v>
      </c>
      <c r="B21" s="5" t="s">
        <v>82</v>
      </c>
      <c r="C21" s="11">
        <v>0.64584490740740697</v>
      </c>
      <c r="D21" s="11" t="s">
        <v>62</v>
      </c>
      <c r="E21" s="11">
        <v>0.75317129629629598</v>
      </c>
      <c r="F21" s="12">
        <f t="shared" si="1"/>
        <v>2.5758333333333363</v>
      </c>
      <c r="G21" s="13">
        <f t="shared" si="2"/>
        <v>2.5758333333333363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46104.874580092597</v>
      </c>
      <c r="B22" s="5" t="s">
        <v>78</v>
      </c>
      <c r="C22" s="11">
        <v>0.87457175925925901</v>
      </c>
      <c r="D22" s="11" t="s">
        <v>62</v>
      </c>
      <c r="E22" s="11">
        <v>0.96427083333333297</v>
      </c>
      <c r="F22" s="12">
        <f t="shared" si="1"/>
        <v>2.152777777777775</v>
      </c>
      <c r="G22" s="13">
        <f t="shared" si="2"/>
        <v>2.152777777777775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46105.298005902798</v>
      </c>
      <c r="B23" s="5" t="s">
        <v>82</v>
      </c>
      <c r="C23" s="11">
        <v>0.29799768518518499</v>
      </c>
      <c r="D23" s="11" t="s">
        <v>62</v>
      </c>
      <c r="E23" s="11">
        <v>0.42274305555555602</v>
      </c>
      <c r="F23" s="12">
        <f t="shared" si="1"/>
        <v>2.9938888888889048</v>
      </c>
      <c r="G23" s="13">
        <f t="shared" si="2"/>
        <v>2.145833333333353</v>
      </c>
      <c r="H23" s="13">
        <f t="shared" si="3"/>
        <v>0.84805555555555179</v>
      </c>
      <c r="I23"/>
      <c r="J23"/>
    </row>
    <row r="24" spans="1:13" ht="18.75" x14ac:dyDescent="0.15">
      <c r="A24" s="10">
        <f t="shared" ca="1" si="0"/>
        <v>46105.506113541698</v>
      </c>
      <c r="B24" s="5" t="s">
        <v>78</v>
      </c>
      <c r="C24" s="11">
        <v>0.50194444444444397</v>
      </c>
      <c r="D24" s="11" t="s">
        <v>62</v>
      </c>
      <c r="E24" s="11">
        <v>0.63032407407407398</v>
      </c>
      <c r="F24" s="12">
        <f t="shared" si="1"/>
        <v>3.0811111111111202</v>
      </c>
      <c r="G24" s="13">
        <f t="shared" si="2"/>
        <v>3.0811111111111202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46109.014259953699</v>
      </c>
      <c r="B25" s="5" t="s">
        <v>83</v>
      </c>
      <c r="C25" s="11">
        <v>1.42592592592593E-2</v>
      </c>
      <c r="D25" s="11" t="s">
        <v>62</v>
      </c>
      <c r="E25" s="11">
        <v>0.146724537037037</v>
      </c>
      <c r="F25" s="12">
        <f t="shared" si="1"/>
        <v>3.1791666666666645</v>
      </c>
      <c r="G25" s="13">
        <f t="shared" si="2"/>
        <v>0</v>
      </c>
      <c r="H25" s="13">
        <f t="shared" si="3"/>
        <v>3.1791666666666645</v>
      </c>
      <c r="I25"/>
      <c r="J25"/>
    </row>
    <row r="26" spans="1:13" ht="18.75" x14ac:dyDescent="0.15">
      <c r="A26" s="10">
        <f t="shared" ca="1" si="0"/>
        <v>46110.013582407402</v>
      </c>
      <c r="B26" s="5" t="s">
        <v>78</v>
      </c>
      <c r="C26" s="11">
        <v>1.35763888888889E-2</v>
      </c>
      <c r="D26" s="11" t="s">
        <v>62</v>
      </c>
      <c r="E26" s="11">
        <v>0.14105324074074099</v>
      </c>
      <c r="F26" s="12">
        <f t="shared" si="1"/>
        <v>3.0594444444444502</v>
      </c>
      <c r="G26" s="13">
        <f t="shared" si="2"/>
        <v>0</v>
      </c>
      <c r="H26" s="13">
        <f t="shared" si="3"/>
        <v>3.0594444444444502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 t="str">
        <f t="shared" ref="A3:A42" ca="1" si="0">IF(B3="","",IF(A3="",NOW(),A3))</f>
        <v/>
      </c>
      <c r="B3" s="5"/>
      <c r="C3" s="11"/>
      <c r="D3" s="11"/>
      <c r="E3" s="11"/>
      <c r="F3" s="12">
        <f t="shared" ref="F3:F42" si="1">(IF(E3-C3&lt;0,"24:00"-C3+E3,E3-C3))*24</f>
        <v>0</v>
      </c>
      <c r="G3" s="13">
        <f t="shared" ref="G3:G42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 t="str">
        <f t="shared" ca="1" si="0"/>
        <v/>
      </c>
      <c r="B4" s="5"/>
      <c r="C4" s="11"/>
      <c r="D4" s="11"/>
      <c r="E4" s="11"/>
      <c r="F4" s="12">
        <f t="shared" si="1"/>
        <v>0</v>
      </c>
      <c r="G4" s="13">
        <f t="shared" si="2"/>
        <v>0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 t="str">
        <f t="shared" ca="1" si="0"/>
        <v/>
      </c>
      <c r="B5" s="5"/>
      <c r="C5" s="11"/>
      <c r="D5" s="11"/>
      <c r="E5" s="11"/>
      <c r="F5" s="12">
        <f t="shared" si="1"/>
        <v>0</v>
      </c>
      <c r="G5" s="13">
        <f t="shared" si="2"/>
        <v>0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 t="str">
        <f t="shared" ca="1" si="0"/>
        <v/>
      </c>
      <c r="B6" s="5"/>
      <c r="C6" s="11"/>
      <c r="D6" s="11"/>
      <c r="E6" s="11"/>
      <c r="F6" s="12">
        <f t="shared" si="1"/>
        <v>0</v>
      </c>
      <c r="G6" s="13">
        <f t="shared" si="2"/>
        <v>0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 t="str">
        <f t="shared" ca="1" si="0"/>
        <v/>
      </c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 t="str">
        <f t="shared" ca="1" si="0"/>
        <v/>
      </c>
      <c r="B8" s="5"/>
      <c r="C8" s="11"/>
      <c r="D8" s="11"/>
      <c r="E8" s="11"/>
      <c r="F8" s="12">
        <f t="shared" si="1"/>
        <v>0</v>
      </c>
      <c r="G8" s="13">
        <f t="shared" si="2"/>
        <v>0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 t="str">
        <f t="shared" ca="1" si="0"/>
        <v/>
      </c>
      <c r="B9" s="5"/>
      <c r="C9" s="11"/>
      <c r="D9" s="11"/>
      <c r="E9" s="11"/>
      <c r="F9" s="12">
        <f t="shared" si="1"/>
        <v>0</v>
      </c>
      <c r="G9" s="13">
        <f t="shared" si="2"/>
        <v>0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 t="str">
        <f t="shared" ca="1" si="0"/>
        <v/>
      </c>
      <c r="B10" s="5"/>
      <c r="C10" s="11"/>
      <c r="D10" s="11"/>
      <c r="E10" s="11"/>
      <c r="F10" s="12">
        <f t="shared" si="1"/>
        <v>0</v>
      </c>
      <c r="G10" s="13">
        <f t="shared" si="2"/>
        <v>0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 t="str">
        <f t="shared" ca="1" si="0"/>
        <v/>
      </c>
      <c r="B11" s="5"/>
      <c r="C11" s="11"/>
      <c r="D11" s="11"/>
      <c r="E11" s="11"/>
      <c r="F11" s="12">
        <f t="shared" si="1"/>
        <v>0</v>
      </c>
      <c r="G11" s="13">
        <f t="shared" si="2"/>
        <v>0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75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77</v>
      </c>
      <c r="J20" s="65">
        <f>J16+J17+J18+J19</f>
        <v>0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ref="H35:H42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7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7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7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7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7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7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7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 t="str">
        <f t="shared" ref="A3:A42" ca="1" si="0">IF(B3="","",IF(A3="",NOW(),A3))</f>
        <v/>
      </c>
      <c r="B3" s="5"/>
      <c r="C3" s="11"/>
      <c r="D3" s="11"/>
      <c r="E3" s="11"/>
      <c r="F3" s="12">
        <f t="shared" ref="F3:F42" si="1">(IF(E3-C3&lt;0,"24:00"-C3+E3,E3-C3))*24</f>
        <v>0</v>
      </c>
      <c r="G3" s="13">
        <f t="shared" ref="G3:G42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 t="str">
        <f t="shared" ca="1" si="0"/>
        <v/>
      </c>
      <c r="B4" s="5"/>
      <c r="C4" s="11"/>
      <c r="D4" s="11"/>
      <c r="E4" s="11"/>
      <c r="F4" s="12">
        <f t="shared" si="1"/>
        <v>0</v>
      </c>
      <c r="G4" s="13">
        <f t="shared" si="2"/>
        <v>0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 t="str">
        <f t="shared" ca="1" si="0"/>
        <v/>
      </c>
      <c r="B5" s="5"/>
      <c r="C5" s="11"/>
      <c r="D5" s="11"/>
      <c r="E5" s="11"/>
      <c r="F5" s="12">
        <f t="shared" si="1"/>
        <v>0</v>
      </c>
      <c r="G5" s="13">
        <f t="shared" si="2"/>
        <v>0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 t="str">
        <f t="shared" ca="1" si="0"/>
        <v/>
      </c>
      <c r="B6" s="5"/>
      <c r="C6" s="11"/>
      <c r="D6" s="11"/>
      <c r="E6" s="11"/>
      <c r="F6" s="12">
        <f t="shared" si="1"/>
        <v>0</v>
      </c>
      <c r="G6" s="13">
        <f t="shared" si="2"/>
        <v>0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 t="str">
        <f t="shared" ca="1" si="0"/>
        <v/>
      </c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 t="str">
        <f t="shared" ca="1" si="0"/>
        <v/>
      </c>
      <c r="B8" s="5"/>
      <c r="C8" s="11"/>
      <c r="D8" s="11"/>
      <c r="E8" s="11"/>
      <c r="F8" s="12">
        <f t="shared" si="1"/>
        <v>0</v>
      </c>
      <c r="G8" s="13">
        <f t="shared" si="2"/>
        <v>0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 t="str">
        <f t="shared" ca="1" si="0"/>
        <v/>
      </c>
      <c r="B9" s="5"/>
      <c r="C9" s="11"/>
      <c r="D9" s="11"/>
      <c r="E9" s="11"/>
      <c r="F9" s="12">
        <f t="shared" si="1"/>
        <v>0</v>
      </c>
      <c r="G9" s="13">
        <f t="shared" si="2"/>
        <v>0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 t="str">
        <f t="shared" ca="1" si="0"/>
        <v/>
      </c>
      <c r="B10" s="5"/>
      <c r="C10" s="11"/>
      <c r="D10" s="11"/>
      <c r="E10" s="11"/>
      <c r="F10" s="12">
        <f t="shared" si="1"/>
        <v>0</v>
      </c>
      <c r="G10" s="13">
        <f t="shared" si="2"/>
        <v>0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 t="str">
        <f t="shared" ca="1" si="0"/>
        <v/>
      </c>
      <c r="B11" s="5"/>
      <c r="C11" s="11"/>
      <c r="D11" s="11"/>
      <c r="E11" s="11"/>
      <c r="F11" s="12">
        <f t="shared" si="1"/>
        <v>0</v>
      </c>
      <c r="G11" s="13">
        <f t="shared" si="2"/>
        <v>0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75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77</v>
      </c>
      <c r="J20" s="65">
        <f>J16+J17+J18+J19</f>
        <v>0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ref="H35:H42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7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7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7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7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7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7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7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 t="str">
        <f t="shared" ref="A3:A42" ca="1" si="0">IF(B3="","",IF(A3="",NOW(),A3))</f>
        <v/>
      </c>
      <c r="B3" s="5"/>
      <c r="C3" s="11"/>
      <c r="D3" s="11"/>
      <c r="E3" s="11"/>
      <c r="F3" s="12">
        <f t="shared" ref="F3:F42" si="1">(IF(E3-C3&lt;0,"24:00"-C3+E3,E3-C3))*24</f>
        <v>0</v>
      </c>
      <c r="G3" s="13">
        <f t="shared" ref="G3:G42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 t="str">
        <f t="shared" ca="1" si="0"/>
        <v/>
      </c>
      <c r="B4" s="5"/>
      <c r="C4" s="11"/>
      <c r="D4" s="11"/>
      <c r="E4" s="11"/>
      <c r="F4" s="12">
        <f t="shared" si="1"/>
        <v>0</v>
      </c>
      <c r="G4" s="13">
        <f t="shared" si="2"/>
        <v>0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 t="str">
        <f t="shared" ca="1" si="0"/>
        <v/>
      </c>
      <c r="B5" s="5"/>
      <c r="C5" s="11"/>
      <c r="D5" s="11"/>
      <c r="E5" s="11"/>
      <c r="F5" s="12">
        <f t="shared" si="1"/>
        <v>0</v>
      </c>
      <c r="G5" s="13">
        <f t="shared" si="2"/>
        <v>0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 t="str">
        <f t="shared" ca="1" si="0"/>
        <v/>
      </c>
      <c r="B6" s="5"/>
      <c r="C6" s="11"/>
      <c r="D6" s="11"/>
      <c r="E6" s="11"/>
      <c r="F6" s="12">
        <f t="shared" si="1"/>
        <v>0</v>
      </c>
      <c r="G6" s="13">
        <f t="shared" si="2"/>
        <v>0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 t="str">
        <f t="shared" ca="1" si="0"/>
        <v/>
      </c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 t="str">
        <f t="shared" ca="1" si="0"/>
        <v/>
      </c>
      <c r="B8" s="5"/>
      <c r="C8" s="11"/>
      <c r="D8" s="11"/>
      <c r="E8" s="11"/>
      <c r="F8" s="12">
        <f t="shared" si="1"/>
        <v>0</v>
      </c>
      <c r="G8" s="13">
        <f t="shared" si="2"/>
        <v>0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 t="str">
        <f t="shared" ca="1" si="0"/>
        <v/>
      </c>
      <c r="B9" s="5"/>
      <c r="C9" s="11"/>
      <c r="D9" s="11"/>
      <c r="E9" s="11"/>
      <c r="F9" s="12">
        <f t="shared" si="1"/>
        <v>0</v>
      </c>
      <c r="G9" s="13">
        <f t="shared" si="2"/>
        <v>0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 t="str">
        <f t="shared" ca="1" si="0"/>
        <v/>
      </c>
      <c r="B10" s="5"/>
      <c r="C10" s="11"/>
      <c r="D10" s="11"/>
      <c r="E10" s="11"/>
      <c r="F10" s="12">
        <f t="shared" si="1"/>
        <v>0</v>
      </c>
      <c r="G10" s="13">
        <f t="shared" si="2"/>
        <v>0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 t="str">
        <f t="shared" ca="1" si="0"/>
        <v/>
      </c>
      <c r="B11" s="5"/>
      <c r="C11" s="11"/>
      <c r="D11" s="11"/>
      <c r="E11" s="11"/>
      <c r="F11" s="12">
        <f t="shared" si="1"/>
        <v>0</v>
      </c>
      <c r="G11" s="13">
        <f t="shared" si="2"/>
        <v>0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75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77</v>
      </c>
      <c r="J20" s="65">
        <f>J16+J17+J18+J19</f>
        <v>0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ref="H35:H42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7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7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7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7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7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7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7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6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workbookViewId="0"/>
  </sheetViews>
  <sheetFormatPr defaultColWidth="9" defaultRowHeight="13.5" x14ac:dyDescent="0.15"/>
  <sheetData/>
  <phoneticPr fontId="16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workbookViewId="0"/>
  </sheetViews>
  <sheetFormatPr defaultColWidth="9" defaultRowHeight="13.5" x14ac:dyDescent="0.15"/>
  <sheetData/>
  <phoneticPr fontId="16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workbookViewId="0"/>
  </sheetViews>
  <sheetFormatPr defaultColWidth="9" defaultRowHeight="13.5" x14ac:dyDescent="0.15"/>
  <sheetData/>
  <phoneticPr fontId="1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46</vt:i4>
      </vt:variant>
    </vt:vector>
  </HeadingPairs>
  <TitlesOfParts>
    <vt:vector size="46" baseType="lpstr">
      <vt:lpstr>sheet1</vt:lpstr>
      <vt:lpstr>温若春</vt:lpstr>
      <vt:lpstr>明嘉</vt:lpstr>
      <vt:lpstr>徐万友</vt:lpstr>
      <vt:lpstr>耿若岩</vt:lpstr>
      <vt:lpstr>李明</vt:lpstr>
      <vt:lpstr>李秋实</vt:lpstr>
      <vt:lpstr>程卓</vt:lpstr>
      <vt:lpstr>杜涛</vt:lpstr>
      <vt:lpstr>张虎</vt:lpstr>
      <vt:lpstr>马莲花</vt:lpstr>
      <vt:lpstr>刘国莲</vt:lpstr>
      <vt:lpstr>张文中</vt:lpstr>
      <vt:lpstr>周岸</vt:lpstr>
      <vt:lpstr>詹泽彬</vt:lpstr>
      <vt:lpstr>张笑延</vt:lpstr>
      <vt:lpstr>沈宁</vt:lpstr>
      <vt:lpstr>胡鑫</vt:lpstr>
      <vt:lpstr>邓心豪</vt:lpstr>
      <vt:lpstr>黄恩</vt:lpstr>
      <vt:lpstr>边昊</vt:lpstr>
      <vt:lpstr>严亮</vt:lpstr>
      <vt:lpstr>张宗根</vt:lpstr>
      <vt:lpstr>潘伟生</vt:lpstr>
      <vt:lpstr>蔡昊霖</vt:lpstr>
      <vt:lpstr>叶大鹏</vt:lpstr>
      <vt:lpstr>王建超</vt:lpstr>
      <vt:lpstr>王风瑞</vt:lpstr>
      <vt:lpstr>金鼎</vt:lpstr>
      <vt:lpstr>董志华</vt:lpstr>
      <vt:lpstr>姜文夫</vt:lpstr>
      <vt:lpstr>郭永杰</vt:lpstr>
      <vt:lpstr>吴疆</vt:lpstr>
      <vt:lpstr>朱永春</vt:lpstr>
      <vt:lpstr>刘琦</vt:lpstr>
      <vt:lpstr>巴富毅</vt:lpstr>
      <vt:lpstr>陈宏伟</vt:lpstr>
      <vt:lpstr>蒋露裕</vt:lpstr>
      <vt:lpstr>蓝宇航</vt:lpstr>
      <vt:lpstr>郑文卓</vt:lpstr>
      <vt:lpstr>王维华</vt:lpstr>
      <vt:lpstr>何飞</vt:lpstr>
      <vt:lpstr>宋天霖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jserver</cp:lastModifiedBy>
  <dcterms:created xsi:type="dcterms:W3CDTF">2006-09-16T00:00:00Z</dcterms:created>
  <dcterms:modified xsi:type="dcterms:W3CDTF">2026-07-18T17:15:31Z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9B62FFEF6258459F90575BFDB66D1EA4_13</vt:lpwstr>
  </property>
  <property fmtid="{D5CDD505-2E9C-101B-9397-08002B2CF9AE}" pid="3" name="KSOProductBuildVer">
    <vt:lpwstr>2052-12.1.0.17857</vt:lpwstr>
  </property>
</Properties>
</file>