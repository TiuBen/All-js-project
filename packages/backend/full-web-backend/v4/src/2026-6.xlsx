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545" windowHeight="12255" tabRatio="913" activeTab="1"/>
  </bookViews>
  <sheets>
    <sheet name="sheet1" sheetId="123" r:id="rId1"/>
    <sheet name="温若春" sheetId="57" r:id="rId2"/>
    <sheet name="明嘉" sheetId="79" r:id="rId3"/>
    <sheet name="徐万友" sheetId="80" r:id="rId4"/>
    <sheet name="耿若岩" sheetId="82" r:id="rId5"/>
    <sheet name="李明" sheetId="83" r:id="rId6"/>
    <sheet name="张虎" sheetId="85" r:id="rId7"/>
    <sheet name="马莲花" sheetId="86" r:id="rId8"/>
    <sheet name="刘国莲" sheetId="87" r:id="rId9"/>
    <sheet name="杜涛" sheetId="88" r:id="rId10"/>
    <sheet name="张文中" sheetId="89" r:id="rId11"/>
    <sheet name="李秋实" sheetId="90" r:id="rId12"/>
    <sheet name="周岸" sheetId="91" r:id="rId13"/>
    <sheet name="詹泽彬" sheetId="92" r:id="rId14"/>
    <sheet name="张笑延" sheetId="93" r:id="rId15"/>
    <sheet name="沈宁" sheetId="94" r:id="rId16"/>
    <sheet name="胡鑫" sheetId="95" r:id="rId17"/>
    <sheet name="邓心豪" sheetId="96" r:id="rId18"/>
    <sheet name="黄恩" sheetId="97" r:id="rId19"/>
    <sheet name="严亮" sheetId="98" r:id="rId20"/>
    <sheet name="边昊" sheetId="99" r:id="rId21"/>
    <sheet name="张宗根" sheetId="100" r:id="rId22"/>
    <sheet name="潘伟生" sheetId="105" r:id="rId23"/>
    <sheet name="蔡昊霖" sheetId="102" r:id="rId24"/>
    <sheet name="叶大鹏" sheetId="103" r:id="rId25"/>
    <sheet name="王建超" sheetId="104" r:id="rId26"/>
    <sheet name="王风瑞" sheetId="106" r:id="rId27"/>
    <sheet name="金鼎" sheetId="107" r:id="rId28"/>
    <sheet name="董志华" sheetId="108" r:id="rId29"/>
    <sheet name="姜文夫" sheetId="109" r:id="rId30"/>
    <sheet name="郭永杰" sheetId="110" r:id="rId31"/>
    <sheet name="吴疆" sheetId="113" r:id="rId32"/>
    <sheet name="朱永春" sheetId="111" r:id="rId33"/>
    <sheet name="刘琦" sheetId="112" r:id="rId34"/>
    <sheet name="巴富毅" sheetId="114" r:id="rId35"/>
    <sheet name="陈宏伟" sheetId="118" r:id="rId36"/>
    <sheet name="蒋露裕" sheetId="119" r:id="rId37"/>
    <sheet name="蓝宇航" sheetId="120" r:id="rId38"/>
    <sheet name="程卓" sheetId="121" r:id="rId39"/>
    <sheet name="郑文卓" sheetId="122" r:id="rId40"/>
    <sheet name="宋天霖" sheetId="101" r:id="rId41"/>
  </sheets>
  <definedNames>
    <definedName name="_xlnm._FilterDatabase" localSheetId="1" hidden="1">温若春!$A$2:$K$339</definedName>
    <definedName name="_xlnm._FilterDatabase" localSheetId="2" hidden="1">明嘉!$A$2:$K$339</definedName>
    <definedName name="_xlnm._FilterDatabase" localSheetId="3" hidden="1">徐万友!$A$2:$K$339</definedName>
    <definedName name="_xlnm._FilterDatabase" localSheetId="4" hidden="1">耿若岩!$A$2:$K$339</definedName>
    <definedName name="_xlnm._FilterDatabase" localSheetId="5" hidden="1">李明!$A$2:$K$339</definedName>
    <definedName name="_xlnm._FilterDatabase" localSheetId="6" hidden="1">张虎!$A$2:$K$339</definedName>
    <definedName name="_xlnm._FilterDatabase" localSheetId="7" hidden="1">马莲花!$A$2:$K$339</definedName>
    <definedName name="_xlnm._FilterDatabase" localSheetId="8" hidden="1">刘国莲!$A$2:$K$338</definedName>
    <definedName name="_xlnm._FilterDatabase" localSheetId="9" hidden="1">杜涛!$A$2:$K$339</definedName>
    <definedName name="_xlnm._FilterDatabase" localSheetId="10" hidden="1">张文中!$A$2:$K$339</definedName>
    <definedName name="_xlnm._FilterDatabase" localSheetId="11" hidden="1">李秋实!$A$2:$K$339</definedName>
    <definedName name="_xlnm._FilterDatabase" localSheetId="12" hidden="1">周岸!$A$2:$K$339</definedName>
    <definedName name="_xlnm._FilterDatabase" localSheetId="13" hidden="1">詹泽彬!$A$2:$K$339</definedName>
    <definedName name="_xlnm._FilterDatabase" localSheetId="14" hidden="1">张笑延!$A$2:$K$339</definedName>
    <definedName name="_xlnm._FilterDatabase" localSheetId="15" hidden="1">沈宁!$A$2:$K$339</definedName>
    <definedName name="_xlnm._FilterDatabase" localSheetId="16" hidden="1">胡鑫!$A$2:$K$339</definedName>
    <definedName name="_xlnm._FilterDatabase" localSheetId="17" hidden="1">邓心豪!$A$2:$K$339</definedName>
    <definedName name="_xlnm._FilterDatabase" localSheetId="18" hidden="1">黄恩!$A$2:$K$339</definedName>
    <definedName name="_xlnm._FilterDatabase" localSheetId="19" hidden="1">严亮!$A$2:$K$339</definedName>
    <definedName name="_xlnm._FilterDatabase" localSheetId="20" hidden="1">边昊!$A$2:$K$339</definedName>
    <definedName name="_xlnm._FilterDatabase" localSheetId="21" hidden="1">张宗根!$A$2:$K$339</definedName>
    <definedName name="_xlnm._FilterDatabase" localSheetId="22" hidden="1">潘伟生!$A$2:$K$339</definedName>
    <definedName name="_xlnm._FilterDatabase" localSheetId="23" hidden="1">蔡昊霖!$A$2:$K$339</definedName>
    <definedName name="_xlnm._FilterDatabase" localSheetId="24" hidden="1">叶大鹏!$A$2:$K$339</definedName>
    <definedName name="_xlnm._FilterDatabase" localSheetId="25" hidden="1">王建超!$A$2:$K$339</definedName>
    <definedName name="_xlnm._FilterDatabase" localSheetId="26" hidden="1">王风瑞!$A$2:$K$339</definedName>
    <definedName name="_xlnm._FilterDatabase" localSheetId="27" hidden="1">金鼎!$A$2:$K$339</definedName>
    <definedName name="_xlnm._FilterDatabase" localSheetId="28" hidden="1">董志华!$A$2:$K$339</definedName>
    <definedName name="_xlnm._FilterDatabase" localSheetId="29" hidden="1">姜文夫!$A$2:$K$339</definedName>
    <definedName name="_xlnm._FilterDatabase" localSheetId="30" hidden="1">郭永杰!$A$2:$K$339</definedName>
    <definedName name="_xlnm._FilterDatabase" localSheetId="31" hidden="1">吴疆!$A$2:$K$339</definedName>
    <definedName name="_xlnm._FilterDatabase" localSheetId="32" hidden="1">朱永春!$A$2:$K$339</definedName>
    <definedName name="_xlnm._FilterDatabase" localSheetId="33" hidden="1">刘琦!$A$2:$K$339</definedName>
    <definedName name="_xlnm._FilterDatabase" localSheetId="34" hidden="1">巴富毅!$A$2:$K$339</definedName>
    <definedName name="_xlnm._FilterDatabase" localSheetId="35" hidden="1">陈宏伟!$A$2:$K$339</definedName>
    <definedName name="_xlnm._FilterDatabase" localSheetId="36" hidden="1">蒋露裕!$A$2:$K$339</definedName>
    <definedName name="_xlnm._FilterDatabase" localSheetId="37" hidden="1">蓝宇航!$A$2:$K$339</definedName>
    <definedName name="_xlnm._FilterDatabase" localSheetId="38" hidden="1">程卓!$A$2:$K$339</definedName>
    <definedName name="_xlnm._FilterDatabase" localSheetId="39" hidden="1">郑文卓!$A$2:$K$339</definedName>
    <definedName name="_xlnm._FilterDatabase" localSheetId="40" hidden="1">宋天霖!$A$2:$K$339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<sst xmlns="http://schemas.openxmlformats.org/spreadsheetml/2006/main" count="3473" uniqueCount="89">
  <si>
    <t xml:space="preserve">  k</t>
  </si>
  <si>
    <t>汇总统计</t>
  </si>
  <si>
    <t>白班</t>
  </si>
  <si>
    <t>夜班</t>
  </si>
  <si>
    <t>总小时数</t>
  </si>
  <si>
    <t>调度席</t>
  </si>
  <si>
    <t>目录</t>
  </si>
  <si>
    <t>带班</t>
  </si>
  <si>
    <t>席位</t>
  </si>
  <si>
    <t>教员</t>
  </si>
  <si>
    <t>温若春</t>
  </si>
  <si>
    <t>明嘉</t>
  </si>
  <si>
    <t>徐万友</t>
  </si>
  <si>
    <t>耿若岩</t>
  </si>
  <si>
    <t>李明</t>
  </si>
  <si>
    <t>张虎</t>
  </si>
  <si>
    <t>马莲花</t>
  </si>
  <si>
    <t>刘国莲</t>
  </si>
  <si>
    <t>杜涛</t>
  </si>
  <si>
    <t>张文中</t>
  </si>
  <si>
    <t xml:space="preserve"> </t>
  </si>
  <si>
    <t>李秋实</t>
  </si>
  <si>
    <t>周岸</t>
  </si>
  <si>
    <t>詹泽彬</t>
  </si>
  <si>
    <t>张笑延</t>
  </si>
  <si>
    <t>沈宁</t>
  </si>
  <si>
    <t>胡鑫</t>
  </si>
  <si>
    <t>邓心豪</t>
  </si>
  <si>
    <t>黄恩</t>
  </si>
  <si>
    <t>严亮</t>
  </si>
  <si>
    <t>边昊</t>
  </si>
  <si>
    <t>张宗根</t>
  </si>
  <si>
    <t>宋天霖</t>
  </si>
  <si>
    <t>蔡昊霖</t>
  </si>
  <si>
    <t>叶大鹏</t>
  </si>
  <si>
    <t>王建超</t>
  </si>
  <si>
    <t>潘伟生</t>
  </si>
  <si>
    <t>王风瑞</t>
  </si>
  <si>
    <t>金鼎</t>
  </si>
  <si>
    <t>董志华</t>
  </si>
  <si>
    <t>姜文夫</t>
  </si>
  <si>
    <t>郭永杰</t>
  </si>
  <si>
    <t>朱永春</t>
  </si>
  <si>
    <t>刘琦</t>
  </si>
  <si>
    <t>吴疆</t>
  </si>
  <si>
    <t>巴富毅</t>
  </si>
  <si>
    <t>陈宏伟</t>
  </si>
  <si>
    <t>蒋露裕</t>
  </si>
  <si>
    <t>蓝宇航</t>
  </si>
  <si>
    <t>程卓</t>
  </si>
  <si>
    <t>郑文卓</t>
  </si>
  <si>
    <t>返回目录</t>
  </si>
  <si>
    <t>日  期</t>
  </si>
  <si>
    <t>岗  位</t>
  </si>
  <si>
    <t>上岗时刻</t>
  </si>
  <si>
    <t>交接班</t>
  </si>
  <si>
    <t>离岗时刻</t>
  </si>
  <si>
    <t>时段工作小时</t>
  </si>
  <si>
    <t>白班小时</t>
  </si>
  <si>
    <t>夜班小时 (0200-0800)</t>
  </si>
  <si>
    <t>统   计</t>
  </si>
  <si>
    <t>各席位总小时</t>
  </si>
  <si>
    <t>夜班小时 (0000-0800)</t>
  </si>
  <si>
    <t>备注</t>
  </si>
  <si>
    <t>带班主任</t>
  </si>
  <si>
    <t>完成</t>
  </si>
  <si>
    <t>带班主任席执勤小时</t>
  </si>
  <si>
    <t>机场管制席执勤小时</t>
  </si>
  <si>
    <t>东塔台协调席</t>
  </si>
  <si>
    <t>机场协调席执勤小时</t>
  </si>
  <si>
    <t>西塔台管制席</t>
  </si>
  <si>
    <t>放行席执勤小时</t>
  </si>
  <si>
    <t>地面席执勤小时</t>
  </si>
  <si>
    <t>生产调度席执勤小时</t>
  </si>
  <si>
    <t>航班调度席执勤小时</t>
  </si>
  <si>
    <t>综合协调席小时</t>
  </si>
  <si>
    <t>见习管制员小时</t>
  </si>
  <si>
    <t>管制教员席小时</t>
  </si>
  <si>
    <t>月度总小时统计</t>
  </si>
  <si>
    <t>统计</t>
  </si>
  <si>
    <t>席位执勤小时</t>
  </si>
  <si>
    <t>管制教员小时</t>
  </si>
  <si>
    <t>月度总小时</t>
  </si>
  <si>
    <t>西塔台协调席</t>
  </si>
  <si>
    <t>东塔台管制席</t>
  </si>
  <si>
    <t>放行席</t>
  </si>
  <si>
    <t>地面席</t>
  </si>
  <si>
    <t>航班调度席</t>
  </si>
  <si>
    <t>综合协调席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</si>
</sst>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h:mm:ss;@"/>
    <numFmt numFmtId="179" formatCode="0.0_);[Red]\(0.0\)"/>
    <numFmt numFmtId="180" formatCode="0.0"/>
  </numFmts>
  <fonts count="3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4"/>
      <name val="宋体"/>
      <charset val="134"/>
      <scheme val="minor"/>
    </font>
    <font>
      <b/>
      <sz val="14"/>
      <color theme="7"/>
      <name val="宋体"/>
      <charset val="134"/>
      <scheme val="minor"/>
    </font>
    <font>
      <b/>
      <sz val="14"/>
      <color theme="9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NumberFormat="1"/>
    <xf numFmtId="176" fontId="0" fillId="0" borderId="0" xfId="0" applyNumberFormat="1"/>
    <xf numFmtId="177" fontId="0" fillId="0" borderId="0" xfId="0" applyNumberFormat="1"/>
    <xf numFmtId="177" fontId="1" fillId="0" borderId="0" xfId="0" applyNumberFormat="1" applyFont="1"/>
    <xf numFmtId="178" fontId="2" fillId="0" borderId="1" xfId="6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/>
    <xf numFmtId="0" fontId="0" fillId="0" borderId="1" xfId="0" applyFont="1" applyFill="1" applyBorder="1" applyAlignment="1"/>
    <xf numFmtId="21" fontId="0" fillId="0" borderId="0" xfId="0" applyNumberFormat="1"/>
    <xf numFmtId="177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/>
    <xf numFmtId="177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/>
    <xf numFmtId="177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/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2" xfId="0" applyNumberFormat="1" applyFont="1" applyFill="1" applyBorder="1" applyAlignment="1">
      <alignment horizontal="center" vertical="center"/>
    </xf>
    <xf numFmtId="178" fontId="11" fillId="0" borderId="2" xfId="0" applyNumberFormat="1" applyFont="1" applyFill="1" applyBorder="1" applyAlignment="1">
      <alignment horizontal="center" vertical="center" wrapText="1"/>
    </xf>
    <xf numFmtId="178" fontId="11" fillId="2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/>
    </xf>
    <xf numFmtId="179" fontId="12" fillId="0" borderId="1" xfId="0" applyNumberFormat="1" applyFont="1" applyFill="1" applyBorder="1" applyAlignment="1">
      <alignment horizontal="center"/>
    </xf>
    <xf numFmtId="179" fontId="12" fillId="2" borderId="1" xfId="0" applyNumberFormat="1" applyFont="1" applyFill="1" applyBorder="1" applyAlignment="1">
      <alignment horizontal="center"/>
    </xf>
    <xf numFmtId="179" fontId="12" fillId="3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177" fontId="11" fillId="0" borderId="1" xfId="0" applyNumberFormat="1" applyFont="1" applyFill="1" applyBorder="1" applyAlignment="1">
      <alignment horizontal="center" vertical="center"/>
    </xf>
    <xf numFmtId="179" fontId="13" fillId="0" borderId="3" xfId="0" applyNumberFormat="1" applyFont="1" applyFill="1" applyBorder="1" applyAlignment="1">
      <alignment horizontal="center" vertical="center"/>
    </xf>
    <xf numFmtId="179" fontId="13" fillId="0" borderId="4" xfId="0" applyNumberFormat="1" applyFont="1" applyFill="1" applyBorder="1" applyAlignment="1">
      <alignment horizontal="center" vertical="center"/>
    </xf>
    <xf numFmtId="179" fontId="13" fillId="0" borderId="5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79" fontId="12" fillId="0" borderId="1" xfId="0" applyNumberFormat="1" applyFont="1" applyBorder="1" applyAlignment="1">
      <alignment horizontal="center"/>
    </xf>
    <xf numFmtId="0" fontId="0" fillId="0" borderId="1" xfId="0" applyBorder="1"/>
    <xf numFmtId="177" fontId="4" fillId="0" borderId="1" xfId="0" applyNumberFormat="1" applyFont="1" applyBorder="1" applyAlignment="1">
      <alignment horizontal="center" vertical="center"/>
    </xf>
    <xf numFmtId="46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14" fillId="0" borderId="1" xfId="6" applyNumberFormat="1" applyBorder="1" applyAlignment="1">
      <alignment horizontal="center" vertical="center"/>
    </xf>
    <xf numFmtId="0" fontId="15" fillId="0" borderId="1" xfId="0" applyFont="1" applyBorder="1"/>
    <xf numFmtId="0" fontId="16" fillId="4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Font="1" applyBorder="1" applyAlignment="1"/>
    <xf numFmtId="176" fontId="15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14" fillId="0" borderId="1" xfId="6" applyFont="1" applyBorder="1" applyAlignment="1"/>
    <xf numFmtId="0" fontId="14" fillId="0" borderId="1" xfId="6" applyBorder="1" applyAlignment="1"/>
    <xf numFmtId="180" fontId="0" fillId="0" borderId="1" xfId="0" applyNumberFormat="1" applyBorder="1" applyAlignment="1">
      <alignment horizontal="center" vertical="center"/>
    </xf>
    <xf numFmtId="180" fontId="15" fillId="0" borderId="1" xfId="0" applyNumberFormat="1" applyFont="1" applyBorder="1" applyAlignment="1">
      <alignment horizontal="center" vertical="center"/>
    </xf>
    <xf numFmtId="0" fontId="1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44"/>
  <sheetViews>
    <sheetView workbookViewId="0">
      <selection activeCell="A5" sqref="A5"/>
    </sheetView>
  </sheetViews>
  <sheetFormatPr defaultColWidth="9" defaultRowHeight="13.5"/>
  <sheetData>
    <row r="1" ht="14.1" customHeight="1" spans="1:7">
      <c r="A1" s="56" t="s">
        <v>0</v>
      </c>
      <c r="B1" s="57" t="s">
        <v>1</v>
      </c>
      <c r="C1" s="57"/>
      <c r="D1" s="57"/>
      <c r="E1" s="57"/>
      <c r="F1" s="57"/>
      <c r="G1" s="57"/>
    </row>
    <row r="2" ht="14.1" customHeight="1" spans="1:7">
      <c r="A2" s="51"/>
      <c r="B2" s="57"/>
      <c r="C2" s="57"/>
      <c r="D2" s="57"/>
      <c r="E2" s="57"/>
      <c r="F2" s="57"/>
      <c r="G2" s="57"/>
    </row>
    <row r="3" ht="14.1" customHeight="1" spans="1:9">
      <c r="A3" s="51"/>
      <c r="B3" s="58" t="s">
        <v>2</v>
      </c>
      <c r="C3" s="58"/>
      <c r="D3" s="58"/>
      <c r="E3" s="58" t="s">
        <v>3</v>
      </c>
      <c r="F3" s="59"/>
      <c r="G3" s="59"/>
      <c r="H3" s="60" t="s">
        <v>4</v>
      </c>
      <c r="I3" s="60" t="s">
        <v>5</v>
      </c>
    </row>
    <row r="4" spans="1:9">
      <c r="A4" s="51" t="s">
        <v>6</v>
      </c>
      <c r="B4" s="58" t="s">
        <v>7</v>
      </c>
      <c r="C4" s="58" t="s">
        <v>8</v>
      </c>
      <c r="D4" s="58" t="s">
        <v>9</v>
      </c>
      <c r="E4" s="58" t="s">
        <v>7</v>
      </c>
      <c r="F4" s="58" t="s">
        <v>8</v>
      </c>
      <c r="G4" s="58" t="s">
        <v>9</v>
      </c>
      <c r="H4" s="61"/>
      <c r="I4" s="61"/>
    </row>
    <row r="5" spans="1:9">
      <c r="A5" s="62" t="s">
        <v>10</v>
      </c>
      <c r="B5" s="63">
        <f>温若春!K16</f>
        <v>46.0841666666667</v>
      </c>
      <c r="C5" s="63">
        <f>温若春!K17</f>
        <v>15.3180555555556</v>
      </c>
      <c r="D5" s="63">
        <f>温若春!K19</f>
        <v>0</v>
      </c>
      <c r="E5" s="63">
        <f>温若春!L16</f>
        <v>36.1686111111111</v>
      </c>
      <c r="F5" s="63">
        <f>温若春!L17</f>
        <v>0</v>
      </c>
      <c r="G5" s="63">
        <f>温若春!L19</f>
        <v>0</v>
      </c>
      <c r="H5" s="64">
        <f>SUM(B5:G5)</f>
        <v>97.5708333333333</v>
      </c>
      <c r="I5" s="67">
        <f>温若春!J21</f>
        <v>0</v>
      </c>
    </row>
    <row r="6" spans="1:9">
      <c r="A6" s="65" t="s">
        <v>11</v>
      </c>
      <c r="B6" s="64">
        <f>明嘉!K16</f>
        <v>0</v>
      </c>
      <c r="C6" s="64">
        <f>明嘉!K17</f>
        <v>34.5527777777778</v>
      </c>
      <c r="D6" s="64">
        <f>明嘉!K19</f>
        <v>0</v>
      </c>
      <c r="E6" s="63">
        <f>明嘉!L16</f>
        <v>0</v>
      </c>
      <c r="F6" s="63">
        <f>明嘉!L17</f>
        <v>25.7722222222222</v>
      </c>
      <c r="G6" s="63">
        <f>明嘉!L19</f>
        <v>0</v>
      </c>
      <c r="H6" s="64">
        <f t="shared" ref="H6:H40" si="0">SUM(B6:G6)</f>
        <v>60.325</v>
      </c>
      <c r="I6" s="67">
        <f>明嘉!J21</f>
        <v>6.41666666666667</v>
      </c>
    </row>
    <row r="7" spans="1:9">
      <c r="A7" s="65" t="s">
        <v>12</v>
      </c>
      <c r="B7" s="63">
        <f>徐万友!K16</f>
        <v>69.8305555555556</v>
      </c>
      <c r="C7" s="63">
        <f>徐万友!K17</f>
        <v>1.15027777777778</v>
      </c>
      <c r="D7" s="63">
        <f>徐万友!K19</f>
        <v>0</v>
      </c>
      <c r="E7" s="63">
        <f>徐万友!L16</f>
        <v>17.8225</v>
      </c>
      <c r="F7" s="63">
        <f>徐万友!L17</f>
        <v>3.51722222222222</v>
      </c>
      <c r="G7" s="63">
        <f>徐万友!L19</f>
        <v>0</v>
      </c>
      <c r="H7" s="64">
        <f t="shared" si="0"/>
        <v>92.3205555555555</v>
      </c>
      <c r="I7" s="67">
        <f>徐万友!J21</f>
        <v>0</v>
      </c>
    </row>
    <row r="8" spans="1:9">
      <c r="A8" s="66" t="s">
        <v>13</v>
      </c>
      <c r="B8" s="63">
        <f>耿若岩!K16</f>
        <v>0</v>
      </c>
      <c r="C8" s="63">
        <f>耿若岩!K17</f>
        <v>33.3122222222222</v>
      </c>
      <c r="D8" s="63">
        <f>耿若岩!K19</f>
        <v>0</v>
      </c>
      <c r="E8" s="63">
        <f>耿若岩!L16</f>
        <v>0</v>
      </c>
      <c r="F8" s="63">
        <f>耿若岩!L17</f>
        <v>13.3591666666667</v>
      </c>
      <c r="G8" s="63">
        <f>耿若岩!L19</f>
        <v>0</v>
      </c>
      <c r="H8" s="64">
        <f t="shared" si="0"/>
        <v>46.6713888888889</v>
      </c>
      <c r="I8" s="68">
        <f>耿若岩!J21</f>
        <v>4.33194444444444</v>
      </c>
    </row>
    <row r="9" spans="1:9">
      <c r="A9" s="62" t="s">
        <v>14</v>
      </c>
      <c r="B9" s="63">
        <f>李明!K16</f>
        <v>0</v>
      </c>
      <c r="C9" s="63">
        <f>李明!K17</f>
        <v>49.2272222222223</v>
      </c>
      <c r="D9" s="63">
        <f>李明!K19</f>
        <v>0</v>
      </c>
      <c r="E9" s="63">
        <f>李明!L16</f>
        <v>0</v>
      </c>
      <c r="F9" s="63">
        <f>李明!L17</f>
        <v>31.4463888888889</v>
      </c>
      <c r="G9" s="63">
        <f>李明!L19</f>
        <v>0</v>
      </c>
      <c r="H9" s="64">
        <f t="shared" si="0"/>
        <v>80.6736111111111</v>
      </c>
      <c r="I9" s="67">
        <f>李明!J21</f>
        <v>13.6688888888889</v>
      </c>
    </row>
    <row r="10" spans="1:9">
      <c r="A10" s="65" t="s">
        <v>15</v>
      </c>
      <c r="B10" s="63">
        <f>张虎!K16</f>
        <v>0</v>
      </c>
      <c r="C10" s="63">
        <f>张虎!K17</f>
        <v>30.1066666666667</v>
      </c>
      <c r="D10" s="63">
        <f>张虎!K19</f>
        <v>0</v>
      </c>
      <c r="E10" s="63">
        <f>张虎!L16</f>
        <v>0</v>
      </c>
      <c r="F10" s="63">
        <f>张虎!L17</f>
        <v>19.8202777777778</v>
      </c>
      <c r="G10" s="63">
        <f>张虎!L19</f>
        <v>0</v>
      </c>
      <c r="H10" s="64">
        <f t="shared" si="0"/>
        <v>49.9269444444445</v>
      </c>
      <c r="I10" s="67">
        <f>张虎!J21</f>
        <v>0</v>
      </c>
    </row>
    <row r="11" spans="1:9">
      <c r="A11" s="62" t="s">
        <v>16</v>
      </c>
      <c r="B11" s="63">
        <f>马莲花!K16</f>
        <v>40.6569444444445</v>
      </c>
      <c r="C11" s="63">
        <f>马莲花!K17</f>
        <v>20.4144444444445</v>
      </c>
      <c r="D11" s="63">
        <f>马莲花!K19</f>
        <v>0</v>
      </c>
      <c r="E11" s="63">
        <f>马莲花!L16</f>
        <v>17.5941666666666</v>
      </c>
      <c r="F11" s="63">
        <f>马莲花!L17</f>
        <v>6.56555555555554</v>
      </c>
      <c r="G11" s="63">
        <f>马莲花!L19</f>
        <v>0</v>
      </c>
      <c r="H11" s="64">
        <f t="shared" si="0"/>
        <v>85.2311111111111</v>
      </c>
      <c r="I11" s="67">
        <f>马莲花!J21</f>
        <v>0</v>
      </c>
    </row>
    <row r="12" spans="1:9">
      <c r="A12" s="62" t="s">
        <v>17</v>
      </c>
      <c r="B12" s="63">
        <f>刘国莲!K15</f>
        <v>0</v>
      </c>
      <c r="C12" s="63">
        <f>刘国莲!K16</f>
        <v>40.1277777777778</v>
      </c>
      <c r="D12" s="63">
        <f>刘国莲!K18</f>
        <v>0</v>
      </c>
      <c r="E12" s="63">
        <f>刘国莲!L15</f>
        <v>0</v>
      </c>
      <c r="F12" s="63">
        <f>刘国莲!L16</f>
        <v>33.0263888888889</v>
      </c>
      <c r="G12" s="63">
        <f>刘国莲!L18</f>
        <v>0</v>
      </c>
      <c r="H12" s="64">
        <f t="shared" si="0"/>
        <v>73.1541666666667</v>
      </c>
      <c r="I12" s="67">
        <f>刘国莲!J20</f>
        <v>7.36777777777778</v>
      </c>
    </row>
    <row r="13" spans="1:9">
      <c r="A13" s="62" t="s">
        <v>18</v>
      </c>
      <c r="B13" s="63">
        <f>杜涛!K16</f>
        <v>0</v>
      </c>
      <c r="C13" s="63">
        <f>杜涛!K17</f>
        <v>43.4855555555556</v>
      </c>
      <c r="D13" s="63">
        <f>杜涛!K19</f>
        <v>0</v>
      </c>
      <c r="E13" s="63">
        <f>杜涛!L16</f>
        <v>0</v>
      </c>
      <c r="F13" s="63">
        <f>杜涛!L17</f>
        <v>27.3477777777778</v>
      </c>
      <c r="G13" s="63">
        <f>杜涛!L19</f>
        <v>0</v>
      </c>
      <c r="H13" s="64">
        <f t="shared" si="0"/>
        <v>70.8333333333333</v>
      </c>
      <c r="I13" s="67">
        <f>杜涛!J21</f>
        <v>6.515</v>
      </c>
    </row>
    <row r="14" spans="1:14">
      <c r="A14" s="65" t="s">
        <v>19</v>
      </c>
      <c r="B14" s="63">
        <f>张文中!K16</f>
        <v>0</v>
      </c>
      <c r="C14" s="63">
        <f>张文中!K17</f>
        <v>37.5041666666667</v>
      </c>
      <c r="D14" s="63">
        <f>张文中!K19</f>
        <v>0</v>
      </c>
      <c r="E14" s="63">
        <f>张文中!L16</f>
        <v>0</v>
      </c>
      <c r="F14" s="63">
        <f>张文中!L17</f>
        <v>35.405</v>
      </c>
      <c r="G14" s="63">
        <f>张文中!L19</f>
        <v>0</v>
      </c>
      <c r="H14" s="64">
        <f t="shared" si="0"/>
        <v>72.9091666666667</v>
      </c>
      <c r="I14" s="67">
        <f>张文中!J21</f>
        <v>9.08305555555555</v>
      </c>
      <c r="N14" s="69" t="s">
        <v>20</v>
      </c>
    </row>
    <row r="15" spans="1:9">
      <c r="A15" s="62" t="s">
        <v>21</v>
      </c>
      <c r="B15" s="63">
        <f>李秋实!K16</f>
        <v>0</v>
      </c>
      <c r="C15" s="63">
        <f>李秋实!K17</f>
        <v>34.3147222222222</v>
      </c>
      <c r="D15" s="63">
        <f>李秋实!K19</f>
        <v>0</v>
      </c>
      <c r="E15" s="63">
        <f>李秋实!L16</f>
        <v>0</v>
      </c>
      <c r="F15" s="63">
        <f>李秋实!L17</f>
        <v>29.2847222222222</v>
      </c>
      <c r="G15" s="63">
        <f>李秋实!L19</f>
        <v>0</v>
      </c>
      <c r="H15" s="64">
        <f t="shared" si="0"/>
        <v>63.5994444444444</v>
      </c>
      <c r="I15" s="67">
        <f>李秋实!J21</f>
        <v>15.5866666666667</v>
      </c>
    </row>
    <row r="16" spans="1:9">
      <c r="A16" s="65" t="s">
        <v>22</v>
      </c>
      <c r="B16" s="63">
        <f>周岸!K16</f>
        <v>0</v>
      </c>
      <c r="C16" s="63">
        <f>周岸!K17</f>
        <v>32.3227777777778</v>
      </c>
      <c r="D16" s="63">
        <f>周岸!K19</f>
        <v>0</v>
      </c>
      <c r="E16" s="63">
        <f>周岸!L16</f>
        <v>0</v>
      </c>
      <c r="F16" s="63">
        <f>周岸!L17</f>
        <v>33.0525</v>
      </c>
      <c r="G16" s="63">
        <f>周岸!L19</f>
        <v>0</v>
      </c>
      <c r="H16" s="64">
        <f t="shared" si="0"/>
        <v>65.3752777777778</v>
      </c>
      <c r="I16" s="67">
        <f>周岸!J21</f>
        <v>0</v>
      </c>
    </row>
    <row r="17" spans="1:9">
      <c r="A17" s="62" t="s">
        <v>23</v>
      </c>
      <c r="B17" s="63">
        <f>詹泽彬!K16</f>
        <v>0</v>
      </c>
      <c r="C17" s="63">
        <f>詹泽彬!K17</f>
        <v>30.1763888888889</v>
      </c>
      <c r="D17" s="63">
        <f>詹泽彬!K19</f>
        <v>0</v>
      </c>
      <c r="E17" s="63">
        <f>詹泽彬!L16</f>
        <v>0</v>
      </c>
      <c r="F17" s="63">
        <f>詹泽彬!L17</f>
        <v>28.9630555555555</v>
      </c>
      <c r="G17" s="63">
        <f>詹泽彬!L19</f>
        <v>0</v>
      </c>
      <c r="H17" s="64">
        <f t="shared" si="0"/>
        <v>59.1394444444444</v>
      </c>
      <c r="I17" s="67">
        <f>詹泽彬!J21</f>
        <v>5.73527777777778</v>
      </c>
    </row>
    <row r="18" spans="1:9">
      <c r="A18" s="65" t="s">
        <v>24</v>
      </c>
      <c r="B18" s="63">
        <f>张笑延!K16</f>
        <v>0</v>
      </c>
      <c r="C18" s="63">
        <f>张笑延!K17</f>
        <v>45.05</v>
      </c>
      <c r="D18" s="63">
        <f>张笑延!K19</f>
        <v>0</v>
      </c>
      <c r="E18" s="63">
        <f>张笑延!L16</f>
        <v>0</v>
      </c>
      <c r="F18" s="63">
        <f>张笑延!L17</f>
        <v>23.8133333333333</v>
      </c>
      <c r="G18" s="63">
        <f>张笑延!L19</f>
        <v>0</v>
      </c>
      <c r="H18" s="64">
        <f t="shared" si="0"/>
        <v>68.8633333333333</v>
      </c>
      <c r="I18" s="67">
        <f>张笑延!J21</f>
        <v>5.11083333333334</v>
      </c>
    </row>
    <row r="19" spans="1:9">
      <c r="A19" s="66" t="s">
        <v>25</v>
      </c>
      <c r="B19" s="64">
        <f>沈宁!K16</f>
        <v>0</v>
      </c>
      <c r="C19" s="64">
        <f>沈宁!K17</f>
        <v>33.5202777777778</v>
      </c>
      <c r="D19" s="64">
        <f>沈宁!K19</f>
        <v>0</v>
      </c>
      <c r="E19" s="64">
        <f>沈宁!L16</f>
        <v>0</v>
      </c>
      <c r="F19" s="64">
        <f>沈宁!L17</f>
        <v>21.7066666666666</v>
      </c>
      <c r="G19" s="64">
        <f>沈宁!L19</f>
        <v>0</v>
      </c>
      <c r="H19" s="64">
        <f t="shared" si="0"/>
        <v>55.2269444444444</v>
      </c>
      <c r="I19" s="67">
        <f>沈宁!J21</f>
        <v>4.66972222222222</v>
      </c>
    </row>
    <row r="20" spans="1:9">
      <c r="A20" s="66" t="s">
        <v>26</v>
      </c>
      <c r="B20" s="64">
        <f>胡鑫!K16</f>
        <v>55.8197222222222</v>
      </c>
      <c r="C20" s="64">
        <f>胡鑫!K17</f>
        <v>8.38666666666667</v>
      </c>
      <c r="D20" s="64">
        <f>胡鑫!K19</f>
        <v>0</v>
      </c>
      <c r="E20" s="64">
        <f>胡鑫!L16</f>
        <v>31.7641666666667</v>
      </c>
      <c r="F20" s="64">
        <f>胡鑫!L17</f>
        <v>6.72361111111111</v>
      </c>
      <c r="G20" s="64">
        <f>胡鑫!L19</f>
        <v>0</v>
      </c>
      <c r="H20" s="64">
        <f t="shared" si="0"/>
        <v>102.694166666667</v>
      </c>
      <c r="I20" s="67">
        <f>胡鑫!J21</f>
        <v>0</v>
      </c>
    </row>
    <row r="21" spans="1:9">
      <c r="A21" s="65" t="s">
        <v>27</v>
      </c>
      <c r="B21" s="64">
        <f>邓心豪!K16</f>
        <v>0</v>
      </c>
      <c r="C21" s="64">
        <f>邓心豪!K17</f>
        <v>33.7769444444445</v>
      </c>
      <c r="D21" s="64">
        <f>邓心豪!K19</f>
        <v>0</v>
      </c>
      <c r="E21" s="64">
        <f>邓心豪!L16</f>
        <v>0</v>
      </c>
      <c r="F21" s="64">
        <f>邓心豪!L17</f>
        <v>30.2888888888889</v>
      </c>
      <c r="G21" s="64">
        <f>邓心豪!L19</f>
        <v>0</v>
      </c>
      <c r="H21" s="64">
        <f t="shared" si="0"/>
        <v>64.0658333333333</v>
      </c>
      <c r="I21" s="67">
        <f>邓心豪!J21</f>
        <v>0</v>
      </c>
    </row>
    <row r="22" spans="1:9">
      <c r="A22" s="62" t="s">
        <v>28</v>
      </c>
      <c r="B22" s="64">
        <f>黄恩!K16</f>
        <v>0</v>
      </c>
      <c r="C22" s="64">
        <f>黄恩!K17</f>
        <v>52.5772222222223</v>
      </c>
      <c r="D22" s="64">
        <f>黄恩!K19</f>
        <v>0</v>
      </c>
      <c r="E22" s="64">
        <f>黄恩!L16</f>
        <v>0</v>
      </c>
      <c r="F22" s="64">
        <f>黄恩!L17</f>
        <v>15.3869444444444</v>
      </c>
      <c r="G22" s="64">
        <f>黄恩!L19</f>
        <v>0</v>
      </c>
      <c r="H22" s="64">
        <f t="shared" si="0"/>
        <v>67.9641666666667</v>
      </c>
      <c r="I22" s="67">
        <f>黄恩!J21</f>
        <v>0</v>
      </c>
    </row>
    <row r="23" spans="1:9">
      <c r="A23" s="66" t="s">
        <v>29</v>
      </c>
      <c r="B23" s="64">
        <f>严亮!K16</f>
        <v>0</v>
      </c>
      <c r="C23" s="64">
        <f>严亮!K17</f>
        <v>31.4772222222222</v>
      </c>
      <c r="D23" s="64">
        <f>严亮!K19</f>
        <v>0</v>
      </c>
      <c r="E23" s="64">
        <f>严亮!L16</f>
        <v>0</v>
      </c>
      <c r="F23" s="64">
        <f>严亮!L17</f>
        <v>22.1994444444444</v>
      </c>
      <c r="G23" s="64">
        <f>严亮!L19</f>
        <v>0</v>
      </c>
      <c r="H23" s="64">
        <f t="shared" si="0"/>
        <v>53.6766666666667</v>
      </c>
      <c r="I23" s="67">
        <f>严亮!J21</f>
        <v>11.3330555555556</v>
      </c>
    </row>
    <row r="24" spans="1:9">
      <c r="A24" s="65" t="s">
        <v>30</v>
      </c>
      <c r="B24" s="64">
        <f>边昊!K16</f>
        <v>37.6958333333334</v>
      </c>
      <c r="C24" s="64">
        <f>边昊!K17</f>
        <v>13.9163888888889</v>
      </c>
      <c r="D24" s="64">
        <f>边昊!K19</f>
        <v>0</v>
      </c>
      <c r="E24" s="64">
        <f>边昊!L16</f>
        <v>9.54555555555552</v>
      </c>
      <c r="F24" s="64">
        <f>边昊!L17</f>
        <v>12.0644444444444</v>
      </c>
      <c r="G24" s="64">
        <f>边昊!L19</f>
        <v>0</v>
      </c>
      <c r="H24" s="64">
        <f t="shared" si="0"/>
        <v>73.2222222222222</v>
      </c>
      <c r="I24" s="67">
        <f>边昊!J21</f>
        <v>0</v>
      </c>
    </row>
    <row r="25" spans="1:9">
      <c r="A25" s="65" t="s">
        <v>31</v>
      </c>
      <c r="B25" s="64">
        <f>张宗根!K16</f>
        <v>0</v>
      </c>
      <c r="C25" s="64">
        <f>张宗根!K17</f>
        <v>32.3052777777778</v>
      </c>
      <c r="D25" s="64">
        <f>张宗根!K19</f>
        <v>0</v>
      </c>
      <c r="E25" s="64">
        <f>张宗根!L16</f>
        <v>0</v>
      </c>
      <c r="F25" s="64">
        <f>张宗根!L17</f>
        <v>29.0758333333333</v>
      </c>
      <c r="G25" s="64">
        <f>张宗根!L19</f>
        <v>0</v>
      </c>
      <c r="H25" s="64">
        <f t="shared" si="0"/>
        <v>61.3811111111111</v>
      </c>
      <c r="I25" s="67">
        <f>张宗根!J21</f>
        <v>0</v>
      </c>
    </row>
    <row r="26" spans="1:9">
      <c r="A26" s="62" t="s">
        <v>32</v>
      </c>
      <c r="B26" s="64">
        <f>宋天霖!K16</f>
        <v>0</v>
      </c>
      <c r="C26" s="64">
        <f>宋天霖!K17</f>
        <v>0</v>
      </c>
      <c r="D26" s="64">
        <f>宋天霖!K19</f>
        <v>0</v>
      </c>
      <c r="E26" s="64">
        <f>宋天霖!L16</f>
        <v>0</v>
      </c>
      <c r="F26" s="64">
        <f>宋天霖!L17</f>
        <v>0</v>
      </c>
      <c r="G26" s="64">
        <f>宋天霖!L19</f>
        <v>0</v>
      </c>
      <c r="H26" s="64">
        <f t="shared" si="0"/>
        <v>0</v>
      </c>
      <c r="I26" s="67">
        <f>宋天霖!J21</f>
        <v>0</v>
      </c>
    </row>
    <row r="27" spans="1:9">
      <c r="A27" s="65" t="s">
        <v>33</v>
      </c>
      <c r="B27" s="64">
        <f>蔡昊霖!K16</f>
        <v>0</v>
      </c>
      <c r="C27" s="64">
        <f>蔡昊霖!K17</f>
        <v>32.1213888888889</v>
      </c>
      <c r="D27" s="64">
        <f>蔡昊霖!K19</f>
        <v>0</v>
      </c>
      <c r="E27" s="64">
        <f>蔡昊霖!L16</f>
        <v>0</v>
      </c>
      <c r="F27" s="64">
        <f>蔡昊霖!L17</f>
        <v>16.4272222222222</v>
      </c>
      <c r="G27" s="64">
        <f>蔡昊霖!L19</f>
        <v>0</v>
      </c>
      <c r="H27" s="64">
        <f t="shared" si="0"/>
        <v>48.5486111111111</v>
      </c>
      <c r="I27" s="67">
        <f>蔡昊霖!J21</f>
        <v>0</v>
      </c>
    </row>
    <row r="28" spans="1:9">
      <c r="A28" s="65" t="s">
        <v>34</v>
      </c>
      <c r="B28" s="64">
        <f>叶大鹏!K16</f>
        <v>0</v>
      </c>
      <c r="C28" s="64">
        <f>叶大鹏!K17</f>
        <v>18.7302777777778</v>
      </c>
      <c r="D28" s="64">
        <f>叶大鹏!K19</f>
        <v>0</v>
      </c>
      <c r="E28" s="64">
        <f>叶大鹏!L16</f>
        <v>0</v>
      </c>
      <c r="F28" s="64">
        <f>叶大鹏!L17</f>
        <v>18.5977777777778</v>
      </c>
      <c r="G28" s="64">
        <f>叶大鹏!L19</f>
        <v>0</v>
      </c>
      <c r="H28" s="64">
        <f t="shared" si="0"/>
        <v>37.3280555555556</v>
      </c>
      <c r="I28" s="67">
        <f>叶大鹏!J21</f>
        <v>12.5561111111111</v>
      </c>
    </row>
    <row r="29" spans="1:9">
      <c r="A29" s="65" t="s">
        <v>35</v>
      </c>
      <c r="B29" s="64">
        <f>王建超!K16</f>
        <v>0</v>
      </c>
      <c r="C29" s="64">
        <f>王建超!K17</f>
        <v>34.4144444444445</v>
      </c>
      <c r="D29" s="64">
        <f>王建超!K19</f>
        <v>0</v>
      </c>
      <c r="E29" s="64">
        <f>王建超!L16</f>
        <v>0</v>
      </c>
      <c r="F29" s="64">
        <f>王建超!L17</f>
        <v>29.1408333333333</v>
      </c>
      <c r="G29" s="64">
        <f>王建超!L19</f>
        <v>0</v>
      </c>
      <c r="H29" s="64">
        <f t="shared" si="0"/>
        <v>63.5552777777778</v>
      </c>
      <c r="I29" s="67">
        <f>王建超!J21</f>
        <v>11.6733333333333</v>
      </c>
    </row>
    <row r="30" spans="1:9">
      <c r="A30" s="65" t="s">
        <v>36</v>
      </c>
      <c r="B30" s="64">
        <f>潘伟生!K16</f>
        <v>0</v>
      </c>
      <c r="C30" s="64">
        <f>潘伟生!K17</f>
        <v>28.5119444444445</v>
      </c>
      <c r="D30" s="64">
        <f>潘伟生!K19</f>
        <v>0</v>
      </c>
      <c r="E30" s="64">
        <f>潘伟生!L16</f>
        <v>0</v>
      </c>
      <c r="F30" s="64">
        <f>潘伟生!L17</f>
        <v>23.3191666666667</v>
      </c>
      <c r="G30" s="64">
        <f>潘伟生!L19</f>
        <v>0</v>
      </c>
      <c r="H30" s="64">
        <f t="shared" si="0"/>
        <v>51.8311111111111</v>
      </c>
      <c r="I30" s="67">
        <f>潘伟生!J21</f>
        <v>6.8325</v>
      </c>
    </row>
    <row r="31" spans="1:9">
      <c r="A31" s="65" t="s">
        <v>37</v>
      </c>
      <c r="B31" s="64">
        <f>王风瑞!K16</f>
        <v>0</v>
      </c>
      <c r="C31" s="64">
        <f>王风瑞!K17</f>
        <v>49.6722222222222</v>
      </c>
      <c r="D31" s="64">
        <f>王风瑞!K19</f>
        <v>0</v>
      </c>
      <c r="E31" s="64">
        <f>王风瑞!L16</f>
        <v>0</v>
      </c>
      <c r="F31" s="64">
        <f>王风瑞!L17</f>
        <v>36.0691666666666</v>
      </c>
      <c r="G31" s="64">
        <f>王风瑞!L19</f>
        <v>0</v>
      </c>
      <c r="H31" s="64">
        <f t="shared" si="0"/>
        <v>85.7413888888889</v>
      </c>
      <c r="I31" s="67">
        <f>王风瑞!J21</f>
        <v>4.98833333333333</v>
      </c>
    </row>
    <row r="32" spans="1:9">
      <c r="A32" s="65" t="s">
        <v>38</v>
      </c>
      <c r="B32" s="64">
        <f>金鼎!K16</f>
        <v>52.9127777777778</v>
      </c>
      <c r="C32" s="64">
        <f>金鼎!K17</f>
        <v>8.6663888888889</v>
      </c>
      <c r="D32" s="64">
        <f>金鼎!K19</f>
        <v>0</v>
      </c>
      <c r="E32" s="64">
        <f>金鼎!L16</f>
        <v>28.5436111111111</v>
      </c>
      <c r="F32" s="64">
        <f>金鼎!L17</f>
        <v>3.76916666666666</v>
      </c>
      <c r="G32" s="64">
        <f>金鼎!L19</f>
        <v>0</v>
      </c>
      <c r="H32" s="64">
        <f t="shared" si="0"/>
        <v>93.8919444444444</v>
      </c>
      <c r="I32" s="67">
        <f>金鼎!J21</f>
        <v>0</v>
      </c>
    </row>
    <row r="33" spans="1:9">
      <c r="A33" s="65" t="s">
        <v>39</v>
      </c>
      <c r="B33" s="64">
        <f>董志华!K16</f>
        <v>37.5902777777778</v>
      </c>
      <c r="C33" s="64">
        <f>董志华!K17</f>
        <v>0</v>
      </c>
      <c r="D33" s="64">
        <f>董志华!K19</f>
        <v>0</v>
      </c>
      <c r="E33" s="64">
        <f>董志华!L16</f>
        <v>35.2575</v>
      </c>
      <c r="F33" s="64">
        <f>董志华!L17</f>
        <v>0</v>
      </c>
      <c r="G33" s="64">
        <f>董志华!L19</f>
        <v>0</v>
      </c>
      <c r="H33" s="64">
        <f t="shared" si="0"/>
        <v>72.8477777777778</v>
      </c>
      <c r="I33" s="67">
        <f>董志华!J21</f>
        <v>0</v>
      </c>
    </row>
    <row r="34" spans="1:9">
      <c r="A34" s="65" t="s">
        <v>40</v>
      </c>
      <c r="B34" s="64">
        <f>姜文夫!K16</f>
        <v>54.6214236111111</v>
      </c>
      <c r="C34" s="64">
        <f>姜文夫!K17</f>
        <v>16.0511111111111</v>
      </c>
      <c r="D34" s="64">
        <f>姜文夫!K19</f>
        <v>0</v>
      </c>
      <c r="E34" s="64">
        <f>姜文夫!L16</f>
        <v>29.4163888888889</v>
      </c>
      <c r="F34" s="64">
        <f>姜文夫!L17</f>
        <v>0.814999999999992</v>
      </c>
      <c r="G34" s="64">
        <f>姜文夫!L19</f>
        <v>0</v>
      </c>
      <c r="H34" s="64">
        <f t="shared" si="0"/>
        <v>100.903923611111</v>
      </c>
      <c r="I34" s="67">
        <f>姜文夫!J21</f>
        <v>0</v>
      </c>
    </row>
    <row r="35" spans="1:9">
      <c r="A35" s="65" t="s">
        <v>41</v>
      </c>
      <c r="B35" s="64">
        <f>郭永杰!K16</f>
        <v>46.3258333333333</v>
      </c>
      <c r="C35" s="64">
        <f>郭永杰!K17</f>
        <v>8.0938888888889</v>
      </c>
      <c r="D35" s="64">
        <f>郭永杰!K19</f>
        <v>0</v>
      </c>
      <c r="E35" s="64">
        <f>郭永杰!L16</f>
        <v>25.3594444444444</v>
      </c>
      <c r="F35" s="64">
        <f>郭永杰!L17</f>
        <v>14.3541666666667</v>
      </c>
      <c r="G35" s="64">
        <f>郭永杰!L19</f>
        <v>0</v>
      </c>
      <c r="H35" s="64">
        <f t="shared" si="0"/>
        <v>94.1333333333333</v>
      </c>
      <c r="I35" s="67">
        <f>郭永杰!J21</f>
        <v>0</v>
      </c>
    </row>
    <row r="36" spans="1:9">
      <c r="A36" s="65" t="s">
        <v>42</v>
      </c>
      <c r="B36" s="64">
        <f>朱永春!K16</f>
        <v>0</v>
      </c>
      <c r="C36" s="64">
        <f>朱永春!K17</f>
        <v>29.4208333333333</v>
      </c>
      <c r="D36" s="64">
        <f>朱永春!K19</f>
        <v>0</v>
      </c>
      <c r="E36" s="64">
        <f>朱永春!L16</f>
        <v>0</v>
      </c>
      <c r="F36" s="64">
        <f>朱永春!L17</f>
        <v>33.9380555555556</v>
      </c>
      <c r="G36" s="64">
        <f>朱永春!L19</f>
        <v>0</v>
      </c>
      <c r="H36" s="64">
        <f t="shared" si="0"/>
        <v>63.3588888888889</v>
      </c>
      <c r="I36" s="67">
        <f>朱永春!J21</f>
        <v>10.8963888888889</v>
      </c>
    </row>
    <row r="37" spans="1:9">
      <c r="A37" s="65" t="s">
        <v>43</v>
      </c>
      <c r="B37" s="64">
        <f>刘琦!K16</f>
        <v>0</v>
      </c>
      <c r="C37" s="64">
        <f>刘琦!K17</f>
        <v>46.2875</v>
      </c>
      <c r="D37" s="64">
        <f>刘琦!K19</f>
        <v>0</v>
      </c>
      <c r="E37" s="64">
        <f>刘琦!L16</f>
        <v>0</v>
      </c>
      <c r="F37" s="64">
        <f>刘琦!L17</f>
        <v>0.413611111111111</v>
      </c>
      <c r="G37" s="64">
        <f>刘琦!L19</f>
        <v>0</v>
      </c>
      <c r="H37" s="64">
        <f t="shared" si="0"/>
        <v>46.7011111111111</v>
      </c>
      <c r="I37" s="67">
        <f>刘琦!J21</f>
        <v>0</v>
      </c>
    </row>
    <row r="38" spans="1:9">
      <c r="A38" s="65" t="s">
        <v>44</v>
      </c>
      <c r="B38" s="64">
        <f>吴疆!K16</f>
        <v>60.7341666666667</v>
      </c>
      <c r="C38" s="64">
        <f>吴疆!K17</f>
        <v>6.31444444444444</v>
      </c>
      <c r="D38" s="64">
        <f>吴疆!K19</f>
        <v>0</v>
      </c>
      <c r="E38" s="64">
        <f>吴疆!L16</f>
        <v>28.9161111111111</v>
      </c>
      <c r="F38" s="64">
        <f>吴疆!L17</f>
        <v>12.1130555555556</v>
      </c>
      <c r="G38" s="64">
        <f>吴疆!L19</f>
        <v>0</v>
      </c>
      <c r="H38" s="64">
        <f t="shared" si="0"/>
        <v>108.077777777778</v>
      </c>
      <c r="I38" s="67">
        <f>吴疆!J21</f>
        <v>0</v>
      </c>
    </row>
    <row r="39" spans="1:9">
      <c r="A39" s="65" t="s">
        <v>45</v>
      </c>
      <c r="B39" s="64">
        <f>巴富毅!K16</f>
        <v>0</v>
      </c>
      <c r="C39" s="64">
        <f>巴富毅!K17</f>
        <v>29.0516666666667</v>
      </c>
      <c r="D39" s="64">
        <f>巴富毅!K19</f>
        <v>0</v>
      </c>
      <c r="E39" s="64">
        <f>巴富毅!L16</f>
        <v>0</v>
      </c>
      <c r="F39" s="64">
        <f>巴富毅!L17</f>
        <v>1.6025</v>
      </c>
      <c r="G39" s="64">
        <f>巴富毅!L19</f>
        <v>0</v>
      </c>
      <c r="H39" s="64">
        <f t="shared" si="0"/>
        <v>30.6541666666667</v>
      </c>
      <c r="I39" s="67">
        <f>巴富毅!J21</f>
        <v>0</v>
      </c>
    </row>
    <row r="40" spans="1:9">
      <c r="A40" s="65" t="s">
        <v>46</v>
      </c>
      <c r="B40" s="64">
        <f>陈宏伟!K16</f>
        <v>0</v>
      </c>
      <c r="C40" s="64">
        <f>陈宏伟!K17</f>
        <v>41.3705555555556</v>
      </c>
      <c r="D40" s="64">
        <f>陈宏伟!K19</f>
        <v>0</v>
      </c>
      <c r="E40" s="64">
        <f>陈宏伟!L16</f>
        <v>0</v>
      </c>
      <c r="F40" s="64">
        <f>陈宏伟!L17</f>
        <v>33.4555555555555</v>
      </c>
      <c r="G40" s="64">
        <f>陈宏伟!L19</f>
        <v>0</v>
      </c>
      <c r="H40" s="64">
        <f t="shared" si="0"/>
        <v>74.8261111111111</v>
      </c>
      <c r="I40" s="67">
        <f>陈宏伟!J21</f>
        <v>0</v>
      </c>
    </row>
    <row r="41" spans="1:9">
      <c r="A41" s="65" t="s">
        <v>47</v>
      </c>
      <c r="B41" s="64">
        <f>蒋露裕!K16</f>
        <v>0</v>
      </c>
      <c r="C41" s="64">
        <f>蒋露裕!K17</f>
        <v>17.6416666666667</v>
      </c>
      <c r="D41" s="64">
        <f>蒋露裕!K19</f>
        <v>0</v>
      </c>
      <c r="E41" s="64">
        <f>蒋露裕!L16</f>
        <v>0</v>
      </c>
      <c r="F41" s="64">
        <f>蒋露裕!L17</f>
        <v>26.5169444444444</v>
      </c>
      <c r="G41" s="64">
        <f>蒋露裕!L19</f>
        <v>0</v>
      </c>
      <c r="H41" s="64">
        <f t="shared" ref="H41:H44" si="1">SUM(B41:G41)</f>
        <v>44.1586111111111</v>
      </c>
      <c r="I41" s="67">
        <f>蒋露裕!J21</f>
        <v>7.55694444444444</v>
      </c>
    </row>
    <row r="42" spans="1:9">
      <c r="A42" s="65" t="s">
        <v>48</v>
      </c>
      <c r="B42" s="64">
        <f>蓝宇航!K16</f>
        <v>0</v>
      </c>
      <c r="C42" s="64">
        <f>蓝宇航!K17</f>
        <v>36.7222222222222</v>
      </c>
      <c r="D42" s="64">
        <f>蓝宇航!K19</f>
        <v>0</v>
      </c>
      <c r="E42" s="64">
        <f>蓝宇航!L16</f>
        <v>0</v>
      </c>
      <c r="F42" s="64">
        <f>蓝宇航!L17</f>
        <v>20.3116666666666</v>
      </c>
      <c r="G42" s="64">
        <f>蓝宇航!L19</f>
        <v>0</v>
      </c>
      <c r="H42" s="64">
        <f t="shared" si="1"/>
        <v>57.0338888888889</v>
      </c>
      <c r="I42" s="67">
        <f>蓝宇航!J21</f>
        <v>10.8408333333333</v>
      </c>
    </row>
    <row r="43" spans="1:9">
      <c r="A43" s="65" t="s">
        <v>49</v>
      </c>
      <c r="B43" s="64">
        <f>程卓!K16</f>
        <v>0</v>
      </c>
      <c r="C43" s="64">
        <f>程卓!K17</f>
        <v>31.7166666666667</v>
      </c>
      <c r="D43" s="64">
        <f>程卓!K19</f>
        <v>0</v>
      </c>
      <c r="E43" s="64">
        <f>程卓!L16</f>
        <v>0</v>
      </c>
      <c r="F43" s="64">
        <f>程卓!L17</f>
        <v>31.9608333333333</v>
      </c>
      <c r="G43" s="64">
        <f>程卓!L19</f>
        <v>0</v>
      </c>
      <c r="H43" s="64">
        <f t="shared" si="1"/>
        <v>63.6775</v>
      </c>
      <c r="I43" s="67">
        <f>程卓!J21</f>
        <v>11.6525</v>
      </c>
    </row>
    <row r="44" spans="1:9">
      <c r="A44" s="65" t="s">
        <v>50</v>
      </c>
      <c r="B44" s="64">
        <f>郑文卓!K16</f>
        <v>0</v>
      </c>
      <c r="C44" s="64">
        <f>郑文卓!K17</f>
        <v>29.3427777777778</v>
      </c>
      <c r="D44" s="64">
        <f>郑文卓!K19</f>
        <v>0</v>
      </c>
      <c r="E44" s="64">
        <f>郑文卓!L16</f>
        <v>0</v>
      </c>
      <c r="F44" s="64">
        <f>郑文卓!L17</f>
        <v>39.1683333333333</v>
      </c>
      <c r="G44" s="64">
        <f>郑文卓!L19</f>
        <v>0</v>
      </c>
      <c r="H44" s="64">
        <f t="shared" si="1"/>
        <v>68.5111111111111</v>
      </c>
      <c r="I44" s="67">
        <f>郑文卓!J21</f>
        <v>12.4191666666667</v>
      </c>
    </row>
  </sheetData>
  <mergeCells count="5">
    <mergeCell ref="B3:D3"/>
    <mergeCell ref="E3:G3"/>
    <mergeCell ref="H3:H4"/>
    <mergeCell ref="I3:I4"/>
    <mergeCell ref="B1:G2"/>
  </mergeCells>
  <hyperlinks>
    <hyperlink ref="A5" location="'温若春'!A1" display="温若春"/>
    <hyperlink ref="A6" location="'明嘉'!A1" display="明嘉"/>
    <hyperlink ref="A7" location="'徐万友'!A1" display="徐万友"/>
    <hyperlink ref="A8" location="耿若岩!A1" display="耿若岩"/>
    <hyperlink ref="A9" location="'李明'!A1" display="李明"/>
    <hyperlink ref="A10" location="'张虎'!A1" display="张虎"/>
    <hyperlink ref="A11" location="'马莲花'!A1" display="马莲花"/>
    <hyperlink ref="A12" location="'刘国莲'!A1" display="刘国莲"/>
    <hyperlink ref="A13" location="'杜涛'!A1" display="杜涛"/>
    <hyperlink ref="A14" location="'张文中'!A1" display="张文中"/>
    <hyperlink ref="A15" location="'李秋实'!A1" display="李秋实"/>
    <hyperlink ref="A16" location="'周岸'!A1" display="周岸"/>
    <hyperlink ref="A17" location="'詹泽彬'!A1" display="詹泽彬"/>
    <hyperlink ref="A18" location="'张笑延'!A1" display="张笑延"/>
    <hyperlink ref="A19" location="'沈宁'!A1" display="沈宁"/>
    <hyperlink ref="A20" location="'胡鑫'!A1" display="胡鑫"/>
    <hyperlink ref="A21" location="'邓心豪'!A1" display="邓心豪"/>
    <hyperlink ref="A22" location="'黄恩'!A1" display="黄恩"/>
    <hyperlink ref="A23" location="'严亮'!A1" display="严亮"/>
    <hyperlink ref="A24" location="'边昊'!A1" display="边昊"/>
    <hyperlink ref="A25" location="'张宗根'!A1" display="张宗根"/>
    <hyperlink ref="A26" location="'宋天霖'!A1" display="宋天霖"/>
    <hyperlink ref="A27" location="'蔡昊霖'!A1" display="蔡昊霖"/>
    <hyperlink ref="A28" location="'叶大鹏'!A1" display="叶大鹏"/>
    <hyperlink ref="A29" location="'王建超'!A1" display="王建超"/>
    <hyperlink ref="A30" location="'潘伟生'!A1" display="潘伟生"/>
    <hyperlink ref="A31" location="'王风瑞'!A1" display="王风瑞"/>
    <hyperlink ref="A32" location="'金鼎'!A1" display="金鼎"/>
    <hyperlink ref="A33" location="'董志华'!A1" display="董志华"/>
    <hyperlink ref="A34" location="'姜文夫'!A1" display="姜文夫"/>
    <hyperlink ref="A35" location="'郭永杰'!A1" display="郭永杰"/>
    <hyperlink ref="A36" location="'朱永春'!A1" display="朱永春"/>
    <hyperlink ref="A37" location="'刘琦'!A1" display="刘琦"/>
    <hyperlink ref="A38" location="'吴疆'!A1" display="吴疆"/>
    <hyperlink ref="A39" location="'巴富毅'!A1" display="巴富毅"/>
    <hyperlink ref="A40" location="'陈宏伟'!A1" display="陈宏伟"/>
    <hyperlink ref="A41" location="'蒋露裕'!A1" display="蒋露裕"/>
    <hyperlink ref="A42" location="'蓝宇航'!A1" display="蓝宇航"/>
    <hyperlink ref="A43" location="'程卓'!A1" display="程卓"/>
    <hyperlink ref="A44" location="'郑文卓'!A1" display="郑文卓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P339"/>
  <sheetViews>
    <sheetView tabSelected="1" zoomScale="85" zoomScaleNormal="85" topLeftCell="A9" workbookViewId="0">
      <selection activeCell="D35" sqref="D35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46205.1322841435</v>
      </c>
      <c r="B3" s="6" t="s">
        <v>64</v>
      </c>
      <c r="C3" s="13">
        <v>0.132280092592593</v>
      </c>
      <c r="D3" s="13" t="s">
        <v>65</v>
      </c>
      <c r="E3" s="13">
        <v>0.303599537037037</v>
      </c>
      <c r="F3" s="14">
        <f t="shared" ref="F3:F66" si="1">(IF(E3-C3&lt;0,"24:00"-C3+E3,E3-C3))*24</f>
        <v>4.11166666666667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4.11166666666667</v>
      </c>
      <c r="I3" s="18" t="s">
        <v>66</v>
      </c>
      <c r="J3" s="19">
        <f>SUMIF(B:B,"带班主任",F:F)</f>
        <v>82.2527777777778</v>
      </c>
      <c r="K3" s="20">
        <f>SUMIF(B:B,"带班主任",G:G)</f>
        <v>46.0841666666667</v>
      </c>
      <c r="L3" s="20">
        <f>SUMIF(B:B,"带班主任",H:H)</f>
        <v>36.1686111111111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46205.9469545139</v>
      </c>
      <c r="B4" s="6" t="s">
        <v>64</v>
      </c>
      <c r="C4" s="13">
        <v>0.946944444444444</v>
      </c>
      <c r="D4" s="13" t="s">
        <v>65</v>
      </c>
      <c r="E4" s="13">
        <v>0.139363425925926</v>
      </c>
      <c r="F4" s="14">
        <f t="shared" si="1"/>
        <v>4.61805555555556</v>
      </c>
      <c r="G4" s="15">
        <f t="shared" si="2"/>
        <v>1.27333333333333</v>
      </c>
      <c r="H4" s="15">
        <f t="shared" si="3"/>
        <v>3.34472222222222</v>
      </c>
      <c r="I4" s="23" t="s">
        <v>67</v>
      </c>
      <c r="J4" s="24">
        <f>SUMIF(B:B,"西塔台管制席",F:F)+SUMIF(B:B,"东塔台管制席",F:F)</f>
        <v>8.89583333333334</v>
      </c>
      <c r="K4" s="25">
        <f>SUMIF(B:B,"西塔台管制席",G:G)+SUMIF(B:B,"东塔台管制席",G:G)</f>
        <v>8.89583333333334</v>
      </c>
      <c r="L4" s="25">
        <f>SUMIF(B:B,"西塔台管制席",H:H)+SUMIF(B:B,"东塔台管制席",H:H)</f>
        <v>0</v>
      </c>
      <c r="M4" s="21"/>
    </row>
    <row r="5" ht="18.75" spans="1:13">
      <c r="A5" s="12">
        <f ca="1" t="shared" si="0"/>
        <v>46208.5018452546</v>
      </c>
      <c r="B5" s="6" t="s">
        <v>68</v>
      </c>
      <c r="C5" s="13">
        <v>0.500497685185185</v>
      </c>
      <c r="D5" s="13" t="s">
        <v>65</v>
      </c>
      <c r="E5" s="13">
        <v>0.636203703703704</v>
      </c>
      <c r="F5" s="14">
        <f t="shared" si="1"/>
        <v>3.25694444444445</v>
      </c>
      <c r="G5" s="15">
        <f t="shared" si="2"/>
        <v>3.25694444444445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6.42222222222222</v>
      </c>
      <c r="K5" s="25">
        <f>SUMIF(B:B,"西塔台协调席",G:G)+SUMIF(B:B,"东塔台协调席",G:G)</f>
        <v>6.42222222222222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46208.751853125</v>
      </c>
      <c r="B6" s="6" t="s">
        <v>70</v>
      </c>
      <c r="C6" s="13">
        <v>0.751944444444444</v>
      </c>
      <c r="D6" s="13" t="s">
        <v>65</v>
      </c>
      <c r="E6" s="13">
        <v>0.883136574074074</v>
      </c>
      <c r="F6" s="14">
        <f t="shared" si="1"/>
        <v>3.14861111111111</v>
      </c>
      <c r="G6" s="15">
        <f t="shared" si="2"/>
        <v>3.14861111111111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46209.2930340278</v>
      </c>
      <c r="B7" s="6" t="s">
        <v>64</v>
      </c>
      <c r="C7" s="13">
        <v>0.293032407407407</v>
      </c>
      <c r="D7" s="13" t="s">
        <v>65</v>
      </c>
      <c r="E7" s="13">
        <v>0.339039351851852</v>
      </c>
      <c r="F7" s="14">
        <f t="shared" si="1"/>
        <v>1.10416666666667</v>
      </c>
      <c r="G7" s="15">
        <f t="shared" si="2"/>
        <v>0.136944444444452</v>
      </c>
      <c r="H7" s="15">
        <f t="shared" si="3"/>
        <v>0.967222222222214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46209.3461710648</v>
      </c>
      <c r="B8" s="6" t="s">
        <v>64</v>
      </c>
      <c r="C8" s="13">
        <v>0.346168981481481</v>
      </c>
      <c r="D8" s="13" t="s">
        <v>65</v>
      </c>
      <c r="E8" s="13">
        <v>0.516111111111111</v>
      </c>
      <c r="F8" s="14">
        <f t="shared" si="1"/>
        <v>4.07861111111111</v>
      </c>
      <c r="G8" s="15">
        <f t="shared" si="2"/>
        <v>4.07861111111111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46209.5269670139</v>
      </c>
      <c r="B9" s="6" t="s">
        <v>64</v>
      </c>
      <c r="C9" s="13">
        <v>0.526967592592593</v>
      </c>
      <c r="D9" s="13" t="s">
        <v>65</v>
      </c>
      <c r="E9" s="13">
        <v>0.535949074074074</v>
      </c>
      <c r="F9" s="14">
        <f t="shared" si="1"/>
        <v>0.215555555555556</v>
      </c>
      <c r="G9" s="15">
        <f t="shared" si="2"/>
        <v>0.215555555555556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46209.9392869213</v>
      </c>
      <c r="B10" s="6" t="s">
        <v>64</v>
      </c>
      <c r="C10" s="13">
        <v>0.939282407407407</v>
      </c>
      <c r="D10" s="13" t="s">
        <v>65</v>
      </c>
      <c r="E10" s="13">
        <v>0.139618055555556</v>
      </c>
      <c r="F10" s="14">
        <f t="shared" si="1"/>
        <v>4.80805555555555</v>
      </c>
      <c r="G10" s="15">
        <f t="shared" si="2"/>
        <v>1.45722222222222</v>
      </c>
      <c r="H10" s="15">
        <f t="shared" si="3"/>
        <v>3.35083333333333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46213.292205787</v>
      </c>
      <c r="B11" s="6" t="s">
        <v>64</v>
      </c>
      <c r="C11" s="13">
        <v>0.292199074074074</v>
      </c>
      <c r="D11" s="13" t="s">
        <v>65</v>
      </c>
      <c r="E11" s="13">
        <v>0.335034722222222</v>
      </c>
      <c r="F11" s="14">
        <f t="shared" si="1"/>
        <v>1.02805555555556</v>
      </c>
      <c r="G11" s="15">
        <f t="shared" si="2"/>
        <v>0.0408333333333424</v>
      </c>
      <c r="H11" s="15">
        <f t="shared" si="3"/>
        <v>0.987222222222214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46213.3427564815</v>
      </c>
      <c r="B12" s="6" t="s">
        <v>64</v>
      </c>
      <c r="C12" s="13">
        <v>0.34275462962963</v>
      </c>
      <c r="D12" s="13" t="s">
        <v>65</v>
      </c>
      <c r="E12" s="13">
        <v>0.463912037037037</v>
      </c>
      <c r="F12" s="14">
        <f t="shared" si="1"/>
        <v>2.90777777777778</v>
      </c>
      <c r="G12" s="15">
        <f t="shared" si="2"/>
        <v>2.90777777777778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46213.47298125</v>
      </c>
      <c r="B13" s="6" t="s">
        <v>64</v>
      </c>
      <c r="C13" s="13">
        <v>0.472974537037037</v>
      </c>
      <c r="D13" s="13" t="s">
        <v>65</v>
      </c>
      <c r="E13" s="13">
        <v>0.542523148148148</v>
      </c>
      <c r="F13" s="14">
        <f t="shared" si="1"/>
        <v>1.66916666666667</v>
      </c>
      <c r="G13" s="15">
        <f t="shared" si="2"/>
        <v>1.66916666666667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46213.9387513889</v>
      </c>
      <c r="B14" s="6" t="s">
        <v>64</v>
      </c>
      <c r="C14" s="13">
        <v>0.93875</v>
      </c>
      <c r="D14" s="13" t="s">
        <v>65</v>
      </c>
      <c r="E14" s="13">
        <v>0.139386574074074</v>
      </c>
      <c r="F14" s="14">
        <f t="shared" si="1"/>
        <v>4.81527777777778</v>
      </c>
      <c r="G14" s="15">
        <f t="shared" si="2"/>
        <v>1.47</v>
      </c>
      <c r="H14" s="15">
        <f t="shared" si="3"/>
        <v>3.34527777777778</v>
      </c>
      <c r="I14" s="33"/>
      <c r="J14" s="33"/>
      <c r="K14" s="33"/>
      <c r="L14" s="33"/>
      <c r="M14" s="33"/>
    </row>
    <row r="15" ht="101.25" spans="1:13">
      <c r="A15" s="12">
        <f ca="1" t="shared" si="0"/>
        <v>46216.5248899306</v>
      </c>
      <c r="B15" s="6" t="s">
        <v>64</v>
      </c>
      <c r="C15" s="13">
        <v>0.524884259259259</v>
      </c>
      <c r="D15" s="13" t="s">
        <v>65</v>
      </c>
      <c r="E15" s="13">
        <v>0.655011574074074</v>
      </c>
      <c r="F15" s="14">
        <f t="shared" si="1"/>
        <v>3.12305555555556</v>
      </c>
      <c r="G15" s="15">
        <f t="shared" si="2"/>
        <v>3.12305555555556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46216.7725868056</v>
      </c>
      <c r="B16" s="6" t="s">
        <v>64</v>
      </c>
      <c r="C16" s="13">
        <v>0.772581018518518</v>
      </c>
      <c r="D16" s="13" t="s">
        <v>65</v>
      </c>
      <c r="E16" s="13">
        <v>0.945810185185185</v>
      </c>
      <c r="F16" s="14">
        <f t="shared" si="1"/>
        <v>4.1575</v>
      </c>
      <c r="G16" s="15">
        <f t="shared" si="2"/>
        <v>4.1575</v>
      </c>
      <c r="H16" s="15">
        <f t="shared" si="3"/>
        <v>0</v>
      </c>
      <c r="I16" s="39" t="s">
        <v>66</v>
      </c>
      <c r="J16" s="40">
        <f t="shared" ref="J16:L16" si="4">J3</f>
        <v>82.2527777777778</v>
      </c>
      <c r="K16" s="41">
        <f t="shared" si="4"/>
        <v>46.0841666666667</v>
      </c>
      <c r="L16" s="42">
        <f t="shared" si="4"/>
        <v>36.1686111111111</v>
      </c>
      <c r="M16" s="43"/>
    </row>
    <row r="17" ht="20.25" spans="1:13">
      <c r="A17" s="12">
        <f ca="1" t="shared" si="0"/>
        <v>46217.2934868056</v>
      </c>
      <c r="B17" s="6" t="s">
        <v>64</v>
      </c>
      <c r="C17" s="13">
        <v>0.293483796296296</v>
      </c>
      <c r="D17" s="13" t="s">
        <v>65</v>
      </c>
      <c r="E17" s="13">
        <v>0.354849537037037</v>
      </c>
      <c r="F17" s="14">
        <f t="shared" si="1"/>
        <v>1.47277777777778</v>
      </c>
      <c r="G17" s="15">
        <f t="shared" si="2"/>
        <v>0.516388888888897</v>
      </c>
      <c r="H17" s="15">
        <f t="shared" si="3"/>
        <v>0.956388888888881</v>
      </c>
      <c r="I17" s="39" t="s">
        <v>80</v>
      </c>
      <c r="J17" s="40">
        <f>J4+J5+J6+J7+J10</f>
        <v>15.3180555555556</v>
      </c>
      <c r="K17" s="41">
        <f>K4+K5+K6+K7+K10</f>
        <v>15.3180555555556</v>
      </c>
      <c r="L17" s="42">
        <f>L4+L5+L6+L7+L10</f>
        <v>0</v>
      </c>
      <c r="M17" s="43"/>
    </row>
    <row r="18" ht="20.25" spans="1:13">
      <c r="A18" s="12">
        <f ca="1" t="shared" si="0"/>
        <v>46217.360309375</v>
      </c>
      <c r="B18" s="6" t="s">
        <v>64</v>
      </c>
      <c r="C18" s="13">
        <v>0.360300925925926</v>
      </c>
      <c r="D18" s="13" t="s">
        <v>65</v>
      </c>
      <c r="E18" s="13">
        <v>0.4946875</v>
      </c>
      <c r="F18" s="14">
        <f t="shared" si="1"/>
        <v>3.22527777777778</v>
      </c>
      <c r="G18" s="15">
        <f t="shared" si="2"/>
        <v>3.22527777777778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46217.5066175926</v>
      </c>
      <c r="B19" s="6" t="s">
        <v>64</v>
      </c>
      <c r="C19" s="13">
        <v>0.506608796296296</v>
      </c>
      <c r="D19" s="13" t="s">
        <v>65</v>
      </c>
      <c r="E19" s="13">
        <v>0.529618055555556</v>
      </c>
      <c r="F19" s="14">
        <f t="shared" si="1"/>
        <v>0.552222222222222</v>
      </c>
      <c r="G19" s="15">
        <f t="shared" si="2"/>
        <v>0.552222222222222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46217.6477012731</v>
      </c>
      <c r="B20" s="6" t="s">
        <v>64</v>
      </c>
      <c r="C20" s="13">
        <v>0.647696759259259</v>
      </c>
      <c r="D20" s="13" t="s">
        <v>65</v>
      </c>
      <c r="E20" s="13">
        <v>0.788136574074074</v>
      </c>
      <c r="F20" s="14">
        <f t="shared" si="1"/>
        <v>3.37055555555556</v>
      </c>
      <c r="G20" s="15">
        <f t="shared" si="2"/>
        <v>3.37055555555556</v>
      </c>
      <c r="H20" s="15">
        <f t="shared" si="3"/>
        <v>0</v>
      </c>
      <c r="I20" s="44" t="s">
        <v>82</v>
      </c>
      <c r="J20" s="45">
        <f>J16+J17+J18+J19</f>
        <v>97.5708333333333</v>
      </c>
      <c r="K20" s="46"/>
      <c r="L20" s="47"/>
      <c r="M20" s="48"/>
    </row>
    <row r="21" ht="20.25" spans="1:13">
      <c r="A21" s="12">
        <f ca="1" t="shared" si="0"/>
        <v>46220.9383064815</v>
      </c>
      <c r="B21" s="6" t="s">
        <v>64</v>
      </c>
      <c r="C21" s="13">
        <v>0.938298611111111</v>
      </c>
      <c r="D21" s="13" t="s">
        <v>65</v>
      </c>
      <c r="E21" s="13">
        <v>0.141967592592593</v>
      </c>
      <c r="F21" s="14">
        <f t="shared" si="1"/>
        <v>4.88805555555555</v>
      </c>
      <c r="G21" s="15">
        <f t="shared" si="2"/>
        <v>1.48083333333333</v>
      </c>
      <c r="H21" s="15">
        <f t="shared" si="3"/>
        <v>3.40722222222222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46222.1346271991</v>
      </c>
      <c r="B22" s="6" t="s">
        <v>64</v>
      </c>
      <c r="C22" s="13">
        <v>0.134618055555556</v>
      </c>
      <c r="D22" s="13" t="s">
        <v>65</v>
      </c>
      <c r="E22" s="13">
        <v>0.305092592592593</v>
      </c>
      <c r="F22" s="14">
        <f t="shared" si="1"/>
        <v>4.09138888888889</v>
      </c>
      <c r="G22" s="15">
        <f t="shared" si="2"/>
        <v>0</v>
      </c>
      <c r="H22" s="15">
        <f t="shared" si="3"/>
        <v>4.09138888888889</v>
      </c>
      <c r="I22"/>
      <c r="J22"/>
    </row>
    <row r="23" ht="18.75" spans="1:10">
      <c r="A23" s="12">
        <f ca="1" t="shared" si="0"/>
        <v>46225.1317996528</v>
      </c>
      <c r="B23" s="6" t="s">
        <v>64</v>
      </c>
      <c r="C23" s="13">
        <v>0.131793981481481</v>
      </c>
      <c r="D23" s="13" t="s">
        <v>65</v>
      </c>
      <c r="E23" s="13">
        <v>0.298101851851852</v>
      </c>
      <c r="F23" s="14">
        <f t="shared" si="1"/>
        <v>3.99138888888889</v>
      </c>
      <c r="G23" s="15">
        <f t="shared" si="2"/>
        <v>0</v>
      </c>
      <c r="H23" s="15">
        <f t="shared" si="3"/>
        <v>3.99138888888889</v>
      </c>
      <c r="I23"/>
      <c r="J23"/>
    </row>
    <row r="24" ht="18.75" spans="1:10">
      <c r="A24" s="12">
        <f ca="1" t="shared" si="0"/>
        <v>46225.93831875</v>
      </c>
      <c r="B24" s="6" t="s">
        <v>64</v>
      </c>
      <c r="C24" s="13">
        <v>0.938310185185185</v>
      </c>
      <c r="D24" s="13" t="s">
        <v>65</v>
      </c>
      <c r="E24" s="13">
        <v>0.138993055555556</v>
      </c>
      <c r="F24" s="14">
        <f t="shared" si="1"/>
        <v>4.81638888888889</v>
      </c>
      <c r="G24" s="15">
        <f t="shared" si="2"/>
        <v>1.48055555555555</v>
      </c>
      <c r="H24" s="15">
        <f t="shared" si="3"/>
        <v>3.33583333333333</v>
      </c>
      <c r="I24"/>
      <c r="J24"/>
    </row>
    <row r="25" ht="18.75" spans="1:10">
      <c r="A25" s="12">
        <f ca="1" t="shared" si="0"/>
        <v>46228.352875463</v>
      </c>
      <c r="B25" s="6" t="s">
        <v>70</v>
      </c>
      <c r="C25" s="13">
        <v>0.352974537037037</v>
      </c>
      <c r="D25" s="13" t="s">
        <v>65</v>
      </c>
      <c r="E25" s="13">
        <v>0.508865740740741</v>
      </c>
      <c r="F25" s="14">
        <f t="shared" si="1"/>
        <v>3.74138888888889</v>
      </c>
      <c r="G25" s="15">
        <f t="shared" si="2"/>
        <v>3.74138888888889</v>
      </c>
      <c r="H25" s="15">
        <f t="shared" si="3"/>
        <v>0</v>
      </c>
      <c r="I25"/>
      <c r="J25"/>
    </row>
    <row r="26" ht="18.75" spans="1:10">
      <c r="A26" s="12">
        <f ca="1" t="shared" si="0"/>
        <v>46228.6251614583</v>
      </c>
      <c r="B26" s="6" t="s">
        <v>83</v>
      </c>
      <c r="C26" s="13">
        <v>0.625162037037037</v>
      </c>
      <c r="D26" s="13" t="s">
        <v>65</v>
      </c>
      <c r="E26" s="13">
        <v>0.757048611111111</v>
      </c>
      <c r="F26" s="14">
        <f t="shared" si="1"/>
        <v>3.16527777777778</v>
      </c>
      <c r="G26" s="15">
        <f t="shared" si="2"/>
        <v>3.16527777777778</v>
      </c>
      <c r="H26" s="15">
        <f t="shared" si="3"/>
        <v>0</v>
      </c>
      <c r="I26"/>
      <c r="J26"/>
    </row>
    <row r="27" ht="18.75" spans="1:10">
      <c r="A27" s="12">
        <f ca="1" t="shared" si="0"/>
        <v>46228.714765625</v>
      </c>
      <c r="B27" s="6" t="s">
        <v>70</v>
      </c>
      <c r="C27" s="13">
        <v>0.875173611111111</v>
      </c>
      <c r="D27" s="13" t="s">
        <v>65</v>
      </c>
      <c r="E27" s="13">
        <v>0.95875</v>
      </c>
      <c r="F27" s="14">
        <f t="shared" si="1"/>
        <v>2.00583333333334</v>
      </c>
      <c r="G27" s="15">
        <f t="shared" si="2"/>
        <v>2.00583333333334</v>
      </c>
      <c r="H27" s="15">
        <f t="shared" si="3"/>
        <v>0</v>
      </c>
      <c r="I27"/>
      <c r="J27"/>
    </row>
    <row r="28" ht="18.75" spans="1:10">
      <c r="A28" s="12">
        <f ca="1" t="shared" si="0"/>
        <v>46232.355134838</v>
      </c>
      <c r="B28" s="6" t="s">
        <v>64</v>
      </c>
      <c r="C28" s="13">
        <v>0.355127314814815</v>
      </c>
      <c r="D28" s="13" t="s">
        <v>65</v>
      </c>
      <c r="E28" s="13">
        <v>0.534050925925926</v>
      </c>
      <c r="F28" s="14">
        <f t="shared" si="1"/>
        <v>4.29416666666667</v>
      </c>
      <c r="G28" s="15">
        <f t="shared" si="2"/>
        <v>4.29416666666667</v>
      </c>
      <c r="H28" s="15">
        <f t="shared" si="3"/>
        <v>0</v>
      </c>
      <c r="I28"/>
      <c r="J28"/>
    </row>
    <row r="29" ht="18.75" spans="1:10">
      <c r="A29" s="12">
        <v>46233</v>
      </c>
      <c r="B29" s="6" t="s">
        <v>64</v>
      </c>
      <c r="C29" s="13">
        <v>0.772372685185185</v>
      </c>
      <c r="D29" s="13" t="s">
        <v>65</v>
      </c>
      <c r="E29" s="13">
        <v>0.94494212962963</v>
      </c>
      <c r="F29" s="14">
        <f t="shared" si="1"/>
        <v>4.14166666666666</v>
      </c>
      <c r="G29" s="15">
        <f t="shared" si="2"/>
        <v>4.14166666666666</v>
      </c>
      <c r="H29" s="15">
        <f t="shared" si="3"/>
        <v>0</v>
      </c>
      <c r="I29"/>
      <c r="J29"/>
    </row>
    <row r="30" ht="18.75" spans="1:10">
      <c r="A30" s="12">
        <v>46233</v>
      </c>
      <c r="B30" s="6" t="s">
        <v>64</v>
      </c>
      <c r="C30" s="13">
        <v>0.294409722222222</v>
      </c>
      <c r="D30" s="13" t="s">
        <v>65</v>
      </c>
      <c r="E30" s="13">
        <v>0.541747685185185</v>
      </c>
      <c r="F30" s="14">
        <f t="shared" si="1"/>
        <v>5.93611111111111</v>
      </c>
      <c r="G30" s="15">
        <f t="shared" si="2"/>
        <v>5.00194444444445</v>
      </c>
      <c r="H30" s="15">
        <f t="shared" si="3"/>
        <v>0.934166666666658</v>
      </c>
      <c r="I30"/>
      <c r="J30"/>
    </row>
    <row r="31" ht="18.75" spans="1:10">
      <c r="A31" s="12">
        <v>46233</v>
      </c>
      <c r="B31" s="6" t="s">
        <v>64</v>
      </c>
      <c r="C31" s="13">
        <v>0.937893518518519</v>
      </c>
      <c r="D31" s="13" t="s">
        <v>65</v>
      </c>
      <c r="E31" s="13">
        <v>0.139386574074074</v>
      </c>
      <c r="F31" s="14">
        <f t="shared" si="1"/>
        <v>4.83583333333333</v>
      </c>
      <c r="G31" s="15">
        <f t="shared" si="2"/>
        <v>1.49055555555555</v>
      </c>
      <c r="H31" s="15">
        <f t="shared" si="3"/>
        <v>3.34527777777778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5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si="16"/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ref="F196:F205" si="18">(IF(E196-C196&lt;0,"24:00"-C196+E196,E196-C196))*24</f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5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ref="F260:F323" si="21">IF(E260-C260&lt;0,"24:00"-C260+E260,E260-C260)</f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21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21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21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21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21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21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21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21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21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si="21"/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ref="F324:F339" si="23">IF(E324-C324&lt;0,"24:00"-C324+E324,E324-C324)</f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3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3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3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3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3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3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3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3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3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si="23"/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339"/>
  <sheetViews>
    <sheetView zoomScale="85" zoomScaleNormal="85" topLeftCell="A4" workbookViewId="0">
      <selection activeCell="D27" sqref="D27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46204.3581104167</v>
      </c>
      <c r="B3" s="6" t="s">
        <v>84</v>
      </c>
      <c r="C3" s="13">
        <v>0.358101851851852</v>
      </c>
      <c r="D3" s="13" t="s">
        <v>65</v>
      </c>
      <c r="E3" s="13">
        <v>0.514270833333333</v>
      </c>
      <c r="F3" s="14">
        <f t="shared" ref="F3:F66" si="1">(IF(E3-C3&lt;0,"24:00"-C3+E3,E3-C3))*24</f>
        <v>3.74805555555555</v>
      </c>
      <c r="G3" s="15">
        <f t="shared" ref="G3:G66" si="2">F3-H3</f>
        <v>3.74805555555555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46204.6262814815</v>
      </c>
      <c r="B4" s="6" t="s">
        <v>68</v>
      </c>
      <c r="C4" s="13">
        <v>0.626273148148148</v>
      </c>
      <c r="D4" s="13" t="s">
        <v>65</v>
      </c>
      <c r="E4" s="13">
        <v>0.762152777777778</v>
      </c>
      <c r="F4" s="14">
        <f t="shared" si="1"/>
        <v>3.26111111111111</v>
      </c>
      <c r="G4" s="15">
        <f t="shared" si="2"/>
        <v>3.26111111111111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29.8122222222222</v>
      </c>
      <c r="K4" s="25">
        <f>SUMIF(B:B,"西塔台管制席",G:G)+SUMIF(B:B,"东塔台管制席",G:G)</f>
        <v>19.035</v>
      </c>
      <c r="L4" s="25">
        <f>SUMIF(B:B,"西塔台管制席",H:H)+SUMIF(B:B,"东塔台管制席",H:H)</f>
        <v>10.7772222222222</v>
      </c>
      <c r="M4" s="21"/>
    </row>
    <row r="5" ht="18.75" spans="1:13">
      <c r="A5" s="12">
        <f ca="1" t="shared" si="0"/>
        <v>46204.8770439815</v>
      </c>
      <c r="B5" s="6" t="s">
        <v>84</v>
      </c>
      <c r="C5" s="13">
        <v>0.877037037037037</v>
      </c>
      <c r="D5" s="13" t="s">
        <v>65</v>
      </c>
      <c r="E5" s="13">
        <v>0.955266203703704</v>
      </c>
      <c r="F5" s="14">
        <f t="shared" si="1"/>
        <v>1.8775</v>
      </c>
      <c r="G5" s="15">
        <f t="shared" si="2"/>
        <v>1.8775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26.1683333333333</v>
      </c>
      <c r="K5" s="25">
        <f>SUMIF(B:B,"西塔台协调席",G:G)+SUMIF(B:B,"东塔台协调席",G:G)</f>
        <v>15.5177777777778</v>
      </c>
      <c r="L5" s="25">
        <f>SUMIF(B:B,"西塔台协调席",H:H)+SUMIF(B:B,"东塔台协调席",H:H)</f>
        <v>10.6505555555555</v>
      </c>
      <c r="M5" s="21"/>
    </row>
    <row r="6" ht="18.75" spans="1:13">
      <c r="A6" s="12">
        <f ca="1" t="shared" si="0"/>
        <v>46205.298952662</v>
      </c>
      <c r="B6" s="6" t="s">
        <v>68</v>
      </c>
      <c r="C6" s="13">
        <v>0.298946759259259</v>
      </c>
      <c r="D6" s="13" t="s">
        <v>65</v>
      </c>
      <c r="E6" s="13">
        <v>0.463935185185185</v>
      </c>
      <c r="F6" s="14">
        <f t="shared" si="1"/>
        <v>3.95972222222222</v>
      </c>
      <c r="G6" s="15">
        <f t="shared" si="2"/>
        <v>3.13444444444445</v>
      </c>
      <c r="H6" s="15">
        <f t="shared" si="3"/>
        <v>0.82527777777777</v>
      </c>
      <c r="I6" s="23" t="s">
        <v>71</v>
      </c>
      <c r="J6" s="24">
        <f>SUMIF(B:B,"放行席",F:F)</f>
        <v>2.14916666666667</v>
      </c>
      <c r="K6" s="25">
        <f>SUMIF(B:B,"放行席",G:G)</f>
        <v>0</v>
      </c>
      <c r="L6" s="25">
        <f>SUMIF(B:B,"放行席",H:H)</f>
        <v>2.14916666666667</v>
      </c>
      <c r="M6" s="21"/>
    </row>
    <row r="7" ht="18.75" spans="1:13">
      <c r="A7" s="12">
        <f ca="1" t="shared" si="0"/>
        <v>46205.5437542824</v>
      </c>
      <c r="B7" s="6" t="s">
        <v>84</v>
      </c>
      <c r="C7" s="13">
        <v>0.54375</v>
      </c>
      <c r="D7" s="13" t="s">
        <v>65</v>
      </c>
      <c r="E7" s="13">
        <v>0.632326388888889</v>
      </c>
      <c r="F7" s="14">
        <f t="shared" si="1"/>
        <v>2.12583333333333</v>
      </c>
      <c r="G7" s="15">
        <f t="shared" si="2"/>
        <v>2.12583333333333</v>
      </c>
      <c r="H7" s="15">
        <f t="shared" si="3"/>
        <v>0</v>
      </c>
      <c r="I7" s="23" t="s">
        <v>72</v>
      </c>
      <c r="J7" s="24">
        <f>SUMIF(B:B,"地面席",F:F)</f>
        <v>2.19527777777778</v>
      </c>
      <c r="K7" s="25">
        <f>SUMIF(B:B,"地面席",G:G)</f>
        <v>0</v>
      </c>
      <c r="L7" s="25">
        <f>SUMIF(B:B,"地面席",H:H)</f>
        <v>2.19527777777778</v>
      </c>
      <c r="M7" s="21"/>
    </row>
    <row r="8" ht="18.75" spans="1:13">
      <c r="A8" s="12">
        <f ca="1" t="shared" si="0"/>
        <v>46208.9556978009</v>
      </c>
      <c r="B8" s="6" t="s">
        <v>83</v>
      </c>
      <c r="C8" s="13">
        <v>0.955694444444445</v>
      </c>
      <c r="D8" s="13" t="s">
        <v>65</v>
      </c>
      <c r="E8" s="13">
        <v>0.0957291666666667</v>
      </c>
      <c r="F8" s="14">
        <f t="shared" si="1"/>
        <v>3.36083333333333</v>
      </c>
      <c r="G8" s="15">
        <f t="shared" si="2"/>
        <v>1.06333333333333</v>
      </c>
      <c r="H8" s="15">
        <f t="shared" si="3"/>
        <v>2.2975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46209.0958386574</v>
      </c>
      <c r="B9" s="6" t="s">
        <v>68</v>
      </c>
      <c r="C9" s="13">
        <v>0.0958333333333333</v>
      </c>
      <c r="D9" s="13" t="s">
        <v>65</v>
      </c>
      <c r="E9" s="13">
        <v>0.143703703703704</v>
      </c>
      <c r="F9" s="14">
        <f t="shared" si="1"/>
        <v>1.14888888888889</v>
      </c>
      <c r="G9" s="15">
        <f t="shared" si="2"/>
        <v>0</v>
      </c>
      <c r="H9" s="15">
        <f t="shared" si="3"/>
        <v>1.14888888888889</v>
      </c>
      <c r="I9" s="23" t="s">
        <v>74</v>
      </c>
      <c r="J9" s="24">
        <f>SUMIF(B:B,"航班调度席",F:F)</f>
        <v>6.41666666666667</v>
      </c>
      <c r="K9" s="25">
        <f>SUMIF(B:B,"航班调度席",G:G)</f>
        <v>6.41666666666667</v>
      </c>
      <c r="L9" s="25">
        <f>SUMIF(B:B,"航班调度席",H:H)</f>
        <v>0</v>
      </c>
      <c r="M9" s="21"/>
    </row>
    <row r="10" ht="18.75" spans="1:13">
      <c r="A10" s="12">
        <f ca="1" t="shared" si="0"/>
        <v>46210.0137577546</v>
      </c>
      <c r="B10" s="6" t="s">
        <v>68</v>
      </c>
      <c r="C10" s="13">
        <v>0.01375</v>
      </c>
      <c r="D10" s="13" t="s">
        <v>65</v>
      </c>
      <c r="E10" s="13">
        <v>0.145231481481481</v>
      </c>
      <c r="F10" s="14">
        <f t="shared" si="1"/>
        <v>3.15555555555556</v>
      </c>
      <c r="G10" s="15">
        <f t="shared" si="2"/>
        <v>0</v>
      </c>
      <c r="H10" s="15">
        <f t="shared" si="3"/>
        <v>3.15555555555556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46213.1324175926</v>
      </c>
      <c r="B11" s="6" t="s">
        <v>85</v>
      </c>
      <c r="C11" s="13">
        <v>0.132407407407407</v>
      </c>
      <c r="D11" s="13" t="s">
        <v>65</v>
      </c>
      <c r="E11" s="13">
        <v>0.221956018518519</v>
      </c>
      <c r="F11" s="14">
        <f t="shared" si="1"/>
        <v>2.14916666666667</v>
      </c>
      <c r="G11" s="15">
        <f t="shared" si="2"/>
        <v>0</v>
      </c>
      <c r="H11" s="15">
        <f t="shared" si="3"/>
        <v>2.14916666666667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46214.1398626157</v>
      </c>
      <c r="B12" s="6" t="s">
        <v>70</v>
      </c>
      <c r="C12" s="13">
        <v>0.139861111111111</v>
      </c>
      <c r="D12" s="13" t="s">
        <v>65</v>
      </c>
      <c r="E12" s="13">
        <v>0.25994212962963</v>
      </c>
      <c r="F12" s="14">
        <f t="shared" si="1"/>
        <v>2.88194444444444</v>
      </c>
      <c r="G12" s="15">
        <f t="shared" si="2"/>
        <v>0</v>
      </c>
      <c r="H12" s="15">
        <f t="shared" si="3"/>
        <v>2.88194444444444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46214.2600480324</v>
      </c>
      <c r="B13" s="6" t="s">
        <v>68</v>
      </c>
      <c r="C13" s="13">
        <v>0.260046296296296</v>
      </c>
      <c r="D13" s="13" t="s">
        <v>65</v>
      </c>
      <c r="E13" s="13">
        <v>0.303553240740741</v>
      </c>
      <c r="F13" s="14">
        <f t="shared" si="1"/>
        <v>1.04416666666667</v>
      </c>
      <c r="G13" s="15">
        <f t="shared" si="2"/>
        <v>0</v>
      </c>
      <c r="H13" s="15">
        <f t="shared" si="3"/>
        <v>1.04416666666667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46216.5043053241</v>
      </c>
      <c r="B14" s="6" t="s">
        <v>84</v>
      </c>
      <c r="C14" s="13">
        <v>0.504305555555556</v>
      </c>
      <c r="D14" s="13" t="s">
        <v>65</v>
      </c>
      <c r="E14" s="13">
        <v>0.556134259259259</v>
      </c>
      <c r="F14" s="14">
        <f t="shared" si="1"/>
        <v>1.24388888888889</v>
      </c>
      <c r="G14" s="15">
        <f t="shared" si="2"/>
        <v>1.24388888888889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46216.5681802083</v>
      </c>
      <c r="B15" s="6" t="s">
        <v>84</v>
      </c>
      <c r="C15" s="13">
        <v>0.568171296296296</v>
      </c>
      <c r="D15" s="13" t="s">
        <v>65</v>
      </c>
      <c r="E15" s="13">
        <v>0.631215277777778</v>
      </c>
      <c r="F15" s="14">
        <f t="shared" si="1"/>
        <v>1.51305555555556</v>
      </c>
      <c r="G15" s="15">
        <f t="shared" si="2"/>
        <v>1.51305555555556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46216.7526524306</v>
      </c>
      <c r="B16" s="6" t="s">
        <v>68</v>
      </c>
      <c r="C16" s="13">
        <v>0.752650462962963</v>
      </c>
      <c r="D16" s="13" t="s">
        <v>65</v>
      </c>
      <c r="E16" s="13">
        <v>0.88005787037037</v>
      </c>
      <c r="F16" s="14">
        <f t="shared" si="1"/>
        <v>3.05777777777778</v>
      </c>
      <c r="G16" s="15">
        <f t="shared" si="2"/>
        <v>3.05777777777778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46217.2989327546</v>
      </c>
      <c r="B17" s="6" t="s">
        <v>70</v>
      </c>
      <c r="C17" s="13">
        <v>0.298923611111111</v>
      </c>
      <c r="D17" s="13" t="s">
        <v>65</v>
      </c>
      <c r="E17" s="13">
        <v>0.467777777777778</v>
      </c>
      <c r="F17" s="14">
        <f t="shared" si="1"/>
        <v>4.0525</v>
      </c>
      <c r="G17" s="15">
        <f t="shared" si="2"/>
        <v>3.22666666666667</v>
      </c>
      <c r="H17" s="15">
        <f t="shared" si="3"/>
        <v>0.825833333333325</v>
      </c>
      <c r="I17" s="39" t="s">
        <v>80</v>
      </c>
      <c r="J17" s="40">
        <f>J4+J5+J6+J7+J10</f>
        <v>60.325</v>
      </c>
      <c r="K17" s="41">
        <f>K4+K5+K6+K7+K10</f>
        <v>34.5527777777778</v>
      </c>
      <c r="L17" s="42">
        <f>L4+L5+L6+L7+L10</f>
        <v>25.7722222222222</v>
      </c>
      <c r="M17" s="43"/>
    </row>
    <row r="18" ht="20.25" spans="1:13">
      <c r="A18" s="12">
        <f ca="1" t="shared" si="0"/>
        <v>46217.5421119213</v>
      </c>
      <c r="B18" s="6" t="s">
        <v>70</v>
      </c>
      <c r="C18" s="13">
        <v>0.542106481481481</v>
      </c>
      <c r="D18" s="13" t="s">
        <v>65</v>
      </c>
      <c r="E18" s="13">
        <v>0.631655092592593</v>
      </c>
      <c r="F18" s="14">
        <f t="shared" si="1"/>
        <v>2.14916666666667</v>
      </c>
      <c r="G18" s="15">
        <f t="shared" si="2"/>
        <v>2.14916666666667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46221.0134527778</v>
      </c>
      <c r="B19" s="6" t="s">
        <v>70</v>
      </c>
      <c r="C19" s="13">
        <v>0.0134490740740741</v>
      </c>
      <c r="D19" s="13" t="s">
        <v>65</v>
      </c>
      <c r="E19" s="13">
        <v>0.144166666666667</v>
      </c>
      <c r="F19" s="14">
        <f t="shared" si="1"/>
        <v>3.13722222222222</v>
      </c>
      <c r="G19" s="15">
        <f t="shared" si="2"/>
        <v>0</v>
      </c>
      <c r="H19" s="15">
        <f t="shared" si="3"/>
        <v>3.13722222222222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46225.1394247685</v>
      </c>
      <c r="B20" s="6" t="s">
        <v>84</v>
      </c>
      <c r="C20" s="13">
        <v>0.139421296296296</v>
      </c>
      <c r="D20" s="13" t="s">
        <v>65</v>
      </c>
      <c r="E20" s="13">
        <v>0.303263888888889</v>
      </c>
      <c r="F20" s="14">
        <f t="shared" si="1"/>
        <v>3.93222222222222</v>
      </c>
      <c r="G20" s="15">
        <f t="shared" si="2"/>
        <v>0</v>
      </c>
      <c r="H20" s="15">
        <f t="shared" si="3"/>
        <v>3.93222222222222</v>
      </c>
      <c r="I20" s="44" t="s">
        <v>82</v>
      </c>
      <c r="J20" s="45">
        <f>J16+J17+J18+J19</f>
        <v>60.325</v>
      </c>
      <c r="K20" s="46"/>
      <c r="L20" s="47"/>
      <c r="M20" s="48"/>
    </row>
    <row r="21" ht="20.25" spans="1:13">
      <c r="A21" s="12">
        <f ca="1" t="shared" si="0"/>
        <v>46226.1390049769</v>
      </c>
      <c r="B21" s="6" t="s">
        <v>86</v>
      </c>
      <c r="C21" s="13">
        <v>0.13900462962963</v>
      </c>
      <c r="D21" s="13" t="s">
        <v>65</v>
      </c>
      <c r="E21" s="13">
        <v>0.230474537037037</v>
      </c>
      <c r="F21" s="14">
        <f t="shared" si="1"/>
        <v>2.19527777777778</v>
      </c>
      <c r="G21" s="15">
        <f t="shared" si="2"/>
        <v>0</v>
      </c>
      <c r="H21" s="15">
        <f t="shared" si="3"/>
        <v>2.19527777777778</v>
      </c>
      <c r="I21" s="49" t="s">
        <v>5</v>
      </c>
      <c r="J21" s="50">
        <f>SUM(J8:J9)</f>
        <v>6.41666666666667</v>
      </c>
      <c r="K21" s="41">
        <f>SUM(K8:K9)</f>
        <v>6.41666666666667</v>
      </c>
      <c r="L21" s="42">
        <f>SUM(L8:L9)</f>
        <v>0</v>
      </c>
      <c r="M21" s="51"/>
    </row>
    <row r="22" ht="18.75" spans="1:10">
      <c r="A22" s="12">
        <f ca="1" t="shared" si="0"/>
        <v>46228.3781709491</v>
      </c>
      <c r="B22" s="6" t="s">
        <v>87</v>
      </c>
      <c r="C22" s="13">
        <v>0.378171296296296</v>
      </c>
      <c r="D22" s="13" t="s">
        <v>65</v>
      </c>
      <c r="E22" s="13">
        <v>0.531759259259259</v>
      </c>
      <c r="F22" s="14">
        <f t="shared" si="1"/>
        <v>3.68611111111111</v>
      </c>
      <c r="G22" s="15">
        <f t="shared" si="2"/>
        <v>3.68611111111111</v>
      </c>
      <c r="H22" s="15">
        <f t="shared" si="3"/>
        <v>0</v>
      </c>
      <c r="I22"/>
      <c r="J22"/>
    </row>
    <row r="23" ht="18.75" spans="1:10">
      <c r="A23" s="12">
        <f ca="1" t="shared" si="0"/>
        <v>46228.6155122685</v>
      </c>
      <c r="B23" s="6" t="s">
        <v>87</v>
      </c>
      <c r="C23" s="13">
        <v>0.615509259259259</v>
      </c>
      <c r="D23" s="13" t="s">
        <v>65</v>
      </c>
      <c r="E23" s="13">
        <v>0.729282407407407</v>
      </c>
      <c r="F23" s="14">
        <f t="shared" si="1"/>
        <v>2.73055555555555</v>
      </c>
      <c r="G23" s="15">
        <f t="shared" si="2"/>
        <v>2.73055555555555</v>
      </c>
      <c r="H23" s="15">
        <f t="shared" si="3"/>
        <v>0</v>
      </c>
      <c r="I23"/>
      <c r="J23"/>
    </row>
    <row r="24" ht="18.75" spans="1:10">
      <c r="A24" s="12">
        <f ca="1" t="shared" si="0"/>
        <v>46229.0147599537</v>
      </c>
      <c r="B24" s="6" t="s">
        <v>68</v>
      </c>
      <c r="C24" s="13">
        <v>0.0147569444444444</v>
      </c>
      <c r="D24" s="13" t="s">
        <v>65</v>
      </c>
      <c r="E24" s="13">
        <v>0.105555555555556</v>
      </c>
      <c r="F24" s="14">
        <f t="shared" si="1"/>
        <v>2.17916666666667</v>
      </c>
      <c r="G24" s="15">
        <f t="shared" si="2"/>
        <v>0</v>
      </c>
      <c r="H24" s="15">
        <f t="shared" si="3"/>
        <v>2.17916666666667</v>
      </c>
      <c r="I24"/>
      <c r="J24"/>
    </row>
    <row r="25" ht="18.75" spans="1:10">
      <c r="A25" s="12">
        <f ca="1" t="shared" si="0"/>
        <v>46229.4593043982</v>
      </c>
      <c r="B25" s="6" t="s">
        <v>68</v>
      </c>
      <c r="C25" s="13">
        <v>0.459293981481481</v>
      </c>
      <c r="D25" s="13" t="s">
        <v>65</v>
      </c>
      <c r="E25" s="13">
        <v>0.546365740740741</v>
      </c>
      <c r="F25" s="14">
        <f t="shared" si="1"/>
        <v>2.08972222222222</v>
      </c>
      <c r="G25" s="15">
        <f t="shared" si="2"/>
        <v>2.08972222222222</v>
      </c>
      <c r="H25" s="15">
        <f t="shared" si="3"/>
        <v>0</v>
      </c>
      <c r="I25"/>
      <c r="J25"/>
    </row>
    <row r="26" ht="18.75" spans="1:10">
      <c r="A26" s="12">
        <f ca="1" t="shared" si="0"/>
        <v>46229.6237760417</v>
      </c>
      <c r="B26" s="6" t="s">
        <v>84</v>
      </c>
      <c r="C26" s="13">
        <v>0.623773148148148</v>
      </c>
      <c r="D26" s="13" t="s">
        <v>65</v>
      </c>
      <c r="E26" s="13">
        <v>0.75505787037037</v>
      </c>
      <c r="F26" s="14">
        <f t="shared" si="1"/>
        <v>3.15083333333333</v>
      </c>
      <c r="G26" s="15">
        <f t="shared" si="2"/>
        <v>3.15083333333333</v>
      </c>
      <c r="H26" s="15">
        <f t="shared" si="3"/>
        <v>0</v>
      </c>
      <c r="I26"/>
      <c r="J26"/>
    </row>
    <row r="27" ht="18.75" spans="1:10">
      <c r="A27" s="12">
        <f ca="1" t="shared" si="0"/>
        <v>46229.8347188657</v>
      </c>
      <c r="B27" s="6" t="s">
        <v>68</v>
      </c>
      <c r="C27" s="13">
        <v>0.834710648148148</v>
      </c>
      <c r="D27" s="13" t="s">
        <v>65</v>
      </c>
      <c r="E27" s="13">
        <v>0.956018518518518</v>
      </c>
      <c r="F27" s="14">
        <f t="shared" si="1"/>
        <v>2.91138888888889</v>
      </c>
      <c r="G27" s="15">
        <f t="shared" si="2"/>
        <v>2.91138888888889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46204.3579084491</v>
      </c>
      <c r="B3" s="6" t="s">
        <v>64</v>
      </c>
      <c r="C3" s="13">
        <v>0.357905092592593</v>
      </c>
      <c r="D3" s="13" t="s">
        <v>65</v>
      </c>
      <c r="E3" s="13">
        <v>0.533993055555556</v>
      </c>
      <c r="F3" s="14">
        <f t="shared" ref="F3:F66" si="1">(IF(E3-C3&lt;0,"24:00"-C3+E3,E3-C3))*24</f>
        <v>4.22611111111111</v>
      </c>
      <c r="G3" s="15">
        <f t="shared" ref="G3:G66" si="2">F3-H3</f>
        <v>4.22611111111111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87.6530555555555</v>
      </c>
      <c r="K3" s="20">
        <f>SUMIF(B:B,"带班主任",G:G)</f>
        <v>69.8305555555556</v>
      </c>
      <c r="L3" s="20">
        <f>SUMIF(B:B,"带班主任",H:H)</f>
        <v>17.8225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46204.645174537</v>
      </c>
      <c r="B4" s="6" t="s">
        <v>64</v>
      </c>
      <c r="C4" s="13">
        <v>0.645173611111111</v>
      </c>
      <c r="D4" s="13" t="s">
        <v>65</v>
      </c>
      <c r="E4" s="13">
        <v>0.786412037037037</v>
      </c>
      <c r="F4" s="14">
        <f t="shared" si="1"/>
        <v>3.38972222222222</v>
      </c>
      <c r="G4" s="15">
        <f t="shared" si="2"/>
        <v>3.38972222222222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4.6675</v>
      </c>
      <c r="K4" s="25">
        <f>SUMIF(B:B,"西塔台管制席",G:G)+SUMIF(B:B,"东塔台管制席",G:G)</f>
        <v>1.15027777777778</v>
      </c>
      <c r="L4" s="25">
        <f>SUMIF(B:B,"西塔台管制席",H:H)+SUMIF(B:B,"东塔台管制席",H:H)</f>
        <v>3.51722222222222</v>
      </c>
      <c r="M4" s="21"/>
    </row>
    <row r="5" ht="18.75" spans="1:13">
      <c r="A5" s="12">
        <f ca="1" t="shared" si="0"/>
        <v>46205.518933912</v>
      </c>
      <c r="B5" s="6" t="s">
        <v>64</v>
      </c>
      <c r="C5" s="13">
        <v>0.518923611111111</v>
      </c>
      <c r="D5" s="13" t="s">
        <v>65</v>
      </c>
      <c r="E5" s="13">
        <v>0.660555555555556</v>
      </c>
      <c r="F5" s="14">
        <f t="shared" si="1"/>
        <v>3.39916666666666</v>
      </c>
      <c r="G5" s="15">
        <f t="shared" si="2"/>
        <v>3.39916666666666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0</v>
      </c>
      <c r="K5" s="25">
        <f>SUMIF(B:B,"西塔台协调席",G:G)+SUMIF(B:B,"东塔台协调席",G:G)</f>
        <v>0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46205.7709361111</v>
      </c>
      <c r="B6" s="6" t="s">
        <v>64</v>
      </c>
      <c r="C6" s="13">
        <v>0.770925925925926</v>
      </c>
      <c r="D6" s="13" t="s">
        <v>65</v>
      </c>
      <c r="E6" s="13">
        <v>0.955092592592592</v>
      </c>
      <c r="F6" s="14">
        <f t="shared" si="1"/>
        <v>4.42</v>
      </c>
      <c r="G6" s="15">
        <f t="shared" si="2"/>
        <v>4.42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46206.290046412</v>
      </c>
      <c r="B7" s="6" t="s">
        <v>64</v>
      </c>
      <c r="C7" s="13">
        <v>0.290046296296296</v>
      </c>
      <c r="D7" s="13" t="s">
        <v>65</v>
      </c>
      <c r="E7" s="13">
        <v>0.365763888888889</v>
      </c>
      <c r="F7" s="14">
        <f t="shared" si="1"/>
        <v>1.81722222222222</v>
      </c>
      <c r="G7" s="15">
        <f t="shared" si="2"/>
        <v>0.778333333333343</v>
      </c>
      <c r="H7" s="15">
        <f t="shared" si="3"/>
        <v>1.03888888888888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46208.5239637732</v>
      </c>
      <c r="B8" s="6" t="s">
        <v>64</v>
      </c>
      <c r="C8" s="13">
        <v>0.523958333333333</v>
      </c>
      <c r="D8" s="13" t="s">
        <v>65</v>
      </c>
      <c r="E8" s="13">
        <v>0.644548611111111</v>
      </c>
      <c r="F8" s="14">
        <f t="shared" si="1"/>
        <v>2.89416666666667</v>
      </c>
      <c r="G8" s="15">
        <f t="shared" si="2"/>
        <v>2.89416666666667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46208.7695009259</v>
      </c>
      <c r="B9" s="6" t="s">
        <v>64</v>
      </c>
      <c r="C9" s="13">
        <v>0.769490740740741</v>
      </c>
      <c r="D9" s="13" t="s">
        <v>65</v>
      </c>
      <c r="E9" s="13">
        <v>0.9496875</v>
      </c>
      <c r="F9" s="14">
        <f t="shared" si="1"/>
        <v>4.32472222222223</v>
      </c>
      <c r="G9" s="15">
        <f t="shared" si="2"/>
        <v>4.32472222222223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46217.131909375</v>
      </c>
      <c r="B10" s="6" t="s">
        <v>64</v>
      </c>
      <c r="C10" s="13">
        <v>0.131909722222222</v>
      </c>
      <c r="D10" s="13" t="s">
        <v>65</v>
      </c>
      <c r="E10" s="13">
        <v>0.300486111111111</v>
      </c>
      <c r="F10" s="14">
        <f t="shared" si="1"/>
        <v>4.04583333333333</v>
      </c>
      <c r="G10" s="15">
        <f t="shared" si="2"/>
        <v>0</v>
      </c>
      <c r="H10" s="15">
        <f t="shared" si="3"/>
        <v>4.04583333333333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46217.9384238426</v>
      </c>
      <c r="B11" s="6" t="s">
        <v>64</v>
      </c>
      <c r="C11" s="13">
        <v>0.938414351851852</v>
      </c>
      <c r="D11" s="13" t="s">
        <v>65</v>
      </c>
      <c r="E11" s="13">
        <v>0.137303240740741</v>
      </c>
      <c r="F11" s="14">
        <f t="shared" si="1"/>
        <v>4.77333333333333</v>
      </c>
      <c r="G11" s="15">
        <f t="shared" si="2"/>
        <v>1.47805555555556</v>
      </c>
      <c r="H11" s="15">
        <f t="shared" si="3"/>
        <v>3.29527777777778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46220.5238193287</v>
      </c>
      <c r="B12" s="6" t="s">
        <v>64</v>
      </c>
      <c r="C12" s="13">
        <v>0.523819444444445</v>
      </c>
      <c r="D12" s="13" t="s">
        <v>65</v>
      </c>
      <c r="E12" s="13">
        <v>0.653541666666667</v>
      </c>
      <c r="F12" s="14">
        <f t="shared" si="1"/>
        <v>3.11333333333333</v>
      </c>
      <c r="G12" s="15">
        <f t="shared" si="2"/>
        <v>3.11333333333333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46220.814841088</v>
      </c>
      <c r="B13" s="6" t="s">
        <v>64</v>
      </c>
      <c r="C13" s="13">
        <v>0.814837962962963</v>
      </c>
      <c r="D13" s="13" t="s">
        <v>65</v>
      </c>
      <c r="E13" s="13">
        <v>0.94525462962963</v>
      </c>
      <c r="F13" s="14">
        <f t="shared" si="1"/>
        <v>3.13</v>
      </c>
      <c r="G13" s="15">
        <f t="shared" si="2"/>
        <v>3.13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46221.3003341435</v>
      </c>
      <c r="B14" s="6" t="s">
        <v>64</v>
      </c>
      <c r="C14" s="13">
        <v>0.300324074074074</v>
      </c>
      <c r="D14" s="13" t="s">
        <v>65</v>
      </c>
      <c r="E14" s="13">
        <v>0.547881944444444</v>
      </c>
      <c r="F14" s="14">
        <f t="shared" si="1"/>
        <v>5.94138888888889</v>
      </c>
      <c r="G14" s="15">
        <f t="shared" si="2"/>
        <v>5.14916666666667</v>
      </c>
      <c r="H14" s="15">
        <f t="shared" si="3"/>
        <v>0.792222222222214</v>
      </c>
      <c r="I14" s="33"/>
      <c r="J14" s="33"/>
      <c r="K14" s="33"/>
      <c r="L14" s="33"/>
      <c r="M14" s="33"/>
    </row>
    <row r="15" ht="101.25" spans="1:13">
      <c r="A15" s="12">
        <f ca="1" t="shared" si="0"/>
        <v>46221.9371679398</v>
      </c>
      <c r="B15" s="6" t="s">
        <v>64</v>
      </c>
      <c r="C15" s="13">
        <v>0.937164351851852</v>
      </c>
      <c r="D15" s="13" t="s">
        <v>65</v>
      </c>
      <c r="E15" s="13">
        <v>0.139594907407407</v>
      </c>
      <c r="F15" s="14">
        <f t="shared" si="1"/>
        <v>4.85833333333333</v>
      </c>
      <c r="G15" s="15">
        <f t="shared" si="2"/>
        <v>1.50805555555556</v>
      </c>
      <c r="H15" s="15">
        <f t="shared" si="3"/>
        <v>3.35027777777778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46224.3537207176</v>
      </c>
      <c r="B16" s="6" t="s">
        <v>64</v>
      </c>
      <c r="C16" s="13">
        <v>0.353715277777778</v>
      </c>
      <c r="D16" s="13" t="s">
        <v>65</v>
      </c>
      <c r="E16" s="13">
        <v>0.527673611111111</v>
      </c>
      <c r="F16" s="14">
        <f t="shared" si="1"/>
        <v>4.175</v>
      </c>
      <c r="G16" s="15">
        <f t="shared" si="2"/>
        <v>4.175</v>
      </c>
      <c r="H16" s="15">
        <f t="shared" si="3"/>
        <v>0</v>
      </c>
      <c r="I16" s="39" t="s">
        <v>66</v>
      </c>
      <c r="J16" s="40">
        <f t="shared" ref="J16:L16" si="4">J3</f>
        <v>87.6530555555555</v>
      </c>
      <c r="K16" s="41">
        <f t="shared" si="4"/>
        <v>69.8305555555556</v>
      </c>
      <c r="L16" s="42">
        <f t="shared" si="4"/>
        <v>17.8225</v>
      </c>
      <c r="M16" s="43"/>
    </row>
    <row r="17" ht="20.25" spans="1:13">
      <c r="A17" s="12">
        <f ca="1" t="shared" si="0"/>
        <v>46224.6560935185</v>
      </c>
      <c r="B17" s="6" t="s">
        <v>64</v>
      </c>
      <c r="C17" s="13">
        <v>0.656087962962963</v>
      </c>
      <c r="D17" s="13" t="s">
        <v>65</v>
      </c>
      <c r="E17" s="13">
        <v>0.785983796296296</v>
      </c>
      <c r="F17" s="14">
        <f t="shared" si="1"/>
        <v>3.1175</v>
      </c>
      <c r="G17" s="15">
        <f t="shared" si="2"/>
        <v>3.1175</v>
      </c>
      <c r="H17" s="15">
        <f t="shared" si="3"/>
        <v>0</v>
      </c>
      <c r="I17" s="39" t="s">
        <v>80</v>
      </c>
      <c r="J17" s="40">
        <f>J4+J5+J6+J7+J10</f>
        <v>4.6675</v>
      </c>
      <c r="K17" s="41">
        <f>K4+K5+K6+K7+K10</f>
        <v>1.15027777777778</v>
      </c>
      <c r="L17" s="42">
        <f>L4+L5+L6+L7+L10</f>
        <v>3.51722222222222</v>
      </c>
      <c r="M17" s="43"/>
    </row>
    <row r="18" ht="20.25" spans="1:13">
      <c r="A18" s="12">
        <f ca="1" t="shared" si="0"/>
        <v>46225.5231685185</v>
      </c>
      <c r="B18" s="6" t="s">
        <v>64</v>
      </c>
      <c r="C18" s="13">
        <v>0.523159722222222</v>
      </c>
      <c r="D18" s="13" t="s">
        <v>65</v>
      </c>
      <c r="E18" s="13">
        <v>0.6528125</v>
      </c>
      <c r="F18" s="14">
        <f t="shared" si="1"/>
        <v>3.11166666666667</v>
      </c>
      <c r="G18" s="15">
        <f t="shared" si="2"/>
        <v>3.11166666666667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46225.7492856481</v>
      </c>
      <c r="B19" s="6" t="s">
        <v>64</v>
      </c>
      <c r="C19" s="13">
        <v>0.749282407407407</v>
      </c>
      <c r="D19" s="13" t="s">
        <v>65</v>
      </c>
      <c r="E19" s="13">
        <v>0.943252314814815</v>
      </c>
      <c r="F19" s="14">
        <f t="shared" si="1"/>
        <v>4.65527777777778</v>
      </c>
      <c r="G19" s="15">
        <f t="shared" si="2"/>
        <v>4.65527777777778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46226.2939789352</v>
      </c>
      <c r="B20" s="6" t="s">
        <v>64</v>
      </c>
      <c r="C20" s="13">
        <v>0.293969907407407</v>
      </c>
      <c r="D20" s="13" t="s">
        <v>65</v>
      </c>
      <c r="E20" s="13">
        <v>0.364212962962963</v>
      </c>
      <c r="F20" s="14">
        <f t="shared" si="1"/>
        <v>1.68583333333333</v>
      </c>
      <c r="G20" s="15">
        <f t="shared" si="2"/>
        <v>0.741111111111119</v>
      </c>
      <c r="H20" s="15">
        <f t="shared" si="3"/>
        <v>0.944722222222214</v>
      </c>
      <c r="I20" s="44" t="s">
        <v>82</v>
      </c>
      <c r="J20" s="45">
        <f>J16+J17+J18+J19</f>
        <v>92.3205555555555</v>
      </c>
      <c r="K20" s="46"/>
      <c r="L20" s="47"/>
      <c r="M20" s="48"/>
    </row>
    <row r="21" ht="20.25" spans="1:13">
      <c r="A21" s="12">
        <f ca="1" t="shared" si="0"/>
        <v>46228.5295025463</v>
      </c>
      <c r="B21" s="6" t="s">
        <v>64</v>
      </c>
      <c r="C21" s="13">
        <v>0.529502314814815</v>
      </c>
      <c r="D21" s="13" t="s">
        <v>65</v>
      </c>
      <c r="E21" s="13">
        <v>0.653055555555556</v>
      </c>
      <c r="F21" s="14">
        <f t="shared" si="1"/>
        <v>2.96527777777778</v>
      </c>
      <c r="G21" s="15">
        <f t="shared" si="2"/>
        <v>2.96527777777778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46228.7677269676</v>
      </c>
      <c r="B22" s="6" t="s">
        <v>64</v>
      </c>
      <c r="C22" s="13">
        <v>0.767719907407407</v>
      </c>
      <c r="D22" s="13" t="s">
        <v>65</v>
      </c>
      <c r="E22" s="13">
        <v>0.945127314814815</v>
      </c>
      <c r="F22" s="14">
        <f t="shared" si="1"/>
        <v>4.25777777777778</v>
      </c>
      <c r="G22" s="15">
        <f t="shared" si="2"/>
        <v>4.25777777777778</v>
      </c>
      <c r="H22" s="15">
        <f t="shared" si="3"/>
        <v>0</v>
      </c>
      <c r="I22"/>
      <c r="J22"/>
    </row>
    <row r="23" ht="18.75" spans="1:10">
      <c r="A23" s="12">
        <f ca="1" t="shared" si="0"/>
        <v>46229.2967359954</v>
      </c>
      <c r="B23" s="6" t="s">
        <v>64</v>
      </c>
      <c r="C23" s="13">
        <v>0.296736111111111</v>
      </c>
      <c r="D23" s="13" t="s">
        <v>65</v>
      </c>
      <c r="E23" s="13">
        <v>0.52837962962963</v>
      </c>
      <c r="F23" s="14">
        <f t="shared" si="1"/>
        <v>5.55944444444444</v>
      </c>
      <c r="G23" s="15">
        <f t="shared" si="2"/>
        <v>4.68111111111112</v>
      </c>
      <c r="H23" s="15">
        <f t="shared" si="3"/>
        <v>0.878333333333324</v>
      </c>
      <c r="I23"/>
      <c r="J23"/>
    </row>
    <row r="24" ht="18.75" spans="1:10">
      <c r="A24" s="12">
        <f ca="1" t="shared" si="0"/>
        <v>46229.6468725694</v>
      </c>
      <c r="B24" s="6" t="s">
        <v>64</v>
      </c>
      <c r="C24" s="13">
        <v>0.646863425925926</v>
      </c>
      <c r="D24" s="13" t="s">
        <v>65</v>
      </c>
      <c r="E24" s="13">
        <v>0.778981481481481</v>
      </c>
      <c r="F24" s="14">
        <f t="shared" si="1"/>
        <v>3.17083333333333</v>
      </c>
      <c r="G24" s="15">
        <f t="shared" si="2"/>
        <v>3.17083333333333</v>
      </c>
      <c r="H24" s="15">
        <f t="shared" si="3"/>
        <v>0</v>
      </c>
      <c r="I24"/>
      <c r="J24"/>
    </row>
    <row r="25" ht="18.75" spans="1:10">
      <c r="A25" s="12">
        <f ca="1" t="shared" si="0"/>
        <v>46232.9523304398</v>
      </c>
      <c r="B25" s="6" t="s">
        <v>64</v>
      </c>
      <c r="C25" s="13">
        <v>0.952326388888889</v>
      </c>
      <c r="D25" s="13" t="s">
        <v>65</v>
      </c>
      <c r="E25" s="13">
        <v>0.144872685185185</v>
      </c>
      <c r="F25" s="14">
        <f t="shared" si="1"/>
        <v>4.62111111111111</v>
      </c>
      <c r="G25" s="15">
        <f t="shared" si="2"/>
        <v>1.14416666666667</v>
      </c>
      <c r="H25" s="15">
        <f t="shared" si="3"/>
        <v>3.47694444444444</v>
      </c>
      <c r="I25"/>
      <c r="J25"/>
    </row>
    <row r="26" ht="18.75" spans="1:10">
      <c r="A26" s="12">
        <f ca="1" t="shared" si="0"/>
        <v>46234.146524537</v>
      </c>
      <c r="B26" s="6" t="s">
        <v>84</v>
      </c>
      <c r="C26" s="13">
        <v>0.952071759259259</v>
      </c>
      <c r="D26" s="13" t="s">
        <v>65</v>
      </c>
      <c r="E26" s="13">
        <v>0.146550925925926</v>
      </c>
      <c r="F26" s="14">
        <f t="shared" si="1"/>
        <v>4.6675</v>
      </c>
      <c r="G26" s="15">
        <f t="shared" si="2"/>
        <v>1.15027777777778</v>
      </c>
      <c r="H26" s="15">
        <f t="shared" si="3"/>
        <v>3.51722222222222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339"/>
  <sheetViews>
    <sheetView zoomScale="85" zoomScaleNormal="85" workbookViewId="0">
      <selection activeCell="B20" sqref="B20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46206.953841088</v>
      </c>
      <c r="B3" s="6" t="s">
        <v>84</v>
      </c>
      <c r="C3" s="13">
        <v>0.953831018518518</v>
      </c>
      <c r="D3" s="13" t="s">
        <v>65</v>
      </c>
      <c r="E3" s="13">
        <v>0.113032407407407</v>
      </c>
      <c r="F3" s="14">
        <f t="shared" ref="F3:F66" si="1">(IF(E3-C3&lt;0,"24:00"-C3+E3,E3-C3))*24</f>
        <v>3.82083333333333</v>
      </c>
      <c r="G3" s="15">
        <f t="shared" ref="G3:G66" si="2">F3-H3</f>
        <v>1.10805555555556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2.71277777777778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46208.1459555556</v>
      </c>
      <c r="B4" s="6" t="s">
        <v>83</v>
      </c>
      <c r="C4" s="13">
        <v>0.0140046296296296</v>
      </c>
      <c r="D4" s="13" t="s">
        <v>65</v>
      </c>
      <c r="E4" s="13">
        <v>0.145983796296296</v>
      </c>
      <c r="F4" s="14">
        <f t="shared" si="1"/>
        <v>3.1675</v>
      </c>
      <c r="G4" s="15">
        <f t="shared" si="2"/>
        <v>0</v>
      </c>
      <c r="H4" s="15">
        <f t="shared" si="3"/>
        <v>3.1675</v>
      </c>
      <c r="I4" s="23" t="s">
        <v>67</v>
      </c>
      <c r="J4" s="24">
        <f>SUMIF(B:B,"西塔台管制席",F:F)+SUMIF(B:B,"东塔台管制席",F:F)</f>
        <v>25.7755555555556</v>
      </c>
      <c r="K4" s="25">
        <f>SUMIF(B:B,"西塔台管制席",G:G)+SUMIF(B:B,"东塔台管制席",G:G)</f>
        <v>17.1758333333334</v>
      </c>
      <c r="L4" s="25">
        <f>SUMIF(B:B,"西塔台管制席",H:H)+SUMIF(B:B,"东塔台管制席",H:H)</f>
        <v>8.59972222222221</v>
      </c>
      <c r="M4" s="21"/>
    </row>
    <row r="5" ht="18.75" spans="1:13">
      <c r="A5" s="12">
        <f ca="1" t="shared" si="0"/>
        <v>46211.1408958333</v>
      </c>
      <c r="B5" s="6" t="s">
        <v>70</v>
      </c>
      <c r="C5" s="13">
        <v>0.140891203703704</v>
      </c>
      <c r="D5" s="13" t="s">
        <v>65</v>
      </c>
      <c r="E5" s="13">
        <v>0.226053240740741</v>
      </c>
      <c r="F5" s="14">
        <f t="shared" si="1"/>
        <v>2.04388888888889</v>
      </c>
      <c r="G5" s="15">
        <f t="shared" si="2"/>
        <v>0</v>
      </c>
      <c r="H5" s="15">
        <f t="shared" si="3"/>
        <v>2.04388888888889</v>
      </c>
      <c r="I5" s="23" t="s">
        <v>69</v>
      </c>
      <c r="J5" s="24">
        <f>SUMIF(B:B,"西塔台协调席",F:F)+SUMIF(B:B,"东塔台协调席",F:F)</f>
        <v>20.8958333333333</v>
      </c>
      <c r="K5" s="25">
        <f>SUMIF(B:B,"西塔台协调席",G:G)+SUMIF(B:B,"东塔台协调席",G:G)</f>
        <v>16.1363888888889</v>
      </c>
      <c r="L5" s="25">
        <f>SUMIF(B:B,"西塔台协调席",H:H)+SUMIF(B:B,"东塔台协调席",H:H)</f>
        <v>4.75944444444445</v>
      </c>
      <c r="M5" s="21"/>
    </row>
    <row r="6" ht="18.75" spans="1:13">
      <c r="A6" s="12">
        <f ca="1" t="shared" si="0"/>
        <v>46211.2358467593</v>
      </c>
      <c r="B6" s="6" t="s">
        <v>68</v>
      </c>
      <c r="C6" s="13">
        <v>0.235844907407407</v>
      </c>
      <c r="D6" s="13" t="s">
        <v>65</v>
      </c>
      <c r="E6" s="13">
        <v>0.302175925925926</v>
      </c>
      <c r="F6" s="14">
        <f t="shared" si="1"/>
        <v>1.59194444444445</v>
      </c>
      <c r="G6" s="15">
        <f t="shared" si="2"/>
        <v>0</v>
      </c>
      <c r="H6" s="15">
        <f t="shared" si="3"/>
        <v>1.59194444444445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46212.139596875</v>
      </c>
      <c r="B7" s="6" t="s">
        <v>70</v>
      </c>
      <c r="C7" s="13">
        <v>0.139594907407407</v>
      </c>
      <c r="D7" s="13" t="s">
        <v>65</v>
      </c>
      <c r="E7" s="13">
        <v>0.234178240740741</v>
      </c>
      <c r="F7" s="14">
        <f t="shared" si="1"/>
        <v>2.27</v>
      </c>
      <c r="G7" s="15">
        <f t="shared" si="2"/>
        <v>0</v>
      </c>
      <c r="H7" s="15">
        <f t="shared" si="3"/>
        <v>2.27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46214.351772338</v>
      </c>
      <c r="B8" s="6" t="s">
        <v>70</v>
      </c>
      <c r="C8" s="13">
        <v>0.351770833333333</v>
      </c>
      <c r="D8" s="13" t="s">
        <v>65</v>
      </c>
      <c r="E8" s="13">
        <v>0.536828703703704</v>
      </c>
      <c r="F8" s="14">
        <f t="shared" si="1"/>
        <v>4.44138888888889</v>
      </c>
      <c r="G8" s="15">
        <f t="shared" si="2"/>
        <v>4.44138888888889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46214.6895304398</v>
      </c>
      <c r="B9" s="6" t="s">
        <v>68</v>
      </c>
      <c r="C9" s="13">
        <v>0.689525462962963</v>
      </c>
      <c r="D9" s="13" t="s">
        <v>65</v>
      </c>
      <c r="E9" s="13">
        <v>0.848391203703704</v>
      </c>
      <c r="F9" s="14">
        <f t="shared" si="1"/>
        <v>3.81277777777778</v>
      </c>
      <c r="G9" s="15">
        <f t="shared" si="2"/>
        <v>3.81277777777778</v>
      </c>
      <c r="H9" s="15">
        <f t="shared" si="3"/>
        <v>0</v>
      </c>
      <c r="I9" s="23" t="s">
        <v>74</v>
      </c>
      <c r="J9" s="24">
        <f>SUMIF(B:B,"航班调度席",F:F)</f>
        <v>4.33194444444444</v>
      </c>
      <c r="K9" s="25">
        <f>SUMIF(B:B,"航班调度席",G:G)</f>
        <v>4.33194444444444</v>
      </c>
      <c r="L9" s="25">
        <f>SUMIF(B:B,"航班调度席",H:H)</f>
        <v>0</v>
      </c>
      <c r="M9" s="21"/>
    </row>
    <row r="10" ht="18.75" spans="1:13">
      <c r="A10" s="12">
        <f ca="1" t="shared" si="0"/>
        <v>46215.3010303241</v>
      </c>
      <c r="B10" s="6" t="s">
        <v>84</v>
      </c>
      <c r="C10" s="13">
        <v>0.301030092592593</v>
      </c>
      <c r="D10" s="13" t="s">
        <v>65</v>
      </c>
      <c r="E10" s="13">
        <v>0.467337962962963</v>
      </c>
      <c r="F10" s="14">
        <f t="shared" si="1"/>
        <v>3.99138888888889</v>
      </c>
      <c r="G10" s="15">
        <f t="shared" si="2"/>
        <v>3.21611111111112</v>
      </c>
      <c r="H10" s="15">
        <f t="shared" si="3"/>
        <v>0.77527777777777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46215.6265657407</v>
      </c>
      <c r="B11" s="6" t="s">
        <v>68</v>
      </c>
      <c r="C11" s="13">
        <v>0.6265625</v>
      </c>
      <c r="D11" s="13" t="s">
        <v>65</v>
      </c>
      <c r="E11" s="13">
        <v>0.797905092592593</v>
      </c>
      <c r="F11" s="14">
        <f t="shared" si="1"/>
        <v>4.11222222222222</v>
      </c>
      <c r="G11" s="15">
        <f t="shared" si="2"/>
        <v>4.11222222222222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46223.381790625</v>
      </c>
      <c r="B12" s="6" t="s">
        <v>87</v>
      </c>
      <c r="C12" s="13">
        <v>0.381782407407407</v>
      </c>
      <c r="D12" s="13" t="s">
        <v>65</v>
      </c>
      <c r="E12" s="13">
        <v>0.489409722222222</v>
      </c>
      <c r="F12" s="14">
        <f t="shared" si="1"/>
        <v>2.58305555555556</v>
      </c>
      <c r="G12" s="15">
        <f t="shared" si="2"/>
        <v>2.58305555555556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46223.5928116898</v>
      </c>
      <c r="B13" s="6" t="s">
        <v>84</v>
      </c>
      <c r="C13" s="13">
        <v>0.592800925925926</v>
      </c>
      <c r="D13" s="13" t="s">
        <v>65</v>
      </c>
      <c r="E13" s="13">
        <v>0.635636574074074</v>
      </c>
      <c r="F13" s="14">
        <f t="shared" si="1"/>
        <v>1.02805555555555</v>
      </c>
      <c r="G13" s="15">
        <f t="shared" si="2"/>
        <v>1.02805555555555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46223.6356862269</v>
      </c>
      <c r="B14" s="6" t="s">
        <v>87</v>
      </c>
      <c r="C14" s="13">
        <v>0.63568287037037</v>
      </c>
      <c r="D14" s="13" t="s">
        <v>65</v>
      </c>
      <c r="E14" s="13">
        <v>0.708553240740741</v>
      </c>
      <c r="F14" s="14">
        <f t="shared" si="1"/>
        <v>1.74888888888889</v>
      </c>
      <c r="G14" s="15">
        <f t="shared" si="2"/>
        <v>1.74888888888889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46226.5207269676</v>
      </c>
      <c r="B15" s="6" t="s">
        <v>68</v>
      </c>
      <c r="C15" s="13">
        <v>0.520717592592593</v>
      </c>
      <c r="D15" s="13" t="s">
        <v>65</v>
      </c>
      <c r="E15" s="13">
        <v>0.695474537037037</v>
      </c>
      <c r="F15" s="14">
        <f t="shared" si="1"/>
        <v>4.19416666666667</v>
      </c>
      <c r="G15" s="15">
        <f t="shared" si="2"/>
        <v>4.19416666666667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46226.855475463</v>
      </c>
      <c r="B16" s="6" t="s">
        <v>84</v>
      </c>
      <c r="C16" s="13">
        <v>0.855474537037037</v>
      </c>
      <c r="D16" s="13" t="s">
        <v>65</v>
      </c>
      <c r="E16" s="13">
        <v>0.960069444444445</v>
      </c>
      <c r="F16" s="14">
        <f t="shared" si="1"/>
        <v>2.51027777777778</v>
      </c>
      <c r="G16" s="15">
        <f t="shared" si="2"/>
        <v>2.51027777777778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46227.459902662</v>
      </c>
      <c r="B17" s="6" t="s">
        <v>70</v>
      </c>
      <c r="C17" s="13">
        <v>0.459895833333333</v>
      </c>
      <c r="D17" s="13" t="s">
        <v>65</v>
      </c>
      <c r="E17" s="13">
        <v>0.632743055555556</v>
      </c>
      <c r="F17" s="14">
        <f t="shared" si="1"/>
        <v>4.14833333333333</v>
      </c>
      <c r="G17" s="15">
        <f t="shared" si="2"/>
        <v>4.14833333333333</v>
      </c>
      <c r="H17" s="15">
        <f t="shared" si="3"/>
        <v>0</v>
      </c>
      <c r="I17" s="39" t="s">
        <v>80</v>
      </c>
      <c r="J17" s="40">
        <f>J4+J5+J6+J7+J10</f>
        <v>46.6713888888889</v>
      </c>
      <c r="K17" s="41">
        <f>K4+K5+K6+K7+K10</f>
        <v>33.3122222222222</v>
      </c>
      <c r="L17" s="42">
        <f>L4+L5+L6+L7+L10</f>
        <v>13.3591666666667</v>
      </c>
      <c r="M17" s="43"/>
    </row>
    <row r="18" ht="20.25" spans="1:13">
      <c r="A18" s="12">
        <f ca="1" t="shared" si="0"/>
        <v>46227.78730625</v>
      </c>
      <c r="B18" s="6" t="s">
        <v>83</v>
      </c>
      <c r="C18" s="13">
        <v>0.787303240740741</v>
      </c>
      <c r="D18" s="13" t="s">
        <v>65</v>
      </c>
      <c r="E18" s="13">
        <v>0.9546875</v>
      </c>
      <c r="F18" s="14">
        <f t="shared" si="1"/>
        <v>4.01722222222222</v>
      </c>
      <c r="G18" s="15">
        <f t="shared" si="2"/>
        <v>4.01722222222222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46228.3000971065</v>
      </c>
      <c r="B19" s="6" t="s">
        <v>70</v>
      </c>
      <c r="C19" s="13">
        <v>0.300092592592593</v>
      </c>
      <c r="D19" s="13" t="s">
        <v>65</v>
      </c>
      <c r="E19" s="13">
        <v>0.363483796296296</v>
      </c>
      <c r="F19" s="14">
        <f t="shared" si="1"/>
        <v>1.52138888888889</v>
      </c>
      <c r="G19" s="15">
        <f t="shared" si="2"/>
        <v>0.723611111111119</v>
      </c>
      <c r="H19" s="15">
        <f t="shared" si="3"/>
        <v>0.79777777777777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 t="str">
        <f ca="1" t="shared" si="0"/>
        <v/>
      </c>
      <c r="B20" s="6"/>
      <c r="C20" s="13"/>
      <c r="D20" s="13"/>
      <c r="E20" s="13"/>
      <c r="F20" s="14">
        <f t="shared" si="1"/>
        <v>0</v>
      </c>
      <c r="G20" s="15">
        <f t="shared" si="2"/>
        <v>0</v>
      </c>
      <c r="H20" s="15">
        <f t="shared" si="3"/>
        <v>0</v>
      </c>
      <c r="I20" s="44" t="s">
        <v>82</v>
      </c>
      <c r="J20" s="45">
        <f>J16+J17+J18+J19</f>
        <v>46.6713888888889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4.33194444444444</v>
      </c>
      <c r="K21" s="41">
        <f>SUM(K8:K9)</f>
        <v>4.33194444444444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46205.0151383102</v>
      </c>
      <c r="B3" s="6" t="s">
        <v>70</v>
      </c>
      <c r="C3" s="13">
        <v>0.0151273148148148</v>
      </c>
      <c r="D3" s="13" t="s">
        <v>65</v>
      </c>
      <c r="E3" s="13">
        <v>0.144814814814815</v>
      </c>
      <c r="F3" s="14">
        <f t="shared" ref="F3:F66" si="1">(IF(E3-C3&lt;0,"24:00"-C3+E3,E3-C3))*24</f>
        <v>3.1125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3.1125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46205.953471412</v>
      </c>
      <c r="B4" s="6" t="s">
        <v>68</v>
      </c>
      <c r="C4" s="13">
        <v>0.953460648148148</v>
      </c>
      <c r="D4" s="13" t="s">
        <v>65</v>
      </c>
      <c r="E4" s="13">
        <v>0.123773148148148</v>
      </c>
      <c r="F4" s="14">
        <f t="shared" si="1"/>
        <v>4.0875</v>
      </c>
      <c r="G4" s="15">
        <f t="shared" si="2"/>
        <v>1.11694444444444</v>
      </c>
      <c r="H4" s="15">
        <f t="shared" si="3"/>
        <v>2.97055555555556</v>
      </c>
      <c r="I4" s="23" t="s">
        <v>67</v>
      </c>
      <c r="J4" s="24">
        <f>SUMIF(B:B,"西塔台管制席",F:F)+SUMIF(B:B,"东塔台管制席",F:F)</f>
        <v>36.7925</v>
      </c>
      <c r="K4" s="25">
        <f>SUMIF(B:B,"西塔台管制席",G:G)+SUMIF(B:B,"东塔台管制席",G:G)</f>
        <v>21.0527777777778</v>
      </c>
      <c r="L4" s="25">
        <f>SUMIF(B:B,"西塔台管制席",H:H)+SUMIF(B:B,"东塔台管制席",H:H)</f>
        <v>15.7397222222222</v>
      </c>
      <c r="M4" s="21"/>
    </row>
    <row r="5" ht="18.75" spans="1:13">
      <c r="A5" s="12">
        <f ca="1" t="shared" si="0"/>
        <v>46208.5003280093</v>
      </c>
      <c r="B5" s="6" t="s">
        <v>84</v>
      </c>
      <c r="C5" s="13">
        <v>0.500324074074074</v>
      </c>
      <c r="D5" s="13" t="s">
        <v>65</v>
      </c>
      <c r="E5" s="13">
        <v>0.639016203703704</v>
      </c>
      <c r="F5" s="14">
        <f t="shared" si="1"/>
        <v>3.32861111111111</v>
      </c>
      <c r="G5" s="15">
        <f t="shared" si="2"/>
        <v>3.32861111111111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39.7038888888889</v>
      </c>
      <c r="K5" s="25">
        <f>SUMIF(B:B,"西塔台协调席",G:G)+SUMIF(B:B,"东塔台协调席",G:G)</f>
        <v>28.1744444444445</v>
      </c>
      <c r="L5" s="25">
        <f>SUMIF(B:B,"西塔台协调席",H:H)+SUMIF(B:B,"东塔台协调席",H:H)</f>
        <v>11.5294444444444</v>
      </c>
      <c r="M5" s="21"/>
    </row>
    <row r="6" ht="18.75" spans="1:13">
      <c r="A6" s="12">
        <f ca="1" t="shared" si="0"/>
        <v>46208.7512270833</v>
      </c>
      <c r="B6" s="6" t="s">
        <v>83</v>
      </c>
      <c r="C6" s="13">
        <v>0.751226851851852</v>
      </c>
      <c r="D6" s="13" t="s">
        <v>65</v>
      </c>
      <c r="E6" s="13">
        <v>0.881018518518519</v>
      </c>
      <c r="F6" s="14">
        <f t="shared" si="1"/>
        <v>3.115</v>
      </c>
      <c r="G6" s="15">
        <f t="shared" si="2"/>
        <v>3.115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46209.4591332176</v>
      </c>
      <c r="B7" s="6" t="s">
        <v>84</v>
      </c>
      <c r="C7" s="13">
        <v>0.459131944444444</v>
      </c>
      <c r="D7" s="13" t="s">
        <v>65</v>
      </c>
      <c r="E7" s="13">
        <v>0.550509259259259</v>
      </c>
      <c r="F7" s="14">
        <f t="shared" si="1"/>
        <v>2.19305555555555</v>
      </c>
      <c r="G7" s="15">
        <f t="shared" si="2"/>
        <v>2.19305555555555</v>
      </c>
      <c r="H7" s="15">
        <f t="shared" si="3"/>
        <v>0</v>
      </c>
      <c r="I7" s="23" t="s">
        <v>72</v>
      </c>
      <c r="J7" s="24">
        <f>SUMIF(B:B,"地面席",F:F)</f>
        <v>4.17722222222222</v>
      </c>
      <c r="K7" s="25">
        <f>SUMIF(B:B,"地面席",G:G)</f>
        <v>0</v>
      </c>
      <c r="L7" s="25">
        <f>SUMIF(B:B,"地面席",H:H)</f>
        <v>4.17722222222222</v>
      </c>
      <c r="M7" s="21"/>
    </row>
    <row r="8" ht="18.75" spans="1:13">
      <c r="A8" s="12">
        <f ca="1" t="shared" si="0"/>
        <v>46209.6251570602</v>
      </c>
      <c r="B8" s="6" t="s">
        <v>83</v>
      </c>
      <c r="C8" s="13">
        <v>0.625150462962963</v>
      </c>
      <c r="D8" s="13" t="s">
        <v>65</v>
      </c>
      <c r="E8" s="13">
        <v>0.625358796296296</v>
      </c>
      <c r="F8" s="14">
        <f t="shared" si="1"/>
        <v>0.00500000000000078</v>
      </c>
      <c r="G8" s="15">
        <f t="shared" si="2"/>
        <v>0.00500000000000078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46209.6254136574</v>
      </c>
      <c r="B9" s="6" t="s">
        <v>70</v>
      </c>
      <c r="C9" s="13">
        <v>0.625405092592593</v>
      </c>
      <c r="D9" s="13" t="s">
        <v>65</v>
      </c>
      <c r="E9" s="13">
        <v>0.752685185185185</v>
      </c>
      <c r="F9" s="14">
        <f t="shared" si="1"/>
        <v>3.05472222222222</v>
      </c>
      <c r="G9" s="15">
        <f t="shared" si="2"/>
        <v>3.05472222222222</v>
      </c>
      <c r="H9" s="15">
        <f t="shared" si="3"/>
        <v>0</v>
      </c>
      <c r="I9" s="23" t="s">
        <v>74</v>
      </c>
      <c r="J9" s="24">
        <f>SUMIF(B:B,"航班调度席",F:F)</f>
        <v>13.6688888888889</v>
      </c>
      <c r="K9" s="25">
        <f>SUMIF(B:B,"航班调度席",G:G)</f>
        <v>13.6688888888889</v>
      </c>
      <c r="L9" s="25">
        <f>SUMIF(B:B,"航班调度席",H:H)</f>
        <v>0</v>
      </c>
      <c r="M9" s="21"/>
    </row>
    <row r="10" ht="18.75" spans="1:13">
      <c r="A10" s="12">
        <f ca="1" t="shared" si="0"/>
        <v>46209.8343494213</v>
      </c>
      <c r="B10" s="6" t="s">
        <v>83</v>
      </c>
      <c r="C10" s="13">
        <v>0.834340277777778</v>
      </c>
      <c r="D10" s="13" t="s">
        <v>65</v>
      </c>
      <c r="E10" s="13">
        <v>0.957511574074074</v>
      </c>
      <c r="F10" s="14">
        <f t="shared" si="1"/>
        <v>2.95611111111111</v>
      </c>
      <c r="G10" s="15">
        <f t="shared" si="2"/>
        <v>2.95611111111111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46210.2999898148</v>
      </c>
      <c r="B11" s="6" t="s">
        <v>70</v>
      </c>
      <c r="C11" s="13">
        <v>0.299988425925926</v>
      </c>
      <c r="D11" s="13" t="s">
        <v>65</v>
      </c>
      <c r="E11" s="13">
        <v>0.365949074074074</v>
      </c>
      <c r="F11" s="14">
        <f t="shared" si="1"/>
        <v>1.58305555555555</v>
      </c>
      <c r="G11" s="15">
        <f t="shared" si="2"/>
        <v>0.782777777777786</v>
      </c>
      <c r="H11" s="15">
        <f t="shared" si="3"/>
        <v>0.800277777777769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46212.3762064815</v>
      </c>
      <c r="B12" s="6" t="s">
        <v>87</v>
      </c>
      <c r="C12" s="13">
        <v>0.376203703703704</v>
      </c>
      <c r="D12" s="13" t="s">
        <v>65</v>
      </c>
      <c r="E12" s="13">
        <v>0.508159722222222</v>
      </c>
      <c r="F12" s="14">
        <f t="shared" si="1"/>
        <v>3.16694444444444</v>
      </c>
      <c r="G12" s="15">
        <f t="shared" si="2"/>
        <v>3.16694444444444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46212.585949537</v>
      </c>
      <c r="B13" s="6" t="s">
        <v>87</v>
      </c>
      <c r="C13" s="13">
        <v>0.585949074074074</v>
      </c>
      <c r="D13" s="13" t="s">
        <v>65</v>
      </c>
      <c r="E13" s="13">
        <v>0.723634259259259</v>
      </c>
      <c r="F13" s="14">
        <f t="shared" si="1"/>
        <v>3.30444444444444</v>
      </c>
      <c r="G13" s="15">
        <f t="shared" si="2"/>
        <v>3.30444444444444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46213.3768671296</v>
      </c>
      <c r="B14" s="6" t="s">
        <v>87</v>
      </c>
      <c r="C14" s="13">
        <v>0.376863425925926</v>
      </c>
      <c r="D14" s="13" t="s">
        <v>65</v>
      </c>
      <c r="E14" s="13">
        <v>0.516423611111111</v>
      </c>
      <c r="F14" s="14">
        <f t="shared" si="1"/>
        <v>3.34944444444444</v>
      </c>
      <c r="G14" s="15">
        <f t="shared" si="2"/>
        <v>3.34944444444444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46213.5942219907</v>
      </c>
      <c r="B15" s="6" t="s">
        <v>87</v>
      </c>
      <c r="C15" s="13">
        <v>0.594212962962963</v>
      </c>
      <c r="D15" s="13" t="s">
        <v>65</v>
      </c>
      <c r="E15" s="13">
        <v>0.754548611111111</v>
      </c>
      <c r="F15" s="14">
        <f t="shared" si="1"/>
        <v>3.84805555555556</v>
      </c>
      <c r="G15" s="15">
        <f t="shared" si="2"/>
        <v>3.84805555555556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46214.0137064815</v>
      </c>
      <c r="B16" s="6" t="s">
        <v>68</v>
      </c>
      <c r="C16" s="13">
        <v>0.0137037037037037</v>
      </c>
      <c r="D16" s="13" t="s">
        <v>65</v>
      </c>
      <c r="E16" s="13">
        <v>0.121724537037037</v>
      </c>
      <c r="F16" s="14">
        <f t="shared" si="1"/>
        <v>2.5925</v>
      </c>
      <c r="G16" s="15">
        <f t="shared" si="2"/>
        <v>0</v>
      </c>
      <c r="H16" s="15">
        <f t="shared" si="3"/>
        <v>2.5925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46217.1406318287</v>
      </c>
      <c r="B17" s="6" t="s">
        <v>86</v>
      </c>
      <c r="C17" s="13">
        <v>0.140625</v>
      </c>
      <c r="D17" s="13" t="s">
        <v>65</v>
      </c>
      <c r="E17" s="13">
        <v>0.224710648148148</v>
      </c>
      <c r="F17" s="14">
        <f t="shared" si="1"/>
        <v>2.01805555555556</v>
      </c>
      <c r="G17" s="15">
        <f t="shared" si="2"/>
        <v>0</v>
      </c>
      <c r="H17" s="15">
        <f t="shared" si="3"/>
        <v>2.01805555555556</v>
      </c>
      <c r="I17" s="39" t="s">
        <v>80</v>
      </c>
      <c r="J17" s="40">
        <f>J4+J5+J6+J7+J10</f>
        <v>80.6736111111111</v>
      </c>
      <c r="K17" s="41">
        <f>K4+K5+K6+K7+K10</f>
        <v>49.2272222222223</v>
      </c>
      <c r="L17" s="42">
        <f>L4+L5+L6+L7+L10</f>
        <v>31.4463888888889</v>
      </c>
      <c r="M17" s="43"/>
    </row>
    <row r="18" ht="20.25" spans="1:13">
      <c r="A18" s="12">
        <f ca="1" t="shared" si="0"/>
        <v>46218.1403297454</v>
      </c>
      <c r="B18" s="6" t="s">
        <v>86</v>
      </c>
      <c r="C18" s="13">
        <v>0.140324074074074</v>
      </c>
      <c r="D18" s="13" t="s">
        <v>65</v>
      </c>
      <c r="E18" s="13">
        <v>0.230289351851852</v>
      </c>
      <c r="F18" s="14">
        <f t="shared" si="1"/>
        <v>2.15916666666667</v>
      </c>
      <c r="G18" s="15">
        <f t="shared" si="2"/>
        <v>0</v>
      </c>
      <c r="H18" s="15">
        <f t="shared" si="3"/>
        <v>2.15916666666667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46220.5012758102</v>
      </c>
      <c r="B19" s="6" t="s">
        <v>68</v>
      </c>
      <c r="C19" s="13">
        <v>0.501273148148148</v>
      </c>
      <c r="D19" s="13" t="s">
        <v>65</v>
      </c>
      <c r="E19" s="13">
        <v>0.63037037037037</v>
      </c>
      <c r="F19" s="14">
        <f t="shared" si="1"/>
        <v>3.09833333333333</v>
      </c>
      <c r="G19" s="15">
        <f t="shared" si="2"/>
        <v>3.09833333333333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46220.7519542824</v>
      </c>
      <c r="B20" s="6" t="s">
        <v>84</v>
      </c>
      <c r="C20" s="13">
        <v>0.751944444444444</v>
      </c>
      <c r="D20" s="13" t="s">
        <v>65</v>
      </c>
      <c r="E20" s="13">
        <v>0.879884259259259</v>
      </c>
      <c r="F20" s="14">
        <f t="shared" si="1"/>
        <v>3.07055555555555</v>
      </c>
      <c r="G20" s="15">
        <f t="shared" si="2"/>
        <v>3.07055555555555</v>
      </c>
      <c r="H20" s="15">
        <f t="shared" si="3"/>
        <v>0</v>
      </c>
      <c r="I20" s="44" t="s">
        <v>82</v>
      </c>
      <c r="J20" s="45">
        <f>J16+J17+J18+J19</f>
        <v>80.6736111111111</v>
      </c>
      <c r="K20" s="46"/>
      <c r="L20" s="47"/>
      <c r="M20" s="48"/>
    </row>
    <row r="21" ht="20.25" spans="1:13">
      <c r="A21" s="12">
        <f ca="1" t="shared" si="0"/>
        <v>46221.417978125</v>
      </c>
      <c r="B21" s="6" t="s">
        <v>68</v>
      </c>
      <c r="C21" s="13">
        <v>0.417974537037037</v>
      </c>
      <c r="D21" s="13" t="s">
        <v>65</v>
      </c>
      <c r="E21" s="13">
        <v>0.511875</v>
      </c>
      <c r="F21" s="14">
        <f t="shared" si="1"/>
        <v>2.25361111111111</v>
      </c>
      <c r="G21" s="15">
        <f t="shared" si="2"/>
        <v>2.25361111111111</v>
      </c>
      <c r="H21" s="15">
        <f t="shared" si="3"/>
        <v>0</v>
      </c>
      <c r="I21" s="49" t="s">
        <v>5</v>
      </c>
      <c r="J21" s="50">
        <f>SUM(J8:J9)</f>
        <v>13.6688888888889</v>
      </c>
      <c r="K21" s="41">
        <f>SUM(K8:K9)</f>
        <v>13.6688888888889</v>
      </c>
      <c r="L21" s="42">
        <f>SUM(L8:L9)</f>
        <v>0</v>
      </c>
      <c r="M21" s="51"/>
    </row>
    <row r="22" ht="18.75" spans="1:10">
      <c r="A22" s="12">
        <f ca="1" t="shared" si="0"/>
        <v>46221.6266351852</v>
      </c>
      <c r="B22" s="6" t="s">
        <v>84</v>
      </c>
      <c r="C22" s="13">
        <v>0.626631944444444</v>
      </c>
      <c r="D22" s="13" t="s">
        <v>65</v>
      </c>
      <c r="E22" s="13">
        <v>0.757476851851852</v>
      </c>
      <c r="F22" s="14">
        <f t="shared" si="1"/>
        <v>3.14027777777778</v>
      </c>
      <c r="G22" s="15">
        <f t="shared" si="2"/>
        <v>3.14027777777778</v>
      </c>
      <c r="H22" s="15">
        <f t="shared" si="3"/>
        <v>0</v>
      </c>
      <c r="I22"/>
      <c r="J22"/>
    </row>
    <row r="23" ht="18.75" spans="1:10">
      <c r="A23" s="12">
        <f ca="1" t="shared" si="0"/>
        <v>46221.835399537</v>
      </c>
      <c r="B23" s="6" t="s">
        <v>68</v>
      </c>
      <c r="C23" s="13">
        <v>0.835393518518519</v>
      </c>
      <c r="D23" s="13" t="s">
        <v>65</v>
      </c>
      <c r="E23" s="13">
        <v>0.957662037037037</v>
      </c>
      <c r="F23" s="14">
        <f t="shared" si="1"/>
        <v>2.93444444444444</v>
      </c>
      <c r="G23" s="15">
        <f t="shared" si="2"/>
        <v>2.93444444444444</v>
      </c>
      <c r="H23" s="15">
        <f t="shared" si="3"/>
        <v>0</v>
      </c>
      <c r="I23"/>
      <c r="J23"/>
    </row>
    <row r="24" ht="18.75" spans="1:10">
      <c r="A24" s="12">
        <f ca="1" t="shared" si="0"/>
        <v>46222.300144213</v>
      </c>
      <c r="B24" s="6" t="s">
        <v>84</v>
      </c>
      <c r="C24" s="13">
        <v>0.300138888888889</v>
      </c>
      <c r="D24" s="13" t="s">
        <v>65</v>
      </c>
      <c r="E24" s="13">
        <v>0.362824074074074</v>
      </c>
      <c r="F24" s="14">
        <f t="shared" si="1"/>
        <v>1.50444444444444</v>
      </c>
      <c r="G24" s="15">
        <f t="shared" si="2"/>
        <v>0.707777777777786</v>
      </c>
      <c r="H24" s="15">
        <f t="shared" si="3"/>
        <v>0.796666666666658</v>
      </c>
      <c r="I24"/>
      <c r="J24"/>
    </row>
    <row r="25" ht="18.75" spans="1:10">
      <c r="A25" s="12">
        <f ca="1" t="shared" si="0"/>
        <v>46224.9528002315</v>
      </c>
      <c r="B25" s="6" t="s">
        <v>83</v>
      </c>
      <c r="C25" s="13">
        <v>0.952789351851852</v>
      </c>
      <c r="D25" s="13" t="s">
        <v>65</v>
      </c>
      <c r="E25" s="13">
        <v>0.0954745370370371</v>
      </c>
      <c r="F25" s="14">
        <f t="shared" si="1"/>
        <v>3.42444444444444</v>
      </c>
      <c r="G25" s="15">
        <f t="shared" si="2"/>
        <v>1.13305555555556</v>
      </c>
      <c r="H25" s="15">
        <f t="shared" si="3"/>
        <v>2.29138888888889</v>
      </c>
      <c r="I25"/>
      <c r="J25"/>
    </row>
    <row r="26" ht="18.75" spans="1:10">
      <c r="A26" s="12">
        <f ca="1" t="shared" si="0"/>
        <v>46225.0955168981</v>
      </c>
      <c r="B26" s="6" t="s">
        <v>70</v>
      </c>
      <c r="C26" s="13">
        <v>0.0955092592592593</v>
      </c>
      <c r="D26" s="13" t="s">
        <v>65</v>
      </c>
      <c r="E26" s="13">
        <v>0.144097222222222</v>
      </c>
      <c r="F26" s="14">
        <f t="shared" si="1"/>
        <v>1.16611111111111</v>
      </c>
      <c r="G26" s="15">
        <f t="shared" si="2"/>
        <v>0</v>
      </c>
      <c r="H26" s="15">
        <f t="shared" si="3"/>
        <v>1.16611111111111</v>
      </c>
      <c r="I26"/>
      <c r="J26"/>
    </row>
    <row r="27" ht="18.75" spans="1:10">
      <c r="A27" s="12">
        <f ca="1" t="shared" si="0"/>
        <v>46226.0149954861</v>
      </c>
      <c r="B27" s="6" t="s">
        <v>70</v>
      </c>
      <c r="C27" s="13">
        <v>0.0149884259259259</v>
      </c>
      <c r="D27" s="13" t="s">
        <v>65</v>
      </c>
      <c r="E27" s="13">
        <v>0.146087962962963</v>
      </c>
      <c r="F27" s="14">
        <f t="shared" si="1"/>
        <v>3.14638888888889</v>
      </c>
      <c r="G27" s="15">
        <f t="shared" si="2"/>
        <v>0</v>
      </c>
      <c r="H27" s="15">
        <f t="shared" si="3"/>
        <v>3.14638888888889</v>
      </c>
      <c r="I27"/>
      <c r="J27"/>
    </row>
    <row r="28" ht="18.75" spans="1:10">
      <c r="A28" s="12">
        <f ca="1" t="shared" si="0"/>
        <v>46228.9624008102</v>
      </c>
      <c r="B28" s="6" t="s">
        <v>70</v>
      </c>
      <c r="C28" s="13">
        <v>0.962395833333333</v>
      </c>
      <c r="D28" s="13" t="s">
        <v>65</v>
      </c>
      <c r="E28" s="13">
        <v>0.147291666666667</v>
      </c>
      <c r="F28" s="14">
        <f t="shared" si="1"/>
        <v>4.4375</v>
      </c>
      <c r="G28" s="15">
        <f t="shared" si="2"/>
        <v>0.9025</v>
      </c>
      <c r="H28" s="15">
        <f t="shared" si="3"/>
        <v>3.535</v>
      </c>
      <c r="I28"/>
      <c r="J28"/>
    </row>
    <row r="29" ht="18.75" spans="1:10">
      <c r="A29" s="12">
        <f ca="1" t="shared" si="0"/>
        <v>46230.1406105324</v>
      </c>
      <c r="B29" s="6" t="s">
        <v>70</v>
      </c>
      <c r="C29" s="13">
        <v>0.140601851851852</v>
      </c>
      <c r="D29" s="13" t="s">
        <v>65</v>
      </c>
      <c r="E29" s="13">
        <v>0.24068287037037</v>
      </c>
      <c r="F29" s="14">
        <f t="shared" si="1"/>
        <v>2.40194444444444</v>
      </c>
      <c r="G29" s="15">
        <f t="shared" si="2"/>
        <v>0</v>
      </c>
      <c r="H29" s="15">
        <f t="shared" si="3"/>
        <v>2.40194444444444</v>
      </c>
      <c r="I29"/>
      <c r="J29"/>
    </row>
    <row r="30" ht="18.75" spans="1:10">
      <c r="A30" s="12">
        <f ca="1" t="shared" si="0"/>
        <v>46230.2407277778</v>
      </c>
      <c r="B30" s="6" t="s">
        <v>68</v>
      </c>
      <c r="C30" s="13">
        <v>0.240717592592593</v>
      </c>
      <c r="D30" s="13" t="s">
        <v>65</v>
      </c>
      <c r="E30" s="13">
        <v>0.240810185185185</v>
      </c>
      <c r="F30" s="14">
        <f t="shared" si="1"/>
        <v>0.00222222222222213</v>
      </c>
      <c r="G30" s="15">
        <f t="shared" si="2"/>
        <v>0</v>
      </c>
      <c r="H30" s="15">
        <f t="shared" si="3"/>
        <v>0.00222222222222213</v>
      </c>
      <c r="I30"/>
      <c r="J30"/>
    </row>
    <row r="31" ht="18.75" spans="1:10">
      <c r="A31" s="12">
        <f ca="1" t="shared" si="0"/>
        <v>46230.2409328704</v>
      </c>
      <c r="B31" s="6" t="s">
        <v>68</v>
      </c>
      <c r="C31" s="13">
        <v>0.240925925925926</v>
      </c>
      <c r="D31" s="13" t="s">
        <v>65</v>
      </c>
      <c r="E31" s="13">
        <v>0.305625</v>
      </c>
      <c r="F31" s="14">
        <f t="shared" si="1"/>
        <v>1.55277777777778</v>
      </c>
      <c r="G31" s="15">
        <f t="shared" si="2"/>
        <v>0</v>
      </c>
      <c r="H31" s="15">
        <f t="shared" si="3"/>
        <v>1.55277777777778</v>
      </c>
      <c r="I31"/>
      <c r="J31"/>
    </row>
    <row r="32" ht="18.75" spans="1:10">
      <c r="A32" s="12">
        <f ca="1" t="shared" si="0"/>
        <v>46232.5019435185</v>
      </c>
      <c r="B32" s="6" t="s">
        <v>83</v>
      </c>
      <c r="C32" s="13">
        <v>0.50193287037037</v>
      </c>
      <c r="D32" s="13" t="s">
        <v>65</v>
      </c>
      <c r="E32" s="13">
        <v>0.632615740740741</v>
      </c>
      <c r="F32" s="14">
        <f t="shared" si="1"/>
        <v>3.13638888888889</v>
      </c>
      <c r="G32" s="15">
        <f t="shared" si="2"/>
        <v>3.13638888888889</v>
      </c>
      <c r="H32" s="15">
        <f t="shared" si="3"/>
        <v>0</v>
      </c>
      <c r="I32"/>
      <c r="J32"/>
    </row>
    <row r="33" ht="18.75" spans="1:10">
      <c r="A33" s="12">
        <f ca="1" t="shared" si="0"/>
        <v>46232.7514496528</v>
      </c>
      <c r="B33" s="6" t="s">
        <v>70</v>
      </c>
      <c r="C33" s="13">
        <v>0.751446759259259</v>
      </c>
      <c r="D33" s="13" t="s">
        <v>65</v>
      </c>
      <c r="E33" s="13">
        <v>0.882280092592593</v>
      </c>
      <c r="F33" s="14">
        <f t="shared" si="1"/>
        <v>3.14</v>
      </c>
      <c r="G33" s="15">
        <f t="shared" si="2"/>
        <v>3.14</v>
      </c>
      <c r="H33" s="15">
        <f t="shared" si="3"/>
        <v>0</v>
      </c>
      <c r="I33"/>
      <c r="J33"/>
    </row>
    <row r="34" ht="18.75" spans="1:10">
      <c r="A34" s="12">
        <f ca="1" t="shared" si="0"/>
        <v>46233.0150672454</v>
      </c>
      <c r="B34" s="6" t="s">
        <v>68</v>
      </c>
      <c r="C34" s="13">
        <v>0.0150578703703704</v>
      </c>
      <c r="D34" s="13" t="s">
        <v>65</v>
      </c>
      <c r="E34" s="13">
        <v>0.103391203703704</v>
      </c>
      <c r="F34" s="14">
        <f t="shared" si="1"/>
        <v>2.12</v>
      </c>
      <c r="G34" s="15">
        <f t="shared" si="2"/>
        <v>0</v>
      </c>
      <c r="H34" s="15">
        <f t="shared" si="3"/>
        <v>2.12</v>
      </c>
      <c r="I34"/>
      <c r="J34"/>
    </row>
    <row r="35" ht="18.75" spans="1:10">
      <c r="A35" s="12">
        <f ca="1" t="shared" si="0"/>
        <v>46233.4596599537</v>
      </c>
      <c r="B35" s="6" t="s">
        <v>68</v>
      </c>
      <c r="C35" s="13">
        <v>0.459652777777778</v>
      </c>
      <c r="D35" s="13" t="s">
        <v>65</v>
      </c>
      <c r="E35" s="13">
        <v>0.547916666666667</v>
      </c>
      <c r="F35" s="14">
        <f t="shared" si="1"/>
        <v>2.11833333333334</v>
      </c>
      <c r="G35" s="15">
        <f t="shared" si="2"/>
        <v>2.11833333333334</v>
      </c>
      <c r="H35" s="15">
        <f t="shared" si="3"/>
        <v>0</v>
      </c>
      <c r="I35"/>
      <c r="J35"/>
    </row>
    <row r="36" ht="18.75" spans="1:10">
      <c r="A36" s="12">
        <f ca="1" t="shared" si="0"/>
        <v>46233.6274574074</v>
      </c>
      <c r="B36" s="6" t="s">
        <v>68</v>
      </c>
      <c r="C36" s="13">
        <v>0.627453703703704</v>
      </c>
      <c r="D36" s="13" t="s">
        <v>65</v>
      </c>
      <c r="E36" s="13">
        <v>0.767789351851852</v>
      </c>
      <c r="F36" s="14">
        <f t="shared" si="1"/>
        <v>3.36805555555556</v>
      </c>
      <c r="G36" s="15">
        <f t="shared" si="2"/>
        <v>3.36805555555556</v>
      </c>
      <c r="H36" s="15">
        <f t="shared" si="3"/>
        <v>0</v>
      </c>
      <c r="I36"/>
      <c r="J36"/>
    </row>
    <row r="37" ht="18.75" spans="1:10">
      <c r="A37" s="12">
        <f ca="1" t="shared" si="0"/>
        <v>46233.8352074074</v>
      </c>
      <c r="B37" s="6" t="s">
        <v>68</v>
      </c>
      <c r="C37" s="13">
        <v>0.835196759259259</v>
      </c>
      <c r="D37" s="13" t="s">
        <v>65</v>
      </c>
      <c r="E37" s="13">
        <v>0.957662037037037</v>
      </c>
      <c r="F37" s="14">
        <f t="shared" si="1"/>
        <v>2.93916666666666</v>
      </c>
      <c r="G37" s="15">
        <f t="shared" si="2"/>
        <v>2.93916666666666</v>
      </c>
      <c r="H37" s="15">
        <f t="shared" si="3"/>
        <v>0</v>
      </c>
      <c r="I37"/>
      <c r="J37"/>
    </row>
    <row r="38" ht="18.75" spans="1:11">
      <c r="A38" s="12">
        <f ca="1" t="shared" si="0"/>
        <v>46234.3006615741</v>
      </c>
      <c r="B38" s="6" t="s">
        <v>84</v>
      </c>
      <c r="C38" s="13">
        <v>0.300659722222222</v>
      </c>
      <c r="D38" s="13" t="s">
        <v>65</v>
      </c>
      <c r="E38" s="13">
        <v>0.300925925925926</v>
      </c>
      <c r="F38" s="14">
        <f t="shared" si="1"/>
        <v>0.00638888888888944</v>
      </c>
      <c r="G38" s="15">
        <f t="shared" si="2"/>
        <v>0</v>
      </c>
      <c r="H38" s="15">
        <f t="shared" si="3"/>
        <v>0.00638888888888944</v>
      </c>
      <c r="I38" s="52"/>
      <c r="J38" s="53"/>
      <c r="K38" s="13"/>
    </row>
    <row r="39" ht="18.75" spans="1:11">
      <c r="A39" s="12">
        <f ca="1" t="shared" si="0"/>
        <v>46234.3010319444</v>
      </c>
      <c r="B39" s="6" t="s">
        <v>70</v>
      </c>
      <c r="C39" s="13">
        <v>0.301030092592593</v>
      </c>
      <c r="D39" s="13" t="s">
        <v>65</v>
      </c>
      <c r="E39" s="13">
        <v>0.301840277777778</v>
      </c>
      <c r="F39" s="14">
        <f t="shared" si="1"/>
        <v>0.0194444444444453</v>
      </c>
      <c r="G39" s="15">
        <f t="shared" si="2"/>
        <v>0</v>
      </c>
      <c r="H39" s="15">
        <f t="shared" si="3"/>
        <v>0.0194444444444453</v>
      </c>
      <c r="I39" s="52"/>
      <c r="J39" s="53"/>
      <c r="K39" s="13"/>
    </row>
    <row r="40" ht="18.75" spans="1:11">
      <c r="A40" s="12">
        <f ca="1" t="shared" si="0"/>
        <v>46234.3018847222</v>
      </c>
      <c r="B40" s="6" t="s">
        <v>84</v>
      </c>
      <c r="C40" s="13">
        <v>0.301875</v>
      </c>
      <c r="D40" s="13" t="s">
        <v>65</v>
      </c>
      <c r="E40" s="13">
        <v>0.363854166666667</v>
      </c>
      <c r="F40" s="14">
        <f t="shared" si="1"/>
        <v>1.4875</v>
      </c>
      <c r="G40" s="15">
        <f t="shared" si="2"/>
        <v>0.732500000000008</v>
      </c>
      <c r="H40" s="15">
        <f t="shared" si="3"/>
        <v>0.754999999999991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46205.1405688657</v>
      </c>
      <c r="B3" s="6" t="s">
        <v>84</v>
      </c>
      <c r="C3" s="13">
        <v>0.140798611111111</v>
      </c>
      <c r="D3" s="13" t="s">
        <v>65</v>
      </c>
      <c r="E3" s="13">
        <v>0.3053125</v>
      </c>
      <c r="F3" s="14">
        <f t="shared" ref="F3:F66" si="1">(IF(E3-C3&lt;0,"24:00"-C3+E3,E3-C3))*24</f>
        <v>3.94833333333333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3.94833333333333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46206.1415329861</v>
      </c>
      <c r="B4" s="6" t="s">
        <v>86</v>
      </c>
      <c r="C4" s="13">
        <v>0.141527777777778</v>
      </c>
      <c r="D4" s="13" t="s">
        <v>65</v>
      </c>
      <c r="E4" s="13">
        <v>0.237268518518519</v>
      </c>
      <c r="F4" s="14">
        <f t="shared" si="1"/>
        <v>2.29777777777778</v>
      </c>
      <c r="G4" s="15">
        <f t="shared" si="2"/>
        <v>0</v>
      </c>
      <c r="H4" s="15">
        <f t="shared" si="3"/>
        <v>2.29777777777778</v>
      </c>
      <c r="I4" s="23" t="s">
        <v>67</v>
      </c>
      <c r="J4" s="24">
        <f>SUMIF(B:B,"西塔台管制席",F:F)+SUMIF(B:B,"东塔台管制席",F:F)</f>
        <v>23.5236111111111</v>
      </c>
      <c r="K4" s="25">
        <f>SUMIF(B:B,"西塔台管制席",G:G)+SUMIF(B:B,"东塔台管制席",G:G)</f>
        <v>11.0644444444445</v>
      </c>
      <c r="L4" s="25">
        <f>SUMIF(B:B,"西塔台管制席",H:H)+SUMIF(B:B,"东塔台管制席",H:H)</f>
        <v>12.4591666666667</v>
      </c>
      <c r="M4" s="21"/>
    </row>
    <row r="5" ht="18.75" spans="1:13">
      <c r="A5" s="12">
        <f ca="1" t="shared" si="0"/>
        <v>46217.1338912037</v>
      </c>
      <c r="B5" s="6" t="s">
        <v>85</v>
      </c>
      <c r="C5" s="13">
        <v>0.133888888888889</v>
      </c>
      <c r="D5" s="13" t="s">
        <v>65</v>
      </c>
      <c r="E5" s="13">
        <v>0.224525462962963</v>
      </c>
      <c r="F5" s="14">
        <f t="shared" si="1"/>
        <v>2.17527777777778</v>
      </c>
      <c r="G5" s="15">
        <f t="shared" si="2"/>
        <v>0</v>
      </c>
      <c r="H5" s="15">
        <f t="shared" si="3"/>
        <v>2.17527777777778</v>
      </c>
      <c r="I5" s="23" t="s">
        <v>69</v>
      </c>
      <c r="J5" s="24">
        <f>SUMIF(B:B,"西塔台协调席",F:F)+SUMIF(B:B,"东塔台协调席",F:F)</f>
        <v>19.8338888888889</v>
      </c>
      <c r="K5" s="25">
        <f>SUMIF(B:B,"西塔台协调席",G:G)+SUMIF(B:B,"东塔台协调席",G:G)</f>
        <v>19.0422222222222</v>
      </c>
      <c r="L5" s="25">
        <f>SUMIF(B:B,"西塔台协调席",H:H)+SUMIF(B:B,"东塔台协调席",H:H)</f>
        <v>0.791666666666659</v>
      </c>
      <c r="M5" s="21"/>
    </row>
    <row r="6" ht="18.75" spans="1:13">
      <c r="A6" s="12">
        <f ca="1" t="shared" si="0"/>
        <v>46218.140224537</v>
      </c>
      <c r="B6" s="6" t="s">
        <v>70</v>
      </c>
      <c r="C6" s="13">
        <v>0.140219907407407</v>
      </c>
      <c r="D6" s="13" t="s">
        <v>65</v>
      </c>
      <c r="E6" s="13">
        <v>0.303344907407407</v>
      </c>
      <c r="F6" s="14">
        <f t="shared" si="1"/>
        <v>3.915</v>
      </c>
      <c r="G6" s="15">
        <f t="shared" si="2"/>
        <v>0</v>
      </c>
      <c r="H6" s="15">
        <f t="shared" si="3"/>
        <v>3.915</v>
      </c>
      <c r="I6" s="23" t="s">
        <v>71</v>
      </c>
      <c r="J6" s="24">
        <f>SUMIF(B:B,"放行席",F:F)</f>
        <v>4.21083333333333</v>
      </c>
      <c r="K6" s="25">
        <f>SUMIF(B:B,"放行席",G:G)</f>
        <v>0</v>
      </c>
      <c r="L6" s="25">
        <f>SUMIF(B:B,"放行席",H:H)</f>
        <v>4.21083333333333</v>
      </c>
      <c r="M6" s="21"/>
    </row>
    <row r="7" ht="18.75" spans="1:13">
      <c r="A7" s="12">
        <f ca="1" t="shared" si="0"/>
        <v>46220.3543471065</v>
      </c>
      <c r="B7" s="6" t="s">
        <v>68</v>
      </c>
      <c r="C7" s="13">
        <v>0.354606481481481</v>
      </c>
      <c r="D7" s="13" t="s">
        <v>65</v>
      </c>
      <c r="E7" s="13">
        <v>0.507303240740741</v>
      </c>
      <c r="F7" s="14">
        <f t="shared" si="1"/>
        <v>3.66472222222222</v>
      </c>
      <c r="G7" s="15">
        <f t="shared" si="2"/>
        <v>3.66472222222222</v>
      </c>
      <c r="H7" s="15">
        <f t="shared" si="3"/>
        <v>0</v>
      </c>
      <c r="I7" s="23" t="s">
        <v>72</v>
      </c>
      <c r="J7" s="24">
        <f>SUMIF(B:B,"地面席",F:F)</f>
        <v>2.35861111111111</v>
      </c>
      <c r="K7" s="25">
        <f>SUMIF(B:B,"地面席",G:G)</f>
        <v>0</v>
      </c>
      <c r="L7" s="25">
        <f>SUMIF(B:B,"地面席",H:H)</f>
        <v>2.35861111111111</v>
      </c>
      <c r="M7" s="21"/>
    </row>
    <row r="8" ht="18.75" spans="1:13">
      <c r="A8" s="12">
        <f ca="1" t="shared" si="0"/>
        <v>46220.6268079861</v>
      </c>
      <c r="B8" s="6" t="s">
        <v>84</v>
      </c>
      <c r="C8" s="13">
        <v>0.626805555555556</v>
      </c>
      <c r="D8" s="13" t="s">
        <v>65</v>
      </c>
      <c r="E8" s="13">
        <v>0.758275462962963</v>
      </c>
      <c r="F8" s="14">
        <f t="shared" si="1"/>
        <v>3.15527777777778</v>
      </c>
      <c r="G8" s="15">
        <f t="shared" si="2"/>
        <v>3.15527777777778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46220.8777987269</v>
      </c>
      <c r="B9" s="6" t="s">
        <v>68</v>
      </c>
      <c r="C9" s="13">
        <v>0.877789351851852</v>
      </c>
      <c r="D9" s="13" t="s">
        <v>65</v>
      </c>
      <c r="E9" s="13">
        <v>0.957256944444444</v>
      </c>
      <c r="F9" s="14">
        <f t="shared" si="1"/>
        <v>1.90722222222222</v>
      </c>
      <c r="G9" s="15">
        <f t="shared" si="2"/>
        <v>1.90722222222222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46221.3009392361</v>
      </c>
      <c r="B10" s="6" t="s">
        <v>84</v>
      </c>
      <c r="C10" s="13">
        <v>0.3009375</v>
      </c>
      <c r="D10" s="13" t="s">
        <v>65</v>
      </c>
      <c r="E10" s="13">
        <v>0.422326388888889</v>
      </c>
      <c r="F10" s="14">
        <f t="shared" si="1"/>
        <v>2.91333333333333</v>
      </c>
      <c r="G10" s="15">
        <f t="shared" si="2"/>
        <v>2.13583333333334</v>
      </c>
      <c r="H10" s="15">
        <f t="shared" si="3"/>
        <v>0.777499999999991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46221.5095498843</v>
      </c>
      <c r="B11" s="6" t="s">
        <v>68</v>
      </c>
      <c r="C11" s="13">
        <v>0.509548611111111</v>
      </c>
      <c r="D11" s="13" t="s">
        <v>65</v>
      </c>
      <c r="E11" s="13">
        <v>0.629814814814815</v>
      </c>
      <c r="F11" s="14">
        <f t="shared" si="1"/>
        <v>2.88638888888889</v>
      </c>
      <c r="G11" s="15">
        <f t="shared" si="2"/>
        <v>2.88638888888889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46229.1407694444</v>
      </c>
      <c r="B12" s="6" t="s">
        <v>86</v>
      </c>
      <c r="C12" s="13">
        <v>0.140428240740741</v>
      </c>
      <c r="D12" s="13" t="s">
        <v>65</v>
      </c>
      <c r="E12" s="13">
        <v>0.142962962962963</v>
      </c>
      <c r="F12" s="14">
        <f t="shared" si="1"/>
        <v>0.0608333333333329</v>
      </c>
      <c r="G12" s="15">
        <f t="shared" si="2"/>
        <v>0</v>
      </c>
      <c r="H12" s="15">
        <f t="shared" si="3"/>
        <v>0.0608333333333329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46229.1432856481</v>
      </c>
      <c r="B13" s="6" t="s">
        <v>84</v>
      </c>
      <c r="C13" s="13">
        <v>0.143275462962963</v>
      </c>
      <c r="D13" s="13" t="s">
        <v>65</v>
      </c>
      <c r="E13" s="13">
        <v>0.302372685185185</v>
      </c>
      <c r="F13" s="14">
        <f t="shared" si="1"/>
        <v>3.81833333333333</v>
      </c>
      <c r="G13" s="15">
        <f t="shared" si="2"/>
        <v>0</v>
      </c>
      <c r="H13" s="15">
        <f t="shared" si="3"/>
        <v>3.81833333333333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46230.1351667824</v>
      </c>
      <c r="B14" s="6" t="s">
        <v>85</v>
      </c>
      <c r="C14" s="13">
        <v>0.135162037037037</v>
      </c>
      <c r="D14" s="13" t="s">
        <v>65</v>
      </c>
      <c r="E14" s="13">
        <v>0.219976851851852</v>
      </c>
      <c r="F14" s="14">
        <f t="shared" si="1"/>
        <v>2.03555555555556</v>
      </c>
      <c r="G14" s="15">
        <f t="shared" si="2"/>
        <v>0</v>
      </c>
      <c r="H14" s="15">
        <f t="shared" si="3"/>
        <v>2.03555555555556</v>
      </c>
      <c r="I14" s="33"/>
      <c r="J14" s="33"/>
      <c r="K14" s="33"/>
      <c r="L14" s="33"/>
      <c r="M14" s="33"/>
    </row>
    <row r="15" ht="101.25" spans="1:13">
      <c r="A15" s="12">
        <f ca="1" t="shared" si="0"/>
        <v>46232.3548122685</v>
      </c>
      <c r="B15" s="6" t="s">
        <v>70</v>
      </c>
      <c r="C15" s="13">
        <v>0.354803240740741</v>
      </c>
      <c r="D15" s="13" t="s">
        <v>65</v>
      </c>
      <c r="E15" s="13">
        <v>0.513969907407407</v>
      </c>
      <c r="F15" s="14">
        <f t="shared" si="1"/>
        <v>3.82</v>
      </c>
      <c r="G15" s="15">
        <f t="shared" si="2"/>
        <v>3.82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46232.6271003472</v>
      </c>
      <c r="B16" s="6" t="s">
        <v>83</v>
      </c>
      <c r="C16" s="13">
        <v>0.627094907407407</v>
      </c>
      <c r="D16" s="13" t="s">
        <v>65</v>
      </c>
      <c r="E16" s="13">
        <v>0.765358796296296</v>
      </c>
      <c r="F16" s="14">
        <f t="shared" si="1"/>
        <v>3.31833333333333</v>
      </c>
      <c r="G16" s="15">
        <f t="shared" si="2"/>
        <v>3.31833333333333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46232.8775528935</v>
      </c>
      <c r="B17" s="6" t="s">
        <v>70</v>
      </c>
      <c r="C17" s="13">
        <v>0.877546296296296</v>
      </c>
      <c r="D17" s="13" t="s">
        <v>65</v>
      </c>
      <c r="E17" s="13">
        <v>0.958935185185185</v>
      </c>
      <c r="F17" s="14">
        <f t="shared" si="1"/>
        <v>1.95333333333333</v>
      </c>
      <c r="G17" s="15">
        <f t="shared" si="2"/>
        <v>1.95333333333333</v>
      </c>
      <c r="H17" s="15">
        <f t="shared" si="3"/>
        <v>0</v>
      </c>
      <c r="I17" s="39" t="s">
        <v>80</v>
      </c>
      <c r="J17" s="40">
        <f>J4+J5+J6+J7+J10</f>
        <v>49.9269444444445</v>
      </c>
      <c r="K17" s="41">
        <f>K4+K5+K6+K7+K10</f>
        <v>30.1066666666667</v>
      </c>
      <c r="L17" s="42">
        <f>L4+L5+L6+L7+L10</f>
        <v>19.8202777777778</v>
      </c>
      <c r="M17" s="43"/>
    </row>
    <row r="18" ht="20.25" spans="1:13">
      <c r="A18" s="12">
        <f ca="1" t="shared" si="0"/>
        <v>46233.3003472222</v>
      </c>
      <c r="B18" s="6" t="s">
        <v>68</v>
      </c>
      <c r="C18" s="13">
        <v>0.300347222222222</v>
      </c>
      <c r="D18" s="13" t="s">
        <v>65</v>
      </c>
      <c r="E18" s="13">
        <v>0.464490740740741</v>
      </c>
      <c r="F18" s="14">
        <f t="shared" si="1"/>
        <v>3.93944444444444</v>
      </c>
      <c r="G18" s="15">
        <f t="shared" si="2"/>
        <v>3.14777777777779</v>
      </c>
      <c r="H18" s="15">
        <f t="shared" si="3"/>
        <v>0.791666666666659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46233.54406875</v>
      </c>
      <c r="B19" s="6" t="s">
        <v>68</v>
      </c>
      <c r="C19" s="13">
        <v>0.544097222222222</v>
      </c>
      <c r="D19" s="13" t="s">
        <v>65</v>
      </c>
      <c r="E19" s="13">
        <v>0.632800925925926</v>
      </c>
      <c r="F19" s="14">
        <f t="shared" si="1"/>
        <v>2.12888888888889</v>
      </c>
      <c r="G19" s="15">
        <f t="shared" si="2"/>
        <v>2.12888888888889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46233.7602728009</v>
      </c>
      <c r="B20" s="6" t="s">
        <v>68</v>
      </c>
      <c r="C20" s="13">
        <v>0.760266203703704</v>
      </c>
      <c r="D20" s="13" t="s">
        <v>65</v>
      </c>
      <c r="E20" s="13">
        <v>0.843136574074074</v>
      </c>
      <c r="F20" s="14">
        <f t="shared" si="1"/>
        <v>1.98888888888889</v>
      </c>
      <c r="G20" s="15">
        <f t="shared" si="2"/>
        <v>1.98888888888889</v>
      </c>
      <c r="H20" s="15">
        <f t="shared" si="3"/>
        <v>0</v>
      </c>
      <c r="I20" s="44" t="s">
        <v>82</v>
      </c>
      <c r="J20" s="45">
        <f>J16+J17+J18+J19</f>
        <v>49.9269444444445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46204.9540555556</v>
      </c>
      <c r="B3" s="6" t="s">
        <v>68</v>
      </c>
      <c r="C3" s="13">
        <v>0.954050925925926</v>
      </c>
      <c r="D3" s="13" t="s">
        <v>65</v>
      </c>
      <c r="E3" s="13">
        <v>0.105196759259259</v>
      </c>
      <c r="F3" s="14">
        <f t="shared" ref="F3:F66" si="1">(IF(E3-C3&lt;0,"24:00"-C3+E3,E3-C3))*24</f>
        <v>3.6275</v>
      </c>
      <c r="G3" s="15">
        <f t="shared" ref="G3:G66" si="2">F3-H3</f>
        <v>1.10277777777778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2.52472222222222</v>
      </c>
      <c r="I3" s="18" t="s">
        <v>66</v>
      </c>
      <c r="J3" s="19">
        <f>SUMIF(B:B,"带班主任",F:F)</f>
        <v>58.2511111111111</v>
      </c>
      <c r="K3" s="20">
        <f>SUMIF(B:B,"带班主任",G:G)</f>
        <v>40.6569444444445</v>
      </c>
      <c r="L3" s="20">
        <f>SUMIF(B:B,"带班主任",H:H)</f>
        <v>17.5941666666666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46205.4585103009</v>
      </c>
      <c r="B4" s="6" t="s">
        <v>68</v>
      </c>
      <c r="C4" s="13">
        <v>0.458506944444444</v>
      </c>
      <c r="D4" s="13" t="s">
        <v>65</v>
      </c>
      <c r="E4" s="13">
        <v>0.556516203703704</v>
      </c>
      <c r="F4" s="14">
        <f t="shared" si="1"/>
        <v>2.35222222222222</v>
      </c>
      <c r="G4" s="15">
        <f t="shared" si="2"/>
        <v>2.35222222222222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14.2944444444444</v>
      </c>
      <c r="K4" s="25">
        <f>SUMIF(B:B,"西塔台管制席",G:G)+SUMIF(B:B,"东塔台管制席",G:G)</f>
        <v>11.0958333333333</v>
      </c>
      <c r="L4" s="25">
        <f>SUMIF(B:B,"西塔台管制席",H:H)+SUMIF(B:B,"东塔台管制席",H:H)</f>
        <v>3.1986111111111</v>
      </c>
      <c r="M4" s="21"/>
    </row>
    <row r="5" ht="18.75" spans="1:13">
      <c r="A5" s="12">
        <f ca="1" t="shared" si="0"/>
        <v>46205.6261030093</v>
      </c>
      <c r="B5" s="6" t="s">
        <v>84</v>
      </c>
      <c r="C5" s="13">
        <v>0.626099537037037</v>
      </c>
      <c r="D5" s="13" t="s">
        <v>65</v>
      </c>
      <c r="E5" s="13">
        <v>0.757256944444444</v>
      </c>
      <c r="F5" s="14">
        <f t="shared" si="1"/>
        <v>3.14777777777778</v>
      </c>
      <c r="G5" s="15">
        <f t="shared" si="2"/>
        <v>3.14777777777778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12.6855555555556</v>
      </c>
      <c r="K5" s="25">
        <f>SUMIF(B:B,"西塔台协调席",G:G)+SUMIF(B:B,"东塔台协调席",G:G)</f>
        <v>9.31861111111112</v>
      </c>
      <c r="L5" s="25">
        <f>SUMIF(B:B,"西塔台协调席",H:H)+SUMIF(B:B,"东塔台协调席",H:H)</f>
        <v>3.36694444444444</v>
      </c>
      <c r="M5" s="21"/>
    </row>
    <row r="6" ht="18.75" spans="1:13">
      <c r="A6" s="12">
        <f ca="1" t="shared" si="0"/>
        <v>46205.8342239583</v>
      </c>
      <c r="B6" s="6" t="s">
        <v>84</v>
      </c>
      <c r="C6" s="13">
        <v>0.834375</v>
      </c>
      <c r="D6" s="13" t="s">
        <v>65</v>
      </c>
      <c r="E6" s="13">
        <v>0.957534722222222</v>
      </c>
      <c r="F6" s="14">
        <f t="shared" si="1"/>
        <v>2.95583333333333</v>
      </c>
      <c r="G6" s="15">
        <f t="shared" si="2"/>
        <v>2.95583333333333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46206.2982478009</v>
      </c>
      <c r="B7" s="6" t="s">
        <v>68</v>
      </c>
      <c r="C7" s="13">
        <v>0.298240740740741</v>
      </c>
      <c r="D7" s="13" t="s">
        <v>65</v>
      </c>
      <c r="E7" s="13">
        <v>0.36568287037037</v>
      </c>
      <c r="F7" s="14">
        <f t="shared" si="1"/>
        <v>1.61861111111111</v>
      </c>
      <c r="G7" s="15">
        <f t="shared" si="2"/>
        <v>0.776388888888897</v>
      </c>
      <c r="H7" s="15">
        <f t="shared" si="3"/>
        <v>0.842222222222214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46208.3561491898</v>
      </c>
      <c r="B8" s="6" t="s">
        <v>64</v>
      </c>
      <c r="C8" s="13">
        <v>0.356145833333333</v>
      </c>
      <c r="D8" s="13" t="s">
        <v>65</v>
      </c>
      <c r="E8" s="13">
        <v>0.528865740740741</v>
      </c>
      <c r="F8" s="14">
        <f t="shared" si="1"/>
        <v>4.14527777777778</v>
      </c>
      <c r="G8" s="15">
        <f t="shared" si="2"/>
        <v>4.14527777777778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46208.6484734954</v>
      </c>
      <c r="B9" s="6" t="s">
        <v>64</v>
      </c>
      <c r="C9" s="13">
        <v>0.648472222222222</v>
      </c>
      <c r="D9" s="13" t="s">
        <v>65</v>
      </c>
      <c r="E9" s="13">
        <v>0.775787037037037</v>
      </c>
      <c r="F9" s="14">
        <f t="shared" si="1"/>
        <v>3.05555555555556</v>
      </c>
      <c r="G9" s="15">
        <f t="shared" si="2"/>
        <v>3.05555555555556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46216.9391300926</v>
      </c>
      <c r="B10" s="6" t="s">
        <v>64</v>
      </c>
      <c r="C10" s="13">
        <v>0.93912037037037</v>
      </c>
      <c r="D10" s="13" t="s">
        <v>65</v>
      </c>
      <c r="E10" s="13">
        <v>0.139907407407407</v>
      </c>
      <c r="F10" s="14">
        <f t="shared" si="1"/>
        <v>4.81888888888889</v>
      </c>
      <c r="G10" s="15">
        <f t="shared" si="2"/>
        <v>1.46111111111111</v>
      </c>
      <c r="H10" s="15">
        <f t="shared" si="3"/>
        <v>3.35777777777778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46218.1337784722</v>
      </c>
      <c r="B11" s="6" t="s">
        <v>64</v>
      </c>
      <c r="C11" s="13">
        <v>0.133773148148148</v>
      </c>
      <c r="D11" s="13" t="s">
        <v>65</v>
      </c>
      <c r="E11" s="13">
        <v>0.297303240740741</v>
      </c>
      <c r="F11" s="14">
        <f t="shared" si="1"/>
        <v>3.92472222222222</v>
      </c>
      <c r="G11" s="15">
        <f t="shared" si="2"/>
        <v>0</v>
      </c>
      <c r="H11" s="15">
        <f t="shared" si="3"/>
        <v>3.92472222222222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46220.7721689815</v>
      </c>
      <c r="B12" s="6" t="s">
        <v>64</v>
      </c>
      <c r="C12" s="13">
        <v>0.772164351851852</v>
      </c>
      <c r="D12" s="13" t="s">
        <v>65</v>
      </c>
      <c r="E12" s="13">
        <v>0.818703703703704</v>
      </c>
      <c r="F12" s="14">
        <f t="shared" si="1"/>
        <v>1.11694444444444</v>
      </c>
      <c r="G12" s="15">
        <f t="shared" si="2"/>
        <v>1.11694444444444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46221.13405625</v>
      </c>
      <c r="B13" s="6" t="s">
        <v>64</v>
      </c>
      <c r="C13" s="13">
        <v>0.134050925925926</v>
      </c>
      <c r="D13" s="13" t="s">
        <v>65</v>
      </c>
      <c r="E13" s="13">
        <v>0.306956018518519</v>
      </c>
      <c r="F13" s="14">
        <f t="shared" si="1"/>
        <v>4.14972222222222</v>
      </c>
      <c r="G13" s="15">
        <f t="shared" si="2"/>
        <v>0</v>
      </c>
      <c r="H13" s="15">
        <f t="shared" si="3"/>
        <v>4.14972222222222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46221.7721689815</v>
      </c>
      <c r="B14" s="6" t="s">
        <v>64</v>
      </c>
      <c r="C14" s="13">
        <v>0.772164351851852</v>
      </c>
      <c r="D14" s="13" t="s">
        <v>65</v>
      </c>
      <c r="E14" s="13">
        <v>0.945555555555556</v>
      </c>
      <c r="F14" s="14">
        <f t="shared" si="1"/>
        <v>4.16138888888889</v>
      </c>
      <c r="G14" s="15">
        <f t="shared" si="2"/>
        <v>4.16138888888889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46222.2989861111</v>
      </c>
      <c r="B15" s="6" t="s">
        <v>64</v>
      </c>
      <c r="C15" s="13">
        <v>0.298981481481481</v>
      </c>
      <c r="D15" s="13" t="s">
        <v>65</v>
      </c>
      <c r="E15" s="13">
        <v>0.356886574074074</v>
      </c>
      <c r="F15" s="14">
        <f t="shared" si="1"/>
        <v>1.38972222222222</v>
      </c>
      <c r="G15" s="15">
        <f t="shared" si="2"/>
        <v>0.565277777777787</v>
      </c>
      <c r="H15" s="15">
        <f t="shared" si="3"/>
        <v>0.824444444444437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46224.9526743056</v>
      </c>
      <c r="B16" s="6" t="s">
        <v>70</v>
      </c>
      <c r="C16" s="13">
        <v>0.952673611111111</v>
      </c>
      <c r="D16" s="13" t="s">
        <v>65</v>
      </c>
      <c r="E16" s="13">
        <v>0.100243055555556</v>
      </c>
      <c r="F16" s="14">
        <f t="shared" si="1"/>
        <v>3.54166666666667</v>
      </c>
      <c r="G16" s="15">
        <f t="shared" si="2"/>
        <v>1.13583333333334</v>
      </c>
      <c r="H16" s="15">
        <f t="shared" si="3"/>
        <v>2.40583333333333</v>
      </c>
      <c r="I16" s="39" t="s">
        <v>66</v>
      </c>
      <c r="J16" s="40">
        <f t="shared" ref="J16:L16" si="4">J3</f>
        <v>58.2511111111111</v>
      </c>
      <c r="K16" s="41">
        <f t="shared" si="4"/>
        <v>40.6569444444445</v>
      </c>
      <c r="L16" s="42">
        <f t="shared" si="4"/>
        <v>17.5941666666666</v>
      </c>
      <c r="M16" s="43"/>
    </row>
    <row r="17" ht="20.25" spans="1:13">
      <c r="A17" s="12">
        <f ca="1" t="shared" si="0"/>
        <v>46225.4588552083</v>
      </c>
      <c r="B17" s="6" t="s">
        <v>68</v>
      </c>
      <c r="C17" s="13">
        <v>0.458854166666667</v>
      </c>
      <c r="D17" s="13" t="s">
        <v>65</v>
      </c>
      <c r="E17" s="13">
        <v>0.548993055555556</v>
      </c>
      <c r="F17" s="14">
        <f t="shared" si="1"/>
        <v>2.16333333333333</v>
      </c>
      <c r="G17" s="15">
        <f t="shared" si="2"/>
        <v>2.16333333333333</v>
      </c>
      <c r="H17" s="15">
        <f t="shared" si="3"/>
        <v>0</v>
      </c>
      <c r="I17" s="39" t="s">
        <v>80</v>
      </c>
      <c r="J17" s="40">
        <f>J4+J5+J6+J7+J10</f>
        <v>26.98</v>
      </c>
      <c r="K17" s="41">
        <f>K4+K5+K6+K7+K10</f>
        <v>20.4144444444445</v>
      </c>
      <c r="L17" s="42">
        <f>L4+L5+L6+L7+L10</f>
        <v>6.56555555555554</v>
      </c>
      <c r="M17" s="43"/>
    </row>
    <row r="18" ht="20.25" spans="1:13">
      <c r="A18" s="12">
        <f ca="1" t="shared" si="0"/>
        <v>46225.6264085648</v>
      </c>
      <c r="B18" s="6" t="s">
        <v>84</v>
      </c>
      <c r="C18" s="13">
        <v>0.626400462962963</v>
      </c>
      <c r="D18" s="13" t="s">
        <v>65</v>
      </c>
      <c r="E18" s="13">
        <v>0.756655092592593</v>
      </c>
      <c r="F18" s="14">
        <f t="shared" si="1"/>
        <v>3.12611111111111</v>
      </c>
      <c r="G18" s="15">
        <f t="shared" si="2"/>
        <v>3.12611111111111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46225.8349701389</v>
      </c>
      <c r="B19" s="6" t="s">
        <v>68</v>
      </c>
      <c r="C19" s="13">
        <v>0.835</v>
      </c>
      <c r="D19" s="13" t="s">
        <v>65</v>
      </c>
      <c r="E19" s="13">
        <v>0.956828703703704</v>
      </c>
      <c r="F19" s="14">
        <f t="shared" si="1"/>
        <v>2.92388888888889</v>
      </c>
      <c r="G19" s="15">
        <f t="shared" si="2"/>
        <v>2.92388888888889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46226.3003015046</v>
      </c>
      <c r="B20" s="6" t="s">
        <v>84</v>
      </c>
      <c r="C20" s="13">
        <v>0.300300925925926</v>
      </c>
      <c r="D20" s="13" t="s">
        <v>65</v>
      </c>
      <c r="E20" s="13">
        <v>0.363761574074074</v>
      </c>
      <c r="F20" s="14">
        <f t="shared" si="1"/>
        <v>1.52305555555555</v>
      </c>
      <c r="G20" s="15">
        <f t="shared" si="2"/>
        <v>0.730277777777786</v>
      </c>
      <c r="H20" s="15">
        <f t="shared" si="3"/>
        <v>0.792777777777769</v>
      </c>
      <c r="I20" s="44" t="s">
        <v>82</v>
      </c>
      <c r="J20" s="45">
        <f>J16+J17+J18+J19</f>
        <v>85.2311111111111</v>
      </c>
      <c r="K20" s="46"/>
      <c r="L20" s="47"/>
      <c r="M20" s="48"/>
    </row>
    <row r="21" ht="20.25" spans="1:13">
      <c r="A21" s="12">
        <f ca="1" t="shared" si="0"/>
        <v>46228.3525321759</v>
      </c>
      <c r="B21" s="6" t="s">
        <v>64</v>
      </c>
      <c r="C21" s="13">
        <v>0.352523148148148</v>
      </c>
      <c r="D21" s="13" t="s">
        <v>65</v>
      </c>
      <c r="E21" s="13">
        <v>0.538125</v>
      </c>
      <c r="F21" s="14">
        <f t="shared" si="1"/>
        <v>4.45444444444444</v>
      </c>
      <c r="G21" s="15">
        <f t="shared" si="2"/>
        <v>4.45444444444444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46228.6481076389</v>
      </c>
      <c r="B22" s="6" t="s">
        <v>64</v>
      </c>
      <c r="C22" s="13">
        <v>0.648101851851852</v>
      </c>
      <c r="D22" s="13" t="s">
        <v>65</v>
      </c>
      <c r="E22" s="13">
        <v>0.778217592592593</v>
      </c>
      <c r="F22" s="14">
        <f t="shared" si="1"/>
        <v>3.12277777777778</v>
      </c>
      <c r="G22" s="15">
        <f t="shared" si="2"/>
        <v>3.12277777777778</v>
      </c>
      <c r="H22" s="15">
        <f t="shared" si="3"/>
        <v>0</v>
      </c>
      <c r="I22"/>
      <c r="J22"/>
    </row>
    <row r="23" ht="18.75" spans="1:10">
      <c r="A23" s="12">
        <f ca="1" t="shared" si="0"/>
        <v>46229.5233289352</v>
      </c>
      <c r="B23" s="6" t="s">
        <v>64</v>
      </c>
      <c r="C23" s="13">
        <v>0.523321759259259</v>
      </c>
      <c r="D23" s="13" t="s">
        <v>65</v>
      </c>
      <c r="E23" s="13">
        <v>0.651643518518519</v>
      </c>
      <c r="F23" s="14">
        <f t="shared" si="1"/>
        <v>3.07972222222222</v>
      </c>
      <c r="G23" s="15">
        <f t="shared" si="2"/>
        <v>3.07972222222222</v>
      </c>
      <c r="H23" s="15">
        <f t="shared" si="3"/>
        <v>0</v>
      </c>
      <c r="I23"/>
      <c r="J23"/>
    </row>
    <row r="24" ht="18.75" spans="1:10">
      <c r="A24" s="12">
        <f ca="1" t="shared" si="0"/>
        <v>46229.7729572917</v>
      </c>
      <c r="B24" s="6" t="s">
        <v>64</v>
      </c>
      <c r="C24" s="13">
        <v>0.772951388888889</v>
      </c>
      <c r="D24" s="13" t="s">
        <v>65</v>
      </c>
      <c r="E24" s="13">
        <v>0.943506944444444</v>
      </c>
      <c r="F24" s="14">
        <f t="shared" si="1"/>
        <v>4.09333333333333</v>
      </c>
      <c r="G24" s="15">
        <f t="shared" si="2"/>
        <v>4.09333333333333</v>
      </c>
      <c r="H24" s="15">
        <f t="shared" si="3"/>
        <v>0</v>
      </c>
      <c r="I24"/>
      <c r="J24"/>
    </row>
    <row r="25" ht="18.75" spans="1:10">
      <c r="A25" s="12">
        <f ca="1" t="shared" si="0"/>
        <v>46230.2938402778</v>
      </c>
      <c r="B25" s="6" t="s">
        <v>64</v>
      </c>
      <c r="C25" s="13">
        <v>0.293831018518519</v>
      </c>
      <c r="D25" s="13" t="s">
        <v>65</v>
      </c>
      <c r="E25" s="13">
        <v>0.365219907407407</v>
      </c>
      <c r="F25" s="14">
        <f t="shared" si="1"/>
        <v>1.71333333333333</v>
      </c>
      <c r="G25" s="15">
        <f t="shared" si="2"/>
        <v>0.765277777777786</v>
      </c>
      <c r="H25" s="15">
        <f t="shared" si="3"/>
        <v>0.948055555555547</v>
      </c>
      <c r="I25"/>
      <c r="J25"/>
    </row>
    <row r="26" ht="18.75" spans="1:10">
      <c r="A26" s="12">
        <f ca="1" t="shared" si="0"/>
        <v>46232.5363350694</v>
      </c>
      <c r="B26" s="6" t="s">
        <v>64</v>
      </c>
      <c r="C26" s="13">
        <v>0.536331018518518</v>
      </c>
      <c r="D26" s="13" t="s">
        <v>65</v>
      </c>
      <c r="E26" s="13">
        <v>0.780347222222222</v>
      </c>
      <c r="F26" s="14">
        <f t="shared" si="1"/>
        <v>5.85638888888889</v>
      </c>
      <c r="G26" s="15">
        <f t="shared" si="2"/>
        <v>5.85638888888889</v>
      </c>
      <c r="H26" s="15">
        <f t="shared" si="3"/>
        <v>0</v>
      </c>
      <c r="I26"/>
      <c r="J26"/>
    </row>
    <row r="27" ht="18.75" spans="1:10">
      <c r="A27" s="12">
        <f ca="1" t="shared" si="0"/>
        <v>46233.1332958333</v>
      </c>
      <c r="B27" s="6" t="s">
        <v>64</v>
      </c>
      <c r="C27" s="13">
        <v>0.133287037037037</v>
      </c>
      <c r="D27" s="13" t="s">
        <v>65</v>
      </c>
      <c r="E27" s="13">
        <v>0.265231481481482</v>
      </c>
      <c r="F27" s="14">
        <f t="shared" si="1"/>
        <v>3.16666666666667</v>
      </c>
      <c r="G27" s="15">
        <f t="shared" si="2"/>
        <v>0</v>
      </c>
      <c r="H27" s="15">
        <f t="shared" si="3"/>
        <v>3.16666666666667</v>
      </c>
      <c r="I27"/>
      <c r="J27"/>
    </row>
    <row r="28" ht="18.75" spans="1:10">
      <c r="A28" s="12">
        <f ca="1" t="shared" si="0"/>
        <v>46233.2796398148</v>
      </c>
      <c r="B28" s="6" t="s">
        <v>64</v>
      </c>
      <c r="C28" s="13">
        <v>0.27962962962963</v>
      </c>
      <c r="D28" s="13" t="s">
        <v>65</v>
      </c>
      <c r="E28" s="13">
        <v>0.298854166666667</v>
      </c>
      <c r="F28" s="14">
        <f t="shared" si="1"/>
        <v>0.46138888888889</v>
      </c>
      <c r="G28" s="15">
        <f t="shared" si="2"/>
        <v>0</v>
      </c>
      <c r="H28" s="15">
        <f t="shared" si="3"/>
        <v>0.46138888888889</v>
      </c>
      <c r="I28"/>
      <c r="J28"/>
    </row>
    <row r="29" ht="18.75" spans="1:10">
      <c r="A29" s="12">
        <f ca="1" t="shared" si="0"/>
        <v>46233.7726361111</v>
      </c>
      <c r="B29" s="6" t="s">
        <v>64</v>
      </c>
      <c r="C29" s="13">
        <v>0.772627314814815</v>
      </c>
      <c r="D29" s="13" t="s">
        <v>65</v>
      </c>
      <c r="E29" s="13">
        <v>0.944791666666667</v>
      </c>
      <c r="F29" s="14">
        <f t="shared" si="1"/>
        <v>4.13194444444445</v>
      </c>
      <c r="G29" s="15">
        <f t="shared" si="2"/>
        <v>4.13194444444445</v>
      </c>
      <c r="H29" s="15">
        <f t="shared" si="3"/>
        <v>0</v>
      </c>
      <c r="I29"/>
      <c r="J29"/>
    </row>
    <row r="30" ht="18.75" spans="1:10">
      <c r="A30" s="12">
        <f ca="1" t="shared" si="0"/>
        <v>46234.3016148148</v>
      </c>
      <c r="B30" s="6" t="s">
        <v>64</v>
      </c>
      <c r="C30" s="13">
        <v>0.301608796296296</v>
      </c>
      <c r="D30" s="13" t="s">
        <v>65</v>
      </c>
      <c r="E30" s="13">
        <v>0.3603125</v>
      </c>
      <c r="F30" s="14">
        <f t="shared" si="1"/>
        <v>1.40888888888889</v>
      </c>
      <c r="G30" s="15">
        <f t="shared" si="2"/>
        <v>0.647500000000009</v>
      </c>
      <c r="H30" s="15">
        <f t="shared" si="3"/>
        <v>0.761388888888881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338"/>
  <sheetViews>
    <sheetView zoomScale="85" zoomScaleNormal="85" workbookViewId="0">
      <selection activeCell="J23" sqref="J23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46204.5058119213</v>
      </c>
      <c r="B3" s="6" t="s">
        <v>84</v>
      </c>
      <c r="C3" s="13">
        <v>0.505810185185185</v>
      </c>
      <c r="D3" s="13" t="s">
        <v>65</v>
      </c>
      <c r="E3" s="13">
        <v>0.633206018518519</v>
      </c>
      <c r="F3" s="14">
        <f t="shared" ref="F3:F66" si="1">(IF(E3-C3&lt;0,"24:00"-C3+E3,E3-C3))*24</f>
        <v>3.0575</v>
      </c>
      <c r="G3" s="15">
        <f t="shared" ref="G3:G66" si="2">F3-H3</f>
        <v>3.0575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46204.7551162037</v>
      </c>
      <c r="B4" s="6" t="s">
        <v>68</v>
      </c>
      <c r="C4" s="13">
        <v>0.755115740740741</v>
      </c>
      <c r="D4" s="13" t="s">
        <v>65</v>
      </c>
      <c r="E4" s="13">
        <v>0.880532407407407</v>
      </c>
      <c r="F4" s="14">
        <f t="shared" si="1"/>
        <v>3.01</v>
      </c>
      <c r="G4" s="15">
        <f t="shared" si="2"/>
        <v>3.01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28.3408333333333</v>
      </c>
      <c r="K4" s="25">
        <f>SUMIF(B:B,"西塔台管制席",G:G)+SUMIF(B:B,"东塔台管制席",G:G)</f>
        <v>15.5141666666667</v>
      </c>
      <c r="L4" s="25">
        <f>SUMIF(B:B,"西塔台管制席",H:H)+SUMIF(B:B,"东塔台管制席",H:H)</f>
        <v>12.8266666666667</v>
      </c>
      <c r="M4" s="21"/>
    </row>
    <row r="5" ht="18.75" spans="1:13">
      <c r="A5" s="12">
        <f ca="1" t="shared" si="0"/>
        <v>46205.3767190972</v>
      </c>
      <c r="B5" s="6" t="s">
        <v>87</v>
      </c>
      <c r="C5" s="13">
        <v>0.376712962962963</v>
      </c>
      <c r="D5" s="13" t="s">
        <v>65</v>
      </c>
      <c r="E5" s="13">
        <v>0.521898148148148</v>
      </c>
      <c r="F5" s="14">
        <f t="shared" si="1"/>
        <v>3.48444444444445</v>
      </c>
      <c r="G5" s="15">
        <f t="shared" si="2"/>
        <v>3.48444444444445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40.0827777777778</v>
      </c>
      <c r="K5" s="25">
        <f>SUMIF(B:B,"西塔台协调席",G:G)+SUMIF(B:B,"东塔台协调席",G:G)</f>
        <v>24.6136111111111</v>
      </c>
      <c r="L5" s="25">
        <f>SUMIF(B:B,"西塔台协调席",H:H)+SUMIF(B:B,"东塔台协调席",H:H)</f>
        <v>15.4691666666666</v>
      </c>
      <c r="M5" s="21"/>
    </row>
    <row r="6" ht="18.75" spans="1:13">
      <c r="A6" s="12">
        <f ca="1" t="shared" si="0"/>
        <v>46205.6062777778</v>
      </c>
      <c r="B6" s="6" t="s">
        <v>87</v>
      </c>
      <c r="C6" s="13">
        <v>0.607662037037037</v>
      </c>
      <c r="D6" s="13" t="s">
        <v>65</v>
      </c>
      <c r="E6" s="13">
        <v>0.769467592592593</v>
      </c>
      <c r="F6" s="14">
        <f t="shared" si="1"/>
        <v>3.88333333333333</v>
      </c>
      <c r="G6" s="15">
        <f t="shared" si="2"/>
        <v>3.88333333333333</v>
      </c>
      <c r="H6" s="15">
        <f t="shared" si="3"/>
        <v>0</v>
      </c>
      <c r="I6" s="23" t="s">
        <v>71</v>
      </c>
      <c r="J6" s="24">
        <f>SUMIF(B:B,"放行席",F:F)</f>
        <v>2.57722222222222</v>
      </c>
      <c r="K6" s="25">
        <f>SUMIF(B:B,"放行席",G:G)</f>
        <v>0</v>
      </c>
      <c r="L6" s="25">
        <f>SUMIF(B:B,"放行席",H:H)</f>
        <v>2.57722222222222</v>
      </c>
      <c r="M6" s="21"/>
    </row>
    <row r="7" ht="18.75" spans="1:13">
      <c r="A7" s="12">
        <f ca="1" t="shared" si="0"/>
        <v>46206.0173047454</v>
      </c>
      <c r="B7" s="6" t="s">
        <v>83</v>
      </c>
      <c r="C7" s="13">
        <v>0.0173032407407407</v>
      </c>
      <c r="D7" s="13" t="s">
        <v>65</v>
      </c>
      <c r="E7" s="13">
        <v>0.113842592592593</v>
      </c>
      <c r="F7" s="14">
        <f t="shared" si="1"/>
        <v>2.31694444444444</v>
      </c>
      <c r="G7" s="15">
        <f t="shared" si="2"/>
        <v>0</v>
      </c>
      <c r="H7" s="15">
        <f t="shared" si="3"/>
        <v>2.31694444444444</v>
      </c>
      <c r="I7" s="23" t="s">
        <v>72</v>
      </c>
      <c r="J7" s="24">
        <f>SUMIF(B:B,"地面席",F:F)</f>
        <v>2.15333333333333</v>
      </c>
      <c r="K7" s="25">
        <f>SUMIF(B:B,"地面席",G:G)</f>
        <v>0</v>
      </c>
      <c r="L7" s="25">
        <f>SUMIF(B:B,"地面席",H:H)</f>
        <v>2.15333333333333</v>
      </c>
      <c r="M7" s="21"/>
    </row>
    <row r="8" ht="18.75" spans="1:13">
      <c r="A8" s="12">
        <f ca="1" t="shared" si="0"/>
        <v>46209.9526237269</v>
      </c>
      <c r="B8" s="6" t="s">
        <v>83</v>
      </c>
      <c r="C8" s="13">
        <v>0.952615740740741</v>
      </c>
      <c r="D8" s="13" t="s">
        <v>65</v>
      </c>
      <c r="E8" s="13">
        <v>0.147719907407407</v>
      </c>
      <c r="F8" s="14">
        <f t="shared" si="1"/>
        <v>4.6825</v>
      </c>
      <c r="G8" s="15">
        <f t="shared" si="2"/>
        <v>1.13722222222222</v>
      </c>
      <c r="H8" s="15">
        <f t="shared" si="3"/>
        <v>3.54527777777778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46213.1390013889</v>
      </c>
      <c r="B9" s="6" t="s">
        <v>84</v>
      </c>
      <c r="C9" s="13">
        <v>0.138993055555556</v>
      </c>
      <c r="D9" s="13" t="s">
        <v>65</v>
      </c>
      <c r="E9" s="13">
        <v>0.245474537037037</v>
      </c>
      <c r="F9" s="14">
        <f t="shared" si="1"/>
        <v>2.55555555555556</v>
      </c>
      <c r="G9" s="15">
        <f t="shared" si="2"/>
        <v>0</v>
      </c>
      <c r="H9" s="15">
        <f t="shared" si="3"/>
        <v>2.55555555555556</v>
      </c>
      <c r="I9" s="23" t="s">
        <v>74</v>
      </c>
      <c r="J9" s="24">
        <f>SUMIF(B:B,"航班调度席",F:F)</f>
        <v>7.36777777777778</v>
      </c>
      <c r="K9" s="25">
        <f>SUMIF(B:B,"航班调度席",G:G)</f>
        <v>7.36777777777778</v>
      </c>
      <c r="L9" s="25">
        <f>SUMIF(B:B,"航班调度席",H:H)</f>
        <v>0</v>
      </c>
      <c r="M9" s="21"/>
    </row>
    <row r="10" ht="18.75" spans="1:13">
      <c r="A10" s="12">
        <f ca="1" t="shared" si="0"/>
        <v>46213.2455050926</v>
      </c>
      <c r="B10" s="6" t="s">
        <v>83</v>
      </c>
      <c r="C10" s="13">
        <v>0.245497685185185</v>
      </c>
      <c r="D10" s="13" t="s">
        <v>65</v>
      </c>
      <c r="E10" s="13">
        <v>0.30806712962963</v>
      </c>
      <c r="F10" s="14">
        <f t="shared" si="1"/>
        <v>1.50166666666667</v>
      </c>
      <c r="G10" s="15">
        <f t="shared" si="2"/>
        <v>0</v>
      </c>
      <c r="H10" s="15">
        <f t="shared" si="3"/>
        <v>1.50166666666667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46214.139102662</v>
      </c>
      <c r="B11" s="6" t="s">
        <v>86</v>
      </c>
      <c r="C11" s="13">
        <v>0.139097222222222</v>
      </c>
      <c r="D11" s="13" t="s">
        <v>65</v>
      </c>
      <c r="E11" s="13">
        <v>0.228819444444444</v>
      </c>
      <c r="F11" s="14">
        <f t="shared" si="1"/>
        <v>2.15333333333333</v>
      </c>
      <c r="G11" s="15">
        <f t="shared" si="2"/>
        <v>0</v>
      </c>
      <c r="H11" s="15">
        <f t="shared" si="3"/>
        <v>2.15333333333333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46216.3557594907</v>
      </c>
      <c r="B12" s="6" t="s">
        <v>68</v>
      </c>
      <c r="C12" s="13">
        <v>0.355752314814815</v>
      </c>
      <c r="D12" s="13" t="s">
        <v>65</v>
      </c>
      <c r="E12" s="13">
        <v>0.508773148148148</v>
      </c>
      <c r="F12" s="14">
        <f t="shared" si="1"/>
        <v>3.6725</v>
      </c>
      <c r="G12" s="15">
        <f t="shared" si="2"/>
        <v>3.6725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46216.6263979167</v>
      </c>
      <c r="B13" s="6" t="s">
        <v>84</v>
      </c>
      <c r="C13" s="13">
        <v>0.626388888888889</v>
      </c>
      <c r="D13" s="13" t="s">
        <v>65</v>
      </c>
      <c r="E13" s="13">
        <v>0.759965277777778</v>
      </c>
      <c r="F13" s="14">
        <f t="shared" si="1"/>
        <v>3.20583333333333</v>
      </c>
      <c r="G13" s="15">
        <f t="shared" si="2"/>
        <v>3.20583333333333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46216.8750542824</v>
      </c>
      <c r="B14" s="6" t="s">
        <v>68</v>
      </c>
      <c r="C14" s="13">
        <v>0.875046296296296</v>
      </c>
      <c r="D14" s="13" t="s">
        <v>65</v>
      </c>
      <c r="E14" s="13">
        <v>0.959155092592593</v>
      </c>
      <c r="F14" s="14">
        <f t="shared" si="1"/>
        <v>2.01861111111111</v>
      </c>
      <c r="G14" s="15">
        <f t="shared" si="2"/>
        <v>2.01861111111111</v>
      </c>
      <c r="H14" s="15">
        <f t="shared" si="3"/>
        <v>0</v>
      </c>
      <c r="I14" s="33"/>
      <c r="J14" s="33"/>
      <c r="K14" s="33"/>
      <c r="L14" s="33"/>
      <c r="M14" s="33"/>
    </row>
    <row r="15" ht="20.25" spans="1:13">
      <c r="A15" s="12">
        <f ca="1" t="shared" si="0"/>
        <v>46217.3001478009</v>
      </c>
      <c r="B15" s="6" t="s">
        <v>83</v>
      </c>
      <c r="C15" s="13">
        <v>0.300138888888889</v>
      </c>
      <c r="D15" s="13" t="s">
        <v>65</v>
      </c>
      <c r="E15" s="13">
        <v>0.467708333333333</v>
      </c>
      <c r="F15" s="14">
        <f t="shared" si="1"/>
        <v>4.02166666666667</v>
      </c>
      <c r="G15" s="15">
        <f t="shared" si="2"/>
        <v>3.22500000000001</v>
      </c>
      <c r="H15" s="15">
        <f t="shared" si="3"/>
        <v>0.796666666666658</v>
      </c>
      <c r="I15" s="39" t="s">
        <v>66</v>
      </c>
      <c r="J15" s="40">
        <f>J3</f>
        <v>0</v>
      </c>
      <c r="K15" s="41">
        <f>K3</f>
        <v>0</v>
      </c>
      <c r="L15" s="42">
        <f>L3</f>
        <v>0</v>
      </c>
      <c r="M15" s="43"/>
    </row>
    <row r="16" ht="20.25" spans="1:13">
      <c r="A16" s="12">
        <f ca="1" t="shared" si="0"/>
        <v>46217.5423947917</v>
      </c>
      <c r="B16" s="6" t="s">
        <v>83</v>
      </c>
      <c r="C16" s="13">
        <v>0.542384259259259</v>
      </c>
      <c r="D16" s="13" t="s">
        <v>65</v>
      </c>
      <c r="E16" s="13">
        <v>0.631203703703704</v>
      </c>
      <c r="F16" s="14">
        <f t="shared" si="1"/>
        <v>2.13166666666667</v>
      </c>
      <c r="G16" s="15">
        <f t="shared" si="2"/>
        <v>2.13166666666667</v>
      </c>
      <c r="H16" s="15">
        <f t="shared" si="3"/>
        <v>0</v>
      </c>
      <c r="I16" s="39" t="s">
        <v>80</v>
      </c>
      <c r="J16" s="40">
        <f>J4+J5+J6+J7+J10</f>
        <v>73.1541666666667</v>
      </c>
      <c r="K16" s="41">
        <f>K4+K5+K6+K7+K10</f>
        <v>40.1277777777778</v>
      </c>
      <c r="L16" s="42">
        <f>L4+L5+L6+L7+L10</f>
        <v>33.0263888888889</v>
      </c>
      <c r="M16" s="43"/>
    </row>
    <row r="17" ht="20.25" spans="1:13">
      <c r="A17" s="12">
        <f ca="1" t="shared" si="0"/>
        <v>46217.7541591435</v>
      </c>
      <c r="B17" s="6" t="s">
        <v>70</v>
      </c>
      <c r="C17" s="13">
        <v>0.754155092592593</v>
      </c>
      <c r="D17" s="13" t="s">
        <v>65</v>
      </c>
      <c r="E17" s="13">
        <v>0.840381944444444</v>
      </c>
      <c r="F17" s="14">
        <f t="shared" si="1"/>
        <v>2.06944444444444</v>
      </c>
      <c r="G17" s="15">
        <f t="shared" si="2"/>
        <v>2.06944444444444</v>
      </c>
      <c r="H17" s="15">
        <f t="shared" si="3"/>
        <v>0</v>
      </c>
      <c r="I17" s="39" t="s">
        <v>76</v>
      </c>
      <c r="J17" s="40">
        <f t="shared" ref="J17:L18" si="4">J11</f>
        <v>0</v>
      </c>
      <c r="K17" s="41">
        <f t="shared" si="4"/>
        <v>0</v>
      </c>
      <c r="L17" s="42">
        <f t="shared" si="4"/>
        <v>0</v>
      </c>
      <c r="M17" s="43"/>
    </row>
    <row r="18" ht="20.25" spans="1:13">
      <c r="A18" s="12">
        <f ca="1" t="shared" si="0"/>
        <v>46220.9518622685</v>
      </c>
      <c r="B18" s="6" t="s">
        <v>84</v>
      </c>
      <c r="C18" s="13">
        <v>0.951851851851852</v>
      </c>
      <c r="D18" s="13" t="s">
        <v>65</v>
      </c>
      <c r="E18" s="13">
        <v>0.12568287037037</v>
      </c>
      <c r="F18" s="14">
        <f t="shared" si="1"/>
        <v>4.17194444444444</v>
      </c>
      <c r="G18" s="15">
        <f t="shared" si="2"/>
        <v>1.15555555555556</v>
      </c>
      <c r="H18" s="15">
        <f t="shared" si="3"/>
        <v>3.01638888888889</v>
      </c>
      <c r="I18" s="39" t="s">
        <v>81</v>
      </c>
      <c r="J18" s="40">
        <f t="shared" si="4"/>
        <v>0</v>
      </c>
      <c r="K18" s="41">
        <f t="shared" si="4"/>
        <v>0</v>
      </c>
      <c r="L18" s="42">
        <f t="shared" si="4"/>
        <v>0</v>
      </c>
      <c r="M18" s="43"/>
    </row>
    <row r="19" ht="20.25" spans="1:13">
      <c r="A19" s="12">
        <f ca="1" t="shared" si="0"/>
        <v>46222.0150574074</v>
      </c>
      <c r="B19" s="6" t="s">
        <v>83</v>
      </c>
      <c r="C19" s="13">
        <v>0.0150578703703704</v>
      </c>
      <c r="D19" s="13" t="s">
        <v>65</v>
      </c>
      <c r="E19" s="13">
        <v>0.103900462962963</v>
      </c>
      <c r="F19" s="14">
        <f t="shared" si="1"/>
        <v>2.13222222222222</v>
      </c>
      <c r="G19" s="15">
        <f t="shared" si="2"/>
        <v>0</v>
      </c>
      <c r="H19" s="15">
        <f t="shared" si="3"/>
        <v>2.13222222222222</v>
      </c>
      <c r="I19" s="44" t="s">
        <v>82</v>
      </c>
      <c r="J19" s="45">
        <f>J15+J16+J17+J18</f>
        <v>73.1541666666667</v>
      </c>
      <c r="K19" s="46"/>
      <c r="L19" s="47"/>
      <c r="M19" s="48"/>
    </row>
    <row r="20" ht="20.25" spans="1:13">
      <c r="A20" s="12">
        <f ca="1" t="shared" si="0"/>
        <v>46222.1039670139</v>
      </c>
      <c r="B20" s="6" t="s">
        <v>84</v>
      </c>
      <c r="C20" s="13">
        <v>0.103958333333333</v>
      </c>
      <c r="D20" s="13" t="s">
        <v>65</v>
      </c>
      <c r="E20" s="13">
        <v>0.144641203703704</v>
      </c>
      <c r="F20" s="14">
        <f t="shared" si="1"/>
        <v>0.976388888888889</v>
      </c>
      <c r="G20" s="15">
        <f t="shared" si="2"/>
        <v>0</v>
      </c>
      <c r="H20" s="15">
        <f t="shared" si="3"/>
        <v>0.976388888888889</v>
      </c>
      <c r="I20" s="49" t="s">
        <v>5</v>
      </c>
      <c r="J20" s="50">
        <f>SUM(J8:J9)</f>
        <v>7.36777777777778</v>
      </c>
      <c r="K20" s="41">
        <f>SUM(K8:K9)</f>
        <v>7.36777777777778</v>
      </c>
      <c r="L20" s="42">
        <f>SUM(L8:L9)</f>
        <v>0</v>
      </c>
      <c r="M20" s="51"/>
    </row>
    <row r="21" ht="18.75" spans="1:10">
      <c r="A21" s="12">
        <f ca="1" t="shared" si="0"/>
        <v>46225.1321113426</v>
      </c>
      <c r="B21" s="6" t="s">
        <v>85</v>
      </c>
      <c r="C21" s="13">
        <v>0.132106481481481</v>
      </c>
      <c r="D21" s="13" t="s">
        <v>65</v>
      </c>
      <c r="E21" s="13">
        <v>0.239490740740741</v>
      </c>
      <c r="F21" s="14">
        <f t="shared" si="1"/>
        <v>2.57722222222222</v>
      </c>
      <c r="G21" s="15">
        <f t="shared" si="2"/>
        <v>0</v>
      </c>
      <c r="H21" s="15">
        <f t="shared" si="3"/>
        <v>2.57722222222222</v>
      </c>
      <c r="I21"/>
      <c r="J21"/>
    </row>
    <row r="22" ht="18.75" spans="1:10">
      <c r="A22" s="12">
        <f ca="1" t="shared" si="0"/>
        <v>46226.138853125</v>
      </c>
      <c r="B22" s="6" t="s">
        <v>70</v>
      </c>
      <c r="C22" s="13">
        <v>0.138854166666667</v>
      </c>
      <c r="D22" s="13" t="s">
        <v>65</v>
      </c>
      <c r="E22" s="13">
        <v>0.234340277777778</v>
      </c>
      <c r="F22" s="14">
        <f t="shared" si="1"/>
        <v>2.29166666666667</v>
      </c>
      <c r="G22" s="15">
        <f t="shared" si="2"/>
        <v>0</v>
      </c>
      <c r="H22" s="15">
        <f t="shared" si="3"/>
        <v>2.29166666666667</v>
      </c>
      <c r="I22"/>
      <c r="J22"/>
    </row>
    <row r="23" ht="18.75" spans="1:10">
      <c r="A23" s="12">
        <f ca="1" t="shared" si="0"/>
        <v>46226.2344604167</v>
      </c>
      <c r="B23" s="6" t="s">
        <v>68</v>
      </c>
      <c r="C23" s="13">
        <v>0.234456018518519</v>
      </c>
      <c r="D23" s="13" t="s">
        <v>65</v>
      </c>
      <c r="E23" s="13">
        <v>0.306608796296296</v>
      </c>
      <c r="F23" s="14">
        <f t="shared" si="1"/>
        <v>1.73166666666667</v>
      </c>
      <c r="G23" s="15">
        <f t="shared" si="2"/>
        <v>0</v>
      </c>
      <c r="H23" s="15">
        <f t="shared" si="3"/>
        <v>1.73166666666667</v>
      </c>
      <c r="I23"/>
      <c r="J23"/>
    </row>
    <row r="24" ht="18.75" spans="1:10">
      <c r="A24" s="12">
        <f ca="1" t="shared" si="0"/>
        <v>46228.5035199074</v>
      </c>
      <c r="B24" s="6" t="s">
        <v>70</v>
      </c>
      <c r="C24" s="13">
        <v>0.503518518518519</v>
      </c>
      <c r="D24" s="13" t="s">
        <v>65</v>
      </c>
      <c r="E24" s="13">
        <v>0.631909722222222</v>
      </c>
      <c r="F24" s="14">
        <f t="shared" si="1"/>
        <v>3.08138888888889</v>
      </c>
      <c r="G24" s="15">
        <f t="shared" si="2"/>
        <v>3.08138888888889</v>
      </c>
      <c r="H24" s="15">
        <f t="shared" si="3"/>
        <v>0</v>
      </c>
      <c r="I24"/>
      <c r="J24"/>
    </row>
    <row r="25" ht="18.75" spans="1:10">
      <c r="A25" s="12">
        <f ca="1" t="shared" si="0"/>
        <v>46228.7522884259</v>
      </c>
      <c r="B25" s="6" t="s">
        <v>83</v>
      </c>
      <c r="C25" s="13">
        <v>0.752280092592593</v>
      </c>
      <c r="D25" s="13" t="s">
        <v>65</v>
      </c>
      <c r="E25" s="13">
        <v>0.881053240740741</v>
      </c>
      <c r="F25" s="14">
        <f t="shared" si="1"/>
        <v>3.09055555555556</v>
      </c>
      <c r="G25" s="15">
        <f t="shared" si="2"/>
        <v>3.09055555555556</v>
      </c>
      <c r="H25" s="15">
        <f t="shared" si="3"/>
        <v>0</v>
      </c>
      <c r="I25"/>
      <c r="J25"/>
    </row>
    <row r="26" ht="18.75" spans="1:10">
      <c r="A26" s="12">
        <f ca="1" t="shared" si="0"/>
        <v>46229.2996877315</v>
      </c>
      <c r="B26" s="6" t="s">
        <v>68</v>
      </c>
      <c r="C26" s="13">
        <v>0.2996875</v>
      </c>
      <c r="D26" s="13" t="s">
        <v>65</v>
      </c>
      <c r="E26" s="13">
        <v>0.464768518518518</v>
      </c>
      <c r="F26" s="14">
        <f t="shared" si="1"/>
        <v>3.96194444444444</v>
      </c>
      <c r="G26" s="15">
        <f t="shared" si="2"/>
        <v>3.15444444444445</v>
      </c>
      <c r="H26" s="15">
        <f t="shared" si="3"/>
        <v>0.807499999999992</v>
      </c>
      <c r="I26"/>
      <c r="J26"/>
    </row>
    <row r="27" ht="18.75" spans="1:10">
      <c r="A27" s="12">
        <f ca="1" t="shared" si="0"/>
        <v>46229.5417496528</v>
      </c>
      <c r="B27" s="6" t="s">
        <v>84</v>
      </c>
      <c r="C27" s="13">
        <v>0.541747685185185</v>
      </c>
      <c r="D27" s="13" t="s">
        <v>65</v>
      </c>
      <c r="E27" s="13">
        <v>0.630798611111111</v>
      </c>
      <c r="F27" s="14">
        <f t="shared" si="1"/>
        <v>2.13722222222222</v>
      </c>
      <c r="G27" s="15">
        <f t="shared" si="2"/>
        <v>2.13722222222222</v>
      </c>
      <c r="H27" s="15">
        <f t="shared" si="3"/>
        <v>0</v>
      </c>
      <c r="I27"/>
      <c r="J27"/>
    </row>
    <row r="28" ht="18.75" spans="1:10">
      <c r="A28" s="12">
        <f ca="1" t="shared" si="0"/>
        <v>46229.7552291667</v>
      </c>
      <c r="B28" s="6" t="s">
        <v>68</v>
      </c>
      <c r="C28" s="13">
        <v>0.755219907407407</v>
      </c>
      <c r="D28" s="13" t="s">
        <v>65</v>
      </c>
      <c r="E28" s="13">
        <v>0.840231481481482</v>
      </c>
      <c r="F28" s="14">
        <f t="shared" si="1"/>
        <v>2.04027777777778</v>
      </c>
      <c r="G28" s="15">
        <f t="shared" si="2"/>
        <v>2.04027777777778</v>
      </c>
      <c r="H28" s="15">
        <f t="shared" si="3"/>
        <v>0</v>
      </c>
      <c r="I28"/>
      <c r="J28"/>
    </row>
    <row r="29" ht="18.75" spans="1:10">
      <c r="A29" s="12">
        <f ca="1" t="shared" si="0"/>
        <v>46230.2994050926</v>
      </c>
      <c r="B29" s="6" t="s">
        <v>84</v>
      </c>
      <c r="C29" s="13">
        <v>0.299398148148148</v>
      </c>
      <c r="D29" s="13" t="s">
        <v>65</v>
      </c>
      <c r="E29" s="13">
        <v>0.366967592592593</v>
      </c>
      <c r="F29" s="14">
        <f t="shared" si="1"/>
        <v>1.62166666666667</v>
      </c>
      <c r="G29" s="15">
        <f t="shared" si="2"/>
        <v>0.807222222222231</v>
      </c>
      <c r="H29" s="15">
        <f t="shared" si="3"/>
        <v>0.814444444444436</v>
      </c>
      <c r="I29"/>
      <c r="J29"/>
    </row>
    <row r="30" ht="18.75" spans="1:10">
      <c r="A30" s="12">
        <f ca="1" t="shared" si="0"/>
        <v>46232.9527792824</v>
      </c>
      <c r="B30" s="6" t="s">
        <v>83</v>
      </c>
      <c r="C30" s="13">
        <v>0.952777777777778</v>
      </c>
      <c r="D30" s="13" t="s">
        <v>65</v>
      </c>
      <c r="E30" s="13">
        <v>0.109884259259259</v>
      </c>
      <c r="F30" s="14">
        <f t="shared" si="1"/>
        <v>3.77055555555555</v>
      </c>
      <c r="G30" s="15">
        <f t="shared" si="2"/>
        <v>1.13333333333333</v>
      </c>
      <c r="H30" s="15">
        <f t="shared" si="3"/>
        <v>2.63722222222222</v>
      </c>
      <c r="I30"/>
      <c r="J30"/>
    </row>
    <row r="31" ht="18.75" spans="1:10">
      <c r="A31" s="12">
        <f ca="1" t="shared" si="0"/>
        <v>46234.0147238426</v>
      </c>
      <c r="B31" s="6" t="s">
        <v>70</v>
      </c>
      <c r="C31" s="13">
        <v>0.0132291666666667</v>
      </c>
      <c r="D31" s="13" t="s">
        <v>65</v>
      </c>
      <c r="E31" s="13">
        <v>0.145405092592593</v>
      </c>
      <c r="F31" s="14">
        <f t="shared" si="1"/>
        <v>3.17222222222222</v>
      </c>
      <c r="G31" s="15">
        <f t="shared" si="2"/>
        <v>0</v>
      </c>
      <c r="H31" s="15">
        <f t="shared" si="3"/>
        <v>3.17222222222222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1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 s="52"/>
      <c r="J37" s="53"/>
      <c r="K37" s="13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5">IF(B67="","",IF(A67="",NOW(),A67))</f>
        <v/>
      </c>
      <c r="B67" s="6"/>
      <c r="C67" s="13"/>
      <c r="D67" s="13"/>
      <c r="E67" s="13"/>
      <c r="F67" s="14">
        <f t="shared" ref="F67:F130" si="6">(IF(E67-C67&lt;0,"24:00"-C67+E67,E67-C67))*24</f>
        <v>0</v>
      </c>
      <c r="G67" s="15">
        <f t="shared" ref="G67:G130" si="7">F67-H67</f>
        <v>0</v>
      </c>
      <c r="H67" s="15">
        <f t="shared" ref="H67:H130" si="8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5"/>
        <v/>
      </c>
      <c r="B68" s="6"/>
      <c r="C68" s="13"/>
      <c r="D68" s="13"/>
      <c r="E68" s="13"/>
      <c r="F68" s="14">
        <f t="shared" si="6"/>
        <v>0</v>
      </c>
      <c r="G68" s="15">
        <f t="shared" si="7"/>
        <v>0</v>
      </c>
      <c r="H68" s="15">
        <f t="shared" si="8"/>
        <v>0</v>
      </c>
      <c r="I68" s="52"/>
      <c r="J68" s="53"/>
      <c r="K68" s="13"/>
    </row>
    <row r="69" ht="18.75" spans="1:11">
      <c r="A69" s="12" t="str">
        <f ca="1" t="shared" si="5"/>
        <v/>
      </c>
      <c r="B69" s="6"/>
      <c r="C69" s="13"/>
      <c r="D69" s="13"/>
      <c r="E69" s="13"/>
      <c r="F69" s="14">
        <f t="shared" si="6"/>
        <v>0</v>
      </c>
      <c r="G69" s="15">
        <f t="shared" si="7"/>
        <v>0</v>
      </c>
      <c r="H69" s="15">
        <f t="shared" si="8"/>
        <v>0</v>
      </c>
      <c r="I69" s="52"/>
      <c r="J69" s="53"/>
      <c r="K69" s="13"/>
    </row>
    <row r="70" ht="18.75" spans="1:11">
      <c r="A70" s="12" t="str">
        <f ca="1" t="shared" si="5"/>
        <v/>
      </c>
      <c r="B70" s="6"/>
      <c r="C70" s="13"/>
      <c r="D70" s="13"/>
      <c r="E70" s="13"/>
      <c r="F70" s="14">
        <f t="shared" si="6"/>
        <v>0</v>
      </c>
      <c r="G70" s="15">
        <f t="shared" si="7"/>
        <v>0</v>
      </c>
      <c r="H70" s="15">
        <f t="shared" si="8"/>
        <v>0</v>
      </c>
      <c r="I70" s="52"/>
      <c r="J70" s="53"/>
      <c r="K70" s="13"/>
    </row>
    <row r="71" ht="18.75" spans="1:11">
      <c r="A71" s="12" t="str">
        <f ca="1" t="shared" si="5"/>
        <v/>
      </c>
      <c r="B71" s="6"/>
      <c r="C71" s="13"/>
      <c r="D71" s="13"/>
      <c r="E71" s="13"/>
      <c r="F71" s="14">
        <f t="shared" si="6"/>
        <v>0</v>
      </c>
      <c r="G71" s="15">
        <f t="shared" si="7"/>
        <v>0</v>
      </c>
      <c r="H71" s="15">
        <f t="shared" si="8"/>
        <v>0</v>
      </c>
      <c r="I71" s="52"/>
      <c r="J71" s="53"/>
      <c r="K71" s="13"/>
    </row>
    <row r="72" ht="18.75" spans="1:11">
      <c r="A72" s="12" t="str">
        <f ca="1" t="shared" si="5"/>
        <v/>
      </c>
      <c r="B72" s="6"/>
      <c r="C72" s="13"/>
      <c r="D72" s="13"/>
      <c r="E72" s="13"/>
      <c r="F72" s="14">
        <f t="shared" si="6"/>
        <v>0</v>
      </c>
      <c r="G72" s="15">
        <f t="shared" si="7"/>
        <v>0</v>
      </c>
      <c r="H72" s="15">
        <f t="shared" si="8"/>
        <v>0</v>
      </c>
      <c r="I72" s="52"/>
      <c r="J72" s="53"/>
      <c r="K72" s="13"/>
    </row>
    <row r="73" ht="18.75" spans="1:11">
      <c r="A73" s="12" t="str">
        <f ca="1" t="shared" si="5"/>
        <v/>
      </c>
      <c r="B73" s="6"/>
      <c r="C73" s="13"/>
      <c r="D73" s="13"/>
      <c r="E73" s="13"/>
      <c r="F73" s="14">
        <f t="shared" si="6"/>
        <v>0</v>
      </c>
      <c r="G73" s="15">
        <f t="shared" si="7"/>
        <v>0</v>
      </c>
      <c r="H73" s="15">
        <f t="shared" si="8"/>
        <v>0</v>
      </c>
      <c r="I73" s="52"/>
      <c r="J73" s="53"/>
      <c r="K73" s="13"/>
    </row>
    <row r="74" ht="18.75" spans="1:11">
      <c r="A74" s="12" t="str">
        <f ca="1" t="shared" si="5"/>
        <v/>
      </c>
      <c r="B74" s="6"/>
      <c r="C74" s="13"/>
      <c r="D74" s="13"/>
      <c r="E74" s="13"/>
      <c r="F74" s="14">
        <f t="shared" si="6"/>
        <v>0</v>
      </c>
      <c r="G74" s="15">
        <f t="shared" si="7"/>
        <v>0</v>
      </c>
      <c r="H74" s="15">
        <f t="shared" si="8"/>
        <v>0</v>
      </c>
      <c r="I74" s="52"/>
      <c r="J74" s="53"/>
      <c r="K74" s="13"/>
    </row>
    <row r="75" ht="18.75" spans="1:11">
      <c r="A75" s="12" t="str">
        <f ca="1" t="shared" si="5"/>
        <v/>
      </c>
      <c r="B75" s="6"/>
      <c r="C75" s="13"/>
      <c r="D75" s="13"/>
      <c r="E75" s="13"/>
      <c r="F75" s="14">
        <f t="shared" si="6"/>
        <v>0</v>
      </c>
      <c r="G75" s="15">
        <f t="shared" si="7"/>
        <v>0</v>
      </c>
      <c r="H75" s="15">
        <f t="shared" si="8"/>
        <v>0</v>
      </c>
      <c r="I75" s="52"/>
      <c r="J75" s="53"/>
      <c r="K75" s="13"/>
    </row>
    <row r="76" ht="18.75" spans="1:11">
      <c r="A76" s="12" t="str">
        <f ca="1" t="shared" si="5"/>
        <v/>
      </c>
      <c r="B76" s="6"/>
      <c r="C76" s="13"/>
      <c r="D76" s="13"/>
      <c r="E76" s="13"/>
      <c r="F76" s="14">
        <f t="shared" si="6"/>
        <v>0</v>
      </c>
      <c r="G76" s="15">
        <f t="shared" si="7"/>
        <v>0</v>
      </c>
      <c r="H76" s="15">
        <f t="shared" si="8"/>
        <v>0</v>
      </c>
      <c r="I76" s="52"/>
      <c r="J76" s="53"/>
      <c r="K76" s="13"/>
    </row>
    <row r="77" ht="18.75" spans="1:11">
      <c r="A77" s="12" t="str">
        <f ca="1" t="shared" si="5"/>
        <v/>
      </c>
      <c r="B77" s="6"/>
      <c r="C77" s="13"/>
      <c r="D77" s="13"/>
      <c r="E77" s="13"/>
      <c r="F77" s="14">
        <f t="shared" si="6"/>
        <v>0</v>
      </c>
      <c r="G77" s="15">
        <f t="shared" si="7"/>
        <v>0</v>
      </c>
      <c r="H77" s="15">
        <f t="shared" si="8"/>
        <v>0</v>
      </c>
      <c r="I77" s="52"/>
      <c r="J77" s="53"/>
      <c r="K77" s="13"/>
    </row>
    <row r="78" ht="18.75" spans="1:11">
      <c r="A78" s="12" t="str">
        <f ca="1" t="shared" si="5"/>
        <v/>
      </c>
      <c r="B78" s="6"/>
      <c r="C78" s="13"/>
      <c r="D78" s="13"/>
      <c r="E78" s="13"/>
      <c r="F78" s="14">
        <f t="shared" si="6"/>
        <v>0</v>
      </c>
      <c r="G78" s="15">
        <f t="shared" si="7"/>
        <v>0</v>
      </c>
      <c r="H78" s="15">
        <f t="shared" si="8"/>
        <v>0</v>
      </c>
      <c r="I78" s="52"/>
      <c r="J78" s="53"/>
      <c r="K78" s="13"/>
    </row>
    <row r="79" ht="18.75" spans="1:11">
      <c r="A79" s="12" t="str">
        <f ca="1" t="shared" si="5"/>
        <v/>
      </c>
      <c r="B79" s="6"/>
      <c r="C79" s="13"/>
      <c r="D79" s="13"/>
      <c r="E79" s="13"/>
      <c r="F79" s="14">
        <f t="shared" si="6"/>
        <v>0</v>
      </c>
      <c r="G79" s="15">
        <f t="shared" si="7"/>
        <v>0</v>
      </c>
      <c r="H79" s="15">
        <f t="shared" si="8"/>
        <v>0</v>
      </c>
      <c r="I79" s="52"/>
      <c r="J79" s="53"/>
      <c r="K79" s="13"/>
    </row>
    <row r="80" ht="18.75" spans="1:11">
      <c r="A80" s="12" t="str">
        <f ca="1" t="shared" si="5"/>
        <v/>
      </c>
      <c r="B80" s="6"/>
      <c r="C80" s="13"/>
      <c r="D80" s="13"/>
      <c r="E80" s="13"/>
      <c r="F80" s="14">
        <f t="shared" si="6"/>
        <v>0</v>
      </c>
      <c r="G80" s="15">
        <f t="shared" si="7"/>
        <v>0</v>
      </c>
      <c r="H80" s="15">
        <f t="shared" si="8"/>
        <v>0</v>
      </c>
      <c r="I80" s="52"/>
      <c r="J80" s="53"/>
      <c r="K80" s="13"/>
    </row>
    <row r="81" ht="18.75" spans="1:11">
      <c r="A81" s="12" t="str">
        <f ca="1" t="shared" si="5"/>
        <v/>
      </c>
      <c r="B81" s="6"/>
      <c r="C81" s="13"/>
      <c r="D81" s="13"/>
      <c r="E81" s="13"/>
      <c r="F81" s="14">
        <f t="shared" si="6"/>
        <v>0</v>
      </c>
      <c r="G81" s="15">
        <f t="shared" si="7"/>
        <v>0</v>
      </c>
      <c r="H81" s="15">
        <f t="shared" si="8"/>
        <v>0</v>
      </c>
      <c r="I81" s="52"/>
      <c r="J81" s="53"/>
      <c r="K81" s="13"/>
    </row>
    <row r="82" ht="18.75" spans="1:11">
      <c r="A82" s="12" t="str">
        <f ca="1" t="shared" si="5"/>
        <v/>
      </c>
      <c r="B82" s="6"/>
      <c r="C82" s="13"/>
      <c r="D82" s="13"/>
      <c r="E82" s="13"/>
      <c r="F82" s="14">
        <f t="shared" si="6"/>
        <v>0</v>
      </c>
      <c r="G82" s="15">
        <f t="shared" si="7"/>
        <v>0</v>
      </c>
      <c r="H82" s="15">
        <f t="shared" si="8"/>
        <v>0</v>
      </c>
      <c r="I82" s="52"/>
      <c r="J82" s="53"/>
      <c r="K82" s="13"/>
    </row>
    <row r="83" ht="18.75" spans="1:11">
      <c r="A83" s="12" t="str">
        <f ca="1" t="shared" si="5"/>
        <v/>
      </c>
      <c r="B83" s="6"/>
      <c r="C83" s="13"/>
      <c r="D83" s="13"/>
      <c r="E83" s="13"/>
      <c r="F83" s="14">
        <f t="shared" si="6"/>
        <v>0</v>
      </c>
      <c r="G83" s="15">
        <f t="shared" si="7"/>
        <v>0</v>
      </c>
      <c r="H83" s="15">
        <f t="shared" si="8"/>
        <v>0</v>
      </c>
      <c r="I83" s="52"/>
      <c r="J83" s="53"/>
      <c r="K83" s="13"/>
    </row>
    <row r="84" ht="18.75" spans="1:11">
      <c r="A84" s="12" t="str">
        <f ca="1" t="shared" si="5"/>
        <v/>
      </c>
      <c r="B84" s="6"/>
      <c r="C84" s="13"/>
      <c r="D84" s="13"/>
      <c r="E84" s="13"/>
      <c r="F84" s="14">
        <f t="shared" si="6"/>
        <v>0</v>
      </c>
      <c r="G84" s="15">
        <f t="shared" si="7"/>
        <v>0</v>
      </c>
      <c r="H84" s="15">
        <f t="shared" si="8"/>
        <v>0</v>
      </c>
      <c r="I84" s="52"/>
      <c r="J84" s="54"/>
      <c r="K84" s="13"/>
    </row>
    <row r="85" ht="18.75" spans="1:11">
      <c r="A85" s="12" t="str">
        <f ca="1" t="shared" si="5"/>
        <v/>
      </c>
      <c r="B85" s="6"/>
      <c r="C85" s="13"/>
      <c r="D85" s="13"/>
      <c r="E85" s="13"/>
      <c r="F85" s="14">
        <f t="shared" si="6"/>
        <v>0</v>
      </c>
      <c r="G85" s="15">
        <f t="shared" si="7"/>
        <v>0</v>
      </c>
      <c r="H85" s="15">
        <f t="shared" si="8"/>
        <v>0</v>
      </c>
      <c r="I85" s="52"/>
      <c r="J85" s="54"/>
      <c r="K85" s="13"/>
    </row>
    <row r="86" ht="18.75" spans="1:11">
      <c r="A86" s="12" t="str">
        <f ca="1" t="shared" si="5"/>
        <v/>
      </c>
      <c r="B86" s="6"/>
      <c r="C86" s="13"/>
      <c r="D86" s="13"/>
      <c r="E86" s="13"/>
      <c r="F86" s="14">
        <f t="shared" si="6"/>
        <v>0</v>
      </c>
      <c r="G86" s="15">
        <f t="shared" si="7"/>
        <v>0</v>
      </c>
      <c r="H86" s="15">
        <f t="shared" si="8"/>
        <v>0</v>
      </c>
      <c r="I86" s="52"/>
      <c r="J86" s="54"/>
      <c r="K86" s="13"/>
    </row>
    <row r="87" ht="18.75" spans="1:11">
      <c r="A87" s="12" t="str">
        <f ca="1" t="shared" si="5"/>
        <v/>
      </c>
      <c r="B87" s="6"/>
      <c r="C87" s="13"/>
      <c r="D87" s="13"/>
      <c r="E87" s="13"/>
      <c r="F87" s="14">
        <f t="shared" si="6"/>
        <v>0</v>
      </c>
      <c r="G87" s="15">
        <f t="shared" si="7"/>
        <v>0</v>
      </c>
      <c r="H87" s="15">
        <f t="shared" si="8"/>
        <v>0</v>
      </c>
      <c r="I87" s="52"/>
      <c r="J87" s="54"/>
      <c r="K87" s="13"/>
    </row>
    <row r="88" ht="18.75" spans="1:11">
      <c r="A88" s="12" t="str">
        <f ca="1" t="shared" si="5"/>
        <v/>
      </c>
      <c r="B88" s="6"/>
      <c r="C88" s="13"/>
      <c r="D88" s="13"/>
      <c r="E88" s="13"/>
      <c r="F88" s="14">
        <f t="shared" si="6"/>
        <v>0</v>
      </c>
      <c r="G88" s="15">
        <f t="shared" si="7"/>
        <v>0</v>
      </c>
      <c r="H88" s="15">
        <f t="shared" si="8"/>
        <v>0</v>
      </c>
      <c r="I88" s="52"/>
      <c r="J88" s="54"/>
      <c r="K88" s="13"/>
    </row>
    <row r="89" ht="18.75" spans="1:11">
      <c r="A89" s="12" t="str">
        <f ca="1" t="shared" si="5"/>
        <v/>
      </c>
      <c r="B89" s="6"/>
      <c r="C89" s="13"/>
      <c r="D89" s="13"/>
      <c r="E89" s="13"/>
      <c r="F89" s="14">
        <f t="shared" si="6"/>
        <v>0</v>
      </c>
      <c r="G89" s="15">
        <f t="shared" si="7"/>
        <v>0</v>
      </c>
      <c r="H89" s="15">
        <f t="shared" si="8"/>
        <v>0</v>
      </c>
      <c r="I89" s="52"/>
      <c r="J89" s="54"/>
      <c r="K89" s="13"/>
    </row>
    <row r="90" ht="18.75" spans="1:11">
      <c r="A90" s="12" t="str">
        <f ca="1" t="shared" si="5"/>
        <v/>
      </c>
      <c r="B90" s="6"/>
      <c r="C90" s="13"/>
      <c r="D90" s="13"/>
      <c r="E90" s="13"/>
      <c r="F90" s="14">
        <f t="shared" si="6"/>
        <v>0</v>
      </c>
      <c r="G90" s="15">
        <f t="shared" si="7"/>
        <v>0</v>
      </c>
      <c r="H90" s="15">
        <f t="shared" si="8"/>
        <v>0</v>
      </c>
      <c r="I90" s="52"/>
      <c r="J90" s="54"/>
      <c r="K90" s="13"/>
    </row>
    <row r="91" ht="18.75" spans="1:11">
      <c r="A91" s="12" t="str">
        <f ca="1" t="shared" si="5"/>
        <v/>
      </c>
      <c r="B91" s="6"/>
      <c r="C91" s="13"/>
      <c r="D91" s="13"/>
      <c r="E91" s="13"/>
      <c r="F91" s="14">
        <f t="shared" si="6"/>
        <v>0</v>
      </c>
      <c r="G91" s="15">
        <f t="shared" si="7"/>
        <v>0</v>
      </c>
      <c r="H91" s="15">
        <f t="shared" si="8"/>
        <v>0</v>
      </c>
      <c r="I91" s="52"/>
      <c r="J91" s="54"/>
      <c r="K91" s="13"/>
    </row>
    <row r="92" ht="18.75" spans="1:11">
      <c r="A92" s="12" t="str">
        <f ca="1" t="shared" si="5"/>
        <v/>
      </c>
      <c r="B92" s="6"/>
      <c r="C92" s="13"/>
      <c r="D92" s="13"/>
      <c r="E92" s="13"/>
      <c r="F92" s="14">
        <f t="shared" si="6"/>
        <v>0</v>
      </c>
      <c r="G92" s="15">
        <f t="shared" si="7"/>
        <v>0</v>
      </c>
      <c r="H92" s="15">
        <f t="shared" si="8"/>
        <v>0</v>
      </c>
      <c r="I92" s="52"/>
      <c r="J92" s="54"/>
      <c r="K92" s="13"/>
    </row>
    <row r="93" ht="18.75" spans="1:11">
      <c r="A93" s="12" t="str">
        <f ca="1" t="shared" si="5"/>
        <v/>
      </c>
      <c r="B93" s="6"/>
      <c r="C93" s="13"/>
      <c r="D93" s="13"/>
      <c r="E93" s="13"/>
      <c r="F93" s="14">
        <f t="shared" si="6"/>
        <v>0</v>
      </c>
      <c r="G93" s="15">
        <f t="shared" si="7"/>
        <v>0</v>
      </c>
      <c r="H93" s="15">
        <f t="shared" si="8"/>
        <v>0</v>
      </c>
      <c r="I93" s="52"/>
      <c r="J93" s="54"/>
      <c r="K93" s="13"/>
    </row>
    <row r="94" ht="18.75" spans="1:11">
      <c r="A94" s="12" t="str">
        <f ca="1" t="shared" si="5"/>
        <v/>
      </c>
      <c r="B94" s="6"/>
      <c r="C94" s="13"/>
      <c r="D94" s="13"/>
      <c r="E94" s="13"/>
      <c r="F94" s="14">
        <f t="shared" si="6"/>
        <v>0</v>
      </c>
      <c r="G94" s="15">
        <f t="shared" si="7"/>
        <v>0</v>
      </c>
      <c r="H94" s="15">
        <f t="shared" si="8"/>
        <v>0</v>
      </c>
      <c r="I94" s="52"/>
      <c r="J94" s="54"/>
      <c r="K94" s="13"/>
    </row>
    <row r="95" ht="18.75" spans="1:11">
      <c r="A95" s="12" t="str">
        <f ca="1" t="shared" si="5"/>
        <v/>
      </c>
      <c r="B95" s="6"/>
      <c r="C95" s="13"/>
      <c r="D95" s="13"/>
      <c r="E95" s="13"/>
      <c r="F95" s="14">
        <f t="shared" si="6"/>
        <v>0</v>
      </c>
      <c r="G95" s="15">
        <f t="shared" si="7"/>
        <v>0</v>
      </c>
      <c r="H95" s="15">
        <f t="shared" si="8"/>
        <v>0</v>
      </c>
      <c r="I95" s="52"/>
      <c r="J95" s="54"/>
      <c r="K95" s="13"/>
    </row>
    <row r="96" ht="18.75" spans="1:11">
      <c r="A96" s="12" t="str">
        <f ca="1" t="shared" si="5"/>
        <v/>
      </c>
      <c r="B96" s="6"/>
      <c r="C96" s="13"/>
      <c r="D96" s="13"/>
      <c r="E96" s="13"/>
      <c r="F96" s="14">
        <f t="shared" si="6"/>
        <v>0</v>
      </c>
      <c r="G96" s="15">
        <f t="shared" si="7"/>
        <v>0</v>
      </c>
      <c r="H96" s="15">
        <f t="shared" si="8"/>
        <v>0</v>
      </c>
      <c r="I96" s="52"/>
      <c r="J96" s="54"/>
      <c r="K96" s="13"/>
    </row>
    <row r="97" ht="18.75" spans="1:11">
      <c r="A97" s="12" t="str">
        <f ca="1" t="shared" si="5"/>
        <v/>
      </c>
      <c r="B97" s="6"/>
      <c r="C97" s="13"/>
      <c r="D97" s="13"/>
      <c r="E97" s="13"/>
      <c r="F97" s="14">
        <f t="shared" si="6"/>
        <v>0</v>
      </c>
      <c r="G97" s="15">
        <f t="shared" si="7"/>
        <v>0</v>
      </c>
      <c r="H97" s="15">
        <f t="shared" si="8"/>
        <v>0</v>
      </c>
      <c r="I97" s="52"/>
      <c r="J97" s="54"/>
      <c r="K97" s="13"/>
    </row>
    <row r="98" ht="18.75" spans="1:11">
      <c r="A98" s="12" t="str">
        <f ca="1" t="shared" si="5"/>
        <v/>
      </c>
      <c r="B98" s="6"/>
      <c r="C98" s="13"/>
      <c r="D98" s="13"/>
      <c r="E98" s="13"/>
      <c r="F98" s="14">
        <f t="shared" si="6"/>
        <v>0</v>
      </c>
      <c r="G98" s="15">
        <f t="shared" si="7"/>
        <v>0</v>
      </c>
      <c r="H98" s="15">
        <f t="shared" si="8"/>
        <v>0</v>
      </c>
      <c r="I98" s="52"/>
      <c r="J98" s="54"/>
      <c r="K98" s="13"/>
    </row>
    <row r="99" ht="18.75" spans="1:11">
      <c r="A99" s="12" t="str">
        <f ca="1" t="shared" si="5"/>
        <v/>
      </c>
      <c r="B99" s="6"/>
      <c r="C99" s="13"/>
      <c r="D99" s="13"/>
      <c r="E99" s="13"/>
      <c r="F99" s="14">
        <f t="shared" si="6"/>
        <v>0</v>
      </c>
      <c r="G99" s="15">
        <f t="shared" si="7"/>
        <v>0</v>
      </c>
      <c r="H99" s="15">
        <f t="shared" si="8"/>
        <v>0</v>
      </c>
      <c r="I99" s="52"/>
      <c r="J99" s="54"/>
      <c r="K99" s="13"/>
    </row>
    <row r="100" ht="18.75" spans="1:11">
      <c r="A100" s="12" t="str">
        <f ca="1" t="shared" si="5"/>
        <v/>
      </c>
      <c r="B100" s="6"/>
      <c r="C100" s="13"/>
      <c r="D100" s="13"/>
      <c r="E100" s="13"/>
      <c r="F100" s="14">
        <f t="shared" si="6"/>
        <v>0</v>
      </c>
      <c r="G100" s="15">
        <f t="shared" si="7"/>
        <v>0</v>
      </c>
      <c r="H100" s="15">
        <f t="shared" si="8"/>
        <v>0</v>
      </c>
      <c r="I100" s="52"/>
      <c r="J100" s="54"/>
      <c r="K100" s="13"/>
    </row>
    <row r="101" ht="18.75" spans="1:11">
      <c r="A101" s="12" t="str">
        <f ca="1" t="shared" si="5"/>
        <v/>
      </c>
      <c r="B101" s="6"/>
      <c r="C101" s="13"/>
      <c r="D101" s="13"/>
      <c r="E101" s="13"/>
      <c r="F101" s="14">
        <f t="shared" si="6"/>
        <v>0</v>
      </c>
      <c r="G101" s="15">
        <f t="shared" si="7"/>
        <v>0</v>
      </c>
      <c r="H101" s="15">
        <f t="shared" si="8"/>
        <v>0</v>
      </c>
      <c r="I101" s="52"/>
      <c r="J101" s="54"/>
      <c r="K101" s="13"/>
    </row>
    <row r="102" ht="18.75" spans="1:11">
      <c r="A102" s="12" t="str">
        <f ca="1" t="shared" si="5"/>
        <v/>
      </c>
      <c r="B102" s="6"/>
      <c r="C102" s="13"/>
      <c r="D102" s="13"/>
      <c r="E102" s="13"/>
      <c r="F102" s="14">
        <f t="shared" si="6"/>
        <v>0</v>
      </c>
      <c r="G102" s="15">
        <f t="shared" si="7"/>
        <v>0</v>
      </c>
      <c r="H102" s="15">
        <f t="shared" si="8"/>
        <v>0</v>
      </c>
      <c r="I102" s="52"/>
      <c r="J102" s="54"/>
      <c r="K102" s="13"/>
    </row>
    <row r="103" ht="18.75" spans="1:11">
      <c r="A103" s="12" t="str">
        <f ca="1" t="shared" si="5"/>
        <v/>
      </c>
      <c r="B103" s="6"/>
      <c r="C103" s="13"/>
      <c r="D103" s="13"/>
      <c r="E103" s="13"/>
      <c r="F103" s="14">
        <f t="shared" si="6"/>
        <v>0</v>
      </c>
      <c r="G103" s="15">
        <f t="shared" si="7"/>
        <v>0</v>
      </c>
      <c r="H103" s="15">
        <f t="shared" si="8"/>
        <v>0</v>
      </c>
      <c r="I103" s="52"/>
      <c r="J103" s="54"/>
      <c r="K103" s="13"/>
    </row>
    <row r="104" ht="18.75" spans="1:11">
      <c r="A104" s="12" t="str">
        <f ca="1" t="shared" si="5"/>
        <v/>
      </c>
      <c r="B104" s="6"/>
      <c r="C104" s="13"/>
      <c r="D104" s="13"/>
      <c r="E104" s="13"/>
      <c r="F104" s="14">
        <f t="shared" si="6"/>
        <v>0</v>
      </c>
      <c r="G104" s="15">
        <f t="shared" si="7"/>
        <v>0</v>
      </c>
      <c r="H104" s="15">
        <f t="shared" si="8"/>
        <v>0</v>
      </c>
      <c r="I104" s="52"/>
      <c r="J104" s="54"/>
      <c r="K104" s="13"/>
    </row>
    <row r="105" ht="18.75" spans="1:11">
      <c r="A105" s="12" t="str">
        <f ca="1" t="shared" si="5"/>
        <v/>
      </c>
      <c r="B105" s="6"/>
      <c r="C105" s="13"/>
      <c r="D105" s="13"/>
      <c r="E105" s="13"/>
      <c r="F105" s="14">
        <f t="shared" si="6"/>
        <v>0</v>
      </c>
      <c r="G105" s="15">
        <f t="shared" si="7"/>
        <v>0</v>
      </c>
      <c r="H105" s="15">
        <f t="shared" si="8"/>
        <v>0</v>
      </c>
      <c r="I105" s="52"/>
      <c r="J105" s="54"/>
      <c r="K105" s="13"/>
    </row>
    <row r="106" ht="18.75" spans="1:11">
      <c r="A106" s="12" t="str">
        <f ca="1" t="shared" si="5"/>
        <v/>
      </c>
      <c r="B106" s="6"/>
      <c r="C106" s="13"/>
      <c r="D106" s="13"/>
      <c r="E106" s="13"/>
      <c r="F106" s="14">
        <f t="shared" si="6"/>
        <v>0</v>
      </c>
      <c r="G106" s="15">
        <f t="shared" si="7"/>
        <v>0</v>
      </c>
      <c r="H106" s="15">
        <f t="shared" si="8"/>
        <v>0</v>
      </c>
      <c r="I106" s="52"/>
      <c r="J106" s="54"/>
      <c r="K106" s="13"/>
    </row>
    <row r="107" ht="18.75" spans="1:11">
      <c r="A107" s="12" t="str">
        <f ca="1" t="shared" si="5"/>
        <v/>
      </c>
      <c r="B107" s="6"/>
      <c r="C107" s="13"/>
      <c r="D107" s="13"/>
      <c r="E107" s="13"/>
      <c r="F107" s="14">
        <f t="shared" si="6"/>
        <v>0</v>
      </c>
      <c r="G107" s="15">
        <f t="shared" si="7"/>
        <v>0</v>
      </c>
      <c r="H107" s="15">
        <f t="shared" si="8"/>
        <v>0</v>
      </c>
      <c r="I107" s="52"/>
      <c r="J107" s="54"/>
      <c r="K107" s="13"/>
    </row>
    <row r="108" ht="18.75" spans="1:11">
      <c r="A108" s="12" t="str">
        <f ca="1" t="shared" si="5"/>
        <v/>
      </c>
      <c r="B108" s="6"/>
      <c r="C108" s="13"/>
      <c r="D108" s="13"/>
      <c r="E108" s="13"/>
      <c r="F108" s="14">
        <f t="shared" si="6"/>
        <v>0</v>
      </c>
      <c r="G108" s="15">
        <f t="shared" si="7"/>
        <v>0</v>
      </c>
      <c r="H108" s="15">
        <f t="shared" si="8"/>
        <v>0</v>
      </c>
      <c r="I108" s="52"/>
      <c r="J108" s="54"/>
      <c r="K108" s="13"/>
    </row>
    <row r="109" ht="18.75" spans="1:11">
      <c r="A109" s="12" t="str">
        <f ca="1" t="shared" si="5"/>
        <v/>
      </c>
      <c r="B109" s="6"/>
      <c r="C109" s="13"/>
      <c r="D109" s="13"/>
      <c r="E109" s="13"/>
      <c r="F109" s="14">
        <f t="shared" si="6"/>
        <v>0</v>
      </c>
      <c r="G109" s="15">
        <f t="shared" si="7"/>
        <v>0</v>
      </c>
      <c r="H109" s="15">
        <f t="shared" si="8"/>
        <v>0</v>
      </c>
      <c r="I109" s="52"/>
      <c r="J109" s="54"/>
      <c r="K109" s="13"/>
    </row>
    <row r="110" ht="18.75" spans="1:11">
      <c r="A110" s="12" t="str">
        <f ca="1" t="shared" si="5"/>
        <v/>
      </c>
      <c r="B110" s="6"/>
      <c r="C110" s="13"/>
      <c r="D110" s="13"/>
      <c r="E110" s="13"/>
      <c r="F110" s="14">
        <f t="shared" si="6"/>
        <v>0</v>
      </c>
      <c r="G110" s="15">
        <f t="shared" si="7"/>
        <v>0</v>
      </c>
      <c r="H110" s="15">
        <f t="shared" si="8"/>
        <v>0</v>
      </c>
      <c r="I110" s="52"/>
      <c r="J110" s="54"/>
      <c r="K110" s="13"/>
    </row>
    <row r="111" ht="18.75" spans="1:11">
      <c r="A111" s="12" t="str">
        <f ca="1" t="shared" si="5"/>
        <v/>
      </c>
      <c r="B111" s="6"/>
      <c r="C111" s="13"/>
      <c r="D111" s="13"/>
      <c r="E111" s="13"/>
      <c r="F111" s="14">
        <f t="shared" si="6"/>
        <v>0</v>
      </c>
      <c r="G111" s="15">
        <f t="shared" si="7"/>
        <v>0</v>
      </c>
      <c r="H111" s="15">
        <f t="shared" si="8"/>
        <v>0</v>
      </c>
      <c r="I111" s="52"/>
      <c r="J111" s="54"/>
      <c r="K111" s="13"/>
    </row>
    <row r="112" ht="18.75" spans="1:11">
      <c r="A112" s="12" t="str">
        <f ca="1" t="shared" si="5"/>
        <v/>
      </c>
      <c r="B112" s="6"/>
      <c r="C112" s="13"/>
      <c r="D112" s="13"/>
      <c r="E112" s="13"/>
      <c r="F112" s="14">
        <f t="shared" si="6"/>
        <v>0</v>
      </c>
      <c r="G112" s="15">
        <f t="shared" si="7"/>
        <v>0</v>
      </c>
      <c r="H112" s="15">
        <f t="shared" si="8"/>
        <v>0</v>
      </c>
      <c r="I112" s="52"/>
      <c r="J112" s="54"/>
      <c r="K112" s="13"/>
    </row>
    <row r="113" ht="18.75" spans="1:11">
      <c r="A113" s="12" t="str">
        <f ca="1" t="shared" si="5"/>
        <v/>
      </c>
      <c r="B113" s="6"/>
      <c r="C113" s="13"/>
      <c r="D113" s="13"/>
      <c r="E113" s="13"/>
      <c r="F113" s="14">
        <f t="shared" si="6"/>
        <v>0</v>
      </c>
      <c r="G113" s="15">
        <f t="shared" si="7"/>
        <v>0</v>
      </c>
      <c r="H113" s="15">
        <f t="shared" si="8"/>
        <v>0</v>
      </c>
      <c r="I113" s="52"/>
      <c r="J113" s="54"/>
      <c r="K113" s="13"/>
    </row>
    <row r="114" ht="18.75" spans="1:11">
      <c r="A114" s="12" t="str">
        <f ca="1" t="shared" si="5"/>
        <v/>
      </c>
      <c r="B114" s="6"/>
      <c r="C114" s="13"/>
      <c r="D114" s="13"/>
      <c r="E114" s="13"/>
      <c r="F114" s="14">
        <f t="shared" si="6"/>
        <v>0</v>
      </c>
      <c r="G114" s="15">
        <f t="shared" si="7"/>
        <v>0</v>
      </c>
      <c r="H114" s="15">
        <f t="shared" si="8"/>
        <v>0</v>
      </c>
      <c r="I114" s="52"/>
      <c r="J114" s="54"/>
      <c r="K114" s="13"/>
    </row>
    <row r="115" ht="18.75" spans="1:11">
      <c r="A115" s="12" t="str">
        <f ca="1" t="shared" si="5"/>
        <v/>
      </c>
      <c r="B115" s="6"/>
      <c r="C115" s="13"/>
      <c r="D115" s="13"/>
      <c r="E115" s="13"/>
      <c r="F115" s="14">
        <f t="shared" si="6"/>
        <v>0</v>
      </c>
      <c r="G115" s="15">
        <f t="shared" si="7"/>
        <v>0</v>
      </c>
      <c r="H115" s="15">
        <f t="shared" si="8"/>
        <v>0</v>
      </c>
      <c r="I115" s="52"/>
      <c r="J115" s="54"/>
      <c r="K115" s="13"/>
    </row>
    <row r="116" ht="18.75" spans="1:11">
      <c r="A116" s="12" t="str">
        <f ca="1" t="shared" si="5"/>
        <v/>
      </c>
      <c r="B116" s="6"/>
      <c r="C116" s="13"/>
      <c r="D116" s="13"/>
      <c r="E116" s="13"/>
      <c r="F116" s="14">
        <f t="shared" si="6"/>
        <v>0</v>
      </c>
      <c r="G116" s="15">
        <f t="shared" si="7"/>
        <v>0</v>
      </c>
      <c r="H116" s="15">
        <f t="shared" si="8"/>
        <v>0</v>
      </c>
      <c r="I116" s="52"/>
      <c r="J116" s="54"/>
      <c r="K116" s="13"/>
    </row>
    <row r="117" ht="18.75" spans="1:11">
      <c r="A117" s="12" t="str">
        <f ca="1" t="shared" si="5"/>
        <v/>
      </c>
      <c r="B117" s="6"/>
      <c r="C117" s="13"/>
      <c r="D117" s="13"/>
      <c r="E117" s="13"/>
      <c r="F117" s="14">
        <f t="shared" si="6"/>
        <v>0</v>
      </c>
      <c r="G117" s="15">
        <f t="shared" si="7"/>
        <v>0</v>
      </c>
      <c r="H117" s="15">
        <f t="shared" si="8"/>
        <v>0</v>
      </c>
      <c r="I117" s="52"/>
      <c r="J117" s="54"/>
      <c r="K117" s="13"/>
    </row>
    <row r="118" ht="18.75" spans="1:11">
      <c r="A118" s="12" t="str">
        <f ca="1" t="shared" si="5"/>
        <v/>
      </c>
      <c r="B118" s="6"/>
      <c r="C118" s="13"/>
      <c r="D118" s="13"/>
      <c r="E118" s="13"/>
      <c r="F118" s="14">
        <f t="shared" si="6"/>
        <v>0</v>
      </c>
      <c r="G118" s="15">
        <f t="shared" si="7"/>
        <v>0</v>
      </c>
      <c r="H118" s="15">
        <f t="shared" si="8"/>
        <v>0</v>
      </c>
      <c r="I118" s="52"/>
      <c r="J118" s="54"/>
      <c r="K118" s="13"/>
    </row>
    <row r="119" ht="18.75" spans="1:11">
      <c r="A119" s="12" t="str">
        <f ca="1" t="shared" si="5"/>
        <v/>
      </c>
      <c r="B119" s="6"/>
      <c r="C119" s="13"/>
      <c r="D119" s="13"/>
      <c r="E119" s="13"/>
      <c r="F119" s="14">
        <f t="shared" si="6"/>
        <v>0</v>
      </c>
      <c r="G119" s="15">
        <f t="shared" si="7"/>
        <v>0</v>
      </c>
      <c r="H119" s="15">
        <f t="shared" si="8"/>
        <v>0</v>
      </c>
      <c r="I119" s="52"/>
      <c r="J119" s="54"/>
      <c r="K119" s="13"/>
    </row>
    <row r="120" ht="18.75" spans="1:11">
      <c r="A120" s="12" t="str">
        <f ca="1" t="shared" si="5"/>
        <v/>
      </c>
      <c r="B120" s="6"/>
      <c r="C120" s="13"/>
      <c r="D120" s="13"/>
      <c r="E120" s="13"/>
      <c r="F120" s="14">
        <f t="shared" si="6"/>
        <v>0</v>
      </c>
      <c r="G120" s="15">
        <f t="shared" si="7"/>
        <v>0</v>
      </c>
      <c r="H120" s="15">
        <f t="shared" si="8"/>
        <v>0</v>
      </c>
      <c r="I120" s="52"/>
      <c r="J120" s="54"/>
      <c r="K120" s="13"/>
    </row>
    <row r="121" ht="18.75" spans="1:11">
      <c r="A121" s="12" t="str">
        <f ca="1" t="shared" si="5"/>
        <v/>
      </c>
      <c r="B121" s="6"/>
      <c r="C121" s="13"/>
      <c r="D121" s="13"/>
      <c r="E121" s="13"/>
      <c r="F121" s="14">
        <f t="shared" si="6"/>
        <v>0</v>
      </c>
      <c r="G121" s="15">
        <f t="shared" si="7"/>
        <v>0</v>
      </c>
      <c r="H121" s="15">
        <f t="shared" si="8"/>
        <v>0</v>
      </c>
      <c r="I121" s="52"/>
      <c r="J121" s="54"/>
      <c r="K121" s="13"/>
    </row>
    <row r="122" ht="18.75" spans="1:11">
      <c r="A122" s="12" t="str">
        <f ca="1" t="shared" si="5"/>
        <v/>
      </c>
      <c r="B122" s="6"/>
      <c r="C122" s="13"/>
      <c r="D122" s="13"/>
      <c r="E122" s="13"/>
      <c r="F122" s="14">
        <f t="shared" si="6"/>
        <v>0</v>
      </c>
      <c r="G122" s="15">
        <f t="shared" si="7"/>
        <v>0</v>
      </c>
      <c r="H122" s="15">
        <f t="shared" si="8"/>
        <v>0</v>
      </c>
      <c r="I122" s="52"/>
      <c r="J122" s="54"/>
      <c r="K122" s="13"/>
    </row>
    <row r="123" ht="18.75" spans="1:11">
      <c r="A123" s="12" t="str">
        <f ca="1" t="shared" si="5"/>
        <v/>
      </c>
      <c r="B123" s="6"/>
      <c r="C123" s="13"/>
      <c r="D123" s="13"/>
      <c r="E123" s="13"/>
      <c r="F123" s="14">
        <f t="shared" si="6"/>
        <v>0</v>
      </c>
      <c r="G123" s="15">
        <f t="shared" si="7"/>
        <v>0</v>
      </c>
      <c r="H123" s="15">
        <f t="shared" si="8"/>
        <v>0</v>
      </c>
      <c r="I123" s="52"/>
      <c r="J123" s="54"/>
      <c r="K123" s="13"/>
    </row>
    <row r="124" ht="18.75" spans="1:11">
      <c r="A124" s="12" t="str">
        <f ca="1" t="shared" si="5"/>
        <v/>
      </c>
      <c r="B124" s="6"/>
      <c r="C124" s="13"/>
      <c r="D124" s="13"/>
      <c r="E124" s="13"/>
      <c r="F124" s="14">
        <f t="shared" si="6"/>
        <v>0</v>
      </c>
      <c r="G124" s="15">
        <f t="shared" si="7"/>
        <v>0</v>
      </c>
      <c r="H124" s="15">
        <f t="shared" si="8"/>
        <v>0</v>
      </c>
      <c r="I124" s="52"/>
      <c r="J124" s="54"/>
      <c r="K124" s="13"/>
    </row>
    <row r="125" ht="18.75" spans="1:11">
      <c r="A125" s="12" t="str">
        <f ca="1" t="shared" si="5"/>
        <v/>
      </c>
      <c r="B125" s="6"/>
      <c r="C125" s="13"/>
      <c r="D125" s="13"/>
      <c r="E125" s="13"/>
      <c r="F125" s="14">
        <f t="shared" si="6"/>
        <v>0</v>
      </c>
      <c r="G125" s="15">
        <f t="shared" si="7"/>
        <v>0</v>
      </c>
      <c r="H125" s="15">
        <f t="shared" si="8"/>
        <v>0</v>
      </c>
      <c r="I125" s="52"/>
      <c r="J125" s="54"/>
      <c r="K125" s="13"/>
    </row>
    <row r="126" ht="18.75" spans="1:11">
      <c r="A126" s="12" t="str">
        <f ca="1" t="shared" si="5"/>
        <v/>
      </c>
      <c r="B126" s="6"/>
      <c r="C126" s="13"/>
      <c r="D126" s="13"/>
      <c r="E126" s="13"/>
      <c r="F126" s="14">
        <f t="shared" si="6"/>
        <v>0</v>
      </c>
      <c r="G126" s="15">
        <f t="shared" si="7"/>
        <v>0</v>
      </c>
      <c r="H126" s="15">
        <f t="shared" si="8"/>
        <v>0</v>
      </c>
      <c r="I126" s="52"/>
      <c r="J126" s="54"/>
      <c r="K126" s="13"/>
    </row>
    <row r="127" ht="18.75" spans="1:11">
      <c r="A127" s="12" t="str">
        <f ca="1" t="shared" si="5"/>
        <v/>
      </c>
      <c r="B127" s="6"/>
      <c r="C127" s="13"/>
      <c r="D127" s="13"/>
      <c r="E127" s="13"/>
      <c r="F127" s="14">
        <f t="shared" si="6"/>
        <v>0</v>
      </c>
      <c r="G127" s="15">
        <f t="shared" si="7"/>
        <v>0</v>
      </c>
      <c r="H127" s="15">
        <f t="shared" si="8"/>
        <v>0</v>
      </c>
      <c r="I127" s="52"/>
      <c r="J127" s="54"/>
      <c r="K127" s="13"/>
    </row>
    <row r="128" ht="18.75" spans="1:11">
      <c r="A128" s="12" t="str">
        <f ca="1" t="shared" si="5"/>
        <v/>
      </c>
      <c r="B128" s="6"/>
      <c r="C128" s="13"/>
      <c r="D128" s="13"/>
      <c r="E128" s="13"/>
      <c r="F128" s="14">
        <f t="shared" si="6"/>
        <v>0</v>
      </c>
      <c r="G128" s="15">
        <f t="shared" si="7"/>
        <v>0</v>
      </c>
      <c r="H128" s="15">
        <f t="shared" si="8"/>
        <v>0</v>
      </c>
      <c r="I128" s="52"/>
      <c r="J128" s="54"/>
      <c r="K128" s="13"/>
    </row>
    <row r="129" ht="18.75" spans="1:11">
      <c r="A129" s="12" t="str">
        <f ca="1" t="shared" si="5"/>
        <v/>
      </c>
      <c r="B129" s="6"/>
      <c r="C129" s="13"/>
      <c r="D129" s="13"/>
      <c r="E129" s="13"/>
      <c r="F129" s="14">
        <f t="shared" si="6"/>
        <v>0</v>
      </c>
      <c r="G129" s="15">
        <f t="shared" si="7"/>
        <v>0</v>
      </c>
      <c r="H129" s="15">
        <f t="shared" si="8"/>
        <v>0</v>
      </c>
      <c r="I129" s="52"/>
      <c r="J129" s="54"/>
      <c r="K129" s="13"/>
    </row>
    <row r="130" ht="18.75" spans="1:11">
      <c r="A130" s="12" t="str">
        <f ca="1" t="shared" si="5"/>
        <v/>
      </c>
      <c r="B130" s="6"/>
      <c r="C130" s="13"/>
      <c r="D130" s="13"/>
      <c r="E130" s="13"/>
      <c r="F130" s="14">
        <f t="shared" si="6"/>
        <v>0</v>
      </c>
      <c r="G130" s="15">
        <f t="shared" si="7"/>
        <v>0</v>
      </c>
      <c r="H130" s="15">
        <f t="shared" si="8"/>
        <v>0</v>
      </c>
      <c r="I130" s="52"/>
      <c r="J130" s="54"/>
      <c r="K130" s="13"/>
    </row>
    <row r="131" ht="18.75" spans="1:11">
      <c r="A131" s="12" t="str">
        <f ca="1" t="shared" ref="A131:A160" si="9">IF(B131="","",IF(A131="",NOW(),A131))</f>
        <v/>
      </c>
      <c r="B131" s="6"/>
      <c r="C131" s="13"/>
      <c r="D131" s="13"/>
      <c r="E131" s="13"/>
      <c r="F131" s="14">
        <f t="shared" ref="F131:F160" si="10">(IF(E131-C131&lt;0,"24:00"-C131+E131,E131-C131))*24</f>
        <v>0</v>
      </c>
      <c r="G131" s="15">
        <f t="shared" ref="G131:G160" si="11">F131-H131</f>
        <v>0</v>
      </c>
      <c r="H131" s="15">
        <f t="shared" ref="H131:H160" si="12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9"/>
        <v/>
      </c>
      <c r="B132" s="6"/>
      <c r="C132" s="13"/>
      <c r="D132" s="13"/>
      <c r="E132" s="13"/>
      <c r="F132" s="14">
        <f t="shared" si="10"/>
        <v>0</v>
      </c>
      <c r="G132" s="15">
        <f t="shared" si="11"/>
        <v>0</v>
      </c>
      <c r="H132" s="15">
        <f t="shared" si="12"/>
        <v>0</v>
      </c>
      <c r="I132" s="52"/>
      <c r="J132" s="54"/>
      <c r="K132" s="13"/>
    </row>
    <row r="133" ht="18.75" spans="1:11">
      <c r="A133" s="12" t="str">
        <f ca="1" t="shared" si="9"/>
        <v/>
      </c>
      <c r="B133" s="6"/>
      <c r="C133" s="13"/>
      <c r="D133" s="13"/>
      <c r="E133" s="13"/>
      <c r="F133" s="14">
        <f t="shared" si="10"/>
        <v>0</v>
      </c>
      <c r="G133" s="15">
        <f t="shared" si="11"/>
        <v>0</v>
      </c>
      <c r="H133" s="15">
        <f t="shared" si="12"/>
        <v>0</v>
      </c>
      <c r="I133" s="52"/>
      <c r="J133" s="54"/>
      <c r="K133" s="13"/>
    </row>
    <row r="134" ht="18.75" spans="1:11">
      <c r="A134" s="12" t="str">
        <f ca="1" t="shared" si="9"/>
        <v/>
      </c>
      <c r="B134" s="6"/>
      <c r="C134" s="13"/>
      <c r="D134" s="13"/>
      <c r="E134" s="13"/>
      <c r="F134" s="14">
        <f t="shared" si="10"/>
        <v>0</v>
      </c>
      <c r="G134" s="15">
        <f t="shared" si="11"/>
        <v>0</v>
      </c>
      <c r="H134" s="15">
        <f t="shared" si="12"/>
        <v>0</v>
      </c>
      <c r="I134" s="52"/>
      <c r="J134" s="54"/>
      <c r="K134" s="13"/>
    </row>
    <row r="135" ht="18.75" spans="1:11">
      <c r="A135" s="12" t="str">
        <f ca="1" t="shared" si="9"/>
        <v/>
      </c>
      <c r="B135" s="6"/>
      <c r="C135" s="13"/>
      <c r="D135" s="13"/>
      <c r="E135" s="13"/>
      <c r="F135" s="14">
        <f t="shared" si="10"/>
        <v>0</v>
      </c>
      <c r="G135" s="15">
        <f t="shared" si="11"/>
        <v>0</v>
      </c>
      <c r="H135" s="15">
        <f t="shared" si="12"/>
        <v>0</v>
      </c>
      <c r="I135" s="52"/>
      <c r="J135" s="54"/>
      <c r="K135" s="13"/>
    </row>
    <row r="136" ht="18.75" spans="1:11">
      <c r="A136" s="12" t="str">
        <f ca="1" t="shared" si="9"/>
        <v/>
      </c>
      <c r="B136" s="6"/>
      <c r="C136" s="13"/>
      <c r="D136" s="13"/>
      <c r="E136" s="13"/>
      <c r="F136" s="14">
        <f t="shared" si="10"/>
        <v>0</v>
      </c>
      <c r="G136" s="15">
        <f t="shared" si="11"/>
        <v>0</v>
      </c>
      <c r="H136" s="15">
        <f t="shared" si="12"/>
        <v>0</v>
      </c>
      <c r="I136" s="52"/>
      <c r="J136" s="54"/>
      <c r="K136" s="13"/>
    </row>
    <row r="137" ht="18.75" spans="1:11">
      <c r="A137" s="12" t="str">
        <f ca="1" t="shared" si="9"/>
        <v/>
      </c>
      <c r="B137" s="6"/>
      <c r="C137" s="13"/>
      <c r="D137" s="13"/>
      <c r="E137" s="13"/>
      <c r="F137" s="14">
        <f t="shared" si="10"/>
        <v>0</v>
      </c>
      <c r="G137" s="15">
        <f t="shared" si="11"/>
        <v>0</v>
      </c>
      <c r="H137" s="15">
        <f t="shared" si="12"/>
        <v>0</v>
      </c>
      <c r="I137" s="52"/>
      <c r="J137" s="54"/>
      <c r="K137" s="13"/>
    </row>
    <row r="138" ht="18.75" spans="1:11">
      <c r="A138" s="12" t="str">
        <f ca="1" t="shared" si="9"/>
        <v/>
      </c>
      <c r="B138" s="6"/>
      <c r="C138" s="13"/>
      <c r="D138" s="13"/>
      <c r="E138" s="13"/>
      <c r="F138" s="14">
        <f t="shared" si="10"/>
        <v>0</v>
      </c>
      <c r="G138" s="15">
        <f t="shared" si="11"/>
        <v>0</v>
      </c>
      <c r="H138" s="15">
        <f t="shared" si="12"/>
        <v>0</v>
      </c>
      <c r="I138" s="52"/>
      <c r="J138" s="54"/>
      <c r="K138" s="13"/>
    </row>
    <row r="139" ht="18.75" spans="1:11">
      <c r="A139" s="12" t="str">
        <f ca="1" t="shared" si="9"/>
        <v/>
      </c>
      <c r="B139" s="6"/>
      <c r="C139" s="13"/>
      <c r="D139" s="13"/>
      <c r="E139" s="13"/>
      <c r="F139" s="14">
        <f t="shared" si="10"/>
        <v>0</v>
      </c>
      <c r="G139" s="15">
        <f t="shared" si="11"/>
        <v>0</v>
      </c>
      <c r="H139" s="15">
        <f t="shared" si="12"/>
        <v>0</v>
      </c>
      <c r="I139" s="52"/>
      <c r="J139" s="54"/>
      <c r="K139" s="13"/>
    </row>
    <row r="140" ht="18.75" spans="1:11">
      <c r="A140" s="12" t="str">
        <f ca="1" t="shared" si="9"/>
        <v/>
      </c>
      <c r="B140" s="6"/>
      <c r="C140" s="13"/>
      <c r="D140" s="13"/>
      <c r="E140" s="13"/>
      <c r="F140" s="14">
        <f t="shared" si="10"/>
        <v>0</v>
      </c>
      <c r="G140" s="15">
        <f t="shared" si="11"/>
        <v>0</v>
      </c>
      <c r="H140" s="15">
        <f t="shared" si="12"/>
        <v>0</v>
      </c>
      <c r="I140" s="52"/>
      <c r="J140" s="54"/>
      <c r="K140" s="13"/>
    </row>
    <row r="141" ht="18.75" spans="1:11">
      <c r="A141" s="12" t="str">
        <f ca="1" t="shared" si="9"/>
        <v/>
      </c>
      <c r="B141" s="6"/>
      <c r="C141" s="13"/>
      <c r="D141" s="13"/>
      <c r="E141" s="13"/>
      <c r="F141" s="14">
        <f t="shared" si="10"/>
        <v>0</v>
      </c>
      <c r="G141" s="15">
        <f t="shared" si="11"/>
        <v>0</v>
      </c>
      <c r="H141" s="15">
        <f t="shared" si="12"/>
        <v>0</v>
      </c>
      <c r="I141" s="52"/>
      <c r="J141" s="54"/>
      <c r="K141" s="13"/>
    </row>
    <row r="142" ht="18.75" spans="1:11">
      <c r="A142" s="12" t="str">
        <f ca="1" t="shared" si="9"/>
        <v/>
      </c>
      <c r="B142" s="6"/>
      <c r="C142" s="13"/>
      <c r="D142" s="13"/>
      <c r="E142" s="13"/>
      <c r="F142" s="14">
        <f t="shared" si="10"/>
        <v>0</v>
      </c>
      <c r="G142" s="15">
        <f t="shared" si="11"/>
        <v>0</v>
      </c>
      <c r="H142" s="15">
        <f t="shared" si="12"/>
        <v>0</v>
      </c>
      <c r="I142" s="52"/>
      <c r="J142" s="54"/>
      <c r="K142" s="13"/>
    </row>
    <row r="143" ht="18.75" spans="1:11">
      <c r="A143" s="12" t="str">
        <f ca="1" t="shared" si="9"/>
        <v/>
      </c>
      <c r="B143" s="6"/>
      <c r="C143" s="13"/>
      <c r="D143" s="13"/>
      <c r="E143" s="13"/>
      <c r="F143" s="14">
        <f t="shared" si="10"/>
        <v>0</v>
      </c>
      <c r="G143" s="15">
        <f t="shared" si="11"/>
        <v>0</v>
      </c>
      <c r="H143" s="15">
        <f t="shared" si="12"/>
        <v>0</v>
      </c>
      <c r="I143" s="52"/>
      <c r="J143" s="54"/>
      <c r="K143" s="13"/>
    </row>
    <row r="144" ht="18.75" spans="1:11">
      <c r="A144" s="12" t="str">
        <f ca="1" t="shared" si="9"/>
        <v/>
      </c>
      <c r="B144" s="6"/>
      <c r="C144" s="13"/>
      <c r="D144" s="13"/>
      <c r="E144" s="13"/>
      <c r="F144" s="14">
        <f t="shared" si="10"/>
        <v>0</v>
      </c>
      <c r="G144" s="15">
        <f t="shared" si="11"/>
        <v>0</v>
      </c>
      <c r="H144" s="15">
        <f t="shared" si="12"/>
        <v>0</v>
      </c>
      <c r="I144" s="52"/>
      <c r="J144" s="54"/>
      <c r="K144" s="13"/>
    </row>
    <row r="145" ht="18.75" spans="1:11">
      <c r="A145" s="12" t="str">
        <f ca="1" t="shared" si="9"/>
        <v/>
      </c>
      <c r="B145" s="6"/>
      <c r="C145" s="13"/>
      <c r="D145" s="13"/>
      <c r="E145" s="13"/>
      <c r="F145" s="14">
        <f t="shared" si="10"/>
        <v>0</v>
      </c>
      <c r="G145" s="15">
        <f t="shared" si="11"/>
        <v>0</v>
      </c>
      <c r="H145" s="15">
        <f t="shared" si="12"/>
        <v>0</v>
      </c>
      <c r="I145" s="52"/>
      <c r="J145" s="54"/>
      <c r="K145" s="13"/>
    </row>
    <row r="146" ht="18.75" spans="1:11">
      <c r="A146" s="12" t="str">
        <f ca="1" t="shared" si="9"/>
        <v/>
      </c>
      <c r="B146" s="6"/>
      <c r="C146" s="13"/>
      <c r="D146" s="13"/>
      <c r="E146" s="13"/>
      <c r="F146" s="14">
        <f t="shared" si="10"/>
        <v>0</v>
      </c>
      <c r="G146" s="15">
        <f t="shared" si="11"/>
        <v>0</v>
      </c>
      <c r="H146" s="15">
        <f t="shared" si="12"/>
        <v>0</v>
      </c>
      <c r="I146" s="52"/>
      <c r="J146" s="54"/>
      <c r="K146" s="13"/>
    </row>
    <row r="147" ht="18.75" spans="1:11">
      <c r="A147" s="12" t="str">
        <f ca="1" t="shared" si="9"/>
        <v/>
      </c>
      <c r="B147" s="6"/>
      <c r="C147" s="13"/>
      <c r="D147" s="13"/>
      <c r="E147" s="13"/>
      <c r="F147" s="14">
        <f t="shared" si="10"/>
        <v>0</v>
      </c>
      <c r="G147" s="15">
        <f t="shared" si="11"/>
        <v>0</v>
      </c>
      <c r="H147" s="15">
        <f t="shared" si="12"/>
        <v>0</v>
      </c>
      <c r="I147" s="52"/>
      <c r="J147" s="54"/>
      <c r="K147" s="13"/>
    </row>
    <row r="148" ht="18.75" spans="1:11">
      <c r="A148" s="12" t="str">
        <f ca="1" t="shared" si="9"/>
        <v/>
      </c>
      <c r="B148" s="6"/>
      <c r="C148" s="13"/>
      <c r="D148" s="13"/>
      <c r="E148" s="13"/>
      <c r="F148" s="14">
        <f t="shared" si="10"/>
        <v>0</v>
      </c>
      <c r="G148" s="15">
        <f t="shared" si="11"/>
        <v>0</v>
      </c>
      <c r="H148" s="15">
        <f t="shared" si="12"/>
        <v>0</v>
      </c>
      <c r="I148" s="52"/>
      <c r="J148" s="54"/>
      <c r="K148" s="13"/>
    </row>
    <row r="149" ht="18.75" spans="1:11">
      <c r="A149" s="12" t="str">
        <f ca="1" t="shared" si="9"/>
        <v/>
      </c>
      <c r="B149" s="6"/>
      <c r="C149" s="13"/>
      <c r="D149" s="13"/>
      <c r="E149" s="13"/>
      <c r="F149" s="14">
        <f t="shared" si="10"/>
        <v>0</v>
      </c>
      <c r="G149" s="15">
        <f t="shared" si="11"/>
        <v>0</v>
      </c>
      <c r="H149" s="15">
        <f t="shared" si="12"/>
        <v>0</v>
      </c>
      <c r="I149" s="52"/>
      <c r="J149" s="54"/>
      <c r="K149" s="13"/>
    </row>
    <row r="150" ht="18.75" spans="1:11">
      <c r="A150" s="12" t="str">
        <f ca="1" t="shared" si="9"/>
        <v/>
      </c>
      <c r="B150" s="6"/>
      <c r="C150" s="13"/>
      <c r="D150" s="13"/>
      <c r="E150" s="13"/>
      <c r="F150" s="14">
        <f t="shared" si="10"/>
        <v>0</v>
      </c>
      <c r="G150" s="15">
        <f t="shared" si="11"/>
        <v>0</v>
      </c>
      <c r="H150" s="15">
        <f t="shared" si="12"/>
        <v>0</v>
      </c>
      <c r="I150" s="52"/>
      <c r="J150" s="54"/>
      <c r="K150" s="13"/>
    </row>
    <row r="151" ht="18.75" spans="1:11">
      <c r="A151" s="12" t="str">
        <f ca="1" t="shared" si="9"/>
        <v/>
      </c>
      <c r="B151" s="6"/>
      <c r="C151" s="13"/>
      <c r="D151" s="13"/>
      <c r="E151" s="13"/>
      <c r="F151" s="14">
        <f t="shared" si="10"/>
        <v>0</v>
      </c>
      <c r="G151" s="15">
        <f t="shared" si="11"/>
        <v>0</v>
      </c>
      <c r="H151" s="15">
        <f t="shared" si="12"/>
        <v>0</v>
      </c>
      <c r="I151" s="52"/>
      <c r="J151" s="54"/>
      <c r="K151" s="13"/>
    </row>
    <row r="152" ht="18.75" spans="1:11">
      <c r="A152" s="12" t="str">
        <f ca="1" t="shared" si="9"/>
        <v/>
      </c>
      <c r="B152" s="6"/>
      <c r="C152" s="13"/>
      <c r="D152" s="13"/>
      <c r="E152" s="13"/>
      <c r="F152" s="14">
        <f t="shared" si="10"/>
        <v>0</v>
      </c>
      <c r="G152" s="15">
        <f t="shared" si="11"/>
        <v>0</v>
      </c>
      <c r="H152" s="15">
        <f t="shared" si="12"/>
        <v>0</v>
      </c>
      <c r="I152" s="52"/>
      <c r="J152" s="54"/>
      <c r="K152" s="13"/>
    </row>
    <row r="153" ht="18.75" spans="1:11">
      <c r="A153" s="12" t="str">
        <f ca="1" t="shared" si="9"/>
        <v/>
      </c>
      <c r="B153" s="6"/>
      <c r="C153" s="13"/>
      <c r="D153" s="13"/>
      <c r="E153" s="13"/>
      <c r="F153" s="14">
        <f t="shared" si="10"/>
        <v>0</v>
      </c>
      <c r="G153" s="15">
        <f t="shared" si="11"/>
        <v>0</v>
      </c>
      <c r="H153" s="15">
        <f t="shared" si="12"/>
        <v>0</v>
      </c>
      <c r="I153" s="52"/>
      <c r="J153" s="54"/>
      <c r="K153" s="13"/>
    </row>
    <row r="154" ht="18.75" spans="1:11">
      <c r="A154" s="12" t="str">
        <f ca="1" t="shared" si="9"/>
        <v/>
      </c>
      <c r="B154" s="6"/>
      <c r="C154" s="13"/>
      <c r="D154" s="13"/>
      <c r="E154" s="13"/>
      <c r="F154" s="14">
        <f t="shared" si="10"/>
        <v>0</v>
      </c>
      <c r="G154" s="15">
        <f t="shared" si="11"/>
        <v>0</v>
      </c>
      <c r="H154" s="15">
        <f t="shared" si="12"/>
        <v>0</v>
      </c>
      <c r="I154" s="52"/>
      <c r="J154" s="54"/>
      <c r="K154" s="13"/>
    </row>
    <row r="155" ht="18.75" spans="1:11">
      <c r="A155" s="12" t="str">
        <f ca="1" t="shared" si="9"/>
        <v/>
      </c>
      <c r="B155" s="6"/>
      <c r="C155" s="13"/>
      <c r="D155" s="13"/>
      <c r="E155" s="13"/>
      <c r="F155" s="14">
        <f t="shared" si="10"/>
        <v>0</v>
      </c>
      <c r="G155" s="15">
        <f t="shared" si="11"/>
        <v>0</v>
      </c>
      <c r="H155" s="15">
        <f t="shared" si="12"/>
        <v>0</v>
      </c>
      <c r="I155" s="52"/>
      <c r="J155" s="54"/>
      <c r="K155" s="13"/>
    </row>
    <row r="156" ht="18.75" spans="1:11">
      <c r="A156" s="12" t="str">
        <f ca="1" t="shared" si="9"/>
        <v/>
      </c>
      <c r="B156" s="6"/>
      <c r="C156" s="13"/>
      <c r="D156" s="13"/>
      <c r="E156" s="13"/>
      <c r="F156" s="14">
        <f t="shared" si="10"/>
        <v>0</v>
      </c>
      <c r="G156" s="15">
        <f t="shared" si="11"/>
        <v>0</v>
      </c>
      <c r="H156" s="15">
        <f t="shared" si="12"/>
        <v>0</v>
      </c>
      <c r="I156" s="52"/>
      <c r="J156" s="54"/>
      <c r="K156" s="13"/>
    </row>
    <row r="157" ht="18.75" spans="1:11">
      <c r="A157" s="12" t="str">
        <f ca="1" t="shared" si="9"/>
        <v/>
      </c>
      <c r="B157" s="6"/>
      <c r="C157" s="13"/>
      <c r="D157" s="13"/>
      <c r="E157" s="13"/>
      <c r="F157" s="14">
        <f t="shared" si="10"/>
        <v>0</v>
      </c>
      <c r="G157" s="15">
        <f t="shared" si="11"/>
        <v>0</v>
      </c>
      <c r="H157" s="15">
        <f t="shared" si="12"/>
        <v>0</v>
      </c>
      <c r="I157" s="52"/>
      <c r="J157" s="54"/>
      <c r="K157" s="13"/>
    </row>
    <row r="158" ht="18.75" spans="1:11">
      <c r="A158" s="12" t="str">
        <f ca="1" t="shared" si="9"/>
        <v/>
      </c>
      <c r="B158" s="6"/>
      <c r="C158" s="13"/>
      <c r="D158" s="13"/>
      <c r="E158" s="13"/>
      <c r="F158" s="14">
        <f t="shared" si="10"/>
        <v>0</v>
      </c>
      <c r="G158" s="15">
        <f t="shared" si="11"/>
        <v>0</v>
      </c>
      <c r="H158" s="15">
        <f t="shared" si="12"/>
        <v>0</v>
      </c>
      <c r="I158" s="52"/>
      <c r="J158" s="54"/>
      <c r="K158" s="13"/>
    </row>
    <row r="159" ht="18.75" spans="1:11">
      <c r="A159" s="12" t="str">
        <f ca="1" t="shared" si="9"/>
        <v/>
      </c>
      <c r="B159" s="6"/>
      <c r="C159" s="13"/>
      <c r="D159" s="13"/>
      <c r="E159" s="13"/>
      <c r="F159" s="14">
        <f t="shared" si="10"/>
        <v>0</v>
      </c>
      <c r="G159" s="15">
        <f t="shared" si="11"/>
        <v>0</v>
      </c>
      <c r="H159" s="15">
        <f t="shared" si="12"/>
        <v>0</v>
      </c>
      <c r="I159" s="52"/>
      <c r="J159" s="54"/>
      <c r="K159" s="13"/>
    </row>
    <row r="160" ht="18.75" spans="1:11">
      <c r="A160" s="12" t="str">
        <f ca="1" t="shared" si="9"/>
        <v/>
      </c>
      <c r="B160" s="6"/>
      <c r="C160" s="13"/>
      <c r="D160" s="13"/>
      <c r="E160" s="13"/>
      <c r="F160" s="14">
        <f t="shared" si="10"/>
        <v>0</v>
      </c>
      <c r="G160" s="15">
        <f t="shared" si="11"/>
        <v>0</v>
      </c>
      <c r="H160" s="15">
        <f t="shared" si="12"/>
        <v>0</v>
      </c>
      <c r="I160" s="52"/>
      <c r="J160" s="54"/>
      <c r="K160" s="13"/>
    </row>
    <row r="161" ht="18.75" spans="1:11">
      <c r="A161" s="12" t="str">
        <f ca="1" t="shared" ref="A161:A193" si="13">IF(B161="","",IF(A161="",NOW(),A161))</f>
        <v/>
      </c>
      <c r="B161" s="6"/>
      <c r="C161" s="13"/>
      <c r="D161" s="13"/>
      <c r="E161" s="13"/>
      <c r="F161" s="14">
        <f t="shared" ref="F161:F193" si="14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3"/>
        <v/>
      </c>
      <c r="B162" s="6"/>
      <c r="C162" s="13"/>
      <c r="D162" s="13"/>
      <c r="E162" s="13"/>
      <c r="F162" s="14">
        <f t="shared" si="14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3"/>
        <v/>
      </c>
      <c r="B163" s="6"/>
      <c r="C163" s="13"/>
      <c r="D163" s="13"/>
      <c r="E163" s="13"/>
      <c r="F163" s="14">
        <f t="shared" si="14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3"/>
        <v/>
      </c>
      <c r="B164" s="6"/>
      <c r="C164" s="13"/>
      <c r="D164" s="13"/>
      <c r="E164" s="13"/>
      <c r="F164" s="14">
        <f t="shared" si="14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3"/>
        <v/>
      </c>
      <c r="B165" s="6"/>
      <c r="C165" s="13"/>
      <c r="D165" s="13"/>
      <c r="E165" s="13"/>
      <c r="F165" s="14">
        <f t="shared" si="14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3"/>
        <v/>
      </c>
      <c r="B166" s="6"/>
      <c r="C166" s="13"/>
      <c r="D166" s="13"/>
      <c r="E166" s="13"/>
      <c r="F166" s="14">
        <f t="shared" si="14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3"/>
        <v/>
      </c>
      <c r="B167" s="6"/>
      <c r="C167" s="13"/>
      <c r="D167" s="13"/>
      <c r="E167" s="13"/>
      <c r="F167" s="14">
        <f t="shared" si="14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3"/>
        <v/>
      </c>
      <c r="B168" s="6"/>
      <c r="C168" s="13"/>
      <c r="D168" s="13"/>
      <c r="E168" s="13"/>
      <c r="F168" s="14">
        <f t="shared" si="14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3"/>
        <v/>
      </c>
      <c r="B169" s="6"/>
      <c r="C169" s="13"/>
      <c r="D169" s="13"/>
      <c r="E169" s="13"/>
      <c r="F169" s="14">
        <f t="shared" si="14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3"/>
        <v/>
      </c>
      <c r="B170" s="6"/>
      <c r="C170" s="13"/>
      <c r="D170" s="13"/>
      <c r="E170" s="13"/>
      <c r="F170" s="14">
        <f t="shared" si="14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3"/>
        <v/>
      </c>
      <c r="B171" s="6"/>
      <c r="C171" s="13"/>
      <c r="D171" s="13"/>
      <c r="E171" s="13"/>
      <c r="F171" s="14">
        <f t="shared" si="14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3"/>
        <v/>
      </c>
      <c r="B172" s="6"/>
      <c r="C172" s="13"/>
      <c r="D172" s="13"/>
      <c r="E172" s="13"/>
      <c r="F172" s="14">
        <f t="shared" si="14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3"/>
        <v/>
      </c>
      <c r="B173" s="6"/>
      <c r="C173" s="13"/>
      <c r="D173" s="13"/>
      <c r="E173" s="13"/>
      <c r="F173" s="14">
        <f t="shared" si="14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3"/>
        <v/>
      </c>
      <c r="B174" s="6"/>
      <c r="C174" s="13"/>
      <c r="D174" s="13"/>
      <c r="E174" s="13"/>
      <c r="F174" s="14">
        <f t="shared" si="14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3"/>
        <v/>
      </c>
      <c r="B175" s="6"/>
      <c r="C175" s="13"/>
      <c r="D175" s="13"/>
      <c r="E175" s="13"/>
      <c r="F175" s="14">
        <f t="shared" si="14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3"/>
        <v/>
      </c>
      <c r="B176" s="6"/>
      <c r="C176" s="13"/>
      <c r="D176" s="13"/>
      <c r="E176" s="13"/>
      <c r="F176" s="14">
        <f t="shared" si="14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3"/>
        <v/>
      </c>
      <c r="B177" s="6"/>
      <c r="C177" s="13"/>
      <c r="D177" s="13"/>
      <c r="E177" s="13"/>
      <c r="F177" s="14">
        <f t="shared" si="14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3"/>
        <v/>
      </c>
      <c r="B178" s="6"/>
      <c r="C178" s="13"/>
      <c r="D178" s="13"/>
      <c r="E178" s="13"/>
      <c r="F178" s="14">
        <f t="shared" si="14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3"/>
        <v/>
      </c>
      <c r="B179" s="6"/>
      <c r="C179" s="13"/>
      <c r="D179" s="13"/>
      <c r="E179" s="13"/>
      <c r="F179" s="14">
        <f t="shared" si="14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3"/>
        <v/>
      </c>
      <c r="B180" s="6"/>
      <c r="C180" s="13"/>
      <c r="D180" s="13"/>
      <c r="E180" s="13"/>
      <c r="F180" s="14">
        <f t="shared" si="14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3"/>
        <v/>
      </c>
      <c r="B181" s="6"/>
      <c r="C181" s="13"/>
      <c r="D181" s="13"/>
      <c r="E181" s="13"/>
      <c r="F181" s="14">
        <f t="shared" si="14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3"/>
        <v/>
      </c>
      <c r="B182" s="6"/>
      <c r="C182" s="13"/>
      <c r="D182" s="13"/>
      <c r="E182" s="13"/>
      <c r="F182" s="14">
        <f t="shared" si="14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3"/>
        <v/>
      </c>
      <c r="B183" s="6"/>
      <c r="C183" s="13"/>
      <c r="D183" s="13"/>
      <c r="E183" s="13"/>
      <c r="F183" s="14">
        <f t="shared" si="14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3"/>
        <v/>
      </c>
      <c r="B184" s="6"/>
      <c r="C184" s="13"/>
      <c r="D184" s="13"/>
      <c r="E184" s="13"/>
      <c r="F184" s="14">
        <f t="shared" si="14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3"/>
        <v/>
      </c>
      <c r="B185" s="6"/>
      <c r="C185" s="13"/>
      <c r="D185" s="13"/>
      <c r="E185" s="13"/>
      <c r="F185" s="14">
        <f t="shared" si="14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3"/>
        <v/>
      </c>
      <c r="B186" s="6"/>
      <c r="C186" s="13"/>
      <c r="D186" s="13"/>
      <c r="E186" s="13"/>
      <c r="F186" s="14">
        <f t="shared" si="14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3"/>
        <v/>
      </c>
      <c r="B187" s="6"/>
      <c r="C187" s="13"/>
      <c r="D187" s="13"/>
      <c r="E187" s="13"/>
      <c r="F187" s="14">
        <f t="shared" si="14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3"/>
        <v/>
      </c>
      <c r="B188" s="6"/>
      <c r="C188" s="13"/>
      <c r="D188" s="13"/>
      <c r="E188" s="13"/>
      <c r="F188" s="14">
        <f t="shared" si="14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3"/>
        <v/>
      </c>
      <c r="B189" s="6"/>
      <c r="C189" s="13"/>
      <c r="D189" s="13"/>
      <c r="E189" s="13"/>
      <c r="F189" s="14">
        <f t="shared" si="14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3"/>
        <v/>
      </c>
      <c r="B190" s="6"/>
      <c r="C190" s="13"/>
      <c r="D190" s="13"/>
      <c r="E190" s="13"/>
      <c r="F190" s="14">
        <f t="shared" si="14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3"/>
        <v/>
      </c>
      <c r="B191" s="6"/>
      <c r="C191" s="13"/>
      <c r="D191" s="13"/>
      <c r="E191" s="13"/>
      <c r="F191" s="14">
        <f t="shared" si="14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3"/>
        <v/>
      </c>
      <c r="B192" s="6"/>
      <c r="C192" s="13"/>
      <c r="D192" s="13"/>
      <c r="E192" s="13"/>
      <c r="F192" s="14">
        <f t="shared" si="14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3"/>
        <v/>
      </c>
      <c r="B193" s="6"/>
      <c r="C193" s="13"/>
      <c r="D193" s="13"/>
      <c r="E193" s="13"/>
      <c r="F193" s="14">
        <f t="shared" si="14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ref="A194:A257" si="15">IF(B194="","",IF(A194="",NOW(),A194))</f>
        <v/>
      </c>
      <c r="B194" s="6"/>
      <c r="C194" s="13"/>
      <c r="D194" s="13"/>
      <c r="E194" s="13"/>
      <c r="F194" s="14">
        <f t="shared" ref="F194:F204" si="16">(IF(E194-C194&lt;0,"24:00"-C194+E194,E194-C194))*24</f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si="15"/>
        <v/>
      </c>
      <c r="B195" s="6"/>
      <c r="C195" s="13"/>
      <c r="D195" s="13"/>
      <c r="E195" s="13"/>
      <c r="F195" s="14">
        <f t="shared" si="16"/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5"/>
        <v/>
      </c>
      <c r="B196" s="6"/>
      <c r="C196" s="13"/>
      <c r="D196" s="13"/>
      <c r="E196" s="13"/>
      <c r="F196" s="14">
        <f t="shared" si="16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5"/>
        <v/>
      </c>
      <c r="B197" s="6"/>
      <c r="C197" s="13"/>
      <c r="D197" s="13"/>
      <c r="E197" s="13"/>
      <c r="F197" s="14">
        <f t="shared" si="16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5"/>
        <v/>
      </c>
      <c r="B198" s="6"/>
      <c r="C198" s="13"/>
      <c r="D198" s="13"/>
      <c r="E198" s="13"/>
      <c r="F198" s="14">
        <f t="shared" si="16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5"/>
        <v/>
      </c>
      <c r="B199" s="6"/>
      <c r="C199" s="13"/>
      <c r="D199" s="13"/>
      <c r="E199" s="13"/>
      <c r="F199" s="14">
        <f t="shared" si="16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5"/>
        <v/>
      </c>
      <c r="B200" s="6"/>
      <c r="C200" s="13"/>
      <c r="D200" s="13"/>
      <c r="E200" s="13"/>
      <c r="F200" s="14">
        <f t="shared" si="16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5"/>
        <v/>
      </c>
      <c r="B201" s="6"/>
      <c r="C201" s="13"/>
      <c r="D201" s="13"/>
      <c r="E201" s="13"/>
      <c r="F201" s="14">
        <f t="shared" si="16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5"/>
        <v/>
      </c>
      <c r="B202" s="6"/>
      <c r="C202" s="13"/>
      <c r="D202" s="13"/>
      <c r="E202" s="13"/>
      <c r="F202" s="14">
        <f t="shared" si="16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5"/>
        <v/>
      </c>
      <c r="B203" s="6"/>
      <c r="C203" s="13"/>
      <c r="D203" s="13"/>
      <c r="E203" s="13"/>
      <c r="F203" s="14">
        <f t="shared" si="16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5"/>
        <v/>
      </c>
      <c r="B204" s="6"/>
      <c r="C204" s="13"/>
      <c r="D204" s="13"/>
      <c r="E204" s="13"/>
      <c r="F204" s="14">
        <f t="shared" si="16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5"/>
        <v/>
      </c>
      <c r="B205" s="6"/>
      <c r="C205" s="13"/>
      <c r="D205" s="13"/>
      <c r="E205" s="13"/>
      <c r="F205" s="14">
        <f t="shared" ref="F205:F268" si="17">IF(E205-C205&lt;0,"24:00"-C205+E205,E205-C205)</f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5"/>
        <v/>
      </c>
      <c r="B206" s="6"/>
      <c r="C206" s="13"/>
      <c r="D206" s="13"/>
      <c r="E206" s="13"/>
      <c r="F206" s="14">
        <f t="shared" si="17"/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5"/>
        <v/>
      </c>
      <c r="B207" s="6"/>
      <c r="C207" s="13"/>
      <c r="D207" s="13"/>
      <c r="E207" s="13"/>
      <c r="F207" s="14">
        <f t="shared" si="17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5"/>
        <v/>
      </c>
      <c r="B208" s="6"/>
      <c r="C208" s="13"/>
      <c r="D208" s="13"/>
      <c r="E208" s="13"/>
      <c r="F208" s="14">
        <f t="shared" si="17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5"/>
        <v/>
      </c>
      <c r="B209" s="6"/>
      <c r="C209" s="13"/>
      <c r="D209" s="13"/>
      <c r="E209" s="13"/>
      <c r="F209" s="14">
        <f t="shared" si="17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5"/>
        <v/>
      </c>
      <c r="B210" s="6"/>
      <c r="C210" s="13"/>
      <c r="D210" s="13"/>
      <c r="E210" s="13"/>
      <c r="F210" s="14">
        <f t="shared" si="17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5"/>
        <v/>
      </c>
      <c r="B211" s="6"/>
      <c r="C211" s="13"/>
      <c r="D211" s="13"/>
      <c r="E211" s="13"/>
      <c r="F211" s="14">
        <f t="shared" si="17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5"/>
        <v/>
      </c>
      <c r="B212" s="6"/>
      <c r="C212" s="13"/>
      <c r="D212" s="13"/>
      <c r="E212" s="13"/>
      <c r="F212" s="14">
        <f t="shared" si="17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5"/>
        <v/>
      </c>
      <c r="B213" s="6"/>
      <c r="C213" s="13"/>
      <c r="D213" s="13"/>
      <c r="E213" s="13"/>
      <c r="F213" s="14">
        <f t="shared" si="17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5"/>
        <v/>
      </c>
      <c r="B214" s="6"/>
      <c r="C214" s="13"/>
      <c r="D214" s="13"/>
      <c r="E214" s="13"/>
      <c r="F214" s="14">
        <f t="shared" si="17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5"/>
        <v/>
      </c>
      <c r="B215" s="6"/>
      <c r="C215" s="13"/>
      <c r="D215" s="13"/>
      <c r="E215" s="13"/>
      <c r="F215" s="14">
        <f t="shared" si="17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5"/>
        <v/>
      </c>
      <c r="B216" s="6"/>
      <c r="C216" s="13"/>
      <c r="D216" s="13"/>
      <c r="E216" s="13"/>
      <c r="F216" s="14">
        <f t="shared" si="17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5"/>
        <v/>
      </c>
      <c r="B217" s="6"/>
      <c r="C217" s="13"/>
      <c r="D217" s="13"/>
      <c r="E217" s="13"/>
      <c r="F217" s="14">
        <f t="shared" si="17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5"/>
        <v/>
      </c>
      <c r="B218" s="6"/>
      <c r="C218" s="13"/>
      <c r="D218" s="13"/>
      <c r="E218" s="13"/>
      <c r="F218" s="14">
        <f t="shared" si="17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5"/>
        <v/>
      </c>
      <c r="B219" s="6"/>
      <c r="C219" s="13"/>
      <c r="D219" s="13"/>
      <c r="E219" s="13"/>
      <c r="F219" s="14">
        <f t="shared" si="17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5"/>
        <v/>
      </c>
      <c r="B220" s="6"/>
      <c r="C220" s="13"/>
      <c r="D220" s="13"/>
      <c r="E220" s="13"/>
      <c r="F220" s="14">
        <f t="shared" si="17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5"/>
        <v/>
      </c>
      <c r="B221" s="6"/>
      <c r="C221" s="13"/>
      <c r="D221" s="13"/>
      <c r="E221" s="13"/>
      <c r="F221" s="14">
        <f t="shared" si="17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5"/>
        <v/>
      </c>
      <c r="B222" s="6"/>
      <c r="C222" s="13"/>
      <c r="D222" s="13"/>
      <c r="E222" s="13"/>
      <c r="F222" s="14">
        <f t="shared" si="17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5"/>
        <v/>
      </c>
      <c r="B223" s="6"/>
      <c r="C223" s="13"/>
      <c r="D223" s="13"/>
      <c r="E223" s="13"/>
      <c r="F223" s="14">
        <f t="shared" si="17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5"/>
        <v/>
      </c>
      <c r="B224" s="6"/>
      <c r="C224" s="13"/>
      <c r="D224" s="13"/>
      <c r="E224" s="13"/>
      <c r="F224" s="14">
        <f t="shared" si="17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5"/>
        <v/>
      </c>
      <c r="B225" s="6"/>
      <c r="C225" s="13"/>
      <c r="D225" s="13"/>
      <c r="E225" s="13"/>
      <c r="F225" s="14">
        <f t="shared" si="17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5"/>
        <v/>
      </c>
      <c r="B226" s="6"/>
      <c r="C226" s="13"/>
      <c r="D226" s="13"/>
      <c r="E226" s="13"/>
      <c r="F226" s="14">
        <f t="shared" si="17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5"/>
        <v/>
      </c>
      <c r="B227" s="6"/>
      <c r="C227" s="13"/>
      <c r="D227" s="13"/>
      <c r="E227" s="13"/>
      <c r="F227" s="14">
        <f t="shared" si="17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5"/>
        <v/>
      </c>
      <c r="B228" s="6"/>
      <c r="C228" s="13"/>
      <c r="D228" s="13"/>
      <c r="E228" s="13"/>
      <c r="F228" s="14">
        <f t="shared" si="17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5"/>
        <v/>
      </c>
      <c r="B229" s="6"/>
      <c r="C229" s="13"/>
      <c r="D229" s="13"/>
      <c r="E229" s="13"/>
      <c r="F229" s="14">
        <f t="shared" si="17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5"/>
        <v/>
      </c>
      <c r="B230" s="6"/>
      <c r="C230" s="13"/>
      <c r="D230" s="13"/>
      <c r="E230" s="13"/>
      <c r="F230" s="14">
        <f t="shared" si="17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5"/>
        <v/>
      </c>
      <c r="B231" s="6"/>
      <c r="C231" s="13"/>
      <c r="D231" s="13"/>
      <c r="E231" s="13"/>
      <c r="F231" s="14">
        <f t="shared" si="17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5"/>
        <v/>
      </c>
      <c r="B232" s="6"/>
      <c r="C232" s="13"/>
      <c r="D232" s="13"/>
      <c r="E232" s="13"/>
      <c r="F232" s="14">
        <f t="shared" si="17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5"/>
        <v/>
      </c>
      <c r="B233" s="6"/>
      <c r="C233" s="13"/>
      <c r="D233" s="13"/>
      <c r="E233" s="13"/>
      <c r="F233" s="14">
        <f t="shared" si="17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5"/>
        <v/>
      </c>
      <c r="B234" s="6"/>
      <c r="C234" s="13"/>
      <c r="D234" s="13"/>
      <c r="E234" s="13"/>
      <c r="F234" s="14">
        <f t="shared" si="17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5"/>
        <v/>
      </c>
      <c r="B235" s="6"/>
      <c r="C235" s="13"/>
      <c r="D235" s="13"/>
      <c r="E235" s="13"/>
      <c r="F235" s="14">
        <f t="shared" si="17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5"/>
        <v/>
      </c>
      <c r="B236" s="6"/>
      <c r="C236" s="13"/>
      <c r="D236" s="13"/>
      <c r="E236" s="13"/>
      <c r="F236" s="14">
        <f t="shared" si="17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5"/>
        <v/>
      </c>
      <c r="B237" s="6"/>
      <c r="C237" s="13"/>
      <c r="D237" s="13"/>
      <c r="E237" s="13"/>
      <c r="F237" s="14">
        <f t="shared" si="17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5"/>
        <v/>
      </c>
      <c r="B238" s="6"/>
      <c r="C238" s="13"/>
      <c r="D238" s="13"/>
      <c r="E238" s="13"/>
      <c r="F238" s="14">
        <f t="shared" si="17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5"/>
        <v/>
      </c>
      <c r="B239" s="6"/>
      <c r="C239" s="13"/>
      <c r="D239" s="13"/>
      <c r="E239" s="13"/>
      <c r="F239" s="14">
        <f t="shared" si="17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5"/>
        <v/>
      </c>
      <c r="B240" s="6"/>
      <c r="C240" s="13"/>
      <c r="D240" s="13"/>
      <c r="E240" s="13"/>
      <c r="F240" s="14">
        <f t="shared" si="17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5"/>
        <v/>
      </c>
      <c r="B241" s="6"/>
      <c r="C241" s="13"/>
      <c r="D241" s="13"/>
      <c r="E241" s="13"/>
      <c r="F241" s="14">
        <f t="shared" si="17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5"/>
        <v/>
      </c>
      <c r="B242" s="6"/>
      <c r="C242" s="13"/>
      <c r="D242" s="13"/>
      <c r="E242" s="13"/>
      <c r="F242" s="14">
        <f t="shared" si="17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5"/>
        <v/>
      </c>
      <c r="B243" s="6"/>
      <c r="C243" s="13"/>
      <c r="D243" s="13"/>
      <c r="E243" s="13"/>
      <c r="F243" s="14">
        <f t="shared" si="17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5"/>
        <v/>
      </c>
      <c r="B244" s="6"/>
      <c r="C244" s="13"/>
      <c r="D244" s="13"/>
      <c r="E244" s="13"/>
      <c r="F244" s="14">
        <f t="shared" si="17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5"/>
        <v/>
      </c>
      <c r="B245" s="6"/>
      <c r="C245" s="13"/>
      <c r="D245" s="13"/>
      <c r="E245" s="13"/>
      <c r="F245" s="14">
        <f t="shared" si="17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5"/>
        <v/>
      </c>
      <c r="B246" s="6"/>
      <c r="C246" s="13"/>
      <c r="D246" s="13"/>
      <c r="E246" s="13"/>
      <c r="F246" s="14">
        <f t="shared" si="17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5"/>
        <v/>
      </c>
      <c r="B247" s="6"/>
      <c r="C247" s="13"/>
      <c r="D247" s="13"/>
      <c r="E247" s="13"/>
      <c r="F247" s="14">
        <f t="shared" si="17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5"/>
        <v/>
      </c>
      <c r="B248" s="6"/>
      <c r="C248" s="13"/>
      <c r="D248" s="13"/>
      <c r="E248" s="13"/>
      <c r="F248" s="14">
        <f t="shared" si="17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5"/>
        <v/>
      </c>
      <c r="B249" s="6"/>
      <c r="C249" s="13"/>
      <c r="D249" s="13"/>
      <c r="E249" s="13"/>
      <c r="F249" s="14">
        <f t="shared" si="17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5"/>
        <v/>
      </c>
      <c r="B250" s="6"/>
      <c r="C250" s="13"/>
      <c r="D250" s="13"/>
      <c r="E250" s="13"/>
      <c r="F250" s="14">
        <f t="shared" si="17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5"/>
        <v/>
      </c>
      <c r="B251" s="6"/>
      <c r="C251" s="13"/>
      <c r="D251" s="13"/>
      <c r="E251" s="13"/>
      <c r="F251" s="14">
        <f t="shared" si="17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5"/>
        <v/>
      </c>
      <c r="B252" s="6"/>
      <c r="C252" s="13"/>
      <c r="D252" s="13"/>
      <c r="E252" s="13"/>
      <c r="F252" s="14">
        <f t="shared" si="17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5"/>
        <v/>
      </c>
      <c r="B253" s="6"/>
      <c r="C253" s="13"/>
      <c r="D253" s="13"/>
      <c r="E253" s="13"/>
      <c r="F253" s="14">
        <f t="shared" si="17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5"/>
        <v/>
      </c>
      <c r="B254" s="6"/>
      <c r="C254" s="13"/>
      <c r="D254" s="13"/>
      <c r="E254" s="13"/>
      <c r="F254" s="14">
        <f t="shared" si="17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5"/>
        <v/>
      </c>
      <c r="B255" s="6"/>
      <c r="C255" s="13"/>
      <c r="D255" s="13"/>
      <c r="E255" s="13"/>
      <c r="F255" s="14">
        <f t="shared" si="17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5"/>
        <v/>
      </c>
      <c r="B256" s="6"/>
      <c r="C256" s="13"/>
      <c r="D256" s="13"/>
      <c r="E256" s="13"/>
      <c r="F256" s="14">
        <f t="shared" si="17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5"/>
        <v/>
      </c>
      <c r="B257" s="6"/>
      <c r="C257" s="13"/>
      <c r="D257" s="13"/>
      <c r="E257" s="13"/>
      <c r="F257" s="14">
        <f t="shared" si="17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ref="A258:A321" si="18">IF(B258="","",IF(A258="",NOW(),A258))</f>
        <v/>
      </c>
      <c r="B258" s="6"/>
      <c r="C258" s="13"/>
      <c r="D258" s="13"/>
      <c r="E258" s="13"/>
      <c r="F258" s="14">
        <f t="shared" si="17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si="18"/>
        <v/>
      </c>
      <c r="B259" s="6"/>
      <c r="C259" s="13"/>
      <c r="D259" s="13"/>
      <c r="E259" s="13"/>
      <c r="F259" s="14">
        <f t="shared" si="17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18"/>
        <v/>
      </c>
      <c r="B260" s="6"/>
      <c r="C260" s="13"/>
      <c r="D260" s="13"/>
      <c r="E260" s="13"/>
      <c r="F260" s="14">
        <f t="shared" si="17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18"/>
        <v/>
      </c>
      <c r="B261" s="6"/>
      <c r="C261" s="13"/>
      <c r="D261" s="13"/>
      <c r="E261" s="13"/>
      <c r="F261" s="14">
        <f t="shared" si="17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18"/>
        <v/>
      </c>
      <c r="B262" s="6"/>
      <c r="C262" s="13"/>
      <c r="D262" s="13"/>
      <c r="E262" s="13"/>
      <c r="F262" s="14">
        <f t="shared" si="17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18"/>
        <v/>
      </c>
      <c r="B263" s="6"/>
      <c r="C263" s="13"/>
      <c r="D263" s="13"/>
      <c r="E263" s="13"/>
      <c r="F263" s="14">
        <f t="shared" si="17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18"/>
        <v/>
      </c>
      <c r="B264" s="6"/>
      <c r="C264" s="13"/>
      <c r="D264" s="13"/>
      <c r="E264" s="13"/>
      <c r="F264" s="14">
        <f t="shared" si="17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18"/>
        <v/>
      </c>
      <c r="B265" s="6"/>
      <c r="C265" s="13"/>
      <c r="D265" s="13"/>
      <c r="E265" s="13"/>
      <c r="F265" s="14">
        <f t="shared" si="17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18"/>
        <v/>
      </c>
      <c r="B266" s="6"/>
      <c r="C266" s="13"/>
      <c r="D266" s="13"/>
      <c r="E266" s="13"/>
      <c r="F266" s="14">
        <f t="shared" si="17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18"/>
        <v/>
      </c>
      <c r="B267" s="6"/>
      <c r="C267" s="13"/>
      <c r="D267" s="13"/>
      <c r="E267" s="13"/>
      <c r="F267" s="14">
        <f t="shared" si="17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18"/>
        <v/>
      </c>
      <c r="B268" s="6"/>
      <c r="C268" s="13"/>
      <c r="D268" s="13"/>
      <c r="E268" s="13"/>
      <c r="F268" s="14">
        <f t="shared" si="17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18"/>
        <v/>
      </c>
      <c r="B269" s="6"/>
      <c r="C269" s="13"/>
      <c r="D269" s="13"/>
      <c r="E269" s="13"/>
      <c r="F269" s="14">
        <f t="shared" ref="F269:F332" si="19">IF(E269-C269&lt;0,"24:00"-C269+E269,E269-C269)</f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18"/>
        <v/>
      </c>
      <c r="B270" s="6"/>
      <c r="C270" s="13"/>
      <c r="D270" s="13"/>
      <c r="E270" s="13"/>
      <c r="F270" s="14">
        <f t="shared" si="19"/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18"/>
        <v/>
      </c>
      <c r="B271" s="6"/>
      <c r="C271" s="13"/>
      <c r="D271" s="13"/>
      <c r="E271" s="13"/>
      <c r="F271" s="14">
        <f t="shared" si="19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18"/>
        <v/>
      </c>
      <c r="B272" s="6"/>
      <c r="C272" s="13"/>
      <c r="D272" s="13"/>
      <c r="E272" s="13"/>
      <c r="F272" s="14">
        <f t="shared" si="19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18"/>
        <v/>
      </c>
      <c r="B273" s="6"/>
      <c r="C273" s="13"/>
      <c r="D273" s="13"/>
      <c r="E273" s="13"/>
      <c r="F273" s="14">
        <f t="shared" si="19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18"/>
        <v/>
      </c>
      <c r="B274" s="6"/>
      <c r="C274" s="13"/>
      <c r="D274" s="13"/>
      <c r="E274" s="13"/>
      <c r="F274" s="14">
        <f t="shared" si="19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18"/>
        <v/>
      </c>
      <c r="B275" s="6"/>
      <c r="C275" s="13"/>
      <c r="D275" s="13"/>
      <c r="E275" s="13"/>
      <c r="F275" s="14">
        <f t="shared" si="19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18"/>
        <v/>
      </c>
      <c r="B276" s="6"/>
      <c r="C276" s="13"/>
      <c r="D276" s="13"/>
      <c r="E276" s="13"/>
      <c r="F276" s="14">
        <f t="shared" si="19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18"/>
        <v/>
      </c>
      <c r="B277" s="6"/>
      <c r="C277" s="13"/>
      <c r="D277" s="13"/>
      <c r="E277" s="13"/>
      <c r="F277" s="14">
        <f t="shared" si="19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18"/>
        <v/>
      </c>
      <c r="B278" s="6"/>
      <c r="C278" s="13"/>
      <c r="D278" s="13"/>
      <c r="E278" s="13"/>
      <c r="F278" s="14">
        <f t="shared" si="19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18"/>
        <v/>
      </c>
      <c r="B279" s="6"/>
      <c r="C279" s="13"/>
      <c r="D279" s="13"/>
      <c r="E279" s="13"/>
      <c r="F279" s="14">
        <f t="shared" si="19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18"/>
        <v/>
      </c>
      <c r="B280" s="6"/>
      <c r="C280" s="13"/>
      <c r="D280" s="13"/>
      <c r="E280" s="13"/>
      <c r="F280" s="14">
        <f t="shared" si="19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18"/>
        <v/>
      </c>
      <c r="B281" s="6"/>
      <c r="C281" s="13"/>
      <c r="D281" s="13"/>
      <c r="E281" s="13"/>
      <c r="F281" s="14">
        <f t="shared" si="19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18"/>
        <v/>
      </c>
      <c r="B282" s="6"/>
      <c r="C282" s="13"/>
      <c r="D282" s="13"/>
      <c r="E282" s="13"/>
      <c r="F282" s="14">
        <f t="shared" si="19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18"/>
        <v/>
      </c>
      <c r="B283" s="6"/>
      <c r="C283" s="13"/>
      <c r="D283" s="13"/>
      <c r="E283" s="13"/>
      <c r="F283" s="14">
        <f t="shared" si="19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18"/>
        <v/>
      </c>
      <c r="B284" s="6"/>
      <c r="C284" s="13"/>
      <c r="D284" s="13"/>
      <c r="E284" s="13"/>
      <c r="F284" s="14">
        <f t="shared" si="19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18"/>
        <v/>
      </c>
      <c r="B285" s="6"/>
      <c r="C285" s="13"/>
      <c r="D285" s="13"/>
      <c r="E285" s="13"/>
      <c r="F285" s="14">
        <f t="shared" si="19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18"/>
        <v/>
      </c>
      <c r="B286" s="6"/>
      <c r="C286" s="13"/>
      <c r="D286" s="13"/>
      <c r="E286" s="13"/>
      <c r="F286" s="14">
        <f t="shared" si="19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18"/>
        <v/>
      </c>
      <c r="B287" s="6"/>
      <c r="C287" s="13"/>
      <c r="D287" s="13"/>
      <c r="E287" s="13"/>
      <c r="F287" s="14">
        <f t="shared" si="19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18"/>
        <v/>
      </c>
      <c r="B288" s="6"/>
      <c r="C288" s="13"/>
      <c r="D288" s="13"/>
      <c r="E288" s="13"/>
      <c r="F288" s="14">
        <f t="shared" si="19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18"/>
        <v/>
      </c>
      <c r="B289" s="6"/>
      <c r="C289" s="13"/>
      <c r="D289" s="13"/>
      <c r="E289" s="13"/>
      <c r="F289" s="14">
        <f t="shared" si="19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18"/>
        <v/>
      </c>
      <c r="B290" s="6"/>
      <c r="C290" s="13"/>
      <c r="D290" s="13"/>
      <c r="E290" s="13"/>
      <c r="F290" s="14">
        <f t="shared" si="19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18"/>
        <v/>
      </c>
      <c r="B291" s="6"/>
      <c r="C291" s="13"/>
      <c r="D291" s="13"/>
      <c r="E291" s="13"/>
      <c r="F291" s="14">
        <f t="shared" si="19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18"/>
        <v/>
      </c>
      <c r="B292" s="6"/>
      <c r="C292" s="13"/>
      <c r="D292" s="13"/>
      <c r="E292" s="13"/>
      <c r="F292" s="14">
        <f t="shared" si="19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18"/>
        <v/>
      </c>
      <c r="B293" s="6"/>
      <c r="C293" s="13"/>
      <c r="D293" s="13"/>
      <c r="E293" s="13"/>
      <c r="F293" s="14">
        <f t="shared" si="19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18"/>
        <v/>
      </c>
      <c r="B294" s="6"/>
      <c r="C294" s="13"/>
      <c r="D294" s="13"/>
      <c r="E294" s="13"/>
      <c r="F294" s="14">
        <f t="shared" si="19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18"/>
        <v/>
      </c>
      <c r="B295" s="6"/>
      <c r="C295" s="13"/>
      <c r="D295" s="13"/>
      <c r="E295" s="13"/>
      <c r="F295" s="14">
        <f t="shared" si="19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18"/>
        <v/>
      </c>
      <c r="B296" s="6"/>
      <c r="C296" s="13"/>
      <c r="D296" s="13"/>
      <c r="E296" s="13"/>
      <c r="F296" s="14">
        <f t="shared" si="19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18"/>
        <v/>
      </c>
      <c r="B297" s="6"/>
      <c r="C297" s="13"/>
      <c r="D297" s="13"/>
      <c r="E297" s="13"/>
      <c r="F297" s="14">
        <f t="shared" si="19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18"/>
        <v/>
      </c>
      <c r="B298" s="6"/>
      <c r="C298" s="13"/>
      <c r="D298" s="13"/>
      <c r="E298" s="13"/>
      <c r="F298" s="14">
        <f t="shared" si="19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18"/>
        <v/>
      </c>
      <c r="B299" s="6"/>
      <c r="C299" s="13"/>
      <c r="D299" s="13"/>
      <c r="E299" s="13"/>
      <c r="F299" s="14">
        <f t="shared" si="19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18"/>
        <v/>
      </c>
      <c r="B300" s="6"/>
      <c r="C300" s="13"/>
      <c r="D300" s="13"/>
      <c r="E300" s="13"/>
      <c r="F300" s="14">
        <f t="shared" si="19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18"/>
        <v/>
      </c>
      <c r="B301" s="6"/>
      <c r="C301" s="13"/>
      <c r="D301" s="13"/>
      <c r="E301" s="13"/>
      <c r="F301" s="14">
        <f t="shared" si="19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18"/>
        <v/>
      </c>
      <c r="B302" s="6"/>
      <c r="C302" s="13"/>
      <c r="D302" s="13"/>
      <c r="E302" s="13"/>
      <c r="F302" s="14">
        <f t="shared" si="19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18"/>
        <v/>
      </c>
      <c r="B303" s="6"/>
      <c r="C303" s="13"/>
      <c r="D303" s="13"/>
      <c r="E303" s="13"/>
      <c r="F303" s="14">
        <f t="shared" si="19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18"/>
        <v/>
      </c>
      <c r="B304" s="6"/>
      <c r="C304" s="13"/>
      <c r="D304" s="13"/>
      <c r="E304" s="13"/>
      <c r="F304" s="14">
        <f t="shared" si="19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18"/>
        <v/>
      </c>
      <c r="B305" s="6"/>
      <c r="C305" s="13"/>
      <c r="D305" s="13"/>
      <c r="E305" s="13"/>
      <c r="F305" s="14">
        <f t="shared" si="19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18"/>
        <v/>
      </c>
      <c r="B306" s="6"/>
      <c r="C306" s="13"/>
      <c r="D306" s="13"/>
      <c r="E306" s="13"/>
      <c r="F306" s="14">
        <f t="shared" si="19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18"/>
        <v/>
      </c>
      <c r="B307" s="6"/>
      <c r="C307" s="13"/>
      <c r="D307" s="13"/>
      <c r="E307" s="13"/>
      <c r="F307" s="14">
        <f t="shared" si="19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18"/>
        <v/>
      </c>
      <c r="B308" s="6"/>
      <c r="C308" s="13"/>
      <c r="D308" s="13"/>
      <c r="E308" s="13"/>
      <c r="F308" s="14">
        <f t="shared" si="19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18"/>
        <v/>
      </c>
      <c r="B309" s="6"/>
      <c r="C309" s="13"/>
      <c r="D309" s="13"/>
      <c r="E309" s="13"/>
      <c r="F309" s="14">
        <f t="shared" si="19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18"/>
        <v/>
      </c>
      <c r="B310" s="6"/>
      <c r="C310" s="13"/>
      <c r="D310" s="13"/>
      <c r="E310" s="13"/>
      <c r="F310" s="14">
        <f t="shared" si="19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18"/>
        <v/>
      </c>
      <c r="B311" s="6"/>
      <c r="C311" s="13"/>
      <c r="D311" s="13"/>
      <c r="E311" s="13"/>
      <c r="F311" s="14">
        <f t="shared" si="19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18"/>
        <v/>
      </c>
      <c r="B312" s="6"/>
      <c r="C312" s="13"/>
      <c r="D312" s="13"/>
      <c r="E312" s="13"/>
      <c r="F312" s="14">
        <f t="shared" si="19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18"/>
        <v/>
      </c>
      <c r="B313" s="6"/>
      <c r="C313" s="13"/>
      <c r="D313" s="13"/>
      <c r="E313" s="13"/>
      <c r="F313" s="14">
        <f t="shared" si="19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18"/>
        <v/>
      </c>
      <c r="B314" s="6"/>
      <c r="C314" s="13"/>
      <c r="D314" s="13"/>
      <c r="E314" s="13"/>
      <c r="F314" s="14">
        <f t="shared" si="19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18"/>
        <v/>
      </c>
      <c r="B315" s="6"/>
      <c r="C315" s="13"/>
      <c r="D315" s="13"/>
      <c r="E315" s="13"/>
      <c r="F315" s="14">
        <f t="shared" si="19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18"/>
        <v/>
      </c>
      <c r="B316" s="6"/>
      <c r="C316" s="13"/>
      <c r="D316" s="13"/>
      <c r="E316" s="13"/>
      <c r="F316" s="14">
        <f t="shared" si="19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18"/>
        <v/>
      </c>
      <c r="B317" s="6"/>
      <c r="C317" s="13"/>
      <c r="D317" s="13"/>
      <c r="E317" s="13"/>
      <c r="F317" s="14">
        <f t="shared" si="19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18"/>
        <v/>
      </c>
      <c r="B318" s="6"/>
      <c r="C318" s="13"/>
      <c r="D318" s="13"/>
      <c r="E318" s="13"/>
      <c r="F318" s="14">
        <f t="shared" si="19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18"/>
        <v/>
      </c>
      <c r="B319" s="6"/>
      <c r="C319" s="13"/>
      <c r="D319" s="13"/>
      <c r="E319" s="13"/>
      <c r="F319" s="14">
        <f t="shared" si="19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18"/>
        <v/>
      </c>
      <c r="B320" s="6"/>
      <c r="C320" s="13"/>
      <c r="D320" s="13"/>
      <c r="E320" s="13"/>
      <c r="F320" s="14">
        <f t="shared" si="19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18"/>
        <v/>
      </c>
      <c r="B321" s="6"/>
      <c r="C321" s="13"/>
      <c r="D321" s="13"/>
      <c r="E321" s="13"/>
      <c r="F321" s="14">
        <f t="shared" si="19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ref="A322:A338" si="20">IF(B322="","",IF(A322="",NOW(),A322))</f>
        <v/>
      </c>
      <c r="B322" s="6"/>
      <c r="C322" s="13"/>
      <c r="D322" s="13"/>
      <c r="E322" s="13"/>
      <c r="F322" s="14">
        <f t="shared" si="19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si="20"/>
        <v/>
      </c>
      <c r="B323" s="6"/>
      <c r="C323" s="13"/>
      <c r="D323" s="13"/>
      <c r="E323" s="13"/>
      <c r="F323" s="14">
        <f t="shared" si="19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0"/>
        <v/>
      </c>
      <c r="B324" s="6"/>
      <c r="C324" s="13"/>
      <c r="D324" s="13"/>
      <c r="E324" s="13"/>
      <c r="F324" s="14">
        <f t="shared" si="19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0"/>
        <v/>
      </c>
      <c r="B325" s="6"/>
      <c r="C325" s="13"/>
      <c r="D325" s="13"/>
      <c r="E325" s="13"/>
      <c r="F325" s="14">
        <f t="shared" si="19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0"/>
        <v/>
      </c>
      <c r="B326" s="6"/>
      <c r="C326" s="13"/>
      <c r="D326" s="13"/>
      <c r="E326" s="13"/>
      <c r="F326" s="14">
        <f t="shared" si="19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0"/>
        <v/>
      </c>
      <c r="B327" s="6"/>
      <c r="C327" s="13"/>
      <c r="D327" s="13"/>
      <c r="E327" s="13"/>
      <c r="F327" s="14">
        <f t="shared" si="19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0"/>
        <v/>
      </c>
      <c r="B328" s="6"/>
      <c r="C328" s="13"/>
      <c r="D328" s="13"/>
      <c r="E328" s="13"/>
      <c r="F328" s="14">
        <f t="shared" si="19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0"/>
        <v/>
      </c>
      <c r="B329" s="6"/>
      <c r="C329" s="13"/>
      <c r="D329" s="13"/>
      <c r="E329" s="13"/>
      <c r="F329" s="14">
        <f t="shared" si="19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0"/>
        <v/>
      </c>
      <c r="B330" s="6"/>
      <c r="C330" s="13"/>
      <c r="D330" s="13"/>
      <c r="E330" s="13"/>
      <c r="F330" s="14">
        <f t="shared" si="19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0"/>
        <v/>
      </c>
      <c r="B331" s="6"/>
      <c r="C331" s="13"/>
      <c r="D331" s="13"/>
      <c r="E331" s="13"/>
      <c r="F331" s="14">
        <f t="shared" si="19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0"/>
        <v/>
      </c>
      <c r="B332" s="6"/>
      <c r="C332" s="13"/>
      <c r="D332" s="13"/>
      <c r="E332" s="13"/>
      <c r="F332" s="14">
        <f t="shared" si="19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0"/>
        <v/>
      </c>
      <c r="B333" s="6"/>
      <c r="C333" s="13"/>
      <c r="D333" s="13"/>
      <c r="E333" s="13"/>
      <c r="F333" s="14">
        <f t="shared" ref="F333:F338" si="21">IF(E333-C333&lt;0,"24:00"-C333+E333,E333-C333)</f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0"/>
        <v/>
      </c>
      <c r="B334" s="6"/>
      <c r="C334" s="13"/>
      <c r="D334" s="13"/>
      <c r="E334" s="13"/>
      <c r="F334" s="14">
        <f t="shared" si="21"/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0"/>
        <v/>
      </c>
      <c r="B335" s="6"/>
      <c r="C335" s="13"/>
      <c r="D335" s="13"/>
      <c r="E335" s="13"/>
      <c r="F335" s="14">
        <f t="shared" si="21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0"/>
        <v/>
      </c>
      <c r="B336" s="6"/>
      <c r="C336" s="13"/>
      <c r="D336" s="13"/>
      <c r="E336" s="13"/>
      <c r="F336" s="14">
        <f t="shared" si="21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0"/>
        <v/>
      </c>
      <c r="B337" s="6"/>
      <c r="C337" s="13"/>
      <c r="D337" s="13"/>
      <c r="E337" s="13"/>
      <c r="F337" s="14">
        <f t="shared" si="21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0"/>
        <v/>
      </c>
      <c r="B338" s="6"/>
      <c r="C338" s="13"/>
      <c r="D338" s="13"/>
      <c r="E338" s="13"/>
      <c r="F338" s="14">
        <f t="shared" si="21"/>
        <v>0</v>
      </c>
      <c r="G338" s="13"/>
      <c r="H338" s="52"/>
      <c r="I338" s="52"/>
      <c r="J338" s="54"/>
      <c r="K338" s="13"/>
    </row>
  </sheetData>
  <autoFilter xmlns:etc="http://www.wps.cn/officeDocument/2017/etCustomData" ref="A2:K338" etc:filterBottomFollowUsedRange="0">
    <extLst/>
  </autoFilter>
  <mergeCells count="3">
    <mergeCell ref="A1:K1"/>
    <mergeCell ref="J19:L19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8">
      <formula1>"完成"</formula1>
    </dataValidation>
    <dataValidation type="list" allowBlank="1" showInputMessage="1" showErrorMessage="1" sqref="K37:K338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P339"/>
  <sheetViews>
    <sheetView zoomScale="85" zoomScaleNormal="85" topLeftCell="A10" workbookViewId="0">
      <selection activeCell="D29" sqref="D29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46205.1378119213</v>
      </c>
      <c r="B3" s="6" t="s">
        <v>70</v>
      </c>
      <c r="C3" s="13">
        <v>0.137800925925926</v>
      </c>
      <c r="D3" s="13" t="s">
        <v>65</v>
      </c>
      <c r="E3" s="13">
        <v>0.254583333333333</v>
      </c>
      <c r="F3" s="14">
        <f t="shared" ref="F3:F66" si="1">(IF(E3-C3&lt;0,"24:00"-C3+E3,E3-C3))*24</f>
        <v>2.80277777777778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2.80277777777778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46205.254615625</v>
      </c>
      <c r="B4" s="6" t="s">
        <v>68</v>
      </c>
      <c r="C4" s="13">
        <v>0.254606481481482</v>
      </c>
      <c r="D4" s="13" t="s">
        <v>65</v>
      </c>
      <c r="E4" s="13">
        <v>0.305486111111111</v>
      </c>
      <c r="F4" s="14">
        <f t="shared" si="1"/>
        <v>1.22111111111111</v>
      </c>
      <c r="G4" s="15">
        <f t="shared" si="2"/>
        <v>0</v>
      </c>
      <c r="H4" s="15">
        <f t="shared" si="3"/>
        <v>1.22111111111111</v>
      </c>
      <c r="I4" s="23" t="s">
        <v>67</v>
      </c>
      <c r="J4" s="24">
        <f>SUMIF(B:B,"西塔台管制席",F:F)+SUMIF(B:B,"东塔台管制席",F:F)</f>
        <v>40.2844444444445</v>
      </c>
      <c r="K4" s="25">
        <f>SUMIF(B:B,"西塔台管制席",G:G)+SUMIF(B:B,"东塔台管制席",G:G)</f>
        <v>24.3641666666667</v>
      </c>
      <c r="L4" s="25">
        <f>SUMIF(B:B,"西塔台管制席",H:H)+SUMIF(B:B,"东塔台管制席",H:H)</f>
        <v>15.9202777777778</v>
      </c>
      <c r="M4" s="21"/>
    </row>
    <row r="5" ht="18.75" spans="1:13">
      <c r="A5" s="12">
        <f ca="1" t="shared" si="0"/>
        <v>46206.1323680556</v>
      </c>
      <c r="B5" s="6" t="s">
        <v>85</v>
      </c>
      <c r="C5" s="13">
        <v>0.132361111111111</v>
      </c>
      <c r="D5" s="13" t="s">
        <v>65</v>
      </c>
      <c r="E5" s="13">
        <v>0.237395833333333</v>
      </c>
      <c r="F5" s="14">
        <f t="shared" si="1"/>
        <v>2.52083333333333</v>
      </c>
      <c r="G5" s="15">
        <f t="shared" si="2"/>
        <v>0</v>
      </c>
      <c r="H5" s="15">
        <f t="shared" si="3"/>
        <v>2.52083333333333</v>
      </c>
      <c r="I5" s="23" t="s">
        <v>69</v>
      </c>
      <c r="J5" s="24">
        <f>SUMIF(B:B,"西塔台协调席",F:F)+SUMIF(B:B,"东塔台协调席",F:F)</f>
        <v>25.9441666666667</v>
      </c>
      <c r="K5" s="25">
        <f>SUMIF(B:B,"西塔台协调席",G:G)+SUMIF(B:B,"东塔台协调席",G:G)</f>
        <v>19.1213888888889</v>
      </c>
      <c r="L5" s="25">
        <f>SUMIF(B:B,"西塔台协调席",H:H)+SUMIF(B:B,"东塔台协调席",H:H)</f>
        <v>6.82277777777776</v>
      </c>
      <c r="M5" s="21"/>
    </row>
    <row r="6" ht="18.75" spans="1:13">
      <c r="A6" s="12">
        <f ca="1" t="shared" si="0"/>
        <v>46208.3741392361</v>
      </c>
      <c r="B6" s="6" t="s">
        <v>87</v>
      </c>
      <c r="C6" s="13">
        <v>0.374131944444444</v>
      </c>
      <c r="D6" s="13" t="s">
        <v>65</v>
      </c>
      <c r="E6" s="13">
        <v>0.496168981481482</v>
      </c>
      <c r="F6" s="14">
        <f t="shared" si="1"/>
        <v>2.92888888888889</v>
      </c>
      <c r="G6" s="15">
        <f t="shared" si="2"/>
        <v>2.92888888888889</v>
      </c>
      <c r="H6" s="15">
        <f t="shared" si="3"/>
        <v>0</v>
      </c>
      <c r="I6" s="23" t="s">
        <v>71</v>
      </c>
      <c r="J6" s="24">
        <f>SUMIF(B:B,"放行席",F:F)</f>
        <v>2.52083333333333</v>
      </c>
      <c r="K6" s="25">
        <f>SUMIF(B:B,"放行席",G:G)</f>
        <v>0</v>
      </c>
      <c r="L6" s="25">
        <f>SUMIF(B:B,"放行席",H:H)</f>
        <v>2.52083333333333</v>
      </c>
      <c r="M6" s="21"/>
    </row>
    <row r="7" ht="18.75" spans="1:13">
      <c r="A7" s="12">
        <f ca="1" t="shared" si="0"/>
        <v>46208.5627688657</v>
      </c>
      <c r="B7" s="6" t="s">
        <v>87</v>
      </c>
      <c r="C7" s="13">
        <v>0.562766203703704</v>
      </c>
      <c r="D7" s="13" t="s">
        <v>65</v>
      </c>
      <c r="E7" s="13">
        <v>0.7121875</v>
      </c>
      <c r="F7" s="14">
        <f t="shared" si="1"/>
        <v>3.58611111111111</v>
      </c>
      <c r="G7" s="15">
        <f t="shared" si="2"/>
        <v>3.58611111111111</v>
      </c>
      <c r="H7" s="15">
        <f t="shared" si="3"/>
        <v>0</v>
      </c>
      <c r="I7" s="23" t="s">
        <v>72</v>
      </c>
      <c r="J7" s="24">
        <f>SUMIF(B:B,"地面席",F:F)</f>
        <v>2.08388888888889</v>
      </c>
      <c r="K7" s="25">
        <f>SUMIF(B:B,"地面席",G:G)</f>
        <v>0</v>
      </c>
      <c r="L7" s="25">
        <f>SUMIF(B:B,"地面席",H:H)</f>
        <v>2.08388888888889</v>
      </c>
      <c r="M7" s="21"/>
    </row>
    <row r="8" ht="18.75" spans="1:13">
      <c r="A8" s="12">
        <f ca="1" t="shared" si="0"/>
        <v>46209.0151949074</v>
      </c>
      <c r="B8" s="6" t="s">
        <v>68</v>
      </c>
      <c r="C8" s="13">
        <v>0.0151851851851852</v>
      </c>
      <c r="D8" s="13" t="s">
        <v>65</v>
      </c>
      <c r="E8" s="13">
        <v>0.100462962962963</v>
      </c>
      <c r="F8" s="14">
        <f t="shared" si="1"/>
        <v>2.04666666666667</v>
      </c>
      <c r="G8" s="15">
        <f t="shared" si="2"/>
        <v>0</v>
      </c>
      <c r="H8" s="15">
        <f t="shared" si="3"/>
        <v>2.04666666666667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46209.4589980324</v>
      </c>
      <c r="B9" s="6" t="s">
        <v>68</v>
      </c>
      <c r="C9" s="13">
        <v>0.458993055555556</v>
      </c>
      <c r="D9" s="13" t="s">
        <v>65</v>
      </c>
      <c r="E9" s="13">
        <v>0.526701388888889</v>
      </c>
      <c r="F9" s="14">
        <f t="shared" si="1"/>
        <v>1.625</v>
      </c>
      <c r="G9" s="15">
        <f t="shared" si="2"/>
        <v>1.625</v>
      </c>
      <c r="H9" s="15">
        <f t="shared" si="3"/>
        <v>0</v>
      </c>
      <c r="I9" s="23" t="s">
        <v>74</v>
      </c>
      <c r="J9" s="24">
        <f>SUMIF(B:B,"航班调度席",F:F)</f>
        <v>6.515</v>
      </c>
      <c r="K9" s="25">
        <f>SUMIF(B:B,"航班调度席",G:G)</f>
        <v>6.515</v>
      </c>
      <c r="L9" s="25">
        <f>SUMIF(B:B,"航班调度席",H:H)</f>
        <v>0</v>
      </c>
      <c r="M9" s="21"/>
    </row>
    <row r="10" ht="18.75" spans="1:13">
      <c r="A10" s="12">
        <f ca="1" t="shared" si="0"/>
        <v>46209.6044994213</v>
      </c>
      <c r="B10" s="6" t="s">
        <v>83</v>
      </c>
      <c r="C10" s="13">
        <v>0.604490740740741</v>
      </c>
      <c r="D10" s="13" t="s">
        <v>65</v>
      </c>
      <c r="E10" s="13">
        <v>0.765277777777778</v>
      </c>
      <c r="F10" s="14">
        <f t="shared" si="1"/>
        <v>3.85888888888889</v>
      </c>
      <c r="G10" s="15">
        <f t="shared" si="2"/>
        <v>3.85888888888889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46209.8329327546</v>
      </c>
      <c r="B11" s="6" t="s">
        <v>70</v>
      </c>
      <c r="C11" s="13">
        <v>0.832928240740741</v>
      </c>
      <c r="D11" s="13" t="s">
        <v>65</v>
      </c>
      <c r="E11" s="13">
        <v>0.955300925925926</v>
      </c>
      <c r="F11" s="14">
        <f t="shared" si="1"/>
        <v>2.93694444444445</v>
      </c>
      <c r="G11" s="15">
        <f t="shared" si="2"/>
        <v>2.93694444444445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46210.2976322917</v>
      </c>
      <c r="B12" s="6" t="s">
        <v>83</v>
      </c>
      <c r="C12" s="13">
        <v>0.297627314814815</v>
      </c>
      <c r="D12" s="13" t="s">
        <v>65</v>
      </c>
      <c r="E12" s="13">
        <v>0.364386574074074</v>
      </c>
      <c r="F12" s="14">
        <f t="shared" si="1"/>
        <v>1.60222222222222</v>
      </c>
      <c r="G12" s="15">
        <f t="shared" si="2"/>
        <v>0.745277777777787</v>
      </c>
      <c r="H12" s="15">
        <f t="shared" si="3"/>
        <v>0.856944444444436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46213.0125921296</v>
      </c>
      <c r="B13" s="6" t="s">
        <v>70</v>
      </c>
      <c r="C13" s="13">
        <v>0.0125925925925926</v>
      </c>
      <c r="D13" s="13" t="s">
        <v>65</v>
      </c>
      <c r="E13" s="13">
        <v>0.144548611111111</v>
      </c>
      <c r="F13" s="14">
        <f t="shared" si="1"/>
        <v>3.16694444444444</v>
      </c>
      <c r="G13" s="15">
        <f t="shared" si="2"/>
        <v>0</v>
      </c>
      <c r="H13" s="15">
        <f t="shared" si="3"/>
        <v>3.16694444444444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46213.9514240741</v>
      </c>
      <c r="B14" s="6" t="s">
        <v>70</v>
      </c>
      <c r="C14" s="13">
        <v>0.951423611111111</v>
      </c>
      <c r="D14" s="13" t="s">
        <v>65</v>
      </c>
      <c r="E14" s="13">
        <v>0.145277777777778</v>
      </c>
      <c r="F14" s="14">
        <f t="shared" si="1"/>
        <v>4.6525</v>
      </c>
      <c r="G14" s="15">
        <f t="shared" si="2"/>
        <v>1.16583333333333</v>
      </c>
      <c r="H14" s="15">
        <f t="shared" si="3"/>
        <v>3.48666666666667</v>
      </c>
      <c r="I14" s="33"/>
      <c r="J14" s="33"/>
      <c r="K14" s="33"/>
      <c r="L14" s="33"/>
      <c r="M14" s="33"/>
    </row>
    <row r="15" ht="101.25" spans="1:13">
      <c r="A15" s="12">
        <f ca="1" t="shared" si="0"/>
        <v>46217.1375613426</v>
      </c>
      <c r="B15" s="6" t="s">
        <v>86</v>
      </c>
      <c r="C15" s="13">
        <v>0.13755787037037</v>
      </c>
      <c r="D15" s="13" t="s">
        <v>65</v>
      </c>
      <c r="E15" s="13">
        <v>0.224386574074074</v>
      </c>
      <c r="F15" s="14">
        <f t="shared" si="1"/>
        <v>2.08388888888889</v>
      </c>
      <c r="G15" s="15">
        <f t="shared" si="2"/>
        <v>0</v>
      </c>
      <c r="H15" s="15">
        <f t="shared" si="3"/>
        <v>2.08388888888889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46218.1371059028</v>
      </c>
      <c r="B16" s="6" t="s">
        <v>84</v>
      </c>
      <c r="C16" s="13">
        <v>0.137106481481481</v>
      </c>
      <c r="D16" s="13" t="s">
        <v>65</v>
      </c>
      <c r="E16" s="13">
        <v>0.227326388888889</v>
      </c>
      <c r="F16" s="14">
        <f t="shared" si="1"/>
        <v>2.16527777777778</v>
      </c>
      <c r="G16" s="15">
        <f t="shared" si="2"/>
        <v>0</v>
      </c>
      <c r="H16" s="15">
        <f t="shared" si="3"/>
        <v>2.16527777777778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46218.2273613426</v>
      </c>
      <c r="B17" s="6" t="s">
        <v>83</v>
      </c>
      <c r="C17" s="13">
        <v>0.227361111111111</v>
      </c>
      <c r="D17" s="13" t="s">
        <v>65</v>
      </c>
      <c r="E17" s="13">
        <v>0.305439814814815</v>
      </c>
      <c r="F17" s="14">
        <f t="shared" si="1"/>
        <v>1.87388888888889</v>
      </c>
      <c r="G17" s="15">
        <f t="shared" si="2"/>
        <v>0</v>
      </c>
      <c r="H17" s="15">
        <f t="shared" si="3"/>
        <v>1.87388888888889</v>
      </c>
      <c r="I17" s="39" t="s">
        <v>80</v>
      </c>
      <c r="J17" s="40">
        <f>J4+J5+J6+J7+J10</f>
        <v>70.8333333333333</v>
      </c>
      <c r="K17" s="41">
        <f>K4+K5+K6+K7+K10</f>
        <v>43.4855555555556</v>
      </c>
      <c r="L17" s="42">
        <f>L4+L5+L6+L7+L10</f>
        <v>27.3477777777778</v>
      </c>
      <c r="M17" s="43"/>
    </row>
    <row r="18" ht="20.25" spans="1:13">
      <c r="A18" s="12">
        <f ca="1" t="shared" si="0"/>
        <v>46220.3544958333</v>
      </c>
      <c r="B18" s="6" t="s">
        <v>84</v>
      </c>
      <c r="C18" s="13">
        <v>0.354490740740741</v>
      </c>
      <c r="D18" s="13" t="s">
        <v>65</v>
      </c>
      <c r="E18" s="13">
        <v>0.507592592592593</v>
      </c>
      <c r="F18" s="14">
        <f t="shared" si="1"/>
        <v>3.67444444444444</v>
      </c>
      <c r="G18" s="15">
        <f t="shared" si="2"/>
        <v>3.67444444444444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46220.6238052083</v>
      </c>
      <c r="B19" s="6" t="s">
        <v>68</v>
      </c>
      <c r="C19" s="13">
        <v>0.623796296296296</v>
      </c>
      <c r="D19" s="13" t="s">
        <v>65</v>
      </c>
      <c r="E19" s="13">
        <v>0.756597222222222</v>
      </c>
      <c r="F19" s="14">
        <f t="shared" si="1"/>
        <v>3.18722222222222</v>
      </c>
      <c r="G19" s="15">
        <f t="shared" si="2"/>
        <v>3.18722222222222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46220.8745506944</v>
      </c>
      <c r="B20" s="6" t="s">
        <v>84</v>
      </c>
      <c r="C20" s="13">
        <v>0.874548611111111</v>
      </c>
      <c r="D20" s="13" t="s">
        <v>65</v>
      </c>
      <c r="E20" s="13">
        <v>0.957175925925926</v>
      </c>
      <c r="F20" s="14">
        <f t="shared" si="1"/>
        <v>1.98305555555556</v>
      </c>
      <c r="G20" s="15">
        <f t="shared" si="2"/>
        <v>1.98305555555556</v>
      </c>
      <c r="H20" s="15">
        <f t="shared" si="3"/>
        <v>0</v>
      </c>
      <c r="I20" s="44" t="s">
        <v>82</v>
      </c>
      <c r="J20" s="45">
        <f>J16+J17+J18+J19</f>
        <v>70.8333333333333</v>
      </c>
      <c r="K20" s="46"/>
      <c r="L20" s="47"/>
      <c r="M20" s="48"/>
    </row>
    <row r="21" ht="20.25" spans="1:13">
      <c r="A21" s="12">
        <f ca="1" t="shared" si="0"/>
        <v>46221.2989952546</v>
      </c>
      <c r="B21" s="6" t="s">
        <v>68</v>
      </c>
      <c r="C21" s="13">
        <v>0.298993055555556</v>
      </c>
      <c r="D21" s="13" t="s">
        <v>65</v>
      </c>
      <c r="E21" s="13">
        <v>0.423217592592593</v>
      </c>
      <c r="F21" s="14">
        <f t="shared" si="1"/>
        <v>2.98138888888889</v>
      </c>
      <c r="G21" s="15">
        <f t="shared" si="2"/>
        <v>2.15722222222223</v>
      </c>
      <c r="H21" s="15">
        <f t="shared" si="3"/>
        <v>0.824166666666658</v>
      </c>
      <c r="I21" s="49" t="s">
        <v>5</v>
      </c>
      <c r="J21" s="50">
        <f>SUM(J8:J9)</f>
        <v>6.515</v>
      </c>
      <c r="K21" s="41">
        <f>SUM(K8:K9)</f>
        <v>6.515</v>
      </c>
      <c r="L21" s="42">
        <f>SUM(L8:L9)</f>
        <v>0</v>
      </c>
      <c r="M21" s="51"/>
    </row>
    <row r="22" ht="18.75" spans="1:10">
      <c r="A22" s="12">
        <f ca="1" t="shared" si="0"/>
        <v>46221.5066626157</v>
      </c>
      <c r="B22" s="6" t="s">
        <v>84</v>
      </c>
      <c r="C22" s="13">
        <v>0.506655092592593</v>
      </c>
      <c r="D22" s="13" t="s">
        <v>65</v>
      </c>
      <c r="E22" s="13">
        <v>0.632048611111111</v>
      </c>
      <c r="F22" s="14">
        <f t="shared" si="1"/>
        <v>3.00944444444444</v>
      </c>
      <c r="G22" s="15">
        <f t="shared" si="2"/>
        <v>3.00944444444444</v>
      </c>
      <c r="H22" s="15">
        <f t="shared" si="3"/>
        <v>0</v>
      </c>
      <c r="I22"/>
      <c r="J22"/>
    </row>
    <row r="23" ht="18.75" spans="1:10">
      <c r="A23" s="12">
        <f ca="1" t="shared" si="0"/>
        <v>46221.7580688657</v>
      </c>
      <c r="B23" s="6" t="s">
        <v>68</v>
      </c>
      <c r="C23" s="13">
        <v>0.75806712962963</v>
      </c>
      <c r="D23" s="13" t="s">
        <v>65</v>
      </c>
      <c r="E23" s="13">
        <v>0.839340277777778</v>
      </c>
      <c r="F23" s="14">
        <f t="shared" si="1"/>
        <v>1.95055555555555</v>
      </c>
      <c r="G23" s="15">
        <f t="shared" si="2"/>
        <v>1.95055555555555</v>
      </c>
      <c r="H23" s="15">
        <f t="shared" si="3"/>
        <v>0</v>
      </c>
      <c r="I23"/>
      <c r="J23"/>
    </row>
    <row r="24" ht="18.75" spans="1:10">
      <c r="A24" s="12">
        <f ca="1" t="shared" si="0"/>
        <v>46229.952018287</v>
      </c>
      <c r="B24" s="6" t="s">
        <v>84</v>
      </c>
      <c r="C24" s="13">
        <v>0.952268518518518</v>
      </c>
      <c r="D24" s="13" t="s">
        <v>65</v>
      </c>
      <c r="E24" s="13">
        <v>0.145451388888889</v>
      </c>
      <c r="F24" s="14">
        <f t="shared" si="1"/>
        <v>4.63638888888889</v>
      </c>
      <c r="G24" s="15">
        <f t="shared" si="2"/>
        <v>1.14555555555556</v>
      </c>
      <c r="H24" s="15">
        <f t="shared" si="3"/>
        <v>3.49083333333333</v>
      </c>
      <c r="I24"/>
      <c r="J24"/>
    </row>
    <row r="25" ht="18.75" spans="1:10">
      <c r="A25" s="12">
        <f ca="1" t="shared" si="0"/>
        <v>46232.3547172454</v>
      </c>
      <c r="B25" s="6" t="s">
        <v>83</v>
      </c>
      <c r="C25" s="13">
        <v>0.354710648148148</v>
      </c>
      <c r="D25" s="13" t="s">
        <v>65</v>
      </c>
      <c r="E25" s="13">
        <v>0.506643518518519</v>
      </c>
      <c r="F25" s="14">
        <f t="shared" si="1"/>
        <v>3.64638888888889</v>
      </c>
      <c r="G25" s="15">
        <f t="shared" si="2"/>
        <v>3.64638888888889</v>
      </c>
      <c r="H25" s="15">
        <f t="shared" si="3"/>
        <v>0</v>
      </c>
      <c r="I25"/>
      <c r="J25"/>
    </row>
    <row r="26" ht="18.75" spans="1:10">
      <c r="A26" s="12">
        <f ca="1" t="shared" si="0"/>
        <v>46232.626450463</v>
      </c>
      <c r="B26" s="6" t="s">
        <v>70</v>
      </c>
      <c r="C26" s="13">
        <v>0.626446759259259</v>
      </c>
      <c r="D26" s="13" t="s">
        <v>65</v>
      </c>
      <c r="E26" s="13">
        <v>0.756458333333333</v>
      </c>
      <c r="F26" s="14">
        <f t="shared" si="1"/>
        <v>3.12027777777778</v>
      </c>
      <c r="G26" s="15">
        <f t="shared" si="2"/>
        <v>3.12027777777778</v>
      </c>
      <c r="H26" s="15">
        <f t="shared" si="3"/>
        <v>0</v>
      </c>
      <c r="I26"/>
      <c r="J26"/>
    </row>
    <row r="27" ht="18.75" spans="1:10">
      <c r="A27" s="12">
        <f ca="1" t="shared" si="0"/>
        <v>46232.8765069444</v>
      </c>
      <c r="B27" s="6" t="s">
        <v>83</v>
      </c>
      <c r="C27" s="13">
        <v>0.87650462962963</v>
      </c>
      <c r="D27" s="13" t="s">
        <v>65</v>
      </c>
      <c r="E27" s="13">
        <v>0.957789351851852</v>
      </c>
      <c r="F27" s="14">
        <f t="shared" si="1"/>
        <v>1.95083333333333</v>
      </c>
      <c r="G27" s="15">
        <f t="shared" si="2"/>
        <v>1.95083333333333</v>
      </c>
      <c r="H27" s="15">
        <f t="shared" si="3"/>
        <v>0</v>
      </c>
      <c r="I27"/>
      <c r="J27"/>
    </row>
    <row r="28" ht="18.75" spans="1:10">
      <c r="A28" s="12">
        <f ca="1" t="shared" si="0"/>
        <v>46233.2996803241</v>
      </c>
      <c r="B28" s="6" t="s">
        <v>84</v>
      </c>
      <c r="C28" s="13">
        <v>0.299675925925926</v>
      </c>
      <c r="D28" s="13" t="s">
        <v>65</v>
      </c>
      <c r="E28" s="13">
        <v>0.465462962962963</v>
      </c>
      <c r="F28" s="14">
        <f t="shared" si="1"/>
        <v>3.97888888888889</v>
      </c>
      <c r="G28" s="15">
        <f t="shared" si="2"/>
        <v>3.17111111111112</v>
      </c>
      <c r="H28" s="15">
        <f t="shared" si="3"/>
        <v>0.80777777777777</v>
      </c>
      <c r="I28"/>
      <c r="J28"/>
    </row>
    <row r="29" ht="18.75" spans="1:10">
      <c r="A29" s="12">
        <f ca="1" t="shared" si="0"/>
        <v>46233.6257481482</v>
      </c>
      <c r="B29" s="6" t="s">
        <v>84</v>
      </c>
      <c r="C29" s="13">
        <v>0.625740740740741</v>
      </c>
      <c r="D29" s="13" t="s">
        <v>65</v>
      </c>
      <c r="E29" s="13">
        <v>0.798969907407407</v>
      </c>
      <c r="F29" s="14">
        <f t="shared" si="1"/>
        <v>4.1575</v>
      </c>
      <c r="G29" s="15">
        <f t="shared" si="2"/>
        <v>4.1575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P339"/>
  <sheetViews>
    <sheetView zoomScale="85" zoomScaleNormal="85" topLeftCell="A10" workbookViewId="0">
      <selection activeCell="J29" sqref="J29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46204.3769196759</v>
      </c>
      <c r="B3" s="6" t="s">
        <v>87</v>
      </c>
      <c r="C3" s="13">
        <v>0.375520833333333</v>
      </c>
      <c r="D3" s="13" t="s">
        <v>65</v>
      </c>
      <c r="E3" s="13">
        <v>0.526481481481481</v>
      </c>
      <c r="F3" s="14">
        <f t="shared" ref="F3:F66" si="1">(IF(E3-C3&lt;0,"24:00"-C3+E3,E3-C3))*24</f>
        <v>3.62305555555556</v>
      </c>
      <c r="G3" s="15">
        <f t="shared" ref="G3:G66" si="2">F3-H3</f>
        <v>3.62305555555556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46204.6139236111</v>
      </c>
      <c r="B4" s="6" t="s">
        <v>87</v>
      </c>
      <c r="C4" s="13">
        <v>0.613923611111111</v>
      </c>
      <c r="D4" s="13" t="s">
        <v>65</v>
      </c>
      <c r="E4" s="13">
        <v>0.752905092592593</v>
      </c>
      <c r="F4" s="14">
        <f t="shared" si="1"/>
        <v>3.33555555555555</v>
      </c>
      <c r="G4" s="15">
        <f t="shared" si="2"/>
        <v>3.33555555555555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30.8538888888889</v>
      </c>
      <c r="K4" s="25">
        <f>SUMIF(B:B,"西塔台管制席",G:G)+SUMIF(B:B,"东塔台管制席",G:G)</f>
        <v>18.4702777777778</v>
      </c>
      <c r="L4" s="25">
        <f>SUMIF(B:B,"西塔台管制席",H:H)+SUMIF(B:B,"东塔台管制席",H:H)</f>
        <v>12.3836111111111</v>
      </c>
      <c r="M4" s="21"/>
    </row>
    <row r="5" ht="18.75" spans="1:13">
      <c r="A5" s="12">
        <f ca="1" t="shared" si="0"/>
        <v>46205.0132131944</v>
      </c>
      <c r="B5" s="6" t="s">
        <v>83</v>
      </c>
      <c r="C5" s="13">
        <v>0.0132060185185185</v>
      </c>
      <c r="D5" s="13" t="s">
        <v>65</v>
      </c>
      <c r="E5" s="13">
        <v>0.133206018518519</v>
      </c>
      <c r="F5" s="14">
        <f t="shared" si="1"/>
        <v>2.88</v>
      </c>
      <c r="G5" s="15">
        <f t="shared" si="2"/>
        <v>0</v>
      </c>
      <c r="H5" s="15">
        <f t="shared" si="3"/>
        <v>2.88</v>
      </c>
      <c r="I5" s="23" t="s">
        <v>69</v>
      </c>
      <c r="J5" s="24">
        <f>SUMIF(B:B,"西塔台协调席",F:F)+SUMIF(B:B,"东塔台协调席",F:F)</f>
        <v>34.8716666666667</v>
      </c>
      <c r="K5" s="25">
        <f>SUMIF(B:B,"西塔台协调席",G:G)+SUMIF(B:B,"东塔台协调席",G:G)</f>
        <v>19.0338888888889</v>
      </c>
      <c r="L5" s="25">
        <f>SUMIF(B:B,"西塔台协调席",H:H)+SUMIF(B:B,"东塔台协调席",H:H)</f>
        <v>15.8377777777778</v>
      </c>
      <c r="M5" s="21"/>
    </row>
    <row r="6" ht="18.75" spans="1:13">
      <c r="A6" s="12">
        <f ca="1" t="shared" si="0"/>
        <v>46205.7528778935</v>
      </c>
      <c r="B6" s="6" t="s">
        <v>84</v>
      </c>
      <c r="C6" s="13">
        <v>0.752175925925926</v>
      </c>
      <c r="D6" s="13" t="s">
        <v>65</v>
      </c>
      <c r="E6" s="13">
        <v>0.838958333333333</v>
      </c>
      <c r="F6" s="14">
        <f t="shared" si="1"/>
        <v>2.08277777777778</v>
      </c>
      <c r="G6" s="15">
        <f t="shared" si="2"/>
        <v>2.08277777777778</v>
      </c>
      <c r="H6" s="15">
        <f t="shared" si="3"/>
        <v>0</v>
      </c>
      <c r="I6" s="23" t="s">
        <v>71</v>
      </c>
      <c r="J6" s="24">
        <f>SUMIF(B:B,"放行席",F:F)</f>
        <v>4.94833333333333</v>
      </c>
      <c r="K6" s="25">
        <f>SUMIF(B:B,"放行席",G:G)</f>
        <v>0</v>
      </c>
      <c r="L6" s="25">
        <f>SUMIF(B:B,"放行席",H:H)</f>
        <v>4.94833333333333</v>
      </c>
      <c r="M6" s="21"/>
    </row>
    <row r="7" ht="18.75" spans="1:13">
      <c r="A7" s="12">
        <f ca="1" t="shared" si="0"/>
        <v>46205.9525011574</v>
      </c>
      <c r="B7" s="6" t="s">
        <v>84</v>
      </c>
      <c r="C7" s="13">
        <v>0.9525</v>
      </c>
      <c r="D7" s="13" t="s">
        <v>65</v>
      </c>
      <c r="E7" s="13">
        <v>0.148043981481481</v>
      </c>
      <c r="F7" s="14">
        <f t="shared" si="1"/>
        <v>4.69305555555556</v>
      </c>
      <c r="G7" s="15">
        <f t="shared" si="2"/>
        <v>1.14</v>
      </c>
      <c r="H7" s="15">
        <f t="shared" si="3"/>
        <v>3.55305555555556</v>
      </c>
      <c r="I7" s="23" t="s">
        <v>72</v>
      </c>
      <c r="J7" s="24">
        <f>SUMIF(B:B,"地面席",F:F)</f>
        <v>2.23527777777778</v>
      </c>
      <c r="K7" s="25">
        <f>SUMIF(B:B,"地面席",G:G)</f>
        <v>0</v>
      </c>
      <c r="L7" s="25">
        <f>SUMIF(B:B,"地面席",H:H)</f>
        <v>2.23527777777778</v>
      </c>
      <c r="M7" s="21"/>
    </row>
    <row r="8" ht="18.75" spans="1:13">
      <c r="A8" s="12">
        <f ca="1" t="shared" si="0"/>
        <v>46209.1367208333</v>
      </c>
      <c r="B8" s="6" t="s">
        <v>70</v>
      </c>
      <c r="C8" s="13">
        <v>0.136712962962963</v>
      </c>
      <c r="D8" s="13" t="s">
        <v>65</v>
      </c>
      <c r="E8" s="13">
        <v>0.220717592592593</v>
      </c>
      <c r="F8" s="14">
        <f t="shared" si="1"/>
        <v>2.01611111111111</v>
      </c>
      <c r="G8" s="15">
        <f t="shared" si="2"/>
        <v>0</v>
      </c>
      <c r="H8" s="15">
        <f t="shared" si="3"/>
        <v>2.01611111111111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46209.2207619213</v>
      </c>
      <c r="B9" s="6" t="s">
        <v>84</v>
      </c>
      <c r="C9" s="13">
        <v>0.220752314814815</v>
      </c>
      <c r="D9" s="13" t="s">
        <v>65</v>
      </c>
      <c r="E9" s="13">
        <v>0.306041666666667</v>
      </c>
      <c r="F9" s="14">
        <f t="shared" si="1"/>
        <v>2.04694444444444</v>
      </c>
      <c r="G9" s="15">
        <f t="shared" si="2"/>
        <v>0</v>
      </c>
      <c r="H9" s="15">
        <f t="shared" si="3"/>
        <v>2.04694444444444</v>
      </c>
      <c r="I9" s="23" t="s">
        <v>74</v>
      </c>
      <c r="J9" s="24">
        <f>SUMIF(B:B,"航班调度席",F:F)</f>
        <v>9.08305555555555</v>
      </c>
      <c r="K9" s="25">
        <f>SUMIF(B:B,"航班调度席",G:G)</f>
        <v>9.08305555555555</v>
      </c>
      <c r="L9" s="25">
        <f>SUMIF(B:B,"航班调度席",H:H)</f>
        <v>0</v>
      </c>
      <c r="M9" s="21"/>
    </row>
    <row r="10" ht="18.75" spans="1:13">
      <c r="A10" s="12">
        <f ca="1" t="shared" si="0"/>
        <v>46210.1329725694</v>
      </c>
      <c r="B10" s="6" t="s">
        <v>85</v>
      </c>
      <c r="C10" s="13">
        <v>0.132962962962963</v>
      </c>
      <c r="D10" s="13" t="s">
        <v>65</v>
      </c>
      <c r="E10" s="13">
        <v>0.247349537037037</v>
      </c>
      <c r="F10" s="14">
        <f t="shared" si="1"/>
        <v>2.74527777777778</v>
      </c>
      <c r="G10" s="15">
        <f t="shared" si="2"/>
        <v>0</v>
      </c>
      <c r="H10" s="15">
        <f t="shared" si="3"/>
        <v>2.74527777777778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46212.3552041667</v>
      </c>
      <c r="B11" s="6" t="s">
        <v>68</v>
      </c>
      <c r="C11" s="13">
        <v>0.355196759259259</v>
      </c>
      <c r="D11" s="13" t="s">
        <v>65</v>
      </c>
      <c r="E11" s="13">
        <v>0.506006944444444</v>
      </c>
      <c r="F11" s="14">
        <f t="shared" si="1"/>
        <v>3.61944444444445</v>
      </c>
      <c r="G11" s="15">
        <f t="shared" si="2"/>
        <v>3.61944444444445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46212.6468924768</v>
      </c>
      <c r="B12" s="6" t="s">
        <v>84</v>
      </c>
      <c r="C12" s="13">
        <v>0.646886574074074</v>
      </c>
      <c r="D12" s="13" t="s">
        <v>65</v>
      </c>
      <c r="E12" s="13">
        <v>0.757581018518518</v>
      </c>
      <c r="F12" s="14">
        <f t="shared" si="1"/>
        <v>2.65666666666667</v>
      </c>
      <c r="G12" s="15">
        <f t="shared" si="2"/>
        <v>2.65666666666667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46212.8766960648</v>
      </c>
      <c r="B13" s="6" t="s">
        <v>68</v>
      </c>
      <c r="C13" s="13">
        <v>0.876689814814815</v>
      </c>
      <c r="D13" s="13" t="s">
        <v>65</v>
      </c>
      <c r="E13" s="13">
        <v>0.957696759259259</v>
      </c>
      <c r="F13" s="14">
        <f t="shared" si="1"/>
        <v>1.94416666666666</v>
      </c>
      <c r="G13" s="15">
        <f t="shared" si="2"/>
        <v>1.94416666666666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46213.3007460648</v>
      </c>
      <c r="B14" s="6" t="s">
        <v>70</v>
      </c>
      <c r="C14" s="13">
        <v>0.300740740740741</v>
      </c>
      <c r="D14" s="13" t="s">
        <v>65</v>
      </c>
      <c r="E14" s="13">
        <v>0.465486111111111</v>
      </c>
      <c r="F14" s="14">
        <f t="shared" si="1"/>
        <v>3.95388888888889</v>
      </c>
      <c r="G14" s="15">
        <f t="shared" si="2"/>
        <v>3.17166666666667</v>
      </c>
      <c r="H14" s="15">
        <f t="shared" si="3"/>
        <v>0.782222222222213</v>
      </c>
      <c r="I14" s="33"/>
      <c r="J14" s="33"/>
      <c r="K14" s="33"/>
      <c r="L14" s="33"/>
      <c r="M14" s="33"/>
    </row>
    <row r="15" ht="101.25" spans="1:13">
      <c r="A15" s="12">
        <f ca="1" t="shared" si="0"/>
        <v>46213.5400777778</v>
      </c>
      <c r="B15" s="6" t="s">
        <v>83</v>
      </c>
      <c r="C15" s="13">
        <v>0.540069444444444</v>
      </c>
      <c r="D15" s="13" t="s">
        <v>65</v>
      </c>
      <c r="E15" s="13">
        <v>0.638645833333333</v>
      </c>
      <c r="F15" s="14">
        <f t="shared" si="1"/>
        <v>2.36583333333334</v>
      </c>
      <c r="G15" s="15">
        <f t="shared" si="2"/>
        <v>2.36583333333334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46213.7540165509</v>
      </c>
      <c r="B16" s="6" t="s">
        <v>70</v>
      </c>
      <c r="C16" s="13">
        <v>0.754016203703704</v>
      </c>
      <c r="D16" s="13" t="s">
        <v>65</v>
      </c>
      <c r="E16" s="13">
        <v>0.838958333333333</v>
      </c>
      <c r="F16" s="14">
        <f t="shared" si="1"/>
        <v>2.03861111111111</v>
      </c>
      <c r="G16" s="15">
        <f t="shared" si="2"/>
        <v>2.03861111111111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46216.9533377315</v>
      </c>
      <c r="B17" s="6" t="s">
        <v>68</v>
      </c>
      <c r="C17" s="13">
        <v>0.953333333333333</v>
      </c>
      <c r="D17" s="13" t="s">
        <v>65</v>
      </c>
      <c r="E17" s="13">
        <v>0.131979166666667</v>
      </c>
      <c r="F17" s="14">
        <f t="shared" si="1"/>
        <v>4.2875</v>
      </c>
      <c r="G17" s="15">
        <f t="shared" si="2"/>
        <v>1.12</v>
      </c>
      <c r="H17" s="15">
        <f t="shared" si="3"/>
        <v>3.1675</v>
      </c>
      <c r="I17" s="39" t="s">
        <v>80</v>
      </c>
      <c r="J17" s="40">
        <f>J4+J5+J6+J7+J10</f>
        <v>72.9091666666667</v>
      </c>
      <c r="K17" s="41">
        <f>K4+K5+K6+K7+K10</f>
        <v>37.5041666666667</v>
      </c>
      <c r="L17" s="42">
        <f>L4+L5+L6+L7+L10</f>
        <v>35.405</v>
      </c>
      <c r="M17" s="43"/>
    </row>
    <row r="18" ht="20.25" spans="1:13">
      <c r="A18" s="12">
        <f ca="1" t="shared" si="0"/>
        <v>46217.64984375</v>
      </c>
      <c r="B18" s="6" t="s">
        <v>87</v>
      </c>
      <c r="C18" s="13">
        <v>0.649837962962963</v>
      </c>
      <c r="D18" s="13" t="s">
        <v>65</v>
      </c>
      <c r="E18" s="13">
        <v>0.738356481481481</v>
      </c>
      <c r="F18" s="14">
        <f t="shared" si="1"/>
        <v>2.12444444444444</v>
      </c>
      <c r="G18" s="15">
        <f t="shared" si="2"/>
        <v>2.12444444444444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46217.7521737269</v>
      </c>
      <c r="B19" s="6" t="s">
        <v>83</v>
      </c>
      <c r="C19" s="13">
        <v>0.752164351851852</v>
      </c>
      <c r="D19" s="13" t="s">
        <v>65</v>
      </c>
      <c r="E19" s="13">
        <v>0.840775462962963</v>
      </c>
      <c r="F19" s="14">
        <f t="shared" si="1"/>
        <v>2.12666666666667</v>
      </c>
      <c r="G19" s="15">
        <f t="shared" si="2"/>
        <v>2.12666666666667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46218.0147637731</v>
      </c>
      <c r="B20" s="6" t="s">
        <v>68</v>
      </c>
      <c r="C20" s="13">
        <v>0.0147569444444444</v>
      </c>
      <c r="D20" s="13" t="s">
        <v>65</v>
      </c>
      <c r="E20" s="13">
        <v>0.115231481481481</v>
      </c>
      <c r="F20" s="14">
        <f t="shared" si="1"/>
        <v>2.41138888888889</v>
      </c>
      <c r="G20" s="15">
        <f t="shared" si="2"/>
        <v>0</v>
      </c>
      <c r="H20" s="15">
        <f t="shared" si="3"/>
        <v>2.41138888888889</v>
      </c>
      <c r="I20" s="44" t="s">
        <v>82</v>
      </c>
      <c r="J20" s="45">
        <f>J16+J17+J18+J19</f>
        <v>72.9091666666667</v>
      </c>
      <c r="K20" s="46"/>
      <c r="L20" s="47"/>
      <c r="M20" s="48"/>
    </row>
    <row r="21" ht="20.25" spans="1:13">
      <c r="A21" s="12">
        <f ca="1" t="shared" si="0"/>
        <v>46218.115269213</v>
      </c>
      <c r="B21" s="6" t="s">
        <v>70</v>
      </c>
      <c r="C21" s="13">
        <v>0.115266203703704</v>
      </c>
      <c r="D21" s="13" t="s">
        <v>65</v>
      </c>
      <c r="E21" s="13">
        <v>0.145659722222222</v>
      </c>
      <c r="F21" s="14">
        <f t="shared" si="1"/>
        <v>0.729444444444445</v>
      </c>
      <c r="G21" s="15">
        <f t="shared" si="2"/>
        <v>0</v>
      </c>
      <c r="H21" s="15">
        <f t="shared" si="3"/>
        <v>0.729444444444445</v>
      </c>
      <c r="I21" s="49" t="s">
        <v>5</v>
      </c>
      <c r="J21" s="50">
        <f>SUM(J8:J9)</f>
        <v>9.08305555555555</v>
      </c>
      <c r="K21" s="41">
        <f>SUM(K8:K9)</f>
        <v>9.08305555555555</v>
      </c>
      <c r="L21" s="42">
        <f>SUM(L8:L9)</f>
        <v>0</v>
      </c>
      <c r="M21" s="51"/>
    </row>
    <row r="22" ht="18.75" spans="1:10">
      <c r="A22" s="12">
        <f ca="1" t="shared" si="0"/>
        <v>46221.1386670139</v>
      </c>
      <c r="B22" s="6" t="s">
        <v>86</v>
      </c>
      <c r="C22" s="13">
        <v>0.138703703703704</v>
      </c>
      <c r="D22" s="13" t="s">
        <v>65</v>
      </c>
      <c r="E22" s="13">
        <v>0.231840277777778</v>
      </c>
      <c r="F22" s="14">
        <f t="shared" si="1"/>
        <v>2.23527777777778</v>
      </c>
      <c r="G22" s="15">
        <f t="shared" si="2"/>
        <v>0</v>
      </c>
      <c r="H22" s="15">
        <f t="shared" si="3"/>
        <v>2.23527777777778</v>
      </c>
      <c r="I22"/>
      <c r="J22"/>
    </row>
    <row r="23" ht="18.75" spans="1:10">
      <c r="A23" s="12">
        <f ca="1" t="shared" si="0"/>
        <v>46221.2318967593</v>
      </c>
      <c r="B23" s="6" t="s">
        <v>68</v>
      </c>
      <c r="C23" s="13">
        <v>0.231886574074074</v>
      </c>
      <c r="D23" s="13" t="s">
        <v>65</v>
      </c>
      <c r="E23" s="13">
        <v>0.304108796296296</v>
      </c>
      <c r="F23" s="14">
        <f t="shared" si="1"/>
        <v>1.73333333333333</v>
      </c>
      <c r="G23" s="15">
        <f t="shared" si="2"/>
        <v>0</v>
      </c>
      <c r="H23" s="15">
        <f t="shared" si="3"/>
        <v>1.73333333333333</v>
      </c>
      <c r="I23"/>
      <c r="J23"/>
    </row>
    <row r="24" ht="18.75" spans="1:10">
      <c r="A24" s="12">
        <f ca="1" t="shared" si="0"/>
        <v>46221.7503390046</v>
      </c>
      <c r="B24" s="6" t="s">
        <v>84</v>
      </c>
      <c r="C24" s="13">
        <v>0.750335648148148</v>
      </c>
      <c r="D24" s="13" t="s">
        <v>65</v>
      </c>
      <c r="E24" s="13">
        <v>0.838125</v>
      </c>
      <c r="F24" s="14">
        <f t="shared" si="1"/>
        <v>2.10694444444444</v>
      </c>
      <c r="G24" s="15">
        <f t="shared" si="2"/>
        <v>2.10694444444444</v>
      </c>
      <c r="H24" s="15">
        <f t="shared" si="3"/>
        <v>0</v>
      </c>
      <c r="I24"/>
      <c r="J24"/>
    </row>
    <row r="25" ht="18.75" spans="1:10">
      <c r="A25" s="12">
        <f ca="1" t="shared" si="0"/>
        <v>46221.9524083333</v>
      </c>
      <c r="B25" s="6" t="s">
        <v>68</v>
      </c>
      <c r="C25" s="13">
        <v>0.952407407407407</v>
      </c>
      <c r="D25" s="13" t="s">
        <v>65</v>
      </c>
      <c r="E25" s="13">
        <v>0.106145833333333</v>
      </c>
      <c r="F25" s="14">
        <f t="shared" si="1"/>
        <v>3.68972222222222</v>
      </c>
      <c r="G25" s="15">
        <f t="shared" si="2"/>
        <v>1.14222222222222</v>
      </c>
      <c r="H25" s="15">
        <f t="shared" si="3"/>
        <v>2.5475</v>
      </c>
      <c r="I25"/>
      <c r="J25"/>
    </row>
    <row r="26" ht="18.75" spans="1:10">
      <c r="A26" s="12">
        <f ca="1" t="shared" si="0"/>
        <v>46224.4995871528</v>
      </c>
      <c r="B26" s="6" t="s">
        <v>83</v>
      </c>
      <c r="C26" s="13">
        <v>0.499583333333333</v>
      </c>
      <c r="D26" s="13" t="s">
        <v>65</v>
      </c>
      <c r="E26" s="13">
        <v>0.508321759259259</v>
      </c>
      <c r="F26" s="14">
        <f t="shared" si="1"/>
        <v>0.209722222222223</v>
      </c>
      <c r="G26" s="15">
        <f t="shared" si="2"/>
        <v>0.209722222222223</v>
      </c>
      <c r="H26" s="15">
        <f t="shared" si="3"/>
        <v>0</v>
      </c>
      <c r="I26"/>
      <c r="J26"/>
    </row>
    <row r="27" ht="18.75" spans="1:10">
      <c r="A27" s="12">
        <f ca="1" t="shared" si="0"/>
        <v>46224.5185918982</v>
      </c>
      <c r="B27" s="6" t="s">
        <v>83</v>
      </c>
      <c r="C27" s="13">
        <v>0.518587962962963</v>
      </c>
      <c r="D27" s="13" t="s">
        <v>65</v>
      </c>
      <c r="E27" s="13">
        <v>0.610694444444444</v>
      </c>
      <c r="F27" s="14">
        <f t="shared" si="1"/>
        <v>2.21055555555556</v>
      </c>
      <c r="G27" s="15">
        <f t="shared" si="2"/>
        <v>2.21055555555556</v>
      </c>
      <c r="H27" s="15">
        <f t="shared" si="3"/>
        <v>0</v>
      </c>
      <c r="I27"/>
      <c r="J27"/>
    </row>
    <row r="28" ht="18.75" spans="1:10">
      <c r="A28" s="12">
        <f ca="1" t="shared" si="0"/>
        <v>46224.7509550926</v>
      </c>
      <c r="B28" s="6" t="s">
        <v>70</v>
      </c>
      <c r="C28" s="13">
        <v>0.750949074074074</v>
      </c>
      <c r="D28" s="13" t="s">
        <v>65</v>
      </c>
      <c r="E28" s="13">
        <v>0.881157407407407</v>
      </c>
      <c r="F28" s="14">
        <f t="shared" si="1"/>
        <v>3.125</v>
      </c>
      <c r="G28" s="15">
        <f t="shared" si="2"/>
        <v>3.125</v>
      </c>
      <c r="H28" s="15">
        <f t="shared" si="3"/>
        <v>0</v>
      </c>
      <c r="I28"/>
      <c r="J28"/>
    </row>
    <row r="29" ht="18.75" spans="1:10">
      <c r="A29" s="12">
        <f ca="1" t="shared" si="0"/>
        <v>46225.300093287</v>
      </c>
      <c r="B29" s="6" t="s">
        <v>68</v>
      </c>
      <c r="C29" s="13">
        <v>0.300092592592593</v>
      </c>
      <c r="D29" s="13" t="s">
        <v>65</v>
      </c>
      <c r="E29" s="13">
        <v>0.464212962962963</v>
      </c>
      <c r="F29" s="14">
        <f t="shared" si="1"/>
        <v>3.93888888888889</v>
      </c>
      <c r="G29" s="15">
        <f t="shared" si="2"/>
        <v>3.14111111111112</v>
      </c>
      <c r="H29" s="15">
        <f t="shared" si="3"/>
        <v>0.79777777777777</v>
      </c>
      <c r="I29"/>
      <c r="J29"/>
    </row>
    <row r="30" ht="18.75" spans="1:10">
      <c r="A30" s="12">
        <f ca="1" t="shared" si="0"/>
        <v>46225.5424756944</v>
      </c>
      <c r="B30" s="6" t="s">
        <v>84</v>
      </c>
      <c r="C30" s="13">
        <v>0.542465277777778</v>
      </c>
      <c r="D30" s="13" t="s">
        <v>65</v>
      </c>
      <c r="E30" s="13">
        <v>0.631990740740741</v>
      </c>
      <c r="F30" s="14">
        <f t="shared" si="1"/>
        <v>2.14861111111111</v>
      </c>
      <c r="G30" s="15">
        <f t="shared" si="2"/>
        <v>2.14861111111111</v>
      </c>
      <c r="H30" s="15">
        <f t="shared" si="3"/>
        <v>0</v>
      </c>
      <c r="I30"/>
      <c r="J30"/>
    </row>
    <row r="31" ht="18.75" spans="1:10">
      <c r="A31" s="12">
        <f ca="1" t="shared" si="0"/>
        <v>46229.0119376157</v>
      </c>
      <c r="B31" s="6" t="s">
        <v>84</v>
      </c>
      <c r="C31" s="13">
        <v>0.0119328703703704</v>
      </c>
      <c r="D31" s="13" t="s">
        <v>65</v>
      </c>
      <c r="E31" s="13">
        <v>0.147592592592593</v>
      </c>
      <c r="F31" s="14">
        <f t="shared" si="1"/>
        <v>3.25583333333333</v>
      </c>
      <c r="G31" s="15">
        <f t="shared" si="2"/>
        <v>0</v>
      </c>
      <c r="H31" s="15">
        <f t="shared" si="3"/>
        <v>3.25583333333333</v>
      </c>
      <c r="I31"/>
      <c r="J31"/>
    </row>
    <row r="32" ht="18.75" spans="1:10">
      <c r="A32" s="12">
        <f ca="1" t="shared" si="0"/>
        <v>46233.1323141204</v>
      </c>
      <c r="B32" s="6" t="s">
        <v>85</v>
      </c>
      <c r="C32" s="13">
        <v>0.132314814814815</v>
      </c>
      <c r="D32" s="13" t="s">
        <v>65</v>
      </c>
      <c r="E32" s="13">
        <v>0.224108796296296</v>
      </c>
      <c r="F32" s="14">
        <f t="shared" si="1"/>
        <v>2.20305555555556</v>
      </c>
      <c r="G32" s="15">
        <f t="shared" si="2"/>
        <v>0</v>
      </c>
      <c r="H32" s="15">
        <f t="shared" si="3"/>
        <v>2.20305555555556</v>
      </c>
      <c r="I32"/>
      <c r="J32"/>
    </row>
    <row r="33" ht="18.75" spans="1:10">
      <c r="A33" s="12">
        <f ca="1" t="shared" si="0"/>
        <v>46233.9519123843</v>
      </c>
      <c r="B33" s="6" t="s">
        <v>68</v>
      </c>
      <c r="C33" s="13">
        <v>0.951909722222222</v>
      </c>
      <c r="D33" s="13" t="s">
        <v>65</v>
      </c>
      <c r="E33" s="13">
        <v>0.0958449074074074</v>
      </c>
      <c r="F33" s="14">
        <f t="shared" si="1"/>
        <v>3.45444444444444</v>
      </c>
      <c r="G33" s="15">
        <f t="shared" si="2"/>
        <v>1.15416666666667</v>
      </c>
      <c r="H33" s="15">
        <f t="shared" si="3"/>
        <v>2.30027777777778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P339"/>
  <sheetViews>
    <sheetView zoomScale="85" zoomScaleNormal="85" topLeftCell="A16" workbookViewId="0">
      <selection activeCell="J34" sqref="J34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46205.1341283565</v>
      </c>
      <c r="B3" s="6" t="s">
        <v>85</v>
      </c>
      <c r="C3" s="13">
        <v>0.13412037037037</v>
      </c>
      <c r="D3" s="13" t="s">
        <v>65</v>
      </c>
      <c r="E3" s="13">
        <v>0.216967592592593</v>
      </c>
      <c r="F3" s="14">
        <f t="shared" ref="F3:F66" si="1">(IF(E3-C3&lt;0,"24:00"-C3+E3,E3-C3))*24</f>
        <v>1.98833333333333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1.98833333333333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46206.1417224537</v>
      </c>
      <c r="B4" s="6" t="s">
        <v>70</v>
      </c>
      <c r="C4" s="13">
        <v>0.141712962962963</v>
      </c>
      <c r="D4" s="13" t="s">
        <v>65</v>
      </c>
      <c r="E4" s="13">
        <v>0.241678240740741</v>
      </c>
      <c r="F4" s="14">
        <f t="shared" si="1"/>
        <v>2.39916666666667</v>
      </c>
      <c r="G4" s="15">
        <f t="shared" si="2"/>
        <v>0</v>
      </c>
      <c r="H4" s="15">
        <f t="shared" si="3"/>
        <v>2.39916666666667</v>
      </c>
      <c r="I4" s="23" t="s">
        <v>67</v>
      </c>
      <c r="J4" s="24">
        <f>SUMIF(B:B,"西塔台管制席",F:F)+SUMIF(B:B,"东塔台管制席",F:F)</f>
        <v>36.0077777777778</v>
      </c>
      <c r="K4" s="25">
        <f>SUMIF(B:B,"西塔台管制席",G:G)+SUMIF(B:B,"东塔台管制席",G:G)</f>
        <v>21.3841666666667</v>
      </c>
      <c r="L4" s="25">
        <f>SUMIF(B:B,"西塔台管制席",H:H)+SUMIF(B:B,"东塔台管制席",H:H)</f>
        <v>14.6236111111111</v>
      </c>
      <c r="M4" s="21"/>
    </row>
    <row r="5" ht="18.75" spans="1:13">
      <c r="A5" s="12">
        <f ca="1" t="shared" si="0"/>
        <v>46206.2417206019</v>
      </c>
      <c r="B5" s="6" t="s">
        <v>68</v>
      </c>
      <c r="C5" s="13">
        <v>0.241712962962963</v>
      </c>
      <c r="D5" s="13" t="s">
        <v>65</v>
      </c>
      <c r="E5" s="13">
        <v>0.300925925925926</v>
      </c>
      <c r="F5" s="14">
        <f t="shared" si="1"/>
        <v>1.42111111111111</v>
      </c>
      <c r="G5" s="15">
        <f t="shared" si="2"/>
        <v>0</v>
      </c>
      <c r="H5" s="15">
        <f t="shared" si="3"/>
        <v>1.42111111111111</v>
      </c>
      <c r="I5" s="23" t="s">
        <v>69</v>
      </c>
      <c r="J5" s="24">
        <f>SUMIF(B:B,"西塔台协调席",F:F)+SUMIF(B:B,"东塔台协调席",F:F)</f>
        <v>23.6552777777778</v>
      </c>
      <c r="K5" s="25">
        <f>SUMIF(B:B,"西塔台协调席",G:G)+SUMIF(B:B,"东塔台协调席",G:G)</f>
        <v>12.9305555555556</v>
      </c>
      <c r="L5" s="25">
        <f>SUMIF(B:B,"西塔台协调席",H:H)+SUMIF(B:B,"东塔台协调席",H:H)</f>
        <v>10.7247222222222</v>
      </c>
      <c r="M5" s="21"/>
    </row>
    <row r="6" ht="18.75" spans="1:13">
      <c r="A6" s="12">
        <f ca="1" t="shared" si="0"/>
        <v>46208.3564462963</v>
      </c>
      <c r="B6" s="6" t="s">
        <v>84</v>
      </c>
      <c r="C6" s="13">
        <v>0.356435185185185</v>
      </c>
      <c r="D6" s="13" t="s">
        <v>65</v>
      </c>
      <c r="E6" s="13">
        <v>0.50587962962963</v>
      </c>
      <c r="F6" s="14">
        <f t="shared" si="1"/>
        <v>3.58666666666667</v>
      </c>
      <c r="G6" s="15">
        <f t="shared" si="2"/>
        <v>3.58666666666667</v>
      </c>
      <c r="H6" s="15">
        <f t="shared" si="3"/>
        <v>0</v>
      </c>
      <c r="I6" s="23" t="s">
        <v>71</v>
      </c>
      <c r="J6" s="24">
        <f>SUMIF(B:B,"放行席",F:F)</f>
        <v>1.98833333333333</v>
      </c>
      <c r="K6" s="25">
        <f>SUMIF(B:B,"放行席",G:G)</f>
        <v>0</v>
      </c>
      <c r="L6" s="25">
        <f>SUMIF(B:B,"放行席",H:H)</f>
        <v>1.98833333333333</v>
      </c>
      <c r="M6" s="21"/>
    </row>
    <row r="7" ht="18.75" spans="1:13">
      <c r="A7" s="12">
        <f ca="1" t="shared" si="0"/>
        <v>46208.6269903935</v>
      </c>
      <c r="B7" s="6" t="s">
        <v>83</v>
      </c>
      <c r="C7" s="13">
        <v>0.626990740740741</v>
      </c>
      <c r="D7" s="13" t="s">
        <v>65</v>
      </c>
      <c r="E7" s="13">
        <v>0.690277777777778</v>
      </c>
      <c r="F7" s="14">
        <f t="shared" si="1"/>
        <v>1.51888888888889</v>
      </c>
      <c r="G7" s="15">
        <f t="shared" si="2"/>
        <v>1.51888888888889</v>
      </c>
      <c r="H7" s="15">
        <f t="shared" si="3"/>
        <v>0</v>
      </c>
      <c r="I7" s="23" t="s">
        <v>72</v>
      </c>
      <c r="J7" s="24">
        <f>SUMIF(B:B,"地面席",F:F)</f>
        <v>1.94805555555556</v>
      </c>
      <c r="K7" s="25">
        <f>SUMIF(B:B,"地面席",G:G)</f>
        <v>0</v>
      </c>
      <c r="L7" s="25">
        <f>SUMIF(B:B,"地面席",H:H)</f>
        <v>1.94805555555556</v>
      </c>
      <c r="M7" s="21"/>
    </row>
    <row r="8" ht="18.75" spans="1:13">
      <c r="A8" s="12">
        <f ca="1" t="shared" si="0"/>
        <v>46208.690318287</v>
      </c>
      <c r="B8" s="6" t="s">
        <v>84</v>
      </c>
      <c r="C8" s="13">
        <v>0.6903125</v>
      </c>
      <c r="D8" s="13" t="s">
        <v>65</v>
      </c>
      <c r="E8" s="13">
        <v>0.725173611111111</v>
      </c>
      <c r="F8" s="14">
        <f t="shared" si="1"/>
        <v>0.836666666666664</v>
      </c>
      <c r="G8" s="15">
        <f t="shared" si="2"/>
        <v>0.836666666666664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46208.7252061343</v>
      </c>
      <c r="B9" s="6" t="s">
        <v>83</v>
      </c>
      <c r="C9" s="13">
        <v>0.725196759259259</v>
      </c>
      <c r="D9" s="13" t="s">
        <v>65</v>
      </c>
      <c r="E9" s="13">
        <v>0.756608796296296</v>
      </c>
      <c r="F9" s="14">
        <f t="shared" si="1"/>
        <v>0.753888888888888</v>
      </c>
      <c r="G9" s="15">
        <f t="shared" si="2"/>
        <v>0.753888888888888</v>
      </c>
      <c r="H9" s="15">
        <f t="shared" si="3"/>
        <v>0</v>
      </c>
      <c r="I9" s="23" t="s">
        <v>74</v>
      </c>
      <c r="J9" s="24">
        <f>SUMIF(B:B,"航班调度席",F:F)</f>
        <v>15.5866666666667</v>
      </c>
      <c r="K9" s="25">
        <f>SUMIF(B:B,"航班调度席",G:G)</f>
        <v>15.5866666666667</v>
      </c>
      <c r="L9" s="25">
        <f>SUMIF(B:B,"航班调度席",H:H)</f>
        <v>0</v>
      </c>
      <c r="M9" s="21"/>
    </row>
    <row r="10" ht="18.75" spans="1:13">
      <c r="A10" s="12">
        <f ca="1" t="shared" si="0"/>
        <v>46208.8758828704</v>
      </c>
      <c r="B10" s="6" t="s">
        <v>70</v>
      </c>
      <c r="C10" s="13">
        <v>0.87587962962963</v>
      </c>
      <c r="D10" s="13" t="s">
        <v>65</v>
      </c>
      <c r="E10" s="13">
        <v>0.959722222222222</v>
      </c>
      <c r="F10" s="14">
        <f t="shared" si="1"/>
        <v>2.01222222222222</v>
      </c>
      <c r="G10" s="15">
        <f t="shared" si="2"/>
        <v>2.01222222222222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46209.3003688657</v>
      </c>
      <c r="B11" s="6" t="s">
        <v>68</v>
      </c>
      <c r="C11" s="13">
        <v>0.300358796296296</v>
      </c>
      <c r="D11" s="13" t="s">
        <v>65</v>
      </c>
      <c r="E11" s="13">
        <v>0.46375</v>
      </c>
      <c r="F11" s="14">
        <f t="shared" si="1"/>
        <v>3.92138888888889</v>
      </c>
      <c r="G11" s="15">
        <f t="shared" si="2"/>
        <v>3.13000000000001</v>
      </c>
      <c r="H11" s="15">
        <f t="shared" si="3"/>
        <v>0.79138888888888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46209.5437925926</v>
      </c>
      <c r="B12" s="6" t="s">
        <v>84</v>
      </c>
      <c r="C12" s="13">
        <v>0.543784722222222</v>
      </c>
      <c r="D12" s="13" t="s">
        <v>65</v>
      </c>
      <c r="E12" s="13">
        <v>0.603865740740741</v>
      </c>
      <c r="F12" s="14">
        <f t="shared" si="1"/>
        <v>1.44194444444445</v>
      </c>
      <c r="G12" s="15">
        <f t="shared" si="2"/>
        <v>1.44194444444445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46209.6039108796</v>
      </c>
      <c r="B13" s="6" t="s">
        <v>70</v>
      </c>
      <c r="C13" s="13">
        <v>0.603900462962963</v>
      </c>
      <c r="D13" s="13" t="s">
        <v>65</v>
      </c>
      <c r="E13" s="13">
        <v>0.628923611111111</v>
      </c>
      <c r="F13" s="14">
        <f t="shared" si="1"/>
        <v>0.600555555555554</v>
      </c>
      <c r="G13" s="15">
        <f t="shared" si="2"/>
        <v>0.600555555555554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46209.7613443287</v>
      </c>
      <c r="B14" s="6" t="s">
        <v>83</v>
      </c>
      <c r="C14" s="13">
        <v>0.761342592592593</v>
      </c>
      <c r="D14" s="13" t="s">
        <v>65</v>
      </c>
      <c r="E14" s="13">
        <v>0.834826388888889</v>
      </c>
      <c r="F14" s="14">
        <f t="shared" si="1"/>
        <v>1.76361111111111</v>
      </c>
      <c r="G14" s="15">
        <f t="shared" si="2"/>
        <v>1.76361111111111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46212.9528737268</v>
      </c>
      <c r="B15" s="6" t="s">
        <v>84</v>
      </c>
      <c r="C15" s="13">
        <v>0.95287037037037</v>
      </c>
      <c r="D15" s="13" t="s">
        <v>65</v>
      </c>
      <c r="E15" s="13">
        <v>0.144849537037037</v>
      </c>
      <c r="F15" s="14">
        <f t="shared" si="1"/>
        <v>4.6075</v>
      </c>
      <c r="G15" s="15">
        <f t="shared" si="2"/>
        <v>1.13111111111111</v>
      </c>
      <c r="H15" s="15">
        <f t="shared" si="3"/>
        <v>3.47638888888889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46213.9546856481</v>
      </c>
      <c r="B16" s="6" t="s">
        <v>83</v>
      </c>
      <c r="C16" s="13">
        <v>0.954675925925926</v>
      </c>
      <c r="D16" s="13" t="s">
        <v>65</v>
      </c>
      <c r="E16" s="13">
        <v>0.120300925925926</v>
      </c>
      <c r="F16" s="14">
        <f t="shared" si="1"/>
        <v>3.975</v>
      </c>
      <c r="G16" s="15">
        <f t="shared" si="2"/>
        <v>1.08777777777778</v>
      </c>
      <c r="H16" s="15">
        <f t="shared" si="3"/>
        <v>2.88722222222222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46217.1407107639</v>
      </c>
      <c r="B17" s="6" t="s">
        <v>84</v>
      </c>
      <c r="C17" s="13">
        <v>0.140706018518519</v>
      </c>
      <c r="D17" s="13" t="s">
        <v>65</v>
      </c>
      <c r="E17" s="13">
        <v>0.243530092592593</v>
      </c>
      <c r="F17" s="14">
        <f t="shared" si="1"/>
        <v>2.46777777777778</v>
      </c>
      <c r="G17" s="15">
        <f t="shared" si="2"/>
        <v>0</v>
      </c>
      <c r="H17" s="15">
        <f t="shared" si="3"/>
        <v>2.46777777777778</v>
      </c>
      <c r="I17" s="39" t="s">
        <v>80</v>
      </c>
      <c r="J17" s="40">
        <f>J4+J5+J6+J7+J10</f>
        <v>63.5994444444445</v>
      </c>
      <c r="K17" s="41">
        <f>K4+K5+K6+K7+K10</f>
        <v>34.3147222222222</v>
      </c>
      <c r="L17" s="42">
        <f>L4+L5+L6+L7+L10</f>
        <v>29.2847222222222</v>
      </c>
      <c r="M17" s="43"/>
    </row>
    <row r="18" ht="20.25" spans="1:13">
      <c r="A18" s="12">
        <f ca="1" t="shared" si="0"/>
        <v>46217.2435668981</v>
      </c>
      <c r="B18" s="6" t="s">
        <v>83</v>
      </c>
      <c r="C18" s="13">
        <v>0.243564814814815</v>
      </c>
      <c r="D18" s="13" t="s">
        <v>65</v>
      </c>
      <c r="E18" s="13">
        <v>0.305706018518519</v>
      </c>
      <c r="F18" s="14">
        <f t="shared" si="1"/>
        <v>1.49138888888889</v>
      </c>
      <c r="G18" s="15">
        <f t="shared" si="2"/>
        <v>0</v>
      </c>
      <c r="H18" s="15">
        <f t="shared" si="3"/>
        <v>1.49138888888889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46218.1405827546</v>
      </c>
      <c r="B19" s="6" t="s">
        <v>86</v>
      </c>
      <c r="C19" s="13">
        <v>0.140578703703704</v>
      </c>
      <c r="D19" s="13" t="s">
        <v>65</v>
      </c>
      <c r="E19" s="13">
        <v>0.221747685185185</v>
      </c>
      <c r="F19" s="14">
        <f t="shared" si="1"/>
        <v>1.94805555555556</v>
      </c>
      <c r="G19" s="15">
        <f t="shared" si="2"/>
        <v>0</v>
      </c>
      <c r="H19" s="15">
        <f t="shared" si="3"/>
        <v>1.94805555555556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46220.3802040509</v>
      </c>
      <c r="B20" s="6" t="s">
        <v>87</v>
      </c>
      <c r="C20" s="13">
        <v>0.380196759259259</v>
      </c>
      <c r="D20" s="13" t="s">
        <v>65</v>
      </c>
      <c r="E20" s="13">
        <v>0.432581018518519</v>
      </c>
      <c r="F20" s="14">
        <f t="shared" si="1"/>
        <v>1.25722222222222</v>
      </c>
      <c r="G20" s="15">
        <f t="shared" si="2"/>
        <v>1.25722222222222</v>
      </c>
      <c r="H20" s="15">
        <f t="shared" si="3"/>
        <v>0</v>
      </c>
      <c r="I20" s="44" t="s">
        <v>82</v>
      </c>
      <c r="J20" s="45">
        <f>J16+J17+J18+J19</f>
        <v>63.5994444444445</v>
      </c>
      <c r="K20" s="46"/>
      <c r="L20" s="47"/>
      <c r="M20" s="48"/>
    </row>
    <row r="21" ht="20.25" spans="1:13">
      <c r="A21" s="12">
        <f ca="1" t="shared" si="0"/>
        <v>46220.4403119213</v>
      </c>
      <c r="B21" s="6" t="s">
        <v>87</v>
      </c>
      <c r="C21" s="13">
        <v>0.440300925925926</v>
      </c>
      <c r="D21" s="13" t="s">
        <v>65</v>
      </c>
      <c r="E21" s="13">
        <v>0.506423611111111</v>
      </c>
      <c r="F21" s="14">
        <f t="shared" si="1"/>
        <v>1.58694444444445</v>
      </c>
      <c r="G21" s="15">
        <f t="shared" si="2"/>
        <v>1.58694444444445</v>
      </c>
      <c r="H21" s="15">
        <f t="shared" si="3"/>
        <v>0</v>
      </c>
      <c r="I21" s="49" t="s">
        <v>5</v>
      </c>
      <c r="J21" s="50">
        <f>SUM(J8:J9)</f>
        <v>15.5866666666667</v>
      </c>
      <c r="K21" s="41">
        <f>SUM(K8:K9)</f>
        <v>15.5866666666667</v>
      </c>
      <c r="L21" s="42">
        <f>SUM(L8:L9)</f>
        <v>0</v>
      </c>
      <c r="M21" s="51"/>
    </row>
    <row r="22" ht="18.75" spans="1:10">
      <c r="A22" s="12">
        <f ca="1" t="shared" si="0"/>
        <v>46220.6316070602</v>
      </c>
      <c r="B22" s="6" t="s">
        <v>87</v>
      </c>
      <c r="C22" s="13">
        <v>0.631597222222222</v>
      </c>
      <c r="D22" s="13" t="s">
        <v>65</v>
      </c>
      <c r="E22" s="13">
        <v>0.734479166666667</v>
      </c>
      <c r="F22" s="14">
        <f t="shared" si="1"/>
        <v>2.46916666666667</v>
      </c>
      <c r="G22" s="15">
        <f t="shared" si="2"/>
        <v>2.46916666666667</v>
      </c>
      <c r="H22" s="15">
        <f t="shared" si="3"/>
        <v>0</v>
      </c>
      <c r="I22"/>
      <c r="J22"/>
    </row>
    <row r="23" ht="18.75" spans="1:10">
      <c r="A23" s="12">
        <f ca="1" t="shared" si="0"/>
        <v>46221.3790071759</v>
      </c>
      <c r="B23" s="6" t="s">
        <v>87</v>
      </c>
      <c r="C23" s="13">
        <v>0.37900462962963</v>
      </c>
      <c r="D23" s="13" t="s">
        <v>65</v>
      </c>
      <c r="E23" s="13">
        <v>0.504016203703704</v>
      </c>
      <c r="F23" s="14">
        <f t="shared" si="1"/>
        <v>3.00027777777778</v>
      </c>
      <c r="G23" s="15">
        <f t="shared" si="2"/>
        <v>3.00027777777778</v>
      </c>
      <c r="H23" s="15">
        <f t="shared" si="3"/>
        <v>0</v>
      </c>
      <c r="I23"/>
      <c r="J23"/>
    </row>
    <row r="24" ht="18.75" spans="1:10">
      <c r="A24" s="12">
        <f ca="1" t="shared" si="0"/>
        <v>46221.6291706019</v>
      </c>
      <c r="B24" s="6" t="s">
        <v>87</v>
      </c>
      <c r="C24" s="13">
        <v>0.629166666666667</v>
      </c>
      <c r="D24" s="13" t="s">
        <v>65</v>
      </c>
      <c r="E24" s="13">
        <v>0.720034722222222</v>
      </c>
      <c r="F24" s="14">
        <f t="shared" si="1"/>
        <v>2.18083333333333</v>
      </c>
      <c r="G24" s="15">
        <f t="shared" si="2"/>
        <v>2.18083333333333</v>
      </c>
      <c r="H24" s="15">
        <f t="shared" si="3"/>
        <v>0</v>
      </c>
      <c r="I24"/>
      <c r="J24"/>
    </row>
    <row r="25" ht="18.75" spans="1:10">
      <c r="A25" s="12">
        <f ca="1" t="shared" si="0"/>
        <v>46224.3787148148</v>
      </c>
      <c r="B25" s="6" t="s">
        <v>87</v>
      </c>
      <c r="C25" s="13">
        <v>0.378703703703704</v>
      </c>
      <c r="D25" s="13" t="s">
        <v>65</v>
      </c>
      <c r="E25" s="13">
        <v>0.486076388888889</v>
      </c>
      <c r="F25" s="14">
        <f t="shared" si="1"/>
        <v>2.57694444444444</v>
      </c>
      <c r="G25" s="15">
        <f t="shared" si="2"/>
        <v>2.57694444444444</v>
      </c>
      <c r="H25" s="15">
        <f t="shared" si="3"/>
        <v>0</v>
      </c>
      <c r="I25"/>
      <c r="J25"/>
    </row>
    <row r="26" ht="18.75" spans="1:10">
      <c r="A26" s="12">
        <f ca="1" t="shared" si="0"/>
        <v>46224.6057943287</v>
      </c>
      <c r="B26" s="6" t="s">
        <v>83</v>
      </c>
      <c r="C26" s="13">
        <v>0.605787037037037</v>
      </c>
      <c r="D26" s="13" t="s">
        <v>65</v>
      </c>
      <c r="E26" s="13">
        <v>0.651099537037037</v>
      </c>
      <c r="F26" s="14">
        <f t="shared" si="1"/>
        <v>1.0875</v>
      </c>
      <c r="G26" s="15">
        <f t="shared" si="2"/>
        <v>1.0875</v>
      </c>
      <c r="H26" s="15">
        <f t="shared" si="3"/>
        <v>0</v>
      </c>
      <c r="I26"/>
      <c r="J26"/>
    </row>
    <row r="27" ht="18.75" spans="1:10">
      <c r="A27" s="12">
        <f ca="1" t="shared" si="0"/>
        <v>46224.6511445602</v>
      </c>
      <c r="B27" s="6" t="s">
        <v>87</v>
      </c>
      <c r="C27" s="13">
        <v>0.651134259259259</v>
      </c>
      <c r="D27" s="13" t="s">
        <v>65</v>
      </c>
      <c r="E27" s="13">
        <v>0.7559375</v>
      </c>
      <c r="F27" s="14">
        <f t="shared" si="1"/>
        <v>2.51527777777778</v>
      </c>
      <c r="G27" s="15">
        <f t="shared" si="2"/>
        <v>2.51527777777778</v>
      </c>
      <c r="H27" s="15">
        <f t="shared" si="3"/>
        <v>0</v>
      </c>
      <c r="I27"/>
      <c r="J27"/>
    </row>
    <row r="28" ht="18.75" spans="1:10">
      <c r="A28" s="12">
        <f ca="1" t="shared" si="0"/>
        <v>46225.0155331019</v>
      </c>
      <c r="B28" s="6" t="s">
        <v>68</v>
      </c>
      <c r="C28" s="13">
        <v>0.0155324074074074</v>
      </c>
      <c r="D28" s="13" t="s">
        <v>65</v>
      </c>
      <c r="E28" s="13">
        <v>0.11337962962963</v>
      </c>
      <c r="F28" s="14">
        <f t="shared" si="1"/>
        <v>2.34833333333333</v>
      </c>
      <c r="G28" s="15">
        <f t="shared" si="2"/>
        <v>0</v>
      </c>
      <c r="H28" s="15">
        <f t="shared" si="3"/>
        <v>2.34833333333333</v>
      </c>
      <c r="I28"/>
      <c r="J28"/>
    </row>
    <row r="29" ht="18.75" spans="1:10">
      <c r="A29" s="12">
        <f ca="1" t="shared" si="0"/>
        <v>46225.9514387731</v>
      </c>
      <c r="B29" s="6" t="s">
        <v>84</v>
      </c>
      <c r="C29" s="13">
        <v>0.951435185185185</v>
      </c>
      <c r="D29" s="13" t="s">
        <v>65</v>
      </c>
      <c r="E29" s="13">
        <v>0.145428240740741</v>
      </c>
      <c r="F29" s="14">
        <f t="shared" si="1"/>
        <v>4.65583333333334</v>
      </c>
      <c r="G29" s="15">
        <f t="shared" si="2"/>
        <v>1.16555555555556</v>
      </c>
      <c r="H29" s="15">
        <f t="shared" si="3"/>
        <v>3.49027777777778</v>
      </c>
      <c r="I29"/>
      <c r="J29"/>
    </row>
    <row r="30" ht="18.75" spans="1:10">
      <c r="A30" s="12">
        <f ca="1" t="shared" si="0"/>
        <v>46229.1397140046</v>
      </c>
      <c r="B30" s="6" t="s">
        <v>70</v>
      </c>
      <c r="C30" s="13">
        <v>0.139710648148148</v>
      </c>
      <c r="D30" s="13" t="s">
        <v>65</v>
      </c>
      <c r="E30" s="13">
        <v>0.255960648148148</v>
      </c>
      <c r="F30" s="14">
        <f t="shared" si="1"/>
        <v>2.79</v>
      </c>
      <c r="G30" s="15">
        <f t="shared" si="2"/>
        <v>0</v>
      </c>
      <c r="H30" s="15">
        <f t="shared" si="3"/>
        <v>2.79</v>
      </c>
      <c r="I30"/>
      <c r="J30"/>
    </row>
    <row r="31" ht="18.75" spans="1:10">
      <c r="A31" s="12">
        <f ca="1" t="shared" si="0"/>
        <v>46229.2559990741</v>
      </c>
      <c r="B31" s="6" t="s">
        <v>68</v>
      </c>
      <c r="C31" s="13">
        <v>0.25599537037037</v>
      </c>
      <c r="D31" s="13" t="s">
        <v>65</v>
      </c>
      <c r="E31" s="13">
        <v>0.297777777777778</v>
      </c>
      <c r="F31" s="14">
        <f t="shared" si="1"/>
        <v>1.00277777777778</v>
      </c>
      <c r="G31" s="15">
        <f t="shared" si="2"/>
        <v>0</v>
      </c>
      <c r="H31" s="15">
        <f t="shared" si="3"/>
        <v>1.00277777777778</v>
      </c>
      <c r="I31"/>
      <c r="J31"/>
    </row>
    <row r="32" ht="18.75" spans="1:10">
      <c r="A32" s="12">
        <f ca="1" t="shared" si="0"/>
        <v>46232.5088831019</v>
      </c>
      <c r="B32" s="6" t="s">
        <v>70</v>
      </c>
      <c r="C32" s="13">
        <v>0.508877314814815</v>
      </c>
      <c r="D32" s="13" t="s">
        <v>65</v>
      </c>
      <c r="E32" s="13">
        <v>0.631840277777778</v>
      </c>
      <c r="F32" s="14">
        <f t="shared" si="1"/>
        <v>2.95111111111111</v>
      </c>
      <c r="G32" s="15">
        <f t="shared" si="2"/>
        <v>2.95111111111111</v>
      </c>
      <c r="H32" s="15">
        <f t="shared" si="3"/>
        <v>0</v>
      </c>
      <c r="I32"/>
      <c r="J32"/>
    </row>
    <row r="33" ht="18.75" spans="1:10">
      <c r="A33" s="12">
        <f ca="1" t="shared" si="0"/>
        <v>46232.7607591435</v>
      </c>
      <c r="B33" s="6" t="s">
        <v>83</v>
      </c>
      <c r="C33" s="13">
        <v>0.760752314814815</v>
      </c>
      <c r="D33" s="13" t="s">
        <v>65</v>
      </c>
      <c r="E33" s="13">
        <v>0.88099537037037</v>
      </c>
      <c r="F33" s="14">
        <f t="shared" si="1"/>
        <v>2.88583333333333</v>
      </c>
      <c r="G33" s="15">
        <f t="shared" si="2"/>
        <v>2.88583333333333</v>
      </c>
      <c r="H33" s="15">
        <f t="shared" si="3"/>
        <v>0</v>
      </c>
      <c r="I33"/>
      <c r="J33"/>
    </row>
    <row r="34" ht="18.75" spans="1:10">
      <c r="A34" s="12">
        <f ca="1" t="shared" si="0"/>
        <v>46233.4595329861</v>
      </c>
      <c r="B34" s="6" t="s">
        <v>84</v>
      </c>
      <c r="C34" s="13">
        <v>0.459548611111111</v>
      </c>
      <c r="D34" s="13" t="s">
        <v>65</v>
      </c>
      <c r="E34" s="13">
        <v>0.501238425925926</v>
      </c>
      <c r="F34" s="14">
        <f t="shared" si="1"/>
        <v>1.00055555555556</v>
      </c>
      <c r="G34" s="15">
        <f t="shared" si="2"/>
        <v>1.00055555555556</v>
      </c>
      <c r="H34" s="15">
        <f t="shared" si="3"/>
        <v>0</v>
      </c>
      <c r="I34"/>
      <c r="J34"/>
    </row>
    <row r="35" ht="18.75" spans="1:10">
      <c r="A35" s="12">
        <f ca="1" t="shared" si="0"/>
        <v>46233.5187467593</v>
      </c>
      <c r="B35" s="6" t="s">
        <v>84</v>
      </c>
      <c r="C35" s="13">
        <v>0.518738425925926</v>
      </c>
      <c r="D35" s="13" t="s">
        <v>65</v>
      </c>
      <c r="E35" s="13">
        <v>0.631539351851852</v>
      </c>
      <c r="F35" s="14">
        <f t="shared" si="1"/>
        <v>2.70722222222222</v>
      </c>
      <c r="G35" s="15">
        <f t="shared" si="2"/>
        <v>2.70722222222222</v>
      </c>
      <c r="H35" s="15">
        <f t="shared" si="3"/>
        <v>0</v>
      </c>
      <c r="I35"/>
      <c r="J35"/>
    </row>
    <row r="36" ht="18.75" spans="1:10">
      <c r="A36" s="12">
        <f ca="1" t="shared" si="0"/>
        <v>46233.7931584491</v>
      </c>
      <c r="B36" s="6" t="s">
        <v>84</v>
      </c>
      <c r="C36" s="13">
        <v>0.793148148148148</v>
      </c>
      <c r="D36" s="13" t="s">
        <v>65</v>
      </c>
      <c r="E36" s="13">
        <v>0.95775462962963</v>
      </c>
      <c r="F36" s="14">
        <f t="shared" si="1"/>
        <v>3.95055555555556</v>
      </c>
      <c r="G36" s="15">
        <f t="shared" si="2"/>
        <v>3.95055555555556</v>
      </c>
      <c r="H36" s="15">
        <f t="shared" si="3"/>
        <v>0</v>
      </c>
      <c r="I36"/>
      <c r="J36"/>
    </row>
    <row r="37" ht="18.75" spans="1:10">
      <c r="A37" s="12">
        <f ca="1" t="shared" si="0"/>
        <v>46234.3007346065</v>
      </c>
      <c r="B37" s="6" t="s">
        <v>68</v>
      </c>
      <c r="C37" s="13">
        <v>0.300729166666667</v>
      </c>
      <c r="D37" s="13" t="s">
        <v>65</v>
      </c>
      <c r="E37" s="13">
        <v>0.362627314814815</v>
      </c>
      <c r="F37" s="14">
        <f t="shared" si="1"/>
        <v>1.48555555555556</v>
      </c>
      <c r="G37" s="15">
        <f t="shared" si="2"/>
        <v>0.703055555555565</v>
      </c>
      <c r="H37" s="15">
        <f t="shared" si="3"/>
        <v>0.782499999999992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46209.1327009259</v>
      </c>
      <c r="B3" s="6" t="s">
        <v>85</v>
      </c>
      <c r="C3" s="13">
        <v>0.132696759259259</v>
      </c>
      <c r="D3" s="13" t="s">
        <v>65</v>
      </c>
      <c r="E3" s="13">
        <v>0.304594907407407</v>
      </c>
      <c r="F3" s="14">
        <f t="shared" ref="F3:F66" si="1">(IF(E3-C3&lt;0,"24:00"-C3+E3,E3-C3))*24</f>
        <v>4.12555555555556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4.12555555555556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46210.1389923611</v>
      </c>
      <c r="B4" s="6" t="s">
        <v>70</v>
      </c>
      <c r="C4" s="13">
        <v>0.138993055555556</v>
      </c>
      <c r="D4" s="13" t="s">
        <v>65</v>
      </c>
      <c r="E4" s="13">
        <v>0.255358796296296</v>
      </c>
      <c r="F4" s="14">
        <f t="shared" si="1"/>
        <v>2.79277777777778</v>
      </c>
      <c r="G4" s="15">
        <f t="shared" si="2"/>
        <v>0</v>
      </c>
      <c r="H4" s="15">
        <f t="shared" si="3"/>
        <v>2.79277777777778</v>
      </c>
      <c r="I4" s="23" t="s">
        <v>67</v>
      </c>
      <c r="J4" s="24">
        <f>SUMIF(B:B,"西塔台管制席",F:F)+SUMIF(B:B,"东塔台管制席",F:F)</f>
        <v>35.3069444444444</v>
      </c>
      <c r="K4" s="25">
        <f>SUMIF(B:B,"西塔台管制席",G:G)+SUMIF(B:B,"东塔台管制席",G:G)</f>
        <v>16.7633333333333</v>
      </c>
      <c r="L4" s="25">
        <f>SUMIF(B:B,"西塔台管制席",H:H)+SUMIF(B:B,"东塔台管制席",H:H)</f>
        <v>18.5436111111111</v>
      </c>
      <c r="M4" s="21"/>
    </row>
    <row r="5" ht="18.75" spans="1:13">
      <c r="A5" s="12">
        <f ca="1" t="shared" si="0"/>
        <v>46212.5019810185</v>
      </c>
      <c r="B5" s="6" t="s">
        <v>84</v>
      </c>
      <c r="C5" s="13">
        <v>0.502025462962963</v>
      </c>
      <c r="D5" s="13" t="s">
        <v>65</v>
      </c>
      <c r="E5" s="13">
        <v>0.651076388888889</v>
      </c>
      <c r="F5" s="14">
        <f t="shared" si="1"/>
        <v>3.57722222222222</v>
      </c>
      <c r="G5" s="15">
        <f t="shared" si="2"/>
        <v>3.57722222222222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23.5888888888889</v>
      </c>
      <c r="K5" s="25">
        <f>SUMIF(B:B,"西塔台协调席",G:G)+SUMIF(B:B,"东塔台协调席",G:G)</f>
        <v>15.5594444444445</v>
      </c>
      <c r="L5" s="25">
        <f>SUMIF(B:B,"西塔台协调席",H:H)+SUMIF(B:B,"东塔台协调席",H:H)</f>
        <v>8.02944444444444</v>
      </c>
      <c r="M5" s="21"/>
    </row>
    <row r="6" ht="18.75" spans="1:13">
      <c r="A6" s="12">
        <f ca="1" t="shared" si="0"/>
        <v>46212.7506896991</v>
      </c>
      <c r="B6" s="6" t="s">
        <v>68</v>
      </c>
      <c r="C6" s="13">
        <v>0.75068287037037</v>
      </c>
      <c r="D6" s="13" t="s">
        <v>65</v>
      </c>
      <c r="E6" s="13">
        <v>0.880486111111111</v>
      </c>
      <c r="F6" s="14">
        <f t="shared" si="1"/>
        <v>3.11527777777778</v>
      </c>
      <c r="G6" s="15">
        <f t="shared" si="2"/>
        <v>3.11527777777778</v>
      </c>
      <c r="H6" s="15">
        <f t="shared" si="3"/>
        <v>0</v>
      </c>
      <c r="I6" s="23" t="s">
        <v>71</v>
      </c>
      <c r="J6" s="24">
        <f>SUMIF(B:B,"放行席",F:F)</f>
        <v>6.47944444444444</v>
      </c>
      <c r="K6" s="25">
        <f>SUMIF(B:B,"放行席",G:G)</f>
        <v>0</v>
      </c>
      <c r="L6" s="25">
        <f>SUMIF(B:B,"放行席",H:H)</f>
        <v>6.47944444444444</v>
      </c>
      <c r="M6" s="21"/>
    </row>
    <row r="7" ht="18.75" spans="1:13">
      <c r="A7" s="12">
        <f ca="1" t="shared" si="0"/>
        <v>46213.013181713</v>
      </c>
      <c r="B7" s="6" t="s">
        <v>83</v>
      </c>
      <c r="C7" s="13">
        <v>0.0131712962962963</v>
      </c>
      <c r="D7" s="13" t="s">
        <v>65</v>
      </c>
      <c r="E7" s="13">
        <v>0.116203703703704</v>
      </c>
      <c r="F7" s="14">
        <f t="shared" si="1"/>
        <v>2.47277777777778</v>
      </c>
      <c r="G7" s="15">
        <f t="shared" si="2"/>
        <v>0</v>
      </c>
      <c r="H7" s="15">
        <f t="shared" si="3"/>
        <v>2.47277777777778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46213.4591277778</v>
      </c>
      <c r="B8" s="6" t="s">
        <v>70</v>
      </c>
      <c r="C8" s="13">
        <v>0.45912037037037</v>
      </c>
      <c r="D8" s="13" t="s">
        <v>65</v>
      </c>
      <c r="E8" s="13">
        <v>0.555046296296296</v>
      </c>
      <c r="F8" s="14">
        <f t="shared" si="1"/>
        <v>2.30222222222222</v>
      </c>
      <c r="G8" s="15">
        <f t="shared" si="2"/>
        <v>2.30222222222222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46213.6351440972</v>
      </c>
      <c r="B9" s="6" t="s">
        <v>83</v>
      </c>
      <c r="C9" s="13">
        <v>0.635138888888889</v>
      </c>
      <c r="D9" s="13" t="s">
        <v>65</v>
      </c>
      <c r="E9" s="13">
        <v>0.755740740740741</v>
      </c>
      <c r="F9" s="14">
        <f t="shared" si="1"/>
        <v>2.89444444444444</v>
      </c>
      <c r="G9" s="15">
        <f t="shared" si="2"/>
        <v>2.89444444444444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46213.8341332176</v>
      </c>
      <c r="B10" s="6" t="s">
        <v>70</v>
      </c>
      <c r="C10" s="13">
        <v>0.834131944444444</v>
      </c>
      <c r="D10" s="13" t="s">
        <v>65</v>
      </c>
      <c r="E10" s="13">
        <v>0.955127314814815</v>
      </c>
      <c r="F10" s="14">
        <f t="shared" si="1"/>
        <v>2.90388888888889</v>
      </c>
      <c r="G10" s="15">
        <f t="shared" si="2"/>
        <v>2.90388888888889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46214.2997503472</v>
      </c>
      <c r="B11" s="6" t="s">
        <v>68</v>
      </c>
      <c r="C11" s="13">
        <v>0.29974537037037</v>
      </c>
      <c r="D11" s="13" t="s">
        <v>65</v>
      </c>
      <c r="E11" s="13">
        <v>0.327037037037037</v>
      </c>
      <c r="F11" s="14">
        <f t="shared" si="1"/>
        <v>0.655</v>
      </c>
      <c r="G11" s="15">
        <f t="shared" si="2"/>
        <v>0</v>
      </c>
      <c r="H11" s="15">
        <f t="shared" si="3"/>
        <v>0.655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46214.3270643519</v>
      </c>
      <c r="B12" s="6" t="s">
        <v>83</v>
      </c>
      <c r="C12" s="13">
        <v>0.327060185185185</v>
      </c>
      <c r="D12" s="13" t="s">
        <v>65</v>
      </c>
      <c r="E12" s="13">
        <v>0.360081018518519</v>
      </c>
      <c r="F12" s="14">
        <f t="shared" si="1"/>
        <v>0.792500000000001</v>
      </c>
      <c r="G12" s="15">
        <f t="shared" si="2"/>
        <v>0.641944444444453</v>
      </c>
      <c r="H12" s="15">
        <f t="shared" si="3"/>
        <v>0.150555555555548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46217.0139528935</v>
      </c>
      <c r="B13" s="6" t="s">
        <v>70</v>
      </c>
      <c r="C13" s="13">
        <v>0.0139467592592593</v>
      </c>
      <c r="D13" s="13" t="s">
        <v>65</v>
      </c>
      <c r="E13" s="13">
        <v>0.146759259259259</v>
      </c>
      <c r="F13" s="14">
        <f t="shared" si="1"/>
        <v>3.1875</v>
      </c>
      <c r="G13" s="15">
        <f t="shared" si="2"/>
        <v>0</v>
      </c>
      <c r="H13" s="15">
        <f t="shared" si="3"/>
        <v>3.1875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46217.9515634259</v>
      </c>
      <c r="B14" s="6" t="s">
        <v>83</v>
      </c>
      <c r="C14" s="13">
        <v>0.9515625</v>
      </c>
      <c r="D14" s="13" t="s">
        <v>65</v>
      </c>
      <c r="E14" s="13">
        <v>0.126018518518519</v>
      </c>
      <c r="F14" s="14">
        <f t="shared" si="1"/>
        <v>4.18694444444444</v>
      </c>
      <c r="G14" s="15">
        <f t="shared" si="2"/>
        <v>1.1625</v>
      </c>
      <c r="H14" s="15">
        <f t="shared" si="3"/>
        <v>3.02444444444444</v>
      </c>
      <c r="I14" s="33"/>
      <c r="J14" s="33"/>
      <c r="K14" s="33"/>
      <c r="L14" s="33"/>
      <c r="M14" s="33"/>
    </row>
    <row r="15" ht="101.25" spans="1:13">
      <c r="A15" s="12">
        <f ca="1" t="shared" si="0"/>
        <v>46221.1389824074</v>
      </c>
      <c r="B15" s="6" t="s">
        <v>84</v>
      </c>
      <c r="C15" s="13">
        <v>0.138981481481481</v>
      </c>
      <c r="D15" s="13" t="s">
        <v>65</v>
      </c>
      <c r="E15" s="13">
        <v>0.23537037037037</v>
      </c>
      <c r="F15" s="14">
        <f t="shared" si="1"/>
        <v>2.31333333333333</v>
      </c>
      <c r="G15" s="15">
        <f t="shared" si="2"/>
        <v>0</v>
      </c>
      <c r="H15" s="15">
        <f t="shared" si="3"/>
        <v>2.31333333333333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46222.1387969907</v>
      </c>
      <c r="B16" s="6" t="s">
        <v>84</v>
      </c>
      <c r="C16" s="13">
        <v>0.139155092592593</v>
      </c>
      <c r="D16" s="13" t="s">
        <v>65</v>
      </c>
      <c r="E16" s="13">
        <v>0.306608796296296</v>
      </c>
      <c r="F16" s="14">
        <f t="shared" si="1"/>
        <v>4.01888888888889</v>
      </c>
      <c r="G16" s="15">
        <f t="shared" si="2"/>
        <v>0</v>
      </c>
      <c r="H16" s="15">
        <f t="shared" si="3"/>
        <v>4.01888888888889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46224.3541518519</v>
      </c>
      <c r="B17" s="6" t="s">
        <v>83</v>
      </c>
      <c r="C17" s="13">
        <v>0.354143518518518</v>
      </c>
      <c r="D17" s="13" t="s">
        <v>65</v>
      </c>
      <c r="E17" s="13">
        <v>0.363923611111111</v>
      </c>
      <c r="F17" s="14">
        <f t="shared" si="1"/>
        <v>0.234722222222222</v>
      </c>
      <c r="G17" s="15">
        <f t="shared" si="2"/>
        <v>0.234722222222222</v>
      </c>
      <c r="H17" s="15">
        <f t="shared" si="3"/>
        <v>0</v>
      </c>
      <c r="I17" s="39" t="s">
        <v>80</v>
      </c>
      <c r="J17" s="40">
        <f>J4+J5+J6+J7+J10</f>
        <v>65.3752777777778</v>
      </c>
      <c r="K17" s="41">
        <f>K4+K5+K6+K7+K10</f>
        <v>32.3227777777778</v>
      </c>
      <c r="L17" s="42">
        <f>L4+L5+L6+L7+L10</f>
        <v>33.0525</v>
      </c>
      <c r="M17" s="43"/>
    </row>
    <row r="18" ht="20.25" spans="1:13">
      <c r="A18" s="12">
        <f ca="1" t="shared" si="0"/>
        <v>46224.3543289352</v>
      </c>
      <c r="B18" s="6" t="s">
        <v>83</v>
      </c>
      <c r="C18" s="13">
        <v>0.364050925925926</v>
      </c>
      <c r="D18" s="13" t="s">
        <v>65</v>
      </c>
      <c r="E18" s="13">
        <v>0.504178240740741</v>
      </c>
      <c r="F18" s="14">
        <f t="shared" si="1"/>
        <v>3.36305555555556</v>
      </c>
      <c r="G18" s="15">
        <f t="shared" si="2"/>
        <v>3.36305555555556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46224.6458674769</v>
      </c>
      <c r="B19" s="6" t="s">
        <v>70</v>
      </c>
      <c r="C19" s="13">
        <v>0.645856481481481</v>
      </c>
      <c r="D19" s="13" t="s">
        <v>65</v>
      </c>
      <c r="E19" s="13">
        <v>0.754560185185185</v>
      </c>
      <c r="F19" s="14">
        <f t="shared" si="1"/>
        <v>2.60888888888889</v>
      </c>
      <c r="G19" s="15">
        <f t="shared" si="2"/>
        <v>2.60888888888889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46224.8754269676</v>
      </c>
      <c r="B20" s="6" t="s">
        <v>83</v>
      </c>
      <c r="C20" s="13">
        <v>0.875416666666667</v>
      </c>
      <c r="D20" s="13" t="s">
        <v>65</v>
      </c>
      <c r="E20" s="13">
        <v>0.957152777777778</v>
      </c>
      <c r="F20" s="14">
        <f t="shared" si="1"/>
        <v>1.96166666666667</v>
      </c>
      <c r="G20" s="15">
        <f t="shared" si="2"/>
        <v>1.96166666666667</v>
      </c>
      <c r="H20" s="15">
        <f t="shared" si="3"/>
        <v>0</v>
      </c>
      <c r="I20" s="44" t="s">
        <v>82</v>
      </c>
      <c r="J20" s="45">
        <f>J16+J17+J18+J19</f>
        <v>65.3752777777778</v>
      </c>
      <c r="K20" s="46"/>
      <c r="L20" s="47"/>
      <c r="M20" s="48"/>
    </row>
    <row r="21" ht="20.25" spans="1:13">
      <c r="A21" s="12">
        <f ca="1" t="shared" si="0"/>
        <v>46225.2992967593</v>
      </c>
      <c r="B21" s="6" t="s">
        <v>70</v>
      </c>
      <c r="C21" s="13">
        <v>0.299293981481482</v>
      </c>
      <c r="D21" s="13" t="s">
        <v>65</v>
      </c>
      <c r="E21" s="13">
        <v>0.465300925925926</v>
      </c>
      <c r="F21" s="14">
        <f t="shared" si="1"/>
        <v>3.98416666666667</v>
      </c>
      <c r="G21" s="15">
        <f t="shared" si="2"/>
        <v>3.16722222222223</v>
      </c>
      <c r="H21" s="15">
        <f t="shared" si="3"/>
        <v>0.816944444444435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46225.542175463</v>
      </c>
      <c r="B22" s="6" t="s">
        <v>68</v>
      </c>
      <c r="C22" s="13">
        <v>0.542175925925926</v>
      </c>
      <c r="D22" s="13" t="s">
        <v>65</v>
      </c>
      <c r="E22" s="13">
        <v>0.633252314814815</v>
      </c>
      <c r="F22" s="14">
        <f t="shared" si="1"/>
        <v>2.18583333333333</v>
      </c>
      <c r="G22" s="15">
        <f t="shared" si="2"/>
        <v>2.18583333333333</v>
      </c>
      <c r="H22" s="15">
        <f t="shared" si="3"/>
        <v>0</v>
      </c>
      <c r="I22"/>
      <c r="J22"/>
    </row>
    <row r="23" ht="18.75" spans="1:10">
      <c r="A23" s="12">
        <f ca="1" t="shared" si="0"/>
        <v>46225.7511118056</v>
      </c>
      <c r="B23" s="6" t="s">
        <v>84</v>
      </c>
      <c r="C23" s="13">
        <v>0.751111111111111</v>
      </c>
      <c r="D23" s="13" t="s">
        <v>65</v>
      </c>
      <c r="E23" s="13">
        <v>0.842939814814815</v>
      </c>
      <c r="F23" s="14">
        <f t="shared" si="1"/>
        <v>2.20388888888889</v>
      </c>
      <c r="G23" s="15">
        <f t="shared" si="2"/>
        <v>2.20388888888889</v>
      </c>
      <c r="H23" s="15">
        <f t="shared" si="3"/>
        <v>0</v>
      </c>
      <c r="I23"/>
      <c r="J23"/>
    </row>
    <row r="24" ht="18.75" spans="1:10">
      <c r="A24" s="12">
        <f ca="1" t="shared" si="0"/>
        <v>46230.0132519676</v>
      </c>
      <c r="B24" s="6" t="s">
        <v>70</v>
      </c>
      <c r="C24" s="13">
        <v>0.0132523148148148</v>
      </c>
      <c r="D24" s="13" t="s">
        <v>65</v>
      </c>
      <c r="E24" s="13">
        <v>0.144884259259259</v>
      </c>
      <c r="F24" s="14">
        <f t="shared" si="1"/>
        <v>3.15916666666667</v>
      </c>
      <c r="G24" s="15">
        <f t="shared" si="2"/>
        <v>0</v>
      </c>
      <c r="H24" s="15">
        <f t="shared" si="3"/>
        <v>3.15916666666667</v>
      </c>
      <c r="I24"/>
      <c r="J24"/>
    </row>
    <row r="25" ht="18.75" spans="1:10">
      <c r="A25" s="12">
        <f ca="1" t="shared" si="0"/>
        <v>46233.1388396991</v>
      </c>
      <c r="B25" s="6" t="s">
        <v>70</v>
      </c>
      <c r="C25" s="13">
        <v>0.138831018518519</v>
      </c>
      <c r="D25" s="13" t="s">
        <v>65</v>
      </c>
      <c r="E25" s="13">
        <v>0.232789351851852</v>
      </c>
      <c r="F25" s="14">
        <f t="shared" si="1"/>
        <v>2.255</v>
      </c>
      <c r="G25" s="15">
        <f t="shared" si="2"/>
        <v>0</v>
      </c>
      <c r="H25" s="15">
        <f t="shared" si="3"/>
        <v>2.255</v>
      </c>
      <c r="I25"/>
      <c r="J25"/>
    </row>
    <row r="26" ht="18.75" spans="1:10">
      <c r="A26" s="12">
        <f ca="1" t="shared" si="0"/>
        <v>46233.2328363426</v>
      </c>
      <c r="B26" s="6" t="s">
        <v>68</v>
      </c>
      <c r="C26" s="13">
        <v>0.232835648148148</v>
      </c>
      <c r="D26" s="13" t="s">
        <v>65</v>
      </c>
      <c r="E26" s="13">
        <v>0.304780092592593</v>
      </c>
      <c r="F26" s="14">
        <f t="shared" si="1"/>
        <v>1.72666666666667</v>
      </c>
      <c r="G26" s="15">
        <f t="shared" si="2"/>
        <v>0</v>
      </c>
      <c r="H26" s="15">
        <f t="shared" si="3"/>
        <v>1.72666666666667</v>
      </c>
      <c r="I26"/>
      <c r="J26"/>
    </row>
    <row r="27" ht="18.75" spans="1:10">
      <c r="A27" s="12">
        <f ca="1" t="shared" si="0"/>
        <v>46234.1314903935</v>
      </c>
      <c r="B27" s="6" t="s">
        <v>85</v>
      </c>
      <c r="C27" s="13">
        <v>0.131481481481481</v>
      </c>
      <c r="D27" s="13" t="s">
        <v>65</v>
      </c>
      <c r="E27" s="13">
        <v>0.229560185185185</v>
      </c>
      <c r="F27" s="14">
        <f t="shared" si="1"/>
        <v>2.35388888888889</v>
      </c>
      <c r="G27" s="15">
        <f t="shared" si="2"/>
        <v>0</v>
      </c>
      <c r="H27" s="15">
        <f t="shared" si="3"/>
        <v>2.35388888888889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P339"/>
  <sheetViews>
    <sheetView zoomScale="85" zoomScaleNormal="85" topLeftCell="A10" workbookViewId="0">
      <selection activeCell="D31" sqref="D3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62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46209.0121951389</v>
      </c>
      <c r="B3" s="6" t="s">
        <v>84</v>
      </c>
      <c r="C3" s="13">
        <v>0.0121875</v>
      </c>
      <c r="D3" s="13" t="s">
        <v>65</v>
      </c>
      <c r="E3" s="13">
        <v>0.143773148148148</v>
      </c>
      <c r="F3" s="14">
        <f t="shared" ref="F3:F66" si="1">(IF(E3-C3&lt;0,"24:00"-C3+E3,E3-C3))*24</f>
        <v>3.15805555555556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3.15805555555556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46210.1378511574</v>
      </c>
      <c r="B4" s="6" t="s">
        <v>86</v>
      </c>
      <c r="C4" s="13">
        <v>0.137847222222222</v>
      </c>
      <c r="D4" s="13" t="s">
        <v>65</v>
      </c>
      <c r="E4" s="13">
        <v>0.253240740740741</v>
      </c>
      <c r="F4" s="14">
        <f t="shared" si="1"/>
        <v>2.76944444444444</v>
      </c>
      <c r="G4" s="15">
        <f t="shared" si="2"/>
        <v>0</v>
      </c>
      <c r="H4" s="15">
        <f t="shared" si="3"/>
        <v>2.76944444444444</v>
      </c>
      <c r="I4" s="23" t="s">
        <v>67</v>
      </c>
      <c r="J4" s="24">
        <f>SUMIF(B:B,"西塔台管制席",F:F)+SUMIF(B:B,"东塔台管制席",F:F)</f>
        <v>30.3472222222222</v>
      </c>
      <c r="K4" s="25">
        <f>SUMIF(B:B,"西塔台管制席",G:G)+SUMIF(B:B,"东塔台管制席",G:G)</f>
        <v>14.7791666666667</v>
      </c>
      <c r="L4" s="25">
        <f>SUMIF(B:B,"西塔台管制席",H:H)+SUMIF(B:B,"东塔台管制席",H:H)</f>
        <v>15.5680555555556</v>
      </c>
      <c r="M4" s="21"/>
    </row>
    <row r="5" ht="18.75" spans="1:13">
      <c r="A5" s="12">
        <f ca="1" t="shared" si="0"/>
        <v>46210.2532762731</v>
      </c>
      <c r="B5" s="6" t="s">
        <v>70</v>
      </c>
      <c r="C5" s="13">
        <v>0.253275462962963</v>
      </c>
      <c r="D5" s="13" t="s">
        <v>65</v>
      </c>
      <c r="E5" s="13">
        <v>0.305150462962963</v>
      </c>
      <c r="F5" s="14">
        <f t="shared" si="1"/>
        <v>1.245</v>
      </c>
      <c r="G5" s="15">
        <f t="shared" si="2"/>
        <v>0</v>
      </c>
      <c r="H5" s="15">
        <f t="shared" si="3"/>
        <v>1.245</v>
      </c>
      <c r="I5" s="23" t="s">
        <v>69</v>
      </c>
      <c r="J5" s="24">
        <f>SUMIF(B:B,"西塔台协调席",F:F)+SUMIF(B:B,"东塔台协调席",F:F)</f>
        <v>19.4352777777778</v>
      </c>
      <c r="K5" s="25">
        <f>SUMIF(B:B,"西塔台协调席",G:G)+SUMIF(B:B,"东塔台协调席",G:G)</f>
        <v>15.3972222222222</v>
      </c>
      <c r="L5" s="25">
        <f>SUMIF(B:B,"西塔台协调席",H:H)+SUMIF(B:B,"东塔台协调席",H:H)</f>
        <v>4.03805555555554</v>
      </c>
      <c r="M5" s="21"/>
    </row>
    <row r="6" ht="18.75" spans="1:13">
      <c r="A6" s="12">
        <f ca="1" t="shared" si="0"/>
        <v>46212.35525625</v>
      </c>
      <c r="B6" s="6" t="s">
        <v>84</v>
      </c>
      <c r="C6" s="13">
        <v>0.35525462962963</v>
      </c>
      <c r="D6" s="13" t="s">
        <v>65</v>
      </c>
      <c r="E6" s="13">
        <v>0.505810185185185</v>
      </c>
      <c r="F6" s="14">
        <f t="shared" si="1"/>
        <v>3.61333333333333</v>
      </c>
      <c r="G6" s="15">
        <f t="shared" si="2"/>
        <v>3.61333333333333</v>
      </c>
      <c r="H6" s="15">
        <f t="shared" si="3"/>
        <v>0</v>
      </c>
      <c r="I6" s="23" t="s">
        <v>71</v>
      </c>
      <c r="J6" s="24">
        <f>SUMIF(B:B,"放行席",F:F)</f>
        <v>4.61666666666667</v>
      </c>
      <c r="K6" s="25">
        <f>SUMIF(B:B,"放行席",G:G)</f>
        <v>0</v>
      </c>
      <c r="L6" s="25">
        <f>SUMIF(B:B,"放行席",H:H)</f>
        <v>4.61666666666667</v>
      </c>
      <c r="M6" s="21"/>
    </row>
    <row r="7" ht="18.75" spans="1:13">
      <c r="A7" s="12">
        <f ca="1" t="shared" si="0"/>
        <v>46212.6455459491</v>
      </c>
      <c r="B7" s="6" t="s">
        <v>68</v>
      </c>
      <c r="C7" s="13">
        <v>0.645543981481482</v>
      </c>
      <c r="D7" s="13" t="s">
        <v>65</v>
      </c>
      <c r="E7" s="13">
        <v>0.756006944444444</v>
      </c>
      <c r="F7" s="14">
        <f t="shared" si="1"/>
        <v>2.65111111111111</v>
      </c>
      <c r="G7" s="15">
        <f t="shared" si="2"/>
        <v>2.65111111111111</v>
      </c>
      <c r="H7" s="15">
        <f t="shared" si="3"/>
        <v>0</v>
      </c>
      <c r="I7" s="23" t="s">
        <v>72</v>
      </c>
      <c r="J7" s="24">
        <f>SUMIF(B:B,"地面席",F:F)</f>
        <v>4.74027777777778</v>
      </c>
      <c r="K7" s="25">
        <f>SUMIF(B:B,"地面席",G:G)</f>
        <v>0</v>
      </c>
      <c r="L7" s="25">
        <f>SUMIF(B:B,"地面席",H:H)</f>
        <v>4.74027777777778</v>
      </c>
      <c r="M7" s="21"/>
    </row>
    <row r="8" ht="18.75" spans="1:13">
      <c r="A8" s="12">
        <f ca="1" t="shared" si="0"/>
        <v>46212.8743386574</v>
      </c>
      <c r="B8" s="6" t="s">
        <v>84</v>
      </c>
      <c r="C8" s="13">
        <v>0.876805555555556</v>
      </c>
      <c r="D8" s="13" t="s">
        <v>65</v>
      </c>
      <c r="E8" s="13">
        <v>0.958090277777778</v>
      </c>
      <c r="F8" s="14">
        <f t="shared" si="1"/>
        <v>1.95083333333333</v>
      </c>
      <c r="G8" s="15">
        <f t="shared" si="2"/>
        <v>1.95083333333333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46213.300430787</v>
      </c>
      <c r="B9" s="6" t="s">
        <v>83</v>
      </c>
      <c r="C9" s="13">
        <v>0.300428240740741</v>
      </c>
      <c r="D9" s="13" t="s">
        <v>65</v>
      </c>
      <c r="E9" s="13">
        <v>0.46306712962963</v>
      </c>
      <c r="F9" s="14">
        <f t="shared" si="1"/>
        <v>3.90333333333333</v>
      </c>
      <c r="G9" s="15">
        <f t="shared" si="2"/>
        <v>3.11361111111112</v>
      </c>
      <c r="H9" s="15">
        <f t="shared" si="3"/>
        <v>0.789722222222213</v>
      </c>
      <c r="I9" s="23" t="s">
        <v>74</v>
      </c>
      <c r="J9" s="24">
        <f>SUMIF(B:B,"航班调度席",F:F)</f>
        <v>5.73527777777778</v>
      </c>
      <c r="K9" s="25">
        <f>SUMIF(B:B,"航班调度席",G:G)</f>
        <v>5.73527777777778</v>
      </c>
      <c r="L9" s="25">
        <f>SUMIF(B:B,"航班调度席",H:H)</f>
        <v>0</v>
      </c>
      <c r="M9" s="21"/>
    </row>
    <row r="10" ht="18.75" spans="1:13">
      <c r="A10" s="12">
        <f ca="1" t="shared" si="0"/>
        <v>46213.552896412</v>
      </c>
      <c r="B10" s="6" t="s">
        <v>70</v>
      </c>
      <c r="C10" s="13">
        <v>0.552893518518519</v>
      </c>
      <c r="D10" s="13" t="s">
        <v>65</v>
      </c>
      <c r="E10" s="13">
        <v>0.587534722222222</v>
      </c>
      <c r="F10" s="14">
        <f t="shared" si="1"/>
        <v>0.831388888888889</v>
      </c>
      <c r="G10" s="15">
        <f t="shared" si="2"/>
        <v>0.831388888888889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46213.6049686343</v>
      </c>
      <c r="B11" s="6" t="s">
        <v>70</v>
      </c>
      <c r="C11" s="13">
        <v>0.604965277777778</v>
      </c>
      <c r="D11" s="13" t="s">
        <v>65</v>
      </c>
      <c r="E11" s="13">
        <v>0.63037037037037</v>
      </c>
      <c r="F11" s="14">
        <f t="shared" si="1"/>
        <v>0.609722222222222</v>
      </c>
      <c r="G11" s="15">
        <f t="shared" si="2"/>
        <v>0.609722222222222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46213.7499678241</v>
      </c>
      <c r="B12" s="6" t="s">
        <v>83</v>
      </c>
      <c r="C12" s="13">
        <v>0.749965277777778</v>
      </c>
      <c r="D12" s="13" t="s">
        <v>65</v>
      </c>
      <c r="E12" s="13">
        <v>0.83962962962963</v>
      </c>
      <c r="F12" s="14">
        <f t="shared" si="1"/>
        <v>2.15194444444444</v>
      </c>
      <c r="G12" s="15">
        <f t="shared" si="2"/>
        <v>2.15194444444444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46216.3773707176</v>
      </c>
      <c r="B13" s="6" t="s">
        <v>87</v>
      </c>
      <c r="C13" s="13">
        <v>0.377361111111111</v>
      </c>
      <c r="D13" s="13" t="s">
        <v>65</v>
      </c>
      <c r="E13" s="13">
        <v>0.498726851851852</v>
      </c>
      <c r="F13" s="14">
        <f t="shared" si="1"/>
        <v>2.91277777777778</v>
      </c>
      <c r="G13" s="15">
        <f t="shared" si="2"/>
        <v>2.91277777777778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46216.6205422454</v>
      </c>
      <c r="B14" s="6" t="s">
        <v>87</v>
      </c>
      <c r="C14" s="13">
        <v>0.620532407407407</v>
      </c>
      <c r="D14" s="13" t="s">
        <v>65</v>
      </c>
      <c r="E14" s="13">
        <v>0.738136574074074</v>
      </c>
      <c r="F14" s="14">
        <f t="shared" si="1"/>
        <v>2.8225</v>
      </c>
      <c r="G14" s="15">
        <f t="shared" si="2"/>
        <v>2.8225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46218.0146924768</v>
      </c>
      <c r="B15" s="6" t="s">
        <v>84</v>
      </c>
      <c r="C15" s="13">
        <v>0.0146875</v>
      </c>
      <c r="D15" s="13" t="s">
        <v>65</v>
      </c>
      <c r="E15" s="13">
        <v>0.144861111111111</v>
      </c>
      <c r="F15" s="14">
        <f t="shared" si="1"/>
        <v>3.12416666666667</v>
      </c>
      <c r="G15" s="15">
        <f t="shared" si="2"/>
        <v>0</v>
      </c>
      <c r="H15" s="15">
        <f t="shared" si="3"/>
        <v>3.12416666666667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46221.1329967593</v>
      </c>
      <c r="B16" s="6" t="s">
        <v>85</v>
      </c>
      <c r="C16" s="13">
        <v>0.132986111111111</v>
      </c>
      <c r="D16" s="13" t="s">
        <v>65</v>
      </c>
      <c r="E16" s="13">
        <v>0.230011574074074</v>
      </c>
      <c r="F16" s="14">
        <f t="shared" si="1"/>
        <v>2.32861111111111</v>
      </c>
      <c r="G16" s="15">
        <f t="shared" si="2"/>
        <v>0</v>
      </c>
      <c r="H16" s="15">
        <f t="shared" si="3"/>
        <v>2.32861111111111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46221.2300701389</v>
      </c>
      <c r="B17" s="6" t="s">
        <v>84</v>
      </c>
      <c r="C17" s="13">
        <v>0.230069444444444</v>
      </c>
      <c r="D17" s="13" t="s">
        <v>65</v>
      </c>
      <c r="E17" s="13">
        <v>0.305439814814815</v>
      </c>
      <c r="F17" s="14">
        <f t="shared" si="1"/>
        <v>1.80888888888889</v>
      </c>
      <c r="G17" s="15">
        <f t="shared" si="2"/>
        <v>0</v>
      </c>
      <c r="H17" s="15">
        <f t="shared" si="3"/>
        <v>1.80888888888889</v>
      </c>
      <c r="I17" s="39" t="s">
        <v>80</v>
      </c>
      <c r="J17" s="40">
        <f>J4+J5+J6+J7+J10</f>
        <v>59.1394444444444</v>
      </c>
      <c r="K17" s="41">
        <f>K4+K5+K6+K7+K10</f>
        <v>30.1763888888889</v>
      </c>
      <c r="L17" s="42">
        <f>L4+L5+L6+L7+L10</f>
        <v>28.9630555555555</v>
      </c>
      <c r="M17" s="43"/>
    </row>
    <row r="18" ht="20.25" spans="1:13">
      <c r="A18" s="12">
        <f ca="1" t="shared" si="0"/>
        <v>46222.1386123843</v>
      </c>
      <c r="B18" s="6" t="s">
        <v>70</v>
      </c>
      <c r="C18" s="13">
        <v>0.138611111111111</v>
      </c>
      <c r="D18" s="13" t="s">
        <v>65</v>
      </c>
      <c r="E18" s="13">
        <v>0.228518518518519</v>
      </c>
      <c r="F18" s="14">
        <f t="shared" si="1"/>
        <v>2.15777777777778</v>
      </c>
      <c r="G18" s="15">
        <f t="shared" si="2"/>
        <v>0</v>
      </c>
      <c r="H18" s="15">
        <f t="shared" si="3"/>
        <v>2.15777777777778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46224.4992958333</v>
      </c>
      <c r="B19" s="6" t="s">
        <v>70</v>
      </c>
      <c r="C19" s="13">
        <v>0.499293981481481</v>
      </c>
      <c r="D19" s="13" t="s">
        <v>65</v>
      </c>
      <c r="E19" s="13">
        <v>0.5525</v>
      </c>
      <c r="F19" s="14">
        <f t="shared" si="1"/>
        <v>1.27694444444444</v>
      </c>
      <c r="G19" s="15">
        <f t="shared" si="2"/>
        <v>1.27694444444444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46224.5693971065</v>
      </c>
      <c r="B20" s="6" t="s">
        <v>70</v>
      </c>
      <c r="C20" s="13">
        <v>0.569386574074074</v>
      </c>
      <c r="D20" s="13" t="s">
        <v>65</v>
      </c>
      <c r="E20" s="13">
        <v>0.650219907407407</v>
      </c>
      <c r="F20" s="14">
        <f t="shared" si="1"/>
        <v>1.94</v>
      </c>
      <c r="G20" s="15">
        <f t="shared" si="2"/>
        <v>1.94</v>
      </c>
      <c r="H20" s="15">
        <f t="shared" si="3"/>
        <v>0</v>
      </c>
      <c r="I20" s="44" t="s">
        <v>82</v>
      </c>
      <c r="J20" s="45">
        <f>J16+J17+J18+J19</f>
        <v>59.1394444444444</v>
      </c>
      <c r="K20" s="46"/>
      <c r="L20" s="47"/>
      <c r="M20" s="48"/>
    </row>
    <row r="21" ht="20.25" spans="1:13">
      <c r="A21" s="12">
        <f ca="1" t="shared" si="0"/>
        <v>46224.7516886574</v>
      </c>
      <c r="B21" s="6" t="s">
        <v>83</v>
      </c>
      <c r="C21" s="13">
        <v>0.751678240740741</v>
      </c>
      <c r="D21" s="13" t="s">
        <v>65</v>
      </c>
      <c r="E21" s="13">
        <v>0.789016203703704</v>
      </c>
      <c r="F21" s="14">
        <f t="shared" si="1"/>
        <v>0.896111111111112</v>
      </c>
      <c r="G21" s="15">
        <f t="shared" si="2"/>
        <v>0.896111111111112</v>
      </c>
      <c r="H21" s="15">
        <f t="shared" si="3"/>
        <v>0</v>
      </c>
      <c r="I21" s="49" t="s">
        <v>5</v>
      </c>
      <c r="J21" s="50">
        <f>SUM(J8:J9)</f>
        <v>5.73527777777778</v>
      </c>
      <c r="K21" s="41">
        <f>SUM(K8:K9)</f>
        <v>5.73527777777778</v>
      </c>
      <c r="L21" s="42">
        <f>SUM(L8:L9)</f>
        <v>0</v>
      </c>
      <c r="M21" s="51"/>
    </row>
    <row r="22" ht="18.75" spans="1:10">
      <c r="A22" s="12">
        <f ca="1" t="shared" si="0"/>
        <v>46224.8113195602</v>
      </c>
      <c r="B22" s="6" t="s">
        <v>83</v>
      </c>
      <c r="C22" s="13">
        <v>0.811319444444444</v>
      </c>
      <c r="D22" s="13" t="s">
        <v>65</v>
      </c>
      <c r="E22" s="13">
        <v>0.879710648148148</v>
      </c>
      <c r="F22" s="14">
        <f t="shared" si="1"/>
        <v>1.64138888888889</v>
      </c>
      <c r="G22" s="15">
        <f t="shared" si="2"/>
        <v>1.64138888888889</v>
      </c>
      <c r="H22" s="15">
        <f t="shared" si="3"/>
        <v>0</v>
      </c>
      <c r="I22"/>
      <c r="J22"/>
    </row>
    <row r="23" ht="18.75" spans="1:10">
      <c r="A23" s="12">
        <f ca="1" t="shared" si="0"/>
        <v>46225.4591548611</v>
      </c>
      <c r="B23" s="6" t="s">
        <v>84</v>
      </c>
      <c r="C23" s="13">
        <v>0.459155092592593</v>
      </c>
      <c r="D23" s="13" t="s">
        <v>65</v>
      </c>
      <c r="E23" s="13">
        <v>0.552430555555556</v>
      </c>
      <c r="F23" s="14">
        <f t="shared" si="1"/>
        <v>2.23861111111111</v>
      </c>
      <c r="G23" s="15">
        <f t="shared" si="2"/>
        <v>2.23861111111111</v>
      </c>
      <c r="H23" s="15">
        <f t="shared" si="3"/>
        <v>0</v>
      </c>
      <c r="I23"/>
      <c r="J23"/>
    </row>
    <row r="24" ht="18.75" spans="1:10">
      <c r="A24" s="12">
        <f ca="1" t="shared" si="0"/>
        <v>46225.6261628472</v>
      </c>
      <c r="B24" s="6" t="s">
        <v>68</v>
      </c>
      <c r="C24" s="13">
        <v>0.626157407407407</v>
      </c>
      <c r="D24" s="13" t="s">
        <v>65</v>
      </c>
      <c r="E24" s="13">
        <v>0.755763888888889</v>
      </c>
      <c r="F24" s="14">
        <f t="shared" si="1"/>
        <v>3.11055555555555</v>
      </c>
      <c r="G24" s="15">
        <f t="shared" si="2"/>
        <v>3.11055555555555</v>
      </c>
      <c r="H24" s="15">
        <f t="shared" si="3"/>
        <v>0</v>
      </c>
      <c r="I24"/>
      <c r="J24"/>
    </row>
    <row r="25" ht="18.75" spans="1:10">
      <c r="A25" s="12">
        <f ca="1" t="shared" si="0"/>
        <v>46225.8392233796</v>
      </c>
      <c r="B25" s="6" t="s">
        <v>84</v>
      </c>
      <c r="C25" s="13">
        <v>0.839212962962963</v>
      </c>
      <c r="D25" s="13" t="s">
        <v>65</v>
      </c>
      <c r="E25" s="13">
        <v>0.88162037037037</v>
      </c>
      <c r="F25" s="14">
        <f t="shared" si="1"/>
        <v>1.01777777777778</v>
      </c>
      <c r="G25" s="15">
        <f t="shared" si="2"/>
        <v>1.01777777777778</v>
      </c>
      <c r="H25" s="15">
        <f t="shared" si="3"/>
        <v>0</v>
      </c>
      <c r="I25"/>
      <c r="J25"/>
    </row>
    <row r="26" ht="18.75" spans="1:10">
      <c r="A26" s="12">
        <f ca="1" t="shared" si="0"/>
        <v>46225.9026017361</v>
      </c>
      <c r="B26" s="6" t="s">
        <v>84</v>
      </c>
      <c r="C26" s="13">
        <v>0.902592592592593</v>
      </c>
      <c r="D26" s="13" t="s">
        <v>65</v>
      </c>
      <c r="E26" s="13">
        <v>0.956782407407407</v>
      </c>
      <c r="F26" s="14">
        <f t="shared" si="1"/>
        <v>1.30055555555555</v>
      </c>
      <c r="G26" s="15">
        <f t="shared" si="2"/>
        <v>1.30055555555555</v>
      </c>
      <c r="H26" s="15">
        <f t="shared" si="3"/>
        <v>0</v>
      </c>
      <c r="I26"/>
      <c r="J26"/>
    </row>
    <row r="27" ht="18.75" spans="1:10">
      <c r="A27" s="12">
        <f ca="1" t="shared" si="0"/>
        <v>46226.3008431713</v>
      </c>
      <c r="B27" s="6" t="s">
        <v>68</v>
      </c>
      <c r="C27" s="13">
        <v>0.300833333333333</v>
      </c>
      <c r="D27" s="13" t="s">
        <v>65</v>
      </c>
      <c r="E27" s="13">
        <v>0.361180555555556</v>
      </c>
      <c r="F27" s="14">
        <f t="shared" si="1"/>
        <v>1.44833333333333</v>
      </c>
      <c r="G27" s="15">
        <f t="shared" si="2"/>
        <v>0.668333333333342</v>
      </c>
      <c r="H27" s="15">
        <f t="shared" si="3"/>
        <v>0.779999999999991</v>
      </c>
      <c r="I27"/>
      <c r="J27"/>
    </row>
    <row r="28" ht="18.75" spans="1:10">
      <c r="A28" s="12">
        <f ca="1" t="shared" si="0"/>
        <v>46229.2236202546</v>
      </c>
      <c r="B28" s="6" t="s">
        <v>85</v>
      </c>
      <c r="C28" s="13">
        <v>0.128472222222222</v>
      </c>
      <c r="D28" s="13" t="s">
        <v>65</v>
      </c>
      <c r="E28" s="13">
        <v>0.22380787037037</v>
      </c>
      <c r="F28" s="14">
        <f t="shared" si="1"/>
        <v>2.28805555555556</v>
      </c>
      <c r="G28" s="15">
        <f t="shared" si="2"/>
        <v>0</v>
      </c>
      <c r="H28" s="15">
        <f t="shared" si="3"/>
        <v>2.28805555555556</v>
      </c>
      <c r="I28"/>
      <c r="J28"/>
    </row>
    <row r="29" ht="18.75" spans="1:10">
      <c r="A29" s="12">
        <f ca="1" t="shared" si="0"/>
        <v>46229.9515019676</v>
      </c>
      <c r="B29" s="6" t="s">
        <v>68</v>
      </c>
      <c r="C29" s="13">
        <v>0.951493055555556</v>
      </c>
      <c r="D29" s="13" t="s">
        <v>65</v>
      </c>
      <c r="E29" s="13">
        <v>0.102847222222222</v>
      </c>
      <c r="F29" s="14">
        <f t="shared" si="1"/>
        <v>3.6325</v>
      </c>
      <c r="G29" s="15">
        <f t="shared" si="2"/>
        <v>1.16416666666667</v>
      </c>
      <c r="H29" s="15">
        <f t="shared" si="3"/>
        <v>2.46833333333333</v>
      </c>
      <c r="I29"/>
      <c r="J29"/>
    </row>
    <row r="30" ht="18.75" spans="1:10">
      <c r="A30" s="12">
        <f ca="1" t="shared" si="0"/>
        <v>46233.1387304398</v>
      </c>
      <c r="B30" s="6" t="s">
        <v>86</v>
      </c>
      <c r="C30" s="13">
        <v>0.138726851851852</v>
      </c>
      <c r="D30" s="13" t="s">
        <v>65</v>
      </c>
      <c r="E30" s="13">
        <v>0.220844907407407</v>
      </c>
      <c r="F30" s="14">
        <f t="shared" si="1"/>
        <v>1.97083333333333</v>
      </c>
      <c r="G30" s="15">
        <f t="shared" si="2"/>
        <v>0</v>
      </c>
      <c r="H30" s="15">
        <f t="shared" si="3"/>
        <v>1.97083333333333</v>
      </c>
      <c r="I30"/>
      <c r="J30"/>
    </row>
    <row r="31" ht="18.75" spans="1:10">
      <c r="A31" s="12">
        <f ca="1" t="shared" si="0"/>
        <v>46234.1386869213</v>
      </c>
      <c r="B31" s="6" t="s">
        <v>84</v>
      </c>
      <c r="C31" s="13">
        <v>0.138680555555556</v>
      </c>
      <c r="D31" s="13" t="s">
        <v>65</v>
      </c>
      <c r="E31" s="13">
        <v>0.3084375</v>
      </c>
      <c r="F31" s="14">
        <f t="shared" si="1"/>
        <v>4.07416666666667</v>
      </c>
      <c r="G31" s="15">
        <f t="shared" si="2"/>
        <v>0</v>
      </c>
      <c r="H31" s="15">
        <f t="shared" si="3"/>
        <v>4.07416666666667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46204.5057106481</v>
      </c>
      <c r="B3" s="6" t="s">
        <v>68</v>
      </c>
      <c r="C3" s="13">
        <v>0.505706018518518</v>
      </c>
      <c r="D3" s="13" t="s">
        <v>65</v>
      </c>
      <c r="E3" s="13">
        <v>0.631423611111111</v>
      </c>
      <c r="F3" s="14">
        <f t="shared" ref="F3:F66" si="1">(IF(E3-C3&lt;0,"24:00"-C3+E3,E3-C3))*24</f>
        <v>3.01722222222222</v>
      </c>
      <c r="G3" s="15">
        <f t="shared" ref="G3:G66" si="2">F3-H3</f>
        <v>3.01722222222222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46204.7493530093</v>
      </c>
      <c r="B4" s="6" t="s">
        <v>84</v>
      </c>
      <c r="C4" s="13">
        <v>0.749351851851852</v>
      </c>
      <c r="D4" s="13" t="s">
        <v>65</v>
      </c>
      <c r="E4" s="13">
        <v>0.883472222222222</v>
      </c>
      <c r="F4" s="14">
        <f t="shared" si="1"/>
        <v>3.21888888888889</v>
      </c>
      <c r="G4" s="15">
        <f t="shared" si="2"/>
        <v>3.21888888888889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37.9502777777778</v>
      </c>
      <c r="K4" s="25">
        <f>SUMIF(B:B,"西塔台管制席",G:G)+SUMIF(B:B,"东塔台管制席",G:G)</f>
        <v>21.5922222222222</v>
      </c>
      <c r="L4" s="25">
        <f>SUMIF(B:B,"西塔台管制席",H:H)+SUMIF(B:B,"东塔台管制席",H:H)</f>
        <v>16.3580555555555</v>
      </c>
      <c r="M4" s="21"/>
    </row>
    <row r="5" ht="18.75" spans="1:13">
      <c r="A5" s="12">
        <f ca="1" t="shared" si="0"/>
        <v>46205.4575844907</v>
      </c>
      <c r="B5" s="6" t="s">
        <v>84</v>
      </c>
      <c r="C5" s="13">
        <v>0.457581018518519</v>
      </c>
      <c r="D5" s="13" t="s">
        <v>65</v>
      </c>
      <c r="E5" s="13">
        <v>0.550497685185185</v>
      </c>
      <c r="F5" s="14">
        <f t="shared" si="1"/>
        <v>2.23</v>
      </c>
      <c r="G5" s="15">
        <f t="shared" si="2"/>
        <v>2.23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26.4752777777778</v>
      </c>
      <c r="K5" s="25">
        <f>SUMIF(B:B,"西塔台协调席",G:G)+SUMIF(B:B,"东塔台协调席",G:G)</f>
        <v>23.4577777777778</v>
      </c>
      <c r="L5" s="25">
        <f>SUMIF(B:B,"西塔台协调席",H:H)+SUMIF(B:B,"东塔台协调席",H:H)</f>
        <v>3.0175</v>
      </c>
      <c r="M5" s="21"/>
    </row>
    <row r="6" ht="18.75" spans="1:13">
      <c r="A6" s="12">
        <f ca="1" t="shared" si="0"/>
        <v>46205.6244956018</v>
      </c>
      <c r="B6" s="6" t="s">
        <v>68</v>
      </c>
      <c r="C6" s="13">
        <v>0.624490740740741</v>
      </c>
      <c r="D6" s="13" t="s">
        <v>65</v>
      </c>
      <c r="E6" s="13">
        <v>0.714386574074074</v>
      </c>
      <c r="F6" s="14">
        <f t="shared" si="1"/>
        <v>2.1575</v>
      </c>
      <c r="G6" s="15">
        <f t="shared" si="2"/>
        <v>2.1575</v>
      </c>
      <c r="H6" s="15">
        <f t="shared" si="3"/>
        <v>0</v>
      </c>
      <c r="I6" s="23" t="s">
        <v>71</v>
      </c>
      <c r="J6" s="24">
        <f>SUMIF(B:B,"放行席",F:F)</f>
        <v>2.00222222222222</v>
      </c>
      <c r="K6" s="25">
        <f>SUMIF(B:B,"放行席",G:G)</f>
        <v>0</v>
      </c>
      <c r="L6" s="25">
        <f>SUMIF(B:B,"放行席",H:H)</f>
        <v>2.00222222222222</v>
      </c>
      <c r="M6" s="21"/>
    </row>
    <row r="7" ht="18.75" spans="1:13">
      <c r="A7" s="12">
        <f ca="1" t="shared" si="0"/>
        <v>46205.7880493056</v>
      </c>
      <c r="B7" s="6" t="s">
        <v>68</v>
      </c>
      <c r="C7" s="13">
        <v>0.788043981481481</v>
      </c>
      <c r="D7" s="13" t="s">
        <v>65</v>
      </c>
      <c r="E7" s="13">
        <v>0.957997685185185</v>
      </c>
      <c r="F7" s="14">
        <f t="shared" si="1"/>
        <v>4.07888888888889</v>
      </c>
      <c r="G7" s="15">
        <f t="shared" si="2"/>
        <v>4.07888888888889</v>
      </c>
      <c r="H7" s="15">
        <f t="shared" si="3"/>
        <v>0</v>
      </c>
      <c r="I7" s="23" t="s">
        <v>72</v>
      </c>
      <c r="J7" s="24">
        <f>SUMIF(B:B,"地面席",F:F)</f>
        <v>2.43555555555556</v>
      </c>
      <c r="K7" s="25">
        <f>SUMIF(B:B,"地面席",G:G)</f>
        <v>0</v>
      </c>
      <c r="L7" s="25">
        <f>SUMIF(B:B,"地面席",H:H)</f>
        <v>2.43555555555556</v>
      </c>
      <c r="M7" s="21"/>
    </row>
    <row r="8" ht="18.75" spans="1:13">
      <c r="A8" s="12">
        <f ca="1" t="shared" si="0"/>
        <v>46206.2984746528</v>
      </c>
      <c r="B8" s="6" t="s">
        <v>84</v>
      </c>
      <c r="C8" s="13">
        <v>0.298472222222222</v>
      </c>
      <c r="D8" s="13" t="s">
        <v>65</v>
      </c>
      <c r="E8" s="13">
        <v>0.365833333333333</v>
      </c>
      <c r="F8" s="14">
        <f t="shared" si="1"/>
        <v>1.61666666666667</v>
      </c>
      <c r="G8" s="15">
        <f t="shared" si="2"/>
        <v>0.780000000000007</v>
      </c>
      <c r="H8" s="15">
        <f t="shared" si="3"/>
        <v>0.836666666666659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46209.9515011574</v>
      </c>
      <c r="B9" s="6" t="s">
        <v>70</v>
      </c>
      <c r="C9" s="13">
        <v>0.951493055555556</v>
      </c>
      <c r="D9" s="13" t="s">
        <v>65</v>
      </c>
      <c r="E9" s="13">
        <v>0.145335648148148</v>
      </c>
      <c r="F9" s="14">
        <f t="shared" si="1"/>
        <v>4.65222222222222</v>
      </c>
      <c r="G9" s="15">
        <f t="shared" si="2"/>
        <v>1.16416666666667</v>
      </c>
      <c r="H9" s="15">
        <f t="shared" si="3"/>
        <v>3.48805555555556</v>
      </c>
      <c r="I9" s="23" t="s">
        <v>74</v>
      </c>
      <c r="J9" s="24">
        <f>SUMIF(B:B,"航班调度席",F:F)</f>
        <v>5.11083333333334</v>
      </c>
      <c r="K9" s="25">
        <f>SUMIF(B:B,"航班调度席",G:G)</f>
        <v>5.11083333333334</v>
      </c>
      <c r="L9" s="25">
        <f>SUMIF(B:B,"航班调度席",H:H)</f>
        <v>0</v>
      </c>
      <c r="M9" s="21"/>
    </row>
    <row r="10" ht="18.75" spans="1:13">
      <c r="A10" s="12">
        <f ca="1" t="shared" si="0"/>
        <v>46213.1387407407</v>
      </c>
      <c r="B10" s="6" t="s">
        <v>70</v>
      </c>
      <c r="C10" s="13">
        <v>0.138738425925926</v>
      </c>
      <c r="D10" s="13" t="s">
        <v>65</v>
      </c>
      <c r="E10" s="13">
        <v>0.308009259259259</v>
      </c>
      <c r="F10" s="14">
        <f t="shared" si="1"/>
        <v>4.0625</v>
      </c>
      <c r="G10" s="15">
        <f t="shared" si="2"/>
        <v>0</v>
      </c>
      <c r="H10" s="15">
        <f t="shared" si="3"/>
        <v>4.0625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46214.1305623843</v>
      </c>
      <c r="B11" s="6" t="s">
        <v>85</v>
      </c>
      <c r="C11" s="13">
        <v>0.130555555555556</v>
      </c>
      <c r="D11" s="13" t="s">
        <v>65</v>
      </c>
      <c r="E11" s="13">
        <v>0.213981481481481</v>
      </c>
      <c r="F11" s="14">
        <f t="shared" si="1"/>
        <v>2.00222222222222</v>
      </c>
      <c r="G11" s="15">
        <f t="shared" si="2"/>
        <v>0</v>
      </c>
      <c r="H11" s="15">
        <f t="shared" si="3"/>
        <v>2.00222222222222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46216.3557152778</v>
      </c>
      <c r="B12" s="6" t="s">
        <v>84</v>
      </c>
      <c r="C12" s="13">
        <v>0.355706018518519</v>
      </c>
      <c r="D12" s="13" t="s">
        <v>65</v>
      </c>
      <c r="E12" s="13">
        <v>0.508819444444444</v>
      </c>
      <c r="F12" s="14">
        <f t="shared" si="1"/>
        <v>3.67472222222222</v>
      </c>
      <c r="G12" s="15">
        <f t="shared" si="2"/>
        <v>3.67472222222222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46216.6256009259</v>
      </c>
      <c r="B13" s="6" t="s">
        <v>68</v>
      </c>
      <c r="C13" s="13">
        <v>0.625590277777778</v>
      </c>
      <c r="D13" s="13" t="s">
        <v>65</v>
      </c>
      <c r="E13" s="13">
        <v>0.757418981481481</v>
      </c>
      <c r="F13" s="14">
        <f t="shared" si="1"/>
        <v>3.16388888888889</v>
      </c>
      <c r="G13" s="15">
        <f t="shared" si="2"/>
        <v>3.16388888888889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46216.8751387731</v>
      </c>
      <c r="B14" s="6" t="s">
        <v>84</v>
      </c>
      <c r="C14" s="13">
        <v>0.875138888888889</v>
      </c>
      <c r="D14" s="13" t="s">
        <v>65</v>
      </c>
      <c r="E14" s="13">
        <v>0.959016203703704</v>
      </c>
      <c r="F14" s="14">
        <f t="shared" si="1"/>
        <v>2.01305555555556</v>
      </c>
      <c r="G14" s="15">
        <f t="shared" si="2"/>
        <v>2.01305555555556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46217.3726700231</v>
      </c>
      <c r="B15" s="6" t="s">
        <v>87</v>
      </c>
      <c r="C15" s="13">
        <v>0.372662037037037</v>
      </c>
      <c r="D15" s="13" t="s">
        <v>65</v>
      </c>
      <c r="E15" s="13">
        <v>0.494733796296296</v>
      </c>
      <c r="F15" s="14">
        <f t="shared" si="1"/>
        <v>2.92972222222222</v>
      </c>
      <c r="G15" s="15">
        <f t="shared" si="2"/>
        <v>2.92972222222222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46217.5608674769</v>
      </c>
      <c r="B16" s="6" t="s">
        <v>87</v>
      </c>
      <c r="C16" s="13">
        <v>0.560856481481481</v>
      </c>
      <c r="D16" s="13" t="s">
        <v>65</v>
      </c>
      <c r="E16" s="13">
        <v>0.651736111111111</v>
      </c>
      <c r="F16" s="14">
        <f t="shared" si="1"/>
        <v>2.18111111111111</v>
      </c>
      <c r="G16" s="15">
        <f t="shared" si="2"/>
        <v>2.18111111111111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46220.9512009259</v>
      </c>
      <c r="B17" s="6" t="s">
        <v>68</v>
      </c>
      <c r="C17" s="13">
        <v>0.95119212962963</v>
      </c>
      <c r="D17" s="13" t="s">
        <v>65</v>
      </c>
      <c r="E17" s="13">
        <v>0.125729166666667</v>
      </c>
      <c r="F17" s="14">
        <f t="shared" si="1"/>
        <v>4.18888888888889</v>
      </c>
      <c r="G17" s="15">
        <f t="shared" si="2"/>
        <v>1.17138888888889</v>
      </c>
      <c r="H17" s="15">
        <f t="shared" si="3"/>
        <v>3.0175</v>
      </c>
      <c r="I17" s="39" t="s">
        <v>80</v>
      </c>
      <c r="J17" s="40">
        <f>J4+J5+J6+J7+J10</f>
        <v>68.8633333333333</v>
      </c>
      <c r="K17" s="41">
        <f>K4+K5+K6+K7+K10</f>
        <v>45.05</v>
      </c>
      <c r="L17" s="42">
        <f>L4+L5+L6+L7+L10</f>
        <v>23.8133333333333</v>
      </c>
      <c r="M17" s="43"/>
    </row>
    <row r="18" ht="20.25" spans="1:13">
      <c r="A18" s="12">
        <f ca="1" t="shared" si="0"/>
        <v>46222.0132927083</v>
      </c>
      <c r="B18" s="6" t="s">
        <v>70</v>
      </c>
      <c r="C18" s="13">
        <v>0.013287037037037</v>
      </c>
      <c r="D18" s="13" t="s">
        <v>65</v>
      </c>
      <c r="E18" s="13">
        <v>0.144270833333333</v>
      </c>
      <c r="F18" s="14">
        <f t="shared" si="1"/>
        <v>3.14361111111111</v>
      </c>
      <c r="G18" s="15">
        <f t="shared" si="2"/>
        <v>0</v>
      </c>
      <c r="H18" s="15">
        <f t="shared" si="3"/>
        <v>3.14361111111111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46225.13763125</v>
      </c>
      <c r="B19" s="6" t="s">
        <v>86</v>
      </c>
      <c r="C19" s="13">
        <v>0.137627314814815</v>
      </c>
      <c r="D19" s="13" t="s">
        <v>65</v>
      </c>
      <c r="E19" s="13">
        <v>0.239108796296296</v>
      </c>
      <c r="F19" s="14">
        <f t="shared" si="1"/>
        <v>2.43555555555556</v>
      </c>
      <c r="G19" s="15">
        <f t="shared" si="2"/>
        <v>0</v>
      </c>
      <c r="H19" s="15">
        <f t="shared" si="3"/>
        <v>2.43555555555556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46225.7511938657</v>
      </c>
      <c r="B20" s="6" t="s">
        <v>68</v>
      </c>
      <c r="C20" s="13">
        <v>0.75119212962963</v>
      </c>
      <c r="D20" s="13" t="s">
        <v>65</v>
      </c>
      <c r="E20" s="13">
        <v>0.839756944444444</v>
      </c>
      <c r="F20" s="14">
        <f t="shared" si="1"/>
        <v>2.12555555555555</v>
      </c>
      <c r="G20" s="15">
        <f t="shared" si="2"/>
        <v>2.12555555555555</v>
      </c>
      <c r="H20" s="15">
        <f t="shared" si="3"/>
        <v>0</v>
      </c>
      <c r="I20" s="44" t="s">
        <v>82</v>
      </c>
      <c r="J20" s="45">
        <f>J16+J17+J18+J19</f>
        <v>68.8633333333333</v>
      </c>
      <c r="K20" s="46"/>
      <c r="L20" s="47"/>
      <c r="M20" s="48"/>
    </row>
    <row r="21" ht="20.25" spans="1:13">
      <c r="A21" s="12">
        <f ca="1" t="shared" si="0"/>
        <v>46226.1391209491</v>
      </c>
      <c r="B21" s="6" t="s">
        <v>84</v>
      </c>
      <c r="C21" s="13">
        <v>0.13912037037037</v>
      </c>
      <c r="D21" s="13" t="s">
        <v>65</v>
      </c>
      <c r="E21" s="13">
        <v>0.305393518518519</v>
      </c>
      <c r="F21" s="14">
        <f t="shared" si="1"/>
        <v>3.99055555555556</v>
      </c>
      <c r="G21" s="15">
        <f t="shared" si="2"/>
        <v>0</v>
      </c>
      <c r="H21" s="15">
        <f t="shared" si="3"/>
        <v>3.99055555555556</v>
      </c>
      <c r="I21" s="49" t="s">
        <v>5</v>
      </c>
      <c r="J21" s="50">
        <f>SUM(J8:J9)</f>
        <v>5.11083333333334</v>
      </c>
      <c r="K21" s="41">
        <f>SUM(K8:K9)</f>
        <v>5.11083333333334</v>
      </c>
      <c r="L21" s="42">
        <f>SUM(L8:L9)</f>
        <v>0</v>
      </c>
      <c r="M21" s="51"/>
    </row>
    <row r="22" ht="18.75" spans="1:10">
      <c r="A22" s="12">
        <f ca="1" t="shared" si="0"/>
        <v>46228.3544840278</v>
      </c>
      <c r="B22" s="6" t="s">
        <v>83</v>
      </c>
      <c r="C22" s="13">
        <v>0.354479166666667</v>
      </c>
      <c r="D22" s="13" t="s">
        <v>65</v>
      </c>
      <c r="E22" s="13">
        <v>0.508576388888889</v>
      </c>
      <c r="F22" s="14">
        <f t="shared" si="1"/>
        <v>3.69833333333333</v>
      </c>
      <c r="G22" s="15">
        <f t="shared" si="2"/>
        <v>3.69833333333333</v>
      </c>
      <c r="H22" s="15">
        <f t="shared" si="3"/>
        <v>0</v>
      </c>
      <c r="I22"/>
      <c r="J22"/>
    </row>
    <row r="23" ht="18.75" spans="1:10">
      <c r="A23" s="12">
        <f ca="1" t="shared" si="0"/>
        <v>46228.6249767361</v>
      </c>
      <c r="B23" s="6" t="s">
        <v>70</v>
      </c>
      <c r="C23" s="13">
        <v>0.624976851851852</v>
      </c>
      <c r="D23" s="13" t="s">
        <v>65</v>
      </c>
      <c r="E23" s="13">
        <v>0.757268518518519</v>
      </c>
      <c r="F23" s="14">
        <f t="shared" si="1"/>
        <v>3.175</v>
      </c>
      <c r="G23" s="15">
        <f t="shared" si="2"/>
        <v>3.175</v>
      </c>
      <c r="H23" s="15">
        <f t="shared" si="3"/>
        <v>0</v>
      </c>
      <c r="I23"/>
      <c r="J23"/>
    </row>
    <row r="24" ht="18.75" spans="1:10">
      <c r="A24" s="12">
        <f ca="1" t="shared" si="0"/>
        <v>46228.8763298611</v>
      </c>
      <c r="B24" s="6" t="s">
        <v>83</v>
      </c>
      <c r="C24" s="13">
        <v>0.876319444444444</v>
      </c>
      <c r="D24" s="13" t="s">
        <v>65</v>
      </c>
      <c r="E24" s="13">
        <v>0.956238425925926</v>
      </c>
      <c r="F24" s="14">
        <f t="shared" si="1"/>
        <v>1.91805555555556</v>
      </c>
      <c r="G24" s="15">
        <f t="shared" si="2"/>
        <v>1.91805555555556</v>
      </c>
      <c r="H24" s="15">
        <f t="shared" si="3"/>
        <v>0</v>
      </c>
      <c r="I24"/>
      <c r="J24"/>
    </row>
    <row r="25" ht="18.75" spans="1:10">
      <c r="A25" s="12">
        <f ca="1" t="shared" si="0"/>
        <v>46229.2984777778</v>
      </c>
      <c r="B25" s="6" t="s">
        <v>84</v>
      </c>
      <c r="C25" s="13">
        <v>0.298472222222222</v>
      </c>
      <c r="D25" s="13" t="s">
        <v>65</v>
      </c>
      <c r="E25" s="13">
        <v>0.465787037037037</v>
      </c>
      <c r="F25" s="14">
        <f t="shared" si="1"/>
        <v>4.01555555555556</v>
      </c>
      <c r="G25" s="15">
        <f t="shared" si="2"/>
        <v>3.1788888888889</v>
      </c>
      <c r="H25" s="15">
        <f t="shared" si="3"/>
        <v>0.836666666666659</v>
      </c>
      <c r="I25"/>
      <c r="J25"/>
    </row>
    <row r="26" ht="18.75" spans="1:10">
      <c r="A26" s="12">
        <f ca="1" t="shared" si="0"/>
        <v>46229.5418145833</v>
      </c>
      <c r="B26" s="6" t="s">
        <v>68</v>
      </c>
      <c r="C26" s="13">
        <v>0.541805555555556</v>
      </c>
      <c r="D26" s="13" t="s">
        <v>65</v>
      </c>
      <c r="E26" s="13">
        <v>0.630428240740741</v>
      </c>
      <c r="F26" s="14">
        <f t="shared" si="1"/>
        <v>2.12694444444445</v>
      </c>
      <c r="G26" s="15">
        <f t="shared" si="2"/>
        <v>2.12694444444445</v>
      </c>
      <c r="H26" s="15">
        <f t="shared" si="3"/>
        <v>0</v>
      </c>
      <c r="I26"/>
      <c r="J26"/>
    </row>
    <row r="27" ht="18.75" spans="1:10">
      <c r="A27" s="12">
        <f ca="1" t="shared" si="0"/>
        <v>46229.750552662</v>
      </c>
      <c r="B27" s="6" t="s">
        <v>84</v>
      </c>
      <c r="C27" s="13">
        <v>0.750543981481481</v>
      </c>
      <c r="D27" s="13" t="s">
        <v>65</v>
      </c>
      <c r="E27" s="13">
        <v>0.840439814814815</v>
      </c>
      <c r="F27" s="14">
        <f t="shared" si="1"/>
        <v>2.1575</v>
      </c>
      <c r="G27" s="15">
        <f t="shared" si="2"/>
        <v>2.1575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P339"/>
  <sheetViews>
    <sheetView zoomScale="85" zoomScaleNormal="85" topLeftCell="A7" workbookViewId="0">
      <selection activeCell="D27" sqref="D27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46204.1377972222</v>
      </c>
      <c r="B3" s="6" t="s">
        <v>84</v>
      </c>
      <c r="C3" s="13">
        <v>0.137789351851852</v>
      </c>
      <c r="D3" s="13" t="s">
        <v>65</v>
      </c>
      <c r="E3" s="13">
        <v>0.305509259259259</v>
      </c>
      <c r="F3" s="14">
        <f t="shared" ref="F3:F66" si="1">(IF(E3-C3&lt;0,"24:00"-C3+E3,E3-C3))*24</f>
        <v>4.02527777777778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4.02527777777778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46207.1385357639</v>
      </c>
      <c r="B4" s="6" t="s">
        <v>70</v>
      </c>
      <c r="C4" s="13">
        <v>0.138530092592593</v>
      </c>
      <c r="D4" s="13" t="s">
        <v>65</v>
      </c>
      <c r="E4" s="13">
        <v>0.281597222222222</v>
      </c>
      <c r="F4" s="14">
        <f t="shared" si="1"/>
        <v>3.43361111111111</v>
      </c>
      <c r="G4" s="15">
        <f t="shared" si="2"/>
        <v>0</v>
      </c>
      <c r="H4" s="15">
        <f t="shared" si="3"/>
        <v>3.43361111111111</v>
      </c>
      <c r="I4" s="23" t="s">
        <v>67</v>
      </c>
      <c r="J4" s="24">
        <f>SUMIF(B:B,"西塔台管制席",F:F)+SUMIF(B:B,"东塔台管制席",F:F)</f>
        <v>33.2597222222222</v>
      </c>
      <c r="K4" s="25">
        <f>SUMIF(B:B,"西塔台管制席",G:G)+SUMIF(B:B,"东塔台管制席",G:G)</f>
        <v>17.6369444444445</v>
      </c>
      <c r="L4" s="25">
        <f>SUMIF(B:B,"西塔台管制席",H:H)+SUMIF(B:B,"东塔台管制席",H:H)</f>
        <v>15.6227777777778</v>
      </c>
      <c r="M4" s="21"/>
    </row>
    <row r="5" ht="18.75" spans="1:13">
      <c r="A5" s="12">
        <f ca="1" t="shared" si="0"/>
        <v>46207.2816653935</v>
      </c>
      <c r="B5" s="6" t="s">
        <v>68</v>
      </c>
      <c r="C5" s="13">
        <v>0.281655092592593</v>
      </c>
      <c r="D5" s="13" t="s">
        <v>65</v>
      </c>
      <c r="E5" s="13">
        <v>0.305613425925926</v>
      </c>
      <c r="F5" s="14">
        <f t="shared" si="1"/>
        <v>0.575000000000001</v>
      </c>
      <c r="G5" s="15">
        <f t="shared" si="2"/>
        <v>0</v>
      </c>
      <c r="H5" s="15">
        <f t="shared" si="3"/>
        <v>0.575000000000001</v>
      </c>
      <c r="I5" s="23" t="s">
        <v>69</v>
      </c>
      <c r="J5" s="24">
        <f>SUMIF(B:B,"西塔台协调席",F:F)+SUMIF(B:B,"东塔台协调席",F:F)</f>
        <v>19.5502777777778</v>
      </c>
      <c r="K5" s="25">
        <f>SUMIF(B:B,"西塔台协调席",G:G)+SUMIF(B:B,"东塔台协调席",G:G)</f>
        <v>15.8833333333333</v>
      </c>
      <c r="L5" s="25">
        <f>SUMIF(B:B,"西塔台协调席",H:H)+SUMIF(B:B,"东塔台协调席",H:H)</f>
        <v>3.66694444444444</v>
      </c>
      <c r="M5" s="21"/>
    </row>
    <row r="6" ht="18.75" spans="1:13">
      <c r="A6" s="12">
        <f ca="1" t="shared" si="0"/>
        <v>46210.3554989583</v>
      </c>
      <c r="B6" s="6" t="s">
        <v>83</v>
      </c>
      <c r="C6" s="13">
        <v>0.355497685185185</v>
      </c>
      <c r="D6" s="13" t="s">
        <v>65</v>
      </c>
      <c r="E6" s="13">
        <v>0.526284722222222</v>
      </c>
      <c r="F6" s="14">
        <f t="shared" si="1"/>
        <v>4.09888888888889</v>
      </c>
      <c r="G6" s="15">
        <f t="shared" si="2"/>
        <v>4.09888888888889</v>
      </c>
      <c r="H6" s="15">
        <f t="shared" si="3"/>
        <v>0</v>
      </c>
      <c r="I6" s="23" t="s">
        <v>71</v>
      </c>
      <c r="J6" s="24">
        <f>SUMIF(B:B,"放行席",F:F)</f>
        <v>2.41694444444444</v>
      </c>
      <c r="K6" s="25">
        <f>SUMIF(B:B,"放行席",G:G)</f>
        <v>0</v>
      </c>
      <c r="L6" s="25">
        <f>SUMIF(B:B,"放行席",H:H)</f>
        <v>2.41694444444444</v>
      </c>
      <c r="M6" s="21"/>
    </row>
    <row r="7" ht="18.75" spans="1:13">
      <c r="A7" s="12">
        <f ca="1" t="shared" si="0"/>
        <v>46210.688781713</v>
      </c>
      <c r="B7" s="6" t="s">
        <v>83</v>
      </c>
      <c r="C7" s="13">
        <v>0.688773148148148</v>
      </c>
      <c r="D7" s="13" t="s">
        <v>65</v>
      </c>
      <c r="E7" s="13">
        <v>0.775671296296296</v>
      </c>
      <c r="F7" s="14">
        <f t="shared" si="1"/>
        <v>2.08555555555555</v>
      </c>
      <c r="G7" s="15">
        <f t="shared" si="2"/>
        <v>2.08555555555555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46210.8563275463</v>
      </c>
      <c r="B8" s="6" t="s">
        <v>83</v>
      </c>
      <c r="C8" s="13">
        <v>0.856319444444444</v>
      </c>
      <c r="D8" s="13" t="s">
        <v>65</v>
      </c>
      <c r="E8" s="13">
        <v>0.961203703703704</v>
      </c>
      <c r="F8" s="14">
        <f t="shared" si="1"/>
        <v>2.51722222222222</v>
      </c>
      <c r="G8" s="15">
        <f t="shared" si="2"/>
        <v>2.51722222222222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46211.2966957176</v>
      </c>
      <c r="B9" s="6" t="s">
        <v>84</v>
      </c>
      <c r="C9" s="13">
        <v>0.296689814814815</v>
      </c>
      <c r="D9" s="13" t="s">
        <v>65</v>
      </c>
      <c r="E9" s="13">
        <v>0.331631944444444</v>
      </c>
      <c r="F9" s="14">
        <f t="shared" si="1"/>
        <v>0.838611111111111</v>
      </c>
      <c r="G9" s="15">
        <f t="shared" si="2"/>
        <v>0</v>
      </c>
      <c r="H9" s="15">
        <f t="shared" si="3"/>
        <v>0.838611111111111</v>
      </c>
      <c r="I9" s="23" t="s">
        <v>74</v>
      </c>
      <c r="J9" s="24">
        <f>SUMIF(B:B,"航班调度席",F:F)</f>
        <v>4.66972222222222</v>
      </c>
      <c r="K9" s="25">
        <f>SUMIF(B:B,"航班调度席",G:G)</f>
        <v>4.66972222222222</v>
      </c>
      <c r="L9" s="25">
        <f>SUMIF(B:B,"航班调度席",H:H)</f>
        <v>0</v>
      </c>
      <c r="M9" s="21"/>
    </row>
    <row r="10" ht="18.75" spans="1:13">
      <c r="A10" s="12">
        <f ca="1" t="shared" si="0"/>
        <v>46211.331677662</v>
      </c>
      <c r="B10" s="6" t="s">
        <v>70</v>
      </c>
      <c r="C10" s="13">
        <v>0.331666666666667</v>
      </c>
      <c r="D10" s="13" t="s">
        <v>65</v>
      </c>
      <c r="E10" s="13">
        <v>0.423240740740741</v>
      </c>
      <c r="F10" s="14">
        <f t="shared" si="1"/>
        <v>2.19777777777778</v>
      </c>
      <c r="G10" s="15">
        <f t="shared" si="2"/>
        <v>2.15777777777779</v>
      </c>
      <c r="H10" s="15">
        <f t="shared" si="3"/>
        <v>0.0399999999999916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46211.5219166667</v>
      </c>
      <c r="B11" s="6" t="s">
        <v>70</v>
      </c>
      <c r="C11" s="13">
        <v>0.521990740740741</v>
      </c>
      <c r="D11" s="13" t="s">
        <v>65</v>
      </c>
      <c r="E11" s="13">
        <v>0.631956018518519</v>
      </c>
      <c r="F11" s="14">
        <f t="shared" si="1"/>
        <v>2.63916666666667</v>
      </c>
      <c r="G11" s="15">
        <f t="shared" si="2"/>
        <v>2.63916666666667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46211.7710971065</v>
      </c>
      <c r="B12" s="6" t="s">
        <v>70</v>
      </c>
      <c r="C12" s="13">
        <v>0.771087962962963</v>
      </c>
      <c r="D12" s="13" t="s">
        <v>65</v>
      </c>
      <c r="E12" s="13">
        <v>0.8609375</v>
      </c>
      <c r="F12" s="14">
        <f t="shared" si="1"/>
        <v>2.15638888888889</v>
      </c>
      <c r="G12" s="15">
        <f t="shared" si="2"/>
        <v>2.15638888888889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46214.9526861111</v>
      </c>
      <c r="B13" s="6" t="s">
        <v>84</v>
      </c>
      <c r="C13" s="13">
        <v>0.952685185185185</v>
      </c>
      <c r="D13" s="13" t="s">
        <v>65</v>
      </c>
      <c r="E13" s="13">
        <v>0.101041666666667</v>
      </c>
      <c r="F13" s="14">
        <f t="shared" si="1"/>
        <v>3.56055555555555</v>
      </c>
      <c r="G13" s="15">
        <f t="shared" si="2"/>
        <v>1.13555555555555</v>
      </c>
      <c r="H13" s="15">
        <f t="shared" si="3"/>
        <v>2.425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46216.1376876157</v>
      </c>
      <c r="B14" s="6" t="s">
        <v>84</v>
      </c>
      <c r="C14" s="13">
        <v>0.137685185185185</v>
      </c>
      <c r="D14" s="13" t="s">
        <v>65</v>
      </c>
      <c r="E14" s="13">
        <v>0.306273148148148</v>
      </c>
      <c r="F14" s="14">
        <f t="shared" si="1"/>
        <v>4.04611111111111</v>
      </c>
      <c r="G14" s="15">
        <f t="shared" si="2"/>
        <v>0</v>
      </c>
      <c r="H14" s="15">
        <f t="shared" si="3"/>
        <v>4.04611111111111</v>
      </c>
      <c r="I14" s="33"/>
      <c r="J14" s="33"/>
      <c r="K14" s="33"/>
      <c r="L14" s="33"/>
      <c r="M14" s="33"/>
    </row>
    <row r="15" ht="101.25" spans="1:13">
      <c r="A15" s="12">
        <f ca="1" t="shared" si="0"/>
        <v>46218.522147338</v>
      </c>
      <c r="B15" s="6" t="s">
        <v>83</v>
      </c>
      <c r="C15" s="13">
        <v>0.522141203703704</v>
      </c>
      <c r="D15" s="13" t="s">
        <v>65</v>
      </c>
      <c r="E15" s="13">
        <v>0.695763888888889</v>
      </c>
      <c r="F15" s="14">
        <f t="shared" si="1"/>
        <v>4.16694444444444</v>
      </c>
      <c r="G15" s="15">
        <f t="shared" si="2"/>
        <v>4.16694444444444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46218.7698815972</v>
      </c>
      <c r="B16" s="6" t="s">
        <v>83</v>
      </c>
      <c r="C16" s="13">
        <v>0.769872685185185</v>
      </c>
      <c r="D16" s="13" t="s">
        <v>65</v>
      </c>
      <c r="E16" s="13">
        <v>0.86255787037037</v>
      </c>
      <c r="F16" s="14">
        <f t="shared" si="1"/>
        <v>2.22444444444444</v>
      </c>
      <c r="G16" s="15">
        <f t="shared" si="2"/>
        <v>2.22444444444444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46219.4182516204</v>
      </c>
      <c r="B17" s="6" t="s">
        <v>70</v>
      </c>
      <c r="C17" s="13">
        <v>0.418252314814815</v>
      </c>
      <c r="D17" s="13" t="s">
        <v>65</v>
      </c>
      <c r="E17" s="13">
        <v>0.456585648148148</v>
      </c>
      <c r="F17" s="14">
        <f t="shared" si="1"/>
        <v>0.92</v>
      </c>
      <c r="G17" s="15">
        <f t="shared" si="2"/>
        <v>0.92</v>
      </c>
      <c r="H17" s="15">
        <f t="shared" si="3"/>
        <v>0</v>
      </c>
      <c r="I17" s="39" t="s">
        <v>80</v>
      </c>
      <c r="J17" s="40">
        <f>J4+J5+J6+J7+J10</f>
        <v>55.2269444444444</v>
      </c>
      <c r="K17" s="41">
        <f>K4+K5+K6+K7+K10</f>
        <v>33.5202777777778</v>
      </c>
      <c r="L17" s="42">
        <f>L4+L5+L6+L7+L10</f>
        <v>21.7066666666666</v>
      </c>
      <c r="M17" s="43"/>
    </row>
    <row r="18" ht="20.25" spans="1:13">
      <c r="A18" s="12">
        <f ca="1" t="shared" si="0"/>
        <v>46219.4693444444</v>
      </c>
      <c r="B18" s="6" t="s">
        <v>70</v>
      </c>
      <c r="C18" s="13">
        <v>0.469340277777778</v>
      </c>
      <c r="D18" s="13" t="s">
        <v>65</v>
      </c>
      <c r="E18" s="13">
        <v>0.528425925925926</v>
      </c>
      <c r="F18" s="14">
        <f t="shared" si="1"/>
        <v>1.41805555555556</v>
      </c>
      <c r="G18" s="15">
        <f t="shared" si="2"/>
        <v>1.41805555555556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46219.6469832176</v>
      </c>
      <c r="B19" s="6" t="s">
        <v>70</v>
      </c>
      <c r="C19" s="13">
        <v>0.646979166666667</v>
      </c>
      <c r="D19" s="13" t="s">
        <v>65</v>
      </c>
      <c r="E19" s="13">
        <v>0.776041666666667</v>
      </c>
      <c r="F19" s="14">
        <f t="shared" si="1"/>
        <v>3.0975</v>
      </c>
      <c r="G19" s="15">
        <f t="shared" si="2"/>
        <v>3.0975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46219.8339355324</v>
      </c>
      <c r="B20" s="6" t="s">
        <v>70</v>
      </c>
      <c r="C20" s="13">
        <v>0.833935185185185</v>
      </c>
      <c r="D20" s="13" t="s">
        <v>65</v>
      </c>
      <c r="E20" s="13">
        <v>0.956458333333333</v>
      </c>
      <c r="F20" s="14">
        <f t="shared" si="1"/>
        <v>2.94055555555555</v>
      </c>
      <c r="G20" s="15">
        <f t="shared" si="2"/>
        <v>2.94055555555555</v>
      </c>
      <c r="H20" s="15">
        <f t="shared" si="3"/>
        <v>0</v>
      </c>
      <c r="I20" s="44" t="s">
        <v>82</v>
      </c>
      <c r="J20" s="45">
        <f>J16+J17+J18+J19</f>
        <v>55.2269444444444</v>
      </c>
      <c r="K20" s="46"/>
      <c r="L20" s="47"/>
      <c r="M20" s="48"/>
    </row>
    <row r="21" ht="20.25" spans="1:13">
      <c r="A21" s="12">
        <f ca="1" t="shared" si="0"/>
        <v>46220.300393287</v>
      </c>
      <c r="B21" s="6" t="s">
        <v>68</v>
      </c>
      <c r="C21" s="13">
        <v>0.300393518518519</v>
      </c>
      <c r="D21" s="13" t="s">
        <v>65</v>
      </c>
      <c r="E21" s="13">
        <v>0.366261574074074</v>
      </c>
      <c r="F21" s="14">
        <f t="shared" si="1"/>
        <v>1.58083333333333</v>
      </c>
      <c r="G21" s="15">
        <f t="shared" si="2"/>
        <v>0.790277777777786</v>
      </c>
      <c r="H21" s="15">
        <f t="shared" si="3"/>
        <v>0.790555555555547</v>
      </c>
      <c r="I21" s="49" t="s">
        <v>5</v>
      </c>
      <c r="J21" s="50">
        <f>SUM(J8:J9)</f>
        <v>4.66972222222222</v>
      </c>
      <c r="K21" s="41">
        <f>SUM(K8:K9)</f>
        <v>4.66972222222222</v>
      </c>
      <c r="L21" s="42">
        <f>SUM(L8:L9)</f>
        <v>0</v>
      </c>
      <c r="M21" s="51"/>
    </row>
    <row r="22" ht="18.75" spans="1:10">
      <c r="A22" s="12">
        <f ca="1" t="shared" si="0"/>
        <v>46231.2328175926</v>
      </c>
      <c r="B22" s="6" t="s">
        <v>85</v>
      </c>
      <c r="C22" s="13">
        <v>0.13212962962963</v>
      </c>
      <c r="D22" s="13" t="s">
        <v>65</v>
      </c>
      <c r="E22" s="13">
        <v>0.232835648148148</v>
      </c>
      <c r="F22" s="14">
        <f t="shared" si="1"/>
        <v>2.41694444444444</v>
      </c>
      <c r="G22" s="15">
        <f t="shared" si="2"/>
        <v>0</v>
      </c>
      <c r="H22" s="15">
        <f t="shared" si="3"/>
        <v>2.41694444444444</v>
      </c>
      <c r="I22"/>
      <c r="J22"/>
    </row>
    <row r="23" ht="18.75" spans="1:10">
      <c r="A23" s="12">
        <f ca="1" t="shared" si="0"/>
        <v>46232.0151994213</v>
      </c>
      <c r="B23" s="6" t="s">
        <v>68</v>
      </c>
      <c r="C23" s="13">
        <v>0.0151967592592593</v>
      </c>
      <c r="D23" s="13" t="s">
        <v>65</v>
      </c>
      <c r="E23" s="13">
        <v>0.111087962962963</v>
      </c>
      <c r="F23" s="14">
        <f t="shared" si="1"/>
        <v>2.30138888888889</v>
      </c>
      <c r="G23" s="15">
        <f t="shared" si="2"/>
        <v>0</v>
      </c>
      <c r="H23" s="15">
        <f t="shared" si="3"/>
        <v>2.30138888888889</v>
      </c>
      <c r="I23"/>
      <c r="J23"/>
    </row>
    <row r="24" ht="18.75" spans="1:10">
      <c r="A24" s="12">
        <f ca="1" t="shared" si="0"/>
        <v>46232.1111368056</v>
      </c>
      <c r="B24" s="6" t="s">
        <v>70</v>
      </c>
      <c r="C24" s="13">
        <v>0.111134259259259</v>
      </c>
      <c r="D24" s="13" t="s">
        <v>65</v>
      </c>
      <c r="E24" s="13">
        <v>0.14505787037037</v>
      </c>
      <c r="F24" s="14">
        <f t="shared" si="1"/>
        <v>0.814166666666666</v>
      </c>
      <c r="G24" s="15">
        <f t="shared" si="2"/>
        <v>0</v>
      </c>
      <c r="H24" s="15">
        <f t="shared" si="3"/>
        <v>0.814166666666666</v>
      </c>
      <c r="I24"/>
      <c r="J24"/>
    </row>
    <row r="25" ht="18.75" spans="1:10">
      <c r="A25" s="12">
        <f ca="1" t="shared" si="0"/>
        <v>46234.3766814815</v>
      </c>
      <c r="B25" s="6" t="s">
        <v>87</v>
      </c>
      <c r="C25" s="13">
        <v>0.376678240740741</v>
      </c>
      <c r="D25" s="13" t="s">
        <v>65</v>
      </c>
      <c r="E25" s="13">
        <v>0.461145833333333</v>
      </c>
      <c r="F25" s="14">
        <f t="shared" si="1"/>
        <v>2.02722222222222</v>
      </c>
      <c r="G25" s="15">
        <f t="shared" si="2"/>
        <v>2.02722222222222</v>
      </c>
      <c r="H25" s="15">
        <f t="shared" si="3"/>
        <v>0</v>
      </c>
      <c r="I25"/>
      <c r="J25"/>
    </row>
    <row r="26" ht="18.75" spans="1:10">
      <c r="A26" s="12">
        <f ca="1" t="shared" si="0"/>
        <v>46234.5662488426</v>
      </c>
      <c r="B26" s="6" t="s">
        <v>87</v>
      </c>
      <c r="C26" s="13">
        <v>0.532210648148148</v>
      </c>
      <c r="D26" s="13" t="s">
        <v>65</v>
      </c>
      <c r="E26" s="13">
        <v>0.642314814814815</v>
      </c>
      <c r="F26" s="14">
        <f t="shared" si="1"/>
        <v>2.6425</v>
      </c>
      <c r="G26" s="15">
        <f t="shared" si="2"/>
        <v>2.6425</v>
      </c>
      <c r="H26" s="15">
        <f t="shared" si="3"/>
        <v>0</v>
      </c>
      <c r="I26"/>
      <c r="J26"/>
    </row>
    <row r="27" ht="18.75" spans="1:10">
      <c r="A27" s="12">
        <f ca="1" t="shared" si="0"/>
        <v>46234.6885991898</v>
      </c>
      <c r="B27" s="6" t="s">
        <v>84</v>
      </c>
      <c r="C27" s="13">
        <v>0.688599537037037</v>
      </c>
      <c r="D27" s="13" t="s">
        <v>65</v>
      </c>
      <c r="E27" s="13">
        <v>0.737430555555556</v>
      </c>
      <c r="F27" s="14">
        <f t="shared" si="1"/>
        <v>1.17194444444445</v>
      </c>
      <c r="G27" s="15">
        <f t="shared" si="2"/>
        <v>1.17194444444445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46204.0069251157</v>
      </c>
      <c r="B3" s="6" t="s">
        <v>84</v>
      </c>
      <c r="C3" s="13">
        <v>1.15740740740741e-5</v>
      </c>
      <c r="D3" s="13" t="s">
        <v>65</v>
      </c>
      <c r="E3" s="13">
        <v>0.111018518518519</v>
      </c>
      <c r="F3" s="14">
        <f t="shared" ref="F3:F66" si="1">(IF(E3-C3&lt;0,"24:00"-C3+E3,E3-C3))*24</f>
        <v>2.66416666666667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2.66416666666667</v>
      </c>
      <c r="I3" s="18" t="s">
        <v>66</v>
      </c>
      <c r="J3" s="19">
        <f>SUMIF(B:B,"带班主任",F:F)</f>
        <v>87.5838888888889</v>
      </c>
      <c r="K3" s="20">
        <f>SUMIF(B:B,"带班主任",G:G)</f>
        <v>55.8197222222222</v>
      </c>
      <c r="L3" s="20">
        <f>SUMIF(B:B,"带班主任",H:H)</f>
        <v>31.7641666666667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46206.9366208333</v>
      </c>
      <c r="B4" s="6" t="s">
        <v>64</v>
      </c>
      <c r="C4" s="13">
        <v>0.93662037037037</v>
      </c>
      <c r="D4" s="13" t="s">
        <v>65</v>
      </c>
      <c r="E4" s="13">
        <v>0.140023148148148</v>
      </c>
      <c r="F4" s="14">
        <f t="shared" si="1"/>
        <v>4.88166666666667</v>
      </c>
      <c r="G4" s="15">
        <f t="shared" si="2"/>
        <v>1.52111111111111</v>
      </c>
      <c r="H4" s="15">
        <f t="shared" si="3"/>
        <v>3.36055555555556</v>
      </c>
      <c r="I4" s="23" t="s">
        <v>67</v>
      </c>
      <c r="J4" s="24">
        <f>SUMIF(B:B,"西塔台管制席",F:F)+SUMIF(B:B,"东塔台管制席",F:F)</f>
        <v>12.4777777777778</v>
      </c>
      <c r="K4" s="25">
        <f>SUMIF(B:B,"西塔台管制席",G:G)+SUMIF(B:B,"东塔台管制席",G:G)</f>
        <v>5.75416666666667</v>
      </c>
      <c r="L4" s="25">
        <f>SUMIF(B:B,"西塔台管制席",H:H)+SUMIF(B:B,"东塔台管制席",H:H)</f>
        <v>6.72361111111111</v>
      </c>
      <c r="M4" s="21"/>
    </row>
    <row r="5" ht="18.75" spans="1:13">
      <c r="A5" s="12">
        <f ca="1" t="shared" si="0"/>
        <v>46207.5414099537</v>
      </c>
      <c r="B5" s="6" t="s">
        <v>64</v>
      </c>
      <c r="C5" s="13">
        <v>0.541400462962963</v>
      </c>
      <c r="D5" s="13" t="s">
        <v>65</v>
      </c>
      <c r="E5" s="13">
        <v>0.796018518518518</v>
      </c>
      <c r="F5" s="14">
        <f t="shared" si="1"/>
        <v>6.11083333333333</v>
      </c>
      <c r="G5" s="15">
        <f t="shared" si="2"/>
        <v>6.11083333333333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2.6325</v>
      </c>
      <c r="K5" s="25">
        <f>SUMIF(B:B,"西塔台协调席",G:G)+SUMIF(B:B,"东塔台协调席",G:G)</f>
        <v>2.6325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46208.1325549769</v>
      </c>
      <c r="B6" s="6" t="s">
        <v>64</v>
      </c>
      <c r="C6" s="13">
        <v>0.132546296296296</v>
      </c>
      <c r="D6" s="13" t="s">
        <v>65</v>
      </c>
      <c r="E6" s="13">
        <v>0.318645833333333</v>
      </c>
      <c r="F6" s="14">
        <f t="shared" si="1"/>
        <v>4.46638888888889</v>
      </c>
      <c r="G6" s="15">
        <f t="shared" si="2"/>
        <v>0</v>
      </c>
      <c r="H6" s="15">
        <f t="shared" si="3"/>
        <v>4.46638888888889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46210.5419277778</v>
      </c>
      <c r="B7" s="6" t="s">
        <v>64</v>
      </c>
      <c r="C7" s="13">
        <v>0.541921296296296</v>
      </c>
      <c r="D7" s="13" t="s">
        <v>65</v>
      </c>
      <c r="E7" s="13">
        <v>0.791446759259259</v>
      </c>
      <c r="F7" s="14">
        <f t="shared" si="1"/>
        <v>5.98861111111111</v>
      </c>
      <c r="G7" s="15">
        <f t="shared" si="2"/>
        <v>5.98861111111111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46211.132078588</v>
      </c>
      <c r="B8" s="6" t="s">
        <v>64</v>
      </c>
      <c r="C8" s="13">
        <v>0.132071759259259</v>
      </c>
      <c r="D8" s="13" t="s">
        <v>65</v>
      </c>
      <c r="E8" s="13">
        <v>0.297326388888889</v>
      </c>
      <c r="F8" s="14">
        <f t="shared" si="1"/>
        <v>3.96611111111111</v>
      </c>
      <c r="G8" s="15">
        <f t="shared" si="2"/>
        <v>0</v>
      </c>
      <c r="H8" s="15">
        <f t="shared" si="3"/>
        <v>3.96611111111111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46211.7852042824</v>
      </c>
      <c r="B9" s="6" t="s">
        <v>64</v>
      </c>
      <c r="C9" s="13">
        <v>0.785196759259259</v>
      </c>
      <c r="D9" s="13" t="s">
        <v>65</v>
      </c>
      <c r="E9" s="13">
        <v>0.946030092592593</v>
      </c>
      <c r="F9" s="14">
        <f t="shared" si="1"/>
        <v>3.86</v>
      </c>
      <c r="G9" s="15">
        <f t="shared" si="2"/>
        <v>3.86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46212.2918881944</v>
      </c>
      <c r="B10" s="6" t="s">
        <v>64</v>
      </c>
      <c r="C10" s="13">
        <v>0.291886574074074</v>
      </c>
      <c r="D10" s="13" t="s">
        <v>65</v>
      </c>
      <c r="E10" s="13">
        <v>0.540578703703704</v>
      </c>
      <c r="F10" s="14">
        <f t="shared" si="1"/>
        <v>5.96861111111111</v>
      </c>
      <c r="G10" s="15">
        <f t="shared" si="2"/>
        <v>4.9738888888889</v>
      </c>
      <c r="H10" s="15">
        <f t="shared" si="3"/>
        <v>0.994722222222213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46212.7707697917</v>
      </c>
      <c r="B11" s="6" t="s">
        <v>64</v>
      </c>
      <c r="C11" s="13">
        <v>0.770763888888889</v>
      </c>
      <c r="D11" s="13" t="s">
        <v>65</v>
      </c>
      <c r="E11" s="13">
        <v>0.946365740740741</v>
      </c>
      <c r="F11" s="14">
        <f t="shared" si="1"/>
        <v>4.21444444444444</v>
      </c>
      <c r="G11" s="15">
        <f t="shared" si="2"/>
        <v>4.21444444444444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46214.3507686343</v>
      </c>
      <c r="B12" s="6" t="s">
        <v>64</v>
      </c>
      <c r="C12" s="13">
        <v>0.350763888888889</v>
      </c>
      <c r="D12" s="13" t="s">
        <v>65</v>
      </c>
      <c r="E12" s="13">
        <v>0.582581018518519</v>
      </c>
      <c r="F12" s="14">
        <f t="shared" si="1"/>
        <v>5.56361111111111</v>
      </c>
      <c r="G12" s="15">
        <f t="shared" si="2"/>
        <v>5.56361111111111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46214.7579577546</v>
      </c>
      <c r="B13" s="6" t="s">
        <v>64</v>
      </c>
      <c r="C13" s="13">
        <v>0.757951388888889</v>
      </c>
      <c r="D13" s="13" t="s">
        <v>65</v>
      </c>
      <c r="E13" s="13">
        <v>0.872696759259259</v>
      </c>
      <c r="F13" s="14">
        <f t="shared" si="1"/>
        <v>2.75388888888889</v>
      </c>
      <c r="G13" s="15">
        <f t="shared" si="2"/>
        <v>2.75388888888889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46218.9381194444</v>
      </c>
      <c r="B14" s="6" t="s">
        <v>64</v>
      </c>
      <c r="C14" s="13">
        <v>0.938113425925926</v>
      </c>
      <c r="D14" s="13" t="s">
        <v>65</v>
      </c>
      <c r="E14" s="13">
        <v>0.142361111111111</v>
      </c>
      <c r="F14" s="14">
        <f t="shared" si="1"/>
        <v>4.90194444444444</v>
      </c>
      <c r="G14" s="15">
        <f t="shared" si="2"/>
        <v>1.48527777777778</v>
      </c>
      <c r="H14" s="15">
        <f t="shared" si="3"/>
        <v>3.41666666666667</v>
      </c>
      <c r="I14" s="33"/>
      <c r="J14" s="33"/>
      <c r="K14" s="33"/>
      <c r="L14" s="33"/>
      <c r="M14" s="33"/>
    </row>
    <row r="15" ht="101.25" spans="1:13">
      <c r="A15" s="12">
        <f ca="1" t="shared" si="0"/>
        <v>46220.1312337963</v>
      </c>
      <c r="B15" s="6" t="s">
        <v>64</v>
      </c>
      <c r="C15" s="13">
        <v>0.131226851851852</v>
      </c>
      <c r="D15" s="13" t="s">
        <v>65</v>
      </c>
      <c r="E15" s="13">
        <v>0.300046296296296</v>
      </c>
      <c r="F15" s="14">
        <f t="shared" si="1"/>
        <v>4.05166666666667</v>
      </c>
      <c r="G15" s="15">
        <f t="shared" si="2"/>
        <v>0</v>
      </c>
      <c r="H15" s="15">
        <f t="shared" si="3"/>
        <v>4.05166666666667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46222.9358244213</v>
      </c>
      <c r="B16" s="6" t="s">
        <v>64</v>
      </c>
      <c r="C16" s="13">
        <v>0.935127314814815</v>
      </c>
      <c r="D16" s="13" t="s">
        <v>65</v>
      </c>
      <c r="E16" s="13">
        <v>0.136377314814815</v>
      </c>
      <c r="F16" s="14">
        <f t="shared" si="1"/>
        <v>4.83</v>
      </c>
      <c r="G16" s="15">
        <f t="shared" si="2"/>
        <v>1.55694444444444</v>
      </c>
      <c r="H16" s="15">
        <f t="shared" si="3"/>
        <v>3.27305555555556</v>
      </c>
      <c r="I16" s="39" t="s">
        <v>66</v>
      </c>
      <c r="J16" s="40">
        <f t="shared" ref="J16:L16" si="4">J3</f>
        <v>87.5838888888889</v>
      </c>
      <c r="K16" s="41">
        <f t="shared" si="4"/>
        <v>55.8197222222222</v>
      </c>
      <c r="L16" s="42">
        <f t="shared" si="4"/>
        <v>31.7641666666667</v>
      </c>
      <c r="M16" s="43"/>
    </row>
    <row r="17" ht="20.25" spans="1:13">
      <c r="A17" s="12">
        <f ca="1" t="shared" si="0"/>
        <v>46224.136891088</v>
      </c>
      <c r="B17" s="6" t="s">
        <v>70</v>
      </c>
      <c r="C17" s="13">
        <v>0.136886574074074</v>
      </c>
      <c r="D17" s="13" t="s">
        <v>65</v>
      </c>
      <c r="E17" s="13">
        <v>0.306030092592593</v>
      </c>
      <c r="F17" s="14">
        <f t="shared" si="1"/>
        <v>4.05944444444444</v>
      </c>
      <c r="G17" s="15">
        <f t="shared" si="2"/>
        <v>0</v>
      </c>
      <c r="H17" s="15">
        <f t="shared" si="3"/>
        <v>4.05944444444444</v>
      </c>
      <c r="I17" s="39" t="s">
        <v>80</v>
      </c>
      <c r="J17" s="40">
        <f>J4+J5+J6+J7+J10</f>
        <v>15.1102777777778</v>
      </c>
      <c r="K17" s="41">
        <f>K4+K5+K6+K7+K10</f>
        <v>8.38666666666667</v>
      </c>
      <c r="L17" s="42">
        <f>L4+L5+L6+L7+L10</f>
        <v>6.72361111111111</v>
      </c>
      <c r="M17" s="43"/>
    </row>
    <row r="18" ht="20.25" spans="1:13">
      <c r="A18" s="12">
        <f ca="1" t="shared" si="0"/>
        <v>46226.9386739583</v>
      </c>
      <c r="B18" s="6" t="s">
        <v>64</v>
      </c>
      <c r="C18" s="13">
        <v>0.938668981481482</v>
      </c>
      <c r="D18" s="13" t="s">
        <v>65</v>
      </c>
      <c r="E18" s="13">
        <v>0.137199074074074</v>
      </c>
      <c r="F18" s="14">
        <f t="shared" si="1"/>
        <v>4.76472222222222</v>
      </c>
      <c r="G18" s="15">
        <f t="shared" si="2"/>
        <v>1.47194444444444</v>
      </c>
      <c r="H18" s="15">
        <f t="shared" si="3"/>
        <v>3.29277777777778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46227.5437210648</v>
      </c>
      <c r="B19" s="6" t="s">
        <v>64</v>
      </c>
      <c r="C19" s="13">
        <v>0.543715277777778</v>
      </c>
      <c r="D19" s="13" t="s">
        <v>65</v>
      </c>
      <c r="E19" s="13">
        <v>0.800833333333333</v>
      </c>
      <c r="F19" s="14">
        <f t="shared" si="1"/>
        <v>6.17083333333333</v>
      </c>
      <c r="G19" s="15">
        <f t="shared" si="2"/>
        <v>6.17083333333333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46228.1327142361</v>
      </c>
      <c r="B20" s="6" t="s">
        <v>64</v>
      </c>
      <c r="C20" s="13">
        <v>0.132708333333333</v>
      </c>
      <c r="D20" s="13" t="s">
        <v>65</v>
      </c>
      <c r="E20" s="13">
        <v>0.2978125</v>
      </c>
      <c r="F20" s="14">
        <f t="shared" si="1"/>
        <v>3.9625</v>
      </c>
      <c r="G20" s="15">
        <f t="shared" si="2"/>
        <v>0</v>
      </c>
      <c r="H20" s="15">
        <f t="shared" si="3"/>
        <v>3.9625</v>
      </c>
      <c r="I20" s="44" t="s">
        <v>82</v>
      </c>
      <c r="J20" s="45">
        <f>J16+J17+J18+J19</f>
        <v>102.694166666667</v>
      </c>
      <c r="K20" s="46"/>
      <c r="L20" s="47"/>
      <c r="M20" s="48"/>
    </row>
    <row r="21" ht="20.25" spans="1:13">
      <c r="A21" s="12">
        <f ca="1" t="shared" si="0"/>
        <v>46230.5216637732</v>
      </c>
      <c r="B21" s="6" t="s">
        <v>84</v>
      </c>
      <c r="C21" s="13">
        <v>0.521655092592593</v>
      </c>
      <c r="D21" s="13" t="s">
        <v>65</v>
      </c>
      <c r="E21" s="13">
        <v>0.633657407407407</v>
      </c>
      <c r="F21" s="14">
        <f t="shared" si="1"/>
        <v>2.68805555555556</v>
      </c>
      <c r="G21" s="15">
        <f t="shared" si="2"/>
        <v>2.68805555555556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46230.6497392361</v>
      </c>
      <c r="B22" s="6" t="s">
        <v>84</v>
      </c>
      <c r="C22" s="13">
        <v>0.649733796296296</v>
      </c>
      <c r="D22" s="13" t="s">
        <v>65</v>
      </c>
      <c r="E22" s="13">
        <v>0.777488425925926</v>
      </c>
      <c r="F22" s="14">
        <f t="shared" si="1"/>
        <v>3.06611111111111</v>
      </c>
      <c r="G22" s="15">
        <f t="shared" si="2"/>
        <v>3.06611111111111</v>
      </c>
      <c r="H22" s="15">
        <f t="shared" si="3"/>
        <v>0</v>
      </c>
      <c r="I22"/>
      <c r="J22"/>
    </row>
    <row r="23" ht="18.75" spans="1:10">
      <c r="A23" s="12">
        <f ca="1" t="shared" si="0"/>
        <v>46231.4183916667</v>
      </c>
      <c r="B23" s="6" t="s">
        <v>83</v>
      </c>
      <c r="C23" s="13">
        <v>0.418391203703704</v>
      </c>
      <c r="D23" s="13" t="s">
        <v>65</v>
      </c>
      <c r="E23" s="13">
        <v>0.528078703703704</v>
      </c>
      <c r="F23" s="14">
        <f t="shared" si="1"/>
        <v>2.6325</v>
      </c>
      <c r="G23" s="15">
        <f t="shared" si="2"/>
        <v>2.6325</v>
      </c>
      <c r="H23" s="15">
        <f t="shared" si="3"/>
        <v>0</v>
      </c>
      <c r="I23"/>
      <c r="J23"/>
    </row>
    <row r="24" ht="18.75" spans="1:10">
      <c r="A24" s="12">
        <f ca="1" t="shared" si="0"/>
        <v>46231.7850211806</v>
      </c>
      <c r="B24" s="6" t="s">
        <v>64</v>
      </c>
      <c r="C24" s="13">
        <v>0.785011574074074</v>
      </c>
      <c r="D24" s="13" t="s">
        <v>65</v>
      </c>
      <c r="E24" s="13">
        <v>0.945694444444444</v>
      </c>
      <c r="F24" s="14">
        <f t="shared" si="1"/>
        <v>3.85638888888889</v>
      </c>
      <c r="G24" s="15">
        <f t="shared" si="2"/>
        <v>3.85638888888889</v>
      </c>
      <c r="H24" s="15">
        <f t="shared" si="3"/>
        <v>0</v>
      </c>
      <c r="I24"/>
      <c r="J24"/>
    </row>
    <row r="25" ht="18.75" spans="1:10">
      <c r="A25" s="12">
        <f ca="1" t="shared" si="0"/>
        <v>46232.2925172454</v>
      </c>
      <c r="B25" s="6" t="s">
        <v>64</v>
      </c>
      <c r="C25" s="13">
        <v>0.292511574074074</v>
      </c>
      <c r="D25" s="13" t="s">
        <v>65</v>
      </c>
      <c r="E25" s="13">
        <v>0.362106481481481</v>
      </c>
      <c r="F25" s="14">
        <f t="shared" si="1"/>
        <v>1.67027777777778</v>
      </c>
      <c r="G25" s="15">
        <f t="shared" si="2"/>
        <v>0.690555555555563</v>
      </c>
      <c r="H25" s="15">
        <f t="shared" si="3"/>
        <v>0.979722222222214</v>
      </c>
      <c r="I25"/>
      <c r="J25"/>
    </row>
    <row r="26" ht="18.75" spans="1:10">
      <c r="A26" s="12">
        <f ca="1" t="shared" si="0"/>
        <v>46234.5630854167</v>
      </c>
      <c r="B26" s="6" t="s">
        <v>64</v>
      </c>
      <c r="C26" s="13">
        <v>0.563078703703704</v>
      </c>
      <c r="D26" s="13" t="s">
        <v>65</v>
      </c>
      <c r="E26" s="13">
        <v>0.796469907407407</v>
      </c>
      <c r="F26" s="14">
        <f t="shared" si="1"/>
        <v>5.60138888888889</v>
      </c>
      <c r="G26" s="15">
        <f t="shared" si="2"/>
        <v>5.60138888888889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P339"/>
  <sheetViews>
    <sheetView zoomScale="85" zoomScaleNormal="85" topLeftCell="A13" workbookViewId="0">
      <selection activeCell="D32" sqref="D32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46208.1343424768</v>
      </c>
      <c r="B3" s="6" t="s">
        <v>85</v>
      </c>
      <c r="C3" s="13">
        <v>0.134340277777778</v>
      </c>
      <c r="D3" s="13" t="s">
        <v>65</v>
      </c>
      <c r="E3" s="13">
        <v>0.228946759259259</v>
      </c>
      <c r="F3" s="14">
        <f t="shared" ref="F3:F66" si="1">(IF(E3-C3&lt;0,"24:00"-C3+E3,E3-C3))*24</f>
        <v>2.27055555555556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2.27055555555556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46208.2291196759</v>
      </c>
      <c r="B4" s="6" t="s">
        <v>84</v>
      </c>
      <c r="C4" s="13">
        <v>0.229108796296296</v>
      </c>
      <c r="D4" s="13" t="s">
        <v>65</v>
      </c>
      <c r="E4" s="13">
        <v>0.303819444444444</v>
      </c>
      <c r="F4" s="14">
        <f t="shared" si="1"/>
        <v>1.79305555555556</v>
      </c>
      <c r="G4" s="15">
        <f t="shared" si="2"/>
        <v>0</v>
      </c>
      <c r="H4" s="15">
        <f t="shared" si="3"/>
        <v>1.79305555555556</v>
      </c>
      <c r="I4" s="23" t="s">
        <v>67</v>
      </c>
      <c r="J4" s="24">
        <f>SUMIF(B:B,"西塔台管制席",F:F)+SUMIF(B:B,"东塔台管制席",F:F)</f>
        <v>24.7522222222222</v>
      </c>
      <c r="K4" s="25">
        <f>SUMIF(B:B,"西塔台管制席",G:G)+SUMIF(B:B,"东塔台管制席",G:G)</f>
        <v>15.0441666666667</v>
      </c>
      <c r="L4" s="25">
        <f>SUMIF(B:B,"西塔台管制席",H:H)+SUMIF(B:B,"东塔台管制席",H:H)</f>
        <v>9.70805555555556</v>
      </c>
      <c r="M4" s="21"/>
    </row>
    <row r="5" ht="18.75" spans="1:13">
      <c r="A5" s="12">
        <f ca="1" t="shared" si="0"/>
        <v>46210.3554247685</v>
      </c>
      <c r="B5" s="6" t="s">
        <v>70</v>
      </c>
      <c r="C5" s="13">
        <v>0.355416666666667</v>
      </c>
      <c r="D5" s="13" t="s">
        <v>65</v>
      </c>
      <c r="E5" s="13">
        <v>0.528101851851852</v>
      </c>
      <c r="F5" s="14">
        <f t="shared" si="1"/>
        <v>4.14444444444445</v>
      </c>
      <c r="G5" s="15">
        <f t="shared" si="2"/>
        <v>4.14444444444445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32.0175</v>
      </c>
      <c r="K5" s="25">
        <f>SUMIF(B:B,"西塔台协调席",G:G)+SUMIF(B:B,"东塔台协调席",G:G)</f>
        <v>18.7327777777778</v>
      </c>
      <c r="L5" s="25">
        <f>SUMIF(B:B,"西塔台协调席",H:H)+SUMIF(B:B,"东塔台协调席",H:H)</f>
        <v>13.2847222222222</v>
      </c>
      <c r="M5" s="21"/>
    </row>
    <row r="6" ht="18.75" spans="1:13">
      <c r="A6" s="12">
        <f ca="1" t="shared" si="0"/>
        <v>46210.6894428241</v>
      </c>
      <c r="B6" s="6" t="s">
        <v>70</v>
      </c>
      <c r="C6" s="13">
        <v>0.68943287037037</v>
      </c>
      <c r="D6" s="13" t="s">
        <v>65</v>
      </c>
      <c r="E6" s="13">
        <v>0.776747685185185</v>
      </c>
      <c r="F6" s="14">
        <f t="shared" si="1"/>
        <v>2.09555555555556</v>
      </c>
      <c r="G6" s="15">
        <f t="shared" si="2"/>
        <v>2.09555555555556</v>
      </c>
      <c r="H6" s="15">
        <f t="shared" si="3"/>
        <v>0</v>
      </c>
      <c r="I6" s="23" t="s">
        <v>71</v>
      </c>
      <c r="J6" s="24">
        <f>SUMIF(B:B,"放行席",F:F)</f>
        <v>5.08361111111111</v>
      </c>
      <c r="K6" s="25">
        <f>SUMIF(B:B,"放行席",G:G)</f>
        <v>0</v>
      </c>
      <c r="L6" s="25">
        <f>SUMIF(B:B,"放行席",H:H)</f>
        <v>5.08361111111111</v>
      </c>
      <c r="M6" s="21"/>
    </row>
    <row r="7" ht="18.75" spans="1:13">
      <c r="A7" s="12">
        <f ca="1" t="shared" si="0"/>
        <v>46210.8564356482</v>
      </c>
      <c r="B7" s="6" t="s">
        <v>70</v>
      </c>
      <c r="C7" s="13">
        <v>0.856435185185185</v>
      </c>
      <c r="D7" s="13" t="s">
        <v>65</v>
      </c>
      <c r="E7" s="13">
        <v>0.961076388888889</v>
      </c>
      <c r="F7" s="14">
        <f t="shared" si="1"/>
        <v>2.51138888888889</v>
      </c>
      <c r="G7" s="15">
        <f t="shared" si="2"/>
        <v>2.51138888888889</v>
      </c>
      <c r="H7" s="15">
        <f t="shared" si="3"/>
        <v>0</v>
      </c>
      <c r="I7" s="23" t="s">
        <v>72</v>
      </c>
      <c r="J7" s="24">
        <f>SUMIF(B:B,"地面席",F:F)</f>
        <v>2.2125</v>
      </c>
      <c r="K7" s="25">
        <f>SUMIF(B:B,"地面席",G:G)</f>
        <v>0</v>
      </c>
      <c r="L7" s="25">
        <f>SUMIF(B:B,"地面席",H:H)</f>
        <v>2.2125</v>
      </c>
      <c r="M7" s="21"/>
    </row>
    <row r="8" ht="18.75" spans="1:13">
      <c r="A8" s="12">
        <f ca="1" t="shared" si="0"/>
        <v>46211.2971905093</v>
      </c>
      <c r="B8" s="6" t="s">
        <v>68</v>
      </c>
      <c r="C8" s="13">
        <v>0.2971875</v>
      </c>
      <c r="D8" s="13" t="s">
        <v>65</v>
      </c>
      <c r="E8" s="13">
        <v>0.331724537037037</v>
      </c>
      <c r="F8" s="14">
        <f t="shared" si="1"/>
        <v>0.828888888888889</v>
      </c>
      <c r="G8" s="15">
        <f t="shared" si="2"/>
        <v>0</v>
      </c>
      <c r="H8" s="15">
        <f t="shared" si="3"/>
        <v>0.828888888888889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46211.3317708333</v>
      </c>
      <c r="B9" s="6" t="s">
        <v>83</v>
      </c>
      <c r="C9" s="13">
        <v>0.331840277777778</v>
      </c>
      <c r="D9" s="13" t="s">
        <v>65</v>
      </c>
      <c r="E9" s="13">
        <v>0.422013888888889</v>
      </c>
      <c r="F9" s="14">
        <f t="shared" si="1"/>
        <v>2.16416666666667</v>
      </c>
      <c r="G9" s="15">
        <f t="shared" si="2"/>
        <v>2.12833333333334</v>
      </c>
      <c r="H9" s="15">
        <f t="shared" si="3"/>
        <v>0.0358333333333256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46211.5217925926</v>
      </c>
      <c r="B10" s="6" t="s">
        <v>83</v>
      </c>
      <c r="C10" s="13">
        <v>0.521782407407407</v>
      </c>
      <c r="D10" s="13" t="s">
        <v>65</v>
      </c>
      <c r="E10" s="13">
        <v>0.630833333333333</v>
      </c>
      <c r="F10" s="14">
        <f t="shared" si="1"/>
        <v>2.61722222222222</v>
      </c>
      <c r="G10" s="15">
        <f t="shared" si="2"/>
        <v>2.61722222222222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46211.7711424768</v>
      </c>
      <c r="B11" s="6" t="s">
        <v>83</v>
      </c>
      <c r="C11" s="13">
        <v>0.771134259259259</v>
      </c>
      <c r="D11" s="13" t="s">
        <v>65</v>
      </c>
      <c r="E11" s="13">
        <v>0.860324074074074</v>
      </c>
      <c r="F11" s="14">
        <f t="shared" si="1"/>
        <v>2.14055555555555</v>
      </c>
      <c r="G11" s="15">
        <f t="shared" si="2"/>
        <v>2.14055555555555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46214.9526295139</v>
      </c>
      <c r="B12" s="6" t="s">
        <v>68</v>
      </c>
      <c r="C12" s="13">
        <v>0.952627314814815</v>
      </c>
      <c r="D12" s="13" t="s">
        <v>65</v>
      </c>
      <c r="E12" s="13">
        <v>0.101099537037037</v>
      </c>
      <c r="F12" s="14">
        <f t="shared" si="1"/>
        <v>3.56333333333333</v>
      </c>
      <c r="G12" s="15">
        <f t="shared" si="2"/>
        <v>1.13694444444445</v>
      </c>
      <c r="H12" s="15">
        <f t="shared" si="3"/>
        <v>2.42638888888889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46216.1398284722</v>
      </c>
      <c r="B13" s="6" t="s">
        <v>70</v>
      </c>
      <c r="C13" s="13">
        <v>0.139826388888889</v>
      </c>
      <c r="D13" s="13" t="s">
        <v>65</v>
      </c>
      <c r="E13" s="13">
        <v>0.246909722222222</v>
      </c>
      <c r="F13" s="14">
        <f t="shared" si="1"/>
        <v>2.57</v>
      </c>
      <c r="G13" s="15">
        <f t="shared" si="2"/>
        <v>0</v>
      </c>
      <c r="H13" s="15">
        <f t="shared" si="3"/>
        <v>2.57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46216.2469392361</v>
      </c>
      <c r="B14" s="6" t="s">
        <v>68</v>
      </c>
      <c r="C14" s="13">
        <v>0.24693287037037</v>
      </c>
      <c r="D14" s="13" t="s">
        <v>65</v>
      </c>
      <c r="E14" s="13">
        <v>0.306585648148148</v>
      </c>
      <c r="F14" s="14">
        <f t="shared" si="1"/>
        <v>1.43166666666667</v>
      </c>
      <c r="G14" s="15">
        <f t="shared" si="2"/>
        <v>0</v>
      </c>
      <c r="H14" s="15">
        <f t="shared" si="3"/>
        <v>1.43166666666667</v>
      </c>
      <c r="I14" s="33"/>
      <c r="J14" s="33"/>
      <c r="K14" s="33"/>
      <c r="L14" s="33"/>
      <c r="M14" s="33"/>
    </row>
    <row r="15" ht="101.25" spans="1:13">
      <c r="A15" s="12">
        <f ca="1" t="shared" si="0"/>
        <v>46219.1401783565</v>
      </c>
      <c r="B15" s="6" t="s">
        <v>86</v>
      </c>
      <c r="C15" s="13">
        <v>0.140173611111111</v>
      </c>
      <c r="D15" s="13" t="s">
        <v>65</v>
      </c>
      <c r="E15" s="13">
        <v>0.232361111111111</v>
      </c>
      <c r="F15" s="14">
        <f t="shared" si="1"/>
        <v>2.2125</v>
      </c>
      <c r="G15" s="15">
        <f t="shared" si="2"/>
        <v>0</v>
      </c>
      <c r="H15" s="15">
        <f t="shared" si="3"/>
        <v>2.2125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46220.0147440972</v>
      </c>
      <c r="B16" s="6" t="s">
        <v>84</v>
      </c>
      <c r="C16" s="13">
        <v>0.014849537037037</v>
      </c>
      <c r="D16" s="13" t="s">
        <v>65</v>
      </c>
      <c r="E16" s="13">
        <v>0.153587962962963</v>
      </c>
      <c r="F16" s="14">
        <f t="shared" si="1"/>
        <v>3.32972222222222</v>
      </c>
      <c r="G16" s="15">
        <f t="shared" si="2"/>
        <v>0</v>
      </c>
      <c r="H16" s="15">
        <f t="shared" si="3"/>
        <v>3.32972222222222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46222.5186951389</v>
      </c>
      <c r="B17" s="6" t="s">
        <v>83</v>
      </c>
      <c r="C17" s="13">
        <v>0.51869212962963</v>
      </c>
      <c r="D17" s="13" t="s">
        <v>65</v>
      </c>
      <c r="E17" s="13">
        <v>0.692777777777778</v>
      </c>
      <c r="F17" s="14">
        <f t="shared" si="1"/>
        <v>4.17805555555555</v>
      </c>
      <c r="G17" s="15">
        <f t="shared" si="2"/>
        <v>4.17805555555555</v>
      </c>
      <c r="H17" s="15">
        <f t="shared" si="3"/>
        <v>0</v>
      </c>
      <c r="I17" s="39" t="s">
        <v>80</v>
      </c>
      <c r="J17" s="40">
        <f>J4+J5+J6+J7+J10</f>
        <v>64.0658333333333</v>
      </c>
      <c r="K17" s="41">
        <f>K4+K5+K6+K7+K10</f>
        <v>33.7769444444445</v>
      </c>
      <c r="L17" s="42">
        <f>L4+L5+L6+L7+L10</f>
        <v>30.2888888888889</v>
      </c>
      <c r="M17" s="43"/>
    </row>
    <row r="18" ht="20.25" spans="1:13">
      <c r="A18" s="12">
        <f ca="1" t="shared" si="0"/>
        <v>46222.7719979167</v>
      </c>
      <c r="B18" s="6" t="s">
        <v>83</v>
      </c>
      <c r="C18" s="13">
        <v>0.771990740740741</v>
      </c>
      <c r="D18" s="13" t="s">
        <v>65</v>
      </c>
      <c r="E18" s="13">
        <v>0.860729166666667</v>
      </c>
      <c r="F18" s="14">
        <f t="shared" si="1"/>
        <v>2.12972222222222</v>
      </c>
      <c r="G18" s="15">
        <f t="shared" si="2"/>
        <v>2.12972222222222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46223.4141679398</v>
      </c>
      <c r="B19" s="6" t="s">
        <v>84</v>
      </c>
      <c r="C19" s="13">
        <v>0.414247685185185</v>
      </c>
      <c r="D19" s="13" t="s">
        <v>65</v>
      </c>
      <c r="E19" s="13">
        <v>0.528136574074074</v>
      </c>
      <c r="F19" s="14">
        <f t="shared" si="1"/>
        <v>2.73333333333333</v>
      </c>
      <c r="G19" s="15">
        <f t="shared" si="2"/>
        <v>2.73333333333333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46223.6294358796</v>
      </c>
      <c r="B20" s="6" t="s">
        <v>84</v>
      </c>
      <c r="C20" s="13">
        <v>0.62943287037037</v>
      </c>
      <c r="D20" s="13" t="s">
        <v>65</v>
      </c>
      <c r="E20" s="13">
        <v>0.777743055555555</v>
      </c>
      <c r="F20" s="14">
        <f t="shared" si="1"/>
        <v>3.55944444444444</v>
      </c>
      <c r="G20" s="15">
        <f t="shared" si="2"/>
        <v>3.55944444444444</v>
      </c>
      <c r="H20" s="15">
        <f t="shared" si="3"/>
        <v>0</v>
      </c>
      <c r="I20" s="44" t="s">
        <v>82</v>
      </c>
      <c r="J20" s="45">
        <f>J16+J17+J18+J19</f>
        <v>64.0658333333333</v>
      </c>
      <c r="K20" s="46"/>
      <c r="L20" s="47"/>
      <c r="M20" s="48"/>
    </row>
    <row r="21" ht="20.25" spans="1:13">
      <c r="A21" s="12">
        <f ca="1" t="shared" si="0"/>
        <v>46223.855340162</v>
      </c>
      <c r="B21" s="6" t="s">
        <v>68</v>
      </c>
      <c r="C21" s="13">
        <v>0.855335648148148</v>
      </c>
      <c r="D21" s="13" t="s">
        <v>65</v>
      </c>
      <c r="E21" s="13">
        <v>0.95806712962963</v>
      </c>
      <c r="F21" s="14">
        <f t="shared" si="1"/>
        <v>2.46555555555555</v>
      </c>
      <c r="G21" s="15">
        <f t="shared" si="2"/>
        <v>2.46555555555555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46224.2993811343</v>
      </c>
      <c r="B22" s="6" t="s">
        <v>83</v>
      </c>
      <c r="C22" s="13">
        <v>0.299375</v>
      </c>
      <c r="D22" s="13" t="s">
        <v>65</v>
      </c>
      <c r="E22" s="13">
        <v>0.364108796296296</v>
      </c>
      <c r="F22" s="14">
        <f t="shared" si="1"/>
        <v>1.55361111111111</v>
      </c>
      <c r="G22" s="15">
        <f t="shared" si="2"/>
        <v>0.73861111111112</v>
      </c>
      <c r="H22" s="15">
        <f t="shared" si="3"/>
        <v>0.814999999999992</v>
      </c>
      <c r="I22"/>
      <c r="J22"/>
    </row>
    <row r="23" ht="18.75" spans="1:10">
      <c r="A23" s="12">
        <f ca="1" t="shared" si="0"/>
        <v>46226.9500946759</v>
      </c>
      <c r="B23" s="6" t="s">
        <v>83</v>
      </c>
      <c r="C23" s="13">
        <v>0.950092592592593</v>
      </c>
      <c r="D23" s="13" t="s">
        <v>65</v>
      </c>
      <c r="E23" s="13">
        <v>0.112662037037037</v>
      </c>
      <c r="F23" s="14">
        <f t="shared" si="1"/>
        <v>3.90166666666667</v>
      </c>
      <c r="G23" s="15">
        <f t="shared" si="2"/>
        <v>1.19777777777778</v>
      </c>
      <c r="H23" s="15">
        <f t="shared" si="3"/>
        <v>2.70388888888889</v>
      </c>
      <c r="I23"/>
      <c r="J23"/>
    </row>
    <row r="24" ht="18.75" spans="1:10">
      <c r="A24" s="12">
        <f ca="1" t="shared" si="0"/>
        <v>46228.1413288194</v>
      </c>
      <c r="B24" s="6" t="s">
        <v>84</v>
      </c>
      <c r="C24" s="13">
        <v>0.141319444444444</v>
      </c>
      <c r="D24" s="13" t="s">
        <v>65</v>
      </c>
      <c r="E24" s="13">
        <v>0.225289351851852</v>
      </c>
      <c r="F24" s="14">
        <f t="shared" si="1"/>
        <v>2.01527777777778</v>
      </c>
      <c r="G24" s="15">
        <f t="shared" si="2"/>
        <v>0</v>
      </c>
      <c r="H24" s="15">
        <f t="shared" si="3"/>
        <v>2.01527777777778</v>
      </c>
      <c r="I24"/>
      <c r="J24"/>
    </row>
    <row r="25" ht="18.75" spans="1:10">
      <c r="A25" s="12">
        <f ca="1" t="shared" si="0"/>
        <v>46228.2253453704</v>
      </c>
      <c r="B25" s="6" t="s">
        <v>83</v>
      </c>
      <c r="C25" s="13">
        <v>0.225335648148148</v>
      </c>
      <c r="D25" s="13" t="s">
        <v>65</v>
      </c>
      <c r="E25" s="13">
        <v>0.304618055555556</v>
      </c>
      <c r="F25" s="14">
        <f t="shared" si="1"/>
        <v>1.90277777777778</v>
      </c>
      <c r="G25" s="15">
        <f t="shared" si="2"/>
        <v>0</v>
      </c>
      <c r="H25" s="15">
        <f t="shared" si="3"/>
        <v>1.90277777777778</v>
      </c>
      <c r="I25"/>
      <c r="J25"/>
    </row>
    <row r="26" ht="18.75" spans="1:10">
      <c r="A26" s="12">
        <f ca="1" t="shared" si="0"/>
        <v>46231.0144858796</v>
      </c>
      <c r="B26" s="6" t="s">
        <v>83</v>
      </c>
      <c r="C26" s="13">
        <v>0.0144791666666667</v>
      </c>
      <c r="D26" s="13" t="s">
        <v>65</v>
      </c>
      <c r="E26" s="13">
        <v>0.145324074074074</v>
      </c>
      <c r="F26" s="14">
        <f t="shared" si="1"/>
        <v>3.14027777777778</v>
      </c>
      <c r="G26" s="15">
        <f t="shared" si="2"/>
        <v>0</v>
      </c>
      <c r="H26" s="15">
        <f t="shared" si="3"/>
        <v>3.14027777777778</v>
      </c>
      <c r="I26"/>
      <c r="J26"/>
    </row>
    <row r="27" ht="18.75" spans="1:10">
      <c r="A27" s="12">
        <f ca="1" t="shared" si="0"/>
        <v>46232.1327375</v>
      </c>
      <c r="B27" s="6" t="s">
        <v>85</v>
      </c>
      <c r="C27" s="13">
        <v>0.132731481481481</v>
      </c>
      <c r="D27" s="13" t="s">
        <v>65</v>
      </c>
      <c r="E27" s="13">
        <v>0.24994212962963</v>
      </c>
      <c r="F27" s="14">
        <f t="shared" si="1"/>
        <v>2.81305555555556</v>
      </c>
      <c r="G27" s="15">
        <f t="shared" si="2"/>
        <v>0</v>
      </c>
      <c r="H27" s="15">
        <f t="shared" si="3"/>
        <v>2.81305555555556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46204.016541088</v>
      </c>
      <c r="B3" s="6" t="s">
        <v>70</v>
      </c>
      <c r="C3" s="13">
        <v>0.0165393518518519</v>
      </c>
      <c r="D3" s="13" t="s">
        <v>65</v>
      </c>
      <c r="E3" s="13">
        <v>0.104756944444444</v>
      </c>
      <c r="F3" s="14">
        <f t="shared" ref="F3:F66" si="1">(IF(E3-C3&lt;0,"24:00"-C3+E3,E3-C3))*24</f>
        <v>2.11722222222222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2.11722222222222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46204.1048207176</v>
      </c>
      <c r="B4" s="6" t="s">
        <v>84</v>
      </c>
      <c r="C4" s="13">
        <v>0.104814814814815</v>
      </c>
      <c r="D4" s="13" t="s">
        <v>65</v>
      </c>
      <c r="E4" s="13">
        <v>0.143344907407407</v>
      </c>
      <c r="F4" s="14">
        <f t="shared" si="1"/>
        <v>0.924722222222222</v>
      </c>
      <c r="G4" s="15">
        <f t="shared" si="2"/>
        <v>0</v>
      </c>
      <c r="H4" s="15">
        <f t="shared" si="3"/>
        <v>0.924722222222222</v>
      </c>
      <c r="I4" s="23" t="s">
        <v>67</v>
      </c>
      <c r="J4" s="24">
        <f>SUMIF(B:B,"西塔台管制席",F:F)+SUMIF(B:B,"东塔台管制席",F:F)</f>
        <v>29.9483333333333</v>
      </c>
      <c r="K4" s="25">
        <f>SUMIF(B:B,"西塔台管制席",G:G)+SUMIF(B:B,"东塔台管制席",G:G)</f>
        <v>22.9133333333333</v>
      </c>
      <c r="L4" s="25">
        <f>SUMIF(B:B,"西塔台管制席",H:H)+SUMIF(B:B,"东塔台管制席",H:H)</f>
        <v>7.03499999999999</v>
      </c>
      <c r="M4" s="21"/>
    </row>
    <row r="5" ht="18.75" spans="1:13">
      <c r="A5" s="12">
        <f ca="1" t="shared" si="0"/>
        <v>46206.3563795139</v>
      </c>
      <c r="B5" s="6" t="s">
        <v>83</v>
      </c>
      <c r="C5" s="13">
        <v>0.356377314814815</v>
      </c>
      <c r="D5" s="13" t="s">
        <v>65</v>
      </c>
      <c r="E5" s="13">
        <v>0.528796296296296</v>
      </c>
      <c r="F5" s="14">
        <f t="shared" si="1"/>
        <v>4.13805555555556</v>
      </c>
      <c r="G5" s="15">
        <f t="shared" si="2"/>
        <v>4.13805555555556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33.9216666666667</v>
      </c>
      <c r="K5" s="25">
        <f>SUMIF(B:B,"西塔台协调席",G:G)+SUMIF(B:B,"东塔台协调席",G:G)</f>
        <v>29.6638888888889</v>
      </c>
      <c r="L5" s="25">
        <f>SUMIF(B:B,"西塔台协调席",H:H)+SUMIF(B:B,"东塔台协调席",H:H)</f>
        <v>4.25777777777776</v>
      </c>
      <c r="M5" s="21"/>
    </row>
    <row r="6" ht="18.75" spans="1:13">
      <c r="A6" s="12">
        <f ca="1" t="shared" si="0"/>
        <v>46206.6898914352</v>
      </c>
      <c r="B6" s="6" t="s">
        <v>84</v>
      </c>
      <c r="C6" s="13">
        <v>0.689918981481481</v>
      </c>
      <c r="D6" s="13" t="s">
        <v>65</v>
      </c>
      <c r="E6" s="13">
        <v>0.781828703703704</v>
      </c>
      <c r="F6" s="14">
        <f t="shared" si="1"/>
        <v>2.20583333333333</v>
      </c>
      <c r="G6" s="15">
        <f t="shared" si="2"/>
        <v>2.20583333333333</v>
      </c>
      <c r="H6" s="15">
        <f t="shared" si="3"/>
        <v>0</v>
      </c>
      <c r="I6" s="23" t="s">
        <v>71</v>
      </c>
      <c r="J6" s="24">
        <f>SUMIF(B:B,"放行席",F:F)</f>
        <v>2.09777777777778</v>
      </c>
      <c r="K6" s="25">
        <f>SUMIF(B:B,"放行席",G:G)</f>
        <v>0</v>
      </c>
      <c r="L6" s="25">
        <f>SUMIF(B:B,"放行席",H:H)</f>
        <v>2.09777777777778</v>
      </c>
      <c r="M6" s="21"/>
    </row>
    <row r="7" ht="18.75" spans="1:13">
      <c r="A7" s="12">
        <f ca="1" t="shared" si="0"/>
        <v>46206.8561109954</v>
      </c>
      <c r="B7" s="6" t="s">
        <v>68</v>
      </c>
      <c r="C7" s="13">
        <v>0.856111111111111</v>
      </c>
      <c r="D7" s="13" t="s">
        <v>65</v>
      </c>
      <c r="E7" s="13">
        <v>0.860277777777778</v>
      </c>
      <c r="F7" s="14">
        <f t="shared" si="1"/>
        <v>0.0999999999999996</v>
      </c>
      <c r="G7" s="15">
        <f t="shared" si="2"/>
        <v>0.0999999999999996</v>
      </c>
      <c r="H7" s="15">
        <f t="shared" si="3"/>
        <v>0</v>
      </c>
      <c r="I7" s="23" t="s">
        <v>72</v>
      </c>
      <c r="J7" s="24">
        <f>SUMIF(B:B,"地面席",F:F)</f>
        <v>1.99638888888889</v>
      </c>
      <c r="K7" s="25">
        <f>SUMIF(B:B,"地面席",G:G)</f>
        <v>0</v>
      </c>
      <c r="L7" s="25">
        <f>SUMIF(B:B,"地面席",H:H)</f>
        <v>1.99638888888889</v>
      </c>
      <c r="M7" s="21"/>
    </row>
    <row r="8" ht="18.75" spans="1:13">
      <c r="A8" s="12">
        <f ca="1" t="shared" si="0"/>
        <v>46206.8603297454</v>
      </c>
      <c r="B8" s="6" t="s">
        <v>84</v>
      </c>
      <c r="C8" s="13">
        <v>0.860324074074074</v>
      </c>
      <c r="D8" s="13" t="s">
        <v>65</v>
      </c>
      <c r="E8" s="13">
        <v>0.958078703703704</v>
      </c>
      <c r="F8" s="14">
        <f t="shared" si="1"/>
        <v>2.34611111111111</v>
      </c>
      <c r="G8" s="15">
        <f t="shared" si="2"/>
        <v>2.34611111111111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46207.3004572917</v>
      </c>
      <c r="B9" s="6" t="s">
        <v>68</v>
      </c>
      <c r="C9" s="13">
        <v>0.300451388888889</v>
      </c>
      <c r="D9" s="13" t="s">
        <v>65</v>
      </c>
      <c r="E9" s="13">
        <v>0.445451388888889</v>
      </c>
      <c r="F9" s="14">
        <f t="shared" si="1"/>
        <v>3.48</v>
      </c>
      <c r="G9" s="15">
        <f t="shared" si="2"/>
        <v>2.69083333333334</v>
      </c>
      <c r="H9" s="15">
        <f t="shared" si="3"/>
        <v>0.789166666666658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46207.5214122685</v>
      </c>
      <c r="B10" s="6" t="s">
        <v>84</v>
      </c>
      <c r="C10" s="13">
        <v>0.521412037037037</v>
      </c>
      <c r="D10" s="13" t="s">
        <v>65</v>
      </c>
      <c r="E10" s="13">
        <v>0.561076388888889</v>
      </c>
      <c r="F10" s="14">
        <f t="shared" si="1"/>
        <v>0.951944444444443</v>
      </c>
      <c r="G10" s="15">
        <f t="shared" si="2"/>
        <v>0.951944444444443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46207.5611099537</v>
      </c>
      <c r="B11" s="6" t="s">
        <v>83</v>
      </c>
      <c r="C11" s="13">
        <v>0.561099537037037</v>
      </c>
      <c r="D11" s="13" t="s">
        <v>65</v>
      </c>
      <c r="E11" s="13">
        <v>0.766145833333333</v>
      </c>
      <c r="F11" s="14">
        <f t="shared" si="1"/>
        <v>4.92111111111111</v>
      </c>
      <c r="G11" s="15">
        <f t="shared" si="2"/>
        <v>4.92111111111111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46207.8192649306</v>
      </c>
      <c r="B12" s="6" t="s">
        <v>84</v>
      </c>
      <c r="C12" s="13">
        <v>0.762314814814815</v>
      </c>
      <c r="D12" s="13" t="s">
        <v>65</v>
      </c>
      <c r="E12" s="13">
        <v>0.819467592592593</v>
      </c>
      <c r="F12" s="14">
        <f t="shared" si="1"/>
        <v>1.37166666666667</v>
      </c>
      <c r="G12" s="15">
        <f t="shared" si="2"/>
        <v>1.37166666666667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46211.0128304398</v>
      </c>
      <c r="B13" s="6" t="s">
        <v>84</v>
      </c>
      <c r="C13" s="13">
        <v>0.0128240740740741</v>
      </c>
      <c r="D13" s="13" t="s">
        <v>65</v>
      </c>
      <c r="E13" s="13">
        <v>0.147118055555556</v>
      </c>
      <c r="F13" s="14">
        <f t="shared" si="1"/>
        <v>3.22305555555556</v>
      </c>
      <c r="G13" s="15">
        <f t="shared" si="2"/>
        <v>0</v>
      </c>
      <c r="H13" s="15">
        <f t="shared" si="3"/>
        <v>3.22305555555556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46212.1379465278</v>
      </c>
      <c r="B14" s="6" t="s">
        <v>85</v>
      </c>
      <c r="C14" s="13">
        <v>0.137939814814815</v>
      </c>
      <c r="D14" s="13" t="s">
        <v>65</v>
      </c>
      <c r="E14" s="13">
        <v>0.225347222222222</v>
      </c>
      <c r="F14" s="14">
        <f t="shared" si="1"/>
        <v>2.09777777777778</v>
      </c>
      <c r="G14" s="15">
        <f t="shared" si="2"/>
        <v>0</v>
      </c>
      <c r="H14" s="15">
        <f t="shared" si="3"/>
        <v>2.09777777777778</v>
      </c>
      <c r="I14" s="33"/>
      <c r="J14" s="33"/>
      <c r="K14" s="33"/>
      <c r="L14" s="33"/>
      <c r="M14" s="33"/>
    </row>
    <row r="15" ht="101.25" spans="1:13">
      <c r="A15" s="12">
        <f ca="1" t="shared" si="0"/>
        <v>46222.5295039352</v>
      </c>
      <c r="B15" s="6" t="s">
        <v>70</v>
      </c>
      <c r="C15" s="13">
        <v>0.521168981481481</v>
      </c>
      <c r="D15" s="13" t="s">
        <v>65</v>
      </c>
      <c r="E15" s="13">
        <v>0.692708333333333</v>
      </c>
      <c r="F15" s="14">
        <f t="shared" si="1"/>
        <v>4.11694444444444</v>
      </c>
      <c r="G15" s="15">
        <f t="shared" si="2"/>
        <v>4.11694444444444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46222.7729273148</v>
      </c>
      <c r="B16" s="6" t="s">
        <v>70</v>
      </c>
      <c r="C16" s="13">
        <v>0.772916666666667</v>
      </c>
      <c r="D16" s="13" t="s">
        <v>65</v>
      </c>
      <c r="E16" s="13">
        <v>0.860138888888889</v>
      </c>
      <c r="F16" s="14">
        <f t="shared" si="1"/>
        <v>2.09333333333333</v>
      </c>
      <c r="G16" s="15">
        <f t="shared" si="2"/>
        <v>2.09333333333333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46223.4173730324</v>
      </c>
      <c r="B17" s="6" t="s">
        <v>83</v>
      </c>
      <c r="C17" s="13">
        <v>0.417372685185185</v>
      </c>
      <c r="D17" s="13" t="s">
        <v>65</v>
      </c>
      <c r="E17" s="13">
        <v>0.528101851851852</v>
      </c>
      <c r="F17" s="14">
        <f t="shared" si="1"/>
        <v>2.6575</v>
      </c>
      <c r="G17" s="15">
        <f t="shared" si="2"/>
        <v>2.6575</v>
      </c>
      <c r="H17" s="15">
        <f t="shared" si="3"/>
        <v>0</v>
      </c>
      <c r="I17" s="39" t="s">
        <v>80</v>
      </c>
      <c r="J17" s="40">
        <f>J4+J5+J6+J7+J10</f>
        <v>67.9641666666667</v>
      </c>
      <c r="K17" s="41">
        <f>K4+K5+K6+K7+K10</f>
        <v>52.5772222222223</v>
      </c>
      <c r="L17" s="42">
        <f>L4+L5+L6+L7+L10</f>
        <v>15.3869444444444</v>
      </c>
      <c r="M17" s="43"/>
    </row>
    <row r="18" ht="20.25" spans="1:13">
      <c r="A18" s="12">
        <f ca="1" t="shared" si="0"/>
        <v>46223.6274252315</v>
      </c>
      <c r="B18" s="6" t="s">
        <v>68</v>
      </c>
      <c r="C18" s="13">
        <v>0.627418981481481</v>
      </c>
      <c r="D18" s="13" t="s">
        <v>65</v>
      </c>
      <c r="E18" s="13">
        <v>0.777696759259259</v>
      </c>
      <c r="F18" s="14">
        <f t="shared" si="1"/>
        <v>3.60666666666667</v>
      </c>
      <c r="G18" s="15">
        <f t="shared" si="2"/>
        <v>3.60666666666667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46223.8552799769</v>
      </c>
      <c r="B19" s="6" t="s">
        <v>84</v>
      </c>
      <c r="C19" s="13">
        <v>0.855277777777778</v>
      </c>
      <c r="D19" s="13" t="s">
        <v>65</v>
      </c>
      <c r="E19" s="13">
        <v>0.957789351851852</v>
      </c>
      <c r="F19" s="14">
        <f t="shared" si="1"/>
        <v>2.46027777777777</v>
      </c>
      <c r="G19" s="15">
        <f t="shared" si="2"/>
        <v>2.46027777777777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46224.3012510417</v>
      </c>
      <c r="B20" s="6" t="s">
        <v>70</v>
      </c>
      <c r="C20" s="13">
        <v>0.30125</v>
      </c>
      <c r="D20" s="13" t="s">
        <v>65</v>
      </c>
      <c r="E20" s="13">
        <v>0.364155092592593</v>
      </c>
      <c r="F20" s="14">
        <f t="shared" si="1"/>
        <v>1.50972222222222</v>
      </c>
      <c r="G20" s="15">
        <f t="shared" si="2"/>
        <v>0.739722222222229</v>
      </c>
      <c r="H20" s="15">
        <f t="shared" si="3"/>
        <v>0.769999999999991</v>
      </c>
      <c r="I20" s="44" t="s">
        <v>82</v>
      </c>
      <c r="J20" s="45">
        <f>J16+J17+J18+J19</f>
        <v>67.9641666666667</v>
      </c>
      <c r="K20" s="46"/>
      <c r="L20" s="47"/>
      <c r="M20" s="48"/>
    </row>
    <row r="21" ht="20.25" spans="1:13">
      <c r="A21" s="12">
        <f ca="1" t="shared" si="0"/>
        <v>46227.1364811343</v>
      </c>
      <c r="B21" s="6" t="s">
        <v>86</v>
      </c>
      <c r="C21" s="13">
        <v>0.136481481481481</v>
      </c>
      <c r="D21" s="13" t="s">
        <v>65</v>
      </c>
      <c r="E21" s="13">
        <v>0.219664351851852</v>
      </c>
      <c r="F21" s="14">
        <f t="shared" si="1"/>
        <v>1.99638888888889</v>
      </c>
      <c r="G21" s="15">
        <f t="shared" si="2"/>
        <v>0</v>
      </c>
      <c r="H21" s="15">
        <f t="shared" si="3"/>
        <v>1.99638888888889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46227.9508149306</v>
      </c>
      <c r="B22" s="6" t="s">
        <v>83</v>
      </c>
      <c r="C22" s="13">
        <v>0.950810185185185</v>
      </c>
      <c r="D22" s="13" t="s">
        <v>65</v>
      </c>
      <c r="E22" s="13">
        <v>0.111597222222222</v>
      </c>
      <c r="F22" s="14">
        <f t="shared" si="1"/>
        <v>3.85888888888889</v>
      </c>
      <c r="G22" s="15">
        <f t="shared" si="2"/>
        <v>1.18055555555556</v>
      </c>
      <c r="H22" s="15">
        <f t="shared" si="3"/>
        <v>2.67833333333333</v>
      </c>
      <c r="I22"/>
      <c r="J22"/>
    </row>
    <row r="23" ht="18.75" spans="1:10">
      <c r="A23" s="12">
        <f ca="1" t="shared" si="0"/>
        <v>46230.521312963</v>
      </c>
      <c r="B23" s="6" t="s">
        <v>68</v>
      </c>
      <c r="C23" s="13">
        <v>0.52130787037037</v>
      </c>
      <c r="D23" s="13" t="s">
        <v>65</v>
      </c>
      <c r="E23" s="13">
        <v>0.76880787037037</v>
      </c>
      <c r="F23" s="14">
        <f t="shared" si="1"/>
        <v>5.94</v>
      </c>
      <c r="G23" s="15">
        <f t="shared" si="2"/>
        <v>5.94</v>
      </c>
      <c r="H23" s="15">
        <f t="shared" si="3"/>
        <v>0</v>
      </c>
      <c r="I23"/>
      <c r="J23"/>
    </row>
    <row r="24" ht="18.75" spans="1:10">
      <c r="A24" s="12">
        <f ca="1" t="shared" si="0"/>
        <v>46231.418081713</v>
      </c>
      <c r="B24" s="6" t="s">
        <v>70</v>
      </c>
      <c r="C24" s="13">
        <v>0.418078703703704</v>
      </c>
      <c r="D24" s="13" t="s">
        <v>65</v>
      </c>
      <c r="E24" s="13">
        <v>0.528113425925926</v>
      </c>
      <c r="F24" s="14">
        <f t="shared" si="1"/>
        <v>2.64083333333333</v>
      </c>
      <c r="G24" s="15">
        <f t="shared" si="2"/>
        <v>2.64083333333333</v>
      </c>
      <c r="H24" s="15">
        <f t="shared" si="3"/>
        <v>0</v>
      </c>
      <c r="I24"/>
      <c r="J24"/>
    </row>
    <row r="25" ht="18.75" spans="1:10">
      <c r="A25" s="12">
        <f ca="1" t="shared" si="0"/>
        <v>46231.6063645833</v>
      </c>
      <c r="B25" s="6" t="s">
        <v>70</v>
      </c>
      <c r="C25" s="13">
        <v>0.606354166666667</v>
      </c>
      <c r="D25" s="13" t="s">
        <v>65</v>
      </c>
      <c r="E25" s="13">
        <v>0.772465277777778</v>
      </c>
      <c r="F25" s="14">
        <f t="shared" si="1"/>
        <v>3.98666666666667</v>
      </c>
      <c r="G25" s="15">
        <f t="shared" si="2"/>
        <v>3.98666666666667</v>
      </c>
      <c r="H25" s="15">
        <f t="shared" si="3"/>
        <v>0</v>
      </c>
      <c r="I25"/>
      <c r="J25"/>
    </row>
    <row r="26" ht="18.75" spans="1:10">
      <c r="A26" s="12">
        <f ca="1" t="shared" si="0"/>
        <v>46231.8558481481</v>
      </c>
      <c r="B26" s="6" t="s">
        <v>83</v>
      </c>
      <c r="C26" s="13">
        <v>0.855844907407407</v>
      </c>
      <c r="D26" s="13" t="s">
        <v>65</v>
      </c>
      <c r="E26" s="13">
        <v>0.962025462962963</v>
      </c>
      <c r="F26" s="14">
        <f t="shared" si="1"/>
        <v>2.54833333333333</v>
      </c>
      <c r="G26" s="15">
        <f t="shared" si="2"/>
        <v>2.54833333333333</v>
      </c>
      <c r="H26" s="15">
        <f t="shared" si="3"/>
        <v>0</v>
      </c>
      <c r="I26"/>
      <c r="J26"/>
    </row>
    <row r="27" ht="18.75" spans="1:10">
      <c r="A27" s="12">
        <f ca="1" t="shared" si="0"/>
        <v>46232.3004141204</v>
      </c>
      <c r="B27" s="6" t="s">
        <v>83</v>
      </c>
      <c r="C27" s="13">
        <v>0.300405092592593</v>
      </c>
      <c r="D27" s="13" t="s">
        <v>65</v>
      </c>
      <c r="E27" s="13">
        <v>0.363761574074074</v>
      </c>
      <c r="F27" s="14">
        <f t="shared" si="1"/>
        <v>1.52055555555556</v>
      </c>
      <c r="G27" s="15">
        <f t="shared" si="2"/>
        <v>0.730277777777786</v>
      </c>
      <c r="H27" s="15">
        <f t="shared" si="3"/>
        <v>0.79027777777777</v>
      </c>
      <c r="I27"/>
      <c r="J27"/>
    </row>
    <row r="28" ht="18.75" spans="1:10">
      <c r="A28" s="12">
        <v>46234</v>
      </c>
      <c r="B28" s="6" t="s">
        <v>68</v>
      </c>
      <c r="C28" s="13">
        <v>0.951458333333333</v>
      </c>
      <c r="D28" s="13" t="s">
        <v>65</v>
      </c>
      <c r="E28" s="13">
        <v>0.999398148148148</v>
      </c>
      <c r="F28" s="14">
        <f t="shared" si="1"/>
        <v>1.15055555555556</v>
      </c>
      <c r="G28" s="15">
        <f t="shared" si="2"/>
        <v>1.15055555555556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P339"/>
  <sheetViews>
    <sheetView zoomScale="85" zoomScaleNormal="85" topLeftCell="A7" workbookViewId="0">
      <selection activeCell="E31" sqref="E3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46204.007375463</v>
      </c>
      <c r="B3" s="6" t="s">
        <v>68</v>
      </c>
      <c r="C3" s="13">
        <v>1.15740740740741e-5</v>
      </c>
      <c r="D3" s="13" t="s">
        <v>65</v>
      </c>
      <c r="E3" s="13">
        <v>0.110648148148148</v>
      </c>
      <c r="F3" s="14">
        <f t="shared" ref="F3:F66" si="1">(IF(E3-C3&lt;0,"24:00"-C3+E3,E3-C3))*24</f>
        <v>2.65527777777778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2.65527777777778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46206.5215175926</v>
      </c>
      <c r="B4" s="6" t="s">
        <v>84</v>
      </c>
      <c r="C4" s="13">
        <v>0.521516203703704</v>
      </c>
      <c r="D4" s="13" t="s">
        <v>65</v>
      </c>
      <c r="E4" s="13">
        <v>0.698020833333333</v>
      </c>
      <c r="F4" s="14">
        <f t="shared" si="1"/>
        <v>4.23611111111111</v>
      </c>
      <c r="G4" s="15">
        <f t="shared" si="2"/>
        <v>4.23611111111111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28.8625</v>
      </c>
      <c r="K4" s="25">
        <f>SUMIF(B:B,"西塔台管制席",G:G)+SUMIF(B:B,"东塔台管制席",G:G)</f>
        <v>21.8947222222222</v>
      </c>
      <c r="L4" s="25">
        <f>SUMIF(B:B,"西塔台管制席",H:H)+SUMIF(B:B,"东塔台管制席",H:H)</f>
        <v>6.96777777777778</v>
      </c>
      <c r="M4" s="21"/>
    </row>
    <row r="5" ht="18.75" spans="1:13">
      <c r="A5" s="12">
        <f ca="1" t="shared" si="0"/>
        <v>46206.7719055556</v>
      </c>
      <c r="B5" s="6" t="s">
        <v>68</v>
      </c>
      <c r="C5" s="13">
        <v>0.771898148148148</v>
      </c>
      <c r="D5" s="13" t="s">
        <v>65</v>
      </c>
      <c r="E5" s="13">
        <v>0.860856481481481</v>
      </c>
      <c r="F5" s="14">
        <f t="shared" si="1"/>
        <v>2.135</v>
      </c>
      <c r="G5" s="15">
        <f t="shared" si="2"/>
        <v>2.135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22.4052777777778</v>
      </c>
      <c r="K5" s="25">
        <f>SUMIF(B:B,"西塔台协调席",G:G)+SUMIF(B:B,"东塔台协调席",G:G)</f>
        <v>9.58250000000001</v>
      </c>
      <c r="L5" s="25">
        <f>SUMIF(B:B,"西塔台协调席",H:H)+SUMIF(B:B,"东塔台协调席",H:H)</f>
        <v>12.8227777777778</v>
      </c>
      <c r="M5" s="21"/>
    </row>
    <row r="6" ht="18.75" spans="1:13">
      <c r="A6" s="12">
        <f ca="1" t="shared" si="0"/>
        <v>46207.4378152778</v>
      </c>
      <c r="B6" s="6" t="s">
        <v>84</v>
      </c>
      <c r="C6" s="13">
        <v>0.4378125</v>
      </c>
      <c r="D6" s="13" t="s">
        <v>65</v>
      </c>
      <c r="E6" s="13">
        <v>0.528217592592593</v>
      </c>
      <c r="F6" s="14">
        <f t="shared" si="1"/>
        <v>2.16972222222222</v>
      </c>
      <c r="G6" s="15">
        <f t="shared" si="2"/>
        <v>2.16972222222222</v>
      </c>
      <c r="H6" s="15">
        <f t="shared" si="3"/>
        <v>0</v>
      </c>
      <c r="I6" s="23" t="s">
        <v>71</v>
      </c>
      <c r="J6" s="24">
        <f>SUMIF(B:B,"放行席",F:F)</f>
        <v>2.40888888888889</v>
      </c>
      <c r="K6" s="25">
        <f>SUMIF(B:B,"放行席",G:G)</f>
        <v>0</v>
      </c>
      <c r="L6" s="25">
        <f>SUMIF(B:B,"放行席",H:H)</f>
        <v>2.40888888888889</v>
      </c>
      <c r="M6" s="21"/>
    </row>
    <row r="7" ht="18.75" spans="1:13">
      <c r="A7" s="12">
        <f ca="1" t="shared" si="0"/>
        <v>46207.6477574074</v>
      </c>
      <c r="B7" s="6" t="s">
        <v>68</v>
      </c>
      <c r="C7" s="13">
        <v>0.64775462962963</v>
      </c>
      <c r="D7" s="13" t="s">
        <v>65</v>
      </c>
      <c r="E7" s="13">
        <v>0.771273148148148</v>
      </c>
      <c r="F7" s="14">
        <f t="shared" si="1"/>
        <v>2.96444444444445</v>
      </c>
      <c r="G7" s="15">
        <f t="shared" si="2"/>
        <v>2.96444444444445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46207.812537963</v>
      </c>
      <c r="B8" s="6" t="s">
        <v>84</v>
      </c>
      <c r="C8" s="13">
        <v>0.812534722222222</v>
      </c>
      <c r="D8" s="13" t="s">
        <v>65</v>
      </c>
      <c r="E8" s="13">
        <v>0.957048611111111</v>
      </c>
      <c r="F8" s="14">
        <f t="shared" si="1"/>
        <v>3.46833333333333</v>
      </c>
      <c r="G8" s="15">
        <f t="shared" si="2"/>
        <v>3.46833333333333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46208.2979512731</v>
      </c>
      <c r="B9" s="6" t="s">
        <v>68</v>
      </c>
      <c r="C9" s="13">
        <v>0.297951388888889</v>
      </c>
      <c r="D9" s="13" t="s">
        <v>65</v>
      </c>
      <c r="E9" s="13">
        <v>0.366840277777778</v>
      </c>
      <c r="F9" s="14">
        <f t="shared" si="1"/>
        <v>1.65333333333333</v>
      </c>
      <c r="G9" s="15">
        <f t="shared" si="2"/>
        <v>0.804166666666675</v>
      </c>
      <c r="H9" s="15">
        <f t="shared" si="3"/>
        <v>0.849166666666658</v>
      </c>
      <c r="I9" s="23" t="s">
        <v>74</v>
      </c>
      <c r="J9" s="24">
        <f>SUMIF(B:B,"航班调度席",F:F)</f>
        <v>11.3330555555556</v>
      </c>
      <c r="K9" s="25">
        <f>SUMIF(B:B,"航班调度席",G:G)</f>
        <v>11.3330555555556</v>
      </c>
      <c r="L9" s="25">
        <f>SUMIF(B:B,"航班调度席",H:H)</f>
        <v>0</v>
      </c>
      <c r="M9" s="21"/>
    </row>
    <row r="10" ht="18.75" spans="1:13">
      <c r="A10" s="12">
        <f ca="1" t="shared" si="0"/>
        <v>46211.0126927083</v>
      </c>
      <c r="B10" s="6" t="s">
        <v>68</v>
      </c>
      <c r="C10" s="13">
        <v>0.0126851851851852</v>
      </c>
      <c r="D10" s="13" t="s">
        <v>65</v>
      </c>
      <c r="E10" s="13">
        <v>0.123530092592593</v>
      </c>
      <c r="F10" s="14">
        <f t="shared" si="1"/>
        <v>2.66027777777778</v>
      </c>
      <c r="G10" s="15">
        <f t="shared" si="2"/>
        <v>0</v>
      </c>
      <c r="H10" s="15">
        <f t="shared" si="3"/>
        <v>2.66027777777778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46216.0139342593</v>
      </c>
      <c r="B11" s="6" t="s">
        <v>83</v>
      </c>
      <c r="C11" s="13">
        <v>0.0139583333333333</v>
      </c>
      <c r="D11" s="13" t="s">
        <v>65</v>
      </c>
      <c r="E11" s="13">
        <v>0.117789351851852</v>
      </c>
      <c r="F11" s="14">
        <f t="shared" si="1"/>
        <v>2.49194444444444</v>
      </c>
      <c r="G11" s="15">
        <f t="shared" si="2"/>
        <v>0</v>
      </c>
      <c r="H11" s="15">
        <f t="shared" si="3"/>
        <v>2.49194444444444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46216.1178217593</v>
      </c>
      <c r="B12" s="6" t="s">
        <v>84</v>
      </c>
      <c r="C12" s="13">
        <v>0.1178125</v>
      </c>
      <c r="D12" s="13" t="s">
        <v>65</v>
      </c>
      <c r="E12" s="13">
        <v>0.142048611111111</v>
      </c>
      <c r="F12" s="14">
        <f t="shared" si="1"/>
        <v>0.581666666666667</v>
      </c>
      <c r="G12" s="15">
        <f t="shared" si="2"/>
        <v>0</v>
      </c>
      <c r="H12" s="15">
        <f t="shared" si="3"/>
        <v>0.581666666666667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46218.3551640046</v>
      </c>
      <c r="B13" s="6" t="s">
        <v>70</v>
      </c>
      <c r="C13" s="13">
        <v>0.355162037037037</v>
      </c>
      <c r="D13" s="13" t="s">
        <v>65</v>
      </c>
      <c r="E13" s="13">
        <v>0.528043981481481</v>
      </c>
      <c r="F13" s="14">
        <f t="shared" si="1"/>
        <v>4.14916666666667</v>
      </c>
      <c r="G13" s="15">
        <f t="shared" si="2"/>
        <v>4.14916666666667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46218.6892770833</v>
      </c>
      <c r="B14" s="6" t="s">
        <v>83</v>
      </c>
      <c r="C14" s="13">
        <v>0.689270833333333</v>
      </c>
      <c r="D14" s="13" t="s">
        <v>65</v>
      </c>
      <c r="E14" s="13">
        <v>0.77525462962963</v>
      </c>
      <c r="F14" s="14">
        <f t="shared" si="1"/>
        <v>2.06361111111111</v>
      </c>
      <c r="G14" s="15">
        <f t="shared" si="2"/>
        <v>2.06361111111111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46218.8554111111</v>
      </c>
      <c r="B15" s="6" t="s">
        <v>70</v>
      </c>
      <c r="C15" s="13">
        <v>0.855405092592593</v>
      </c>
      <c r="D15" s="13" t="s">
        <v>65</v>
      </c>
      <c r="E15" s="13">
        <v>0.958819444444444</v>
      </c>
      <c r="F15" s="14">
        <f t="shared" si="1"/>
        <v>2.48194444444445</v>
      </c>
      <c r="G15" s="15">
        <f t="shared" si="2"/>
        <v>2.48194444444445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46219.5227780093</v>
      </c>
      <c r="B16" s="6" t="s">
        <v>70</v>
      </c>
      <c r="C16" s="13">
        <v>0.522777777777778</v>
      </c>
      <c r="D16" s="13" t="s">
        <v>65</v>
      </c>
      <c r="E16" s="13">
        <v>0.651689814814815</v>
      </c>
      <c r="F16" s="14">
        <f t="shared" si="1"/>
        <v>3.09388888888889</v>
      </c>
      <c r="G16" s="15">
        <f t="shared" si="2"/>
        <v>3.09388888888889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46219.7295650463</v>
      </c>
      <c r="B17" s="6" t="s">
        <v>83</v>
      </c>
      <c r="C17" s="13">
        <v>0.729560185185185</v>
      </c>
      <c r="D17" s="13" t="s">
        <v>65</v>
      </c>
      <c r="E17" s="13">
        <v>0.796863425925926</v>
      </c>
      <c r="F17" s="14">
        <f t="shared" si="1"/>
        <v>1.61527777777778</v>
      </c>
      <c r="G17" s="15">
        <f t="shared" si="2"/>
        <v>1.61527777777778</v>
      </c>
      <c r="H17" s="15">
        <f t="shared" si="3"/>
        <v>0</v>
      </c>
      <c r="I17" s="39" t="s">
        <v>80</v>
      </c>
      <c r="J17" s="40">
        <f>J4+J5+J6+J7+J10</f>
        <v>53.6766666666667</v>
      </c>
      <c r="K17" s="41">
        <f>K4+K5+K6+K7+K10</f>
        <v>31.4772222222222</v>
      </c>
      <c r="L17" s="42">
        <f>L4+L5+L6+L7+L10</f>
        <v>22.1994444444444</v>
      </c>
      <c r="M17" s="43"/>
    </row>
    <row r="18" ht="20.25" spans="1:13">
      <c r="A18" s="12">
        <f ca="1" t="shared" si="0"/>
        <v>46223.1390844907</v>
      </c>
      <c r="B18" s="6" t="s">
        <v>70</v>
      </c>
      <c r="C18" s="13">
        <v>0.139074074074074</v>
      </c>
      <c r="D18" s="13" t="s">
        <v>65</v>
      </c>
      <c r="E18" s="13">
        <v>0.230266203703704</v>
      </c>
      <c r="F18" s="14">
        <f t="shared" si="1"/>
        <v>2.18861111111111</v>
      </c>
      <c r="G18" s="15">
        <f t="shared" si="2"/>
        <v>0</v>
      </c>
      <c r="H18" s="15">
        <f t="shared" si="3"/>
        <v>2.18861111111111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46223.2303037037</v>
      </c>
      <c r="B19" s="6" t="s">
        <v>68</v>
      </c>
      <c r="C19" s="13">
        <v>0.230300925925926</v>
      </c>
      <c r="D19" s="13" t="s">
        <v>65</v>
      </c>
      <c r="E19" s="13">
        <v>0.308599537037037</v>
      </c>
      <c r="F19" s="14">
        <f t="shared" si="1"/>
        <v>1.87916666666667</v>
      </c>
      <c r="G19" s="15">
        <f t="shared" si="2"/>
        <v>0</v>
      </c>
      <c r="H19" s="15">
        <f t="shared" si="3"/>
        <v>1.87916666666667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46223.9522805556</v>
      </c>
      <c r="B20" s="6" t="s">
        <v>84</v>
      </c>
      <c r="C20" s="13">
        <v>0.952280092592593</v>
      </c>
      <c r="D20" s="13" t="s">
        <v>65</v>
      </c>
      <c r="E20" s="13">
        <v>0.139108796296296</v>
      </c>
      <c r="F20" s="14">
        <f t="shared" si="1"/>
        <v>4.48388888888889</v>
      </c>
      <c r="G20" s="15">
        <f t="shared" si="2"/>
        <v>1.14527777777778</v>
      </c>
      <c r="H20" s="15">
        <f t="shared" si="3"/>
        <v>3.33861111111111</v>
      </c>
      <c r="I20" s="44" t="s">
        <v>82</v>
      </c>
      <c r="J20" s="45">
        <f>J16+J17+J18+J19</f>
        <v>53.6766666666667</v>
      </c>
      <c r="K20" s="46"/>
      <c r="L20" s="47"/>
      <c r="M20" s="48"/>
    </row>
    <row r="21" ht="20.25" spans="1:13">
      <c r="A21" s="12">
        <f ca="1" t="shared" si="0"/>
        <v>46227.1335021991</v>
      </c>
      <c r="B21" s="6" t="s">
        <v>85</v>
      </c>
      <c r="C21" s="13">
        <v>0.13349537037037</v>
      </c>
      <c r="D21" s="13" t="s">
        <v>65</v>
      </c>
      <c r="E21" s="13">
        <v>0.233865740740741</v>
      </c>
      <c r="F21" s="14">
        <f t="shared" si="1"/>
        <v>2.40888888888889</v>
      </c>
      <c r="G21" s="15">
        <f t="shared" si="2"/>
        <v>0</v>
      </c>
      <c r="H21" s="15">
        <f t="shared" si="3"/>
        <v>2.40888888888889</v>
      </c>
      <c r="I21" s="49" t="s">
        <v>5</v>
      </c>
      <c r="J21" s="50">
        <f>SUM(J8:J9)</f>
        <v>11.3330555555556</v>
      </c>
      <c r="K21" s="41">
        <f>SUM(K8:K9)</f>
        <v>11.3330555555556</v>
      </c>
      <c r="L21" s="42">
        <f>SUM(L8:L9)</f>
        <v>0</v>
      </c>
      <c r="M21" s="51"/>
    </row>
    <row r="22" ht="18.75" spans="1:10">
      <c r="A22" s="12">
        <f ca="1" t="shared" si="0"/>
        <v>46228.0110627315</v>
      </c>
      <c r="B22" s="6" t="s">
        <v>68</v>
      </c>
      <c r="C22" s="13">
        <v>0.0110532407407407</v>
      </c>
      <c r="D22" s="13" t="s">
        <v>65</v>
      </c>
      <c r="E22" s="13">
        <v>0.106342592592593</v>
      </c>
      <c r="F22" s="14">
        <f t="shared" si="1"/>
        <v>2.28694444444444</v>
      </c>
      <c r="G22" s="15">
        <f t="shared" si="2"/>
        <v>0</v>
      </c>
      <c r="H22" s="15">
        <f t="shared" si="3"/>
        <v>2.28694444444444</v>
      </c>
      <c r="I22"/>
      <c r="J22"/>
    </row>
    <row r="23" ht="18.75" spans="1:10">
      <c r="A23" s="12">
        <f ca="1" t="shared" si="0"/>
        <v>46228.1063806713</v>
      </c>
      <c r="B23" s="6" t="s">
        <v>70</v>
      </c>
      <c r="C23" s="13">
        <v>0.106377314814815</v>
      </c>
      <c r="D23" s="13" t="s">
        <v>65</v>
      </c>
      <c r="E23" s="13">
        <v>0.142164351851852</v>
      </c>
      <c r="F23" s="14">
        <f t="shared" si="1"/>
        <v>0.858888888888889</v>
      </c>
      <c r="G23" s="15">
        <f t="shared" si="2"/>
        <v>0</v>
      </c>
      <c r="H23" s="15">
        <f t="shared" si="3"/>
        <v>0.858888888888889</v>
      </c>
      <c r="I23"/>
      <c r="J23"/>
    </row>
    <row r="24" ht="18.75" spans="1:10">
      <c r="A24" s="12">
        <f ca="1" t="shared" si="0"/>
        <v>46230.3809930556</v>
      </c>
      <c r="B24" s="6" t="s">
        <v>87</v>
      </c>
      <c r="C24" s="13">
        <v>0.380983796296296</v>
      </c>
      <c r="D24" s="13" t="s">
        <v>65</v>
      </c>
      <c r="E24" s="13">
        <v>0.489722222222222</v>
      </c>
      <c r="F24" s="14">
        <f t="shared" si="1"/>
        <v>2.60972222222222</v>
      </c>
      <c r="G24" s="15">
        <f t="shared" si="2"/>
        <v>2.60972222222222</v>
      </c>
      <c r="H24" s="15">
        <f t="shared" si="3"/>
        <v>0</v>
      </c>
      <c r="I24"/>
      <c r="J24"/>
    </row>
    <row r="25" ht="18.75" spans="1:10">
      <c r="A25" s="12">
        <f ca="1" t="shared" si="0"/>
        <v>46230.5883048611</v>
      </c>
      <c r="B25" s="6" t="s">
        <v>87</v>
      </c>
      <c r="C25" s="13">
        <v>0.588298611111111</v>
      </c>
      <c r="D25" s="13" t="s">
        <v>65</v>
      </c>
      <c r="E25" s="13">
        <v>0.727488425925926</v>
      </c>
      <c r="F25" s="14">
        <f t="shared" si="1"/>
        <v>3.34055555555555</v>
      </c>
      <c r="G25" s="15">
        <f t="shared" si="2"/>
        <v>3.34055555555555</v>
      </c>
      <c r="H25" s="15">
        <f t="shared" si="3"/>
        <v>0</v>
      </c>
      <c r="I25"/>
      <c r="J25"/>
    </row>
    <row r="26" ht="18.75" spans="1:10">
      <c r="A26" s="12">
        <f ca="1" t="shared" si="0"/>
        <v>46231.3722493056</v>
      </c>
      <c r="B26" s="6" t="s">
        <v>87</v>
      </c>
      <c r="C26" s="13">
        <v>0.37224537037037</v>
      </c>
      <c r="D26" s="13" t="s">
        <v>65</v>
      </c>
      <c r="E26" s="13">
        <v>0.502268518518519</v>
      </c>
      <c r="F26" s="14">
        <f t="shared" si="1"/>
        <v>3.12055555555556</v>
      </c>
      <c r="G26" s="15">
        <f t="shared" si="2"/>
        <v>3.12055555555556</v>
      </c>
      <c r="H26" s="15">
        <f t="shared" si="3"/>
        <v>0</v>
      </c>
      <c r="I26"/>
      <c r="J26"/>
    </row>
    <row r="27" ht="18.75" spans="1:10">
      <c r="A27" s="12">
        <f ca="1" t="shared" si="0"/>
        <v>46231.5814967593</v>
      </c>
      <c r="B27" s="6" t="s">
        <v>87</v>
      </c>
      <c r="C27" s="13">
        <v>0.581493055555556</v>
      </c>
      <c r="D27" s="13" t="s">
        <v>65</v>
      </c>
      <c r="E27" s="13">
        <v>0.675752314814815</v>
      </c>
      <c r="F27" s="14">
        <f t="shared" si="1"/>
        <v>2.26222222222222</v>
      </c>
      <c r="G27" s="15">
        <f t="shared" si="2"/>
        <v>2.26222222222222</v>
      </c>
      <c r="H27" s="15">
        <f t="shared" si="3"/>
        <v>0</v>
      </c>
      <c r="I27"/>
      <c r="J27"/>
    </row>
    <row r="28" ht="18.75" spans="1:10">
      <c r="A28" s="12">
        <v>46234</v>
      </c>
      <c r="B28" s="6" t="s">
        <v>84</v>
      </c>
      <c r="C28" s="13">
        <v>0.951944444444444</v>
      </c>
      <c r="D28" s="13" t="s">
        <v>65</v>
      </c>
      <c r="E28" s="13">
        <v>0.999872685185185</v>
      </c>
      <c r="F28" s="14">
        <f t="shared" si="1"/>
        <v>1.15027777777778</v>
      </c>
      <c r="G28" s="15">
        <f t="shared" si="2"/>
        <v>1.15027777777778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46204.0075107639</v>
      </c>
      <c r="B3" s="6" t="s">
        <v>64</v>
      </c>
      <c r="C3" s="13">
        <v>1.15740740740741e-5</v>
      </c>
      <c r="D3" s="13" t="s">
        <v>65</v>
      </c>
      <c r="E3" s="13">
        <v>0.139583333333333</v>
      </c>
      <c r="F3" s="14">
        <f t="shared" ref="F3:F66" si="1">(IF(E3-C3&lt;0,"24:00"-C3+E3,E3-C3))*24</f>
        <v>3.34972222222222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3.34972222222222</v>
      </c>
      <c r="I3" s="18" t="s">
        <v>66</v>
      </c>
      <c r="J3" s="19">
        <f>SUMIF(B:B,"带班主任",F:F)</f>
        <v>47.2413888888889</v>
      </c>
      <c r="K3" s="20">
        <f>SUMIF(B:B,"带班主任",G:G)</f>
        <v>37.6958333333334</v>
      </c>
      <c r="L3" s="20">
        <f>SUMIF(B:B,"带班主任",H:H)</f>
        <v>9.54555555555552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46207.1384842593</v>
      </c>
      <c r="B4" s="6" t="s">
        <v>84</v>
      </c>
      <c r="C4" s="13">
        <v>0.138483796296296</v>
      </c>
      <c r="D4" s="13" t="s">
        <v>65</v>
      </c>
      <c r="E4" s="13">
        <v>0.309212962962963</v>
      </c>
      <c r="F4" s="14">
        <f t="shared" si="1"/>
        <v>4.0975</v>
      </c>
      <c r="G4" s="15">
        <f t="shared" si="2"/>
        <v>0</v>
      </c>
      <c r="H4" s="15">
        <f t="shared" si="3"/>
        <v>4.0975</v>
      </c>
      <c r="I4" s="23" t="s">
        <v>67</v>
      </c>
      <c r="J4" s="24">
        <f>SUMIF(B:B,"西塔台管制席",F:F)+SUMIF(B:B,"东塔台管制席",F:F)</f>
        <v>9.32638888888889</v>
      </c>
      <c r="K4" s="25">
        <f>SUMIF(B:B,"西塔台管制席",G:G)+SUMIF(B:B,"东塔台管制席",G:G)</f>
        <v>2.06333333333333</v>
      </c>
      <c r="L4" s="25">
        <f>SUMIF(B:B,"西塔台管制席",H:H)+SUMIF(B:B,"东塔台管制席",H:H)</f>
        <v>7.26305555555556</v>
      </c>
      <c r="M4" s="21"/>
    </row>
    <row r="5" ht="18.75" spans="1:13">
      <c r="A5" s="12">
        <f ca="1" t="shared" si="0"/>
        <v>46207.7882777778</v>
      </c>
      <c r="B5" s="6" t="s">
        <v>64</v>
      </c>
      <c r="C5" s="13">
        <v>0.788275462962963</v>
      </c>
      <c r="D5" s="13" t="s">
        <v>65</v>
      </c>
      <c r="E5" s="13">
        <v>0.950694444444444</v>
      </c>
      <c r="F5" s="14">
        <f t="shared" si="1"/>
        <v>3.89805555555555</v>
      </c>
      <c r="G5" s="15">
        <f t="shared" si="2"/>
        <v>3.89805555555555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14.0475</v>
      </c>
      <c r="K5" s="25">
        <f>SUMIF(B:B,"西塔台协调席",G:G)+SUMIF(B:B,"东塔台协调席",G:G)</f>
        <v>11.8530555555556</v>
      </c>
      <c r="L5" s="25">
        <f>SUMIF(B:B,"西塔台协调席",H:H)+SUMIF(B:B,"东塔台协调席",H:H)</f>
        <v>2.19444444444444</v>
      </c>
      <c r="M5" s="21"/>
    </row>
    <row r="6" ht="18.75" spans="1:13">
      <c r="A6" s="12">
        <f ca="1" t="shared" si="0"/>
        <v>46208.3138730324</v>
      </c>
      <c r="B6" s="6" t="s">
        <v>64</v>
      </c>
      <c r="C6" s="13">
        <v>0.313865740740741</v>
      </c>
      <c r="D6" s="13" t="s">
        <v>65</v>
      </c>
      <c r="E6" s="13">
        <v>0.367175925925926</v>
      </c>
      <c r="F6" s="14">
        <f t="shared" si="1"/>
        <v>1.27944444444445</v>
      </c>
      <c r="G6" s="15">
        <f t="shared" si="2"/>
        <v>0.812222222222232</v>
      </c>
      <c r="H6" s="15">
        <f t="shared" si="3"/>
        <v>0.467222222222214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46215.3223498843</v>
      </c>
      <c r="B7" s="6" t="s">
        <v>64</v>
      </c>
      <c r="C7" s="13">
        <v>0.322349537037037</v>
      </c>
      <c r="D7" s="13" t="s">
        <v>65</v>
      </c>
      <c r="E7" s="13">
        <v>0.548009259259259</v>
      </c>
      <c r="F7" s="14">
        <f t="shared" si="1"/>
        <v>5.41583333333333</v>
      </c>
      <c r="G7" s="15">
        <f t="shared" si="2"/>
        <v>5.15222222222223</v>
      </c>
      <c r="H7" s="15">
        <f t="shared" si="3"/>
        <v>0.263611111111103</v>
      </c>
      <c r="I7" s="23" t="s">
        <v>72</v>
      </c>
      <c r="J7" s="24">
        <f>SUMIF(B:B,"地面席",F:F)</f>
        <v>2.60694444444444</v>
      </c>
      <c r="K7" s="25">
        <f>SUMIF(B:B,"地面席",G:G)</f>
        <v>0</v>
      </c>
      <c r="L7" s="25">
        <f>SUMIF(B:B,"地面席",H:H)</f>
        <v>2.60694444444444</v>
      </c>
      <c r="M7" s="21"/>
    </row>
    <row r="8" ht="18.75" spans="1:13">
      <c r="A8" s="12">
        <f ca="1" t="shared" si="0"/>
        <v>46215.6461239583</v>
      </c>
      <c r="B8" s="6" t="s">
        <v>64</v>
      </c>
      <c r="C8" s="13">
        <v>0.646122685185185</v>
      </c>
      <c r="D8" s="13" t="s">
        <v>65</v>
      </c>
      <c r="E8" s="13">
        <v>0.7321875</v>
      </c>
      <c r="F8" s="14">
        <f t="shared" si="1"/>
        <v>2.06555555555556</v>
      </c>
      <c r="G8" s="15">
        <f t="shared" si="2"/>
        <v>2.06555555555556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46216.2883050926</v>
      </c>
      <c r="B9" s="6" t="s">
        <v>64</v>
      </c>
      <c r="C9" s="13">
        <v>0.288298611111111</v>
      </c>
      <c r="D9" s="13" t="s">
        <v>65</v>
      </c>
      <c r="E9" s="13">
        <v>0.362546296296296</v>
      </c>
      <c r="F9" s="14">
        <f t="shared" si="1"/>
        <v>1.78194444444444</v>
      </c>
      <c r="G9" s="15">
        <f t="shared" si="2"/>
        <v>0.701111111111119</v>
      </c>
      <c r="H9" s="15">
        <f t="shared" si="3"/>
        <v>1.08083333333333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46218.3552134259</v>
      </c>
      <c r="B10" s="6" t="s">
        <v>83</v>
      </c>
      <c r="C10" s="13">
        <v>0.355208333333333</v>
      </c>
      <c r="D10" s="13" t="s">
        <v>65</v>
      </c>
      <c r="E10" s="13">
        <v>0.528900462962963</v>
      </c>
      <c r="F10" s="14">
        <f t="shared" si="1"/>
        <v>4.16861111111111</v>
      </c>
      <c r="G10" s="15">
        <f t="shared" si="2"/>
        <v>4.16861111111111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46218.6893364583</v>
      </c>
      <c r="B11" s="6" t="s">
        <v>70</v>
      </c>
      <c r="C11" s="13">
        <v>0.689328703703704</v>
      </c>
      <c r="D11" s="13" t="s">
        <v>65</v>
      </c>
      <c r="E11" s="13">
        <v>0.775300925925926</v>
      </c>
      <c r="F11" s="14">
        <f t="shared" si="1"/>
        <v>2.06333333333333</v>
      </c>
      <c r="G11" s="15">
        <f t="shared" si="2"/>
        <v>2.06333333333333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46218.8564900463</v>
      </c>
      <c r="B12" s="6" t="s">
        <v>83</v>
      </c>
      <c r="C12" s="13">
        <v>0.856481481481482</v>
      </c>
      <c r="D12" s="13" t="s">
        <v>65</v>
      </c>
      <c r="E12" s="13">
        <v>0.959027777777778</v>
      </c>
      <c r="F12" s="14">
        <f t="shared" si="1"/>
        <v>2.46111111111111</v>
      </c>
      <c r="G12" s="15">
        <f t="shared" si="2"/>
        <v>2.46111111111111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46219.2995453704</v>
      </c>
      <c r="B13" s="6" t="s">
        <v>83</v>
      </c>
      <c r="C13" s="13">
        <v>0.299537037037037</v>
      </c>
      <c r="D13" s="13" t="s">
        <v>65</v>
      </c>
      <c r="E13" s="13">
        <v>0.42212962962963</v>
      </c>
      <c r="F13" s="14">
        <f t="shared" si="1"/>
        <v>2.94222222222222</v>
      </c>
      <c r="G13" s="15">
        <f t="shared" si="2"/>
        <v>2.13111111111112</v>
      </c>
      <c r="H13" s="15">
        <f t="shared" si="3"/>
        <v>0.811111111111102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46219.5227104167</v>
      </c>
      <c r="B14" s="6" t="s">
        <v>83</v>
      </c>
      <c r="C14" s="13">
        <v>0.522708333333333</v>
      </c>
      <c r="D14" s="13" t="s">
        <v>65</v>
      </c>
      <c r="E14" s="13">
        <v>0.651550925925926</v>
      </c>
      <c r="F14" s="14">
        <f t="shared" si="1"/>
        <v>3.09222222222222</v>
      </c>
      <c r="G14" s="15">
        <f t="shared" si="2"/>
        <v>3.09222222222222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46222.3493136574</v>
      </c>
      <c r="B15" s="6" t="s">
        <v>64</v>
      </c>
      <c r="C15" s="13">
        <v>0.349305555555556</v>
      </c>
      <c r="D15" s="13" t="s">
        <v>65</v>
      </c>
      <c r="E15" s="13">
        <v>0.553298611111111</v>
      </c>
      <c r="F15" s="14">
        <f t="shared" si="1"/>
        <v>4.89583333333333</v>
      </c>
      <c r="G15" s="15">
        <f t="shared" si="2"/>
        <v>4.89583333333333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46222.7859837963</v>
      </c>
      <c r="B16" s="6" t="s">
        <v>64</v>
      </c>
      <c r="C16" s="13">
        <v>0.785983796296296</v>
      </c>
      <c r="D16" s="13" t="s">
        <v>65</v>
      </c>
      <c r="E16" s="13">
        <v>0.833425925925926</v>
      </c>
      <c r="F16" s="14">
        <f t="shared" si="1"/>
        <v>1.13861111111111</v>
      </c>
      <c r="G16" s="15">
        <f t="shared" si="2"/>
        <v>1.13861111111111</v>
      </c>
      <c r="H16" s="15">
        <f t="shared" si="3"/>
        <v>0</v>
      </c>
      <c r="I16" s="39" t="s">
        <v>66</v>
      </c>
      <c r="J16" s="40">
        <f t="shared" ref="J16:L16" si="4">J3</f>
        <v>47.2413888888889</v>
      </c>
      <c r="K16" s="41">
        <f t="shared" si="4"/>
        <v>37.6958333333334</v>
      </c>
      <c r="L16" s="42">
        <f t="shared" si="4"/>
        <v>9.54555555555552</v>
      </c>
      <c r="M16" s="43"/>
    </row>
    <row r="17" ht="20.25" spans="1:13">
      <c r="A17" s="12">
        <f ca="1" t="shared" si="0"/>
        <v>46222.8536869213</v>
      </c>
      <c r="B17" s="6" t="s">
        <v>64</v>
      </c>
      <c r="C17" s="13">
        <v>0.853680555555556</v>
      </c>
      <c r="D17" s="13" t="s">
        <v>65</v>
      </c>
      <c r="E17" s="13">
        <v>0.94005787037037</v>
      </c>
      <c r="F17" s="14">
        <f t="shared" si="1"/>
        <v>2.07305555555556</v>
      </c>
      <c r="G17" s="15">
        <f t="shared" si="2"/>
        <v>2.07305555555556</v>
      </c>
      <c r="H17" s="15">
        <f t="shared" si="3"/>
        <v>0</v>
      </c>
      <c r="I17" s="39" t="s">
        <v>80</v>
      </c>
      <c r="J17" s="40">
        <f>J4+J5+J6+J7+J10</f>
        <v>25.9808333333333</v>
      </c>
      <c r="K17" s="41">
        <f>K4+K5+K6+K7+K10</f>
        <v>13.9163888888889</v>
      </c>
      <c r="L17" s="42">
        <f>L4+L5+L6+L7+L10</f>
        <v>12.0644444444444</v>
      </c>
      <c r="M17" s="43"/>
    </row>
    <row r="18" ht="20.25" spans="1:13">
      <c r="A18" s="12">
        <f ca="1" t="shared" si="0"/>
        <v>46223.290744213</v>
      </c>
      <c r="B18" s="6" t="s">
        <v>64</v>
      </c>
      <c r="C18" s="13">
        <v>0.290740740740741</v>
      </c>
      <c r="D18" s="13" t="s">
        <v>65</v>
      </c>
      <c r="E18" s="13">
        <v>0.546516203703704</v>
      </c>
      <c r="F18" s="14">
        <f t="shared" si="1"/>
        <v>6.13861111111111</v>
      </c>
      <c r="G18" s="15">
        <f t="shared" si="2"/>
        <v>5.1163888888889</v>
      </c>
      <c r="H18" s="15">
        <f t="shared" si="3"/>
        <v>1.02222222222221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46223.9352513889</v>
      </c>
      <c r="B19" s="6" t="s">
        <v>64</v>
      </c>
      <c r="C19" s="13">
        <v>0.935243055555556</v>
      </c>
      <c r="D19" s="13" t="s">
        <v>65</v>
      </c>
      <c r="E19" s="13">
        <v>0.140081018518519</v>
      </c>
      <c r="F19" s="14">
        <f t="shared" si="1"/>
        <v>4.91611111111111</v>
      </c>
      <c r="G19" s="15">
        <f t="shared" si="2"/>
        <v>1.55416666666667</v>
      </c>
      <c r="H19" s="15">
        <f t="shared" si="3"/>
        <v>3.36194444444444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46231.0144203704</v>
      </c>
      <c r="B20" s="6" t="s">
        <v>70</v>
      </c>
      <c r="C20" s="13">
        <v>0.0144097222222222</v>
      </c>
      <c r="D20" s="13" t="s">
        <v>65</v>
      </c>
      <c r="E20" s="13">
        <v>0.14630787037037</v>
      </c>
      <c r="F20" s="14">
        <f t="shared" si="1"/>
        <v>3.16555555555556</v>
      </c>
      <c r="G20" s="15">
        <f t="shared" si="2"/>
        <v>0</v>
      </c>
      <c r="H20" s="15">
        <f t="shared" si="3"/>
        <v>3.16555555555556</v>
      </c>
      <c r="I20" s="44" t="s">
        <v>82</v>
      </c>
      <c r="J20" s="45">
        <f>J16+J17+J18+J19</f>
        <v>73.2222222222222</v>
      </c>
      <c r="K20" s="46"/>
      <c r="L20" s="47"/>
      <c r="M20" s="48"/>
    </row>
    <row r="21" ht="20.25" spans="1:13">
      <c r="A21" s="12">
        <f ca="1" t="shared" si="0"/>
        <v>46232.1389318287</v>
      </c>
      <c r="B21" s="6" t="s">
        <v>86</v>
      </c>
      <c r="C21" s="13">
        <v>0.138923611111111</v>
      </c>
      <c r="D21" s="13" t="s">
        <v>65</v>
      </c>
      <c r="E21" s="13">
        <v>0.247546296296296</v>
      </c>
      <c r="F21" s="14">
        <f t="shared" si="1"/>
        <v>2.60694444444444</v>
      </c>
      <c r="G21" s="15">
        <f t="shared" si="2"/>
        <v>0</v>
      </c>
      <c r="H21" s="15">
        <f t="shared" si="3"/>
        <v>2.60694444444444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46232.2475802083</v>
      </c>
      <c r="B22" s="6" t="s">
        <v>83</v>
      </c>
      <c r="C22" s="13">
        <v>0.247569444444444</v>
      </c>
      <c r="D22" s="13" t="s">
        <v>65</v>
      </c>
      <c r="E22" s="13">
        <v>0.305208333333333</v>
      </c>
      <c r="F22" s="14">
        <f t="shared" si="1"/>
        <v>1.38333333333333</v>
      </c>
      <c r="G22" s="15">
        <f t="shared" si="2"/>
        <v>0</v>
      </c>
      <c r="H22" s="15">
        <f t="shared" si="3"/>
        <v>1.38333333333333</v>
      </c>
      <c r="I22"/>
      <c r="J22"/>
    </row>
    <row r="23" ht="18.75" spans="1:10">
      <c r="A23" s="12">
        <f ca="1" t="shared" si="0"/>
        <v>46234.3500052083</v>
      </c>
      <c r="B23" s="6" t="s">
        <v>64</v>
      </c>
      <c r="C23" s="13">
        <v>0.35</v>
      </c>
      <c r="D23" s="13" t="s">
        <v>65</v>
      </c>
      <c r="E23" s="13">
        <v>0.56994212962963</v>
      </c>
      <c r="F23" s="14">
        <f t="shared" si="1"/>
        <v>5.27861111111111</v>
      </c>
      <c r="G23" s="15">
        <f t="shared" si="2"/>
        <v>5.27861111111111</v>
      </c>
      <c r="H23" s="15">
        <f t="shared" si="3"/>
        <v>0</v>
      </c>
      <c r="I23"/>
      <c r="J23"/>
    </row>
    <row r="24" ht="18.75" spans="1:10">
      <c r="A24" s="12">
        <f ca="1" t="shared" si="0"/>
        <v>46234.7912584491</v>
      </c>
      <c r="B24" s="6" t="s">
        <v>64</v>
      </c>
      <c r="C24" s="13">
        <v>0.79125</v>
      </c>
      <c r="D24" s="13"/>
      <c r="E24" s="13"/>
      <c r="F24" s="14">
        <f t="shared" si="1"/>
        <v>5.01</v>
      </c>
      <c r="G24" s="15">
        <f t="shared" si="2"/>
        <v>5.01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P339"/>
  <sheetViews>
    <sheetView zoomScale="85" zoomScaleNormal="85" workbookViewId="0">
      <selection activeCell="C26" sqref="C26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46208.1400872685</v>
      </c>
      <c r="B3" s="6" t="s">
        <v>70</v>
      </c>
      <c r="C3" s="13">
        <v>0.140081018518519</v>
      </c>
      <c r="D3" s="13" t="s">
        <v>65</v>
      </c>
      <c r="E3" s="13">
        <v>0.277569444444444</v>
      </c>
      <c r="F3" s="14">
        <f t="shared" ref="F3:F66" si="1">(IF(E3-C3&lt;0,"24:00"-C3+E3,E3-C3))*24</f>
        <v>3.29972222222222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3.29972222222222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46208.2776295139</v>
      </c>
      <c r="B4" s="6" t="s">
        <v>68</v>
      </c>
      <c r="C4" s="13">
        <v>0.277627314814815</v>
      </c>
      <c r="D4" s="13" t="s">
        <v>65</v>
      </c>
      <c r="E4" s="13">
        <v>0.303773148148148</v>
      </c>
      <c r="F4" s="14">
        <f t="shared" si="1"/>
        <v>0.627500000000001</v>
      </c>
      <c r="G4" s="15">
        <f t="shared" si="2"/>
        <v>0</v>
      </c>
      <c r="H4" s="15">
        <f t="shared" si="3"/>
        <v>0.627500000000001</v>
      </c>
      <c r="I4" s="23" t="s">
        <v>67</v>
      </c>
      <c r="J4" s="24">
        <f>SUMIF(B:B,"西塔台管制席",F:F)+SUMIF(B:B,"东塔台管制席",F:F)</f>
        <v>31.955</v>
      </c>
      <c r="K4" s="25">
        <f>SUMIF(B:B,"西塔台管制席",G:G)+SUMIF(B:B,"东塔台管制席",G:G)</f>
        <v>15.4352777777778</v>
      </c>
      <c r="L4" s="25">
        <f>SUMIF(B:B,"西塔台管制席",H:H)+SUMIF(B:B,"东塔台管制席",H:H)</f>
        <v>16.5197222222222</v>
      </c>
      <c r="M4" s="21"/>
    </row>
    <row r="5" ht="18.75" spans="1:13">
      <c r="A5" s="12">
        <f ca="1" t="shared" si="0"/>
        <v>46211.140566088</v>
      </c>
      <c r="B5" s="6" t="s">
        <v>86</v>
      </c>
      <c r="C5" s="13">
        <v>0.140555555555556</v>
      </c>
      <c r="D5" s="13" t="s">
        <v>65</v>
      </c>
      <c r="E5" s="13">
        <v>0.236215277777778</v>
      </c>
      <c r="F5" s="14">
        <f t="shared" si="1"/>
        <v>2.29583333333333</v>
      </c>
      <c r="G5" s="15">
        <f t="shared" si="2"/>
        <v>0</v>
      </c>
      <c r="H5" s="15">
        <f t="shared" si="3"/>
        <v>2.29583333333333</v>
      </c>
      <c r="I5" s="23" t="s">
        <v>69</v>
      </c>
      <c r="J5" s="24">
        <f>SUMIF(B:B,"西塔台协调席",F:F)+SUMIF(B:B,"东塔台协调席",F:F)</f>
        <v>24.9894444444444</v>
      </c>
      <c r="K5" s="25">
        <f>SUMIF(B:B,"西塔台协调席",G:G)+SUMIF(B:B,"东塔台协调席",G:G)</f>
        <v>16.87</v>
      </c>
      <c r="L5" s="25">
        <f>SUMIF(B:B,"西塔台协调席",H:H)+SUMIF(B:B,"东塔台协调席",H:H)</f>
        <v>8.11944444444443</v>
      </c>
      <c r="M5" s="21"/>
    </row>
    <row r="6" ht="18.75" spans="1:13">
      <c r="A6" s="12">
        <f ca="1" t="shared" si="0"/>
        <v>46212.0137045139</v>
      </c>
      <c r="B6" s="6" t="s">
        <v>84</v>
      </c>
      <c r="C6" s="13">
        <v>0.0137037037037037</v>
      </c>
      <c r="D6" s="13" t="s">
        <v>65</v>
      </c>
      <c r="E6" s="13">
        <v>0.112303240740741</v>
      </c>
      <c r="F6" s="14">
        <f t="shared" si="1"/>
        <v>2.36638888888889</v>
      </c>
      <c r="G6" s="15">
        <f t="shared" si="2"/>
        <v>0</v>
      </c>
      <c r="H6" s="15">
        <f t="shared" si="3"/>
        <v>2.36638888888889</v>
      </c>
      <c r="I6" s="23" t="s">
        <v>71</v>
      </c>
      <c r="J6" s="24">
        <f>SUMIF(B:B,"放行席",F:F)</f>
        <v>2.14083333333333</v>
      </c>
      <c r="K6" s="25">
        <f>SUMIF(B:B,"放行席",G:G)</f>
        <v>0</v>
      </c>
      <c r="L6" s="25">
        <f>SUMIF(B:B,"放行席",H:H)</f>
        <v>2.14083333333333</v>
      </c>
      <c r="M6" s="21"/>
    </row>
    <row r="7" ht="18.75" spans="1:13">
      <c r="A7" s="12">
        <f ca="1" t="shared" si="0"/>
        <v>46212.112387963</v>
      </c>
      <c r="B7" s="6" t="s">
        <v>83</v>
      </c>
      <c r="C7" s="13">
        <v>0.112453703703704</v>
      </c>
      <c r="D7" s="13" t="s">
        <v>65</v>
      </c>
      <c r="E7" s="13">
        <v>0.144201388888889</v>
      </c>
      <c r="F7" s="14">
        <f t="shared" si="1"/>
        <v>0.761944444444444</v>
      </c>
      <c r="G7" s="15">
        <f t="shared" si="2"/>
        <v>0</v>
      </c>
      <c r="H7" s="15">
        <f t="shared" si="3"/>
        <v>0.761944444444444</v>
      </c>
      <c r="I7" s="23" t="s">
        <v>72</v>
      </c>
      <c r="J7" s="24">
        <f>SUMIF(B:B,"地面席",F:F)</f>
        <v>2.29583333333333</v>
      </c>
      <c r="K7" s="25">
        <f>SUMIF(B:B,"地面席",G:G)</f>
        <v>0</v>
      </c>
      <c r="L7" s="25">
        <f>SUMIF(B:B,"地面席",H:H)</f>
        <v>2.29583333333333</v>
      </c>
      <c r="M7" s="21"/>
    </row>
    <row r="8" ht="18.75" spans="1:13">
      <c r="A8" s="12">
        <f ca="1" t="shared" si="0"/>
        <v>46214.5330180556</v>
      </c>
      <c r="B8" s="6" t="s">
        <v>70</v>
      </c>
      <c r="C8" s="13">
        <v>0.533009259259259</v>
      </c>
      <c r="D8" s="13" t="s">
        <v>65</v>
      </c>
      <c r="E8" s="13">
        <v>0.652523148148148</v>
      </c>
      <c r="F8" s="14">
        <f t="shared" si="1"/>
        <v>2.86833333333333</v>
      </c>
      <c r="G8" s="15">
        <f t="shared" si="2"/>
        <v>2.86833333333333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46214.6525611111</v>
      </c>
      <c r="B9" s="6" t="s">
        <v>68</v>
      </c>
      <c r="C9" s="13">
        <v>0.65255787037037</v>
      </c>
      <c r="D9" s="13" t="s">
        <v>65</v>
      </c>
      <c r="E9" s="13">
        <v>0.696342592592593</v>
      </c>
      <c r="F9" s="14">
        <f t="shared" si="1"/>
        <v>1.05083333333334</v>
      </c>
      <c r="G9" s="15">
        <f t="shared" si="2"/>
        <v>1.05083333333334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46214.8485385417</v>
      </c>
      <c r="B10" s="6" t="s">
        <v>68</v>
      </c>
      <c r="C10" s="13">
        <v>0.848530092592593</v>
      </c>
      <c r="D10" s="13" t="s">
        <v>65</v>
      </c>
      <c r="E10" s="13">
        <v>0.958935185185185</v>
      </c>
      <c r="F10" s="14">
        <f t="shared" si="1"/>
        <v>2.64972222222222</v>
      </c>
      <c r="G10" s="15">
        <f t="shared" si="2"/>
        <v>2.64972222222222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46215.4602203704</v>
      </c>
      <c r="B11" s="6" t="s">
        <v>68</v>
      </c>
      <c r="C11" s="13">
        <v>0.460219907407407</v>
      </c>
      <c r="D11" s="13" t="s">
        <v>65</v>
      </c>
      <c r="E11" s="13">
        <v>0.630393518518519</v>
      </c>
      <c r="F11" s="14">
        <f t="shared" si="1"/>
        <v>4.08416666666667</v>
      </c>
      <c r="G11" s="15">
        <f t="shared" si="2"/>
        <v>4.08416666666667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46215.7931292824</v>
      </c>
      <c r="B12" s="6" t="s">
        <v>84</v>
      </c>
      <c r="C12" s="13">
        <v>0.793125</v>
      </c>
      <c r="D12" s="13" t="s">
        <v>65</v>
      </c>
      <c r="E12" s="13">
        <v>0.957581018518519</v>
      </c>
      <c r="F12" s="14">
        <f t="shared" si="1"/>
        <v>3.94694444444444</v>
      </c>
      <c r="G12" s="15">
        <f t="shared" si="2"/>
        <v>3.94694444444444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46216.299524537</v>
      </c>
      <c r="B13" s="6" t="s">
        <v>68</v>
      </c>
      <c r="C13" s="13">
        <v>0.299513888888889</v>
      </c>
      <c r="D13" s="13" t="s">
        <v>65</v>
      </c>
      <c r="E13" s="13">
        <v>0.363055555555556</v>
      </c>
      <c r="F13" s="14">
        <f t="shared" si="1"/>
        <v>1.525</v>
      </c>
      <c r="G13" s="15">
        <f t="shared" si="2"/>
        <v>0.713333333333341</v>
      </c>
      <c r="H13" s="15">
        <f t="shared" si="3"/>
        <v>0.811666666666658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46218.9526488426</v>
      </c>
      <c r="B14" s="6" t="s">
        <v>83</v>
      </c>
      <c r="C14" s="13">
        <v>0.952638888888889</v>
      </c>
      <c r="D14" s="13" t="s">
        <v>65</v>
      </c>
      <c r="E14" s="13">
        <v>0.105694444444444</v>
      </c>
      <c r="F14" s="14">
        <f t="shared" si="1"/>
        <v>3.67333333333333</v>
      </c>
      <c r="G14" s="15">
        <f t="shared" si="2"/>
        <v>1.13666666666667</v>
      </c>
      <c r="H14" s="15">
        <f t="shared" si="3"/>
        <v>2.53666666666667</v>
      </c>
      <c r="I14" s="33"/>
      <c r="J14" s="33"/>
      <c r="K14" s="33"/>
      <c r="L14" s="33"/>
      <c r="M14" s="33"/>
    </row>
    <row r="15" ht="101.25" spans="1:13">
      <c r="A15" s="12">
        <f ca="1" t="shared" si="0"/>
        <v>46220.2539075231</v>
      </c>
      <c r="B15" s="6" t="s">
        <v>84</v>
      </c>
      <c r="C15" s="13">
        <v>0.137928240740741</v>
      </c>
      <c r="D15" s="13" t="s">
        <v>65</v>
      </c>
      <c r="E15" s="13">
        <v>0.25412037037037</v>
      </c>
      <c r="F15" s="14">
        <f t="shared" si="1"/>
        <v>2.78861111111111</v>
      </c>
      <c r="G15" s="15">
        <f t="shared" si="2"/>
        <v>0</v>
      </c>
      <c r="H15" s="15">
        <f t="shared" si="3"/>
        <v>2.78861111111111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46220.2710981482</v>
      </c>
      <c r="B16" s="6" t="s">
        <v>84</v>
      </c>
      <c r="C16" s="13">
        <v>0.271087962962963</v>
      </c>
      <c r="D16" s="13" t="s">
        <v>65</v>
      </c>
      <c r="E16" s="13">
        <v>0.30599537037037</v>
      </c>
      <c r="F16" s="14">
        <f t="shared" si="1"/>
        <v>0.837777777777777</v>
      </c>
      <c r="G16" s="15">
        <f t="shared" si="2"/>
        <v>0</v>
      </c>
      <c r="H16" s="15">
        <f t="shared" si="3"/>
        <v>0.837777777777777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46223.1329439815</v>
      </c>
      <c r="B17" s="6" t="s">
        <v>85</v>
      </c>
      <c r="C17" s="13">
        <v>0.132939814814815</v>
      </c>
      <c r="D17" s="13" t="s">
        <v>65</v>
      </c>
      <c r="E17" s="13">
        <v>0.222141203703704</v>
      </c>
      <c r="F17" s="14">
        <f t="shared" si="1"/>
        <v>2.14083333333333</v>
      </c>
      <c r="G17" s="15">
        <f t="shared" si="2"/>
        <v>0</v>
      </c>
      <c r="H17" s="15">
        <f t="shared" si="3"/>
        <v>2.14083333333333</v>
      </c>
      <c r="I17" s="39" t="s">
        <v>80</v>
      </c>
      <c r="J17" s="40">
        <f>J4+J5+J6+J7+J10</f>
        <v>61.3811111111111</v>
      </c>
      <c r="K17" s="41">
        <f>K4+K5+K6+K7+K10</f>
        <v>32.3052777777778</v>
      </c>
      <c r="L17" s="42">
        <f>L4+L5+L6+L7+L10</f>
        <v>29.0758333333333</v>
      </c>
      <c r="M17" s="43"/>
    </row>
    <row r="18" ht="20.25" spans="1:13">
      <c r="A18" s="12">
        <f ca="1" t="shared" si="0"/>
        <v>46224.0135497685</v>
      </c>
      <c r="B18" s="6" t="s">
        <v>83</v>
      </c>
      <c r="C18" s="13">
        <v>0.0135416666666667</v>
      </c>
      <c r="D18" s="13" t="s">
        <v>65</v>
      </c>
      <c r="E18" s="13">
        <v>0.121990740740741</v>
      </c>
      <c r="F18" s="14">
        <f t="shared" si="1"/>
        <v>2.60277777777778</v>
      </c>
      <c r="G18" s="15">
        <f t="shared" si="2"/>
        <v>0</v>
      </c>
      <c r="H18" s="15">
        <f t="shared" si="3"/>
        <v>2.60277777777778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46224.1220484954</v>
      </c>
      <c r="B19" s="6" t="s">
        <v>84</v>
      </c>
      <c r="C19" s="13">
        <v>0.122048611111111</v>
      </c>
      <c r="D19" s="13" t="s">
        <v>65</v>
      </c>
      <c r="E19" s="13">
        <v>0.144259259259259</v>
      </c>
      <c r="F19" s="14">
        <f t="shared" si="1"/>
        <v>0.533055555555556</v>
      </c>
      <c r="G19" s="15">
        <f t="shared" si="2"/>
        <v>0</v>
      </c>
      <c r="H19" s="15">
        <f t="shared" si="3"/>
        <v>0.533055555555556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46226.3536315972</v>
      </c>
      <c r="B20" s="6" t="s">
        <v>68</v>
      </c>
      <c r="C20" s="13">
        <v>0.353622685185185</v>
      </c>
      <c r="D20" s="13" t="s">
        <v>65</v>
      </c>
      <c r="E20" s="13">
        <v>0.525532407407407</v>
      </c>
      <c r="F20" s="14">
        <f t="shared" si="1"/>
        <v>4.12583333333333</v>
      </c>
      <c r="G20" s="15">
        <f t="shared" si="2"/>
        <v>4.12583333333333</v>
      </c>
      <c r="H20" s="15">
        <f t="shared" si="3"/>
        <v>0</v>
      </c>
      <c r="I20" s="44" t="s">
        <v>82</v>
      </c>
      <c r="J20" s="45">
        <f>J16+J17+J18+J19</f>
        <v>61.3811111111111</v>
      </c>
      <c r="K20" s="46"/>
      <c r="L20" s="47"/>
      <c r="M20" s="48"/>
    </row>
    <row r="21" ht="20.25" spans="1:13">
      <c r="A21" s="12">
        <f ca="1" t="shared" si="0"/>
        <v>46226.6888054398</v>
      </c>
      <c r="B21" s="6" t="s">
        <v>84</v>
      </c>
      <c r="C21" s="13">
        <v>0.688796296296296</v>
      </c>
      <c r="D21" s="13" t="s">
        <v>65</v>
      </c>
      <c r="E21" s="13">
        <v>0.785497685185185</v>
      </c>
      <c r="F21" s="14">
        <f t="shared" si="1"/>
        <v>2.32083333333333</v>
      </c>
      <c r="G21" s="15">
        <f t="shared" si="2"/>
        <v>2.32083333333333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46226.8124070602</v>
      </c>
      <c r="B22" s="6" t="s">
        <v>84</v>
      </c>
      <c r="C22" s="13">
        <v>0.812407407407407</v>
      </c>
      <c r="D22" s="13" t="s">
        <v>65</v>
      </c>
      <c r="E22" s="13">
        <v>0.860138888888889</v>
      </c>
      <c r="F22" s="14">
        <f t="shared" si="1"/>
        <v>1.14555555555556</v>
      </c>
      <c r="G22" s="15">
        <f t="shared" si="2"/>
        <v>1.14555555555556</v>
      </c>
      <c r="H22" s="15">
        <f t="shared" si="3"/>
        <v>0</v>
      </c>
      <c r="I22"/>
      <c r="J22"/>
    </row>
    <row r="23" ht="18.75" spans="1:10">
      <c r="A23" s="12">
        <f ca="1" t="shared" si="0"/>
        <v>46227.3008819444</v>
      </c>
      <c r="B23" s="6" t="s">
        <v>83</v>
      </c>
      <c r="C23" s="13">
        <v>0.30087962962963</v>
      </c>
      <c r="D23" s="13" t="s">
        <v>65</v>
      </c>
      <c r="E23" s="13">
        <v>0.462893518518519</v>
      </c>
      <c r="F23" s="14">
        <f t="shared" si="1"/>
        <v>3.88833333333333</v>
      </c>
      <c r="G23" s="15">
        <f t="shared" si="2"/>
        <v>3.10944444444445</v>
      </c>
      <c r="H23" s="15">
        <f t="shared" si="3"/>
        <v>0.778888888888881</v>
      </c>
      <c r="I23"/>
      <c r="J23"/>
    </row>
    <row r="24" ht="18.75" spans="1:10">
      <c r="A24" s="12">
        <f ca="1" t="shared" si="0"/>
        <v>46227.6270775463</v>
      </c>
      <c r="B24" s="6" t="s">
        <v>70</v>
      </c>
      <c r="C24" s="13">
        <v>0.627071759259259</v>
      </c>
      <c r="D24" s="13" t="s">
        <v>65</v>
      </c>
      <c r="E24" s="13">
        <v>0.794074074074074</v>
      </c>
      <c r="F24" s="14">
        <f t="shared" si="1"/>
        <v>4.00805555555555</v>
      </c>
      <c r="G24" s="15">
        <f t="shared" si="2"/>
        <v>4.00805555555555</v>
      </c>
      <c r="H24" s="15">
        <f t="shared" si="3"/>
        <v>0</v>
      </c>
      <c r="I24"/>
      <c r="J24"/>
    </row>
    <row r="25" ht="18.75" spans="1:10">
      <c r="A25" s="12">
        <f ca="1" t="shared" si="0"/>
        <v>46230.9522787037</v>
      </c>
      <c r="B25" s="6" t="s">
        <v>84</v>
      </c>
      <c r="C25" s="13">
        <v>0.952268518518518</v>
      </c>
      <c r="D25" s="13" t="s">
        <v>65</v>
      </c>
      <c r="E25" s="13">
        <v>0.113206018518519</v>
      </c>
      <c r="F25" s="14">
        <f t="shared" si="1"/>
        <v>3.8625</v>
      </c>
      <c r="G25" s="15">
        <f t="shared" si="2"/>
        <v>1.14555555555556</v>
      </c>
      <c r="H25" s="15">
        <f t="shared" si="3"/>
        <v>2.71694444444444</v>
      </c>
      <c r="I25"/>
      <c r="J25"/>
    </row>
    <row r="26" ht="18.75" spans="1:10">
      <c r="A26" s="12">
        <f ca="1" t="shared" si="0"/>
        <v>46232.1395491898</v>
      </c>
      <c r="B26" s="6" t="s">
        <v>70</v>
      </c>
      <c r="C26" s="13">
        <v>0.139548611111111</v>
      </c>
      <c r="D26" s="13" t="s">
        <v>65</v>
      </c>
      <c r="E26" s="13">
        <v>0.305266203703704</v>
      </c>
      <c r="F26" s="14">
        <f t="shared" si="1"/>
        <v>3.97722222222222</v>
      </c>
      <c r="G26" s="15">
        <f t="shared" si="2"/>
        <v>0</v>
      </c>
      <c r="H26" s="15">
        <f t="shared" si="3"/>
        <v>3.97722222222222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P339"/>
  <sheetViews>
    <sheetView zoomScale="85" zoomScaleNormal="85" workbookViewId="0">
      <selection activeCell="B24" sqref="B24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46206.9524440972</v>
      </c>
      <c r="B3" s="6" t="s">
        <v>68</v>
      </c>
      <c r="C3" s="13">
        <v>0.95244212962963</v>
      </c>
      <c r="D3" s="13" t="s">
        <v>65</v>
      </c>
      <c r="E3" s="13">
        <v>0.113125</v>
      </c>
      <c r="F3" s="14">
        <f t="shared" ref="F3:F66" si="1">(IF(E3-C3&lt;0,"24:00"-C3+E3,E3-C3))*24</f>
        <v>3.85638888888889</v>
      </c>
      <c r="G3" s="15">
        <f t="shared" ref="G3:G66" si="2">F3-H3</f>
        <v>1.14138888888889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2.715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46207.1131666667</v>
      </c>
      <c r="B4" s="6" t="s">
        <v>84</v>
      </c>
      <c r="C4" s="13">
        <v>0.113159722222222</v>
      </c>
      <c r="D4" s="13" t="s">
        <v>65</v>
      </c>
      <c r="E4" s="13">
        <v>0.146585648148148</v>
      </c>
      <c r="F4" s="14">
        <f t="shared" si="1"/>
        <v>0.802222222222222</v>
      </c>
      <c r="G4" s="15">
        <f t="shared" si="2"/>
        <v>0</v>
      </c>
      <c r="H4" s="15">
        <f t="shared" si="3"/>
        <v>0.802222222222222</v>
      </c>
      <c r="I4" s="23" t="s">
        <v>67</v>
      </c>
      <c r="J4" s="24">
        <f>SUMIF(B:B,"西塔台管制席",F:F)+SUMIF(B:B,"东塔台管制席",F:F)</f>
        <v>22.3525</v>
      </c>
      <c r="K4" s="25">
        <f>SUMIF(B:B,"西塔台管制席",G:G)+SUMIF(B:B,"东塔台管制席",G:G)</f>
        <v>13.4411111111111</v>
      </c>
      <c r="L4" s="25">
        <f>SUMIF(B:B,"西塔台管制席",H:H)+SUMIF(B:B,"东塔台管制席",H:H)</f>
        <v>8.91138888888888</v>
      </c>
      <c r="M4" s="21"/>
    </row>
    <row r="5" ht="18.75" spans="1:13">
      <c r="A5" s="12">
        <f ca="1" t="shared" si="0"/>
        <v>46208.0138498843</v>
      </c>
      <c r="B5" s="6" t="s">
        <v>70</v>
      </c>
      <c r="C5" s="13">
        <v>0.0138773148148148</v>
      </c>
      <c r="D5" s="13" t="s">
        <v>65</v>
      </c>
      <c r="E5" s="13">
        <v>0.147002314814815</v>
      </c>
      <c r="F5" s="14">
        <f t="shared" si="1"/>
        <v>3.195</v>
      </c>
      <c r="G5" s="15">
        <f t="shared" si="2"/>
        <v>0</v>
      </c>
      <c r="H5" s="15">
        <f t="shared" si="3"/>
        <v>3.195</v>
      </c>
      <c r="I5" s="23" t="s">
        <v>69</v>
      </c>
      <c r="J5" s="24">
        <f>SUMIF(B:B,"西塔台协调席",F:F)+SUMIF(B:B,"东塔台协调席",F:F)</f>
        <v>22.3161111111111</v>
      </c>
      <c r="K5" s="25">
        <f>SUMIF(B:B,"西塔台协调席",G:G)+SUMIF(B:B,"东塔台协调席",G:G)</f>
        <v>15.0708333333333</v>
      </c>
      <c r="L5" s="25">
        <f>SUMIF(B:B,"西塔台协调席",H:H)+SUMIF(B:B,"东塔台协调席",H:H)</f>
        <v>7.24527777777778</v>
      </c>
      <c r="M5" s="21"/>
    </row>
    <row r="6" ht="18.75" spans="1:13">
      <c r="A6" s="12">
        <f ca="1" t="shared" si="0"/>
        <v>46210.5217979167</v>
      </c>
      <c r="B6" s="6" t="s">
        <v>83</v>
      </c>
      <c r="C6" s="13">
        <v>0.521793981481481</v>
      </c>
      <c r="D6" s="13" t="s">
        <v>65</v>
      </c>
      <c r="E6" s="13">
        <v>0.694456018518518</v>
      </c>
      <c r="F6" s="14">
        <f t="shared" si="1"/>
        <v>4.14388888888889</v>
      </c>
      <c r="G6" s="15">
        <f t="shared" si="2"/>
        <v>4.14388888888889</v>
      </c>
      <c r="H6" s="15">
        <f t="shared" si="3"/>
        <v>0</v>
      </c>
      <c r="I6" s="23" t="s">
        <v>71</v>
      </c>
      <c r="J6" s="24">
        <f>SUMIF(B:B,"放行席",F:F)</f>
        <v>4.88527777777778</v>
      </c>
      <c r="K6" s="25">
        <f>SUMIF(B:B,"放行席",G:G)</f>
        <v>0</v>
      </c>
      <c r="L6" s="25">
        <f>SUMIF(B:B,"放行席",H:H)</f>
        <v>4.88527777777778</v>
      </c>
      <c r="M6" s="21"/>
    </row>
    <row r="7" ht="18.75" spans="1:13">
      <c r="A7" s="12">
        <f ca="1" t="shared" si="0"/>
        <v>46210.7711553241</v>
      </c>
      <c r="B7" s="6" t="s">
        <v>70</v>
      </c>
      <c r="C7" s="13">
        <v>0.771145833333333</v>
      </c>
      <c r="D7" s="13" t="s">
        <v>65</v>
      </c>
      <c r="E7" s="13">
        <v>0.863391203703704</v>
      </c>
      <c r="F7" s="14">
        <f t="shared" si="1"/>
        <v>2.21388888888889</v>
      </c>
      <c r="G7" s="15">
        <f t="shared" si="2"/>
        <v>2.21388888888889</v>
      </c>
      <c r="H7" s="15">
        <f t="shared" si="3"/>
        <v>0</v>
      </c>
      <c r="I7" s="23" t="s">
        <v>72</v>
      </c>
      <c r="J7" s="24">
        <f>SUMIF(B:B,"地面席",F:F)</f>
        <v>2.27722222222222</v>
      </c>
      <c r="K7" s="25">
        <f>SUMIF(B:B,"地面席",G:G)</f>
        <v>0</v>
      </c>
      <c r="L7" s="25">
        <f>SUMIF(B:B,"地面席",H:H)</f>
        <v>2.27722222222222</v>
      </c>
      <c r="M7" s="21"/>
    </row>
    <row r="8" ht="18.75" spans="1:13">
      <c r="A8" s="12">
        <f ca="1" t="shared" si="0"/>
        <v>46211.4164287037</v>
      </c>
      <c r="B8" s="6" t="s">
        <v>83</v>
      </c>
      <c r="C8" s="13">
        <v>0.416423611111111</v>
      </c>
      <c r="D8" s="13" t="s">
        <v>65</v>
      </c>
      <c r="E8" s="13">
        <v>0.527384259259259</v>
      </c>
      <c r="F8" s="14">
        <f t="shared" si="1"/>
        <v>2.66305555555556</v>
      </c>
      <c r="G8" s="15">
        <f t="shared" si="2"/>
        <v>2.66305555555556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46211.6259799769</v>
      </c>
      <c r="B9" s="6" t="s">
        <v>83</v>
      </c>
      <c r="C9" s="13">
        <v>0.625972222222222</v>
      </c>
      <c r="D9" s="13" t="s">
        <v>65</v>
      </c>
      <c r="E9" s="13">
        <v>0.777592592592593</v>
      </c>
      <c r="F9" s="14">
        <f t="shared" si="1"/>
        <v>3.63888888888889</v>
      </c>
      <c r="G9" s="15">
        <f t="shared" si="2"/>
        <v>3.63888888888889</v>
      </c>
      <c r="H9" s="15">
        <f t="shared" si="3"/>
        <v>0</v>
      </c>
      <c r="I9" s="23" t="s">
        <v>74</v>
      </c>
      <c r="J9" s="24">
        <f>SUMIF(B:B,"航班调度席",F:F)</f>
        <v>6.8325</v>
      </c>
      <c r="K9" s="25">
        <f>SUMIF(B:B,"航班调度席",G:G)</f>
        <v>6.8325</v>
      </c>
      <c r="L9" s="25">
        <f>SUMIF(B:B,"航班调度席",H:H)</f>
        <v>0</v>
      </c>
      <c r="M9" s="21"/>
    </row>
    <row r="10" ht="18.75" spans="1:13">
      <c r="A10" s="12">
        <f ca="1" t="shared" si="0"/>
        <v>46211.8563024306</v>
      </c>
      <c r="B10" s="6" t="s">
        <v>70</v>
      </c>
      <c r="C10" s="13">
        <v>0.856296296296296</v>
      </c>
      <c r="D10" s="13" t="s">
        <v>65</v>
      </c>
      <c r="E10" s="13">
        <v>0.959386574074074</v>
      </c>
      <c r="F10" s="14">
        <f t="shared" si="1"/>
        <v>2.47416666666666</v>
      </c>
      <c r="G10" s="15">
        <f t="shared" si="2"/>
        <v>2.47416666666666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46212.2997601852</v>
      </c>
      <c r="B11" s="6" t="s">
        <v>84</v>
      </c>
      <c r="C11" s="13">
        <v>0.299756944444444</v>
      </c>
      <c r="D11" s="13" t="s">
        <v>65</v>
      </c>
      <c r="E11" s="13">
        <v>0.36525462962963</v>
      </c>
      <c r="F11" s="14">
        <f t="shared" si="1"/>
        <v>1.57194444444445</v>
      </c>
      <c r="G11" s="15">
        <f t="shared" si="2"/>
        <v>0.766111111111121</v>
      </c>
      <c r="H11" s="15">
        <f t="shared" si="3"/>
        <v>0.805833333333325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46215.1320725694</v>
      </c>
      <c r="B12" s="6" t="s">
        <v>85</v>
      </c>
      <c r="C12" s="13">
        <v>0.132071759259259</v>
      </c>
      <c r="D12" s="13" t="s">
        <v>65</v>
      </c>
      <c r="E12" s="13">
        <v>0.238009259259259</v>
      </c>
      <c r="F12" s="14">
        <f t="shared" si="1"/>
        <v>2.5425</v>
      </c>
      <c r="G12" s="15">
        <f t="shared" si="2"/>
        <v>0</v>
      </c>
      <c r="H12" s="15">
        <f t="shared" si="3"/>
        <v>2.5425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46216.1413018519</v>
      </c>
      <c r="B13" s="6" t="s">
        <v>83</v>
      </c>
      <c r="C13" s="13">
        <v>0.141296296296296</v>
      </c>
      <c r="D13" s="13" t="s">
        <v>65</v>
      </c>
      <c r="E13" s="13">
        <v>0.236388888888889</v>
      </c>
      <c r="F13" s="14">
        <f t="shared" si="1"/>
        <v>2.28222222222222</v>
      </c>
      <c r="G13" s="15">
        <f t="shared" si="2"/>
        <v>0</v>
      </c>
      <c r="H13" s="15">
        <f t="shared" si="3"/>
        <v>2.28222222222222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46219.134781713</v>
      </c>
      <c r="B14" s="6" t="s">
        <v>85</v>
      </c>
      <c r="C14" s="13">
        <v>0.134780092592593</v>
      </c>
      <c r="D14" s="13" t="s">
        <v>65</v>
      </c>
      <c r="E14" s="13">
        <v>0.232395833333333</v>
      </c>
      <c r="F14" s="14">
        <f t="shared" si="1"/>
        <v>2.34277777777778</v>
      </c>
      <c r="G14" s="15">
        <f t="shared" si="2"/>
        <v>0</v>
      </c>
      <c r="H14" s="15">
        <f t="shared" si="3"/>
        <v>2.34277777777778</v>
      </c>
      <c r="I14" s="33"/>
      <c r="J14" s="33"/>
      <c r="K14" s="33"/>
      <c r="L14" s="33"/>
      <c r="M14" s="33"/>
    </row>
    <row r="15" ht="101.25" spans="1:13">
      <c r="A15" s="12">
        <f ca="1" t="shared" si="0"/>
        <v>46219.7708896991</v>
      </c>
      <c r="B15" s="6" t="s">
        <v>70</v>
      </c>
      <c r="C15" s="13">
        <v>0.770983796296296</v>
      </c>
      <c r="D15" s="13" t="s">
        <v>65</v>
      </c>
      <c r="E15" s="13">
        <v>0.841388888888889</v>
      </c>
      <c r="F15" s="14">
        <f t="shared" si="1"/>
        <v>1.68972222222222</v>
      </c>
      <c r="G15" s="15">
        <f t="shared" si="2"/>
        <v>1.68972222222222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46220.0148101852</v>
      </c>
      <c r="B16" s="6" t="s">
        <v>68</v>
      </c>
      <c r="C16" s="13">
        <v>0.0148032407407407</v>
      </c>
      <c r="D16" s="13" t="s">
        <v>65</v>
      </c>
      <c r="E16" s="13">
        <v>0.108472222222222</v>
      </c>
      <c r="F16" s="14">
        <f t="shared" si="1"/>
        <v>2.24805555555556</v>
      </c>
      <c r="G16" s="15">
        <f t="shared" si="2"/>
        <v>0</v>
      </c>
      <c r="H16" s="15">
        <f t="shared" si="3"/>
        <v>2.24805555555556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46220.108505787</v>
      </c>
      <c r="B17" s="6" t="s">
        <v>70</v>
      </c>
      <c r="C17" s="13">
        <v>0.10849537037037</v>
      </c>
      <c r="D17" s="13" t="s">
        <v>65</v>
      </c>
      <c r="E17" s="13">
        <v>0.145914351851852</v>
      </c>
      <c r="F17" s="14">
        <f t="shared" si="1"/>
        <v>0.898055555555555</v>
      </c>
      <c r="G17" s="15">
        <f t="shared" si="2"/>
        <v>0</v>
      </c>
      <c r="H17" s="15">
        <f t="shared" si="3"/>
        <v>0.898055555555555</v>
      </c>
      <c r="I17" s="39" t="s">
        <v>80</v>
      </c>
      <c r="J17" s="40">
        <f>J4+J5+J6+J7+J10</f>
        <v>51.8311111111111</v>
      </c>
      <c r="K17" s="41">
        <f>K4+K5+K6+K7+K10</f>
        <v>28.5119444444445</v>
      </c>
      <c r="L17" s="42">
        <f>L4+L5+L6+L7+L10</f>
        <v>23.3191666666667</v>
      </c>
      <c r="M17" s="43"/>
    </row>
    <row r="18" ht="20.25" spans="1:13">
      <c r="A18" s="12">
        <f ca="1" t="shared" si="0"/>
        <v>46222.3697136574</v>
      </c>
      <c r="B18" s="6" t="s">
        <v>87</v>
      </c>
      <c r="C18" s="13">
        <v>0.369710648148148</v>
      </c>
      <c r="D18" s="13" t="s">
        <v>65</v>
      </c>
      <c r="E18" s="13">
        <v>0.491701388888889</v>
      </c>
      <c r="F18" s="14">
        <f t="shared" si="1"/>
        <v>2.92777777777778</v>
      </c>
      <c r="G18" s="15">
        <f t="shared" si="2"/>
        <v>2.92777777777778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46222.5942155093</v>
      </c>
      <c r="B19" s="6" t="s">
        <v>87</v>
      </c>
      <c r="C19" s="13">
        <v>0.594212962962963</v>
      </c>
      <c r="D19" s="13" t="s">
        <v>65</v>
      </c>
      <c r="E19" s="13">
        <v>0.756909722222222</v>
      </c>
      <c r="F19" s="14">
        <f t="shared" si="1"/>
        <v>3.90472222222222</v>
      </c>
      <c r="G19" s="15">
        <f t="shared" si="2"/>
        <v>3.90472222222222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46231.1398489583</v>
      </c>
      <c r="B20" s="6" t="s">
        <v>86</v>
      </c>
      <c r="C20" s="13">
        <v>0.139849537037037</v>
      </c>
      <c r="D20" s="13" t="s">
        <v>65</v>
      </c>
      <c r="E20" s="13">
        <v>0.234733796296296</v>
      </c>
      <c r="F20" s="14">
        <f t="shared" si="1"/>
        <v>2.27722222222222</v>
      </c>
      <c r="G20" s="15">
        <f t="shared" si="2"/>
        <v>0</v>
      </c>
      <c r="H20" s="15">
        <f t="shared" si="3"/>
        <v>2.27722222222222</v>
      </c>
      <c r="I20" s="44" t="s">
        <v>82</v>
      </c>
      <c r="J20" s="45">
        <f>J16+J17+J18+J19</f>
        <v>51.8311111111111</v>
      </c>
      <c r="K20" s="46"/>
      <c r="L20" s="47"/>
      <c r="M20" s="48"/>
    </row>
    <row r="21" ht="20.25" spans="1:13">
      <c r="A21" s="12">
        <f ca="1" t="shared" si="0"/>
        <v>46232.0151262731</v>
      </c>
      <c r="B21" s="6" t="s">
        <v>84</v>
      </c>
      <c r="C21" s="13">
        <v>0.0151157407407407</v>
      </c>
      <c r="D21" s="13" t="s">
        <v>65</v>
      </c>
      <c r="E21" s="13">
        <v>0.148877314814815</v>
      </c>
      <c r="F21" s="14">
        <f t="shared" si="1"/>
        <v>3.21027777777778</v>
      </c>
      <c r="G21" s="15">
        <f t="shared" si="2"/>
        <v>0</v>
      </c>
      <c r="H21" s="15">
        <f t="shared" si="3"/>
        <v>3.21027777777778</v>
      </c>
      <c r="I21" s="49" t="s">
        <v>5</v>
      </c>
      <c r="J21" s="50">
        <f>SUM(J8:J9)</f>
        <v>6.8325</v>
      </c>
      <c r="K21" s="41">
        <f>SUM(K8:K9)</f>
        <v>6.8325</v>
      </c>
      <c r="L21" s="42">
        <f>SUM(L8:L9)</f>
        <v>0</v>
      </c>
      <c r="M21" s="51"/>
    </row>
    <row r="22" ht="18.75" spans="1:10">
      <c r="A22" s="12">
        <f ca="1" t="shared" si="0"/>
        <v>46234.3543641204</v>
      </c>
      <c r="B22" s="6" t="s">
        <v>70</v>
      </c>
      <c r="C22" s="13">
        <v>0.354363425925926</v>
      </c>
      <c r="D22" s="13" t="s">
        <v>65</v>
      </c>
      <c r="E22" s="13">
        <v>0.526736111111111</v>
      </c>
      <c r="F22" s="14">
        <f t="shared" si="1"/>
        <v>4.13694444444445</v>
      </c>
      <c r="G22" s="15">
        <f t="shared" si="2"/>
        <v>4.13694444444445</v>
      </c>
      <c r="H22" s="15">
        <f t="shared" si="3"/>
        <v>0</v>
      </c>
      <c r="I22"/>
      <c r="J22"/>
    </row>
    <row r="23" ht="18.75" spans="1:10">
      <c r="A23" s="12">
        <f ca="1" t="shared" si="0"/>
        <v>46234.6886471065</v>
      </c>
      <c r="B23" s="6" t="s">
        <v>84</v>
      </c>
      <c r="C23" s="13">
        <v>0.688645833333333</v>
      </c>
      <c r="D23" s="13" t="s">
        <v>65</v>
      </c>
      <c r="E23" s="13">
        <v>0.778657407407407</v>
      </c>
      <c r="F23" s="14">
        <f t="shared" si="1"/>
        <v>2.16027777777778</v>
      </c>
      <c r="G23" s="15">
        <f t="shared" si="2"/>
        <v>2.16027777777778</v>
      </c>
      <c r="H23" s="15">
        <f t="shared" si="3"/>
        <v>0</v>
      </c>
      <c r="I23"/>
      <c r="J23"/>
    </row>
    <row r="24" ht="18.75" spans="1:10">
      <c r="A24" s="12">
        <f ca="1" t="shared" si="0"/>
        <v>46234.8548569444</v>
      </c>
      <c r="B24" s="6" t="s">
        <v>68</v>
      </c>
      <c r="C24" s="13">
        <v>0.854849537037037</v>
      </c>
      <c r="D24" s="13"/>
      <c r="E24" s="13"/>
      <c r="F24" s="14">
        <f t="shared" si="1"/>
        <v>3.48361111111111</v>
      </c>
      <c r="G24" s="15">
        <f t="shared" si="2"/>
        <v>3.48361111111111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46207.0150412037</v>
      </c>
      <c r="B3" s="6" t="s">
        <v>70</v>
      </c>
      <c r="C3" s="13">
        <v>0.0150347222222222</v>
      </c>
      <c r="D3" s="13" t="s">
        <v>65</v>
      </c>
      <c r="E3" s="13">
        <v>0.113564814814815</v>
      </c>
      <c r="F3" s="14">
        <f t="shared" ref="F3:F66" si="1">(IF(E3-C3&lt;0,"24:00"-C3+E3,E3-C3))*24</f>
        <v>2.36472222222222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2.36472222222222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46214.5219684028</v>
      </c>
      <c r="B4" s="6" t="s">
        <v>83</v>
      </c>
      <c r="C4" s="13">
        <v>0.521967592592593</v>
      </c>
      <c r="D4" s="13" t="s">
        <v>65</v>
      </c>
      <c r="E4" s="13">
        <v>0.652592592592593</v>
      </c>
      <c r="F4" s="14">
        <f t="shared" si="1"/>
        <v>3.135</v>
      </c>
      <c r="G4" s="15">
        <f t="shared" si="2"/>
        <v>3.135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24.7747222222222</v>
      </c>
      <c r="K4" s="25">
        <f>SUMIF(B:B,"西塔台管制席",G:G)+SUMIF(B:B,"东塔台管制席",G:G)</f>
        <v>16.5175</v>
      </c>
      <c r="L4" s="25">
        <f>SUMIF(B:B,"西塔台管制席",H:H)+SUMIF(B:B,"东塔台管制席",H:H)</f>
        <v>8.25722222222221</v>
      </c>
      <c r="M4" s="21"/>
    </row>
    <row r="5" ht="18.75" spans="1:13">
      <c r="A5" s="12">
        <f ca="1" t="shared" si="0"/>
        <v>46214.652630787</v>
      </c>
      <c r="B5" s="6" t="s">
        <v>84</v>
      </c>
      <c r="C5" s="13">
        <v>0.652627314814815</v>
      </c>
      <c r="D5" s="13" t="s">
        <v>65</v>
      </c>
      <c r="E5" s="13">
        <v>0.696400462962963</v>
      </c>
      <c r="F5" s="14">
        <f t="shared" si="1"/>
        <v>1.05055555555555</v>
      </c>
      <c r="G5" s="15">
        <f t="shared" si="2"/>
        <v>1.05055555555555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21.5386111111111</v>
      </c>
      <c r="K5" s="25">
        <f>SUMIF(B:B,"西塔台协调席",G:G)+SUMIF(B:B,"东塔台协调席",G:G)</f>
        <v>15.6038888888889</v>
      </c>
      <c r="L5" s="25">
        <f>SUMIF(B:B,"西塔台协调席",H:H)+SUMIF(B:B,"东塔台协调席",H:H)</f>
        <v>5.93472222222221</v>
      </c>
      <c r="M5" s="21"/>
    </row>
    <row r="6" ht="18.75" spans="1:13">
      <c r="A6" s="12">
        <f ca="1" t="shared" si="0"/>
        <v>46214.8561903935</v>
      </c>
      <c r="B6" s="6" t="s">
        <v>84</v>
      </c>
      <c r="C6" s="13">
        <v>0.856180555555555</v>
      </c>
      <c r="D6" s="13" t="s">
        <v>65</v>
      </c>
      <c r="E6" s="13">
        <v>0.958981481481481</v>
      </c>
      <c r="F6" s="14">
        <f t="shared" si="1"/>
        <v>2.46722222222222</v>
      </c>
      <c r="G6" s="15">
        <f t="shared" si="2"/>
        <v>2.46722222222222</v>
      </c>
      <c r="H6" s="15">
        <f t="shared" si="3"/>
        <v>0</v>
      </c>
      <c r="I6" s="23" t="s">
        <v>71</v>
      </c>
      <c r="J6" s="24">
        <f>SUMIF(B:B,"放行席",F:F)</f>
        <v>2.23527777777778</v>
      </c>
      <c r="K6" s="25">
        <f>SUMIF(B:B,"放行席",G:G)</f>
        <v>0</v>
      </c>
      <c r="L6" s="25">
        <f>SUMIF(B:B,"放行席",H:H)</f>
        <v>2.23527777777778</v>
      </c>
      <c r="M6" s="21"/>
    </row>
    <row r="7" ht="18.75" spans="1:13">
      <c r="A7" s="12">
        <f ca="1" t="shared" si="0"/>
        <v>46215.4601144676</v>
      </c>
      <c r="B7" s="6" t="s">
        <v>84</v>
      </c>
      <c r="C7" s="13">
        <v>0.460104166666667</v>
      </c>
      <c r="D7" s="13" t="s">
        <v>65</v>
      </c>
      <c r="E7" s="13">
        <v>0.630462962962963</v>
      </c>
      <c r="F7" s="14">
        <f t="shared" si="1"/>
        <v>4.08861111111111</v>
      </c>
      <c r="G7" s="15">
        <f t="shared" si="2"/>
        <v>4.08861111111111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46215.792212037</v>
      </c>
      <c r="B8" s="6" t="s">
        <v>68</v>
      </c>
      <c r="C8" s="13">
        <v>0.792210648148148</v>
      </c>
      <c r="D8" s="13" t="s">
        <v>65</v>
      </c>
      <c r="E8" s="13">
        <v>0.957534722222222</v>
      </c>
      <c r="F8" s="14">
        <f t="shared" si="1"/>
        <v>3.96777777777778</v>
      </c>
      <c r="G8" s="15">
        <f t="shared" si="2"/>
        <v>3.96777777777778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46216.299584375</v>
      </c>
      <c r="B9" s="6" t="s">
        <v>84</v>
      </c>
      <c r="C9" s="13">
        <v>0.299583333333333</v>
      </c>
      <c r="D9" s="13" t="s">
        <v>65</v>
      </c>
      <c r="E9" s="13">
        <v>0.36412037037037</v>
      </c>
      <c r="F9" s="14">
        <f t="shared" si="1"/>
        <v>1.54888888888889</v>
      </c>
      <c r="G9" s="15">
        <f t="shared" si="2"/>
        <v>0.738888888888897</v>
      </c>
      <c r="H9" s="15">
        <f t="shared" si="3"/>
        <v>0.809999999999991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46219.0144342593</v>
      </c>
      <c r="B10" s="6" t="s">
        <v>68</v>
      </c>
      <c r="C10" s="13">
        <v>0.0144328703703704</v>
      </c>
      <c r="D10" s="13" t="s">
        <v>65</v>
      </c>
      <c r="E10" s="13">
        <v>0.101435185185185</v>
      </c>
      <c r="F10" s="14">
        <f t="shared" si="1"/>
        <v>2.08805555555556</v>
      </c>
      <c r="G10" s="15">
        <f t="shared" si="2"/>
        <v>0</v>
      </c>
      <c r="H10" s="15">
        <f t="shared" si="3"/>
        <v>2.08805555555556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46219.1014748843</v>
      </c>
      <c r="B11" s="6" t="s">
        <v>70</v>
      </c>
      <c r="C11" s="13">
        <v>0.101469907407407</v>
      </c>
      <c r="D11" s="13" t="s">
        <v>65</v>
      </c>
      <c r="E11" s="13">
        <v>0.143854166666667</v>
      </c>
      <c r="F11" s="14">
        <f t="shared" si="1"/>
        <v>1.01722222222222</v>
      </c>
      <c r="G11" s="15">
        <f t="shared" si="2"/>
        <v>0</v>
      </c>
      <c r="H11" s="15">
        <f t="shared" si="3"/>
        <v>1.01722222222222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46220.1314359954</v>
      </c>
      <c r="B12" s="6" t="s">
        <v>85</v>
      </c>
      <c r="C12" s="13">
        <v>0.131435185185185</v>
      </c>
      <c r="D12" s="13" t="s">
        <v>65</v>
      </c>
      <c r="E12" s="13">
        <v>0.224571759259259</v>
      </c>
      <c r="F12" s="14">
        <f t="shared" si="1"/>
        <v>2.23527777777778</v>
      </c>
      <c r="G12" s="15">
        <f t="shared" si="2"/>
        <v>0</v>
      </c>
      <c r="H12" s="15">
        <f t="shared" si="3"/>
        <v>2.23527777777778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46223.1391474537</v>
      </c>
      <c r="B13" s="6" t="s">
        <v>84</v>
      </c>
      <c r="C13" s="13">
        <v>0.139143518518518</v>
      </c>
      <c r="D13" s="13" t="s">
        <v>65</v>
      </c>
      <c r="E13" s="13">
        <v>0.308530092592593</v>
      </c>
      <c r="F13" s="14">
        <f t="shared" si="1"/>
        <v>4.06527777777778</v>
      </c>
      <c r="G13" s="15">
        <f t="shared" si="2"/>
        <v>0</v>
      </c>
      <c r="H13" s="15">
        <f t="shared" si="3"/>
        <v>4.06527777777778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46223.9523581019</v>
      </c>
      <c r="B14" s="6" t="s">
        <v>68</v>
      </c>
      <c r="C14" s="13">
        <v>0.952349537037037</v>
      </c>
      <c r="D14" s="13" t="s">
        <v>65</v>
      </c>
      <c r="E14" s="13">
        <v>0.127106481481481</v>
      </c>
      <c r="F14" s="14">
        <f t="shared" si="1"/>
        <v>4.19416666666667</v>
      </c>
      <c r="G14" s="15">
        <f t="shared" si="2"/>
        <v>1.14361111111111</v>
      </c>
      <c r="H14" s="15">
        <f t="shared" si="3"/>
        <v>3.05055555555556</v>
      </c>
      <c r="I14" s="33"/>
      <c r="J14" s="33"/>
      <c r="K14" s="33"/>
      <c r="L14" s="33"/>
      <c r="M14" s="33"/>
    </row>
    <row r="15" ht="101.25" spans="1:13">
      <c r="A15" s="12">
        <f ca="1" t="shared" si="0"/>
        <v>46226.5208092593</v>
      </c>
      <c r="B15" s="6" t="s">
        <v>84</v>
      </c>
      <c r="C15" s="13">
        <v>0.520798611111111</v>
      </c>
      <c r="D15" s="13" t="s">
        <v>65</v>
      </c>
      <c r="E15" s="13">
        <v>0.695358796296296</v>
      </c>
      <c r="F15" s="14">
        <f t="shared" si="1"/>
        <v>4.18944444444444</v>
      </c>
      <c r="G15" s="15">
        <f t="shared" si="2"/>
        <v>4.18944444444444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46226.8551944444</v>
      </c>
      <c r="B16" s="6" t="s">
        <v>68</v>
      </c>
      <c r="C16" s="13">
        <v>0.855185185185185</v>
      </c>
      <c r="D16" s="13" t="s">
        <v>65</v>
      </c>
      <c r="E16" s="13">
        <v>0.957604166666667</v>
      </c>
      <c r="F16" s="14">
        <f t="shared" si="1"/>
        <v>2.45805555555556</v>
      </c>
      <c r="G16" s="15">
        <f t="shared" si="2"/>
        <v>2.45805555555556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46227.459027662</v>
      </c>
      <c r="B17" s="6" t="s">
        <v>83</v>
      </c>
      <c r="C17" s="13">
        <v>0.459027777777778</v>
      </c>
      <c r="D17" s="13" t="s">
        <v>65</v>
      </c>
      <c r="E17" s="13">
        <v>0.634201388888889</v>
      </c>
      <c r="F17" s="14">
        <f t="shared" si="1"/>
        <v>4.20416666666667</v>
      </c>
      <c r="G17" s="15">
        <f t="shared" si="2"/>
        <v>4.20416666666667</v>
      </c>
      <c r="H17" s="15">
        <f t="shared" si="3"/>
        <v>0</v>
      </c>
      <c r="I17" s="39" t="s">
        <v>80</v>
      </c>
      <c r="J17" s="40">
        <f>J4+J5+J6+J7+J10</f>
        <v>48.5486111111111</v>
      </c>
      <c r="K17" s="41">
        <f>K4+K5+K6+K7+K10</f>
        <v>32.1213888888889</v>
      </c>
      <c r="L17" s="42">
        <f>L4+L5+L6+L7+L10</f>
        <v>16.4272222222222</v>
      </c>
      <c r="M17" s="43"/>
    </row>
    <row r="18" ht="20.25" spans="1:13">
      <c r="A18" s="12">
        <f ca="1" t="shared" si="0"/>
        <v>46227.7872113426</v>
      </c>
      <c r="B18" s="6" t="s">
        <v>70</v>
      </c>
      <c r="C18" s="13">
        <v>0.787210648148148</v>
      </c>
      <c r="D18" s="13" t="s">
        <v>65</v>
      </c>
      <c r="E18" s="13">
        <v>0.953159722222222</v>
      </c>
      <c r="F18" s="14">
        <f t="shared" si="1"/>
        <v>3.98277777777778</v>
      </c>
      <c r="G18" s="15">
        <f t="shared" si="2"/>
        <v>3.98277777777778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46228.3001626157</v>
      </c>
      <c r="B19" s="6" t="s">
        <v>83</v>
      </c>
      <c r="C19" s="13">
        <v>0.300162037037037</v>
      </c>
      <c r="D19" s="13" t="s">
        <v>65</v>
      </c>
      <c r="E19" s="13">
        <v>0.362303240740741</v>
      </c>
      <c r="F19" s="14">
        <f t="shared" si="1"/>
        <v>1.49138888888889</v>
      </c>
      <c r="G19" s="15">
        <f t="shared" si="2"/>
        <v>0.695277777777786</v>
      </c>
      <c r="H19" s="15">
        <f t="shared" si="3"/>
        <v>0.796111111111103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 t="str">
        <f ca="1" t="shared" si="0"/>
        <v/>
      </c>
      <c r="B20" s="6"/>
      <c r="C20" s="13"/>
      <c r="D20" s="13"/>
      <c r="E20" s="13"/>
      <c r="F20" s="14">
        <f t="shared" si="1"/>
        <v>0</v>
      </c>
      <c r="G20" s="15">
        <f t="shared" si="2"/>
        <v>0</v>
      </c>
      <c r="H20" s="15">
        <f t="shared" si="3"/>
        <v>0</v>
      </c>
      <c r="I20" s="44" t="s">
        <v>82</v>
      </c>
      <c r="J20" s="45">
        <f>J16+J17+J18+J19</f>
        <v>48.5486111111111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P339"/>
  <sheetViews>
    <sheetView zoomScale="85" zoomScaleNormal="85" workbookViewId="0">
      <selection activeCell="D19" sqref="D19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46204.3000711806</v>
      </c>
      <c r="B3" s="6" t="s">
        <v>68</v>
      </c>
      <c r="C3" s="13">
        <v>0.300069444444444</v>
      </c>
      <c r="D3" s="13" t="s">
        <v>65</v>
      </c>
      <c r="E3" s="13">
        <v>0.367326388888889</v>
      </c>
      <c r="F3" s="14">
        <f t="shared" ref="F3:F66" si="1">(IF(E3-C3&lt;0,"24:00"-C3+E3,E3-C3))*24</f>
        <v>1.61416666666667</v>
      </c>
      <c r="G3" s="15">
        <f t="shared" ref="G3:G66" si="2">F3-H3</f>
        <v>0.815833333333342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0.798333333333325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46207.0150996528</v>
      </c>
      <c r="B4" s="6" t="s">
        <v>83</v>
      </c>
      <c r="C4" s="13">
        <v>0.0150925925925926</v>
      </c>
      <c r="D4" s="13" t="s">
        <v>65</v>
      </c>
      <c r="E4" s="13">
        <v>0.113634259259259</v>
      </c>
      <c r="F4" s="14">
        <f t="shared" si="1"/>
        <v>2.365</v>
      </c>
      <c r="G4" s="15">
        <f t="shared" si="2"/>
        <v>0</v>
      </c>
      <c r="H4" s="15">
        <f t="shared" si="3"/>
        <v>2.365</v>
      </c>
      <c r="I4" s="23" t="s">
        <v>67</v>
      </c>
      <c r="J4" s="24">
        <f>SUMIF(B:B,"西塔台管制席",F:F)+SUMIF(B:B,"东塔台管制席",F:F)</f>
        <v>15.9216666666667</v>
      </c>
      <c r="K4" s="25">
        <f>SUMIF(B:B,"西塔台管制席",G:G)+SUMIF(B:B,"东塔台管制席",G:G)</f>
        <v>8.20027777777778</v>
      </c>
      <c r="L4" s="25">
        <f>SUMIF(B:B,"西塔台管制席",H:H)+SUMIF(B:B,"东塔台管制席",H:H)</f>
        <v>7.72138888888889</v>
      </c>
      <c r="M4" s="21"/>
    </row>
    <row r="5" ht="18.75" spans="1:13">
      <c r="A5" s="12">
        <f ca="1" t="shared" si="0"/>
        <v>46207.1136636574</v>
      </c>
      <c r="B5" s="6" t="s">
        <v>70</v>
      </c>
      <c r="C5" s="13">
        <v>0.113657407407407</v>
      </c>
      <c r="D5" s="13" t="s">
        <v>65</v>
      </c>
      <c r="E5" s="13">
        <v>0.142002314814815</v>
      </c>
      <c r="F5" s="14">
        <f t="shared" si="1"/>
        <v>0.680277777777778</v>
      </c>
      <c r="G5" s="15">
        <f t="shared" si="2"/>
        <v>0</v>
      </c>
      <c r="H5" s="15">
        <f t="shared" si="3"/>
        <v>0.680277777777778</v>
      </c>
      <c r="I5" s="23" t="s">
        <v>69</v>
      </c>
      <c r="J5" s="24">
        <f>SUMIF(B:B,"西塔台协调席",F:F)+SUMIF(B:B,"东塔台协调席",F:F)</f>
        <v>19.4083333333333</v>
      </c>
      <c r="K5" s="25">
        <f>SUMIF(B:B,"西塔台协调席",G:G)+SUMIF(B:B,"东塔台协调席",G:G)</f>
        <v>10.53</v>
      </c>
      <c r="L5" s="25">
        <f>SUMIF(B:B,"西塔台协调席",H:H)+SUMIF(B:B,"东塔台协调席",H:H)</f>
        <v>8.87833333333332</v>
      </c>
      <c r="M5" s="21"/>
    </row>
    <row r="6" ht="18.75" spans="1:13">
      <c r="A6" s="12">
        <f ca="1" t="shared" si="0"/>
        <v>46211.1402476852</v>
      </c>
      <c r="B6" s="6" t="s">
        <v>84</v>
      </c>
      <c r="C6" s="13">
        <v>0.140243055555556</v>
      </c>
      <c r="D6" s="13" t="s">
        <v>65</v>
      </c>
      <c r="E6" s="13">
        <v>0.301481481481482</v>
      </c>
      <c r="F6" s="14">
        <f t="shared" si="1"/>
        <v>3.86972222222222</v>
      </c>
      <c r="G6" s="15">
        <f t="shared" si="2"/>
        <v>0</v>
      </c>
      <c r="H6" s="15">
        <f t="shared" si="3"/>
        <v>3.86972222222222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46211.9523864583</v>
      </c>
      <c r="B7" s="6" t="s">
        <v>83</v>
      </c>
      <c r="C7" s="13">
        <v>0.952384259259259</v>
      </c>
      <c r="D7" s="13" t="s">
        <v>65</v>
      </c>
      <c r="E7" s="13">
        <v>0.116481481481481</v>
      </c>
      <c r="F7" s="14">
        <f t="shared" si="1"/>
        <v>3.93833333333333</v>
      </c>
      <c r="G7" s="15">
        <f t="shared" si="2"/>
        <v>1.14277777777778</v>
      </c>
      <c r="H7" s="15">
        <f t="shared" si="3"/>
        <v>2.79555555555556</v>
      </c>
      <c r="I7" s="23" t="s">
        <v>72</v>
      </c>
      <c r="J7" s="24">
        <f>SUMIF(B:B,"地面席",F:F)</f>
        <v>1.99805555555556</v>
      </c>
      <c r="K7" s="25">
        <f>SUMIF(B:B,"地面席",G:G)</f>
        <v>0</v>
      </c>
      <c r="L7" s="25">
        <f>SUMIF(B:B,"地面席",H:H)</f>
        <v>1.99805555555556</v>
      </c>
      <c r="M7" s="21"/>
    </row>
    <row r="8" ht="18.75" spans="1:13">
      <c r="A8" s="12">
        <f ca="1" t="shared" si="0"/>
        <v>46214.3516902778</v>
      </c>
      <c r="B8" s="6" t="s">
        <v>83</v>
      </c>
      <c r="C8" s="13">
        <v>0.351689814814815</v>
      </c>
      <c r="D8" s="13" t="s">
        <v>65</v>
      </c>
      <c r="E8" s="13">
        <v>0.528611111111111</v>
      </c>
      <c r="F8" s="14">
        <f t="shared" si="1"/>
        <v>4.24611111111111</v>
      </c>
      <c r="G8" s="15">
        <f t="shared" si="2"/>
        <v>4.24611111111111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46214.6896329861</v>
      </c>
      <c r="B9" s="6" t="s">
        <v>84</v>
      </c>
      <c r="C9" s="13">
        <v>0.68962962962963</v>
      </c>
      <c r="D9" s="13" t="s">
        <v>65</v>
      </c>
      <c r="E9" s="13">
        <v>0.858136574074074</v>
      </c>
      <c r="F9" s="14">
        <f t="shared" si="1"/>
        <v>4.04416666666666</v>
      </c>
      <c r="G9" s="15">
        <f t="shared" si="2"/>
        <v>4.04416666666666</v>
      </c>
      <c r="H9" s="15">
        <f t="shared" si="3"/>
        <v>0</v>
      </c>
      <c r="I9" s="23" t="s">
        <v>74</v>
      </c>
      <c r="J9" s="24">
        <f>SUMIF(B:B,"航班调度席",F:F)</f>
        <v>12.5561111111111</v>
      </c>
      <c r="K9" s="25">
        <f>SUMIF(B:B,"航班调度席",G:G)</f>
        <v>12.5561111111111</v>
      </c>
      <c r="L9" s="25">
        <f>SUMIF(B:B,"航班调度席",H:H)</f>
        <v>0</v>
      </c>
      <c r="M9" s="21"/>
    </row>
    <row r="10" ht="18.75" spans="1:13">
      <c r="A10" s="12">
        <f ca="1" t="shared" si="0"/>
        <v>46215.301516088</v>
      </c>
      <c r="B10" s="6" t="s">
        <v>68</v>
      </c>
      <c r="C10" s="13">
        <v>0.301516203703704</v>
      </c>
      <c r="D10" s="13" t="s">
        <v>65</v>
      </c>
      <c r="E10" s="13">
        <v>0.466342592592593</v>
      </c>
      <c r="F10" s="14">
        <f t="shared" si="1"/>
        <v>3.95583333333333</v>
      </c>
      <c r="G10" s="15">
        <f t="shared" si="2"/>
        <v>3.19222222222223</v>
      </c>
      <c r="H10" s="15">
        <f t="shared" si="3"/>
        <v>0.763611111111103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46215.6248155093</v>
      </c>
      <c r="B11" s="6" t="s">
        <v>84</v>
      </c>
      <c r="C11" s="13">
        <v>0.624814814814815</v>
      </c>
      <c r="D11" s="13" t="s">
        <v>65</v>
      </c>
      <c r="E11" s="13">
        <v>0.797986111111111</v>
      </c>
      <c r="F11" s="14">
        <f t="shared" si="1"/>
        <v>4.15611111111111</v>
      </c>
      <c r="G11" s="15">
        <f t="shared" si="2"/>
        <v>4.15611111111111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46219.0144788194</v>
      </c>
      <c r="B12" s="6" t="s">
        <v>84</v>
      </c>
      <c r="C12" s="13">
        <v>0.0144791666666667</v>
      </c>
      <c r="D12" s="13" t="s">
        <v>65</v>
      </c>
      <c r="E12" s="13">
        <v>0.14662037037037</v>
      </c>
      <c r="F12" s="14">
        <f t="shared" si="1"/>
        <v>3.17138888888889</v>
      </c>
      <c r="G12" s="15">
        <f t="shared" si="2"/>
        <v>0</v>
      </c>
      <c r="H12" s="15">
        <f t="shared" si="3"/>
        <v>3.17138888888889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46220.1404363426</v>
      </c>
      <c r="B13" s="6" t="s">
        <v>86</v>
      </c>
      <c r="C13" s="13">
        <v>0.140428240740741</v>
      </c>
      <c r="D13" s="13" t="s">
        <v>65</v>
      </c>
      <c r="E13" s="13">
        <v>0.223680555555556</v>
      </c>
      <c r="F13" s="14">
        <f t="shared" si="1"/>
        <v>1.99805555555556</v>
      </c>
      <c r="G13" s="15">
        <f t="shared" si="2"/>
        <v>0</v>
      </c>
      <c r="H13" s="15">
        <f t="shared" si="3"/>
        <v>1.99805555555556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46222.9527913194</v>
      </c>
      <c r="B14" s="6" t="s">
        <v>83</v>
      </c>
      <c r="C14" s="13">
        <v>0.952789351851852</v>
      </c>
      <c r="D14" s="13" t="s">
        <v>65</v>
      </c>
      <c r="E14" s="13">
        <v>0.0898263888888889</v>
      </c>
      <c r="F14" s="14">
        <f t="shared" si="1"/>
        <v>3.28888888888889</v>
      </c>
      <c r="G14" s="15">
        <f t="shared" si="2"/>
        <v>1.13305555555556</v>
      </c>
      <c r="H14" s="15">
        <f t="shared" si="3"/>
        <v>2.15583333333333</v>
      </c>
      <c r="I14" s="33"/>
      <c r="J14" s="33"/>
      <c r="K14" s="33"/>
      <c r="L14" s="33"/>
      <c r="M14" s="33"/>
    </row>
    <row r="15" ht="101.25" spans="1:13">
      <c r="A15" s="12" t="str">
        <f ca="1" t="shared" si="0"/>
        <v/>
      </c>
      <c r="B15" s="6"/>
      <c r="C15" s="13"/>
      <c r="D15" s="13"/>
      <c r="E15" s="13"/>
      <c r="F15" s="14">
        <f t="shared" si="1"/>
        <v>0</v>
      </c>
      <c r="G15" s="15">
        <f t="shared" si="2"/>
        <v>0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46226.3761929398</v>
      </c>
      <c r="B16" s="6" t="s">
        <v>87</v>
      </c>
      <c r="C16" s="13">
        <v>0.37619212962963</v>
      </c>
      <c r="D16" s="13" t="s">
        <v>65</v>
      </c>
      <c r="E16" s="13">
        <v>0.5025</v>
      </c>
      <c r="F16" s="14">
        <f t="shared" si="1"/>
        <v>3.03138888888889</v>
      </c>
      <c r="G16" s="15">
        <f t="shared" si="2"/>
        <v>3.03138888888889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46226.60256875</v>
      </c>
      <c r="B17" s="6" t="s">
        <v>87</v>
      </c>
      <c r="C17" s="13">
        <v>0.602569444444444</v>
      </c>
      <c r="D17" s="13" t="s">
        <v>65</v>
      </c>
      <c r="E17" s="13">
        <v>0.706689814814815</v>
      </c>
      <c r="F17" s="14">
        <f t="shared" si="1"/>
        <v>2.49888888888889</v>
      </c>
      <c r="G17" s="15">
        <f t="shared" si="2"/>
        <v>2.49888888888889</v>
      </c>
      <c r="H17" s="15">
        <f t="shared" si="3"/>
        <v>0</v>
      </c>
      <c r="I17" s="39" t="s">
        <v>80</v>
      </c>
      <c r="J17" s="40">
        <f>J4+J5+J6+J7+J10</f>
        <v>37.3280555555556</v>
      </c>
      <c r="K17" s="41">
        <f>K4+K5+K6+K7+K10</f>
        <v>18.7302777777778</v>
      </c>
      <c r="L17" s="42">
        <f>L4+L5+L6+L7+L10</f>
        <v>18.5977777777778</v>
      </c>
      <c r="M17" s="43"/>
    </row>
    <row r="18" ht="20.25" spans="1:13">
      <c r="A18" s="12">
        <f ca="1" t="shared" si="0"/>
        <v>46227.3808804398</v>
      </c>
      <c r="B18" s="6" t="s">
        <v>87</v>
      </c>
      <c r="C18" s="13">
        <v>0.38087962962963</v>
      </c>
      <c r="D18" s="13" t="s">
        <v>65</v>
      </c>
      <c r="E18" s="13">
        <v>0.514918981481482</v>
      </c>
      <c r="F18" s="14">
        <f t="shared" si="1"/>
        <v>3.21694444444444</v>
      </c>
      <c r="G18" s="15">
        <f t="shared" si="2"/>
        <v>3.21694444444444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46227.5826489583</v>
      </c>
      <c r="B19" s="6" t="s">
        <v>87</v>
      </c>
      <c r="C19" s="13">
        <v>0.582638888888889</v>
      </c>
      <c r="D19" s="13" t="s">
        <v>65</v>
      </c>
      <c r="E19" s="13">
        <v>0.741342592592593</v>
      </c>
      <c r="F19" s="14">
        <f t="shared" si="1"/>
        <v>3.80888888888889</v>
      </c>
      <c r="G19" s="15">
        <f t="shared" si="2"/>
        <v>3.80888888888889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 t="str">
        <f ca="1" t="shared" si="0"/>
        <v/>
      </c>
      <c r="B20" s="6"/>
      <c r="C20" s="13"/>
      <c r="D20" s="13"/>
      <c r="E20" s="13"/>
      <c r="F20" s="14">
        <f t="shared" si="1"/>
        <v>0</v>
      </c>
      <c r="G20" s="15">
        <f t="shared" si="2"/>
        <v>0</v>
      </c>
      <c r="H20" s="15">
        <f t="shared" si="3"/>
        <v>0</v>
      </c>
      <c r="I20" s="44" t="s">
        <v>82</v>
      </c>
      <c r="J20" s="45">
        <f>J16+J17+J18+J19</f>
        <v>37.3280555555556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12.5561111111111</v>
      </c>
      <c r="K21" s="41">
        <f>SUM(K8:K9)</f>
        <v>12.5561111111111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46204.0109671296</v>
      </c>
      <c r="B3" s="6" t="s">
        <v>83</v>
      </c>
      <c r="C3" s="13">
        <v>0.0109606481481481</v>
      </c>
      <c r="D3" s="13" t="s">
        <v>65</v>
      </c>
      <c r="E3" s="13">
        <v>0.104884259259259</v>
      </c>
      <c r="F3" s="14">
        <f t="shared" ref="F3:F66" si="1">(IF(E3-C3&lt;0,"24:00"-C3+E3,E3-C3))*24</f>
        <v>2.25416666666667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2.25416666666667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46204.1049300926</v>
      </c>
      <c r="B4" s="6" t="s">
        <v>68</v>
      </c>
      <c r="C4" s="13">
        <v>0.104965277777778</v>
      </c>
      <c r="D4" s="13" t="s">
        <v>65</v>
      </c>
      <c r="E4" s="13">
        <v>0.143229166666667</v>
      </c>
      <c r="F4" s="14">
        <f t="shared" si="1"/>
        <v>0.918333333333333</v>
      </c>
      <c r="G4" s="15">
        <f t="shared" si="2"/>
        <v>0</v>
      </c>
      <c r="H4" s="15">
        <f t="shared" si="3"/>
        <v>0.918333333333333</v>
      </c>
      <c r="I4" s="23" t="s">
        <v>67</v>
      </c>
      <c r="J4" s="24">
        <f>SUMIF(B:B,"西塔台管制席",F:F)+SUMIF(B:B,"东塔台管制席",F:F)</f>
        <v>35.2252777777778</v>
      </c>
      <c r="K4" s="25">
        <f>SUMIF(B:B,"西塔台管制席",G:G)+SUMIF(B:B,"东塔台管制席",G:G)</f>
        <v>14.6488888888889</v>
      </c>
      <c r="L4" s="25">
        <f>SUMIF(B:B,"西塔台管制席",H:H)+SUMIF(B:B,"东塔台管制席",H:H)</f>
        <v>20.5763888888889</v>
      </c>
      <c r="M4" s="21"/>
    </row>
    <row r="5" ht="18.75" spans="1:13">
      <c r="A5" s="12">
        <f ca="1" t="shared" si="0"/>
        <v>46206.521431713</v>
      </c>
      <c r="B5" s="6" t="s">
        <v>68</v>
      </c>
      <c r="C5" s="13">
        <v>0.521423611111111</v>
      </c>
      <c r="D5" s="13" t="s">
        <v>65</v>
      </c>
      <c r="E5" s="13">
        <v>0.696875</v>
      </c>
      <c r="F5" s="14">
        <f t="shared" si="1"/>
        <v>4.21083333333333</v>
      </c>
      <c r="G5" s="15">
        <f t="shared" si="2"/>
        <v>4.21083333333333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28.33</v>
      </c>
      <c r="K5" s="25">
        <f>SUMIF(B:B,"西塔台协调席",G:G)+SUMIF(B:B,"东塔台协调席",G:G)</f>
        <v>19.7655555555556</v>
      </c>
      <c r="L5" s="25">
        <f>SUMIF(B:B,"西塔台协调席",H:H)+SUMIF(B:B,"东塔台协调席",H:H)</f>
        <v>8.56444444444443</v>
      </c>
      <c r="M5" s="21"/>
    </row>
    <row r="6" ht="18.75" spans="1:13">
      <c r="A6" s="12">
        <f ca="1" t="shared" si="0"/>
        <v>46206.7714260417</v>
      </c>
      <c r="B6" s="6" t="s">
        <v>84</v>
      </c>
      <c r="C6" s="13">
        <v>0.771423611111111</v>
      </c>
      <c r="D6" s="13" t="s">
        <v>65</v>
      </c>
      <c r="E6" s="13">
        <v>0.8615625</v>
      </c>
      <c r="F6" s="14">
        <f t="shared" si="1"/>
        <v>2.16333333333333</v>
      </c>
      <c r="G6" s="15">
        <f t="shared" si="2"/>
        <v>2.16333333333333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46207.4378820602</v>
      </c>
      <c r="B7" s="6" t="s">
        <v>68</v>
      </c>
      <c r="C7" s="13">
        <v>0.437881944444444</v>
      </c>
      <c r="D7" s="13" t="s">
        <v>65</v>
      </c>
      <c r="E7" s="13">
        <v>0.527256944444444</v>
      </c>
      <c r="F7" s="14">
        <f t="shared" si="1"/>
        <v>2.145</v>
      </c>
      <c r="G7" s="15">
        <f t="shared" si="2"/>
        <v>2.145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46207.6464574074</v>
      </c>
      <c r="B8" s="6" t="s">
        <v>84</v>
      </c>
      <c r="C8" s="13">
        <v>0.646446759259259</v>
      </c>
      <c r="D8" s="13" t="s">
        <v>65</v>
      </c>
      <c r="E8" s="13">
        <v>0.767476851851852</v>
      </c>
      <c r="F8" s="14">
        <f t="shared" si="1"/>
        <v>2.90472222222222</v>
      </c>
      <c r="G8" s="15">
        <f t="shared" si="2"/>
        <v>2.90472222222222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46207.8126842593</v>
      </c>
      <c r="B9" s="6" t="s">
        <v>68</v>
      </c>
      <c r="C9" s="13">
        <v>0.812673611111111</v>
      </c>
      <c r="D9" s="13" t="s">
        <v>65</v>
      </c>
      <c r="E9" s="13">
        <v>0.956909722222222</v>
      </c>
      <c r="F9" s="14">
        <f t="shared" si="1"/>
        <v>3.46166666666666</v>
      </c>
      <c r="G9" s="15">
        <f t="shared" si="2"/>
        <v>3.46166666666666</v>
      </c>
      <c r="H9" s="15">
        <f t="shared" si="3"/>
        <v>0</v>
      </c>
      <c r="I9" s="23" t="s">
        <v>74</v>
      </c>
      <c r="J9" s="24">
        <f>SUMIF(B:B,"航班调度席",F:F)</f>
        <v>11.6733333333333</v>
      </c>
      <c r="K9" s="25">
        <f>SUMIF(B:B,"航班调度席",G:G)</f>
        <v>11.6733333333333</v>
      </c>
      <c r="L9" s="25">
        <f>SUMIF(B:B,"航班调度席",H:H)</f>
        <v>0</v>
      </c>
      <c r="M9" s="21"/>
    </row>
    <row r="10" ht="18.75" spans="1:13">
      <c r="A10" s="12">
        <f ca="1" t="shared" si="0"/>
        <v>46208.2982918982</v>
      </c>
      <c r="B10" s="6" t="s">
        <v>84</v>
      </c>
      <c r="C10" s="13">
        <v>0.298287037037037</v>
      </c>
      <c r="D10" s="13" t="s">
        <v>65</v>
      </c>
      <c r="E10" s="13">
        <v>0.367048611111111</v>
      </c>
      <c r="F10" s="14">
        <f t="shared" si="1"/>
        <v>1.65027777777778</v>
      </c>
      <c r="G10" s="15">
        <f t="shared" si="2"/>
        <v>0.809166666666675</v>
      </c>
      <c r="H10" s="15">
        <f t="shared" si="3"/>
        <v>0.841111111111103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46210.9510319444</v>
      </c>
      <c r="B11" s="6" t="s">
        <v>83</v>
      </c>
      <c r="C11" s="13">
        <v>0.951030092592593</v>
      </c>
      <c r="D11" s="13" t="s">
        <v>65</v>
      </c>
      <c r="E11" s="13">
        <v>0.117974537037037</v>
      </c>
      <c r="F11" s="14">
        <f t="shared" si="1"/>
        <v>4.00666666666667</v>
      </c>
      <c r="G11" s="15">
        <f t="shared" si="2"/>
        <v>1.17527777777778</v>
      </c>
      <c r="H11" s="15">
        <f t="shared" si="3"/>
        <v>2.83138888888889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46211.1180203704</v>
      </c>
      <c r="B12" s="6" t="s">
        <v>70</v>
      </c>
      <c r="C12" s="13">
        <v>0.118020833333333</v>
      </c>
      <c r="D12" s="13" t="s">
        <v>65</v>
      </c>
      <c r="E12" s="13">
        <v>0.146597222222222</v>
      </c>
      <c r="F12" s="14">
        <f t="shared" si="1"/>
        <v>0.685833333333334</v>
      </c>
      <c r="G12" s="15">
        <f t="shared" si="2"/>
        <v>0</v>
      </c>
      <c r="H12" s="15">
        <f t="shared" si="3"/>
        <v>0.685833333333334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46212.1356600694</v>
      </c>
      <c r="B13" s="6" t="s">
        <v>84</v>
      </c>
      <c r="C13" s="13">
        <v>0.135659722222222</v>
      </c>
      <c r="D13" s="13" t="s">
        <v>65</v>
      </c>
      <c r="E13" s="13">
        <v>0.305868055555556</v>
      </c>
      <c r="F13" s="14">
        <f t="shared" si="1"/>
        <v>4.085</v>
      </c>
      <c r="G13" s="15">
        <f t="shared" si="2"/>
        <v>0</v>
      </c>
      <c r="H13" s="15">
        <f t="shared" si="3"/>
        <v>4.085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46216.011456713</v>
      </c>
      <c r="B14" s="6" t="s">
        <v>83</v>
      </c>
      <c r="C14" s="13">
        <v>0.0114467592592593</v>
      </c>
      <c r="D14" s="13" t="s">
        <v>65</v>
      </c>
      <c r="E14" s="13">
        <v>0.0140625</v>
      </c>
      <c r="F14" s="14">
        <f t="shared" si="1"/>
        <v>0.0627777777777778</v>
      </c>
      <c r="G14" s="15">
        <f t="shared" si="2"/>
        <v>0</v>
      </c>
      <c r="H14" s="15">
        <f t="shared" si="3"/>
        <v>0.0627777777777778</v>
      </c>
      <c r="I14" s="33"/>
      <c r="J14" s="33"/>
      <c r="K14" s="33"/>
      <c r="L14" s="33"/>
      <c r="M14" s="33"/>
    </row>
    <row r="15" ht="101.25" spans="1:13">
      <c r="A15" s="12">
        <f ca="1" t="shared" si="0"/>
        <v>46216.0141309028</v>
      </c>
      <c r="B15" s="6" t="s">
        <v>70</v>
      </c>
      <c r="C15" s="13">
        <v>0.0141203703703704</v>
      </c>
      <c r="D15" s="13" t="s">
        <v>65</v>
      </c>
      <c r="E15" s="13">
        <v>0.144363425925926</v>
      </c>
      <c r="F15" s="14">
        <f t="shared" si="1"/>
        <v>3.12583333333333</v>
      </c>
      <c r="G15" s="15">
        <f t="shared" si="2"/>
        <v>0</v>
      </c>
      <c r="H15" s="15">
        <f t="shared" si="3"/>
        <v>3.12583333333333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46218.3767642361</v>
      </c>
      <c r="B16" s="6" t="s">
        <v>87</v>
      </c>
      <c r="C16" s="13">
        <v>0.376759259259259</v>
      </c>
      <c r="D16" s="13" t="s">
        <v>65</v>
      </c>
      <c r="E16" s="13">
        <v>0.54</v>
      </c>
      <c r="F16" s="14">
        <f t="shared" si="1"/>
        <v>3.91777777777778</v>
      </c>
      <c r="G16" s="15">
        <f t="shared" si="2"/>
        <v>3.91777777777778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46218.6193686343</v>
      </c>
      <c r="B17" s="6" t="s">
        <v>87</v>
      </c>
      <c r="C17" s="13">
        <v>0.619363425925926</v>
      </c>
      <c r="D17" s="13" t="s">
        <v>65</v>
      </c>
      <c r="E17" s="13">
        <v>0.757175925925926</v>
      </c>
      <c r="F17" s="14">
        <f t="shared" si="1"/>
        <v>3.3075</v>
      </c>
      <c r="G17" s="15">
        <f t="shared" si="2"/>
        <v>3.3075</v>
      </c>
      <c r="H17" s="15">
        <f t="shared" si="3"/>
        <v>0</v>
      </c>
      <c r="I17" s="39" t="s">
        <v>80</v>
      </c>
      <c r="J17" s="40">
        <f>J4+J5+J6+J7+J10</f>
        <v>63.5552777777778</v>
      </c>
      <c r="K17" s="41">
        <f>K4+K5+K6+K7+K10</f>
        <v>34.4144444444445</v>
      </c>
      <c r="L17" s="42">
        <f>L4+L5+L6+L7+L10</f>
        <v>29.1408333333333</v>
      </c>
      <c r="M17" s="43"/>
    </row>
    <row r="18" ht="20.25" spans="1:13">
      <c r="A18" s="12">
        <f ca="1" t="shared" si="0"/>
        <v>46219.2988829861</v>
      </c>
      <c r="B18" s="6" t="s">
        <v>70</v>
      </c>
      <c r="C18" s="13">
        <v>0.298877314814815</v>
      </c>
      <c r="D18" s="13" t="s">
        <v>65</v>
      </c>
      <c r="E18" s="13">
        <v>0.422210648148148</v>
      </c>
      <c r="F18" s="14">
        <f t="shared" si="1"/>
        <v>2.96</v>
      </c>
      <c r="G18" s="15">
        <f t="shared" si="2"/>
        <v>2.13305555555556</v>
      </c>
      <c r="H18" s="15">
        <f t="shared" si="3"/>
        <v>0.826944444444436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46219.5334304398</v>
      </c>
      <c r="B19" s="6" t="s">
        <v>87</v>
      </c>
      <c r="C19" s="13">
        <v>0.533425925925926</v>
      </c>
      <c r="D19" s="13" t="s">
        <v>65</v>
      </c>
      <c r="E19" s="13">
        <v>0.568530092592593</v>
      </c>
      <c r="F19" s="14">
        <f t="shared" si="1"/>
        <v>0.842500000000001</v>
      </c>
      <c r="G19" s="15">
        <f t="shared" si="2"/>
        <v>0.842500000000001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46219.5848802083</v>
      </c>
      <c r="B20" s="6" t="s">
        <v>87</v>
      </c>
      <c r="C20" s="13">
        <v>0.584872685185185</v>
      </c>
      <c r="D20" s="13" t="s">
        <v>65</v>
      </c>
      <c r="E20" s="13">
        <v>0.735104166666667</v>
      </c>
      <c r="F20" s="14">
        <f t="shared" si="1"/>
        <v>3.60555555555555</v>
      </c>
      <c r="G20" s="15">
        <f t="shared" si="2"/>
        <v>3.60555555555555</v>
      </c>
      <c r="H20" s="15">
        <f t="shared" si="3"/>
        <v>0</v>
      </c>
      <c r="I20" s="44" t="s">
        <v>82</v>
      </c>
      <c r="J20" s="45">
        <f>J16+J17+J18+J19</f>
        <v>63.5552777777778</v>
      </c>
      <c r="K20" s="46"/>
      <c r="L20" s="47"/>
      <c r="M20" s="48"/>
    </row>
    <row r="21" ht="20.25" spans="1:13">
      <c r="A21" s="12">
        <f ca="1" t="shared" si="0"/>
        <v>46223.0092364583</v>
      </c>
      <c r="B21" s="6" t="s">
        <v>84</v>
      </c>
      <c r="C21" s="13">
        <v>0.00923611111111111</v>
      </c>
      <c r="D21" s="13" t="s">
        <v>65</v>
      </c>
      <c r="E21" s="13">
        <v>0.145011574074074</v>
      </c>
      <c r="F21" s="14">
        <f t="shared" si="1"/>
        <v>3.25861111111111</v>
      </c>
      <c r="G21" s="15">
        <f t="shared" si="2"/>
        <v>0</v>
      </c>
      <c r="H21" s="15">
        <f t="shared" si="3"/>
        <v>3.25861111111111</v>
      </c>
      <c r="I21" s="49" t="s">
        <v>5</v>
      </c>
      <c r="J21" s="50">
        <f>SUM(J8:J9)</f>
        <v>11.6733333333333</v>
      </c>
      <c r="K21" s="41">
        <f>SUM(K8:K9)</f>
        <v>11.6733333333333</v>
      </c>
      <c r="L21" s="42">
        <f>SUM(L8:L9)</f>
        <v>0</v>
      </c>
      <c r="M21" s="51"/>
    </row>
    <row r="22" ht="18.75" spans="1:10">
      <c r="A22" s="12">
        <f ca="1" t="shared" si="0"/>
        <v>46224.1370587963</v>
      </c>
      <c r="B22" s="6" t="s">
        <v>84</v>
      </c>
      <c r="C22" s="13">
        <v>0.137048611111111</v>
      </c>
      <c r="D22" s="13" t="s">
        <v>65</v>
      </c>
      <c r="E22" s="13">
        <v>0.225729166666667</v>
      </c>
      <c r="F22" s="14">
        <f t="shared" si="1"/>
        <v>2.12833333333333</v>
      </c>
      <c r="G22" s="15">
        <f t="shared" si="2"/>
        <v>0</v>
      </c>
      <c r="H22" s="15">
        <f t="shared" si="3"/>
        <v>2.12833333333333</v>
      </c>
      <c r="I22"/>
      <c r="J22"/>
    </row>
    <row r="23" ht="18.75" spans="1:10">
      <c r="A23" s="12">
        <f ca="1" t="shared" si="0"/>
        <v>46227.1375920139</v>
      </c>
      <c r="B23" s="6" t="s">
        <v>84</v>
      </c>
      <c r="C23" s="13">
        <v>0.137581018518519</v>
      </c>
      <c r="D23" s="13" t="s">
        <v>65</v>
      </c>
      <c r="E23" s="13">
        <v>0.236585648148148</v>
      </c>
      <c r="F23" s="14">
        <f t="shared" si="1"/>
        <v>2.37611111111111</v>
      </c>
      <c r="G23" s="15">
        <f t="shared" si="2"/>
        <v>0</v>
      </c>
      <c r="H23" s="15">
        <f t="shared" si="3"/>
        <v>2.37611111111111</v>
      </c>
      <c r="I23"/>
      <c r="J23"/>
    </row>
    <row r="24" ht="18.75" spans="1:10">
      <c r="A24" s="12">
        <f ca="1" t="shared" si="0"/>
        <v>46227.2366546296</v>
      </c>
      <c r="B24" s="6" t="s">
        <v>83</v>
      </c>
      <c r="C24" s="13">
        <v>0.236655092592593</v>
      </c>
      <c r="D24" s="13" t="s">
        <v>65</v>
      </c>
      <c r="E24" s="13">
        <v>0.305787037037037</v>
      </c>
      <c r="F24" s="14">
        <f t="shared" si="1"/>
        <v>1.65916666666667</v>
      </c>
      <c r="G24" s="15">
        <f t="shared" si="2"/>
        <v>0</v>
      </c>
      <c r="H24" s="15">
        <f t="shared" si="3"/>
        <v>1.65916666666667</v>
      </c>
      <c r="I24"/>
      <c r="J24"/>
    </row>
    <row r="25" ht="18.75" spans="1:10">
      <c r="A25" s="12">
        <f ca="1" t="shared" si="0"/>
        <v>46228.0109981482</v>
      </c>
      <c r="B25" s="6" t="s">
        <v>84</v>
      </c>
      <c r="C25" s="13">
        <v>0.0109953703703704</v>
      </c>
      <c r="D25" s="13" t="s">
        <v>65</v>
      </c>
      <c r="E25" s="13">
        <v>0.146354166666667</v>
      </c>
      <c r="F25" s="14">
        <f t="shared" si="1"/>
        <v>3.24861111111111</v>
      </c>
      <c r="G25" s="15">
        <f t="shared" si="2"/>
        <v>0</v>
      </c>
      <c r="H25" s="15">
        <f t="shared" si="3"/>
        <v>3.24861111111111</v>
      </c>
      <c r="I25"/>
      <c r="J25"/>
    </row>
    <row r="26" ht="18.75" spans="1:10">
      <c r="A26" s="12">
        <f ca="1" t="shared" si="0"/>
        <v>46230.3558074074</v>
      </c>
      <c r="B26" s="6" t="s">
        <v>68</v>
      </c>
      <c r="C26" s="13">
        <v>0.355798611111111</v>
      </c>
      <c r="D26" s="13" t="s">
        <v>65</v>
      </c>
      <c r="E26" s="13">
        <v>0.526655092592593</v>
      </c>
      <c r="F26" s="14">
        <f t="shared" si="1"/>
        <v>4.10055555555556</v>
      </c>
      <c r="G26" s="15">
        <f t="shared" si="2"/>
        <v>4.10055555555556</v>
      </c>
      <c r="H26" s="15">
        <f t="shared" si="3"/>
        <v>0</v>
      </c>
      <c r="I26"/>
      <c r="J26"/>
    </row>
    <row r="27" ht="18.75" spans="1:10">
      <c r="A27" s="12">
        <f ca="1" t="shared" si="0"/>
        <v>46230.7703542824</v>
      </c>
      <c r="B27" s="6" t="s">
        <v>84</v>
      </c>
      <c r="C27" s="13">
        <v>0.770347222222222</v>
      </c>
      <c r="D27" s="13" t="s">
        <v>65</v>
      </c>
      <c r="E27" s="13">
        <v>0.957835648148148</v>
      </c>
      <c r="F27" s="14">
        <f t="shared" si="1"/>
        <v>4.49972222222222</v>
      </c>
      <c r="G27" s="15">
        <f t="shared" si="2"/>
        <v>4.49972222222222</v>
      </c>
      <c r="H27" s="15">
        <f t="shared" si="3"/>
        <v>0</v>
      </c>
      <c r="I27"/>
      <c r="J27"/>
    </row>
    <row r="28" ht="18.75" spans="1:10">
      <c r="A28" s="12">
        <f ca="1" t="shared" si="0"/>
        <v>46231.2983946759</v>
      </c>
      <c r="B28" s="6" t="s">
        <v>83</v>
      </c>
      <c r="C28" s="13">
        <v>0.298391203703704</v>
      </c>
      <c r="D28" s="13" t="s">
        <v>65</v>
      </c>
      <c r="E28" s="13">
        <v>0.422708333333333</v>
      </c>
      <c r="F28" s="14">
        <f t="shared" si="1"/>
        <v>2.98361111111111</v>
      </c>
      <c r="G28" s="15">
        <f t="shared" si="2"/>
        <v>2.14500000000001</v>
      </c>
      <c r="H28" s="15">
        <f t="shared" si="3"/>
        <v>0.838611111111103</v>
      </c>
      <c r="I28"/>
      <c r="J28"/>
    </row>
    <row r="29" ht="18.75" spans="1:10">
      <c r="A29" s="12">
        <f ca="1" t="shared" si="0"/>
        <v>46231.5222190972</v>
      </c>
      <c r="B29" s="6" t="s">
        <v>70</v>
      </c>
      <c r="C29" s="13">
        <v>0.522210648148148</v>
      </c>
      <c r="D29" s="13" t="s">
        <v>65</v>
      </c>
      <c r="E29" s="13">
        <v>0.610972222222222</v>
      </c>
      <c r="F29" s="14">
        <f t="shared" si="1"/>
        <v>2.13027777777778</v>
      </c>
      <c r="G29" s="15">
        <f t="shared" si="2"/>
        <v>2.13027777777778</v>
      </c>
      <c r="H29" s="15">
        <f t="shared" si="3"/>
        <v>0</v>
      </c>
      <c r="I29"/>
      <c r="J29"/>
    </row>
    <row r="30" ht="18.75" spans="1:10">
      <c r="A30" s="12">
        <f ca="1" t="shared" si="0"/>
        <v>46231.7539678241</v>
      </c>
      <c r="B30" s="6" t="s">
        <v>70</v>
      </c>
      <c r="C30" s="13">
        <v>0.753958333333333</v>
      </c>
      <c r="D30" s="13" t="s">
        <v>65</v>
      </c>
      <c r="E30" s="13">
        <v>0.75431712962963</v>
      </c>
      <c r="F30" s="14">
        <f t="shared" si="1"/>
        <v>0.00861111111111157</v>
      </c>
      <c r="G30" s="15">
        <f t="shared" si="2"/>
        <v>0.00861111111111157</v>
      </c>
      <c r="H30" s="15">
        <f t="shared" si="3"/>
        <v>0</v>
      </c>
      <c r="I30"/>
      <c r="J30"/>
    </row>
    <row r="31" ht="18.75" spans="1:10">
      <c r="A31" s="12">
        <f ca="1" t="shared" si="0"/>
        <v>46231.7562159722</v>
      </c>
      <c r="B31" s="6" t="s">
        <v>83</v>
      </c>
      <c r="C31" s="13">
        <v>0.756539351851852</v>
      </c>
      <c r="D31" s="13" t="s">
        <v>65</v>
      </c>
      <c r="E31" s="13">
        <v>0.861840277777778</v>
      </c>
      <c r="F31" s="14">
        <f t="shared" si="1"/>
        <v>2.52722222222222</v>
      </c>
      <c r="G31" s="15">
        <f t="shared" si="2"/>
        <v>2.52722222222222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P339"/>
  <sheetViews>
    <sheetView zoomScale="85" zoomScaleNormal="85" topLeftCell="A10" workbookViewId="0">
      <selection activeCell="K32" sqref="K32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46204.358015625</v>
      </c>
      <c r="B3" s="6" t="s">
        <v>68</v>
      </c>
      <c r="C3" s="13">
        <v>0.358009259259259</v>
      </c>
      <c r="D3" s="13" t="s">
        <v>65</v>
      </c>
      <c r="E3" s="13">
        <v>0.514131944444444</v>
      </c>
      <c r="F3" s="14">
        <f t="shared" ref="F3:F66" si="1">(IF(E3-C3&lt;0,"24:00"-C3+E3,E3-C3))*24</f>
        <v>3.74694444444444</v>
      </c>
      <c r="G3" s="15">
        <f t="shared" ref="G3:G66" si="2">F3-H3</f>
        <v>3.74694444444444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46204.6259707176</v>
      </c>
      <c r="B4" s="6" t="s">
        <v>84</v>
      </c>
      <c r="C4" s="13">
        <v>0.625960648148148</v>
      </c>
      <c r="D4" s="13" t="s">
        <v>65</v>
      </c>
      <c r="E4" s="13">
        <v>0.753356481481481</v>
      </c>
      <c r="F4" s="14">
        <f t="shared" si="1"/>
        <v>3.0575</v>
      </c>
      <c r="G4" s="15">
        <f t="shared" si="2"/>
        <v>3.0575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49.6461111111111</v>
      </c>
      <c r="K4" s="25">
        <f>SUMIF(B:B,"西塔台管制席",G:G)+SUMIF(B:B,"东塔台管制席",G:G)</f>
        <v>24.6988888888889</v>
      </c>
      <c r="L4" s="25">
        <f>SUMIF(B:B,"西塔台管制席",H:H)+SUMIF(B:B,"东塔台管制席",H:H)</f>
        <v>24.9472222222222</v>
      </c>
      <c r="M4" s="21"/>
    </row>
    <row r="5" ht="18.75" spans="1:13">
      <c r="A5" s="12">
        <f ca="1" t="shared" si="0"/>
        <v>46204.875230787</v>
      </c>
      <c r="B5" s="6" t="s">
        <v>68</v>
      </c>
      <c r="C5" s="13">
        <v>0.875219907407407</v>
      </c>
      <c r="D5" s="13" t="s">
        <v>65</v>
      </c>
      <c r="E5" s="13">
        <v>0.958402777777778</v>
      </c>
      <c r="F5" s="14">
        <f t="shared" si="1"/>
        <v>1.99638888888889</v>
      </c>
      <c r="G5" s="15">
        <f t="shared" si="2"/>
        <v>1.99638888888889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31.7158333333333</v>
      </c>
      <c r="K5" s="25">
        <f>SUMIF(B:B,"西塔台协调席",G:G)+SUMIF(B:B,"东塔台协调席",G:G)</f>
        <v>24.9733333333334</v>
      </c>
      <c r="L5" s="25">
        <f>SUMIF(B:B,"西塔台协调席",H:H)+SUMIF(B:B,"东塔台协调席",H:H)</f>
        <v>6.74249999999999</v>
      </c>
      <c r="M5" s="21"/>
    </row>
    <row r="6" ht="18.75" spans="1:13">
      <c r="A6" s="12">
        <f ca="1" t="shared" si="0"/>
        <v>46205.2988783565</v>
      </c>
      <c r="B6" s="6" t="s">
        <v>84</v>
      </c>
      <c r="C6" s="13">
        <v>0.298877314814815</v>
      </c>
      <c r="D6" s="13" t="s">
        <v>65</v>
      </c>
      <c r="E6" s="13">
        <v>0.462395833333333</v>
      </c>
      <c r="F6" s="14">
        <f t="shared" si="1"/>
        <v>3.92444444444444</v>
      </c>
      <c r="G6" s="15">
        <f t="shared" si="2"/>
        <v>3.09750000000001</v>
      </c>
      <c r="H6" s="15">
        <f t="shared" si="3"/>
        <v>0.826944444444436</v>
      </c>
      <c r="I6" s="23" t="s">
        <v>71</v>
      </c>
      <c r="J6" s="24">
        <f>SUMIF(B:B,"放行席",F:F)</f>
        <v>2.30611111111111</v>
      </c>
      <c r="K6" s="25">
        <f>SUMIF(B:B,"放行席",G:G)</f>
        <v>0</v>
      </c>
      <c r="L6" s="25">
        <f>SUMIF(B:B,"放行席",H:H)</f>
        <v>2.30611111111111</v>
      </c>
      <c r="M6" s="21"/>
    </row>
    <row r="7" ht="18.75" spans="1:13">
      <c r="A7" s="12">
        <f ca="1" t="shared" si="0"/>
        <v>46205.54328125</v>
      </c>
      <c r="B7" s="6" t="s">
        <v>68</v>
      </c>
      <c r="C7" s="13">
        <v>0.550347222222222</v>
      </c>
      <c r="D7" s="13" t="s">
        <v>65</v>
      </c>
      <c r="E7" s="13">
        <v>0.63224537037037</v>
      </c>
      <c r="F7" s="14">
        <f t="shared" si="1"/>
        <v>1.96555555555556</v>
      </c>
      <c r="G7" s="15">
        <f t="shared" si="2"/>
        <v>1.96555555555556</v>
      </c>
      <c r="H7" s="15">
        <f t="shared" si="3"/>
        <v>0</v>
      </c>
      <c r="I7" s="23" t="s">
        <v>72</v>
      </c>
      <c r="J7" s="24">
        <f>SUMIF(B:B,"地面席",F:F)</f>
        <v>2.07333333333333</v>
      </c>
      <c r="K7" s="25">
        <f>SUMIF(B:B,"地面席",G:G)</f>
        <v>0</v>
      </c>
      <c r="L7" s="25">
        <f>SUMIF(B:B,"地面席",H:H)</f>
        <v>2.07333333333333</v>
      </c>
      <c r="M7" s="21"/>
    </row>
    <row r="8" ht="18.75" spans="1:13">
      <c r="A8" s="12">
        <f ca="1" t="shared" si="0"/>
        <v>46205.7089438657</v>
      </c>
      <c r="B8" s="6" t="s">
        <v>68</v>
      </c>
      <c r="C8" s="13">
        <v>0.708935185185185</v>
      </c>
      <c r="D8" s="13" t="s">
        <v>65</v>
      </c>
      <c r="E8" s="13">
        <v>0.794247685185185</v>
      </c>
      <c r="F8" s="14">
        <f t="shared" si="1"/>
        <v>2.0475</v>
      </c>
      <c r="G8" s="15">
        <f t="shared" si="2"/>
        <v>2.0475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46208.9539917824</v>
      </c>
      <c r="B9" s="6" t="s">
        <v>70</v>
      </c>
      <c r="C9" s="13">
        <v>0.953981481481482</v>
      </c>
      <c r="D9" s="13" t="s">
        <v>65</v>
      </c>
      <c r="E9" s="13">
        <v>0.0968171296296296</v>
      </c>
      <c r="F9" s="14">
        <f t="shared" si="1"/>
        <v>3.42805555555555</v>
      </c>
      <c r="G9" s="15">
        <f t="shared" si="2"/>
        <v>1.10444444444444</v>
      </c>
      <c r="H9" s="15">
        <f t="shared" si="3"/>
        <v>2.32361111111111</v>
      </c>
      <c r="I9" s="23" t="s">
        <v>74</v>
      </c>
      <c r="J9" s="24">
        <f>SUMIF(B:B,"航班调度席",F:F)</f>
        <v>4.98833333333333</v>
      </c>
      <c r="K9" s="25">
        <f>SUMIF(B:B,"航班调度席",G:G)</f>
        <v>4.98833333333333</v>
      </c>
      <c r="L9" s="25">
        <f>SUMIF(B:B,"航班调度席",H:H)</f>
        <v>0</v>
      </c>
      <c r="M9" s="21"/>
    </row>
    <row r="10" ht="18.75" spans="1:13">
      <c r="A10" s="12">
        <f ca="1" t="shared" si="0"/>
        <v>46209.4575855324</v>
      </c>
      <c r="B10" s="6" t="s">
        <v>87</v>
      </c>
      <c r="C10" s="13">
        <v>0.457581018518519</v>
      </c>
      <c r="D10" s="13" t="s">
        <v>65</v>
      </c>
      <c r="E10" s="13">
        <v>0.516481481481481</v>
      </c>
      <c r="F10" s="14">
        <f t="shared" si="1"/>
        <v>1.41361111111111</v>
      </c>
      <c r="G10" s="15">
        <f t="shared" si="2"/>
        <v>1.41361111111111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46209.5278668981</v>
      </c>
      <c r="B11" s="6" t="s">
        <v>87</v>
      </c>
      <c r="C11" s="13">
        <v>0.527858796296296</v>
      </c>
      <c r="D11" s="13" t="s">
        <v>65</v>
      </c>
      <c r="E11" s="13">
        <v>0.676805555555556</v>
      </c>
      <c r="F11" s="14">
        <f t="shared" si="1"/>
        <v>3.57472222222222</v>
      </c>
      <c r="G11" s="15">
        <f t="shared" si="2"/>
        <v>3.57472222222222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46210.0135967593</v>
      </c>
      <c r="B12" s="6" t="s">
        <v>84</v>
      </c>
      <c r="C12" s="13">
        <v>0.013587962962963</v>
      </c>
      <c r="D12" s="13" t="s">
        <v>65</v>
      </c>
      <c r="E12" s="13">
        <v>0.145381944444444</v>
      </c>
      <c r="F12" s="14">
        <f t="shared" si="1"/>
        <v>3.16305555555556</v>
      </c>
      <c r="G12" s="15">
        <f t="shared" si="2"/>
        <v>0</v>
      </c>
      <c r="H12" s="15">
        <f t="shared" si="3"/>
        <v>3.16305555555556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46211.9522091435</v>
      </c>
      <c r="B13" s="6" t="s">
        <v>70</v>
      </c>
      <c r="C13" s="13">
        <v>0.952326388888889</v>
      </c>
      <c r="D13" s="13" t="s">
        <v>65</v>
      </c>
      <c r="E13" s="13">
        <v>0.116956018518519</v>
      </c>
      <c r="F13" s="14">
        <f t="shared" si="1"/>
        <v>3.95111111111111</v>
      </c>
      <c r="G13" s="15">
        <f t="shared" si="2"/>
        <v>1.14416666666667</v>
      </c>
      <c r="H13" s="15">
        <f t="shared" si="3"/>
        <v>2.80694444444444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46213.1358039352</v>
      </c>
      <c r="B14" s="6" t="s">
        <v>86</v>
      </c>
      <c r="C14" s="13">
        <v>0.135798611111111</v>
      </c>
      <c r="D14" s="13" t="s">
        <v>65</v>
      </c>
      <c r="E14" s="13">
        <v>0.2221875</v>
      </c>
      <c r="F14" s="14">
        <f t="shared" si="1"/>
        <v>2.07333333333333</v>
      </c>
      <c r="G14" s="15">
        <f t="shared" si="2"/>
        <v>0</v>
      </c>
      <c r="H14" s="15">
        <f t="shared" si="3"/>
        <v>2.07333333333333</v>
      </c>
      <c r="I14" s="33"/>
      <c r="J14" s="33"/>
      <c r="K14" s="33"/>
      <c r="L14" s="33"/>
      <c r="M14" s="33"/>
    </row>
    <row r="15" ht="101.25" spans="1:13">
      <c r="A15" s="12">
        <f ca="1" t="shared" si="0"/>
        <v>46214.139584838</v>
      </c>
      <c r="B15" s="6" t="s">
        <v>84</v>
      </c>
      <c r="C15" s="13">
        <v>0.139583333333333</v>
      </c>
      <c r="D15" s="13" t="s">
        <v>65</v>
      </c>
      <c r="E15" s="13">
        <v>0.304861111111111</v>
      </c>
      <c r="F15" s="14">
        <f t="shared" si="1"/>
        <v>3.96666666666667</v>
      </c>
      <c r="G15" s="15">
        <f t="shared" si="2"/>
        <v>0</v>
      </c>
      <c r="H15" s="15">
        <f t="shared" si="3"/>
        <v>3.96666666666667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46216.5040951389</v>
      </c>
      <c r="B16" s="6" t="s">
        <v>68</v>
      </c>
      <c r="C16" s="13">
        <v>0.504085648148148</v>
      </c>
      <c r="D16" s="13" t="s">
        <v>65</v>
      </c>
      <c r="E16" s="13">
        <v>0.631168981481481</v>
      </c>
      <c r="F16" s="14">
        <f t="shared" si="1"/>
        <v>3.05</v>
      </c>
      <c r="G16" s="15">
        <f t="shared" si="2"/>
        <v>3.05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46216.7551313657</v>
      </c>
      <c r="B17" s="6" t="s">
        <v>84</v>
      </c>
      <c r="C17" s="13">
        <v>0.755127314814815</v>
      </c>
      <c r="D17" s="13" t="s">
        <v>65</v>
      </c>
      <c r="E17" s="13">
        <v>0.880983796296296</v>
      </c>
      <c r="F17" s="14">
        <f t="shared" si="1"/>
        <v>3.02055555555555</v>
      </c>
      <c r="G17" s="15">
        <f t="shared" si="2"/>
        <v>3.02055555555555</v>
      </c>
      <c r="H17" s="15">
        <f t="shared" si="3"/>
        <v>0</v>
      </c>
      <c r="I17" s="39" t="s">
        <v>80</v>
      </c>
      <c r="J17" s="40">
        <f>J4+J5+J6+J7+J10</f>
        <v>85.7413888888889</v>
      </c>
      <c r="K17" s="41">
        <f>K4+K5+K6+K7+K10</f>
        <v>49.6722222222222</v>
      </c>
      <c r="L17" s="42">
        <f>L4+L5+L6+L7+L10</f>
        <v>36.0691666666666</v>
      </c>
      <c r="M17" s="43"/>
    </row>
    <row r="18" ht="20.25" spans="1:13">
      <c r="A18" s="12">
        <f ca="1" t="shared" si="0"/>
        <v>46217.4609375</v>
      </c>
      <c r="B18" s="6" t="s">
        <v>83</v>
      </c>
      <c r="C18" s="13">
        <v>0.4609375</v>
      </c>
      <c r="D18" s="13" t="s">
        <v>65</v>
      </c>
      <c r="E18" s="13">
        <v>0.547708333333333</v>
      </c>
      <c r="F18" s="14">
        <f t="shared" si="1"/>
        <v>2.0825</v>
      </c>
      <c r="G18" s="15">
        <f t="shared" si="2"/>
        <v>2.0825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46217.6265677083</v>
      </c>
      <c r="B19" s="6" t="s">
        <v>70</v>
      </c>
      <c r="C19" s="13">
        <v>0.6265625</v>
      </c>
      <c r="D19" s="13" t="s">
        <v>65</v>
      </c>
      <c r="E19" s="13">
        <v>0.75837962962963</v>
      </c>
      <c r="F19" s="14">
        <f t="shared" si="1"/>
        <v>3.16361111111111</v>
      </c>
      <c r="G19" s="15">
        <f t="shared" si="2"/>
        <v>3.16361111111111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46217.8339461806</v>
      </c>
      <c r="B20" s="6" t="s">
        <v>83</v>
      </c>
      <c r="C20" s="13">
        <v>0.833935185185185</v>
      </c>
      <c r="D20" s="13" t="s">
        <v>65</v>
      </c>
      <c r="E20" s="13">
        <v>0.95619212962963</v>
      </c>
      <c r="F20" s="14">
        <f t="shared" si="1"/>
        <v>2.93416666666667</v>
      </c>
      <c r="G20" s="15">
        <f t="shared" si="2"/>
        <v>2.93416666666667</v>
      </c>
      <c r="H20" s="15">
        <f t="shared" si="3"/>
        <v>0</v>
      </c>
      <c r="I20" s="44" t="s">
        <v>82</v>
      </c>
      <c r="J20" s="45">
        <f>J16+J17+J18+J19</f>
        <v>85.7413888888889</v>
      </c>
      <c r="K20" s="46"/>
      <c r="L20" s="47"/>
      <c r="M20" s="48"/>
    </row>
    <row r="21" ht="20.25" spans="1:13">
      <c r="A21" s="12">
        <f ca="1" t="shared" si="0"/>
        <v>46218.2991827546</v>
      </c>
      <c r="B21" s="6" t="s">
        <v>70</v>
      </c>
      <c r="C21" s="13">
        <v>0.299178240740741</v>
      </c>
      <c r="D21" s="13" t="s">
        <v>65</v>
      </c>
      <c r="E21" s="13">
        <v>0.365300925925926</v>
      </c>
      <c r="F21" s="14">
        <f t="shared" si="1"/>
        <v>1.58694444444444</v>
      </c>
      <c r="G21" s="15">
        <f t="shared" si="2"/>
        <v>0.76722222222223</v>
      </c>
      <c r="H21" s="15">
        <f t="shared" si="3"/>
        <v>0.819722222222214</v>
      </c>
      <c r="I21" s="49" t="s">
        <v>5</v>
      </c>
      <c r="J21" s="50">
        <f>SUM(J8:J9)</f>
        <v>4.98833333333333</v>
      </c>
      <c r="K21" s="41">
        <f>SUM(K8:K9)</f>
        <v>4.98833333333333</v>
      </c>
      <c r="L21" s="42">
        <f>SUM(L8:L9)</f>
        <v>0</v>
      </c>
      <c r="M21" s="51"/>
    </row>
    <row r="22" ht="18.75" spans="1:10">
      <c r="A22" s="12">
        <f ca="1" t="shared" si="0"/>
        <v>46221.0149376157</v>
      </c>
      <c r="B22" s="6" t="s">
        <v>83</v>
      </c>
      <c r="C22" s="13">
        <v>0.0149305555555556</v>
      </c>
      <c r="D22" s="13" t="s">
        <v>65</v>
      </c>
      <c r="E22" s="13">
        <v>0.120555555555556</v>
      </c>
      <c r="F22" s="14">
        <f t="shared" si="1"/>
        <v>2.535</v>
      </c>
      <c r="G22" s="15">
        <f t="shared" si="2"/>
        <v>0</v>
      </c>
      <c r="H22" s="15">
        <f t="shared" si="3"/>
        <v>2.535</v>
      </c>
      <c r="I22"/>
      <c r="J22"/>
    </row>
    <row r="23" ht="18.75" spans="1:10">
      <c r="A23" s="12">
        <f ca="1" t="shared" si="0"/>
        <v>46221.1205984954</v>
      </c>
      <c r="B23" s="6" t="s">
        <v>84</v>
      </c>
      <c r="C23" s="13">
        <v>0.120590277777778</v>
      </c>
      <c r="D23" s="13" t="s">
        <v>65</v>
      </c>
      <c r="E23" s="13">
        <v>0.146111111111111</v>
      </c>
      <c r="F23" s="14">
        <f t="shared" si="1"/>
        <v>0.6125</v>
      </c>
      <c r="G23" s="15">
        <f t="shared" si="2"/>
        <v>0</v>
      </c>
      <c r="H23" s="15">
        <f t="shared" si="3"/>
        <v>0.6125</v>
      </c>
      <c r="I23"/>
      <c r="J23"/>
    </row>
    <row r="24" ht="18.75" spans="1:10">
      <c r="A24" s="12">
        <f ca="1" t="shared" si="0"/>
        <v>46221.9531109954</v>
      </c>
      <c r="B24" s="6" t="s">
        <v>84</v>
      </c>
      <c r="C24" s="13">
        <v>0.953101851851852</v>
      </c>
      <c r="D24" s="13" t="s">
        <v>65</v>
      </c>
      <c r="E24" s="13">
        <v>0.108703703703704</v>
      </c>
      <c r="F24" s="14">
        <f t="shared" si="1"/>
        <v>3.73444444444444</v>
      </c>
      <c r="G24" s="15">
        <f t="shared" si="2"/>
        <v>1.12555555555555</v>
      </c>
      <c r="H24" s="15">
        <f t="shared" si="3"/>
        <v>2.60888888888889</v>
      </c>
      <c r="I24"/>
      <c r="J24"/>
    </row>
    <row r="25" ht="18.75" spans="1:10">
      <c r="A25" s="12">
        <f ca="1" t="shared" si="0"/>
        <v>46225.1395128472</v>
      </c>
      <c r="B25" s="6" t="s">
        <v>70</v>
      </c>
      <c r="C25" s="13">
        <v>0.139502314814815</v>
      </c>
      <c r="D25" s="13" t="s">
        <v>65</v>
      </c>
      <c r="E25" s="13">
        <v>0.243645833333333</v>
      </c>
      <c r="F25" s="14">
        <f t="shared" si="1"/>
        <v>2.49944444444444</v>
      </c>
      <c r="G25" s="15">
        <f t="shared" si="2"/>
        <v>0</v>
      </c>
      <c r="H25" s="15">
        <f t="shared" si="3"/>
        <v>2.49944444444444</v>
      </c>
      <c r="I25"/>
      <c r="J25"/>
    </row>
    <row r="26" ht="18.75" spans="1:10">
      <c r="A26" s="12">
        <f ca="1" t="shared" si="0"/>
        <v>46225.2436833333</v>
      </c>
      <c r="B26" s="6" t="s">
        <v>68</v>
      </c>
      <c r="C26" s="13">
        <v>0.243680555555556</v>
      </c>
      <c r="D26" s="13" t="s">
        <v>65</v>
      </c>
      <c r="E26" s="13">
        <v>0.305138888888889</v>
      </c>
      <c r="F26" s="14">
        <f t="shared" si="1"/>
        <v>1.475</v>
      </c>
      <c r="G26" s="15">
        <f t="shared" si="2"/>
        <v>0</v>
      </c>
      <c r="H26" s="15">
        <f t="shared" si="3"/>
        <v>1.475</v>
      </c>
      <c r="I26"/>
      <c r="J26"/>
    </row>
    <row r="27" ht="18.75" spans="1:10">
      <c r="A27" s="12">
        <f ca="1" t="shared" si="0"/>
        <v>46226.1338949074</v>
      </c>
      <c r="B27" s="6" t="s">
        <v>85</v>
      </c>
      <c r="C27" s="13">
        <v>0.133888888888889</v>
      </c>
      <c r="D27" s="13" t="s">
        <v>65</v>
      </c>
      <c r="E27" s="13">
        <v>0.229976851851852</v>
      </c>
      <c r="F27" s="14">
        <f t="shared" si="1"/>
        <v>2.30611111111111</v>
      </c>
      <c r="G27" s="15">
        <f t="shared" si="2"/>
        <v>0</v>
      </c>
      <c r="H27" s="15">
        <f t="shared" si="3"/>
        <v>2.30611111111111</v>
      </c>
      <c r="I27"/>
      <c r="J27"/>
    </row>
    <row r="28" ht="18.75" spans="1:10">
      <c r="A28" s="12">
        <f ca="1" t="shared" si="0"/>
        <v>46228.5020881944</v>
      </c>
      <c r="B28" s="6" t="s">
        <v>83</v>
      </c>
      <c r="C28" s="13">
        <v>0.502083333333333</v>
      </c>
      <c r="D28" s="13" t="s">
        <v>65</v>
      </c>
      <c r="E28" s="13">
        <v>0.631678240740741</v>
      </c>
      <c r="F28" s="14">
        <f t="shared" si="1"/>
        <v>3.11027777777778</v>
      </c>
      <c r="G28" s="15">
        <f t="shared" si="2"/>
        <v>3.11027777777778</v>
      </c>
      <c r="H28" s="15">
        <f t="shared" si="3"/>
        <v>0</v>
      </c>
      <c r="I28"/>
      <c r="J28"/>
    </row>
    <row r="29" ht="18.75" spans="1:10">
      <c r="A29" s="12">
        <f ca="1" t="shared" si="0"/>
        <v>46228.7524041667</v>
      </c>
      <c r="B29" s="6" t="s">
        <v>70</v>
      </c>
      <c r="C29" s="13">
        <v>0.752395833333333</v>
      </c>
      <c r="D29" s="13" t="s">
        <v>65</v>
      </c>
      <c r="E29" s="13">
        <v>0.88244212962963</v>
      </c>
      <c r="F29" s="14">
        <f t="shared" si="1"/>
        <v>3.12111111111111</v>
      </c>
      <c r="G29" s="15">
        <f t="shared" si="2"/>
        <v>3.12111111111111</v>
      </c>
      <c r="H29" s="15">
        <f t="shared" si="3"/>
        <v>0</v>
      </c>
      <c r="I29"/>
      <c r="J29"/>
    </row>
    <row r="30" ht="18.75" spans="1:10">
      <c r="A30" s="12">
        <f ca="1" t="shared" si="0"/>
        <v>46229.4591912037</v>
      </c>
      <c r="B30" s="6" t="s">
        <v>84</v>
      </c>
      <c r="C30" s="13">
        <v>0.459189814814815</v>
      </c>
      <c r="D30" s="13" t="s">
        <v>65</v>
      </c>
      <c r="E30" s="13">
        <v>0.546319444444444</v>
      </c>
      <c r="F30" s="14">
        <f t="shared" si="1"/>
        <v>2.09111111111111</v>
      </c>
      <c r="G30" s="15">
        <f t="shared" si="2"/>
        <v>2.09111111111111</v>
      </c>
      <c r="H30" s="15">
        <f t="shared" si="3"/>
        <v>0</v>
      </c>
      <c r="I30"/>
      <c r="J30"/>
    </row>
    <row r="31" ht="18.75" spans="1:10">
      <c r="A31" s="12">
        <f ca="1" t="shared" si="0"/>
        <v>46229.6250998843</v>
      </c>
      <c r="B31" s="6" t="s">
        <v>68</v>
      </c>
      <c r="C31" s="13">
        <v>0.625092592592593</v>
      </c>
      <c r="D31" s="13" t="s">
        <v>65</v>
      </c>
      <c r="E31" s="13">
        <v>0.759861111111111</v>
      </c>
      <c r="F31" s="14">
        <f t="shared" si="1"/>
        <v>3.23444444444445</v>
      </c>
      <c r="G31" s="15">
        <f t="shared" si="2"/>
        <v>3.23444444444445</v>
      </c>
      <c r="H31" s="15">
        <f t="shared" si="3"/>
        <v>0</v>
      </c>
      <c r="I31"/>
      <c r="J31"/>
    </row>
    <row r="32" ht="18.75" spans="1:10">
      <c r="A32" s="12">
        <f ca="1" t="shared" si="0"/>
        <v>46229.8341450231</v>
      </c>
      <c r="B32" s="6" t="s">
        <v>84</v>
      </c>
      <c r="C32" s="13">
        <v>0.834143518518519</v>
      </c>
      <c r="D32" s="13" t="s">
        <v>65</v>
      </c>
      <c r="E32" s="13">
        <v>0.959398148148148</v>
      </c>
      <c r="F32" s="14">
        <f t="shared" si="1"/>
        <v>3.00611111111111</v>
      </c>
      <c r="G32" s="15">
        <f t="shared" si="2"/>
        <v>3.00611111111111</v>
      </c>
      <c r="H32" s="15">
        <f t="shared" si="3"/>
        <v>0</v>
      </c>
      <c r="I32"/>
      <c r="J32"/>
    </row>
    <row r="33" ht="18.75" spans="1:10">
      <c r="A33" s="12">
        <f ca="1" t="shared" si="0"/>
        <v>46230.3004414352</v>
      </c>
      <c r="B33" s="6" t="s">
        <v>68</v>
      </c>
      <c r="C33" s="13">
        <v>0.300439814814815</v>
      </c>
      <c r="D33" s="13" t="s">
        <v>65</v>
      </c>
      <c r="E33" s="13">
        <v>0.366898148148148</v>
      </c>
      <c r="F33" s="14">
        <f t="shared" si="1"/>
        <v>1.595</v>
      </c>
      <c r="G33" s="15">
        <f t="shared" si="2"/>
        <v>0.805555555555564</v>
      </c>
      <c r="H33" s="15">
        <f t="shared" si="3"/>
        <v>0.789444444444436</v>
      </c>
      <c r="I33"/>
      <c r="J33"/>
    </row>
    <row r="34" ht="18.75" spans="1:10">
      <c r="A34" s="12">
        <f ca="1" t="shared" si="0"/>
        <v>46233.0127355324</v>
      </c>
      <c r="B34" s="6" t="s">
        <v>84</v>
      </c>
      <c r="C34" s="13">
        <v>0.0127314814814815</v>
      </c>
      <c r="D34" s="13" t="s">
        <v>65</v>
      </c>
      <c r="E34" s="13">
        <v>0.144166666666667</v>
      </c>
      <c r="F34" s="14">
        <f t="shared" si="1"/>
        <v>3.15444444444444</v>
      </c>
      <c r="G34" s="15">
        <f t="shared" si="2"/>
        <v>0</v>
      </c>
      <c r="H34" s="15">
        <f t="shared" si="3"/>
        <v>3.15444444444444</v>
      </c>
      <c r="I34"/>
      <c r="J34"/>
    </row>
    <row r="35" ht="18.75" spans="1:10">
      <c r="A35" s="12">
        <f ca="1" t="shared" si="0"/>
        <v>46234.1385584491</v>
      </c>
      <c r="B35" s="6" t="s">
        <v>70</v>
      </c>
      <c r="C35" s="13">
        <v>0.138553240740741</v>
      </c>
      <c r="D35" s="13" t="s">
        <v>65</v>
      </c>
      <c r="E35" s="13">
        <v>0.228761574074074</v>
      </c>
      <c r="F35" s="14">
        <f t="shared" si="1"/>
        <v>2.165</v>
      </c>
      <c r="G35" s="15">
        <f t="shared" si="2"/>
        <v>0</v>
      </c>
      <c r="H35" s="15">
        <f t="shared" si="3"/>
        <v>2.165</v>
      </c>
      <c r="I35"/>
      <c r="J35"/>
    </row>
    <row r="36" ht="18.75" spans="1:10">
      <c r="A36" s="12">
        <f ca="1" t="shared" si="0"/>
        <v>46234.2288255787</v>
      </c>
      <c r="B36" s="6" t="s">
        <v>68</v>
      </c>
      <c r="C36" s="13">
        <v>0.228819444444444</v>
      </c>
      <c r="D36" s="13" t="s">
        <v>65</v>
      </c>
      <c r="E36" s="13">
        <v>0.309780092592593</v>
      </c>
      <c r="F36" s="14">
        <f t="shared" si="1"/>
        <v>1.94305555555556</v>
      </c>
      <c r="G36" s="15">
        <f t="shared" si="2"/>
        <v>0</v>
      </c>
      <c r="H36" s="15">
        <f t="shared" si="3"/>
        <v>1.94305555555556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P339"/>
  <sheetViews>
    <sheetView zoomScale="85" zoomScaleNormal="85" topLeftCell="A4" workbookViewId="0">
      <selection activeCell="E43" sqref="E43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46204.5207861111</v>
      </c>
      <c r="B3" s="6" t="s">
        <v>64</v>
      </c>
      <c r="C3" s="13">
        <v>0.51875</v>
      </c>
      <c r="D3" s="13" t="s">
        <v>65</v>
      </c>
      <c r="E3" s="13">
        <v>0.652071759259259</v>
      </c>
      <c r="F3" s="14">
        <f t="shared" ref="F3:F66" si="1">(IF(E3-C3&lt;0,"24:00"-C3+E3,E3-C3))*24</f>
        <v>3.19972222222222</v>
      </c>
      <c r="G3" s="15">
        <f t="shared" ref="G3:G66" si="2">F3-H3</f>
        <v>3.19972222222222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81.4563888888889</v>
      </c>
      <c r="K3" s="20">
        <f>SUMIF(B:B,"带班主任",G:G)</f>
        <v>52.9127777777778</v>
      </c>
      <c r="L3" s="20">
        <f>SUMIF(B:B,"带班主任",H:H)</f>
        <v>28.5436111111111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46204.7716726852</v>
      </c>
      <c r="B4" s="6" t="s">
        <v>64</v>
      </c>
      <c r="C4" s="13">
        <v>0.770277777777778</v>
      </c>
      <c r="D4" s="13" t="s">
        <v>65</v>
      </c>
      <c r="E4" s="13">
        <v>0.942326388888889</v>
      </c>
      <c r="F4" s="14">
        <f t="shared" si="1"/>
        <v>4.12916666666667</v>
      </c>
      <c r="G4" s="15">
        <f t="shared" si="2"/>
        <v>4.12916666666667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8.28638888888888</v>
      </c>
      <c r="K4" s="25">
        <f>SUMIF(B:B,"西塔台管制席",G:G)+SUMIF(B:B,"东塔台管制席",G:G)</f>
        <v>5.33861111111111</v>
      </c>
      <c r="L4" s="25">
        <f>SUMIF(B:B,"西塔台管制席",H:H)+SUMIF(B:B,"东塔台管制席",H:H)</f>
        <v>2.94777777777778</v>
      </c>
      <c r="M4" s="21"/>
    </row>
    <row r="5" ht="18.75" spans="1:13">
      <c r="A5" s="12">
        <f ca="1" t="shared" si="0"/>
        <v>46205.2941712963</v>
      </c>
      <c r="B5" s="6" t="s">
        <v>64</v>
      </c>
      <c r="C5" s="13">
        <v>0.292083333333333</v>
      </c>
      <c r="D5" s="13" t="s">
        <v>65</v>
      </c>
      <c r="E5" s="13">
        <v>0.476793981481481</v>
      </c>
      <c r="F5" s="14">
        <f t="shared" si="1"/>
        <v>4.43305555555556</v>
      </c>
      <c r="G5" s="15">
        <f t="shared" si="2"/>
        <v>3.44305555555556</v>
      </c>
      <c r="H5" s="15">
        <f t="shared" si="3"/>
        <v>0.989999999999992</v>
      </c>
      <c r="I5" s="23" t="s">
        <v>69</v>
      </c>
      <c r="J5" s="24">
        <f>SUMIF(B:B,"西塔台协调席",F:F)+SUMIF(B:B,"东塔台协调席",F:F)</f>
        <v>4.14916666666667</v>
      </c>
      <c r="K5" s="25">
        <f>SUMIF(B:B,"西塔台协调席",G:G)+SUMIF(B:B,"东塔台协调席",G:G)</f>
        <v>3.32777777777779</v>
      </c>
      <c r="L5" s="25">
        <f>SUMIF(B:B,"西塔台协调席",H:H)+SUMIF(B:B,"东塔台协调席",H:H)</f>
        <v>0.82138888888888</v>
      </c>
      <c r="M5" s="21"/>
    </row>
    <row r="6" ht="18.75" spans="1:13">
      <c r="A6" s="12">
        <f ca="1" t="shared" si="0"/>
        <v>46205.4897840278</v>
      </c>
      <c r="B6" s="6" t="s">
        <v>64</v>
      </c>
      <c r="C6" s="13">
        <v>0.488391203703704</v>
      </c>
      <c r="D6" s="13" t="s">
        <v>65</v>
      </c>
      <c r="E6" s="13">
        <v>0.522847222222222</v>
      </c>
      <c r="F6" s="14">
        <f t="shared" si="1"/>
        <v>0.826944444444445</v>
      </c>
      <c r="G6" s="15">
        <f t="shared" si="2"/>
        <v>0.826944444444445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46205.6485524306</v>
      </c>
      <c r="B7" s="6" t="s">
        <v>64</v>
      </c>
      <c r="C7" s="13">
        <v>0.648541666666667</v>
      </c>
      <c r="D7" s="13" t="s">
        <v>65</v>
      </c>
      <c r="E7" s="13">
        <v>0.744189814814815</v>
      </c>
      <c r="F7" s="14">
        <f t="shared" si="1"/>
        <v>2.29555555555556</v>
      </c>
      <c r="G7" s="15">
        <f t="shared" si="2"/>
        <v>2.29555555555556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46205.7599616898</v>
      </c>
      <c r="B8" s="6" t="s">
        <v>64</v>
      </c>
      <c r="C8" s="13">
        <v>0.759953703703704</v>
      </c>
      <c r="D8" s="13" t="s">
        <v>65</v>
      </c>
      <c r="E8" s="13">
        <v>0.776631944444444</v>
      </c>
      <c r="F8" s="14">
        <f t="shared" si="1"/>
        <v>0.400277777777781</v>
      </c>
      <c r="G8" s="15">
        <f t="shared" si="2"/>
        <v>0.400277777777781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46209.1324896991</v>
      </c>
      <c r="B9" s="6" t="s">
        <v>64</v>
      </c>
      <c r="C9" s="13">
        <v>0.132488425925926</v>
      </c>
      <c r="D9" s="13" t="s">
        <v>65</v>
      </c>
      <c r="E9" s="13">
        <v>0.296388888888889</v>
      </c>
      <c r="F9" s="14">
        <f t="shared" si="1"/>
        <v>3.93361111111111</v>
      </c>
      <c r="G9" s="15">
        <f t="shared" si="2"/>
        <v>0</v>
      </c>
      <c r="H9" s="15">
        <f t="shared" si="3"/>
        <v>3.93361111111111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46209.7672547454</v>
      </c>
      <c r="B10" s="6" t="s">
        <v>64</v>
      </c>
      <c r="C10" s="13">
        <v>0.765856481481482</v>
      </c>
      <c r="D10" s="13" t="s">
        <v>65</v>
      </c>
      <c r="E10" s="13">
        <v>0.786099537037037</v>
      </c>
      <c r="F10" s="14">
        <f t="shared" si="1"/>
        <v>0.485833333333332</v>
      </c>
      <c r="G10" s="15">
        <f t="shared" si="2"/>
        <v>0.485833333333332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46209.7919450231</v>
      </c>
      <c r="B11" s="6" t="s">
        <v>64</v>
      </c>
      <c r="C11" s="13">
        <v>0.791944444444444</v>
      </c>
      <c r="D11" s="13" t="s">
        <v>65</v>
      </c>
      <c r="E11" s="13">
        <v>0.942627314814815</v>
      </c>
      <c r="F11" s="14">
        <f t="shared" si="1"/>
        <v>3.61638888888889</v>
      </c>
      <c r="G11" s="15">
        <f t="shared" si="2"/>
        <v>3.61638888888889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46210.293234838</v>
      </c>
      <c r="B12" s="6" t="s">
        <v>64</v>
      </c>
      <c r="C12" s="13">
        <v>0.291840277777778</v>
      </c>
      <c r="D12" s="13" t="s">
        <v>65</v>
      </c>
      <c r="E12" s="13">
        <v>0.326840277777778</v>
      </c>
      <c r="F12" s="14">
        <f t="shared" si="1"/>
        <v>0.839999999999999</v>
      </c>
      <c r="G12" s="15">
        <f t="shared" si="2"/>
        <v>0</v>
      </c>
      <c r="H12" s="15">
        <f t="shared" si="3"/>
        <v>0.839999999999999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46210.3442490741</v>
      </c>
      <c r="B13" s="6" t="s">
        <v>64</v>
      </c>
      <c r="C13" s="13">
        <v>0.342858796296296</v>
      </c>
      <c r="D13" s="13" t="s">
        <v>65</v>
      </c>
      <c r="E13" s="13">
        <v>0.360381944444444</v>
      </c>
      <c r="F13" s="14">
        <f t="shared" si="1"/>
        <v>0.420555555555556</v>
      </c>
      <c r="G13" s="15">
        <f t="shared" si="2"/>
        <v>0.420555555555556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46212.9389701389</v>
      </c>
      <c r="B14" s="6" t="s">
        <v>64</v>
      </c>
      <c r="C14" s="13">
        <v>0.937581018518518</v>
      </c>
      <c r="D14" s="13" t="s">
        <v>65</v>
      </c>
      <c r="E14" s="13">
        <v>0.135451388888889</v>
      </c>
      <c r="F14" s="14">
        <f t="shared" si="1"/>
        <v>4.74888888888889</v>
      </c>
      <c r="G14" s="15">
        <f t="shared" si="2"/>
        <v>1.49805555555556</v>
      </c>
      <c r="H14" s="15">
        <f t="shared" si="3"/>
        <v>3.25083333333333</v>
      </c>
      <c r="I14" s="33"/>
      <c r="J14" s="33"/>
      <c r="K14" s="33"/>
      <c r="L14" s="33"/>
      <c r="M14" s="33"/>
    </row>
    <row r="15" ht="101.25" spans="1:13">
      <c r="A15" s="12">
        <f ca="1" t="shared" si="0"/>
        <v>46213.5347369213</v>
      </c>
      <c r="B15" s="6" t="s">
        <v>64</v>
      </c>
      <c r="C15" s="13">
        <v>0.532650462962963</v>
      </c>
      <c r="D15" s="13" t="s">
        <v>65</v>
      </c>
      <c r="E15" s="13">
        <v>0.778043981481482</v>
      </c>
      <c r="F15" s="14">
        <f t="shared" si="1"/>
        <v>5.88944444444444</v>
      </c>
      <c r="G15" s="15">
        <f t="shared" si="2"/>
        <v>5.88944444444444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46214.1343378472</v>
      </c>
      <c r="B16" s="6" t="s">
        <v>64</v>
      </c>
      <c r="C16" s="13">
        <v>0.132939814814815</v>
      </c>
      <c r="D16" s="13" t="s">
        <v>65</v>
      </c>
      <c r="E16" s="13">
        <v>0.295497685185185</v>
      </c>
      <c r="F16" s="14">
        <f t="shared" si="1"/>
        <v>3.90138888888889</v>
      </c>
      <c r="G16" s="15">
        <f t="shared" si="2"/>
        <v>0</v>
      </c>
      <c r="H16" s="15">
        <f t="shared" si="3"/>
        <v>3.90138888888889</v>
      </c>
      <c r="I16" s="39" t="s">
        <v>66</v>
      </c>
      <c r="J16" s="40">
        <f t="shared" ref="J16:L16" si="4">J3</f>
        <v>81.4563888888889</v>
      </c>
      <c r="K16" s="41">
        <f t="shared" si="4"/>
        <v>52.9127777777778</v>
      </c>
      <c r="L16" s="42">
        <f t="shared" si="4"/>
        <v>28.5436111111111</v>
      </c>
      <c r="M16" s="43"/>
    </row>
    <row r="17" ht="20.25" spans="1:13">
      <c r="A17" s="12">
        <f ca="1" t="shared" si="0"/>
        <v>46216.9540046296</v>
      </c>
      <c r="B17" s="6" t="s">
        <v>84</v>
      </c>
      <c r="C17" s="13">
        <v>0.952696759259259</v>
      </c>
      <c r="D17" s="13" t="s">
        <v>65</v>
      </c>
      <c r="E17" s="13">
        <v>0.122824074074074</v>
      </c>
      <c r="F17" s="14">
        <f t="shared" si="1"/>
        <v>4.08305555555555</v>
      </c>
      <c r="G17" s="15">
        <f t="shared" si="2"/>
        <v>1.13527777777778</v>
      </c>
      <c r="H17" s="15">
        <f t="shared" si="3"/>
        <v>2.94777777777778</v>
      </c>
      <c r="I17" s="39" t="s">
        <v>80</v>
      </c>
      <c r="J17" s="40">
        <f>J4+J5+J6+J7+J10</f>
        <v>12.4355555555556</v>
      </c>
      <c r="K17" s="41">
        <f>K4+K5+K6+K7+K10</f>
        <v>8.6663888888889</v>
      </c>
      <c r="L17" s="42">
        <f>L4+L5+L6+L7+L10</f>
        <v>3.76916666666666</v>
      </c>
      <c r="M17" s="43"/>
    </row>
    <row r="18" ht="20.25" spans="1:13">
      <c r="A18" s="12">
        <f ca="1" t="shared" si="0"/>
        <v>46217.4605299769</v>
      </c>
      <c r="B18" s="6" t="s">
        <v>70</v>
      </c>
      <c r="C18" s="13">
        <v>0.4584375</v>
      </c>
      <c r="D18" s="13" t="s">
        <v>65</v>
      </c>
      <c r="E18" s="13">
        <v>0.508703703703704</v>
      </c>
      <c r="F18" s="14">
        <f t="shared" si="1"/>
        <v>1.20638888888889</v>
      </c>
      <c r="G18" s="15">
        <f t="shared" si="2"/>
        <v>1.20638888888889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46217.5209472222</v>
      </c>
      <c r="B19" s="6" t="s">
        <v>70</v>
      </c>
      <c r="C19" s="13">
        <v>0.519143518518519</v>
      </c>
      <c r="D19" s="13" t="s">
        <v>65</v>
      </c>
      <c r="E19" s="13">
        <v>0.546168981481482</v>
      </c>
      <c r="F19" s="14">
        <f t="shared" si="1"/>
        <v>0.64861111111111</v>
      </c>
      <c r="G19" s="15">
        <f t="shared" si="2"/>
        <v>0.64861111111111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46217.6267267361</v>
      </c>
      <c r="B20" s="6" t="s">
        <v>83</v>
      </c>
      <c r="C20" s="13">
        <v>0.626724537037037</v>
      </c>
      <c r="D20" s="13" t="s">
        <v>65</v>
      </c>
      <c r="E20" s="13">
        <v>0.679803240740741</v>
      </c>
      <c r="F20" s="14">
        <f t="shared" si="1"/>
        <v>1.27388888888889</v>
      </c>
      <c r="G20" s="15">
        <f t="shared" si="2"/>
        <v>1.27388888888889</v>
      </c>
      <c r="H20" s="15">
        <f t="shared" si="3"/>
        <v>0</v>
      </c>
      <c r="I20" s="44" t="s">
        <v>82</v>
      </c>
      <c r="J20" s="45">
        <f>J16+J17+J18+J19</f>
        <v>93.8919444444444</v>
      </c>
      <c r="K20" s="46"/>
      <c r="L20" s="47"/>
      <c r="M20" s="48"/>
    </row>
    <row r="21" ht="20.25" spans="1:13">
      <c r="A21" s="12">
        <f ca="1" t="shared" si="0"/>
        <v>46217.6993748843</v>
      </c>
      <c r="B21" s="6" t="s">
        <v>83</v>
      </c>
      <c r="C21" s="13">
        <v>0.697291666666667</v>
      </c>
      <c r="D21" s="13" t="s">
        <v>65</v>
      </c>
      <c r="E21" s="13">
        <v>0.754548611111111</v>
      </c>
      <c r="F21" s="14">
        <f t="shared" si="1"/>
        <v>1.37416666666667</v>
      </c>
      <c r="G21" s="15">
        <f t="shared" si="2"/>
        <v>1.37416666666667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46217.8340265046</v>
      </c>
      <c r="B22" s="6" t="s">
        <v>70</v>
      </c>
      <c r="C22" s="13">
        <v>0.834016203703704</v>
      </c>
      <c r="D22" s="13" t="s">
        <v>65</v>
      </c>
      <c r="E22" s="13">
        <v>0.899444444444444</v>
      </c>
      <c r="F22" s="14">
        <f t="shared" si="1"/>
        <v>1.57027777777777</v>
      </c>
      <c r="G22" s="15">
        <f t="shared" si="2"/>
        <v>1.57027777777777</v>
      </c>
      <c r="H22" s="15">
        <f t="shared" si="3"/>
        <v>0</v>
      </c>
      <c r="I22"/>
      <c r="J22"/>
    </row>
    <row r="23" ht="18.75" spans="1:10">
      <c r="A23" s="12">
        <f ca="1" t="shared" si="0"/>
        <v>46217.920608912</v>
      </c>
      <c r="B23" s="6" t="s">
        <v>70</v>
      </c>
      <c r="C23" s="13">
        <v>0.920451388888889</v>
      </c>
      <c r="D23" s="13" t="s">
        <v>65</v>
      </c>
      <c r="E23" s="13">
        <v>0.95287037037037</v>
      </c>
      <c r="F23" s="14">
        <f t="shared" si="1"/>
        <v>0.778055555555555</v>
      </c>
      <c r="G23" s="15">
        <f t="shared" si="2"/>
        <v>0.778055555555555</v>
      </c>
      <c r="H23" s="15">
        <f t="shared" si="3"/>
        <v>0</v>
      </c>
      <c r="I23"/>
      <c r="J23"/>
    </row>
    <row r="24" ht="18.75" spans="1:10">
      <c r="A24" s="12">
        <f ca="1" t="shared" si="0"/>
        <v>46218.3005040509</v>
      </c>
      <c r="B24" s="6" t="s">
        <v>83</v>
      </c>
      <c r="C24" s="13">
        <v>0.299108796296296</v>
      </c>
      <c r="D24" s="13" t="s">
        <v>65</v>
      </c>
      <c r="E24" s="13">
        <v>0.361655092592593</v>
      </c>
      <c r="F24" s="14">
        <f t="shared" si="1"/>
        <v>1.50111111111111</v>
      </c>
      <c r="G24" s="15">
        <f t="shared" si="2"/>
        <v>0.679722222222231</v>
      </c>
      <c r="H24" s="15">
        <f t="shared" si="3"/>
        <v>0.82138888888888</v>
      </c>
      <c r="I24"/>
      <c r="J24"/>
    </row>
    <row r="25" ht="18.75" spans="1:10">
      <c r="A25" s="12">
        <f ca="1" t="shared" si="0"/>
        <v>46220.3541568287</v>
      </c>
      <c r="B25" s="6" t="s">
        <v>64</v>
      </c>
      <c r="C25" s="13">
        <v>0.352766203703704</v>
      </c>
      <c r="D25" s="13" t="s">
        <v>65</v>
      </c>
      <c r="E25" s="13">
        <v>0.490763888888889</v>
      </c>
      <c r="F25" s="14">
        <f t="shared" si="1"/>
        <v>3.31194444444445</v>
      </c>
      <c r="G25" s="15">
        <f t="shared" si="2"/>
        <v>3.31194444444445</v>
      </c>
      <c r="H25" s="15">
        <f t="shared" si="3"/>
        <v>0</v>
      </c>
      <c r="I25"/>
      <c r="J25"/>
    </row>
    <row r="26" ht="18.75" spans="1:10">
      <c r="A26" s="12">
        <f ca="1" t="shared" si="0"/>
        <v>46220.5163726852</v>
      </c>
      <c r="B26" s="6" t="s">
        <v>64</v>
      </c>
      <c r="C26" s="13">
        <v>0.514976851851852</v>
      </c>
      <c r="D26" s="13" t="s">
        <v>65</v>
      </c>
      <c r="E26" s="13">
        <v>0.5259375</v>
      </c>
      <c r="F26" s="14">
        <f t="shared" si="1"/>
        <v>0.263055555555558</v>
      </c>
      <c r="G26" s="15">
        <f t="shared" si="2"/>
        <v>0.263055555555558</v>
      </c>
      <c r="H26" s="15">
        <f t="shared" si="3"/>
        <v>0</v>
      </c>
      <c r="I26"/>
      <c r="J26"/>
    </row>
    <row r="27" ht="18.75" spans="1:10">
      <c r="A27" s="12">
        <f ca="1" t="shared" si="0"/>
        <v>46220.6480380787</v>
      </c>
      <c r="B27" s="6" t="s">
        <v>64</v>
      </c>
      <c r="C27" s="13">
        <v>0.645949074074074</v>
      </c>
      <c r="D27" s="13" t="s">
        <v>65</v>
      </c>
      <c r="E27" s="13">
        <v>0.756412037037037</v>
      </c>
      <c r="F27" s="14">
        <f t="shared" si="1"/>
        <v>2.65111111111111</v>
      </c>
      <c r="G27" s="15">
        <f t="shared" si="2"/>
        <v>2.65111111111111</v>
      </c>
      <c r="H27" s="15">
        <f t="shared" si="3"/>
        <v>0</v>
      </c>
      <c r="I27"/>
      <c r="J27"/>
    </row>
    <row r="28" ht="18.75" spans="1:10">
      <c r="A28" s="12">
        <f ca="1" t="shared" si="0"/>
        <v>46220.7696445602</v>
      </c>
      <c r="B28" s="6" t="s">
        <v>64</v>
      </c>
      <c r="C28" s="13">
        <v>0.76755787037037</v>
      </c>
      <c r="D28" s="13" t="s">
        <v>65</v>
      </c>
      <c r="E28" s="13">
        <v>0.776203703703704</v>
      </c>
      <c r="F28" s="14">
        <f t="shared" si="1"/>
        <v>0.207499999999998</v>
      </c>
      <c r="G28" s="15">
        <f t="shared" si="2"/>
        <v>0.207499999999998</v>
      </c>
      <c r="H28" s="15">
        <f t="shared" si="3"/>
        <v>0</v>
      </c>
      <c r="I28"/>
      <c r="J28"/>
    </row>
    <row r="29" ht="18.75" spans="1:10">
      <c r="A29" s="12">
        <f ca="1" t="shared" si="0"/>
        <v>46224.5215055556</v>
      </c>
      <c r="B29" s="6" t="s">
        <v>64</v>
      </c>
      <c r="C29" s="13">
        <v>0.520115740740741</v>
      </c>
      <c r="D29" s="13" t="s">
        <v>65</v>
      </c>
      <c r="E29" s="13">
        <v>0.57150462962963</v>
      </c>
      <c r="F29" s="14">
        <f t="shared" si="1"/>
        <v>1.23333333333333</v>
      </c>
      <c r="G29" s="15">
        <f t="shared" si="2"/>
        <v>1.23333333333333</v>
      </c>
      <c r="H29" s="15">
        <f t="shared" si="3"/>
        <v>0</v>
      </c>
      <c r="I29"/>
      <c r="J29"/>
    </row>
    <row r="30" ht="18.75" spans="1:10">
      <c r="A30" s="12">
        <f ca="1" t="shared" si="0"/>
        <v>46224.5879546296</v>
      </c>
      <c r="B30" s="6" t="s">
        <v>64</v>
      </c>
      <c r="C30" s="13">
        <v>0.5865625</v>
      </c>
      <c r="D30" s="13" t="s">
        <v>65</v>
      </c>
      <c r="E30" s="13">
        <v>0.657928240740741</v>
      </c>
      <c r="F30" s="14">
        <f t="shared" si="1"/>
        <v>1.71277777777778</v>
      </c>
      <c r="G30" s="15">
        <f t="shared" si="2"/>
        <v>1.71277777777778</v>
      </c>
      <c r="H30" s="15">
        <f t="shared" si="3"/>
        <v>0</v>
      </c>
      <c r="I30"/>
      <c r="J30"/>
    </row>
    <row r="31" ht="18.75" spans="1:10">
      <c r="A31" s="12">
        <f ca="1" t="shared" si="0"/>
        <v>46224.7813334491</v>
      </c>
      <c r="B31" s="6" t="s">
        <v>64</v>
      </c>
      <c r="C31" s="13">
        <v>0.779247685185185</v>
      </c>
      <c r="D31" s="13" t="s">
        <v>65</v>
      </c>
      <c r="E31" s="13">
        <v>0.846469907407407</v>
      </c>
      <c r="F31" s="14">
        <f t="shared" si="1"/>
        <v>1.61333333333333</v>
      </c>
      <c r="G31" s="15">
        <f t="shared" si="2"/>
        <v>1.61333333333333</v>
      </c>
      <c r="H31" s="15">
        <f t="shared" si="3"/>
        <v>0</v>
      </c>
      <c r="I31"/>
      <c r="J31"/>
    </row>
    <row r="32" ht="18.75" spans="1:10">
      <c r="A32" s="12">
        <f ca="1" t="shared" si="0"/>
        <v>46224.9073555556</v>
      </c>
      <c r="B32" s="6" t="s">
        <v>64</v>
      </c>
      <c r="C32" s="13">
        <v>0.905960648148148</v>
      </c>
      <c r="D32" s="13" t="s">
        <v>65</v>
      </c>
      <c r="E32" s="13">
        <v>0.941203703703704</v>
      </c>
      <c r="F32" s="14">
        <f t="shared" si="1"/>
        <v>0.84583333333333</v>
      </c>
      <c r="G32" s="15">
        <f t="shared" si="2"/>
        <v>0.84583333333333</v>
      </c>
      <c r="H32" s="15">
        <f t="shared" si="3"/>
        <v>0</v>
      </c>
      <c r="I32"/>
      <c r="J32"/>
    </row>
    <row r="33" ht="18.75" spans="1:10">
      <c r="A33" s="12">
        <f ca="1" t="shared" si="0"/>
        <v>46225.2923549769</v>
      </c>
      <c r="B33" s="6" t="s">
        <v>64</v>
      </c>
      <c r="C33" s="13">
        <v>0.292349537037037</v>
      </c>
      <c r="D33" s="13" t="s">
        <v>65</v>
      </c>
      <c r="E33" s="13">
        <v>0.491041666666667</v>
      </c>
      <c r="F33" s="14">
        <f t="shared" si="1"/>
        <v>4.76861111111111</v>
      </c>
      <c r="G33" s="15">
        <f t="shared" si="2"/>
        <v>3.78500000000001</v>
      </c>
      <c r="H33" s="15">
        <f t="shared" si="3"/>
        <v>0.983611111111103</v>
      </c>
      <c r="I33"/>
      <c r="J33"/>
    </row>
    <row r="34" ht="18.75" spans="1:10">
      <c r="A34" s="12">
        <f ca="1" t="shared" si="0"/>
        <v>46225.5085444444</v>
      </c>
      <c r="B34" s="6" t="s">
        <v>64</v>
      </c>
      <c r="C34" s="13">
        <v>0.508541666666667</v>
      </c>
      <c r="D34" s="13" t="s">
        <v>65</v>
      </c>
      <c r="E34" s="13">
        <v>0.525555555555556</v>
      </c>
      <c r="F34" s="14">
        <f t="shared" si="1"/>
        <v>0.408333333333333</v>
      </c>
      <c r="G34" s="15">
        <f t="shared" si="2"/>
        <v>0.408333333333333</v>
      </c>
      <c r="H34" s="15">
        <f t="shared" si="3"/>
        <v>0</v>
      </c>
      <c r="I34"/>
      <c r="J34"/>
    </row>
    <row r="35" ht="18.75" spans="1:10">
      <c r="A35" s="12">
        <f ca="1" t="shared" si="0"/>
        <v>46225.646730787</v>
      </c>
      <c r="B35" s="6" t="s">
        <v>64</v>
      </c>
      <c r="C35" s="13">
        <v>0.644641203703704</v>
      </c>
      <c r="D35" s="13" t="s">
        <v>65</v>
      </c>
      <c r="E35" s="13">
        <v>0.752384259259259</v>
      </c>
      <c r="F35" s="14">
        <f t="shared" si="1"/>
        <v>2.58583333333333</v>
      </c>
      <c r="G35" s="15">
        <f t="shared" si="2"/>
        <v>2.58583333333333</v>
      </c>
      <c r="H35" s="15">
        <f t="shared" si="3"/>
        <v>0</v>
      </c>
      <c r="I35"/>
      <c r="J35"/>
    </row>
    <row r="36" ht="18.75" spans="1:10">
      <c r="A36" s="12">
        <f ca="1" t="shared" si="0"/>
        <v>46228.939531713</v>
      </c>
      <c r="B36" s="6" t="s">
        <v>64</v>
      </c>
      <c r="C36" s="13">
        <v>0.938136574074074</v>
      </c>
      <c r="D36" s="13" t="s">
        <v>65</v>
      </c>
      <c r="E36" s="13">
        <v>0.136747685185185</v>
      </c>
      <c r="F36" s="14">
        <f t="shared" si="1"/>
        <v>4.76666666666666</v>
      </c>
      <c r="G36" s="15">
        <f t="shared" si="2"/>
        <v>1.48472222222222</v>
      </c>
      <c r="H36" s="15">
        <f t="shared" si="3"/>
        <v>3.28194444444444</v>
      </c>
      <c r="I36"/>
      <c r="J36"/>
    </row>
    <row r="37" ht="18.75" spans="1:10">
      <c r="A37" s="12">
        <f ca="1" t="shared" si="0"/>
        <v>46230.1332131944</v>
      </c>
      <c r="B37" s="6" t="s">
        <v>64</v>
      </c>
      <c r="C37" s="13">
        <v>0.132511574074074</v>
      </c>
      <c r="D37" s="13" t="s">
        <v>65</v>
      </c>
      <c r="E37" s="13">
        <v>0.297650462962963</v>
      </c>
      <c r="F37" s="14">
        <f t="shared" si="1"/>
        <v>3.96333333333333</v>
      </c>
      <c r="G37" s="15">
        <f t="shared" si="2"/>
        <v>0</v>
      </c>
      <c r="H37" s="15">
        <f t="shared" si="3"/>
        <v>3.96333333333333</v>
      </c>
      <c r="I37"/>
      <c r="J37"/>
    </row>
    <row r="38" ht="18.75" spans="1:11">
      <c r="A38" s="12">
        <f ca="1" t="shared" si="0"/>
        <v>46232.9400677083</v>
      </c>
      <c r="B38" s="6" t="s">
        <v>64</v>
      </c>
      <c r="C38" s="13">
        <v>0.938668981481482</v>
      </c>
      <c r="D38" s="13" t="s">
        <v>65</v>
      </c>
      <c r="E38" s="13">
        <v>0.135833333333333</v>
      </c>
      <c r="F38" s="14">
        <f t="shared" si="1"/>
        <v>4.73194444444444</v>
      </c>
      <c r="G38" s="15">
        <f t="shared" si="2"/>
        <v>1.47194444444444</v>
      </c>
      <c r="H38" s="15">
        <f t="shared" si="3"/>
        <v>3.26</v>
      </c>
      <c r="I38" s="52"/>
      <c r="J38" s="53"/>
      <c r="K38" s="13"/>
    </row>
    <row r="39" ht="18.75" spans="1:11">
      <c r="A39" s="12">
        <f ca="1" t="shared" si="0"/>
        <v>46233.5377491898</v>
      </c>
      <c r="B39" s="6" t="s">
        <v>64</v>
      </c>
      <c r="C39" s="13">
        <v>0.535659722222222</v>
      </c>
      <c r="D39" s="13" t="s">
        <v>65</v>
      </c>
      <c r="E39" s="13">
        <v>0.727361111111111</v>
      </c>
      <c r="F39" s="14">
        <f t="shared" si="1"/>
        <v>4.60083333333333</v>
      </c>
      <c r="G39" s="15">
        <f t="shared" si="2"/>
        <v>4.60083333333333</v>
      </c>
      <c r="H39" s="15">
        <f t="shared" si="3"/>
        <v>0</v>
      </c>
      <c r="I39" s="52"/>
      <c r="J39" s="53"/>
      <c r="K39" s="13"/>
    </row>
    <row r="40" ht="18.75" spans="1:11">
      <c r="A40" s="12">
        <f ca="1" t="shared" si="0"/>
        <v>46233.7572751157</v>
      </c>
      <c r="B40" s="6" t="s">
        <v>64</v>
      </c>
      <c r="C40" s="13">
        <v>0.75587962962963</v>
      </c>
      <c r="D40" s="13" t="s">
        <v>65</v>
      </c>
      <c r="E40" s="13">
        <v>0.778055555555555</v>
      </c>
      <c r="F40" s="14">
        <f t="shared" si="1"/>
        <v>0.532222222222221</v>
      </c>
      <c r="G40" s="15">
        <f t="shared" si="2"/>
        <v>0.532222222222221</v>
      </c>
      <c r="H40" s="15">
        <f t="shared" si="3"/>
        <v>0</v>
      </c>
      <c r="I40" s="52"/>
      <c r="J40" s="53"/>
      <c r="K40" s="13"/>
    </row>
    <row r="41" ht="18.75" spans="1:11">
      <c r="A41" s="12">
        <f ca="1" t="shared" si="0"/>
        <v>46234.1337828704</v>
      </c>
      <c r="B41" s="6" t="s">
        <v>64</v>
      </c>
      <c r="C41" s="13">
        <v>0.132384259259259</v>
      </c>
      <c r="D41" s="13" t="s">
        <v>65</v>
      </c>
      <c r="E41" s="13">
        <v>0.304837962962963</v>
      </c>
      <c r="F41" s="14">
        <f t="shared" si="1"/>
        <v>4.13888888888889</v>
      </c>
      <c r="G41" s="15">
        <f t="shared" si="2"/>
        <v>0</v>
      </c>
      <c r="H41" s="15">
        <f t="shared" si="3"/>
        <v>4.13888888888889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46204.938875463</v>
      </c>
      <c r="B3" s="6" t="s">
        <v>64</v>
      </c>
      <c r="C3" s="13">
        <v>0.938865740740741</v>
      </c>
      <c r="D3" s="13" t="s">
        <v>65</v>
      </c>
      <c r="E3" s="13">
        <v>0.137534722222222</v>
      </c>
      <c r="F3" s="14">
        <f t="shared" ref="F3:F66" si="1">(IF(E3-C3&lt;0,"24:00"-C3+E3,E3-C3))*24</f>
        <v>4.76805555555556</v>
      </c>
      <c r="G3" s="15">
        <f t="shared" ref="G3:G66" si="2">F3-H3</f>
        <v>1.46722222222222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3.30083333333333</v>
      </c>
      <c r="I3" s="18" t="s">
        <v>66</v>
      </c>
      <c r="J3" s="19">
        <f>SUMIF(B:B,"带班主任",F:F)</f>
        <v>72.8477777777778</v>
      </c>
      <c r="K3" s="20">
        <f>SUMIF(B:B,"带班主任",G:G)</f>
        <v>37.5902777777778</v>
      </c>
      <c r="L3" s="20">
        <f>SUMIF(B:B,"带班主任",H:H)</f>
        <v>35.2575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46206.1324627315</v>
      </c>
      <c r="B4" s="6" t="s">
        <v>64</v>
      </c>
      <c r="C4" s="13">
        <v>0.132638888888889</v>
      </c>
      <c r="D4" s="13" t="s">
        <v>65</v>
      </c>
      <c r="E4" s="13">
        <v>0.295162037037037</v>
      </c>
      <c r="F4" s="14">
        <f t="shared" si="1"/>
        <v>3.90055555555555</v>
      </c>
      <c r="G4" s="15">
        <f t="shared" si="2"/>
        <v>0</v>
      </c>
      <c r="H4" s="15">
        <f t="shared" si="3"/>
        <v>3.90055555555555</v>
      </c>
      <c r="I4" s="23" t="s">
        <v>67</v>
      </c>
      <c r="J4" s="24">
        <f>SUMIF(B:B,"西塔台管制席",F:F)+SUMIF(B:B,"东塔台管制席",F:F)</f>
        <v>0</v>
      </c>
      <c r="K4" s="25">
        <f>SUMIF(B:B,"西塔台管制席",G:G)+SUMIF(B:B,"东塔台管制席",G:G)</f>
        <v>0</v>
      </c>
      <c r="L4" s="25">
        <f>SUMIF(B:B,"西塔台管制席",H:H)+SUMIF(B:B,"东塔台管制席",H:H)</f>
        <v>0</v>
      </c>
      <c r="M4" s="21"/>
    </row>
    <row r="5" ht="18.75" spans="1:13">
      <c r="A5" s="12">
        <f ca="1" t="shared" si="0"/>
        <v>46208.9382684028</v>
      </c>
      <c r="B5" s="6" t="s">
        <v>64</v>
      </c>
      <c r="C5" s="13">
        <v>0.938263888888889</v>
      </c>
      <c r="D5" s="13" t="s">
        <v>65</v>
      </c>
      <c r="E5" s="13">
        <v>0.138333333333333</v>
      </c>
      <c r="F5" s="14">
        <f t="shared" si="1"/>
        <v>4.80166666666667</v>
      </c>
      <c r="G5" s="15">
        <f t="shared" si="2"/>
        <v>1.48166666666667</v>
      </c>
      <c r="H5" s="15">
        <f t="shared" si="3"/>
        <v>3.32</v>
      </c>
      <c r="I5" s="23" t="s">
        <v>69</v>
      </c>
      <c r="J5" s="24">
        <f>SUMIF(B:B,"西塔台协调席",F:F)+SUMIF(B:B,"东塔台协调席",F:F)</f>
        <v>0</v>
      </c>
      <c r="K5" s="25">
        <f>SUMIF(B:B,"西塔台协调席",G:G)+SUMIF(B:B,"东塔台协调席",G:G)</f>
        <v>0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46209.526875</v>
      </c>
      <c r="B6" s="6" t="s">
        <v>64</v>
      </c>
      <c r="C6" s="13">
        <v>0.526875</v>
      </c>
      <c r="D6" s="13" t="s">
        <v>65</v>
      </c>
      <c r="E6" s="13">
        <v>0.772071759259259</v>
      </c>
      <c r="F6" s="14">
        <f t="shared" si="1"/>
        <v>5.88472222222222</v>
      </c>
      <c r="G6" s="15">
        <f t="shared" si="2"/>
        <v>5.88472222222222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46210.1325133102</v>
      </c>
      <c r="B7" s="6" t="s">
        <v>64</v>
      </c>
      <c r="C7" s="13">
        <v>0.132511574074074</v>
      </c>
      <c r="D7" s="13" t="s">
        <v>65</v>
      </c>
      <c r="E7" s="13">
        <v>0.299236111111111</v>
      </c>
      <c r="F7" s="14">
        <f t="shared" si="1"/>
        <v>4.00138888888889</v>
      </c>
      <c r="G7" s="15">
        <f t="shared" si="2"/>
        <v>0</v>
      </c>
      <c r="H7" s="15">
        <f t="shared" si="3"/>
        <v>4.00138888888889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46212.5362454861</v>
      </c>
      <c r="B8" s="6" t="s">
        <v>64</v>
      </c>
      <c r="C8" s="13">
        <v>0.536238425925926</v>
      </c>
      <c r="D8" s="13" t="s">
        <v>65</v>
      </c>
      <c r="E8" s="13">
        <v>0.774328703703704</v>
      </c>
      <c r="F8" s="14">
        <f t="shared" si="1"/>
        <v>5.71416666666667</v>
      </c>
      <c r="G8" s="15">
        <f t="shared" si="2"/>
        <v>5.71416666666667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46213.1327072917</v>
      </c>
      <c r="B9" s="6" t="s">
        <v>64</v>
      </c>
      <c r="C9" s="13">
        <v>0.132696759259259</v>
      </c>
      <c r="D9" s="13" t="s">
        <v>65</v>
      </c>
      <c r="E9" s="13">
        <v>0.299907407407407</v>
      </c>
      <c r="F9" s="14">
        <f t="shared" si="1"/>
        <v>4.01305555555556</v>
      </c>
      <c r="G9" s="15">
        <f t="shared" si="2"/>
        <v>0</v>
      </c>
      <c r="H9" s="15">
        <f t="shared" si="3"/>
        <v>4.01305555555556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46213.7725023148</v>
      </c>
      <c r="B10" s="6" t="s">
        <v>64</v>
      </c>
      <c r="C10" s="13">
        <v>0.7725</v>
      </c>
      <c r="D10" s="13" t="s">
        <v>65</v>
      </c>
      <c r="E10" s="13">
        <v>0.943993055555556</v>
      </c>
      <c r="F10" s="14">
        <f t="shared" si="1"/>
        <v>4.11583333333333</v>
      </c>
      <c r="G10" s="15">
        <f t="shared" si="2"/>
        <v>4.11583333333333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46214.2923027778</v>
      </c>
      <c r="B11" s="6" t="s">
        <v>64</v>
      </c>
      <c r="C11" s="13">
        <v>0.292303240740741</v>
      </c>
      <c r="D11" s="13" t="s">
        <v>65</v>
      </c>
      <c r="E11" s="13">
        <v>0.357824074074074</v>
      </c>
      <c r="F11" s="14">
        <f t="shared" si="1"/>
        <v>1.5725</v>
      </c>
      <c r="G11" s="15">
        <f t="shared" si="2"/>
        <v>0.587777777777786</v>
      </c>
      <c r="H11" s="15">
        <f t="shared" si="3"/>
        <v>0.984722222222215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46216.3535125</v>
      </c>
      <c r="B12" s="6" t="s">
        <v>64</v>
      </c>
      <c r="C12" s="13">
        <v>0.353506944444444</v>
      </c>
      <c r="D12" s="13" t="s">
        <v>65</v>
      </c>
      <c r="E12" s="13">
        <v>0.530081018518519</v>
      </c>
      <c r="F12" s="14">
        <f t="shared" si="1"/>
        <v>4.23777777777778</v>
      </c>
      <c r="G12" s="15">
        <f t="shared" si="2"/>
        <v>4.23777777777778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46216.7773313657</v>
      </c>
      <c r="B13" s="6" t="s">
        <v>64</v>
      </c>
      <c r="C13" s="13">
        <v>0.645381944444444</v>
      </c>
      <c r="D13" s="13" t="s">
        <v>65</v>
      </c>
      <c r="E13" s="13">
        <v>0.778125</v>
      </c>
      <c r="F13" s="14">
        <f t="shared" si="1"/>
        <v>3.18583333333334</v>
      </c>
      <c r="G13" s="15">
        <f t="shared" si="2"/>
        <v>3.18583333333334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46217.5213512731</v>
      </c>
      <c r="B14" s="6" t="s">
        <v>64</v>
      </c>
      <c r="C14" s="13">
        <v>0.521342592592593</v>
      </c>
      <c r="D14" s="13" t="s">
        <v>65</v>
      </c>
      <c r="E14" s="13">
        <v>0.653125</v>
      </c>
      <c r="F14" s="14">
        <f t="shared" si="1"/>
        <v>3.16277777777778</v>
      </c>
      <c r="G14" s="15">
        <f t="shared" si="2"/>
        <v>3.16277777777778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46217.7706107639</v>
      </c>
      <c r="B15" s="6" t="s">
        <v>64</v>
      </c>
      <c r="C15" s="13">
        <v>0.770601851851852</v>
      </c>
      <c r="D15" s="13" t="s">
        <v>65</v>
      </c>
      <c r="E15" s="13">
        <v>0.942037037037037</v>
      </c>
      <c r="F15" s="14">
        <f t="shared" si="1"/>
        <v>4.11444444444444</v>
      </c>
      <c r="G15" s="15">
        <f t="shared" si="2"/>
        <v>4.11444444444444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46218.2916587963</v>
      </c>
      <c r="B16" s="6" t="s">
        <v>64</v>
      </c>
      <c r="C16" s="13">
        <v>0.291655092592593</v>
      </c>
      <c r="D16" s="13" t="s">
        <v>65</v>
      </c>
      <c r="E16" s="13">
        <v>0.362685185185185</v>
      </c>
      <c r="F16" s="14">
        <f t="shared" si="1"/>
        <v>1.70472222222222</v>
      </c>
      <c r="G16" s="15">
        <f t="shared" si="2"/>
        <v>0.704444444444452</v>
      </c>
      <c r="H16" s="15">
        <f t="shared" si="3"/>
        <v>1.00027777777777</v>
      </c>
      <c r="I16" s="39" t="s">
        <v>66</v>
      </c>
      <c r="J16" s="40">
        <f t="shared" ref="J16:L16" si="4">J3</f>
        <v>72.8477777777778</v>
      </c>
      <c r="K16" s="41">
        <f t="shared" si="4"/>
        <v>37.5902777777778</v>
      </c>
      <c r="L16" s="42">
        <f t="shared" si="4"/>
        <v>35.2575</v>
      </c>
      <c r="M16" s="43"/>
    </row>
    <row r="17" ht="20.25" spans="1:13">
      <c r="A17" s="12">
        <f ca="1" t="shared" si="0"/>
        <v>46224.9384263889</v>
      </c>
      <c r="B17" s="6" t="s">
        <v>64</v>
      </c>
      <c r="C17" s="13">
        <v>0.938425925925926</v>
      </c>
      <c r="D17" s="13" t="s">
        <v>65</v>
      </c>
      <c r="E17" s="13">
        <v>0.139143518518518</v>
      </c>
      <c r="F17" s="14">
        <f t="shared" si="1"/>
        <v>4.81722222222222</v>
      </c>
      <c r="G17" s="15">
        <f t="shared" si="2"/>
        <v>1.47777777777778</v>
      </c>
      <c r="H17" s="15">
        <f t="shared" si="3"/>
        <v>3.33944444444444</v>
      </c>
      <c r="I17" s="39" t="s">
        <v>80</v>
      </c>
      <c r="J17" s="40">
        <f>J4+J5+J6+J7+J10</f>
        <v>0</v>
      </c>
      <c r="K17" s="41">
        <f>K4+K5+K6+K7+K10</f>
        <v>0</v>
      </c>
      <c r="L17" s="42">
        <f>L4+L5+L6+L7+L10</f>
        <v>0</v>
      </c>
      <c r="M17" s="43"/>
    </row>
    <row r="18" ht="20.25" spans="1:13">
      <c r="A18" s="12">
        <f ca="1" t="shared" si="0"/>
        <v>46226.1331219907</v>
      </c>
      <c r="B18" s="6" t="s">
        <v>64</v>
      </c>
      <c r="C18" s="13">
        <v>0.133113425925926</v>
      </c>
      <c r="D18" s="13" t="s">
        <v>65</v>
      </c>
      <c r="E18" s="13">
        <v>0.301678240740741</v>
      </c>
      <c r="F18" s="14">
        <f t="shared" si="1"/>
        <v>4.04555555555556</v>
      </c>
      <c r="G18" s="15">
        <f t="shared" si="2"/>
        <v>0</v>
      </c>
      <c r="H18" s="15">
        <f t="shared" si="3"/>
        <v>4.04555555555556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46229.1319732639</v>
      </c>
      <c r="B19" s="6" t="s">
        <v>64</v>
      </c>
      <c r="C19" s="13">
        <v>0.131967592592593</v>
      </c>
      <c r="D19" s="13" t="s">
        <v>65</v>
      </c>
      <c r="E19" s="13">
        <v>0.300277777777778</v>
      </c>
      <c r="F19" s="14">
        <f t="shared" si="1"/>
        <v>4.03944444444445</v>
      </c>
      <c r="G19" s="15">
        <f t="shared" si="2"/>
        <v>0</v>
      </c>
      <c r="H19" s="15">
        <f t="shared" si="3"/>
        <v>4.03944444444445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46229.9393407407</v>
      </c>
      <c r="B20" s="6" t="s">
        <v>64</v>
      </c>
      <c r="C20" s="13">
        <v>0.939340277777778</v>
      </c>
      <c r="D20" s="13" t="s">
        <v>65</v>
      </c>
      <c r="E20" s="13">
        <v>0.138009259259259</v>
      </c>
      <c r="F20" s="14">
        <f t="shared" si="1"/>
        <v>4.76805555555556</v>
      </c>
      <c r="G20" s="15">
        <f t="shared" si="2"/>
        <v>1.45583333333333</v>
      </c>
      <c r="H20" s="15">
        <f t="shared" si="3"/>
        <v>3.31222222222222</v>
      </c>
      <c r="I20" s="44" t="s">
        <v>82</v>
      </c>
      <c r="J20" s="45">
        <f>J16+J17+J18+J19</f>
        <v>72.8477777777778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P339"/>
  <sheetViews>
    <sheetView zoomScale="85" zoomScaleNormal="85" topLeftCell="A10" workbookViewId="0">
      <selection activeCell="D30" sqref="D30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46204.2902263889</v>
      </c>
      <c r="B3" s="6" t="s">
        <v>64</v>
      </c>
      <c r="C3" s="13">
        <v>0.290219907407407</v>
      </c>
      <c r="D3" s="13" t="s">
        <v>65</v>
      </c>
      <c r="E3" s="13">
        <v>0.365868055555556</v>
      </c>
      <c r="F3" s="14">
        <f t="shared" ref="F3:F66" si="1">(IF(E3-C3&lt;0,"24:00"-C3+E3,E3-C3))*24</f>
        <v>1.81555555555556</v>
      </c>
      <c r="G3" s="15">
        <f t="shared" ref="G3:G66" si="2">F3-H3</f>
        <v>0.780833333333342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1.03472222222221</v>
      </c>
      <c r="I3" s="18" t="s">
        <v>66</v>
      </c>
      <c r="J3" s="19">
        <f>SUMIF(B:B,"带班主任",F:F)</f>
        <v>84.0378125</v>
      </c>
      <c r="K3" s="20">
        <f>SUMIF(B:B,"带班主任",G:G)</f>
        <v>54.6214236111111</v>
      </c>
      <c r="L3" s="20">
        <f>SUMIF(B:B,"带班主任",H:H)</f>
        <v>29.4163888888889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46206.3542329861</v>
      </c>
      <c r="B4" s="6" t="s">
        <v>84</v>
      </c>
      <c r="C4" s="13">
        <v>0.354456018518519</v>
      </c>
      <c r="D4" s="13" t="s">
        <v>65</v>
      </c>
      <c r="E4" s="13">
        <v>0.52943287037037</v>
      </c>
      <c r="F4" s="14">
        <f t="shared" si="1"/>
        <v>4.19944444444444</v>
      </c>
      <c r="G4" s="15">
        <f t="shared" si="2"/>
        <v>4.19944444444444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11.3405555555556</v>
      </c>
      <c r="K4" s="25">
        <f>SUMIF(B:B,"西塔台管制席",G:G)+SUMIF(B:B,"东塔台管制席",G:G)</f>
        <v>10.5255555555556</v>
      </c>
      <c r="L4" s="25">
        <f>SUMIF(B:B,"西塔台管制席",H:H)+SUMIF(B:B,"东塔台管制席",H:H)</f>
        <v>0.814999999999992</v>
      </c>
      <c r="M4" s="21"/>
    </row>
    <row r="5" ht="18.75" spans="1:13">
      <c r="A5" s="12">
        <f ca="1" t="shared" si="0"/>
        <v>46206.7816704861</v>
      </c>
      <c r="B5" s="6" t="s">
        <v>68</v>
      </c>
      <c r="C5" s="13">
        <v>0.687962962962963</v>
      </c>
      <c r="D5" s="13" t="s">
        <v>65</v>
      </c>
      <c r="E5" s="13">
        <v>0.782013888888889</v>
      </c>
      <c r="F5" s="14">
        <f t="shared" si="1"/>
        <v>2.25722222222222</v>
      </c>
      <c r="G5" s="15">
        <f t="shared" si="2"/>
        <v>2.25722222222222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5.52555555555555</v>
      </c>
      <c r="K5" s="25">
        <f>SUMIF(B:B,"西塔台协调席",G:G)+SUMIF(B:B,"东塔台协调席",G:G)</f>
        <v>5.52555555555555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46206.8549386574</v>
      </c>
      <c r="B6" s="6" t="s">
        <v>84</v>
      </c>
      <c r="C6" s="13">
        <v>0.854930555555556</v>
      </c>
      <c r="D6" s="13" t="s">
        <v>65</v>
      </c>
      <c r="E6" s="13">
        <v>0.860405092592593</v>
      </c>
      <c r="F6" s="14">
        <f t="shared" si="1"/>
        <v>0.131388888888889</v>
      </c>
      <c r="G6" s="15">
        <f t="shared" si="2"/>
        <v>0.131388888888889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46206.8604474537</v>
      </c>
      <c r="B7" s="6" t="s">
        <v>68</v>
      </c>
      <c r="C7" s="13">
        <v>0.860439814814815</v>
      </c>
      <c r="D7" s="13" t="s">
        <v>65</v>
      </c>
      <c r="E7" s="13">
        <v>0.957430555555555</v>
      </c>
      <c r="F7" s="14">
        <f t="shared" si="1"/>
        <v>2.32777777777778</v>
      </c>
      <c r="G7" s="15">
        <f t="shared" si="2"/>
        <v>2.32777777777778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46207.2993792824</v>
      </c>
      <c r="B8" s="6" t="s">
        <v>84</v>
      </c>
      <c r="C8" s="13">
        <v>0.299375</v>
      </c>
      <c r="D8" s="13" t="s">
        <v>65</v>
      </c>
      <c r="E8" s="13">
        <v>0.4453125</v>
      </c>
      <c r="F8" s="14">
        <f t="shared" si="1"/>
        <v>3.5025</v>
      </c>
      <c r="G8" s="15">
        <f t="shared" si="2"/>
        <v>2.68750000000001</v>
      </c>
      <c r="H8" s="15">
        <f t="shared" si="3"/>
        <v>0.814999999999992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46207.5220149306</v>
      </c>
      <c r="B9" s="6" t="s">
        <v>68</v>
      </c>
      <c r="C9" s="13">
        <v>0.522013888888889</v>
      </c>
      <c r="D9" s="13" t="s">
        <v>65</v>
      </c>
      <c r="E9" s="13">
        <v>0.561203703703704</v>
      </c>
      <c r="F9" s="14">
        <f t="shared" si="1"/>
        <v>0.940555555555557</v>
      </c>
      <c r="G9" s="15">
        <f t="shared" si="2"/>
        <v>0.940555555555557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46207.5612274306</v>
      </c>
      <c r="B10" s="6" t="s">
        <v>84</v>
      </c>
      <c r="C10" s="13">
        <v>0.561226851851852</v>
      </c>
      <c r="D10" s="13" t="s">
        <v>65</v>
      </c>
      <c r="E10" s="13">
        <v>0.650462962962963</v>
      </c>
      <c r="F10" s="14">
        <f t="shared" si="1"/>
        <v>2.14166666666667</v>
      </c>
      <c r="G10" s="15">
        <f t="shared" si="2"/>
        <v>2.14166666666667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46207.7621516204</v>
      </c>
      <c r="B11" s="6" t="s">
        <v>84</v>
      </c>
      <c r="C11" s="13">
        <v>0.762141203703704</v>
      </c>
      <c r="D11" s="13" t="s">
        <v>65</v>
      </c>
      <c r="E11" s="13">
        <v>0.819039351851852</v>
      </c>
      <c r="F11" s="14">
        <f t="shared" si="1"/>
        <v>1.36555555555555</v>
      </c>
      <c r="G11" s="15">
        <f t="shared" si="2"/>
        <v>1.36555555555555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46210.3538708333</v>
      </c>
      <c r="B12" s="6" t="s">
        <v>64</v>
      </c>
      <c r="C12" s="13">
        <v>0.353865740740741</v>
      </c>
      <c r="D12" s="13" t="s">
        <v>65</v>
      </c>
      <c r="E12" s="13">
        <v>0.549930555555556</v>
      </c>
      <c r="F12" s="14">
        <f t="shared" si="1"/>
        <v>4.70555555555556</v>
      </c>
      <c r="G12" s="15">
        <f t="shared" si="2"/>
        <v>4.70555555555556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46210.7847841435</v>
      </c>
      <c r="B13" s="6" t="s">
        <v>64</v>
      </c>
      <c r="C13" s="13">
        <v>0.784780092592593</v>
      </c>
      <c r="D13" s="13" t="s">
        <v>65</v>
      </c>
      <c r="E13" s="13">
        <v>0.94875</v>
      </c>
      <c r="F13" s="14">
        <f t="shared" si="1"/>
        <v>3.93527777777778</v>
      </c>
      <c r="G13" s="15">
        <f t="shared" si="2"/>
        <v>3.93527777777778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46211.2924217593</v>
      </c>
      <c r="B14" s="6" t="s">
        <v>64</v>
      </c>
      <c r="C14" s="13">
        <v>0.292418981481481</v>
      </c>
      <c r="D14" s="13" t="s">
        <v>65</v>
      </c>
      <c r="E14" s="13">
        <v>0.546851851851852</v>
      </c>
      <c r="F14" s="14">
        <f t="shared" si="1"/>
        <v>6.10638888888889</v>
      </c>
      <c r="G14" s="15">
        <f t="shared" si="2"/>
        <v>5.12444444444445</v>
      </c>
      <c r="H14" s="15">
        <f t="shared" si="3"/>
        <v>0.981944444444436</v>
      </c>
      <c r="I14" s="33"/>
      <c r="J14" s="33"/>
      <c r="K14" s="33"/>
      <c r="L14" s="33"/>
      <c r="M14" s="33"/>
    </row>
    <row r="15" ht="101.25" spans="1:13">
      <c r="A15" s="12">
        <f ca="1" t="shared" si="0"/>
        <v>46211.9373133102</v>
      </c>
      <c r="B15" s="6" t="s">
        <v>64</v>
      </c>
      <c r="C15" s="13">
        <v>0.937303240740741</v>
      </c>
      <c r="D15" s="13" t="s">
        <v>65</v>
      </c>
      <c r="E15" s="13">
        <v>0.135358796296296</v>
      </c>
      <c r="F15" s="14">
        <f t="shared" si="1"/>
        <v>4.75333333333333</v>
      </c>
      <c r="G15" s="15">
        <f t="shared" si="2"/>
        <v>1.50472222222222</v>
      </c>
      <c r="H15" s="15">
        <f t="shared" si="3"/>
        <v>3.24861111111111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46214.9394127315</v>
      </c>
      <c r="B16" s="6" t="s">
        <v>64</v>
      </c>
      <c r="C16" s="13">
        <v>0.939409722222222</v>
      </c>
      <c r="D16" s="13" t="s">
        <v>65</v>
      </c>
      <c r="E16" s="13">
        <v>0.137233796296296</v>
      </c>
      <c r="F16" s="14">
        <f t="shared" si="1"/>
        <v>4.74777777777778</v>
      </c>
      <c r="G16" s="15">
        <f t="shared" si="2"/>
        <v>1.45416666666666</v>
      </c>
      <c r="H16" s="15">
        <f t="shared" si="3"/>
        <v>3.29361111111111</v>
      </c>
      <c r="I16" s="39" t="s">
        <v>66</v>
      </c>
      <c r="J16" s="40">
        <f t="shared" ref="J16:L16" si="4">J3</f>
        <v>84.0378125</v>
      </c>
      <c r="K16" s="41">
        <f t="shared" si="4"/>
        <v>54.6214236111111</v>
      </c>
      <c r="L16" s="42">
        <f t="shared" si="4"/>
        <v>29.4163888888889</v>
      </c>
      <c r="M16" s="43"/>
    </row>
    <row r="17" ht="20.25" spans="1:13">
      <c r="A17" s="12">
        <f ca="1" t="shared" si="0"/>
        <v>46215.5409158565</v>
      </c>
      <c r="B17" s="6" t="s">
        <v>64</v>
      </c>
      <c r="C17" s="13">
        <v>0.540914351851852</v>
      </c>
      <c r="D17" s="13" t="s">
        <v>65</v>
      </c>
      <c r="E17" s="13">
        <v>0.649363425925926</v>
      </c>
      <c r="F17" s="14">
        <f t="shared" si="1"/>
        <v>2.60277777777778</v>
      </c>
      <c r="G17" s="15">
        <f t="shared" si="2"/>
        <v>2.60277777777778</v>
      </c>
      <c r="H17" s="15">
        <f t="shared" si="3"/>
        <v>0</v>
      </c>
      <c r="I17" s="39" t="s">
        <v>80</v>
      </c>
      <c r="J17" s="40">
        <f>J4+J5+J6+J7+J10</f>
        <v>16.8661111111111</v>
      </c>
      <c r="K17" s="41">
        <f>K4+K5+K6+K7+K10</f>
        <v>16.0511111111111</v>
      </c>
      <c r="L17" s="42">
        <f>L4+L5+L6+L7+L10</f>
        <v>0.814999999999992</v>
      </c>
      <c r="M17" s="43"/>
    </row>
    <row r="18" ht="20.25" spans="1:13">
      <c r="A18" s="12">
        <f ca="1" t="shared" si="0"/>
        <v>46215.7282049769</v>
      </c>
      <c r="B18" s="6" t="s">
        <v>64</v>
      </c>
      <c r="C18" s="13">
        <v>0.728194444444444</v>
      </c>
      <c r="D18" s="13" t="s">
        <v>65</v>
      </c>
      <c r="E18" s="13">
        <v>0.948483796296296</v>
      </c>
      <c r="F18" s="14">
        <f t="shared" si="1"/>
        <v>5.28694444444444</v>
      </c>
      <c r="G18" s="15">
        <f t="shared" si="2"/>
        <v>5.28694444444444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ref="A19:A20" si="6">IF(B19="","",IF(A19="",NOW(),A19))</f>
        <v>46219.1304144676</v>
      </c>
      <c r="B19" s="6" t="s">
        <v>64</v>
      </c>
      <c r="C19" s="13">
        <v>0.130405092592593</v>
      </c>
      <c r="D19" s="13" t="s">
        <v>65</v>
      </c>
      <c r="E19" s="13">
        <v>0.300023148148148</v>
      </c>
      <c r="F19" s="14">
        <v>0.138368055555556</v>
      </c>
      <c r="G19" s="15">
        <f t="shared" si="2"/>
        <v>-3.93246527777778</v>
      </c>
      <c r="H19" s="15">
        <f t="shared" si="3"/>
        <v>4.07083333333333</v>
      </c>
      <c r="I19" s="39" t="s">
        <v>81</v>
      </c>
      <c r="J19" s="40">
        <f t="shared" ref="J19:L19" si="7">J12</f>
        <v>0</v>
      </c>
      <c r="K19" s="41">
        <f t="shared" si="7"/>
        <v>0</v>
      </c>
      <c r="L19" s="42">
        <f t="shared" si="7"/>
        <v>0</v>
      </c>
      <c r="M19" s="43"/>
    </row>
    <row r="20" ht="20.25" spans="1:13">
      <c r="A20" s="12">
        <f ca="1" t="shared" si="6"/>
        <v>46219.1304144676</v>
      </c>
      <c r="B20" s="6" t="s">
        <v>64</v>
      </c>
      <c r="C20" s="13">
        <v>0.937372685185185</v>
      </c>
      <c r="D20" s="13" t="s">
        <v>65</v>
      </c>
      <c r="E20" s="13">
        <v>0.138946759259259</v>
      </c>
      <c r="F20" s="14">
        <f t="shared" si="1"/>
        <v>4.83777777777778</v>
      </c>
      <c r="G20" s="15">
        <f t="shared" si="2"/>
        <v>1.50305555555555</v>
      </c>
      <c r="H20" s="15">
        <f t="shared" si="3"/>
        <v>3.33472222222222</v>
      </c>
      <c r="I20" s="44" t="s">
        <v>82</v>
      </c>
      <c r="J20" s="45">
        <f>J16+J17+J18+J19</f>
        <v>100.903923611111</v>
      </c>
      <c r="K20" s="46"/>
      <c r="L20" s="47"/>
      <c r="M20" s="48"/>
    </row>
    <row r="21" ht="20.25" spans="1:13">
      <c r="A21" s="12">
        <f ca="1" t="shared" si="0"/>
        <v>46223.5395702546</v>
      </c>
      <c r="B21" s="6" t="s">
        <v>64</v>
      </c>
      <c r="C21" s="13">
        <v>0.539560185185185</v>
      </c>
      <c r="D21" s="13" t="s">
        <v>65</v>
      </c>
      <c r="E21" s="13">
        <v>0.795150462962963</v>
      </c>
      <c r="F21" s="14">
        <f t="shared" si="1"/>
        <v>6.13416666666667</v>
      </c>
      <c r="G21" s="15">
        <f t="shared" si="2"/>
        <v>6.13416666666667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v>46224</v>
      </c>
      <c r="B22" s="6" t="s">
        <v>64</v>
      </c>
      <c r="C22" s="13">
        <v>0.133310185185185</v>
      </c>
      <c r="D22" s="13" t="s">
        <v>65</v>
      </c>
      <c r="E22" s="13">
        <v>0.303402777777778</v>
      </c>
      <c r="F22" s="14">
        <f t="shared" si="1"/>
        <v>4.08222222222222</v>
      </c>
      <c r="G22" s="15">
        <f t="shared" si="2"/>
        <v>0</v>
      </c>
      <c r="H22" s="15">
        <f t="shared" si="3"/>
        <v>4.08222222222222</v>
      </c>
      <c r="I22"/>
      <c r="J22"/>
    </row>
    <row r="23" ht="18.75" spans="1:10">
      <c r="A23" s="12">
        <v>46226</v>
      </c>
      <c r="B23" s="6" t="s">
        <v>64</v>
      </c>
      <c r="C23" s="13">
        <v>0.54025462962963</v>
      </c>
      <c r="D23" s="13" t="s">
        <v>65</v>
      </c>
      <c r="E23" s="13">
        <v>0.791979166666667</v>
      </c>
      <c r="F23" s="14">
        <f t="shared" si="1"/>
        <v>6.04138888888889</v>
      </c>
      <c r="G23" s="15">
        <f t="shared" si="2"/>
        <v>6.04138888888889</v>
      </c>
      <c r="H23" s="15">
        <f t="shared" si="3"/>
        <v>0</v>
      </c>
      <c r="I23"/>
      <c r="J23"/>
    </row>
    <row r="24" ht="18.75" spans="1:10">
      <c r="A24" s="12">
        <f ca="1" t="shared" si="0"/>
        <v>46227.1314046296</v>
      </c>
      <c r="B24" s="6" t="s">
        <v>64</v>
      </c>
      <c r="C24" s="13">
        <v>0.131400462962963</v>
      </c>
      <c r="D24" s="13" t="s">
        <v>65</v>
      </c>
      <c r="E24" s="13">
        <v>0.30162037037037</v>
      </c>
      <c r="F24" s="14">
        <f t="shared" si="1"/>
        <v>4.08527777777778</v>
      </c>
      <c r="G24" s="15">
        <f t="shared" si="2"/>
        <v>0</v>
      </c>
      <c r="H24" s="15">
        <f t="shared" si="3"/>
        <v>4.08527777777778</v>
      </c>
      <c r="I24"/>
      <c r="J24"/>
    </row>
    <row r="25" ht="18.75" spans="1:10">
      <c r="A25" s="12">
        <f ca="1" t="shared" si="0"/>
        <v>46227.792541088</v>
      </c>
      <c r="B25" s="6" t="s">
        <v>64</v>
      </c>
      <c r="C25" s="13">
        <v>0.792534722222222</v>
      </c>
      <c r="D25" s="13" t="s">
        <v>65</v>
      </c>
      <c r="E25" s="13">
        <v>0.944872685185185</v>
      </c>
      <c r="F25" s="14">
        <f t="shared" si="1"/>
        <v>3.65611111111111</v>
      </c>
      <c r="G25" s="15">
        <f t="shared" si="2"/>
        <v>3.65611111111111</v>
      </c>
      <c r="H25" s="15">
        <f t="shared" si="3"/>
        <v>0</v>
      </c>
      <c r="I25"/>
      <c r="J25"/>
    </row>
    <row r="26" ht="18.75" spans="1:10">
      <c r="A26" s="12">
        <f ca="1" t="shared" si="0"/>
        <v>46228.289284838</v>
      </c>
      <c r="B26" s="6" t="s">
        <v>64</v>
      </c>
      <c r="C26" s="13">
        <v>0.289282407407407</v>
      </c>
      <c r="D26" s="13" t="s">
        <v>65</v>
      </c>
      <c r="E26" s="13">
        <v>0.365219907407407</v>
      </c>
      <c r="F26" s="14">
        <f t="shared" si="1"/>
        <v>1.8225</v>
      </c>
      <c r="G26" s="15">
        <f t="shared" si="2"/>
        <v>0.765277777777786</v>
      </c>
      <c r="H26" s="15">
        <f t="shared" si="3"/>
        <v>1.05722222222221</v>
      </c>
      <c r="I26"/>
      <c r="J26"/>
    </row>
    <row r="27" ht="18.75" spans="1:10">
      <c r="A27" s="12">
        <f ca="1" t="shared" si="0"/>
        <v>46230.35558125</v>
      </c>
      <c r="B27" s="6" t="s">
        <v>64</v>
      </c>
      <c r="C27" s="13">
        <v>0.355578703703704</v>
      </c>
      <c r="D27" s="13" t="s">
        <v>65</v>
      </c>
      <c r="E27" s="13">
        <v>0.553819444444444</v>
      </c>
      <c r="F27" s="14">
        <f t="shared" si="1"/>
        <v>4.75777777777778</v>
      </c>
      <c r="G27" s="15">
        <f t="shared" si="2"/>
        <v>4.75777777777778</v>
      </c>
      <c r="H27" s="15">
        <f t="shared" si="3"/>
        <v>0</v>
      </c>
      <c r="I27"/>
      <c r="J27"/>
    </row>
    <row r="28" ht="18.75" spans="1:10">
      <c r="A28" s="12">
        <f ca="1" t="shared" si="0"/>
        <v>46230.7917487268</v>
      </c>
      <c r="B28" s="6" t="s">
        <v>64</v>
      </c>
      <c r="C28" s="13">
        <v>0.791747685185185</v>
      </c>
      <c r="D28" s="13" t="s">
        <v>65</v>
      </c>
      <c r="E28" s="13">
        <v>0.944560185185185</v>
      </c>
      <c r="F28" s="14">
        <f t="shared" si="1"/>
        <v>3.6675</v>
      </c>
      <c r="G28" s="15">
        <f t="shared" si="2"/>
        <v>3.6675</v>
      </c>
      <c r="H28" s="15">
        <f t="shared" si="3"/>
        <v>0</v>
      </c>
      <c r="I28"/>
      <c r="J28"/>
    </row>
    <row r="29" ht="18.75" spans="1:10">
      <c r="A29" s="12">
        <f ca="1" t="shared" si="0"/>
        <v>46231.2924493056</v>
      </c>
      <c r="B29" s="6" t="s">
        <v>64</v>
      </c>
      <c r="C29" s="13">
        <v>0.29244212962963</v>
      </c>
      <c r="D29" s="13" t="s">
        <v>65</v>
      </c>
      <c r="E29" s="13">
        <v>0.548425925925926</v>
      </c>
      <c r="F29" s="14">
        <f t="shared" si="1"/>
        <v>6.14361111111111</v>
      </c>
      <c r="G29" s="15">
        <f t="shared" si="2"/>
        <v>5.16222222222223</v>
      </c>
      <c r="H29" s="15">
        <f t="shared" si="3"/>
        <v>0.981388888888881</v>
      </c>
      <c r="I29"/>
      <c r="J29"/>
    </row>
    <row r="30" ht="18.75" spans="1:10">
      <c r="A30" s="12">
        <f ca="1" t="shared" si="0"/>
        <v>46231.9386864583</v>
      </c>
      <c r="B30" s="6" t="s">
        <v>64</v>
      </c>
      <c r="C30" s="13">
        <v>0.938680555555556</v>
      </c>
      <c r="D30" s="13" t="s">
        <v>65</v>
      </c>
      <c r="E30" s="13">
        <v>0.135243055555556</v>
      </c>
      <c r="F30" s="14">
        <f t="shared" si="1"/>
        <v>4.7175</v>
      </c>
      <c r="G30" s="15">
        <f t="shared" si="2"/>
        <v>1.47166666666667</v>
      </c>
      <c r="H30" s="15">
        <f t="shared" si="3"/>
        <v>3.24583333333333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8">IF(B67="","",IF(A67="",NOW(),A67))</f>
        <v/>
      </c>
      <c r="B67" s="6"/>
      <c r="C67" s="13"/>
      <c r="D67" s="13"/>
      <c r="E67" s="13"/>
      <c r="F67" s="14">
        <f t="shared" ref="F67:F130" si="9">(IF(E67-C67&lt;0,"24:00"-C67+E67,E67-C67))*24</f>
        <v>0</v>
      </c>
      <c r="G67" s="15">
        <f t="shared" ref="G67:G130" si="10">F67-H67</f>
        <v>0</v>
      </c>
      <c r="H67" s="15">
        <f t="shared" ref="H67:H130" si="11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8"/>
        <v/>
      </c>
      <c r="B68" s="6"/>
      <c r="C68" s="13"/>
      <c r="D68" s="13"/>
      <c r="E68" s="13"/>
      <c r="F68" s="14">
        <f t="shared" si="9"/>
        <v>0</v>
      </c>
      <c r="G68" s="15">
        <f t="shared" si="10"/>
        <v>0</v>
      </c>
      <c r="H68" s="15">
        <f t="shared" si="11"/>
        <v>0</v>
      </c>
      <c r="I68" s="52"/>
      <c r="J68" s="53"/>
      <c r="K68" s="13"/>
    </row>
    <row r="69" ht="18.75" spans="1:11">
      <c r="A69" s="12" t="str">
        <f ca="1" t="shared" si="8"/>
        <v/>
      </c>
      <c r="B69" s="6"/>
      <c r="C69" s="13"/>
      <c r="D69" s="13"/>
      <c r="E69" s="13"/>
      <c r="F69" s="14">
        <f t="shared" si="9"/>
        <v>0</v>
      </c>
      <c r="G69" s="15">
        <f t="shared" si="10"/>
        <v>0</v>
      </c>
      <c r="H69" s="15">
        <f t="shared" si="11"/>
        <v>0</v>
      </c>
      <c r="I69" s="52"/>
      <c r="J69" s="53"/>
      <c r="K69" s="13"/>
    </row>
    <row r="70" ht="18.75" spans="1:11">
      <c r="A70" s="12" t="str">
        <f ca="1" t="shared" si="8"/>
        <v/>
      </c>
      <c r="B70" s="6"/>
      <c r="C70" s="13"/>
      <c r="D70" s="13"/>
      <c r="E70" s="13"/>
      <c r="F70" s="14">
        <f t="shared" si="9"/>
        <v>0</v>
      </c>
      <c r="G70" s="15">
        <f t="shared" si="10"/>
        <v>0</v>
      </c>
      <c r="H70" s="15">
        <f t="shared" si="11"/>
        <v>0</v>
      </c>
      <c r="I70" s="52"/>
      <c r="J70" s="53"/>
      <c r="K70" s="13"/>
    </row>
    <row r="71" ht="18.75" spans="1:11">
      <c r="A71" s="12" t="str">
        <f ca="1" t="shared" si="8"/>
        <v/>
      </c>
      <c r="B71" s="6"/>
      <c r="C71" s="13"/>
      <c r="D71" s="13"/>
      <c r="E71" s="13"/>
      <c r="F71" s="14">
        <f t="shared" si="9"/>
        <v>0</v>
      </c>
      <c r="G71" s="15">
        <f t="shared" si="10"/>
        <v>0</v>
      </c>
      <c r="H71" s="15">
        <f t="shared" si="11"/>
        <v>0</v>
      </c>
      <c r="I71" s="52"/>
      <c r="J71" s="53"/>
      <c r="K71" s="13"/>
    </row>
    <row r="72" ht="18.75" spans="1:11">
      <c r="A72" s="12" t="str">
        <f ca="1" t="shared" si="8"/>
        <v/>
      </c>
      <c r="B72" s="6"/>
      <c r="C72" s="13"/>
      <c r="D72" s="13"/>
      <c r="E72" s="13"/>
      <c r="F72" s="14">
        <f t="shared" si="9"/>
        <v>0</v>
      </c>
      <c r="G72" s="15">
        <f t="shared" si="10"/>
        <v>0</v>
      </c>
      <c r="H72" s="15">
        <f t="shared" si="11"/>
        <v>0</v>
      </c>
      <c r="I72" s="52"/>
      <c r="J72" s="53"/>
      <c r="K72" s="13"/>
    </row>
    <row r="73" ht="18.75" spans="1:11">
      <c r="A73" s="12" t="str">
        <f ca="1" t="shared" si="8"/>
        <v/>
      </c>
      <c r="B73" s="6"/>
      <c r="C73" s="13"/>
      <c r="D73" s="13"/>
      <c r="E73" s="13"/>
      <c r="F73" s="14">
        <f t="shared" si="9"/>
        <v>0</v>
      </c>
      <c r="G73" s="15">
        <f t="shared" si="10"/>
        <v>0</v>
      </c>
      <c r="H73" s="15">
        <f t="shared" si="11"/>
        <v>0</v>
      </c>
      <c r="I73" s="52"/>
      <c r="J73" s="53"/>
      <c r="K73" s="13"/>
    </row>
    <row r="74" ht="18.75" spans="1:11">
      <c r="A74" s="12" t="str">
        <f ca="1" t="shared" si="8"/>
        <v/>
      </c>
      <c r="B74" s="6"/>
      <c r="C74" s="13"/>
      <c r="D74" s="13"/>
      <c r="E74" s="13"/>
      <c r="F74" s="14">
        <f t="shared" si="9"/>
        <v>0</v>
      </c>
      <c r="G74" s="15">
        <f t="shared" si="10"/>
        <v>0</v>
      </c>
      <c r="H74" s="15">
        <f t="shared" si="11"/>
        <v>0</v>
      </c>
      <c r="I74" s="52"/>
      <c r="J74" s="53"/>
      <c r="K74" s="13"/>
    </row>
    <row r="75" ht="18.75" spans="1:11">
      <c r="A75" s="12" t="str">
        <f ca="1" t="shared" si="8"/>
        <v/>
      </c>
      <c r="B75" s="6"/>
      <c r="C75" s="13"/>
      <c r="D75" s="13"/>
      <c r="E75" s="13"/>
      <c r="F75" s="14">
        <f t="shared" si="9"/>
        <v>0</v>
      </c>
      <c r="G75" s="15">
        <f t="shared" si="10"/>
        <v>0</v>
      </c>
      <c r="H75" s="15">
        <f t="shared" si="11"/>
        <v>0</v>
      </c>
      <c r="I75" s="52"/>
      <c r="J75" s="53"/>
      <c r="K75" s="13"/>
    </row>
    <row r="76" ht="18.75" spans="1:11">
      <c r="A76" s="12" t="str">
        <f ca="1" t="shared" si="8"/>
        <v/>
      </c>
      <c r="B76" s="6"/>
      <c r="C76" s="13"/>
      <c r="D76" s="13"/>
      <c r="E76" s="13"/>
      <c r="F76" s="14">
        <f t="shared" si="9"/>
        <v>0</v>
      </c>
      <c r="G76" s="15">
        <f t="shared" si="10"/>
        <v>0</v>
      </c>
      <c r="H76" s="15">
        <f t="shared" si="11"/>
        <v>0</v>
      </c>
      <c r="I76" s="52"/>
      <c r="J76" s="53"/>
      <c r="K76" s="13"/>
    </row>
    <row r="77" ht="18.75" spans="1:11">
      <c r="A77" s="12" t="str">
        <f ca="1" t="shared" si="8"/>
        <v/>
      </c>
      <c r="B77" s="6"/>
      <c r="C77" s="13"/>
      <c r="D77" s="13"/>
      <c r="E77" s="13"/>
      <c r="F77" s="14">
        <f t="shared" si="9"/>
        <v>0</v>
      </c>
      <c r="G77" s="15">
        <f t="shared" si="10"/>
        <v>0</v>
      </c>
      <c r="H77" s="15">
        <f t="shared" si="11"/>
        <v>0</v>
      </c>
      <c r="I77" s="52"/>
      <c r="J77" s="53"/>
      <c r="K77" s="13"/>
    </row>
    <row r="78" ht="18.75" spans="1:11">
      <c r="A78" s="12" t="str">
        <f ca="1" t="shared" si="8"/>
        <v/>
      </c>
      <c r="B78" s="6"/>
      <c r="C78" s="13"/>
      <c r="D78" s="13"/>
      <c r="E78" s="13"/>
      <c r="F78" s="14">
        <f t="shared" si="9"/>
        <v>0</v>
      </c>
      <c r="G78" s="15">
        <f t="shared" si="10"/>
        <v>0</v>
      </c>
      <c r="H78" s="15">
        <f t="shared" si="11"/>
        <v>0</v>
      </c>
      <c r="I78" s="52"/>
      <c r="J78" s="53"/>
      <c r="K78" s="13"/>
    </row>
    <row r="79" ht="18.75" spans="1:11">
      <c r="A79" s="12" t="str">
        <f ca="1" t="shared" si="8"/>
        <v/>
      </c>
      <c r="B79" s="6"/>
      <c r="C79" s="13"/>
      <c r="D79" s="13"/>
      <c r="E79" s="13"/>
      <c r="F79" s="14">
        <f t="shared" si="9"/>
        <v>0</v>
      </c>
      <c r="G79" s="15">
        <f t="shared" si="10"/>
        <v>0</v>
      </c>
      <c r="H79" s="15">
        <f t="shared" si="11"/>
        <v>0</v>
      </c>
      <c r="I79" s="52"/>
      <c r="J79" s="53"/>
      <c r="K79" s="13"/>
    </row>
    <row r="80" ht="18.75" spans="1:11">
      <c r="A80" s="12" t="str">
        <f ca="1" t="shared" si="8"/>
        <v/>
      </c>
      <c r="B80" s="6"/>
      <c r="C80" s="13"/>
      <c r="D80" s="13"/>
      <c r="E80" s="13"/>
      <c r="F80" s="14">
        <f t="shared" si="9"/>
        <v>0</v>
      </c>
      <c r="G80" s="15">
        <f t="shared" si="10"/>
        <v>0</v>
      </c>
      <c r="H80" s="15">
        <f t="shared" si="11"/>
        <v>0</v>
      </c>
      <c r="I80" s="52"/>
      <c r="J80" s="53"/>
      <c r="K80" s="13"/>
    </row>
    <row r="81" ht="18.75" spans="1:11">
      <c r="A81" s="12" t="str">
        <f ca="1" t="shared" si="8"/>
        <v/>
      </c>
      <c r="B81" s="6"/>
      <c r="C81" s="13"/>
      <c r="D81" s="13"/>
      <c r="E81" s="13"/>
      <c r="F81" s="14">
        <f t="shared" si="9"/>
        <v>0</v>
      </c>
      <c r="G81" s="15">
        <f t="shared" si="10"/>
        <v>0</v>
      </c>
      <c r="H81" s="15">
        <f t="shared" si="11"/>
        <v>0</v>
      </c>
      <c r="I81" s="52"/>
      <c r="J81" s="53"/>
      <c r="K81" s="13"/>
    </row>
    <row r="82" ht="18.75" spans="1:11">
      <c r="A82" s="12" t="str">
        <f ca="1" t="shared" si="8"/>
        <v/>
      </c>
      <c r="B82" s="6"/>
      <c r="C82" s="13"/>
      <c r="D82" s="13"/>
      <c r="E82" s="13"/>
      <c r="F82" s="14">
        <f t="shared" si="9"/>
        <v>0</v>
      </c>
      <c r="G82" s="15">
        <f t="shared" si="10"/>
        <v>0</v>
      </c>
      <c r="H82" s="15">
        <f t="shared" si="11"/>
        <v>0</v>
      </c>
      <c r="I82" s="52"/>
      <c r="J82" s="53"/>
      <c r="K82" s="13"/>
    </row>
    <row r="83" ht="18.75" spans="1:11">
      <c r="A83" s="12" t="str">
        <f ca="1" t="shared" si="8"/>
        <v/>
      </c>
      <c r="B83" s="6"/>
      <c r="C83" s="13"/>
      <c r="D83" s="13"/>
      <c r="E83" s="13"/>
      <c r="F83" s="14">
        <f t="shared" si="9"/>
        <v>0</v>
      </c>
      <c r="G83" s="15">
        <f t="shared" si="10"/>
        <v>0</v>
      </c>
      <c r="H83" s="15">
        <f t="shared" si="11"/>
        <v>0</v>
      </c>
      <c r="I83" s="52"/>
      <c r="J83" s="53"/>
      <c r="K83" s="13"/>
    </row>
    <row r="84" ht="18.75" spans="1:11">
      <c r="A84" s="12" t="str">
        <f ca="1" t="shared" si="8"/>
        <v/>
      </c>
      <c r="B84" s="6"/>
      <c r="C84" s="13"/>
      <c r="D84" s="13"/>
      <c r="E84" s="13"/>
      <c r="F84" s="14">
        <f t="shared" si="9"/>
        <v>0</v>
      </c>
      <c r="G84" s="15">
        <f t="shared" si="10"/>
        <v>0</v>
      </c>
      <c r="H84" s="15">
        <f t="shared" si="11"/>
        <v>0</v>
      </c>
      <c r="I84" s="52"/>
      <c r="J84" s="53"/>
      <c r="K84" s="13"/>
    </row>
    <row r="85" ht="18.75" spans="1:11">
      <c r="A85" s="12" t="str">
        <f ca="1" t="shared" si="8"/>
        <v/>
      </c>
      <c r="B85" s="6"/>
      <c r="C85" s="13"/>
      <c r="D85" s="13"/>
      <c r="E85" s="13"/>
      <c r="F85" s="14">
        <f t="shared" si="9"/>
        <v>0</v>
      </c>
      <c r="G85" s="15">
        <f t="shared" si="10"/>
        <v>0</v>
      </c>
      <c r="H85" s="15">
        <f t="shared" si="11"/>
        <v>0</v>
      </c>
      <c r="I85" s="52"/>
      <c r="J85" s="54"/>
      <c r="K85" s="13"/>
    </row>
    <row r="86" ht="18.75" spans="1:11">
      <c r="A86" s="12" t="str">
        <f ca="1" t="shared" si="8"/>
        <v/>
      </c>
      <c r="B86" s="6"/>
      <c r="C86" s="13"/>
      <c r="D86" s="13"/>
      <c r="E86" s="13"/>
      <c r="F86" s="14">
        <f t="shared" si="9"/>
        <v>0</v>
      </c>
      <c r="G86" s="15">
        <f t="shared" si="10"/>
        <v>0</v>
      </c>
      <c r="H86" s="15">
        <f t="shared" si="11"/>
        <v>0</v>
      </c>
      <c r="I86" s="52"/>
      <c r="J86" s="54"/>
      <c r="K86" s="13"/>
    </row>
    <row r="87" ht="18.75" spans="1:11">
      <c r="A87" s="12" t="str">
        <f ca="1" t="shared" si="8"/>
        <v/>
      </c>
      <c r="B87" s="6"/>
      <c r="C87" s="13"/>
      <c r="D87" s="13"/>
      <c r="E87" s="13"/>
      <c r="F87" s="14">
        <f t="shared" si="9"/>
        <v>0</v>
      </c>
      <c r="G87" s="15">
        <f t="shared" si="10"/>
        <v>0</v>
      </c>
      <c r="H87" s="15">
        <f t="shared" si="11"/>
        <v>0</v>
      </c>
      <c r="I87" s="52"/>
      <c r="J87" s="54"/>
      <c r="K87" s="13"/>
    </row>
    <row r="88" ht="18.75" spans="1:11">
      <c r="A88" s="12" t="str">
        <f ca="1" t="shared" si="8"/>
        <v/>
      </c>
      <c r="B88" s="6"/>
      <c r="C88" s="13"/>
      <c r="D88" s="13"/>
      <c r="E88" s="13"/>
      <c r="F88" s="14">
        <f t="shared" si="9"/>
        <v>0</v>
      </c>
      <c r="G88" s="15">
        <f t="shared" si="10"/>
        <v>0</v>
      </c>
      <c r="H88" s="15">
        <f t="shared" si="11"/>
        <v>0</v>
      </c>
      <c r="I88" s="52"/>
      <c r="J88" s="54"/>
      <c r="K88" s="13"/>
    </row>
    <row r="89" ht="18.75" spans="1:11">
      <c r="A89" s="12" t="str">
        <f ca="1" t="shared" si="8"/>
        <v/>
      </c>
      <c r="B89" s="6"/>
      <c r="C89" s="13"/>
      <c r="D89" s="13"/>
      <c r="E89" s="13"/>
      <c r="F89" s="14">
        <f t="shared" si="9"/>
        <v>0</v>
      </c>
      <c r="G89" s="15">
        <f t="shared" si="10"/>
        <v>0</v>
      </c>
      <c r="H89" s="15">
        <f t="shared" si="11"/>
        <v>0</v>
      </c>
      <c r="I89" s="52"/>
      <c r="J89" s="54"/>
      <c r="K89" s="13"/>
    </row>
    <row r="90" ht="18.75" spans="1:11">
      <c r="A90" s="12" t="str">
        <f ca="1" t="shared" si="8"/>
        <v/>
      </c>
      <c r="B90" s="6"/>
      <c r="C90" s="13"/>
      <c r="D90" s="13"/>
      <c r="E90" s="13"/>
      <c r="F90" s="14">
        <f t="shared" si="9"/>
        <v>0</v>
      </c>
      <c r="G90" s="15">
        <f t="shared" si="10"/>
        <v>0</v>
      </c>
      <c r="H90" s="15">
        <f t="shared" si="11"/>
        <v>0</v>
      </c>
      <c r="I90" s="52"/>
      <c r="J90" s="54"/>
      <c r="K90" s="13"/>
    </row>
    <row r="91" ht="18.75" spans="1:11">
      <c r="A91" s="12" t="str">
        <f ca="1" t="shared" si="8"/>
        <v/>
      </c>
      <c r="B91" s="6"/>
      <c r="C91" s="13"/>
      <c r="D91" s="13"/>
      <c r="E91" s="13"/>
      <c r="F91" s="14">
        <f t="shared" si="9"/>
        <v>0</v>
      </c>
      <c r="G91" s="15">
        <f t="shared" si="10"/>
        <v>0</v>
      </c>
      <c r="H91" s="15">
        <f t="shared" si="11"/>
        <v>0</v>
      </c>
      <c r="I91" s="52"/>
      <c r="J91" s="54"/>
      <c r="K91" s="13"/>
    </row>
    <row r="92" ht="18.75" spans="1:11">
      <c r="A92" s="12" t="str">
        <f ca="1" t="shared" si="8"/>
        <v/>
      </c>
      <c r="B92" s="6"/>
      <c r="C92" s="13"/>
      <c r="D92" s="13"/>
      <c r="E92" s="13"/>
      <c r="F92" s="14">
        <f t="shared" si="9"/>
        <v>0</v>
      </c>
      <c r="G92" s="15">
        <f t="shared" si="10"/>
        <v>0</v>
      </c>
      <c r="H92" s="15">
        <f t="shared" si="11"/>
        <v>0</v>
      </c>
      <c r="I92" s="52"/>
      <c r="J92" s="54"/>
      <c r="K92" s="13"/>
    </row>
    <row r="93" ht="18.75" spans="1:11">
      <c r="A93" s="12" t="str">
        <f ca="1" t="shared" si="8"/>
        <v/>
      </c>
      <c r="B93" s="6"/>
      <c r="C93" s="13"/>
      <c r="D93" s="13"/>
      <c r="E93" s="13"/>
      <c r="F93" s="14">
        <f t="shared" si="9"/>
        <v>0</v>
      </c>
      <c r="G93" s="15">
        <f t="shared" si="10"/>
        <v>0</v>
      </c>
      <c r="H93" s="15">
        <f t="shared" si="11"/>
        <v>0</v>
      </c>
      <c r="I93" s="52"/>
      <c r="J93" s="54"/>
      <c r="K93" s="13"/>
    </row>
    <row r="94" ht="18.75" spans="1:11">
      <c r="A94" s="12" t="str">
        <f ca="1" t="shared" si="8"/>
        <v/>
      </c>
      <c r="B94" s="6"/>
      <c r="C94" s="13"/>
      <c r="D94" s="13"/>
      <c r="E94" s="13"/>
      <c r="F94" s="14">
        <f t="shared" si="9"/>
        <v>0</v>
      </c>
      <c r="G94" s="15">
        <f t="shared" si="10"/>
        <v>0</v>
      </c>
      <c r="H94" s="15">
        <f t="shared" si="11"/>
        <v>0</v>
      </c>
      <c r="I94" s="52"/>
      <c r="J94" s="54"/>
      <c r="K94" s="13"/>
    </row>
    <row r="95" ht="18.75" spans="1:11">
      <c r="A95" s="12" t="str">
        <f ca="1" t="shared" si="8"/>
        <v/>
      </c>
      <c r="B95" s="6"/>
      <c r="C95" s="13"/>
      <c r="D95" s="13"/>
      <c r="E95" s="13"/>
      <c r="F95" s="14">
        <f t="shared" si="9"/>
        <v>0</v>
      </c>
      <c r="G95" s="15">
        <f t="shared" si="10"/>
        <v>0</v>
      </c>
      <c r="H95" s="15">
        <f t="shared" si="11"/>
        <v>0</v>
      </c>
      <c r="I95" s="52"/>
      <c r="J95" s="54"/>
      <c r="K95" s="13"/>
    </row>
    <row r="96" ht="18.75" spans="1:11">
      <c r="A96" s="12" t="str">
        <f ca="1" t="shared" si="8"/>
        <v/>
      </c>
      <c r="B96" s="6"/>
      <c r="C96" s="13"/>
      <c r="D96" s="13"/>
      <c r="E96" s="13"/>
      <c r="F96" s="14">
        <f t="shared" si="9"/>
        <v>0</v>
      </c>
      <c r="G96" s="15">
        <f t="shared" si="10"/>
        <v>0</v>
      </c>
      <c r="H96" s="15">
        <f t="shared" si="11"/>
        <v>0</v>
      </c>
      <c r="I96" s="52"/>
      <c r="J96" s="54"/>
      <c r="K96" s="13"/>
    </row>
    <row r="97" ht="18.75" spans="1:11">
      <c r="A97" s="12" t="str">
        <f ca="1" t="shared" si="8"/>
        <v/>
      </c>
      <c r="B97" s="6"/>
      <c r="C97" s="13"/>
      <c r="D97" s="13"/>
      <c r="E97" s="13"/>
      <c r="F97" s="14">
        <f t="shared" si="9"/>
        <v>0</v>
      </c>
      <c r="G97" s="15">
        <f t="shared" si="10"/>
        <v>0</v>
      </c>
      <c r="H97" s="15">
        <f t="shared" si="11"/>
        <v>0</v>
      </c>
      <c r="I97" s="52"/>
      <c r="J97" s="54"/>
      <c r="K97" s="13"/>
    </row>
    <row r="98" ht="18.75" spans="1:11">
      <c r="A98" s="12" t="str">
        <f ca="1" t="shared" si="8"/>
        <v/>
      </c>
      <c r="B98" s="6"/>
      <c r="C98" s="13"/>
      <c r="D98" s="13"/>
      <c r="E98" s="13"/>
      <c r="F98" s="14">
        <f t="shared" si="9"/>
        <v>0</v>
      </c>
      <c r="G98" s="15">
        <f t="shared" si="10"/>
        <v>0</v>
      </c>
      <c r="H98" s="15">
        <f t="shared" si="11"/>
        <v>0</v>
      </c>
      <c r="I98" s="52"/>
      <c r="J98" s="54"/>
      <c r="K98" s="13"/>
    </row>
    <row r="99" ht="18.75" spans="1:11">
      <c r="A99" s="12" t="str">
        <f ca="1" t="shared" si="8"/>
        <v/>
      </c>
      <c r="B99" s="6"/>
      <c r="C99" s="13"/>
      <c r="D99" s="13"/>
      <c r="E99" s="13"/>
      <c r="F99" s="14">
        <f t="shared" si="9"/>
        <v>0</v>
      </c>
      <c r="G99" s="15">
        <f t="shared" si="10"/>
        <v>0</v>
      </c>
      <c r="H99" s="15">
        <f t="shared" si="11"/>
        <v>0</v>
      </c>
      <c r="I99" s="52"/>
      <c r="J99" s="54"/>
      <c r="K99" s="13"/>
    </row>
    <row r="100" ht="18.75" spans="1:11">
      <c r="A100" s="12" t="str">
        <f ca="1" t="shared" si="8"/>
        <v/>
      </c>
      <c r="B100" s="6"/>
      <c r="C100" s="13"/>
      <c r="D100" s="13"/>
      <c r="E100" s="13"/>
      <c r="F100" s="14">
        <f t="shared" si="9"/>
        <v>0</v>
      </c>
      <c r="G100" s="15">
        <f t="shared" si="10"/>
        <v>0</v>
      </c>
      <c r="H100" s="15">
        <f t="shared" si="11"/>
        <v>0</v>
      </c>
      <c r="I100" s="52"/>
      <c r="J100" s="54"/>
      <c r="K100" s="13"/>
    </row>
    <row r="101" ht="18.75" spans="1:11">
      <c r="A101" s="12" t="str">
        <f ca="1" t="shared" si="8"/>
        <v/>
      </c>
      <c r="B101" s="6"/>
      <c r="C101" s="13"/>
      <c r="D101" s="13"/>
      <c r="E101" s="13"/>
      <c r="F101" s="14">
        <f t="shared" si="9"/>
        <v>0</v>
      </c>
      <c r="G101" s="15">
        <f t="shared" si="10"/>
        <v>0</v>
      </c>
      <c r="H101" s="15">
        <f t="shared" si="11"/>
        <v>0</v>
      </c>
      <c r="I101" s="52"/>
      <c r="J101" s="54"/>
      <c r="K101" s="13"/>
    </row>
    <row r="102" ht="18.75" spans="1:11">
      <c r="A102" s="12" t="str">
        <f ca="1" t="shared" si="8"/>
        <v/>
      </c>
      <c r="B102" s="6"/>
      <c r="C102" s="13"/>
      <c r="D102" s="13"/>
      <c r="E102" s="13"/>
      <c r="F102" s="14">
        <f t="shared" si="9"/>
        <v>0</v>
      </c>
      <c r="G102" s="15">
        <f t="shared" si="10"/>
        <v>0</v>
      </c>
      <c r="H102" s="15">
        <f t="shared" si="11"/>
        <v>0</v>
      </c>
      <c r="I102" s="52"/>
      <c r="J102" s="54"/>
      <c r="K102" s="13"/>
    </row>
    <row r="103" ht="18.75" spans="1:11">
      <c r="A103" s="12" t="str">
        <f ca="1" t="shared" si="8"/>
        <v/>
      </c>
      <c r="B103" s="6"/>
      <c r="C103" s="13"/>
      <c r="D103" s="13"/>
      <c r="E103" s="13"/>
      <c r="F103" s="14">
        <f t="shared" si="9"/>
        <v>0</v>
      </c>
      <c r="G103" s="15">
        <f t="shared" si="10"/>
        <v>0</v>
      </c>
      <c r="H103" s="15">
        <f t="shared" si="11"/>
        <v>0</v>
      </c>
      <c r="I103" s="52"/>
      <c r="J103" s="54"/>
      <c r="K103" s="13"/>
    </row>
    <row r="104" ht="18.75" spans="1:11">
      <c r="A104" s="12" t="str">
        <f ca="1" t="shared" si="8"/>
        <v/>
      </c>
      <c r="B104" s="6"/>
      <c r="C104" s="13"/>
      <c r="D104" s="13"/>
      <c r="E104" s="13"/>
      <c r="F104" s="14">
        <f t="shared" si="9"/>
        <v>0</v>
      </c>
      <c r="G104" s="15">
        <f t="shared" si="10"/>
        <v>0</v>
      </c>
      <c r="H104" s="15">
        <f t="shared" si="11"/>
        <v>0</v>
      </c>
      <c r="I104" s="52"/>
      <c r="J104" s="54"/>
      <c r="K104" s="13"/>
    </row>
    <row r="105" ht="18.75" spans="1:11">
      <c r="A105" s="12" t="str">
        <f ca="1" t="shared" si="8"/>
        <v/>
      </c>
      <c r="B105" s="6"/>
      <c r="C105" s="13"/>
      <c r="D105" s="13"/>
      <c r="E105" s="13"/>
      <c r="F105" s="14">
        <f t="shared" si="9"/>
        <v>0</v>
      </c>
      <c r="G105" s="15">
        <f t="shared" si="10"/>
        <v>0</v>
      </c>
      <c r="H105" s="15">
        <f t="shared" si="11"/>
        <v>0</v>
      </c>
      <c r="I105" s="52"/>
      <c r="J105" s="54"/>
      <c r="K105" s="13"/>
    </row>
    <row r="106" ht="18.75" spans="1:11">
      <c r="A106" s="12" t="str">
        <f ca="1" t="shared" si="8"/>
        <v/>
      </c>
      <c r="B106" s="6"/>
      <c r="C106" s="13"/>
      <c r="D106" s="13"/>
      <c r="E106" s="13"/>
      <c r="F106" s="14">
        <f t="shared" si="9"/>
        <v>0</v>
      </c>
      <c r="G106" s="15">
        <f t="shared" si="10"/>
        <v>0</v>
      </c>
      <c r="H106" s="15">
        <f t="shared" si="11"/>
        <v>0</v>
      </c>
      <c r="I106" s="52"/>
      <c r="J106" s="54"/>
      <c r="K106" s="13"/>
    </row>
    <row r="107" ht="18.75" spans="1:11">
      <c r="A107" s="12" t="str">
        <f ca="1" t="shared" si="8"/>
        <v/>
      </c>
      <c r="B107" s="6"/>
      <c r="C107" s="13"/>
      <c r="D107" s="13"/>
      <c r="E107" s="13"/>
      <c r="F107" s="14">
        <f t="shared" si="9"/>
        <v>0</v>
      </c>
      <c r="G107" s="15">
        <f t="shared" si="10"/>
        <v>0</v>
      </c>
      <c r="H107" s="15">
        <f t="shared" si="11"/>
        <v>0</v>
      </c>
      <c r="I107" s="52"/>
      <c r="J107" s="54"/>
      <c r="K107" s="13"/>
    </row>
    <row r="108" ht="18.75" spans="1:11">
      <c r="A108" s="12" t="str">
        <f ca="1" t="shared" si="8"/>
        <v/>
      </c>
      <c r="B108" s="6"/>
      <c r="C108" s="13"/>
      <c r="D108" s="13"/>
      <c r="E108" s="13"/>
      <c r="F108" s="14">
        <f t="shared" si="9"/>
        <v>0</v>
      </c>
      <c r="G108" s="15">
        <f t="shared" si="10"/>
        <v>0</v>
      </c>
      <c r="H108" s="15">
        <f t="shared" si="11"/>
        <v>0</v>
      </c>
      <c r="I108" s="52"/>
      <c r="J108" s="54"/>
      <c r="K108" s="13"/>
    </row>
    <row r="109" ht="18.75" spans="1:11">
      <c r="A109" s="12" t="str">
        <f ca="1" t="shared" si="8"/>
        <v/>
      </c>
      <c r="B109" s="6"/>
      <c r="C109" s="13"/>
      <c r="D109" s="13"/>
      <c r="E109" s="13"/>
      <c r="F109" s="14">
        <f t="shared" si="9"/>
        <v>0</v>
      </c>
      <c r="G109" s="15">
        <f t="shared" si="10"/>
        <v>0</v>
      </c>
      <c r="H109" s="15">
        <f t="shared" si="11"/>
        <v>0</v>
      </c>
      <c r="I109" s="52"/>
      <c r="J109" s="54"/>
      <c r="K109" s="13"/>
    </row>
    <row r="110" ht="18.75" spans="1:11">
      <c r="A110" s="12" t="str">
        <f ca="1" t="shared" si="8"/>
        <v/>
      </c>
      <c r="B110" s="6"/>
      <c r="C110" s="13"/>
      <c r="D110" s="13"/>
      <c r="E110" s="13"/>
      <c r="F110" s="14">
        <f t="shared" si="9"/>
        <v>0</v>
      </c>
      <c r="G110" s="15">
        <f t="shared" si="10"/>
        <v>0</v>
      </c>
      <c r="H110" s="15">
        <f t="shared" si="11"/>
        <v>0</v>
      </c>
      <c r="I110" s="52"/>
      <c r="J110" s="54"/>
      <c r="K110" s="13"/>
    </row>
    <row r="111" ht="18.75" spans="1:11">
      <c r="A111" s="12" t="str">
        <f ca="1" t="shared" si="8"/>
        <v/>
      </c>
      <c r="B111" s="6"/>
      <c r="C111" s="13"/>
      <c r="D111" s="13"/>
      <c r="E111" s="13"/>
      <c r="F111" s="14">
        <f t="shared" si="9"/>
        <v>0</v>
      </c>
      <c r="G111" s="15">
        <f t="shared" si="10"/>
        <v>0</v>
      </c>
      <c r="H111" s="15">
        <f t="shared" si="11"/>
        <v>0</v>
      </c>
      <c r="I111" s="52"/>
      <c r="J111" s="54"/>
      <c r="K111" s="13"/>
    </row>
    <row r="112" ht="18.75" spans="1:11">
      <c r="A112" s="12" t="str">
        <f ca="1" t="shared" si="8"/>
        <v/>
      </c>
      <c r="B112" s="6"/>
      <c r="C112" s="13"/>
      <c r="D112" s="13"/>
      <c r="E112" s="13"/>
      <c r="F112" s="14">
        <f t="shared" si="9"/>
        <v>0</v>
      </c>
      <c r="G112" s="15">
        <f t="shared" si="10"/>
        <v>0</v>
      </c>
      <c r="H112" s="15">
        <f t="shared" si="11"/>
        <v>0</v>
      </c>
      <c r="I112" s="52"/>
      <c r="J112" s="54"/>
      <c r="K112" s="13"/>
    </row>
    <row r="113" ht="18.75" spans="1:11">
      <c r="A113" s="12" t="str">
        <f ca="1" t="shared" si="8"/>
        <v/>
      </c>
      <c r="B113" s="6"/>
      <c r="C113" s="13"/>
      <c r="D113" s="13"/>
      <c r="E113" s="13"/>
      <c r="F113" s="14">
        <f t="shared" si="9"/>
        <v>0</v>
      </c>
      <c r="G113" s="15">
        <f t="shared" si="10"/>
        <v>0</v>
      </c>
      <c r="H113" s="15">
        <f t="shared" si="11"/>
        <v>0</v>
      </c>
      <c r="I113" s="52"/>
      <c r="J113" s="54"/>
      <c r="K113" s="13"/>
    </row>
    <row r="114" ht="18.75" spans="1:11">
      <c r="A114" s="12" t="str">
        <f ca="1" t="shared" si="8"/>
        <v/>
      </c>
      <c r="B114" s="6"/>
      <c r="C114" s="13"/>
      <c r="D114" s="13"/>
      <c r="E114" s="13"/>
      <c r="F114" s="14">
        <f t="shared" si="9"/>
        <v>0</v>
      </c>
      <c r="G114" s="15">
        <f t="shared" si="10"/>
        <v>0</v>
      </c>
      <c r="H114" s="15">
        <f t="shared" si="11"/>
        <v>0</v>
      </c>
      <c r="I114" s="52"/>
      <c r="J114" s="54"/>
      <c r="K114" s="13"/>
    </row>
    <row r="115" ht="18.75" spans="1:11">
      <c r="A115" s="12" t="str">
        <f ca="1" t="shared" si="8"/>
        <v/>
      </c>
      <c r="B115" s="6"/>
      <c r="C115" s="13"/>
      <c r="D115" s="13"/>
      <c r="E115" s="13"/>
      <c r="F115" s="14">
        <f t="shared" si="9"/>
        <v>0</v>
      </c>
      <c r="G115" s="15">
        <f t="shared" si="10"/>
        <v>0</v>
      </c>
      <c r="H115" s="15">
        <f t="shared" si="11"/>
        <v>0</v>
      </c>
      <c r="I115" s="52"/>
      <c r="J115" s="54"/>
      <c r="K115" s="13"/>
    </row>
    <row r="116" ht="18.75" spans="1:11">
      <c r="A116" s="12" t="str">
        <f ca="1" t="shared" si="8"/>
        <v/>
      </c>
      <c r="B116" s="6"/>
      <c r="C116" s="13"/>
      <c r="D116" s="13"/>
      <c r="E116" s="13"/>
      <c r="F116" s="14">
        <f t="shared" si="9"/>
        <v>0</v>
      </c>
      <c r="G116" s="15">
        <f t="shared" si="10"/>
        <v>0</v>
      </c>
      <c r="H116" s="15">
        <f t="shared" si="11"/>
        <v>0</v>
      </c>
      <c r="I116" s="52"/>
      <c r="J116" s="54"/>
      <c r="K116" s="13"/>
    </row>
    <row r="117" ht="18.75" spans="1:11">
      <c r="A117" s="12" t="str">
        <f ca="1" t="shared" si="8"/>
        <v/>
      </c>
      <c r="B117" s="6"/>
      <c r="C117" s="13"/>
      <c r="D117" s="13"/>
      <c r="E117" s="13"/>
      <c r="F117" s="14">
        <f t="shared" si="9"/>
        <v>0</v>
      </c>
      <c r="G117" s="15">
        <f t="shared" si="10"/>
        <v>0</v>
      </c>
      <c r="H117" s="15">
        <f t="shared" si="11"/>
        <v>0</v>
      </c>
      <c r="I117" s="52"/>
      <c r="J117" s="54"/>
      <c r="K117" s="13"/>
    </row>
    <row r="118" ht="18.75" spans="1:11">
      <c r="A118" s="12" t="str">
        <f ca="1" t="shared" si="8"/>
        <v/>
      </c>
      <c r="B118" s="6"/>
      <c r="C118" s="13"/>
      <c r="D118" s="13"/>
      <c r="E118" s="13"/>
      <c r="F118" s="14">
        <f t="shared" si="9"/>
        <v>0</v>
      </c>
      <c r="G118" s="15">
        <f t="shared" si="10"/>
        <v>0</v>
      </c>
      <c r="H118" s="15">
        <f t="shared" si="11"/>
        <v>0</v>
      </c>
      <c r="I118" s="52"/>
      <c r="J118" s="54"/>
      <c r="K118" s="13"/>
    </row>
    <row r="119" ht="18.75" spans="1:11">
      <c r="A119" s="12" t="str">
        <f ca="1" t="shared" si="8"/>
        <v/>
      </c>
      <c r="B119" s="6"/>
      <c r="C119" s="13"/>
      <c r="D119" s="13"/>
      <c r="E119" s="13"/>
      <c r="F119" s="14">
        <f t="shared" si="9"/>
        <v>0</v>
      </c>
      <c r="G119" s="15">
        <f t="shared" si="10"/>
        <v>0</v>
      </c>
      <c r="H119" s="15">
        <f t="shared" si="11"/>
        <v>0</v>
      </c>
      <c r="I119" s="52"/>
      <c r="J119" s="54"/>
      <c r="K119" s="13"/>
    </row>
    <row r="120" ht="18.75" spans="1:11">
      <c r="A120" s="12" t="str">
        <f ca="1" t="shared" si="8"/>
        <v/>
      </c>
      <c r="B120" s="6"/>
      <c r="C120" s="13"/>
      <c r="D120" s="13"/>
      <c r="E120" s="13"/>
      <c r="F120" s="14">
        <f t="shared" si="9"/>
        <v>0</v>
      </c>
      <c r="G120" s="15">
        <f t="shared" si="10"/>
        <v>0</v>
      </c>
      <c r="H120" s="15">
        <f t="shared" si="11"/>
        <v>0</v>
      </c>
      <c r="I120" s="52"/>
      <c r="J120" s="54"/>
      <c r="K120" s="13"/>
    </row>
    <row r="121" ht="18.75" spans="1:11">
      <c r="A121" s="12" t="str">
        <f ca="1" t="shared" si="8"/>
        <v/>
      </c>
      <c r="B121" s="6"/>
      <c r="C121" s="13"/>
      <c r="D121" s="13"/>
      <c r="E121" s="13"/>
      <c r="F121" s="14">
        <f t="shared" si="9"/>
        <v>0</v>
      </c>
      <c r="G121" s="15">
        <f t="shared" si="10"/>
        <v>0</v>
      </c>
      <c r="H121" s="15">
        <f t="shared" si="11"/>
        <v>0</v>
      </c>
      <c r="I121" s="52"/>
      <c r="J121" s="54"/>
      <c r="K121" s="13"/>
    </row>
    <row r="122" ht="18.75" spans="1:11">
      <c r="A122" s="12" t="str">
        <f ca="1" t="shared" si="8"/>
        <v/>
      </c>
      <c r="B122" s="6"/>
      <c r="C122" s="13"/>
      <c r="D122" s="13"/>
      <c r="E122" s="13"/>
      <c r="F122" s="14">
        <f t="shared" si="9"/>
        <v>0</v>
      </c>
      <c r="G122" s="15">
        <f t="shared" si="10"/>
        <v>0</v>
      </c>
      <c r="H122" s="15">
        <f t="shared" si="11"/>
        <v>0</v>
      </c>
      <c r="I122" s="52"/>
      <c r="J122" s="54"/>
      <c r="K122" s="13"/>
    </row>
    <row r="123" ht="18.75" spans="1:11">
      <c r="A123" s="12" t="str">
        <f ca="1" t="shared" si="8"/>
        <v/>
      </c>
      <c r="B123" s="6"/>
      <c r="C123" s="13"/>
      <c r="D123" s="13"/>
      <c r="E123" s="13"/>
      <c r="F123" s="14">
        <f t="shared" si="9"/>
        <v>0</v>
      </c>
      <c r="G123" s="15">
        <f t="shared" si="10"/>
        <v>0</v>
      </c>
      <c r="H123" s="15">
        <f t="shared" si="11"/>
        <v>0</v>
      </c>
      <c r="I123" s="52"/>
      <c r="J123" s="54"/>
      <c r="K123" s="13"/>
    </row>
    <row r="124" ht="18.75" spans="1:11">
      <c r="A124" s="12" t="str">
        <f ca="1" t="shared" si="8"/>
        <v/>
      </c>
      <c r="B124" s="6"/>
      <c r="C124" s="13"/>
      <c r="D124" s="13"/>
      <c r="E124" s="13"/>
      <c r="F124" s="14">
        <f t="shared" si="9"/>
        <v>0</v>
      </c>
      <c r="G124" s="15">
        <f t="shared" si="10"/>
        <v>0</v>
      </c>
      <c r="H124" s="15">
        <f t="shared" si="11"/>
        <v>0</v>
      </c>
      <c r="I124" s="52"/>
      <c r="J124" s="54"/>
      <c r="K124" s="13"/>
    </row>
    <row r="125" ht="18.75" spans="1:11">
      <c r="A125" s="12" t="str">
        <f ca="1" t="shared" si="8"/>
        <v/>
      </c>
      <c r="B125" s="6"/>
      <c r="C125" s="13"/>
      <c r="D125" s="13"/>
      <c r="E125" s="13"/>
      <c r="F125" s="14">
        <f t="shared" si="9"/>
        <v>0</v>
      </c>
      <c r="G125" s="15">
        <f t="shared" si="10"/>
        <v>0</v>
      </c>
      <c r="H125" s="15">
        <f t="shared" si="11"/>
        <v>0</v>
      </c>
      <c r="I125" s="52"/>
      <c r="J125" s="54"/>
      <c r="K125" s="13"/>
    </row>
    <row r="126" ht="18.75" spans="1:11">
      <c r="A126" s="12" t="str">
        <f ca="1" t="shared" si="8"/>
        <v/>
      </c>
      <c r="B126" s="6"/>
      <c r="C126" s="13"/>
      <c r="D126" s="13"/>
      <c r="E126" s="13"/>
      <c r="F126" s="14">
        <f t="shared" si="9"/>
        <v>0</v>
      </c>
      <c r="G126" s="15">
        <f t="shared" si="10"/>
        <v>0</v>
      </c>
      <c r="H126" s="15">
        <f t="shared" si="11"/>
        <v>0</v>
      </c>
      <c r="I126" s="52"/>
      <c r="J126" s="54"/>
      <c r="K126" s="13"/>
    </row>
    <row r="127" ht="18.75" spans="1:11">
      <c r="A127" s="12" t="str">
        <f ca="1" t="shared" si="8"/>
        <v/>
      </c>
      <c r="B127" s="6"/>
      <c r="C127" s="13"/>
      <c r="D127" s="13"/>
      <c r="E127" s="13"/>
      <c r="F127" s="14">
        <f t="shared" si="9"/>
        <v>0</v>
      </c>
      <c r="G127" s="15">
        <f t="shared" si="10"/>
        <v>0</v>
      </c>
      <c r="H127" s="15">
        <f t="shared" si="11"/>
        <v>0</v>
      </c>
      <c r="I127" s="52"/>
      <c r="J127" s="54"/>
      <c r="K127" s="13"/>
    </row>
    <row r="128" ht="18.75" spans="1:11">
      <c r="A128" s="12" t="str">
        <f ca="1" t="shared" si="8"/>
        <v/>
      </c>
      <c r="B128" s="6"/>
      <c r="C128" s="13"/>
      <c r="D128" s="13"/>
      <c r="E128" s="13"/>
      <c r="F128" s="14">
        <f t="shared" si="9"/>
        <v>0</v>
      </c>
      <c r="G128" s="15">
        <f t="shared" si="10"/>
        <v>0</v>
      </c>
      <c r="H128" s="15">
        <f t="shared" si="11"/>
        <v>0</v>
      </c>
      <c r="I128" s="52"/>
      <c r="J128" s="54"/>
      <c r="K128" s="13"/>
    </row>
    <row r="129" ht="18.75" spans="1:11">
      <c r="A129" s="12" t="str">
        <f ca="1" t="shared" si="8"/>
        <v/>
      </c>
      <c r="B129" s="6"/>
      <c r="C129" s="13"/>
      <c r="D129" s="13"/>
      <c r="E129" s="13"/>
      <c r="F129" s="14">
        <f t="shared" si="9"/>
        <v>0</v>
      </c>
      <c r="G129" s="15">
        <f t="shared" si="10"/>
        <v>0</v>
      </c>
      <c r="H129" s="15">
        <f t="shared" si="11"/>
        <v>0</v>
      </c>
      <c r="I129" s="52"/>
      <c r="J129" s="54"/>
      <c r="K129" s="13"/>
    </row>
    <row r="130" ht="18.75" spans="1:11">
      <c r="A130" s="12" t="str">
        <f ca="1" t="shared" si="8"/>
        <v/>
      </c>
      <c r="B130" s="6"/>
      <c r="C130" s="13"/>
      <c r="D130" s="13"/>
      <c r="E130" s="13"/>
      <c r="F130" s="14">
        <f t="shared" si="9"/>
        <v>0</v>
      </c>
      <c r="G130" s="15">
        <f t="shared" si="10"/>
        <v>0</v>
      </c>
      <c r="H130" s="15">
        <f t="shared" si="11"/>
        <v>0</v>
      </c>
      <c r="I130" s="52"/>
      <c r="J130" s="54"/>
      <c r="K130" s="13"/>
    </row>
    <row r="131" ht="18.75" spans="1:11">
      <c r="A131" s="12" t="str">
        <f ca="1" t="shared" ref="A131:A160" si="12">IF(B131="","",IF(A131="",NOW(),A131))</f>
        <v/>
      </c>
      <c r="B131" s="6"/>
      <c r="C131" s="13"/>
      <c r="D131" s="13"/>
      <c r="E131" s="13"/>
      <c r="F131" s="14">
        <f t="shared" ref="F131:F160" si="13">(IF(E131-C131&lt;0,"24:00"-C131+E131,E131-C131))*24</f>
        <v>0</v>
      </c>
      <c r="G131" s="15">
        <f t="shared" ref="G131:G160" si="14">F131-H131</f>
        <v>0</v>
      </c>
      <c r="H131" s="15">
        <f t="shared" ref="H131:H160" si="15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2"/>
        <v/>
      </c>
      <c r="B132" s="6"/>
      <c r="C132" s="13"/>
      <c r="D132" s="13"/>
      <c r="E132" s="13"/>
      <c r="F132" s="14">
        <f t="shared" si="13"/>
        <v>0</v>
      </c>
      <c r="G132" s="15">
        <f t="shared" si="14"/>
        <v>0</v>
      </c>
      <c r="H132" s="15">
        <f t="shared" si="15"/>
        <v>0</v>
      </c>
      <c r="I132" s="52"/>
      <c r="J132" s="54"/>
      <c r="K132" s="13"/>
    </row>
    <row r="133" ht="18.75" spans="1:11">
      <c r="A133" s="12" t="str">
        <f ca="1" t="shared" si="12"/>
        <v/>
      </c>
      <c r="B133" s="6"/>
      <c r="C133" s="13"/>
      <c r="D133" s="13"/>
      <c r="E133" s="13"/>
      <c r="F133" s="14">
        <f t="shared" si="13"/>
        <v>0</v>
      </c>
      <c r="G133" s="15">
        <f t="shared" si="14"/>
        <v>0</v>
      </c>
      <c r="H133" s="15">
        <f t="shared" si="15"/>
        <v>0</v>
      </c>
      <c r="I133" s="52"/>
      <c r="J133" s="54"/>
      <c r="K133" s="13"/>
    </row>
    <row r="134" ht="18.75" spans="1:11">
      <c r="A134" s="12" t="str">
        <f ca="1" t="shared" si="12"/>
        <v/>
      </c>
      <c r="B134" s="6"/>
      <c r="C134" s="13"/>
      <c r="D134" s="13"/>
      <c r="E134" s="13"/>
      <c r="F134" s="14">
        <f t="shared" si="13"/>
        <v>0</v>
      </c>
      <c r="G134" s="15">
        <f t="shared" si="14"/>
        <v>0</v>
      </c>
      <c r="H134" s="15">
        <f t="shared" si="15"/>
        <v>0</v>
      </c>
      <c r="I134" s="52"/>
      <c r="J134" s="54"/>
      <c r="K134" s="13"/>
    </row>
    <row r="135" ht="18.75" spans="1:11">
      <c r="A135" s="12" t="str">
        <f ca="1" t="shared" si="12"/>
        <v/>
      </c>
      <c r="B135" s="6"/>
      <c r="C135" s="13"/>
      <c r="D135" s="13"/>
      <c r="E135" s="13"/>
      <c r="F135" s="14">
        <f t="shared" si="13"/>
        <v>0</v>
      </c>
      <c r="G135" s="15">
        <f t="shared" si="14"/>
        <v>0</v>
      </c>
      <c r="H135" s="15">
        <f t="shared" si="15"/>
        <v>0</v>
      </c>
      <c r="I135" s="52"/>
      <c r="J135" s="54"/>
      <c r="K135" s="13"/>
    </row>
    <row r="136" ht="18.75" spans="1:11">
      <c r="A136" s="12" t="str">
        <f ca="1" t="shared" si="12"/>
        <v/>
      </c>
      <c r="B136" s="6"/>
      <c r="C136" s="13"/>
      <c r="D136" s="13"/>
      <c r="E136" s="13"/>
      <c r="F136" s="14">
        <f t="shared" si="13"/>
        <v>0</v>
      </c>
      <c r="G136" s="15">
        <f t="shared" si="14"/>
        <v>0</v>
      </c>
      <c r="H136" s="15">
        <f t="shared" si="15"/>
        <v>0</v>
      </c>
      <c r="I136" s="52"/>
      <c r="J136" s="54"/>
      <c r="K136" s="13"/>
    </row>
    <row r="137" ht="18.75" spans="1:11">
      <c r="A137" s="12" t="str">
        <f ca="1" t="shared" si="12"/>
        <v/>
      </c>
      <c r="B137" s="6"/>
      <c r="C137" s="13"/>
      <c r="D137" s="13"/>
      <c r="E137" s="13"/>
      <c r="F137" s="14">
        <f t="shared" si="13"/>
        <v>0</v>
      </c>
      <c r="G137" s="15">
        <f t="shared" si="14"/>
        <v>0</v>
      </c>
      <c r="H137" s="15">
        <f t="shared" si="15"/>
        <v>0</v>
      </c>
      <c r="I137" s="52"/>
      <c r="J137" s="54"/>
      <c r="K137" s="13"/>
    </row>
    <row r="138" ht="18.75" spans="1:11">
      <c r="A138" s="12" t="str">
        <f ca="1" t="shared" si="12"/>
        <v/>
      </c>
      <c r="B138" s="6"/>
      <c r="C138" s="13"/>
      <c r="D138" s="13"/>
      <c r="E138" s="13"/>
      <c r="F138" s="14">
        <f t="shared" si="13"/>
        <v>0</v>
      </c>
      <c r="G138" s="15">
        <f t="shared" si="14"/>
        <v>0</v>
      </c>
      <c r="H138" s="15">
        <f t="shared" si="15"/>
        <v>0</v>
      </c>
      <c r="I138" s="52"/>
      <c r="J138" s="54"/>
      <c r="K138" s="13"/>
    </row>
    <row r="139" ht="18.75" spans="1:11">
      <c r="A139" s="12" t="str">
        <f ca="1" t="shared" si="12"/>
        <v/>
      </c>
      <c r="B139" s="6"/>
      <c r="C139" s="13"/>
      <c r="D139" s="13"/>
      <c r="E139" s="13"/>
      <c r="F139" s="14">
        <f t="shared" si="13"/>
        <v>0</v>
      </c>
      <c r="G139" s="15">
        <f t="shared" si="14"/>
        <v>0</v>
      </c>
      <c r="H139" s="15">
        <f t="shared" si="15"/>
        <v>0</v>
      </c>
      <c r="I139" s="52"/>
      <c r="J139" s="54"/>
      <c r="K139" s="13"/>
    </row>
    <row r="140" ht="18.75" spans="1:11">
      <c r="A140" s="12" t="str">
        <f ca="1" t="shared" si="12"/>
        <v/>
      </c>
      <c r="B140" s="6"/>
      <c r="C140" s="13"/>
      <c r="D140" s="13"/>
      <c r="E140" s="13"/>
      <c r="F140" s="14">
        <f t="shared" si="13"/>
        <v>0</v>
      </c>
      <c r="G140" s="15">
        <f t="shared" si="14"/>
        <v>0</v>
      </c>
      <c r="H140" s="15">
        <f t="shared" si="15"/>
        <v>0</v>
      </c>
      <c r="I140" s="52"/>
      <c r="J140" s="54"/>
      <c r="K140" s="13"/>
    </row>
    <row r="141" ht="18.75" spans="1:11">
      <c r="A141" s="12" t="str">
        <f ca="1" t="shared" si="12"/>
        <v/>
      </c>
      <c r="B141" s="6"/>
      <c r="C141" s="13"/>
      <c r="D141" s="13"/>
      <c r="E141" s="13"/>
      <c r="F141" s="14">
        <f t="shared" si="13"/>
        <v>0</v>
      </c>
      <c r="G141" s="15">
        <f t="shared" si="14"/>
        <v>0</v>
      </c>
      <c r="H141" s="15">
        <f t="shared" si="15"/>
        <v>0</v>
      </c>
      <c r="I141" s="52"/>
      <c r="J141" s="54"/>
      <c r="K141" s="13"/>
    </row>
    <row r="142" ht="18.75" spans="1:11">
      <c r="A142" s="12" t="str">
        <f ca="1" t="shared" si="12"/>
        <v/>
      </c>
      <c r="B142" s="6"/>
      <c r="C142" s="13"/>
      <c r="D142" s="13"/>
      <c r="E142" s="13"/>
      <c r="F142" s="14">
        <f t="shared" si="13"/>
        <v>0</v>
      </c>
      <c r="G142" s="15">
        <f t="shared" si="14"/>
        <v>0</v>
      </c>
      <c r="H142" s="15">
        <f t="shared" si="15"/>
        <v>0</v>
      </c>
      <c r="I142" s="52"/>
      <c r="J142" s="54"/>
      <c r="K142" s="13"/>
    </row>
    <row r="143" ht="18.75" spans="1:11">
      <c r="A143" s="12" t="str">
        <f ca="1" t="shared" si="12"/>
        <v/>
      </c>
      <c r="B143" s="6"/>
      <c r="C143" s="13"/>
      <c r="D143" s="13"/>
      <c r="E143" s="13"/>
      <c r="F143" s="14">
        <f t="shared" si="13"/>
        <v>0</v>
      </c>
      <c r="G143" s="15">
        <f t="shared" si="14"/>
        <v>0</v>
      </c>
      <c r="H143" s="15">
        <f t="shared" si="15"/>
        <v>0</v>
      </c>
      <c r="I143" s="52"/>
      <c r="J143" s="54"/>
      <c r="K143" s="13"/>
    </row>
    <row r="144" ht="18.75" spans="1:11">
      <c r="A144" s="12" t="str">
        <f ca="1" t="shared" si="12"/>
        <v/>
      </c>
      <c r="B144" s="6"/>
      <c r="C144" s="13"/>
      <c r="D144" s="13"/>
      <c r="E144" s="13"/>
      <c r="F144" s="14">
        <f t="shared" si="13"/>
        <v>0</v>
      </c>
      <c r="G144" s="15">
        <f t="shared" si="14"/>
        <v>0</v>
      </c>
      <c r="H144" s="15">
        <f t="shared" si="15"/>
        <v>0</v>
      </c>
      <c r="I144" s="52"/>
      <c r="J144" s="54"/>
      <c r="K144" s="13"/>
    </row>
    <row r="145" ht="18.75" spans="1:11">
      <c r="A145" s="12" t="str">
        <f ca="1" t="shared" si="12"/>
        <v/>
      </c>
      <c r="B145" s="6"/>
      <c r="C145" s="13"/>
      <c r="D145" s="13"/>
      <c r="E145" s="13"/>
      <c r="F145" s="14">
        <f t="shared" si="13"/>
        <v>0</v>
      </c>
      <c r="G145" s="15">
        <f t="shared" si="14"/>
        <v>0</v>
      </c>
      <c r="H145" s="15">
        <f t="shared" si="15"/>
        <v>0</v>
      </c>
      <c r="I145" s="52"/>
      <c r="J145" s="54"/>
      <c r="K145" s="13"/>
    </row>
    <row r="146" ht="18.75" spans="1:11">
      <c r="A146" s="12" t="str">
        <f ca="1" t="shared" si="12"/>
        <v/>
      </c>
      <c r="B146" s="6"/>
      <c r="C146" s="13"/>
      <c r="D146" s="13"/>
      <c r="E146" s="13"/>
      <c r="F146" s="14">
        <f t="shared" si="13"/>
        <v>0</v>
      </c>
      <c r="G146" s="15">
        <f t="shared" si="14"/>
        <v>0</v>
      </c>
      <c r="H146" s="15">
        <f t="shared" si="15"/>
        <v>0</v>
      </c>
      <c r="I146" s="52"/>
      <c r="J146" s="54"/>
      <c r="K146" s="13"/>
    </row>
    <row r="147" ht="18.75" spans="1:11">
      <c r="A147" s="12" t="str">
        <f ca="1" t="shared" si="12"/>
        <v/>
      </c>
      <c r="B147" s="6"/>
      <c r="C147" s="13"/>
      <c r="D147" s="13"/>
      <c r="E147" s="13"/>
      <c r="F147" s="14">
        <f t="shared" si="13"/>
        <v>0</v>
      </c>
      <c r="G147" s="15">
        <f t="shared" si="14"/>
        <v>0</v>
      </c>
      <c r="H147" s="15">
        <f t="shared" si="15"/>
        <v>0</v>
      </c>
      <c r="I147" s="52"/>
      <c r="J147" s="54"/>
      <c r="K147" s="13"/>
    </row>
    <row r="148" ht="18.75" spans="1:11">
      <c r="A148" s="12" t="str">
        <f ca="1" t="shared" si="12"/>
        <v/>
      </c>
      <c r="B148" s="6"/>
      <c r="C148" s="13"/>
      <c r="D148" s="13"/>
      <c r="E148" s="13"/>
      <c r="F148" s="14">
        <f t="shared" si="13"/>
        <v>0</v>
      </c>
      <c r="G148" s="15">
        <f t="shared" si="14"/>
        <v>0</v>
      </c>
      <c r="H148" s="15">
        <f t="shared" si="15"/>
        <v>0</v>
      </c>
      <c r="I148" s="52"/>
      <c r="J148" s="54"/>
      <c r="K148" s="13"/>
    </row>
    <row r="149" ht="18.75" spans="1:11">
      <c r="A149" s="12" t="str">
        <f ca="1" t="shared" si="12"/>
        <v/>
      </c>
      <c r="B149" s="6"/>
      <c r="C149" s="13"/>
      <c r="D149" s="13"/>
      <c r="E149" s="13"/>
      <c r="F149" s="14">
        <f t="shared" si="13"/>
        <v>0</v>
      </c>
      <c r="G149" s="15">
        <f t="shared" si="14"/>
        <v>0</v>
      </c>
      <c r="H149" s="15">
        <f t="shared" si="15"/>
        <v>0</v>
      </c>
      <c r="I149" s="52"/>
      <c r="J149" s="54"/>
      <c r="K149" s="13"/>
    </row>
    <row r="150" ht="18.75" spans="1:11">
      <c r="A150" s="12" t="str">
        <f ca="1" t="shared" si="12"/>
        <v/>
      </c>
      <c r="B150" s="6"/>
      <c r="C150" s="13"/>
      <c r="D150" s="13"/>
      <c r="E150" s="13"/>
      <c r="F150" s="14">
        <f t="shared" si="13"/>
        <v>0</v>
      </c>
      <c r="G150" s="15">
        <f t="shared" si="14"/>
        <v>0</v>
      </c>
      <c r="H150" s="15">
        <f t="shared" si="15"/>
        <v>0</v>
      </c>
      <c r="I150" s="52"/>
      <c r="J150" s="54"/>
      <c r="K150" s="13"/>
    </row>
    <row r="151" ht="18.75" spans="1:11">
      <c r="A151" s="12" t="str">
        <f ca="1" t="shared" si="12"/>
        <v/>
      </c>
      <c r="B151" s="6"/>
      <c r="C151" s="13"/>
      <c r="D151" s="13"/>
      <c r="E151" s="13"/>
      <c r="F151" s="14">
        <f t="shared" si="13"/>
        <v>0</v>
      </c>
      <c r="G151" s="15">
        <f t="shared" si="14"/>
        <v>0</v>
      </c>
      <c r="H151" s="15">
        <f t="shared" si="15"/>
        <v>0</v>
      </c>
      <c r="I151" s="52"/>
      <c r="J151" s="54"/>
      <c r="K151" s="13"/>
    </row>
    <row r="152" ht="18.75" spans="1:11">
      <c r="A152" s="12" t="str">
        <f ca="1" t="shared" si="12"/>
        <v/>
      </c>
      <c r="B152" s="6"/>
      <c r="C152" s="13"/>
      <c r="D152" s="13"/>
      <c r="E152" s="13"/>
      <c r="F152" s="14">
        <f t="shared" si="13"/>
        <v>0</v>
      </c>
      <c r="G152" s="15">
        <f t="shared" si="14"/>
        <v>0</v>
      </c>
      <c r="H152" s="15">
        <f t="shared" si="15"/>
        <v>0</v>
      </c>
      <c r="I152" s="52"/>
      <c r="J152" s="54"/>
      <c r="K152" s="13"/>
    </row>
    <row r="153" ht="18.75" spans="1:11">
      <c r="A153" s="12" t="str">
        <f ca="1" t="shared" si="12"/>
        <v/>
      </c>
      <c r="B153" s="6"/>
      <c r="C153" s="13"/>
      <c r="D153" s="13"/>
      <c r="E153" s="13"/>
      <c r="F153" s="14">
        <f t="shared" si="13"/>
        <v>0</v>
      </c>
      <c r="G153" s="15">
        <f t="shared" si="14"/>
        <v>0</v>
      </c>
      <c r="H153" s="15">
        <f t="shared" si="15"/>
        <v>0</v>
      </c>
      <c r="I153" s="52"/>
      <c r="J153" s="54"/>
      <c r="K153" s="13"/>
    </row>
    <row r="154" ht="18.75" spans="1:11">
      <c r="A154" s="12" t="str">
        <f ca="1" t="shared" si="12"/>
        <v/>
      </c>
      <c r="B154" s="6"/>
      <c r="C154" s="13"/>
      <c r="D154" s="13"/>
      <c r="E154" s="13"/>
      <c r="F154" s="14">
        <f t="shared" si="13"/>
        <v>0</v>
      </c>
      <c r="G154" s="15">
        <f t="shared" si="14"/>
        <v>0</v>
      </c>
      <c r="H154" s="15">
        <f t="shared" si="15"/>
        <v>0</v>
      </c>
      <c r="I154" s="52"/>
      <c r="J154" s="54"/>
      <c r="K154" s="13"/>
    </row>
    <row r="155" ht="18.75" spans="1:11">
      <c r="A155" s="12" t="str">
        <f ca="1" t="shared" si="12"/>
        <v/>
      </c>
      <c r="B155" s="6"/>
      <c r="C155" s="13"/>
      <c r="D155" s="13"/>
      <c r="E155" s="13"/>
      <c r="F155" s="14">
        <f t="shared" si="13"/>
        <v>0</v>
      </c>
      <c r="G155" s="15">
        <f t="shared" si="14"/>
        <v>0</v>
      </c>
      <c r="H155" s="15">
        <f t="shared" si="15"/>
        <v>0</v>
      </c>
      <c r="I155" s="52"/>
      <c r="J155" s="54"/>
      <c r="K155" s="13"/>
    </row>
    <row r="156" ht="18.75" spans="1:11">
      <c r="A156" s="12" t="str">
        <f ca="1" t="shared" si="12"/>
        <v/>
      </c>
      <c r="B156" s="6"/>
      <c r="C156" s="13"/>
      <c r="D156" s="13"/>
      <c r="E156" s="13"/>
      <c r="F156" s="14">
        <f t="shared" si="13"/>
        <v>0</v>
      </c>
      <c r="G156" s="15">
        <f t="shared" si="14"/>
        <v>0</v>
      </c>
      <c r="H156" s="15">
        <f t="shared" si="15"/>
        <v>0</v>
      </c>
      <c r="I156" s="52"/>
      <c r="J156" s="54"/>
      <c r="K156" s="13"/>
    </row>
    <row r="157" ht="18.75" spans="1:11">
      <c r="A157" s="12" t="str">
        <f ca="1" t="shared" si="12"/>
        <v/>
      </c>
      <c r="B157" s="6"/>
      <c r="C157" s="13"/>
      <c r="D157" s="13"/>
      <c r="E157" s="13"/>
      <c r="F157" s="14">
        <f t="shared" si="13"/>
        <v>0</v>
      </c>
      <c r="G157" s="15">
        <f t="shared" si="14"/>
        <v>0</v>
      </c>
      <c r="H157" s="15">
        <f t="shared" si="15"/>
        <v>0</v>
      </c>
      <c r="I157" s="52"/>
      <c r="J157" s="54"/>
      <c r="K157" s="13"/>
    </row>
    <row r="158" ht="18.75" spans="1:11">
      <c r="A158" s="12" t="str">
        <f ca="1" t="shared" si="12"/>
        <v/>
      </c>
      <c r="B158" s="6"/>
      <c r="C158" s="13"/>
      <c r="D158" s="13"/>
      <c r="E158" s="13"/>
      <c r="F158" s="14">
        <f t="shared" si="13"/>
        <v>0</v>
      </c>
      <c r="G158" s="15">
        <f t="shared" si="14"/>
        <v>0</v>
      </c>
      <c r="H158" s="15">
        <f t="shared" si="15"/>
        <v>0</v>
      </c>
      <c r="I158" s="52"/>
      <c r="J158" s="54"/>
      <c r="K158" s="13"/>
    </row>
    <row r="159" ht="18.75" spans="1:11">
      <c r="A159" s="12" t="str">
        <f ca="1" t="shared" si="12"/>
        <v/>
      </c>
      <c r="B159" s="6"/>
      <c r="C159" s="13"/>
      <c r="D159" s="13"/>
      <c r="E159" s="13"/>
      <c r="F159" s="14">
        <f t="shared" si="13"/>
        <v>0</v>
      </c>
      <c r="G159" s="15">
        <f t="shared" si="14"/>
        <v>0</v>
      </c>
      <c r="H159" s="15">
        <f t="shared" si="15"/>
        <v>0</v>
      </c>
      <c r="I159" s="52"/>
      <c r="J159" s="54"/>
      <c r="K159" s="13"/>
    </row>
    <row r="160" ht="18.75" spans="1:11">
      <c r="A160" s="12" t="str">
        <f ca="1" t="shared" si="12"/>
        <v/>
      </c>
      <c r="B160" s="6"/>
      <c r="C160" s="13"/>
      <c r="D160" s="13"/>
      <c r="E160" s="13"/>
      <c r="F160" s="14">
        <f t="shared" si="13"/>
        <v>0</v>
      </c>
      <c r="G160" s="15">
        <f t="shared" si="14"/>
        <v>0</v>
      </c>
      <c r="H160" s="15">
        <f t="shared" si="15"/>
        <v>0</v>
      </c>
      <c r="I160" s="52"/>
      <c r="J160" s="54"/>
      <c r="K160" s="13"/>
    </row>
    <row r="161" ht="18.75" spans="1:11">
      <c r="A161" s="12" t="str">
        <f ca="1" t="shared" ref="A161:A194" si="16">IF(B161="","",IF(A161="",NOW(),A161))</f>
        <v/>
      </c>
      <c r="B161" s="6"/>
      <c r="C161" s="13"/>
      <c r="D161" s="13"/>
      <c r="E161" s="13"/>
      <c r="F161" s="14">
        <f t="shared" ref="F161:F194" si="17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6"/>
        <v/>
      </c>
      <c r="B162" s="6"/>
      <c r="C162" s="13"/>
      <c r="D162" s="13"/>
      <c r="E162" s="13"/>
      <c r="F162" s="14">
        <f t="shared" si="17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6"/>
        <v/>
      </c>
      <c r="B163" s="6"/>
      <c r="C163" s="13"/>
      <c r="D163" s="13"/>
      <c r="E163" s="13"/>
      <c r="F163" s="14">
        <f t="shared" si="17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6"/>
        <v/>
      </c>
      <c r="B164" s="6"/>
      <c r="C164" s="13"/>
      <c r="D164" s="13"/>
      <c r="E164" s="13"/>
      <c r="F164" s="14">
        <f t="shared" si="17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6"/>
        <v/>
      </c>
      <c r="B165" s="6"/>
      <c r="C165" s="13"/>
      <c r="D165" s="13"/>
      <c r="E165" s="13"/>
      <c r="F165" s="14">
        <f t="shared" si="17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6"/>
        <v/>
      </c>
      <c r="B166" s="6"/>
      <c r="C166" s="13"/>
      <c r="D166" s="13"/>
      <c r="E166" s="13"/>
      <c r="F166" s="14">
        <f t="shared" si="17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6"/>
        <v/>
      </c>
      <c r="B167" s="6"/>
      <c r="C167" s="13"/>
      <c r="D167" s="13"/>
      <c r="E167" s="13"/>
      <c r="F167" s="14">
        <f t="shared" si="17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6"/>
        <v/>
      </c>
      <c r="B168" s="6"/>
      <c r="C168" s="13"/>
      <c r="D168" s="13"/>
      <c r="E168" s="13"/>
      <c r="F168" s="14">
        <f t="shared" si="17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6"/>
        <v/>
      </c>
      <c r="B169" s="6"/>
      <c r="C169" s="13"/>
      <c r="D169" s="13"/>
      <c r="E169" s="13"/>
      <c r="F169" s="14">
        <f t="shared" si="17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6"/>
        <v/>
      </c>
      <c r="B170" s="6"/>
      <c r="C170" s="13"/>
      <c r="D170" s="13"/>
      <c r="E170" s="13"/>
      <c r="F170" s="14">
        <f t="shared" si="17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6"/>
        <v/>
      </c>
      <c r="B171" s="6"/>
      <c r="C171" s="13"/>
      <c r="D171" s="13"/>
      <c r="E171" s="13"/>
      <c r="F171" s="14">
        <f t="shared" si="17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6"/>
        <v/>
      </c>
      <c r="B172" s="6"/>
      <c r="C172" s="13"/>
      <c r="D172" s="13"/>
      <c r="E172" s="13"/>
      <c r="F172" s="14">
        <f t="shared" si="17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6"/>
        <v/>
      </c>
      <c r="B173" s="6"/>
      <c r="C173" s="13"/>
      <c r="D173" s="13"/>
      <c r="E173" s="13"/>
      <c r="F173" s="14">
        <f t="shared" si="17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6"/>
        <v/>
      </c>
      <c r="B174" s="6"/>
      <c r="C174" s="13"/>
      <c r="D174" s="13"/>
      <c r="E174" s="13"/>
      <c r="F174" s="14">
        <f t="shared" si="17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6"/>
        <v/>
      </c>
      <c r="B175" s="6"/>
      <c r="C175" s="13"/>
      <c r="D175" s="13"/>
      <c r="E175" s="13"/>
      <c r="F175" s="14">
        <f t="shared" si="17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6"/>
        <v/>
      </c>
      <c r="B176" s="6"/>
      <c r="C176" s="13"/>
      <c r="D176" s="13"/>
      <c r="E176" s="13"/>
      <c r="F176" s="14">
        <f t="shared" si="17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6"/>
        <v/>
      </c>
      <c r="B177" s="6"/>
      <c r="C177" s="13"/>
      <c r="D177" s="13"/>
      <c r="E177" s="13"/>
      <c r="F177" s="14">
        <f t="shared" si="17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6"/>
        <v/>
      </c>
      <c r="B178" s="6"/>
      <c r="C178" s="13"/>
      <c r="D178" s="13"/>
      <c r="E178" s="13"/>
      <c r="F178" s="14">
        <f t="shared" si="17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6"/>
        <v/>
      </c>
      <c r="B179" s="6"/>
      <c r="C179" s="13"/>
      <c r="D179" s="13"/>
      <c r="E179" s="13"/>
      <c r="F179" s="14">
        <f t="shared" si="17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6"/>
        <v/>
      </c>
      <c r="B180" s="6"/>
      <c r="C180" s="13"/>
      <c r="D180" s="13"/>
      <c r="E180" s="13"/>
      <c r="F180" s="14">
        <f t="shared" si="17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6"/>
        <v/>
      </c>
      <c r="B181" s="6"/>
      <c r="C181" s="13"/>
      <c r="D181" s="13"/>
      <c r="E181" s="13"/>
      <c r="F181" s="14">
        <f t="shared" si="17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6"/>
        <v/>
      </c>
      <c r="B182" s="6"/>
      <c r="C182" s="13"/>
      <c r="D182" s="13"/>
      <c r="E182" s="13"/>
      <c r="F182" s="14">
        <f t="shared" si="17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6"/>
        <v/>
      </c>
      <c r="B183" s="6"/>
      <c r="C183" s="13"/>
      <c r="D183" s="13"/>
      <c r="E183" s="13"/>
      <c r="F183" s="14">
        <f t="shared" si="17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6"/>
        <v/>
      </c>
      <c r="B184" s="6"/>
      <c r="C184" s="13"/>
      <c r="D184" s="13"/>
      <c r="E184" s="13"/>
      <c r="F184" s="14">
        <f t="shared" si="17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6"/>
        <v/>
      </c>
      <c r="B185" s="6"/>
      <c r="C185" s="13"/>
      <c r="D185" s="13"/>
      <c r="E185" s="13"/>
      <c r="F185" s="14">
        <f t="shared" si="17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6"/>
        <v/>
      </c>
      <c r="B186" s="6"/>
      <c r="C186" s="13"/>
      <c r="D186" s="13"/>
      <c r="E186" s="13"/>
      <c r="F186" s="14">
        <f t="shared" si="17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6"/>
        <v/>
      </c>
      <c r="B187" s="6"/>
      <c r="C187" s="13"/>
      <c r="D187" s="13"/>
      <c r="E187" s="13"/>
      <c r="F187" s="14">
        <f t="shared" si="17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6"/>
        <v/>
      </c>
      <c r="B188" s="6"/>
      <c r="C188" s="13"/>
      <c r="D188" s="13"/>
      <c r="E188" s="13"/>
      <c r="F188" s="14">
        <f t="shared" si="17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6"/>
        <v/>
      </c>
      <c r="B189" s="6"/>
      <c r="C189" s="13"/>
      <c r="D189" s="13"/>
      <c r="E189" s="13"/>
      <c r="F189" s="14">
        <f t="shared" si="17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6"/>
        <v/>
      </c>
      <c r="B190" s="6"/>
      <c r="C190" s="13"/>
      <c r="D190" s="13"/>
      <c r="E190" s="13"/>
      <c r="F190" s="14">
        <f t="shared" si="17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6"/>
        <v/>
      </c>
      <c r="B191" s="6"/>
      <c r="C191" s="13"/>
      <c r="D191" s="13"/>
      <c r="E191" s="13"/>
      <c r="F191" s="14">
        <f t="shared" si="17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6"/>
        <v/>
      </c>
      <c r="B192" s="6"/>
      <c r="C192" s="13"/>
      <c r="D192" s="13"/>
      <c r="E192" s="13"/>
      <c r="F192" s="14">
        <f t="shared" si="17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6"/>
        <v/>
      </c>
      <c r="B193" s="6"/>
      <c r="C193" s="13"/>
      <c r="D193" s="13"/>
      <c r="E193" s="13"/>
      <c r="F193" s="14">
        <f t="shared" si="17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6"/>
        <v/>
      </c>
      <c r="B194" s="6"/>
      <c r="C194" s="13"/>
      <c r="D194" s="13"/>
      <c r="E194" s="13"/>
      <c r="F194" s="14">
        <f t="shared" si="17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8">IF(B195="","",IF(A195="",NOW(),A195))</f>
        <v/>
      </c>
      <c r="B195" s="6"/>
      <c r="C195" s="13"/>
      <c r="D195" s="13"/>
      <c r="E195" s="13"/>
      <c r="F195" s="14">
        <f t="shared" ref="F195:F205" si="19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8"/>
        <v/>
      </c>
      <c r="B196" s="6"/>
      <c r="C196" s="13"/>
      <c r="D196" s="13"/>
      <c r="E196" s="13"/>
      <c r="F196" s="14">
        <f t="shared" si="19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8"/>
        <v/>
      </c>
      <c r="B197" s="6"/>
      <c r="C197" s="13"/>
      <c r="D197" s="13"/>
      <c r="E197" s="13"/>
      <c r="F197" s="14">
        <f t="shared" si="19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8"/>
        <v/>
      </c>
      <c r="B198" s="6"/>
      <c r="C198" s="13"/>
      <c r="D198" s="13"/>
      <c r="E198" s="13"/>
      <c r="F198" s="14">
        <f t="shared" si="19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8"/>
        <v/>
      </c>
      <c r="B199" s="6"/>
      <c r="C199" s="13"/>
      <c r="D199" s="13"/>
      <c r="E199" s="13"/>
      <c r="F199" s="14">
        <f t="shared" si="19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8"/>
        <v/>
      </c>
      <c r="B200" s="6"/>
      <c r="C200" s="13"/>
      <c r="D200" s="13"/>
      <c r="E200" s="13"/>
      <c r="F200" s="14">
        <f t="shared" si="19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8"/>
        <v/>
      </c>
      <c r="B201" s="6"/>
      <c r="C201" s="13"/>
      <c r="D201" s="13"/>
      <c r="E201" s="13"/>
      <c r="F201" s="14">
        <f t="shared" si="19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8"/>
        <v/>
      </c>
      <c r="B202" s="6"/>
      <c r="C202" s="13"/>
      <c r="D202" s="13"/>
      <c r="E202" s="13"/>
      <c r="F202" s="14">
        <f t="shared" si="19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8"/>
        <v/>
      </c>
      <c r="B203" s="6"/>
      <c r="C203" s="13"/>
      <c r="D203" s="13"/>
      <c r="E203" s="13"/>
      <c r="F203" s="14">
        <f t="shared" si="19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8"/>
        <v/>
      </c>
      <c r="B204" s="6"/>
      <c r="C204" s="13"/>
      <c r="D204" s="13"/>
      <c r="E204" s="13"/>
      <c r="F204" s="14">
        <f t="shared" si="19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8"/>
        <v/>
      </c>
      <c r="B205" s="6"/>
      <c r="C205" s="13"/>
      <c r="D205" s="13"/>
      <c r="E205" s="13"/>
      <c r="F205" s="14">
        <f t="shared" si="19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8"/>
        <v/>
      </c>
      <c r="B206" s="6"/>
      <c r="C206" s="13"/>
      <c r="D206" s="13"/>
      <c r="E206" s="13"/>
      <c r="F206" s="14">
        <f t="shared" ref="F206:F269" si="20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8"/>
        <v/>
      </c>
      <c r="B207" s="6"/>
      <c r="C207" s="13"/>
      <c r="D207" s="13"/>
      <c r="E207" s="13"/>
      <c r="F207" s="14">
        <f t="shared" si="20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8"/>
        <v/>
      </c>
      <c r="B208" s="6"/>
      <c r="C208" s="13"/>
      <c r="D208" s="13"/>
      <c r="E208" s="13"/>
      <c r="F208" s="14">
        <f t="shared" si="20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8"/>
        <v/>
      </c>
      <c r="B209" s="6"/>
      <c r="C209" s="13"/>
      <c r="D209" s="13"/>
      <c r="E209" s="13"/>
      <c r="F209" s="14">
        <f t="shared" si="20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8"/>
        <v/>
      </c>
      <c r="B210" s="6"/>
      <c r="C210" s="13"/>
      <c r="D210" s="13"/>
      <c r="E210" s="13"/>
      <c r="F210" s="14">
        <f t="shared" si="20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8"/>
        <v/>
      </c>
      <c r="B211" s="6"/>
      <c r="C211" s="13"/>
      <c r="D211" s="13"/>
      <c r="E211" s="13"/>
      <c r="F211" s="14">
        <f t="shared" si="20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8"/>
        <v/>
      </c>
      <c r="B212" s="6"/>
      <c r="C212" s="13"/>
      <c r="D212" s="13"/>
      <c r="E212" s="13"/>
      <c r="F212" s="14">
        <f t="shared" si="20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8"/>
        <v/>
      </c>
      <c r="B213" s="6"/>
      <c r="C213" s="13"/>
      <c r="D213" s="13"/>
      <c r="E213" s="13"/>
      <c r="F213" s="14">
        <f t="shared" si="20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8"/>
        <v/>
      </c>
      <c r="B214" s="6"/>
      <c r="C214" s="13"/>
      <c r="D214" s="13"/>
      <c r="E214" s="13"/>
      <c r="F214" s="14">
        <f t="shared" si="20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8"/>
        <v/>
      </c>
      <c r="B215" s="6"/>
      <c r="C215" s="13"/>
      <c r="D215" s="13"/>
      <c r="E215" s="13"/>
      <c r="F215" s="14">
        <f t="shared" si="20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8"/>
        <v/>
      </c>
      <c r="B216" s="6"/>
      <c r="C216" s="13"/>
      <c r="D216" s="13"/>
      <c r="E216" s="13"/>
      <c r="F216" s="14">
        <f t="shared" si="20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8"/>
        <v/>
      </c>
      <c r="B217" s="6"/>
      <c r="C217" s="13"/>
      <c r="D217" s="13"/>
      <c r="E217" s="13"/>
      <c r="F217" s="14">
        <f t="shared" si="20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8"/>
        <v/>
      </c>
      <c r="B218" s="6"/>
      <c r="C218" s="13"/>
      <c r="D218" s="13"/>
      <c r="E218" s="13"/>
      <c r="F218" s="14">
        <f t="shared" si="20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8"/>
        <v/>
      </c>
      <c r="B219" s="6"/>
      <c r="C219" s="13"/>
      <c r="D219" s="13"/>
      <c r="E219" s="13"/>
      <c r="F219" s="14">
        <f t="shared" si="20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8"/>
        <v/>
      </c>
      <c r="B220" s="6"/>
      <c r="C220" s="13"/>
      <c r="D220" s="13"/>
      <c r="E220" s="13"/>
      <c r="F220" s="14">
        <f t="shared" si="20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8"/>
        <v/>
      </c>
      <c r="B221" s="6"/>
      <c r="C221" s="13"/>
      <c r="D221" s="13"/>
      <c r="E221" s="13"/>
      <c r="F221" s="14">
        <f t="shared" si="20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8"/>
        <v/>
      </c>
      <c r="B222" s="6"/>
      <c r="C222" s="13"/>
      <c r="D222" s="13"/>
      <c r="E222" s="13"/>
      <c r="F222" s="14">
        <f t="shared" si="20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8"/>
        <v/>
      </c>
      <c r="B223" s="6"/>
      <c r="C223" s="13"/>
      <c r="D223" s="13"/>
      <c r="E223" s="13"/>
      <c r="F223" s="14">
        <f t="shared" si="20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8"/>
        <v/>
      </c>
      <c r="B224" s="6"/>
      <c r="C224" s="13"/>
      <c r="D224" s="13"/>
      <c r="E224" s="13"/>
      <c r="F224" s="14">
        <f t="shared" si="20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8"/>
        <v/>
      </c>
      <c r="B225" s="6"/>
      <c r="C225" s="13"/>
      <c r="D225" s="13"/>
      <c r="E225" s="13"/>
      <c r="F225" s="14">
        <f t="shared" si="20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8"/>
        <v/>
      </c>
      <c r="B226" s="6"/>
      <c r="C226" s="13"/>
      <c r="D226" s="13"/>
      <c r="E226" s="13"/>
      <c r="F226" s="14">
        <f t="shared" si="20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8"/>
        <v/>
      </c>
      <c r="B227" s="6"/>
      <c r="C227" s="13"/>
      <c r="D227" s="13"/>
      <c r="E227" s="13"/>
      <c r="F227" s="14">
        <f t="shared" si="20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8"/>
        <v/>
      </c>
      <c r="B228" s="6"/>
      <c r="C228" s="13"/>
      <c r="D228" s="13"/>
      <c r="E228" s="13"/>
      <c r="F228" s="14">
        <f t="shared" si="20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8"/>
        <v/>
      </c>
      <c r="B229" s="6"/>
      <c r="C229" s="13"/>
      <c r="D229" s="13"/>
      <c r="E229" s="13"/>
      <c r="F229" s="14">
        <f t="shared" si="20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8"/>
        <v/>
      </c>
      <c r="B230" s="6"/>
      <c r="C230" s="13"/>
      <c r="D230" s="13"/>
      <c r="E230" s="13"/>
      <c r="F230" s="14">
        <f t="shared" si="20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8"/>
        <v/>
      </c>
      <c r="B231" s="6"/>
      <c r="C231" s="13"/>
      <c r="D231" s="13"/>
      <c r="E231" s="13"/>
      <c r="F231" s="14">
        <f t="shared" si="20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8"/>
        <v/>
      </c>
      <c r="B232" s="6"/>
      <c r="C232" s="13"/>
      <c r="D232" s="13"/>
      <c r="E232" s="13"/>
      <c r="F232" s="14">
        <f t="shared" si="20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8"/>
        <v/>
      </c>
      <c r="B233" s="6"/>
      <c r="C233" s="13"/>
      <c r="D233" s="13"/>
      <c r="E233" s="13"/>
      <c r="F233" s="14">
        <f t="shared" si="20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8"/>
        <v/>
      </c>
      <c r="B234" s="6"/>
      <c r="C234" s="13"/>
      <c r="D234" s="13"/>
      <c r="E234" s="13"/>
      <c r="F234" s="14">
        <f t="shared" si="20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8"/>
        <v/>
      </c>
      <c r="B235" s="6"/>
      <c r="C235" s="13"/>
      <c r="D235" s="13"/>
      <c r="E235" s="13"/>
      <c r="F235" s="14">
        <f t="shared" si="20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8"/>
        <v/>
      </c>
      <c r="B236" s="6"/>
      <c r="C236" s="13"/>
      <c r="D236" s="13"/>
      <c r="E236" s="13"/>
      <c r="F236" s="14">
        <f t="shared" si="20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8"/>
        <v/>
      </c>
      <c r="B237" s="6"/>
      <c r="C237" s="13"/>
      <c r="D237" s="13"/>
      <c r="E237" s="13"/>
      <c r="F237" s="14">
        <f t="shared" si="20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8"/>
        <v/>
      </c>
      <c r="B238" s="6"/>
      <c r="C238" s="13"/>
      <c r="D238" s="13"/>
      <c r="E238" s="13"/>
      <c r="F238" s="14">
        <f t="shared" si="20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8"/>
        <v/>
      </c>
      <c r="B239" s="6"/>
      <c r="C239" s="13"/>
      <c r="D239" s="13"/>
      <c r="E239" s="13"/>
      <c r="F239" s="14">
        <f t="shared" si="20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8"/>
        <v/>
      </c>
      <c r="B240" s="6"/>
      <c r="C240" s="13"/>
      <c r="D240" s="13"/>
      <c r="E240" s="13"/>
      <c r="F240" s="14">
        <f t="shared" si="20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8"/>
        <v/>
      </c>
      <c r="B241" s="6"/>
      <c r="C241" s="13"/>
      <c r="D241" s="13"/>
      <c r="E241" s="13"/>
      <c r="F241" s="14">
        <f t="shared" si="20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8"/>
        <v/>
      </c>
      <c r="B242" s="6"/>
      <c r="C242" s="13"/>
      <c r="D242" s="13"/>
      <c r="E242" s="13"/>
      <c r="F242" s="14">
        <f t="shared" si="20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8"/>
        <v/>
      </c>
      <c r="B243" s="6"/>
      <c r="C243" s="13"/>
      <c r="D243" s="13"/>
      <c r="E243" s="13"/>
      <c r="F243" s="14">
        <f t="shared" si="20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8"/>
        <v/>
      </c>
      <c r="B244" s="6"/>
      <c r="C244" s="13"/>
      <c r="D244" s="13"/>
      <c r="E244" s="13"/>
      <c r="F244" s="14">
        <f t="shared" si="20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8"/>
        <v/>
      </c>
      <c r="B245" s="6"/>
      <c r="C245" s="13"/>
      <c r="D245" s="13"/>
      <c r="E245" s="13"/>
      <c r="F245" s="14">
        <f t="shared" si="20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8"/>
        <v/>
      </c>
      <c r="B246" s="6"/>
      <c r="C246" s="13"/>
      <c r="D246" s="13"/>
      <c r="E246" s="13"/>
      <c r="F246" s="14">
        <f t="shared" si="20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8"/>
        <v/>
      </c>
      <c r="B247" s="6"/>
      <c r="C247" s="13"/>
      <c r="D247" s="13"/>
      <c r="E247" s="13"/>
      <c r="F247" s="14">
        <f t="shared" si="20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8"/>
        <v/>
      </c>
      <c r="B248" s="6"/>
      <c r="C248" s="13"/>
      <c r="D248" s="13"/>
      <c r="E248" s="13"/>
      <c r="F248" s="14">
        <f t="shared" si="20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8"/>
        <v/>
      </c>
      <c r="B249" s="6"/>
      <c r="C249" s="13"/>
      <c r="D249" s="13"/>
      <c r="E249" s="13"/>
      <c r="F249" s="14">
        <f t="shared" si="20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8"/>
        <v/>
      </c>
      <c r="B250" s="6"/>
      <c r="C250" s="13"/>
      <c r="D250" s="13"/>
      <c r="E250" s="13"/>
      <c r="F250" s="14">
        <f t="shared" si="20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8"/>
        <v/>
      </c>
      <c r="B251" s="6"/>
      <c r="C251" s="13"/>
      <c r="D251" s="13"/>
      <c r="E251" s="13"/>
      <c r="F251" s="14">
        <f t="shared" si="20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8"/>
        <v/>
      </c>
      <c r="B252" s="6"/>
      <c r="C252" s="13"/>
      <c r="D252" s="13"/>
      <c r="E252" s="13"/>
      <c r="F252" s="14">
        <f t="shared" si="20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8"/>
        <v/>
      </c>
      <c r="B253" s="6"/>
      <c r="C253" s="13"/>
      <c r="D253" s="13"/>
      <c r="E253" s="13"/>
      <c r="F253" s="14">
        <f t="shared" si="20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8"/>
        <v/>
      </c>
      <c r="B254" s="6"/>
      <c r="C254" s="13"/>
      <c r="D254" s="13"/>
      <c r="E254" s="13"/>
      <c r="F254" s="14">
        <f t="shared" si="20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8"/>
        <v/>
      </c>
      <c r="B255" s="6"/>
      <c r="C255" s="13"/>
      <c r="D255" s="13"/>
      <c r="E255" s="13"/>
      <c r="F255" s="14">
        <f t="shared" si="20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8"/>
        <v/>
      </c>
      <c r="B256" s="6"/>
      <c r="C256" s="13"/>
      <c r="D256" s="13"/>
      <c r="E256" s="13"/>
      <c r="F256" s="14">
        <f t="shared" si="20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8"/>
        <v/>
      </c>
      <c r="B257" s="6"/>
      <c r="C257" s="13"/>
      <c r="D257" s="13"/>
      <c r="E257" s="13"/>
      <c r="F257" s="14">
        <f t="shared" si="20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8"/>
        <v/>
      </c>
      <c r="B258" s="6"/>
      <c r="C258" s="13"/>
      <c r="D258" s="13"/>
      <c r="E258" s="13"/>
      <c r="F258" s="14">
        <f t="shared" si="20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1">IF(B259="","",IF(A259="",NOW(),A259))</f>
        <v/>
      </c>
      <c r="B259" s="6"/>
      <c r="C259" s="13"/>
      <c r="D259" s="13"/>
      <c r="E259" s="13"/>
      <c r="F259" s="14">
        <f t="shared" si="20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1"/>
        <v/>
      </c>
      <c r="B260" s="6"/>
      <c r="C260" s="13"/>
      <c r="D260" s="13"/>
      <c r="E260" s="13"/>
      <c r="F260" s="14">
        <f t="shared" si="20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1"/>
        <v/>
      </c>
      <c r="B261" s="6"/>
      <c r="C261" s="13"/>
      <c r="D261" s="13"/>
      <c r="E261" s="13"/>
      <c r="F261" s="14">
        <f t="shared" si="20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1"/>
        <v/>
      </c>
      <c r="B262" s="6"/>
      <c r="C262" s="13"/>
      <c r="D262" s="13"/>
      <c r="E262" s="13"/>
      <c r="F262" s="14">
        <f t="shared" si="20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1"/>
        <v/>
      </c>
      <c r="B263" s="6"/>
      <c r="C263" s="13"/>
      <c r="D263" s="13"/>
      <c r="E263" s="13"/>
      <c r="F263" s="14">
        <f t="shared" si="20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1"/>
        <v/>
      </c>
      <c r="B264" s="6"/>
      <c r="C264" s="13"/>
      <c r="D264" s="13"/>
      <c r="E264" s="13"/>
      <c r="F264" s="14">
        <f t="shared" si="20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1"/>
        <v/>
      </c>
      <c r="B265" s="6"/>
      <c r="C265" s="13"/>
      <c r="D265" s="13"/>
      <c r="E265" s="13"/>
      <c r="F265" s="14">
        <f t="shared" si="20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1"/>
        <v/>
      </c>
      <c r="B266" s="6"/>
      <c r="C266" s="13"/>
      <c r="D266" s="13"/>
      <c r="E266" s="13"/>
      <c r="F266" s="14">
        <f t="shared" si="20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1"/>
        <v/>
      </c>
      <c r="B267" s="6"/>
      <c r="C267" s="13"/>
      <c r="D267" s="13"/>
      <c r="E267" s="13"/>
      <c r="F267" s="14">
        <f t="shared" si="20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1"/>
        <v/>
      </c>
      <c r="B268" s="6"/>
      <c r="C268" s="13"/>
      <c r="D268" s="13"/>
      <c r="E268" s="13"/>
      <c r="F268" s="14">
        <f t="shared" si="20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1"/>
        <v/>
      </c>
      <c r="B269" s="6"/>
      <c r="C269" s="13"/>
      <c r="D269" s="13"/>
      <c r="E269" s="13"/>
      <c r="F269" s="14">
        <f t="shared" si="20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1"/>
        <v/>
      </c>
      <c r="B270" s="6"/>
      <c r="C270" s="13"/>
      <c r="D270" s="13"/>
      <c r="E270" s="13"/>
      <c r="F270" s="14">
        <f t="shared" ref="F270:F333" si="22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1"/>
        <v/>
      </c>
      <c r="B271" s="6"/>
      <c r="C271" s="13"/>
      <c r="D271" s="13"/>
      <c r="E271" s="13"/>
      <c r="F271" s="14">
        <f t="shared" si="22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1"/>
        <v/>
      </c>
      <c r="B272" s="6"/>
      <c r="C272" s="13"/>
      <c r="D272" s="13"/>
      <c r="E272" s="13"/>
      <c r="F272" s="14">
        <f t="shared" si="22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1"/>
        <v/>
      </c>
      <c r="B273" s="6"/>
      <c r="C273" s="13"/>
      <c r="D273" s="13"/>
      <c r="E273" s="13"/>
      <c r="F273" s="14">
        <f t="shared" si="22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1"/>
        <v/>
      </c>
      <c r="B274" s="6"/>
      <c r="C274" s="13"/>
      <c r="D274" s="13"/>
      <c r="E274" s="13"/>
      <c r="F274" s="14">
        <f t="shared" si="22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1"/>
        <v/>
      </c>
      <c r="B275" s="6"/>
      <c r="C275" s="13"/>
      <c r="D275" s="13"/>
      <c r="E275" s="13"/>
      <c r="F275" s="14">
        <f t="shared" si="22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1"/>
        <v/>
      </c>
      <c r="B276" s="6"/>
      <c r="C276" s="13"/>
      <c r="D276" s="13"/>
      <c r="E276" s="13"/>
      <c r="F276" s="14">
        <f t="shared" si="22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1"/>
        <v/>
      </c>
      <c r="B277" s="6"/>
      <c r="C277" s="13"/>
      <c r="D277" s="13"/>
      <c r="E277" s="13"/>
      <c r="F277" s="14">
        <f t="shared" si="22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1"/>
        <v/>
      </c>
      <c r="B278" s="6"/>
      <c r="C278" s="13"/>
      <c r="D278" s="13"/>
      <c r="E278" s="13"/>
      <c r="F278" s="14">
        <f t="shared" si="22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1"/>
        <v/>
      </c>
      <c r="B279" s="6"/>
      <c r="C279" s="13"/>
      <c r="D279" s="13"/>
      <c r="E279" s="13"/>
      <c r="F279" s="14">
        <f t="shared" si="22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1"/>
        <v/>
      </c>
      <c r="B280" s="6"/>
      <c r="C280" s="13"/>
      <c r="D280" s="13"/>
      <c r="E280" s="13"/>
      <c r="F280" s="14">
        <f t="shared" si="22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1"/>
        <v/>
      </c>
      <c r="B281" s="6"/>
      <c r="C281" s="13"/>
      <c r="D281" s="13"/>
      <c r="E281" s="13"/>
      <c r="F281" s="14">
        <f t="shared" si="22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1"/>
        <v/>
      </c>
      <c r="B282" s="6"/>
      <c r="C282" s="13"/>
      <c r="D282" s="13"/>
      <c r="E282" s="13"/>
      <c r="F282" s="14">
        <f t="shared" si="22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1"/>
        <v/>
      </c>
      <c r="B283" s="6"/>
      <c r="C283" s="13"/>
      <c r="D283" s="13"/>
      <c r="E283" s="13"/>
      <c r="F283" s="14">
        <f t="shared" si="22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1"/>
        <v/>
      </c>
      <c r="B284" s="6"/>
      <c r="C284" s="13"/>
      <c r="D284" s="13"/>
      <c r="E284" s="13"/>
      <c r="F284" s="14">
        <f t="shared" si="22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1"/>
        <v/>
      </c>
      <c r="B285" s="6"/>
      <c r="C285" s="13"/>
      <c r="D285" s="13"/>
      <c r="E285" s="13"/>
      <c r="F285" s="14">
        <f t="shared" si="22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1"/>
        <v/>
      </c>
      <c r="B286" s="6"/>
      <c r="C286" s="13"/>
      <c r="D286" s="13"/>
      <c r="E286" s="13"/>
      <c r="F286" s="14">
        <f t="shared" si="22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1"/>
        <v/>
      </c>
      <c r="B287" s="6"/>
      <c r="C287" s="13"/>
      <c r="D287" s="13"/>
      <c r="E287" s="13"/>
      <c r="F287" s="14">
        <f t="shared" si="22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1"/>
        <v/>
      </c>
      <c r="B288" s="6"/>
      <c r="C288" s="13"/>
      <c r="D288" s="13"/>
      <c r="E288" s="13"/>
      <c r="F288" s="14">
        <f t="shared" si="22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1"/>
        <v/>
      </c>
      <c r="B289" s="6"/>
      <c r="C289" s="13"/>
      <c r="D289" s="13"/>
      <c r="E289" s="13"/>
      <c r="F289" s="14">
        <f t="shared" si="22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1"/>
        <v/>
      </c>
      <c r="B290" s="6"/>
      <c r="C290" s="13"/>
      <c r="D290" s="13"/>
      <c r="E290" s="13"/>
      <c r="F290" s="14">
        <f t="shared" si="22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1"/>
        <v/>
      </c>
      <c r="B291" s="6"/>
      <c r="C291" s="13"/>
      <c r="D291" s="13"/>
      <c r="E291" s="13"/>
      <c r="F291" s="14">
        <f t="shared" si="22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1"/>
        <v/>
      </c>
      <c r="B292" s="6"/>
      <c r="C292" s="13"/>
      <c r="D292" s="13"/>
      <c r="E292" s="13"/>
      <c r="F292" s="14">
        <f t="shared" si="22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1"/>
        <v/>
      </c>
      <c r="B293" s="6"/>
      <c r="C293" s="13"/>
      <c r="D293" s="13"/>
      <c r="E293" s="13"/>
      <c r="F293" s="14">
        <f t="shared" si="22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1"/>
        <v/>
      </c>
      <c r="B294" s="6"/>
      <c r="C294" s="13"/>
      <c r="D294" s="13"/>
      <c r="E294" s="13"/>
      <c r="F294" s="14">
        <f t="shared" si="22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1"/>
        <v/>
      </c>
      <c r="B295" s="6"/>
      <c r="C295" s="13"/>
      <c r="D295" s="13"/>
      <c r="E295" s="13"/>
      <c r="F295" s="14">
        <f t="shared" si="22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1"/>
        <v/>
      </c>
      <c r="B296" s="6"/>
      <c r="C296" s="13"/>
      <c r="D296" s="13"/>
      <c r="E296" s="13"/>
      <c r="F296" s="14">
        <f t="shared" si="22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1"/>
        <v/>
      </c>
      <c r="B297" s="6"/>
      <c r="C297" s="13"/>
      <c r="D297" s="13"/>
      <c r="E297" s="13"/>
      <c r="F297" s="14">
        <f t="shared" si="22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1"/>
        <v/>
      </c>
      <c r="B298" s="6"/>
      <c r="C298" s="13"/>
      <c r="D298" s="13"/>
      <c r="E298" s="13"/>
      <c r="F298" s="14">
        <f t="shared" si="22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1"/>
        <v/>
      </c>
      <c r="B299" s="6"/>
      <c r="C299" s="13"/>
      <c r="D299" s="13"/>
      <c r="E299" s="13"/>
      <c r="F299" s="14">
        <f t="shared" si="22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1"/>
        <v/>
      </c>
      <c r="B300" s="6"/>
      <c r="C300" s="13"/>
      <c r="D300" s="13"/>
      <c r="E300" s="13"/>
      <c r="F300" s="14">
        <f t="shared" si="22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1"/>
        <v/>
      </c>
      <c r="B301" s="6"/>
      <c r="C301" s="13"/>
      <c r="D301" s="13"/>
      <c r="E301" s="13"/>
      <c r="F301" s="14">
        <f t="shared" si="22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1"/>
        <v/>
      </c>
      <c r="B302" s="6"/>
      <c r="C302" s="13"/>
      <c r="D302" s="13"/>
      <c r="E302" s="13"/>
      <c r="F302" s="14">
        <f t="shared" si="22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1"/>
        <v/>
      </c>
      <c r="B303" s="6"/>
      <c r="C303" s="13"/>
      <c r="D303" s="13"/>
      <c r="E303" s="13"/>
      <c r="F303" s="14">
        <f t="shared" si="22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1"/>
        <v/>
      </c>
      <c r="B304" s="6"/>
      <c r="C304" s="13"/>
      <c r="D304" s="13"/>
      <c r="E304" s="13"/>
      <c r="F304" s="14">
        <f t="shared" si="22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1"/>
        <v/>
      </c>
      <c r="B305" s="6"/>
      <c r="C305" s="13"/>
      <c r="D305" s="13"/>
      <c r="E305" s="13"/>
      <c r="F305" s="14">
        <f t="shared" si="22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1"/>
        <v/>
      </c>
      <c r="B306" s="6"/>
      <c r="C306" s="13"/>
      <c r="D306" s="13"/>
      <c r="E306" s="13"/>
      <c r="F306" s="14">
        <f t="shared" si="22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1"/>
        <v/>
      </c>
      <c r="B307" s="6"/>
      <c r="C307" s="13"/>
      <c r="D307" s="13"/>
      <c r="E307" s="13"/>
      <c r="F307" s="14">
        <f t="shared" si="22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1"/>
        <v/>
      </c>
      <c r="B308" s="6"/>
      <c r="C308" s="13"/>
      <c r="D308" s="13"/>
      <c r="E308" s="13"/>
      <c r="F308" s="14">
        <f t="shared" si="22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1"/>
        <v/>
      </c>
      <c r="B309" s="6"/>
      <c r="C309" s="13"/>
      <c r="D309" s="13"/>
      <c r="E309" s="13"/>
      <c r="F309" s="14">
        <f t="shared" si="22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1"/>
        <v/>
      </c>
      <c r="B310" s="6"/>
      <c r="C310" s="13"/>
      <c r="D310" s="13"/>
      <c r="E310" s="13"/>
      <c r="F310" s="14">
        <f t="shared" si="22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1"/>
        <v/>
      </c>
      <c r="B311" s="6"/>
      <c r="C311" s="13"/>
      <c r="D311" s="13"/>
      <c r="E311" s="13"/>
      <c r="F311" s="14">
        <f t="shared" si="22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1"/>
        <v/>
      </c>
      <c r="B312" s="6"/>
      <c r="C312" s="13"/>
      <c r="D312" s="13"/>
      <c r="E312" s="13"/>
      <c r="F312" s="14">
        <f t="shared" si="22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1"/>
        <v/>
      </c>
      <c r="B313" s="6"/>
      <c r="C313" s="13"/>
      <c r="D313" s="13"/>
      <c r="E313" s="13"/>
      <c r="F313" s="14">
        <f t="shared" si="22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1"/>
        <v/>
      </c>
      <c r="B314" s="6"/>
      <c r="C314" s="13"/>
      <c r="D314" s="13"/>
      <c r="E314" s="13"/>
      <c r="F314" s="14">
        <f t="shared" si="22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1"/>
        <v/>
      </c>
      <c r="B315" s="6"/>
      <c r="C315" s="13"/>
      <c r="D315" s="13"/>
      <c r="E315" s="13"/>
      <c r="F315" s="14">
        <f t="shared" si="22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1"/>
        <v/>
      </c>
      <c r="B316" s="6"/>
      <c r="C316" s="13"/>
      <c r="D316" s="13"/>
      <c r="E316" s="13"/>
      <c r="F316" s="14">
        <f t="shared" si="22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1"/>
        <v/>
      </c>
      <c r="B317" s="6"/>
      <c r="C317" s="13"/>
      <c r="D317" s="13"/>
      <c r="E317" s="13"/>
      <c r="F317" s="14">
        <f t="shared" si="22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1"/>
        <v/>
      </c>
      <c r="B318" s="6"/>
      <c r="C318" s="13"/>
      <c r="D318" s="13"/>
      <c r="E318" s="13"/>
      <c r="F318" s="14">
        <f t="shared" si="22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1"/>
        <v/>
      </c>
      <c r="B319" s="6"/>
      <c r="C319" s="13"/>
      <c r="D319" s="13"/>
      <c r="E319" s="13"/>
      <c r="F319" s="14">
        <f t="shared" si="22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1"/>
        <v/>
      </c>
      <c r="B320" s="6"/>
      <c r="C320" s="13"/>
      <c r="D320" s="13"/>
      <c r="E320" s="13"/>
      <c r="F320" s="14">
        <f t="shared" si="22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1"/>
        <v/>
      </c>
      <c r="B321" s="6"/>
      <c r="C321" s="13"/>
      <c r="D321" s="13"/>
      <c r="E321" s="13"/>
      <c r="F321" s="14">
        <f t="shared" si="22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1"/>
        <v/>
      </c>
      <c r="B322" s="6"/>
      <c r="C322" s="13"/>
      <c r="D322" s="13"/>
      <c r="E322" s="13"/>
      <c r="F322" s="14">
        <f t="shared" si="22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3">IF(B323="","",IF(A323="",NOW(),A323))</f>
        <v/>
      </c>
      <c r="B323" s="6"/>
      <c r="C323" s="13"/>
      <c r="D323" s="13"/>
      <c r="E323" s="13"/>
      <c r="F323" s="14">
        <f t="shared" si="22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3"/>
        <v/>
      </c>
      <c r="B324" s="6"/>
      <c r="C324" s="13"/>
      <c r="D324" s="13"/>
      <c r="E324" s="13"/>
      <c r="F324" s="14">
        <f t="shared" si="22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3"/>
        <v/>
      </c>
      <c r="B325" s="6"/>
      <c r="C325" s="13"/>
      <c r="D325" s="13"/>
      <c r="E325" s="13"/>
      <c r="F325" s="14">
        <f t="shared" si="22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3"/>
        <v/>
      </c>
      <c r="B326" s="6"/>
      <c r="C326" s="13"/>
      <c r="D326" s="13"/>
      <c r="E326" s="13"/>
      <c r="F326" s="14">
        <f t="shared" si="22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3"/>
        <v/>
      </c>
      <c r="B327" s="6"/>
      <c r="C327" s="13"/>
      <c r="D327" s="13"/>
      <c r="E327" s="13"/>
      <c r="F327" s="14">
        <f t="shared" si="22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3"/>
        <v/>
      </c>
      <c r="B328" s="6"/>
      <c r="C328" s="13"/>
      <c r="D328" s="13"/>
      <c r="E328" s="13"/>
      <c r="F328" s="14">
        <f t="shared" si="22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3"/>
        <v/>
      </c>
      <c r="B329" s="6"/>
      <c r="C329" s="13"/>
      <c r="D329" s="13"/>
      <c r="E329" s="13"/>
      <c r="F329" s="14">
        <f t="shared" si="22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3"/>
        <v/>
      </c>
      <c r="B330" s="6"/>
      <c r="C330" s="13"/>
      <c r="D330" s="13"/>
      <c r="E330" s="13"/>
      <c r="F330" s="14">
        <f t="shared" si="22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3"/>
        <v/>
      </c>
      <c r="B331" s="6"/>
      <c r="C331" s="13"/>
      <c r="D331" s="13"/>
      <c r="E331" s="13"/>
      <c r="F331" s="14">
        <f t="shared" si="22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3"/>
        <v/>
      </c>
      <c r="B332" s="6"/>
      <c r="C332" s="13"/>
      <c r="D332" s="13"/>
      <c r="E332" s="13"/>
      <c r="F332" s="14">
        <f t="shared" si="22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3"/>
        <v/>
      </c>
      <c r="B333" s="6"/>
      <c r="C333" s="13"/>
      <c r="D333" s="13"/>
      <c r="E333" s="13"/>
      <c r="F333" s="14">
        <f t="shared" si="22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3"/>
        <v/>
      </c>
      <c r="B334" s="6"/>
      <c r="C334" s="13"/>
      <c r="D334" s="13"/>
      <c r="E334" s="13"/>
      <c r="F334" s="14">
        <f t="shared" ref="F334:F339" si="24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3"/>
        <v/>
      </c>
      <c r="B335" s="6"/>
      <c r="C335" s="13"/>
      <c r="D335" s="13"/>
      <c r="E335" s="13"/>
      <c r="F335" s="14">
        <f t="shared" si="24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3"/>
        <v/>
      </c>
      <c r="B336" s="6"/>
      <c r="C336" s="13"/>
      <c r="D336" s="13"/>
      <c r="E336" s="13"/>
      <c r="F336" s="14">
        <f t="shared" si="24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3"/>
        <v/>
      </c>
      <c r="B337" s="6"/>
      <c r="C337" s="13"/>
      <c r="D337" s="13"/>
      <c r="E337" s="13"/>
      <c r="F337" s="14">
        <f t="shared" si="24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3"/>
        <v/>
      </c>
      <c r="B338" s="6"/>
      <c r="C338" s="13"/>
      <c r="D338" s="13"/>
      <c r="E338" s="13"/>
      <c r="F338" s="14">
        <f t="shared" si="24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3"/>
        <v/>
      </c>
      <c r="B339" s="6"/>
      <c r="C339" s="13"/>
      <c r="D339" s="13"/>
      <c r="E339" s="13"/>
      <c r="F339" s="14">
        <f t="shared" si="24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P339"/>
  <sheetViews>
    <sheetView zoomScale="85" zoomScaleNormal="85" topLeftCell="A10" workbookViewId="0">
      <selection activeCell="E35" sqref="E35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46204.1286449074</v>
      </c>
      <c r="B3" s="6" t="s">
        <v>64</v>
      </c>
      <c r="C3" s="13">
        <v>0.128634259259259</v>
      </c>
      <c r="D3" s="13" t="s">
        <v>65</v>
      </c>
      <c r="E3" s="13">
        <v>0.298993055555556</v>
      </c>
      <c r="F3" s="14">
        <f t="shared" ref="F3:F66" si="1">(IF(E3-C3&lt;0,"24:00"-C3+E3,E3-C3))*24</f>
        <v>4.08861111111111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4.08861111111111</v>
      </c>
      <c r="I3" s="18" t="s">
        <v>66</v>
      </c>
      <c r="J3" s="19">
        <f>SUMIF(B:B,"带班主任",F:F)</f>
        <v>71.6852777777778</v>
      </c>
      <c r="K3" s="20">
        <f>SUMIF(B:B,"带班主任",G:G)</f>
        <v>46.3258333333333</v>
      </c>
      <c r="L3" s="20">
        <f>SUMIF(B:B,"带班主任",H:H)</f>
        <v>25.3594444444444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46206.5860045139</v>
      </c>
      <c r="B4" s="6" t="s">
        <v>64</v>
      </c>
      <c r="C4" s="13">
        <v>0.58599537037037</v>
      </c>
      <c r="D4" s="13" t="s">
        <v>65</v>
      </c>
      <c r="E4" s="13">
        <v>0.833981481481481</v>
      </c>
      <c r="F4" s="14">
        <f t="shared" si="1"/>
        <v>5.95166666666667</v>
      </c>
      <c r="G4" s="15">
        <f t="shared" si="2"/>
        <v>5.95166666666667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13.7655555555556</v>
      </c>
      <c r="K4" s="25">
        <f>SUMIF(B:B,"西塔台管制席",G:G)+SUMIF(B:B,"东塔台管制席",G:G)</f>
        <v>5.40555555555556</v>
      </c>
      <c r="L4" s="25">
        <f>SUMIF(B:B,"西塔台管制席",H:H)+SUMIF(B:B,"东塔台管制席",H:H)</f>
        <v>8.35999999999999</v>
      </c>
      <c r="M4" s="21"/>
    </row>
    <row r="5" ht="18.75" spans="1:13">
      <c r="A5" s="12">
        <f ca="1" t="shared" si="0"/>
        <v>46207.1330856482</v>
      </c>
      <c r="B5" s="6" t="s">
        <v>64</v>
      </c>
      <c r="C5" s="13">
        <v>0.133078703703704</v>
      </c>
      <c r="D5" s="13" t="s">
        <v>65</v>
      </c>
      <c r="E5" s="13">
        <v>0.308969907407407</v>
      </c>
      <c r="F5" s="14">
        <f t="shared" si="1"/>
        <v>4.22138888888889</v>
      </c>
      <c r="G5" s="15">
        <f t="shared" si="2"/>
        <v>0</v>
      </c>
      <c r="H5" s="15">
        <f t="shared" si="3"/>
        <v>4.22138888888889</v>
      </c>
      <c r="I5" s="23" t="s">
        <v>69</v>
      </c>
      <c r="J5" s="24">
        <f>SUMIF(B:B,"西塔台协调席",F:F)+SUMIF(B:B,"东塔台协调席",F:F)</f>
        <v>4.62805555555556</v>
      </c>
      <c r="K5" s="25">
        <f>SUMIF(B:B,"西塔台协调席",G:G)+SUMIF(B:B,"东塔台协调席",G:G)</f>
        <v>2.68833333333334</v>
      </c>
      <c r="L5" s="25">
        <f>SUMIF(B:B,"西塔台协调席",H:H)+SUMIF(B:B,"东塔台协调席",H:H)</f>
        <v>1.93972222222222</v>
      </c>
      <c r="M5" s="21"/>
    </row>
    <row r="6" ht="18.75" spans="1:13">
      <c r="A6" s="12">
        <f ca="1" t="shared" si="0"/>
        <v>46210.9560075231</v>
      </c>
      <c r="B6" s="6" t="s">
        <v>70</v>
      </c>
      <c r="C6" s="13">
        <v>0.956006944444444</v>
      </c>
      <c r="D6" s="13" t="s">
        <v>65</v>
      </c>
      <c r="E6" s="13">
        <v>0.123796296296296</v>
      </c>
      <c r="F6" s="14">
        <f t="shared" si="1"/>
        <v>4.02694444444444</v>
      </c>
      <c r="G6" s="15">
        <f t="shared" si="2"/>
        <v>1.05583333333333</v>
      </c>
      <c r="H6" s="15">
        <f t="shared" si="3"/>
        <v>2.97111111111111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46212.1398306713</v>
      </c>
      <c r="B7" s="6" t="s">
        <v>86</v>
      </c>
      <c r="C7" s="13">
        <v>0.139826388888889</v>
      </c>
      <c r="D7" s="13" t="s">
        <v>65</v>
      </c>
      <c r="E7" s="13">
        <v>0.225891203703704</v>
      </c>
      <c r="F7" s="14">
        <f t="shared" si="1"/>
        <v>2.06555555555556</v>
      </c>
      <c r="G7" s="15">
        <f t="shared" si="2"/>
        <v>0</v>
      </c>
      <c r="H7" s="15">
        <f t="shared" si="3"/>
        <v>2.06555555555556</v>
      </c>
      <c r="I7" s="23" t="s">
        <v>72</v>
      </c>
      <c r="J7" s="24">
        <f>SUMIF(B:B,"地面席",F:F)</f>
        <v>4.05444444444444</v>
      </c>
      <c r="K7" s="25">
        <f>SUMIF(B:B,"地面席",G:G)</f>
        <v>0</v>
      </c>
      <c r="L7" s="25">
        <f>SUMIF(B:B,"地面席",H:H)</f>
        <v>4.05444444444444</v>
      </c>
      <c r="M7" s="21"/>
    </row>
    <row r="8" ht="18.75" spans="1:13">
      <c r="A8" s="12">
        <f ca="1" t="shared" si="0"/>
        <v>46212.2259347222</v>
      </c>
      <c r="B8" s="6" t="s">
        <v>68</v>
      </c>
      <c r="C8" s="13">
        <v>0.225925925925926</v>
      </c>
      <c r="D8" s="13" t="s">
        <v>65</v>
      </c>
      <c r="E8" s="13">
        <v>0.306747685185185</v>
      </c>
      <c r="F8" s="14">
        <f t="shared" si="1"/>
        <v>1.93972222222222</v>
      </c>
      <c r="G8" s="15">
        <f t="shared" si="2"/>
        <v>0</v>
      </c>
      <c r="H8" s="15">
        <f t="shared" si="3"/>
        <v>1.93972222222222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46214.5752795139</v>
      </c>
      <c r="B9" s="6" t="s">
        <v>64</v>
      </c>
      <c r="C9" s="13">
        <v>0.575277777777778</v>
      </c>
      <c r="D9" s="13" t="s">
        <v>65</v>
      </c>
      <c r="E9" s="13">
        <v>0.757349537037037</v>
      </c>
      <c r="F9" s="14">
        <f t="shared" si="1"/>
        <v>4.36972222222222</v>
      </c>
      <c r="G9" s="15">
        <f t="shared" si="2"/>
        <v>4.36972222222222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46214.8676524306</v>
      </c>
      <c r="B10" s="6" t="s">
        <v>64</v>
      </c>
      <c r="C10" s="13">
        <v>0.87181712962963</v>
      </c>
      <c r="D10" s="13" t="s">
        <v>65</v>
      </c>
      <c r="E10" s="13">
        <v>0.937615740740741</v>
      </c>
      <c r="F10" s="14">
        <f t="shared" si="1"/>
        <v>1.57916666666667</v>
      </c>
      <c r="G10" s="15">
        <f t="shared" si="2"/>
        <v>1.57916666666667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46215.1313328704</v>
      </c>
      <c r="B11" s="6" t="s">
        <v>64</v>
      </c>
      <c r="C11" s="13">
        <v>0.131331018518519</v>
      </c>
      <c r="D11" s="13" t="s">
        <v>65</v>
      </c>
      <c r="E11" s="13">
        <v>0.299212962962963</v>
      </c>
      <c r="F11" s="14">
        <f t="shared" si="1"/>
        <v>4.02916666666667</v>
      </c>
      <c r="G11" s="15">
        <f t="shared" si="2"/>
        <v>0</v>
      </c>
      <c r="H11" s="15">
        <f t="shared" si="3"/>
        <v>4.02916666666667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46215.9386865741</v>
      </c>
      <c r="B12" s="6" t="s">
        <v>64</v>
      </c>
      <c r="C12" s="13">
        <v>0.938680555555556</v>
      </c>
      <c r="D12" s="13" t="s">
        <v>65</v>
      </c>
      <c r="E12" s="13">
        <v>0.138240740740741</v>
      </c>
      <c r="F12" s="14">
        <f t="shared" si="1"/>
        <v>4.78944444444445</v>
      </c>
      <c r="G12" s="15">
        <f t="shared" si="2"/>
        <v>1.47166666666667</v>
      </c>
      <c r="H12" s="15">
        <f t="shared" si="3"/>
        <v>3.31777777777778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46218.3550400463</v>
      </c>
      <c r="B13" s="6" t="s">
        <v>64</v>
      </c>
      <c r="C13" s="13">
        <v>0.355034722222222</v>
      </c>
      <c r="D13" s="13" t="s">
        <v>65</v>
      </c>
      <c r="E13" s="13">
        <v>0.539872685185185</v>
      </c>
      <c r="F13" s="14">
        <f t="shared" si="1"/>
        <v>4.43611111111111</v>
      </c>
      <c r="G13" s="15">
        <f t="shared" si="2"/>
        <v>4.43611111111111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46218.6474783565</v>
      </c>
      <c r="B14" s="6" t="s">
        <v>64</v>
      </c>
      <c r="C14" s="13">
        <v>0.647476851851852</v>
      </c>
      <c r="D14" s="13" t="s">
        <v>65</v>
      </c>
      <c r="E14" s="13">
        <v>0.757291666666667</v>
      </c>
      <c r="F14" s="14">
        <f t="shared" si="1"/>
        <v>2.63555555555556</v>
      </c>
      <c r="G14" s="15">
        <f t="shared" si="2"/>
        <v>2.63555555555556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 t="str">
        <f ca="1" t="shared" si="0"/>
        <v/>
      </c>
      <c r="B15" s="6"/>
      <c r="C15" s="13"/>
      <c r="D15" s="13"/>
      <c r="E15" s="13"/>
      <c r="F15" s="14">
        <f t="shared" si="1"/>
        <v>0</v>
      </c>
      <c r="G15" s="15">
        <f t="shared" si="2"/>
        <v>0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46219.5211037037</v>
      </c>
      <c r="B16" s="6" t="s">
        <v>64</v>
      </c>
      <c r="C16" s="13">
        <v>0.521099537037037</v>
      </c>
      <c r="D16" s="13" t="s">
        <v>65</v>
      </c>
      <c r="E16" s="13">
        <v>0.633171296296296</v>
      </c>
      <c r="F16" s="14">
        <f t="shared" si="1"/>
        <v>2.68972222222222</v>
      </c>
      <c r="G16" s="15">
        <f t="shared" si="2"/>
        <v>2.68972222222222</v>
      </c>
      <c r="H16" s="15">
        <f t="shared" si="3"/>
        <v>0</v>
      </c>
      <c r="I16" s="39" t="s">
        <v>66</v>
      </c>
      <c r="J16" s="40">
        <f t="shared" ref="J16:L16" si="4">J3</f>
        <v>71.6852777777778</v>
      </c>
      <c r="K16" s="41">
        <f t="shared" si="4"/>
        <v>46.3258333333333</v>
      </c>
      <c r="L16" s="42">
        <f t="shared" si="4"/>
        <v>25.3594444444444</v>
      </c>
      <c r="M16" s="43"/>
    </row>
    <row r="17" ht="20.25" spans="1:13">
      <c r="A17" s="12">
        <f ca="1" t="shared" si="0"/>
        <v>46219.751191088</v>
      </c>
      <c r="B17" s="6" t="s">
        <v>64</v>
      </c>
      <c r="C17" s="13">
        <v>0.751180555555556</v>
      </c>
      <c r="D17" s="13" t="s">
        <v>65</v>
      </c>
      <c r="E17" s="13">
        <v>0.944756944444444</v>
      </c>
      <c r="F17" s="14">
        <f t="shared" si="1"/>
        <v>4.64583333333333</v>
      </c>
      <c r="G17" s="15">
        <f t="shared" si="2"/>
        <v>4.64583333333333</v>
      </c>
      <c r="H17" s="15">
        <f t="shared" si="3"/>
        <v>0</v>
      </c>
      <c r="I17" s="39" t="s">
        <v>80</v>
      </c>
      <c r="J17" s="40">
        <f>J4+J5+J6+J7+J10</f>
        <v>22.4480555555556</v>
      </c>
      <c r="K17" s="41">
        <f>K4+K5+K6+K7+K10</f>
        <v>8.0938888888889</v>
      </c>
      <c r="L17" s="42">
        <f>L4+L5+L6+L7+L10</f>
        <v>14.3541666666667</v>
      </c>
      <c r="M17" s="43"/>
    </row>
    <row r="18" ht="20.25" spans="1:13">
      <c r="A18" s="12">
        <f ca="1" t="shared" si="0"/>
        <v>46220.2932810185</v>
      </c>
      <c r="B18" s="6" t="s">
        <v>64</v>
      </c>
      <c r="C18" s="13">
        <v>0.293275462962963</v>
      </c>
      <c r="D18" s="13" t="s">
        <v>65</v>
      </c>
      <c r="E18" s="13">
        <v>0.362476851851852</v>
      </c>
      <c r="F18" s="14">
        <f t="shared" si="1"/>
        <v>1.66083333333333</v>
      </c>
      <c r="G18" s="15">
        <f t="shared" si="2"/>
        <v>0.699444444444452</v>
      </c>
      <c r="H18" s="15">
        <f t="shared" si="3"/>
        <v>0.96138888888888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46222.5448111111</v>
      </c>
      <c r="B19" s="6" t="s">
        <v>64</v>
      </c>
      <c r="C19" s="13">
        <v>0.544803240740741</v>
      </c>
      <c r="D19" s="13" t="s">
        <v>65</v>
      </c>
      <c r="E19" s="13">
        <v>0.792048611111111</v>
      </c>
      <c r="F19" s="14">
        <f t="shared" si="1"/>
        <v>5.93388888888889</v>
      </c>
      <c r="G19" s="15">
        <f t="shared" si="2"/>
        <v>5.93388888888889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46223.131806713</v>
      </c>
      <c r="B20" s="6" t="s">
        <v>64</v>
      </c>
      <c r="C20" s="13">
        <v>0.131805555555556</v>
      </c>
      <c r="D20" s="13" t="s">
        <v>65</v>
      </c>
      <c r="E20" s="13">
        <v>0.295740740740741</v>
      </c>
      <c r="F20" s="14">
        <f t="shared" si="1"/>
        <v>3.93444444444444</v>
      </c>
      <c r="G20" s="15">
        <f t="shared" si="2"/>
        <v>0</v>
      </c>
      <c r="H20" s="15">
        <f t="shared" si="3"/>
        <v>3.93444444444444</v>
      </c>
      <c r="I20" s="44" t="s">
        <v>82</v>
      </c>
      <c r="J20" s="45">
        <f>J16+J17+J18+J19</f>
        <v>94.1333333333333</v>
      </c>
      <c r="K20" s="46"/>
      <c r="L20" s="47"/>
      <c r="M20" s="48"/>
    </row>
    <row r="21" ht="20.25" spans="1:13">
      <c r="A21" s="12">
        <f ca="1" t="shared" si="0"/>
        <v>46223.7880584491</v>
      </c>
      <c r="B21" s="6" t="s">
        <v>64</v>
      </c>
      <c r="C21" s="13">
        <v>0.788055555555556</v>
      </c>
      <c r="D21" s="13" t="s">
        <v>65</v>
      </c>
      <c r="E21" s="13">
        <v>0.941527777777778</v>
      </c>
      <c r="F21" s="14">
        <f t="shared" si="1"/>
        <v>3.68333333333333</v>
      </c>
      <c r="G21" s="15">
        <f t="shared" si="2"/>
        <v>3.68333333333333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46224.2981196759</v>
      </c>
      <c r="B22" s="6" t="s">
        <v>64</v>
      </c>
      <c r="C22" s="13">
        <v>0.298113425925926</v>
      </c>
      <c r="D22" s="13" t="s">
        <v>65</v>
      </c>
      <c r="E22" s="13">
        <v>0.363576388888889</v>
      </c>
      <c r="F22" s="14">
        <f t="shared" si="1"/>
        <v>1.57111111111111</v>
      </c>
      <c r="G22" s="15">
        <f t="shared" si="2"/>
        <v>0.725833333333343</v>
      </c>
      <c r="H22" s="15">
        <f t="shared" si="3"/>
        <v>0.845277777777769</v>
      </c>
      <c r="I22"/>
      <c r="J22"/>
    </row>
    <row r="23" ht="18.75" spans="1:10">
      <c r="A23" s="12">
        <f ca="1" t="shared" si="0"/>
        <v>46226.9538119213</v>
      </c>
      <c r="B23" s="6" t="s">
        <v>84</v>
      </c>
      <c r="C23" s="13">
        <v>0.95380787037037</v>
      </c>
      <c r="D23" s="13" t="s">
        <v>65</v>
      </c>
      <c r="E23" s="13">
        <v>0.112511574074074</v>
      </c>
      <c r="F23" s="14">
        <f t="shared" si="1"/>
        <v>3.80888888888889</v>
      </c>
      <c r="G23" s="15">
        <f t="shared" si="2"/>
        <v>1.10861111111111</v>
      </c>
      <c r="H23" s="15">
        <f t="shared" si="3"/>
        <v>2.70027777777778</v>
      </c>
      <c r="I23"/>
      <c r="J23"/>
    </row>
    <row r="24" ht="18.75" spans="1:10">
      <c r="A24" s="12">
        <f ca="1" t="shared" si="0"/>
        <v>46228.1366747685</v>
      </c>
      <c r="B24" s="6" t="s">
        <v>86</v>
      </c>
      <c r="C24" s="13">
        <v>0.136666666666667</v>
      </c>
      <c r="D24" s="13" t="s">
        <v>65</v>
      </c>
      <c r="E24" s="13">
        <v>0.219537037037037</v>
      </c>
      <c r="F24" s="14">
        <f t="shared" si="1"/>
        <v>1.98888888888889</v>
      </c>
      <c r="G24" s="15">
        <f t="shared" si="2"/>
        <v>0</v>
      </c>
      <c r="H24" s="15">
        <f t="shared" si="3"/>
        <v>1.98888888888889</v>
      </c>
      <c r="I24"/>
      <c r="J24"/>
    </row>
    <row r="25" ht="18.75" spans="1:10">
      <c r="A25" s="12">
        <f ca="1" t="shared" si="0"/>
        <v>46228.2256416667</v>
      </c>
      <c r="B25" s="6" t="s">
        <v>70</v>
      </c>
      <c r="C25" s="13">
        <v>0.225729166666667</v>
      </c>
      <c r="D25" s="13" t="s">
        <v>65</v>
      </c>
      <c r="E25" s="13">
        <v>0.304722222222222</v>
      </c>
      <c r="F25" s="14">
        <f t="shared" si="1"/>
        <v>1.89583333333333</v>
      </c>
      <c r="G25" s="15">
        <f t="shared" si="2"/>
        <v>0</v>
      </c>
      <c r="H25" s="15">
        <f t="shared" si="3"/>
        <v>1.89583333333333</v>
      </c>
      <c r="I25"/>
      <c r="J25"/>
    </row>
    <row r="26" ht="18.75" spans="1:10">
      <c r="A26" s="12">
        <f ca="1" t="shared" si="0"/>
        <v>46230.5436825231</v>
      </c>
      <c r="B26" s="6" t="s">
        <v>64</v>
      </c>
      <c r="C26" s="13">
        <v>0.543680555555556</v>
      </c>
      <c r="D26" s="13" t="s">
        <v>65</v>
      </c>
      <c r="E26" s="13">
        <v>0.794351851851852</v>
      </c>
      <c r="F26" s="14">
        <f t="shared" si="1"/>
        <v>6.01611111111111</v>
      </c>
      <c r="G26" s="15">
        <f t="shared" si="2"/>
        <v>6.01611111111111</v>
      </c>
      <c r="H26" s="15">
        <f t="shared" si="3"/>
        <v>0</v>
      </c>
      <c r="I26"/>
      <c r="J26"/>
    </row>
    <row r="27" ht="18.75" spans="1:10">
      <c r="A27" s="12">
        <f ca="1" t="shared" si="0"/>
        <v>46231.1342513889</v>
      </c>
      <c r="B27" s="6" t="s">
        <v>64</v>
      </c>
      <c r="C27" s="13">
        <v>0.134247685185185</v>
      </c>
      <c r="D27" s="13" t="s">
        <v>65</v>
      </c>
      <c r="E27" s="13">
        <v>0.299305555555556</v>
      </c>
      <c r="F27" s="14">
        <f t="shared" si="1"/>
        <v>3.96138888888889</v>
      </c>
      <c r="G27" s="15">
        <f t="shared" si="2"/>
        <v>0</v>
      </c>
      <c r="H27" s="15">
        <f t="shared" si="3"/>
        <v>3.96138888888889</v>
      </c>
      <c r="I27"/>
      <c r="J27"/>
    </row>
    <row r="28" ht="18.75" spans="1:10">
      <c r="A28" s="12">
        <f ca="1" t="shared" si="0"/>
        <v>46231.6490350694</v>
      </c>
      <c r="B28" s="6" t="s">
        <v>83</v>
      </c>
      <c r="C28" s="13">
        <v>0.649027777777778</v>
      </c>
      <c r="D28" s="13" t="s">
        <v>65</v>
      </c>
      <c r="E28" s="13">
        <v>0.761041666666667</v>
      </c>
      <c r="F28" s="14">
        <f t="shared" si="1"/>
        <v>2.68833333333334</v>
      </c>
      <c r="G28" s="15">
        <f t="shared" si="2"/>
        <v>2.68833333333334</v>
      </c>
      <c r="H28" s="15">
        <f t="shared" si="3"/>
        <v>0</v>
      </c>
      <c r="I28"/>
      <c r="J28"/>
    </row>
    <row r="29" ht="18.75" spans="1:10">
      <c r="A29" s="12">
        <f ca="1" t="shared" si="0"/>
        <v>46231.8555888889</v>
      </c>
      <c r="B29" s="6" t="s">
        <v>70</v>
      </c>
      <c r="C29" s="13">
        <v>0.855578703703704</v>
      </c>
      <c r="D29" s="13" t="s">
        <v>65</v>
      </c>
      <c r="E29" s="13">
        <v>0.957997685185185</v>
      </c>
      <c r="F29" s="14">
        <f t="shared" si="1"/>
        <v>2.45805555555556</v>
      </c>
      <c r="G29" s="15">
        <f t="shared" si="2"/>
        <v>2.45805555555556</v>
      </c>
      <c r="H29" s="15">
        <f t="shared" si="3"/>
        <v>0</v>
      </c>
      <c r="I29"/>
      <c r="J29"/>
    </row>
    <row r="30" ht="18.75" spans="1:10">
      <c r="A30" s="12">
        <f ca="1" t="shared" si="0"/>
        <v>46232.3003064815</v>
      </c>
      <c r="B30" s="6" t="s">
        <v>70</v>
      </c>
      <c r="C30" s="13">
        <v>0.300300925925926</v>
      </c>
      <c r="D30" s="13" t="s">
        <v>65</v>
      </c>
      <c r="E30" s="13">
        <v>0.365960648148148</v>
      </c>
      <c r="F30" s="14">
        <f t="shared" si="1"/>
        <v>1.57583333333333</v>
      </c>
      <c r="G30" s="15">
        <f t="shared" si="2"/>
        <v>0.783055555555564</v>
      </c>
      <c r="H30" s="15">
        <f t="shared" si="3"/>
        <v>0.792777777777769</v>
      </c>
      <c r="I30"/>
      <c r="J30"/>
    </row>
    <row r="31" ht="18.75" spans="1:10">
      <c r="A31" s="12">
        <v>46234</v>
      </c>
      <c r="B31" s="6" t="s">
        <v>64</v>
      </c>
      <c r="C31" s="13">
        <v>0.937719907407407</v>
      </c>
      <c r="D31" s="13" t="s">
        <v>65</v>
      </c>
      <c r="E31" s="13">
        <v>0.999710648148148</v>
      </c>
      <c r="F31" s="14">
        <f t="shared" si="1"/>
        <v>1.48777777777778</v>
      </c>
      <c r="G31" s="15">
        <f t="shared" si="2"/>
        <v>1.48777777777778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46204.1360694444</v>
      </c>
      <c r="B3" s="6" t="s">
        <v>70</v>
      </c>
      <c r="C3" s="13">
        <v>0.136064814814815</v>
      </c>
      <c r="D3" s="13" t="s">
        <v>65</v>
      </c>
      <c r="E3" s="13">
        <v>0.2371875</v>
      </c>
      <c r="F3" s="14">
        <f t="shared" ref="F3:F66" si="1">(IF(E3-C3&lt;0,"24:00"-C3+E3,E3-C3))*24</f>
        <v>2.42694444444444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2.42694444444444</v>
      </c>
      <c r="I3" s="18" t="s">
        <v>66</v>
      </c>
      <c r="J3" s="19">
        <f>SUMIF(B:B,"带班主任",F:F)</f>
        <v>89.6502777777778</v>
      </c>
      <c r="K3" s="20">
        <f>SUMIF(B:B,"带班主任",G:G)</f>
        <v>60.7341666666667</v>
      </c>
      <c r="L3" s="20">
        <f>SUMIF(B:B,"带班主任",H:H)</f>
        <v>28.9161111111111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46204.2372256944</v>
      </c>
      <c r="B4" s="6" t="s">
        <v>68</v>
      </c>
      <c r="C4" s="13">
        <v>0.237222222222222</v>
      </c>
      <c r="D4" s="13" t="s">
        <v>65</v>
      </c>
      <c r="E4" s="13">
        <v>0.304594907407407</v>
      </c>
      <c r="F4" s="14">
        <f t="shared" si="1"/>
        <v>1.61694444444444</v>
      </c>
      <c r="G4" s="15">
        <f t="shared" si="2"/>
        <v>0</v>
      </c>
      <c r="H4" s="15">
        <f t="shared" si="3"/>
        <v>1.61694444444444</v>
      </c>
      <c r="I4" s="23" t="s">
        <v>67</v>
      </c>
      <c r="J4" s="24">
        <f>SUMIF(B:B,"西塔台管制席",F:F)+SUMIF(B:B,"东塔台管制席",F:F)</f>
        <v>9.26083333333334</v>
      </c>
      <c r="K4" s="25">
        <f>SUMIF(B:B,"西塔台管制席",G:G)+SUMIF(B:B,"东塔台管制席",G:G)</f>
        <v>4.2</v>
      </c>
      <c r="L4" s="25">
        <f>SUMIF(B:B,"西塔台管制席",H:H)+SUMIF(B:B,"东塔台管制席",H:H)</f>
        <v>5.06083333333333</v>
      </c>
      <c r="M4" s="21"/>
    </row>
    <row r="5" ht="18.75" spans="1:13">
      <c r="A5" s="12">
        <f ca="1" t="shared" si="0"/>
        <v>46206.3565454861</v>
      </c>
      <c r="B5" s="6" t="s">
        <v>64</v>
      </c>
      <c r="C5" s="13">
        <v>0.356539351851852</v>
      </c>
      <c r="D5" s="13" t="s">
        <v>65</v>
      </c>
      <c r="E5" s="13">
        <v>0.593356481481481</v>
      </c>
      <c r="F5" s="14">
        <f t="shared" si="1"/>
        <v>5.68361111111111</v>
      </c>
      <c r="G5" s="15">
        <f t="shared" si="2"/>
        <v>5.68361111111111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7.13305555555555</v>
      </c>
      <c r="K5" s="25">
        <f>SUMIF(B:B,"西塔台协调席",G:G)+SUMIF(B:B,"东塔台协调席",G:G)</f>
        <v>2.11444444444444</v>
      </c>
      <c r="L5" s="25">
        <f>SUMIF(B:B,"西塔台协调席",H:H)+SUMIF(B:B,"东塔台协调席",H:H)</f>
        <v>5.01861111111111</v>
      </c>
      <c r="M5" s="21"/>
    </row>
    <row r="6" ht="18.75" spans="1:13">
      <c r="A6" s="12">
        <f ca="1" t="shared" si="0"/>
        <v>46206.8267696759</v>
      </c>
      <c r="B6" s="6" t="s">
        <v>64</v>
      </c>
      <c r="C6" s="13">
        <v>0.826759259259259</v>
      </c>
      <c r="D6" s="13" t="s">
        <v>65</v>
      </c>
      <c r="E6" s="13">
        <v>0.943310185185185</v>
      </c>
      <c r="F6" s="14">
        <f t="shared" si="1"/>
        <v>2.79722222222222</v>
      </c>
      <c r="G6" s="15">
        <f t="shared" si="2"/>
        <v>2.79722222222222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46207.2994644676</v>
      </c>
      <c r="B7" s="6" t="s">
        <v>64</v>
      </c>
      <c r="C7" s="13">
        <v>0.299456018518518</v>
      </c>
      <c r="D7" s="13" t="s">
        <v>65</v>
      </c>
      <c r="E7" s="13">
        <v>0.550416666666667</v>
      </c>
      <c r="F7" s="14">
        <f t="shared" si="1"/>
        <v>6.02305555555556</v>
      </c>
      <c r="G7" s="15">
        <f t="shared" si="2"/>
        <v>5.21000000000001</v>
      </c>
      <c r="H7" s="15">
        <f t="shared" si="3"/>
        <v>0.813055555555548</v>
      </c>
      <c r="I7" s="23" t="s">
        <v>72</v>
      </c>
      <c r="J7" s="24">
        <f>SUMIF(B:B,"地面席",F:F)</f>
        <v>2.03361111111111</v>
      </c>
      <c r="K7" s="25">
        <f>SUMIF(B:B,"地面席",G:G)</f>
        <v>0</v>
      </c>
      <c r="L7" s="25">
        <f>SUMIF(B:B,"地面席",H:H)</f>
        <v>2.03361111111111</v>
      </c>
      <c r="M7" s="21"/>
    </row>
    <row r="8" ht="18.75" spans="1:13">
      <c r="A8" s="12">
        <f ca="1" t="shared" si="0"/>
        <v>46207.9378219907</v>
      </c>
      <c r="B8" s="6" t="s">
        <v>64</v>
      </c>
      <c r="C8" s="13">
        <v>0.9378125</v>
      </c>
      <c r="D8" s="13" t="s">
        <v>65</v>
      </c>
      <c r="E8" s="13">
        <v>0.139768518518519</v>
      </c>
      <c r="F8" s="14">
        <f t="shared" si="1"/>
        <v>4.84694444444444</v>
      </c>
      <c r="G8" s="15">
        <f t="shared" si="2"/>
        <v>1.4925</v>
      </c>
      <c r="H8" s="15">
        <f t="shared" si="3"/>
        <v>3.35444444444444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46210.9374392361</v>
      </c>
      <c r="B9" s="6" t="s">
        <v>64</v>
      </c>
      <c r="C9" s="13">
        <v>0.937430555555556</v>
      </c>
      <c r="D9" s="13" t="s">
        <v>65</v>
      </c>
      <c r="E9" s="13">
        <v>0.139467592592593</v>
      </c>
      <c r="F9" s="14">
        <f t="shared" si="1"/>
        <v>4.84888888888889</v>
      </c>
      <c r="G9" s="15">
        <f t="shared" si="2"/>
        <v>1.50166666666666</v>
      </c>
      <c r="H9" s="15">
        <f t="shared" si="3"/>
        <v>3.34722222222222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46211.541515162</v>
      </c>
      <c r="B10" s="6" t="s">
        <v>64</v>
      </c>
      <c r="C10" s="13">
        <v>0.54150462962963</v>
      </c>
      <c r="D10" s="13" t="s">
        <v>65</v>
      </c>
      <c r="E10" s="13">
        <v>0.792372685185185</v>
      </c>
      <c r="F10" s="14">
        <f t="shared" si="1"/>
        <v>6.02083333333333</v>
      </c>
      <c r="G10" s="15">
        <f t="shared" si="2"/>
        <v>6.02083333333333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46212.1314016204</v>
      </c>
      <c r="B11" s="6" t="s">
        <v>64</v>
      </c>
      <c r="C11" s="13">
        <v>0.131400462962963</v>
      </c>
      <c r="D11" s="13" t="s">
        <v>65</v>
      </c>
      <c r="E11" s="13">
        <v>0.299178240740741</v>
      </c>
      <c r="F11" s="14">
        <f t="shared" si="1"/>
        <v>4.02666666666667</v>
      </c>
      <c r="G11" s="15">
        <f t="shared" si="2"/>
        <v>0</v>
      </c>
      <c r="H11" s="15">
        <f t="shared" si="3"/>
        <v>4.02666666666667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46215.2476986111</v>
      </c>
      <c r="B12" s="6" t="s">
        <v>70</v>
      </c>
      <c r="C12" s="13">
        <v>0.137974537037037</v>
      </c>
      <c r="D12" s="13" t="s">
        <v>65</v>
      </c>
      <c r="E12" s="13">
        <v>0.247719907407407</v>
      </c>
      <c r="F12" s="14">
        <f t="shared" si="1"/>
        <v>2.63388888888889</v>
      </c>
      <c r="G12" s="15">
        <f t="shared" si="2"/>
        <v>0</v>
      </c>
      <c r="H12" s="15">
        <f t="shared" si="3"/>
        <v>2.63388888888889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46215.2477569444</v>
      </c>
      <c r="B13" s="6" t="s">
        <v>68</v>
      </c>
      <c r="C13" s="13">
        <v>0.24775462962963</v>
      </c>
      <c r="D13" s="13" t="s">
        <v>65</v>
      </c>
      <c r="E13" s="13">
        <v>0.305532407407407</v>
      </c>
      <c r="F13" s="14">
        <f t="shared" si="1"/>
        <v>1.38666666666667</v>
      </c>
      <c r="G13" s="15">
        <f t="shared" si="2"/>
        <v>0</v>
      </c>
      <c r="H13" s="15">
        <f t="shared" si="3"/>
        <v>1.38666666666667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46215.3055668981</v>
      </c>
      <c r="B14" s="6" t="s">
        <v>64</v>
      </c>
      <c r="C14" s="13">
        <v>0.30556712962963</v>
      </c>
      <c r="D14" s="13" t="s">
        <v>65</v>
      </c>
      <c r="E14" s="13">
        <v>0.330474537037037</v>
      </c>
      <c r="F14" s="14">
        <f t="shared" si="1"/>
        <v>0.597777777777778</v>
      </c>
      <c r="G14" s="15">
        <f t="shared" si="2"/>
        <v>0</v>
      </c>
      <c r="H14" s="15">
        <f t="shared" si="3"/>
        <v>0.597777777777778</v>
      </c>
      <c r="I14" s="33"/>
      <c r="J14" s="33"/>
      <c r="K14" s="33"/>
      <c r="L14" s="33"/>
      <c r="M14" s="33"/>
    </row>
    <row r="15" ht="101.25" spans="1:13">
      <c r="A15" s="12">
        <f ca="1" t="shared" si="0"/>
        <v>46216.1303469907</v>
      </c>
      <c r="B15" s="6" t="s">
        <v>64</v>
      </c>
      <c r="C15" s="13">
        <v>0.130347222222222</v>
      </c>
      <c r="D15" s="13" t="s">
        <v>65</v>
      </c>
      <c r="E15" s="13">
        <v>0.295555555555556</v>
      </c>
      <c r="F15" s="14">
        <f t="shared" si="1"/>
        <v>3.965</v>
      </c>
      <c r="G15" s="15">
        <f t="shared" si="2"/>
        <v>0</v>
      </c>
      <c r="H15" s="15">
        <f t="shared" si="3"/>
        <v>3.965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46218.5332525463</v>
      </c>
      <c r="B16" s="6" t="s">
        <v>64</v>
      </c>
      <c r="C16" s="13">
        <v>0.533252314814815</v>
      </c>
      <c r="D16" s="13" t="s">
        <v>65</v>
      </c>
      <c r="E16" s="13">
        <v>0.654108796296296</v>
      </c>
      <c r="F16" s="14">
        <f t="shared" si="1"/>
        <v>2.90055555555555</v>
      </c>
      <c r="G16" s="15">
        <f t="shared" si="2"/>
        <v>2.90055555555555</v>
      </c>
      <c r="H16" s="15">
        <f t="shared" si="3"/>
        <v>0</v>
      </c>
      <c r="I16" s="39" t="s">
        <v>66</v>
      </c>
      <c r="J16" s="40">
        <f t="shared" ref="J16:L16" si="4">J3</f>
        <v>89.6502777777778</v>
      </c>
      <c r="K16" s="41">
        <f t="shared" si="4"/>
        <v>60.7341666666667</v>
      </c>
      <c r="L16" s="42">
        <f t="shared" si="4"/>
        <v>28.9161111111111</v>
      </c>
      <c r="M16" s="43"/>
    </row>
    <row r="17" ht="20.25" spans="1:13">
      <c r="A17" s="12">
        <f ca="1" t="shared" si="0"/>
        <v>46218.7520021991</v>
      </c>
      <c r="B17" s="6" t="s">
        <v>64</v>
      </c>
      <c r="C17" s="13">
        <v>0.752002314814815</v>
      </c>
      <c r="D17" s="13" t="s">
        <v>65</v>
      </c>
      <c r="E17" s="13">
        <v>0.945092592592593</v>
      </c>
      <c r="F17" s="14">
        <f t="shared" si="1"/>
        <v>4.63416666666667</v>
      </c>
      <c r="G17" s="15">
        <f t="shared" si="2"/>
        <v>4.63416666666667</v>
      </c>
      <c r="H17" s="15">
        <f t="shared" si="3"/>
        <v>0</v>
      </c>
      <c r="I17" s="39" t="s">
        <v>80</v>
      </c>
      <c r="J17" s="40">
        <f>J4+J5+J6+J7+J10</f>
        <v>18.4275</v>
      </c>
      <c r="K17" s="41">
        <f>K4+K5+K6+K7+K10</f>
        <v>6.31444444444444</v>
      </c>
      <c r="L17" s="42">
        <f>L4+L5+L6+L7+L10</f>
        <v>12.1130555555556</v>
      </c>
      <c r="M17" s="43"/>
    </row>
    <row r="18" ht="20.25" spans="1:13">
      <c r="A18" s="12">
        <f ca="1" t="shared" si="0"/>
        <v>46219.2924685185</v>
      </c>
      <c r="B18" s="6" t="s">
        <v>64</v>
      </c>
      <c r="C18" s="13">
        <v>0.292465277777778</v>
      </c>
      <c r="D18" s="13" t="s">
        <v>65</v>
      </c>
      <c r="E18" s="13">
        <v>0.528148148148148</v>
      </c>
      <c r="F18" s="14">
        <f t="shared" si="1"/>
        <v>5.65638888888889</v>
      </c>
      <c r="G18" s="15">
        <f t="shared" si="2"/>
        <v>4.67555555555556</v>
      </c>
      <c r="H18" s="15">
        <f t="shared" si="3"/>
        <v>0.980833333333324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46219.6260600694</v>
      </c>
      <c r="B19" s="6" t="s">
        <v>64</v>
      </c>
      <c r="C19" s="13">
        <v>0.626053240740741</v>
      </c>
      <c r="D19" s="13" t="s">
        <v>65</v>
      </c>
      <c r="E19" s="13">
        <v>0.757905092592593</v>
      </c>
      <c r="F19" s="14">
        <f t="shared" si="1"/>
        <v>3.16444444444445</v>
      </c>
      <c r="G19" s="15">
        <f t="shared" si="2"/>
        <v>3.16444444444445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46224.1374104167</v>
      </c>
      <c r="B20" s="6" t="s">
        <v>86</v>
      </c>
      <c r="C20" s="13">
        <v>0.137407407407407</v>
      </c>
      <c r="D20" s="13" t="s">
        <v>65</v>
      </c>
      <c r="E20" s="13">
        <v>0.222141203703704</v>
      </c>
      <c r="F20" s="14">
        <f t="shared" si="1"/>
        <v>2.03361111111111</v>
      </c>
      <c r="G20" s="15">
        <f t="shared" si="2"/>
        <v>0</v>
      </c>
      <c r="H20" s="15">
        <f t="shared" si="3"/>
        <v>2.03361111111111</v>
      </c>
      <c r="I20" s="44" t="s">
        <v>82</v>
      </c>
      <c r="J20" s="45">
        <f>J16+J17+J18+J19</f>
        <v>108.077777777778</v>
      </c>
      <c r="K20" s="46"/>
      <c r="L20" s="47"/>
      <c r="M20" s="48"/>
    </row>
    <row r="21" ht="20.25" spans="1:13">
      <c r="A21" s="12">
        <f ca="1" t="shared" si="0"/>
        <v>46224.2221739583</v>
      </c>
      <c r="B21" s="6" t="s">
        <v>83</v>
      </c>
      <c r="C21" s="13">
        <v>0.222164351851852</v>
      </c>
      <c r="D21" s="13" t="s">
        <v>65</v>
      </c>
      <c r="E21" s="13">
        <v>0.306122685185185</v>
      </c>
      <c r="F21" s="14">
        <f t="shared" si="1"/>
        <v>2.015</v>
      </c>
      <c r="G21" s="15">
        <f t="shared" si="2"/>
        <v>0</v>
      </c>
      <c r="H21" s="15">
        <f t="shared" si="3"/>
        <v>2.015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46226.3577670139</v>
      </c>
      <c r="B22" s="6" t="s">
        <v>64</v>
      </c>
      <c r="C22" s="13">
        <v>0.357766203703704</v>
      </c>
      <c r="D22" s="13" t="s">
        <v>65</v>
      </c>
      <c r="E22" s="13">
        <v>0.547743055555556</v>
      </c>
      <c r="F22" s="14">
        <f t="shared" si="1"/>
        <v>4.55944444444444</v>
      </c>
      <c r="G22" s="15">
        <f t="shared" si="2"/>
        <v>4.55944444444444</v>
      </c>
      <c r="H22" s="15">
        <f t="shared" si="3"/>
        <v>0</v>
      </c>
      <c r="I22"/>
      <c r="J22"/>
    </row>
    <row r="23" ht="18.75" spans="1:10">
      <c r="A23" s="12">
        <f ca="1" t="shared" si="0"/>
        <v>46226.7844824074</v>
      </c>
      <c r="B23" s="6" t="s">
        <v>64</v>
      </c>
      <c r="C23" s="13">
        <v>0.784479166666667</v>
      </c>
      <c r="D23" s="13" t="s">
        <v>65</v>
      </c>
      <c r="E23" s="13">
        <v>0.945752314814815</v>
      </c>
      <c r="F23" s="14">
        <f t="shared" si="1"/>
        <v>3.87055555555555</v>
      </c>
      <c r="G23" s="15">
        <f t="shared" si="2"/>
        <v>3.87055555555555</v>
      </c>
      <c r="H23" s="15">
        <f t="shared" si="3"/>
        <v>0</v>
      </c>
      <c r="I23"/>
      <c r="J23"/>
    </row>
    <row r="24" ht="18.75" spans="1:10">
      <c r="A24" s="12">
        <f ca="1" t="shared" si="0"/>
        <v>46227.2923361111</v>
      </c>
      <c r="B24" s="6" t="s">
        <v>64</v>
      </c>
      <c r="C24" s="13">
        <v>0.292326388888889</v>
      </c>
      <c r="D24" s="13" t="s">
        <v>65</v>
      </c>
      <c r="E24" s="13">
        <v>0.550416666666667</v>
      </c>
      <c r="F24" s="14">
        <f t="shared" si="1"/>
        <v>6.19416666666667</v>
      </c>
      <c r="G24" s="15">
        <f t="shared" si="2"/>
        <v>5.21000000000001</v>
      </c>
      <c r="H24" s="15">
        <f t="shared" si="3"/>
        <v>0.984166666666658</v>
      </c>
      <c r="I24"/>
      <c r="J24"/>
    </row>
    <row r="25" ht="18.75" spans="1:10">
      <c r="A25" s="12">
        <f ca="1" t="shared" si="0"/>
        <v>46227.9367840278</v>
      </c>
      <c r="B25" s="6" t="s">
        <v>64</v>
      </c>
      <c r="C25" s="13">
        <v>0.936782407407407</v>
      </c>
      <c r="D25" s="13" t="s">
        <v>65</v>
      </c>
      <c r="E25" s="13">
        <v>0.1403125</v>
      </c>
      <c r="F25" s="14">
        <f t="shared" si="1"/>
        <v>4.88472222222222</v>
      </c>
      <c r="G25" s="15">
        <f t="shared" si="2"/>
        <v>1.51722222222222</v>
      </c>
      <c r="H25" s="15">
        <f t="shared" si="3"/>
        <v>3.3675</v>
      </c>
      <c r="I25"/>
      <c r="J25"/>
    </row>
    <row r="26" ht="18.75" spans="1:10">
      <c r="A26" s="12">
        <f ca="1" t="shared" si="0"/>
        <v>46230.9377252315</v>
      </c>
      <c r="B26" s="6" t="s">
        <v>64</v>
      </c>
      <c r="C26" s="13">
        <v>0.937719907407407</v>
      </c>
      <c r="D26" s="13" t="s">
        <v>65</v>
      </c>
      <c r="E26" s="13">
        <v>0.14255787037037</v>
      </c>
      <c r="F26" s="14">
        <f t="shared" si="1"/>
        <v>4.91611111111111</v>
      </c>
      <c r="G26" s="15">
        <f t="shared" si="2"/>
        <v>1.49472222222222</v>
      </c>
      <c r="H26" s="15">
        <f t="shared" si="3"/>
        <v>3.42138888888889</v>
      </c>
      <c r="I26"/>
      <c r="J26"/>
    </row>
    <row r="27" ht="18.75" spans="1:10">
      <c r="A27" s="12">
        <f ca="1" t="shared" si="0"/>
        <v>46231.5411275463</v>
      </c>
      <c r="B27" s="6" t="s">
        <v>64</v>
      </c>
      <c r="C27" s="13">
        <v>0.541122685185185</v>
      </c>
      <c r="D27" s="13" t="s">
        <v>65</v>
      </c>
      <c r="E27" s="13">
        <v>0.79119212962963</v>
      </c>
      <c r="F27" s="14">
        <f t="shared" si="1"/>
        <v>6.00166666666667</v>
      </c>
      <c r="G27" s="15">
        <f t="shared" si="2"/>
        <v>6.00166666666667</v>
      </c>
      <c r="H27" s="15">
        <f t="shared" si="3"/>
        <v>0</v>
      </c>
      <c r="I27"/>
      <c r="J27"/>
    </row>
    <row r="28" ht="18.75" spans="1:10">
      <c r="A28" s="12">
        <f ca="1" t="shared" si="0"/>
        <v>46232.1306684028</v>
      </c>
      <c r="B28" s="6" t="s">
        <v>64</v>
      </c>
      <c r="C28" s="13">
        <v>0.130659722222222</v>
      </c>
      <c r="D28" s="13" t="s">
        <v>65</v>
      </c>
      <c r="E28" s="13">
        <v>0.29974537037037</v>
      </c>
      <c r="F28" s="14">
        <f t="shared" si="1"/>
        <v>4.05805555555555</v>
      </c>
      <c r="G28" s="15">
        <f t="shared" si="2"/>
        <v>0</v>
      </c>
      <c r="H28" s="15">
        <f t="shared" si="3"/>
        <v>4.05805555555555</v>
      </c>
      <c r="I28"/>
      <c r="J28"/>
    </row>
    <row r="29" ht="18.75" spans="1:10">
      <c r="A29" s="12">
        <f ca="1" t="shared" si="0"/>
        <v>46234.5207638889</v>
      </c>
      <c r="B29" s="6" t="s">
        <v>84</v>
      </c>
      <c r="C29" s="13">
        <v>0.520763888888889</v>
      </c>
      <c r="D29" s="13" t="s">
        <v>65</v>
      </c>
      <c r="E29" s="13">
        <v>0.695763888888889</v>
      </c>
      <c r="F29" s="14">
        <f t="shared" si="1"/>
        <v>4.2</v>
      </c>
      <c r="G29" s="15">
        <f t="shared" si="2"/>
        <v>4.2</v>
      </c>
      <c r="H29" s="15">
        <f t="shared" si="3"/>
        <v>0</v>
      </c>
      <c r="I29"/>
      <c r="J29"/>
    </row>
    <row r="30" ht="18.75" spans="1:10">
      <c r="A30" s="12">
        <f ca="1" t="shared" si="0"/>
        <v>46234.7713280093</v>
      </c>
      <c r="B30" s="6" t="s">
        <v>68</v>
      </c>
      <c r="C30" s="13">
        <v>0.771354166666667</v>
      </c>
      <c r="D30" s="13" t="s">
        <v>65</v>
      </c>
      <c r="E30" s="13">
        <v>0.859456018518518</v>
      </c>
      <c r="F30" s="14">
        <f t="shared" si="1"/>
        <v>2.11444444444444</v>
      </c>
      <c r="G30" s="15">
        <f t="shared" si="2"/>
        <v>2.11444444444444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P339"/>
  <sheetViews>
    <sheetView zoomScale="85" zoomScaleNormal="85" topLeftCell="A10" workbookViewId="0">
      <selection activeCell="B28" sqref="B28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46204.1334665509</v>
      </c>
      <c r="B3" s="6" t="s">
        <v>85</v>
      </c>
      <c r="C3" s="13">
        <v>0.133460648148148</v>
      </c>
      <c r="D3" s="13" t="s">
        <v>65</v>
      </c>
      <c r="E3" s="13">
        <v>0.230486111111111</v>
      </c>
      <c r="F3" s="14">
        <f t="shared" ref="F3:F66" si="1">(IF(E3-C3&lt;0,"24:00"-C3+E3,E3-C3))*24</f>
        <v>2.32861111111111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2.32861111111111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46207.1376702546</v>
      </c>
      <c r="B4" s="6" t="s">
        <v>86</v>
      </c>
      <c r="C4" s="13">
        <v>0.137662037037037</v>
      </c>
      <c r="D4" s="13" t="s">
        <v>65</v>
      </c>
      <c r="E4" s="13">
        <v>0.277361111111111</v>
      </c>
      <c r="F4" s="14">
        <f t="shared" si="1"/>
        <v>3.35277777777778</v>
      </c>
      <c r="G4" s="15">
        <f t="shared" si="2"/>
        <v>0</v>
      </c>
      <c r="H4" s="15">
        <f t="shared" si="3"/>
        <v>3.35277777777778</v>
      </c>
      <c r="I4" s="23" t="s">
        <v>67</v>
      </c>
      <c r="J4" s="24">
        <f>SUMIF(B:B,"西塔台管制席",F:F)+SUMIF(B:B,"东塔台管制席",F:F)</f>
        <v>38.3</v>
      </c>
      <c r="K4" s="25">
        <f>SUMIF(B:B,"西塔台管制席",G:G)+SUMIF(B:B,"东塔台管制席",G:G)</f>
        <v>18.4586111111111</v>
      </c>
      <c r="L4" s="25">
        <f>SUMIF(B:B,"西塔台管制席",H:H)+SUMIF(B:B,"东塔台管制席",H:H)</f>
        <v>19.8413888888889</v>
      </c>
      <c r="M4" s="21"/>
    </row>
    <row r="5" ht="18.75" spans="1:13">
      <c r="A5" s="12">
        <f ca="1" t="shared" si="0"/>
        <v>46207.9513730324</v>
      </c>
      <c r="B5" s="6" t="s">
        <v>68</v>
      </c>
      <c r="C5" s="13">
        <v>0.951365740740741</v>
      </c>
      <c r="D5" s="13" t="s">
        <v>65</v>
      </c>
      <c r="E5" s="13">
        <v>0.113506944444444</v>
      </c>
      <c r="F5" s="14">
        <f t="shared" si="1"/>
        <v>3.89138888888889</v>
      </c>
      <c r="G5" s="15">
        <f t="shared" si="2"/>
        <v>1.16722222222222</v>
      </c>
      <c r="H5" s="15">
        <f t="shared" si="3"/>
        <v>2.72416666666667</v>
      </c>
      <c r="I5" s="23" t="s">
        <v>69</v>
      </c>
      <c r="J5" s="24">
        <f>SUMIF(B:B,"西塔台协调席",F:F)+SUMIF(B:B,"东塔台协调席",F:F)</f>
        <v>17.2438888888889</v>
      </c>
      <c r="K5" s="25">
        <f>SUMIF(B:B,"西塔台协调席",G:G)+SUMIF(B:B,"东塔台协调席",G:G)</f>
        <v>10.9622222222222</v>
      </c>
      <c r="L5" s="25">
        <f>SUMIF(B:B,"西塔台协调席",H:H)+SUMIF(B:B,"东塔台协调席",H:H)</f>
        <v>6.28166666666666</v>
      </c>
      <c r="M5" s="21"/>
    </row>
    <row r="6" ht="18.75" spans="1:13">
      <c r="A6" s="12">
        <f ca="1" t="shared" si="0"/>
        <v>46210.3758944444</v>
      </c>
      <c r="B6" s="6" t="s">
        <v>87</v>
      </c>
      <c r="C6" s="13">
        <v>0.375891203703704</v>
      </c>
      <c r="D6" s="13" t="s">
        <v>65</v>
      </c>
      <c r="E6" s="13">
        <v>0.411388888888889</v>
      </c>
      <c r="F6" s="14">
        <f t="shared" si="1"/>
        <v>0.851944444444444</v>
      </c>
      <c r="G6" s="15">
        <f t="shared" si="2"/>
        <v>0.851944444444444</v>
      </c>
      <c r="H6" s="15">
        <f t="shared" si="3"/>
        <v>0</v>
      </c>
      <c r="I6" s="23" t="s">
        <v>71</v>
      </c>
      <c r="J6" s="24">
        <f>SUMIF(B:B,"放行席",F:F)</f>
        <v>4.46222222222222</v>
      </c>
      <c r="K6" s="25">
        <f>SUMIF(B:B,"放行席",G:G)</f>
        <v>0</v>
      </c>
      <c r="L6" s="25">
        <f>SUMIF(B:B,"放行席",H:H)</f>
        <v>4.46222222222222</v>
      </c>
      <c r="M6" s="21"/>
    </row>
    <row r="7" ht="18.75" spans="1:13">
      <c r="A7" s="12">
        <f ca="1" t="shared" si="0"/>
        <v>46210.4950090278</v>
      </c>
      <c r="B7" s="6" t="s">
        <v>84</v>
      </c>
      <c r="C7" s="13">
        <v>0.411666666666667</v>
      </c>
      <c r="D7" s="13" t="s">
        <v>65</v>
      </c>
      <c r="E7" s="13">
        <v>0.495173611111111</v>
      </c>
      <c r="F7" s="14">
        <f t="shared" si="1"/>
        <v>2.00416666666667</v>
      </c>
      <c r="G7" s="15">
        <f t="shared" si="2"/>
        <v>2.00416666666667</v>
      </c>
      <c r="H7" s="15">
        <f t="shared" si="3"/>
        <v>0</v>
      </c>
      <c r="I7" s="23" t="s">
        <v>72</v>
      </c>
      <c r="J7" s="24">
        <f>SUMIF(B:B,"地面席",F:F)</f>
        <v>3.35277777777778</v>
      </c>
      <c r="K7" s="25">
        <f>SUMIF(B:B,"地面席",G:G)</f>
        <v>0</v>
      </c>
      <c r="L7" s="25">
        <f>SUMIF(B:B,"地面席",H:H)</f>
        <v>3.35277777777778</v>
      </c>
      <c r="M7" s="21"/>
    </row>
    <row r="8" ht="18.75" spans="1:13">
      <c r="A8" s="12">
        <f ca="1" t="shared" si="0"/>
        <v>46210.5573571759</v>
      </c>
      <c r="B8" s="6" t="s">
        <v>87</v>
      </c>
      <c r="C8" s="13">
        <v>0.557349537037037</v>
      </c>
      <c r="D8" s="13" t="s">
        <v>65</v>
      </c>
      <c r="E8" s="13">
        <v>0.737233796296296</v>
      </c>
      <c r="F8" s="14">
        <f t="shared" si="1"/>
        <v>4.31722222222222</v>
      </c>
      <c r="G8" s="15">
        <f t="shared" si="2"/>
        <v>4.31722222222222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46211.374672338</v>
      </c>
      <c r="B9" s="6" t="s">
        <v>87</v>
      </c>
      <c r="C9" s="13">
        <v>0.374664351851852</v>
      </c>
      <c r="D9" s="13" t="s">
        <v>65</v>
      </c>
      <c r="E9" s="13">
        <v>0.467581018518519</v>
      </c>
      <c r="F9" s="14">
        <f t="shared" si="1"/>
        <v>2.23</v>
      </c>
      <c r="G9" s="15">
        <f t="shared" si="2"/>
        <v>2.23</v>
      </c>
      <c r="H9" s="15">
        <f t="shared" si="3"/>
        <v>0</v>
      </c>
      <c r="I9" s="23" t="s">
        <v>74</v>
      </c>
      <c r="J9" s="24">
        <f>SUMIF(B:B,"航班调度席",F:F)</f>
        <v>10.8963888888889</v>
      </c>
      <c r="K9" s="25">
        <f>SUMIF(B:B,"航班调度席",G:G)</f>
        <v>10.8963888888889</v>
      </c>
      <c r="L9" s="25">
        <f>SUMIF(B:B,"航班调度席",H:H)</f>
        <v>0</v>
      </c>
      <c r="M9" s="21"/>
    </row>
    <row r="10" ht="18.75" spans="1:13">
      <c r="A10" s="12">
        <f ca="1" t="shared" si="0"/>
        <v>46211.5858229167</v>
      </c>
      <c r="B10" s="6" t="s">
        <v>87</v>
      </c>
      <c r="C10" s="13">
        <v>0.585821759259259</v>
      </c>
      <c r="D10" s="13" t="s">
        <v>65</v>
      </c>
      <c r="E10" s="13">
        <v>0.731539351851852</v>
      </c>
      <c r="F10" s="14">
        <f t="shared" si="1"/>
        <v>3.49722222222222</v>
      </c>
      <c r="G10" s="15">
        <f t="shared" si="2"/>
        <v>3.49722222222222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46215.0159799769</v>
      </c>
      <c r="B11" s="6" t="s">
        <v>70</v>
      </c>
      <c r="C11" s="13">
        <v>0.0159722222222222</v>
      </c>
      <c r="D11" s="13" t="s">
        <v>65</v>
      </c>
      <c r="E11" s="13">
        <v>0.146064814814815</v>
      </c>
      <c r="F11" s="14">
        <f t="shared" si="1"/>
        <v>3.12222222222222</v>
      </c>
      <c r="G11" s="15">
        <f t="shared" si="2"/>
        <v>0</v>
      </c>
      <c r="H11" s="15">
        <f t="shared" si="3"/>
        <v>3.12222222222222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46215.9509775463</v>
      </c>
      <c r="B12" s="6" t="s">
        <v>84</v>
      </c>
      <c r="C12" s="13">
        <v>0.950972222222222</v>
      </c>
      <c r="D12" s="13" t="s">
        <v>65</v>
      </c>
      <c r="E12" s="13">
        <v>0.123414351851852</v>
      </c>
      <c r="F12" s="14">
        <f t="shared" si="1"/>
        <v>4.13861111111111</v>
      </c>
      <c r="G12" s="15">
        <f t="shared" si="2"/>
        <v>1.17666666666667</v>
      </c>
      <c r="H12" s="15">
        <f t="shared" si="3"/>
        <v>2.96194444444444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46219.1397755787</v>
      </c>
      <c r="B13" s="6" t="s">
        <v>70</v>
      </c>
      <c r="C13" s="13">
        <v>0.139768518518519</v>
      </c>
      <c r="D13" s="13" t="s">
        <v>65</v>
      </c>
      <c r="E13" s="13">
        <v>0.304733796296296</v>
      </c>
      <c r="F13" s="14">
        <f t="shared" si="1"/>
        <v>3.95916666666667</v>
      </c>
      <c r="G13" s="15">
        <f t="shared" si="2"/>
        <v>0</v>
      </c>
      <c r="H13" s="15">
        <f t="shared" si="3"/>
        <v>3.95916666666667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46219.9513233796</v>
      </c>
      <c r="B14" s="6" t="s">
        <v>70</v>
      </c>
      <c r="C14" s="13">
        <v>0.951319444444444</v>
      </c>
      <c r="D14" s="13" t="s">
        <v>65</v>
      </c>
      <c r="E14" s="13">
        <v>0.114490740740741</v>
      </c>
      <c r="F14" s="14">
        <f t="shared" si="1"/>
        <v>3.91611111111111</v>
      </c>
      <c r="G14" s="15">
        <f t="shared" si="2"/>
        <v>1.16833333333333</v>
      </c>
      <c r="H14" s="15">
        <f t="shared" si="3"/>
        <v>2.74777777777778</v>
      </c>
      <c r="I14" s="33"/>
      <c r="J14" s="33"/>
      <c r="K14" s="33"/>
      <c r="L14" s="33"/>
      <c r="M14" s="33"/>
    </row>
    <row r="15" ht="101.25" spans="1:13">
      <c r="A15" s="12">
        <f ca="1" t="shared" si="0"/>
        <v>46222.3541232639</v>
      </c>
      <c r="B15" s="6" t="s">
        <v>84</v>
      </c>
      <c r="C15" s="13">
        <v>0.352256944444444</v>
      </c>
      <c r="D15" s="13" t="s">
        <v>65</v>
      </c>
      <c r="E15" s="13">
        <v>0.382604166666667</v>
      </c>
      <c r="F15" s="14">
        <f t="shared" si="1"/>
        <v>0.728333333333331</v>
      </c>
      <c r="G15" s="15">
        <f t="shared" si="2"/>
        <v>0.728333333333331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46222.3826645833</v>
      </c>
      <c r="B16" s="6" t="s">
        <v>70</v>
      </c>
      <c r="C16" s="13">
        <v>0.382662037037037</v>
      </c>
      <c r="D16" s="13" t="s">
        <v>65</v>
      </c>
      <c r="E16" s="13">
        <v>0.528391203703704</v>
      </c>
      <c r="F16" s="14">
        <f t="shared" si="1"/>
        <v>3.4975</v>
      </c>
      <c r="G16" s="15">
        <f t="shared" si="2"/>
        <v>3.4975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46222.6877077546</v>
      </c>
      <c r="B17" s="6" t="s">
        <v>83</v>
      </c>
      <c r="C17" s="13">
        <v>0.687708333333333</v>
      </c>
      <c r="D17" s="13" t="s">
        <v>65</v>
      </c>
      <c r="E17" s="13">
        <v>0.778726851851852</v>
      </c>
      <c r="F17" s="14">
        <f t="shared" si="1"/>
        <v>2.18444444444445</v>
      </c>
      <c r="G17" s="15">
        <f t="shared" si="2"/>
        <v>2.18444444444445</v>
      </c>
      <c r="H17" s="15">
        <f t="shared" si="3"/>
        <v>0</v>
      </c>
      <c r="I17" s="39" t="s">
        <v>80</v>
      </c>
      <c r="J17" s="40">
        <f>J4+J5+J6+J7+J10</f>
        <v>63.3588888888889</v>
      </c>
      <c r="K17" s="41">
        <f>K4+K5+K6+K7+K10</f>
        <v>29.4208333333333</v>
      </c>
      <c r="L17" s="42">
        <f>L4+L5+L6+L7+L10</f>
        <v>33.9380555555556</v>
      </c>
      <c r="M17" s="43"/>
    </row>
    <row r="18" ht="20.25" spans="1:13">
      <c r="A18" s="12">
        <f ca="1" t="shared" si="0"/>
        <v>46222.8566803241</v>
      </c>
      <c r="B18" s="6" t="s">
        <v>70</v>
      </c>
      <c r="C18" s="13">
        <v>0.856678240740741</v>
      </c>
      <c r="D18" s="13" t="s">
        <v>65</v>
      </c>
      <c r="E18" s="13">
        <v>0.957615740740741</v>
      </c>
      <c r="F18" s="14">
        <f t="shared" si="1"/>
        <v>2.4225</v>
      </c>
      <c r="G18" s="15">
        <f t="shared" si="2"/>
        <v>2.4225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46223.3009423611</v>
      </c>
      <c r="B19" s="6" t="s">
        <v>68</v>
      </c>
      <c r="C19" s="13">
        <v>0.3009375</v>
      </c>
      <c r="D19" s="13" t="s">
        <v>65</v>
      </c>
      <c r="E19" s="13">
        <v>0.42369212962963</v>
      </c>
      <c r="F19" s="14">
        <f t="shared" si="1"/>
        <v>2.94611111111111</v>
      </c>
      <c r="G19" s="15">
        <f t="shared" si="2"/>
        <v>2.16861111111112</v>
      </c>
      <c r="H19" s="15">
        <f t="shared" si="3"/>
        <v>0.777499999999991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46223.5220716435</v>
      </c>
      <c r="B20" s="6" t="s">
        <v>84</v>
      </c>
      <c r="C20" s="13">
        <v>0.522071759259259</v>
      </c>
      <c r="D20" s="13" t="s">
        <v>65</v>
      </c>
      <c r="E20" s="13">
        <v>0.59744212962963</v>
      </c>
      <c r="F20" s="14">
        <f t="shared" si="1"/>
        <v>1.80888888888889</v>
      </c>
      <c r="G20" s="15">
        <f t="shared" si="2"/>
        <v>1.80888888888889</v>
      </c>
      <c r="H20" s="15">
        <f t="shared" si="3"/>
        <v>0</v>
      </c>
      <c r="I20" s="44" t="s">
        <v>82</v>
      </c>
      <c r="J20" s="45">
        <f>J16+J17+J18+J19</f>
        <v>63.3588888888889</v>
      </c>
      <c r="K20" s="46"/>
      <c r="L20" s="47"/>
      <c r="M20" s="48"/>
    </row>
    <row r="21" ht="20.25" spans="1:13">
      <c r="A21" s="12">
        <f ca="1" t="shared" si="0"/>
        <v>46223.772583912</v>
      </c>
      <c r="B21" s="6" t="s">
        <v>84</v>
      </c>
      <c r="C21" s="13">
        <v>0.772581018518518</v>
      </c>
      <c r="D21" s="13" t="s">
        <v>65</v>
      </c>
      <c r="E21" s="13">
        <v>0.862858796296296</v>
      </c>
      <c r="F21" s="14">
        <f t="shared" si="1"/>
        <v>2.16666666666667</v>
      </c>
      <c r="G21" s="15">
        <f t="shared" si="2"/>
        <v>2.16666666666667</v>
      </c>
      <c r="H21" s="15">
        <f t="shared" si="3"/>
        <v>0</v>
      </c>
      <c r="I21" s="49" t="s">
        <v>5</v>
      </c>
      <c r="J21" s="50">
        <f>SUM(J8:J9)</f>
        <v>10.8963888888889</v>
      </c>
      <c r="K21" s="41">
        <f>SUM(K8:K9)</f>
        <v>10.8963888888889</v>
      </c>
      <c r="L21" s="42">
        <f>SUM(L8:L9)</f>
        <v>0</v>
      </c>
      <c r="M21" s="51"/>
    </row>
    <row r="22" ht="18.75" spans="1:10">
      <c r="A22" s="12">
        <f ca="1" t="shared" si="0"/>
        <v>46227.0150724537</v>
      </c>
      <c r="B22" s="6" t="s">
        <v>70</v>
      </c>
      <c r="C22" s="13">
        <v>0.0151273148148148</v>
      </c>
      <c r="D22" s="13" t="s">
        <v>65</v>
      </c>
      <c r="E22" s="13">
        <v>0.142800925925926</v>
      </c>
      <c r="F22" s="14">
        <f t="shared" si="1"/>
        <v>3.06416666666667</v>
      </c>
      <c r="G22" s="15">
        <f t="shared" si="2"/>
        <v>0</v>
      </c>
      <c r="H22" s="15">
        <f t="shared" si="3"/>
        <v>3.06416666666667</v>
      </c>
      <c r="I22"/>
      <c r="J22"/>
    </row>
    <row r="23" ht="18.75" spans="1:10">
      <c r="A23" s="12">
        <f ca="1" t="shared" si="0"/>
        <v>46228.1344386574</v>
      </c>
      <c r="B23" s="6" t="s">
        <v>85</v>
      </c>
      <c r="C23" s="13">
        <v>0.13443287037037</v>
      </c>
      <c r="D23" s="13" t="s">
        <v>65</v>
      </c>
      <c r="E23" s="13">
        <v>0.223333333333333</v>
      </c>
      <c r="F23" s="14">
        <f t="shared" si="1"/>
        <v>2.13361111111111</v>
      </c>
      <c r="G23" s="15">
        <f t="shared" si="2"/>
        <v>0</v>
      </c>
      <c r="H23" s="15">
        <f t="shared" si="3"/>
        <v>2.13361111111111</v>
      </c>
      <c r="I23"/>
      <c r="J23"/>
    </row>
    <row r="24" ht="18.75" spans="1:10">
      <c r="A24" s="12">
        <f ca="1" t="shared" si="0"/>
        <v>46231.139240162</v>
      </c>
      <c r="B24" s="6" t="s">
        <v>70</v>
      </c>
      <c r="C24" s="13">
        <v>0.139236111111111</v>
      </c>
      <c r="D24" s="13" t="s">
        <v>65</v>
      </c>
      <c r="E24" s="13">
        <v>0.305324074074074</v>
      </c>
      <c r="F24" s="14">
        <f t="shared" si="1"/>
        <v>3.98611111111111</v>
      </c>
      <c r="G24" s="15">
        <f t="shared" si="2"/>
        <v>0</v>
      </c>
      <c r="H24" s="15">
        <f t="shared" si="3"/>
        <v>3.98611111111111</v>
      </c>
      <c r="I24"/>
      <c r="J24"/>
    </row>
    <row r="25" ht="18.75" spans="1:10">
      <c r="A25" s="12">
        <f ca="1" t="shared" si="0"/>
        <v>46231.9752319444</v>
      </c>
      <c r="B25" s="6" t="s">
        <v>83</v>
      </c>
      <c r="C25" s="13">
        <v>0.975231481481481</v>
      </c>
      <c r="D25" s="13" t="s">
        <v>65</v>
      </c>
      <c r="E25" s="13">
        <v>0.115833333333333</v>
      </c>
      <c r="F25" s="14">
        <f t="shared" si="1"/>
        <v>3.37444444444445</v>
      </c>
      <c r="G25" s="15">
        <f t="shared" si="2"/>
        <v>0.594444444444446</v>
      </c>
      <c r="H25" s="15">
        <f t="shared" si="3"/>
        <v>2.78</v>
      </c>
      <c r="I25"/>
      <c r="J25"/>
    </row>
    <row r="26" ht="18.75" spans="1:10">
      <c r="A26" s="12">
        <f ca="1" t="shared" si="0"/>
        <v>46234.3544793981</v>
      </c>
      <c r="B26" s="6" t="s">
        <v>68</v>
      </c>
      <c r="C26" s="13">
        <v>0.354479166666667</v>
      </c>
      <c r="D26" s="13" t="s">
        <v>65</v>
      </c>
      <c r="E26" s="13">
        <v>0.509675925925926</v>
      </c>
      <c r="F26" s="14">
        <f t="shared" si="1"/>
        <v>3.72472222222222</v>
      </c>
      <c r="G26" s="15">
        <f t="shared" si="2"/>
        <v>3.72472222222222</v>
      </c>
      <c r="H26" s="15">
        <f t="shared" si="3"/>
        <v>0</v>
      </c>
      <c r="I26"/>
      <c r="J26"/>
    </row>
    <row r="27" ht="18.75" spans="1:10">
      <c r="A27" s="12">
        <f ca="1" t="shared" si="0"/>
        <v>46234.7303920139</v>
      </c>
      <c r="B27" s="6" t="s">
        <v>68</v>
      </c>
      <c r="C27" s="13">
        <v>0.730381944444444</v>
      </c>
      <c r="D27" s="13" t="s">
        <v>65</v>
      </c>
      <c r="E27" s="13">
        <v>0.777164351851852</v>
      </c>
      <c r="F27" s="14">
        <f t="shared" si="1"/>
        <v>1.12277777777778</v>
      </c>
      <c r="G27" s="15">
        <f t="shared" si="2"/>
        <v>1.12277777777778</v>
      </c>
      <c r="H27" s="15">
        <f t="shared" si="3"/>
        <v>0</v>
      </c>
      <c r="I27"/>
      <c r="J27"/>
    </row>
    <row r="28" ht="18.75" spans="1:10">
      <c r="A28" s="12">
        <f ca="1" t="shared" si="0"/>
        <v>46234.8547704861</v>
      </c>
      <c r="B28" s="6" t="s">
        <v>84</v>
      </c>
      <c r="C28" s="13">
        <v>0.854768518518518</v>
      </c>
      <c r="D28" s="13"/>
      <c r="E28" s="13"/>
      <c r="F28" s="14">
        <f t="shared" si="1"/>
        <v>3.48555555555556</v>
      </c>
      <c r="G28" s="15">
        <f t="shared" si="2"/>
        <v>3.48555555555556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P339"/>
  <sheetViews>
    <sheetView zoomScale="85" zoomScaleNormal="85" workbookViewId="0">
      <selection activeCell="B23" sqref="B23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46204.3816150463</v>
      </c>
      <c r="B3" s="6" t="s">
        <v>88</v>
      </c>
      <c r="C3" s="13">
        <v>0.381608796296296</v>
      </c>
      <c r="D3" s="13" t="s">
        <v>65</v>
      </c>
      <c r="E3" s="13">
        <v>0.499837962962963</v>
      </c>
      <c r="F3" s="14">
        <f t="shared" ref="F3:F66" si="1">(IF(E3-C3&lt;0,"24:00"-C3+E3,E3-C3))*24</f>
        <v>2.8375</v>
      </c>
      <c r="G3" s="15">
        <f t="shared" ref="G3:G66" si="2">F3-H3</f>
        <v>2.8375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46204.5239127315</v>
      </c>
      <c r="B4" s="6" t="s">
        <v>88</v>
      </c>
      <c r="C4" s="13">
        <v>0.523912037037037</v>
      </c>
      <c r="D4" s="13" t="s">
        <v>65</v>
      </c>
      <c r="E4" s="13">
        <v>0.549212962962963</v>
      </c>
      <c r="F4" s="14">
        <f t="shared" si="1"/>
        <v>0.607222222222222</v>
      </c>
      <c r="G4" s="15">
        <f t="shared" si="2"/>
        <v>0.607222222222222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0</v>
      </c>
      <c r="K4" s="25">
        <f>SUMIF(B:B,"西塔台管制席",G:G)+SUMIF(B:B,"东塔台管制席",G:G)</f>
        <v>0</v>
      </c>
      <c r="L4" s="25">
        <f>SUMIF(B:B,"西塔台管制席",H:H)+SUMIF(B:B,"东塔台管制席",H:H)</f>
        <v>0</v>
      </c>
      <c r="M4" s="21"/>
    </row>
    <row r="5" ht="18.75" spans="1:13">
      <c r="A5" s="12">
        <f ca="1" t="shared" si="0"/>
        <v>46205.3651885417</v>
      </c>
      <c r="B5" s="6" t="s">
        <v>88</v>
      </c>
      <c r="C5" s="13">
        <v>0.365185185185185</v>
      </c>
      <c r="D5" s="13" t="s">
        <v>65</v>
      </c>
      <c r="E5" s="13">
        <v>0.447951388888889</v>
      </c>
      <c r="F5" s="14">
        <f t="shared" si="1"/>
        <v>1.98638888888889</v>
      </c>
      <c r="G5" s="15">
        <f t="shared" si="2"/>
        <v>1.98638888888889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0</v>
      </c>
      <c r="K5" s="25">
        <f>SUMIF(B:B,"西塔台协调席",G:G)+SUMIF(B:B,"东塔台协调席",G:G)</f>
        <v>0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46210.36350625</v>
      </c>
      <c r="B6" s="6" t="s">
        <v>88</v>
      </c>
      <c r="C6" s="13">
        <v>0.36349537037037</v>
      </c>
      <c r="D6" s="13" t="s">
        <v>65</v>
      </c>
      <c r="E6" s="13">
        <v>0.455</v>
      </c>
      <c r="F6" s="14">
        <f t="shared" si="1"/>
        <v>2.19611111111111</v>
      </c>
      <c r="G6" s="15">
        <f t="shared" si="2"/>
        <v>2.19611111111111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46210.620340625</v>
      </c>
      <c r="B7" s="6" t="s">
        <v>88</v>
      </c>
      <c r="C7" s="13">
        <v>0.620335648148148</v>
      </c>
      <c r="D7" s="13" t="s">
        <v>65</v>
      </c>
      <c r="E7" s="13">
        <v>0.709328703703704</v>
      </c>
      <c r="F7" s="14">
        <f t="shared" si="1"/>
        <v>2.13583333333333</v>
      </c>
      <c r="G7" s="15">
        <f t="shared" si="2"/>
        <v>2.13583333333333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46212.3663023148</v>
      </c>
      <c r="B8" s="6" t="s">
        <v>88</v>
      </c>
      <c r="C8" s="13">
        <v>0.366296296296296</v>
      </c>
      <c r="D8" s="13" t="s">
        <v>65</v>
      </c>
      <c r="E8" s="13">
        <v>0.483287037037037</v>
      </c>
      <c r="F8" s="14">
        <f t="shared" si="1"/>
        <v>2.80777777777778</v>
      </c>
      <c r="G8" s="15">
        <f t="shared" si="2"/>
        <v>2.80777777777778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46215.7068428241</v>
      </c>
      <c r="B9" s="6" t="s">
        <v>88</v>
      </c>
      <c r="C9" s="13">
        <v>0.706840277777778</v>
      </c>
      <c r="D9" s="13" t="s">
        <v>65</v>
      </c>
      <c r="E9" s="13">
        <v>0.761527777777778</v>
      </c>
      <c r="F9" s="14">
        <f t="shared" si="1"/>
        <v>1.3125</v>
      </c>
      <c r="G9" s="15">
        <f t="shared" si="2"/>
        <v>1.3125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46215.9846012732</v>
      </c>
      <c r="B10" s="6" t="s">
        <v>88</v>
      </c>
      <c r="C10" s="13">
        <v>0.984594907407407</v>
      </c>
      <c r="D10" s="13" t="s">
        <v>65</v>
      </c>
      <c r="E10" s="13">
        <v>0.0172337962962963</v>
      </c>
      <c r="F10" s="14">
        <f t="shared" si="1"/>
        <v>0.783333333333333</v>
      </c>
      <c r="G10" s="15">
        <f t="shared" si="2"/>
        <v>0.369722222222222</v>
      </c>
      <c r="H10" s="15">
        <f t="shared" si="3"/>
        <v>0.413611111111111</v>
      </c>
      <c r="I10" s="23" t="s">
        <v>75</v>
      </c>
      <c r="J10" s="24">
        <f>SUMIF(B:B,"综合协调席",F:F)</f>
        <v>46.7011111111111</v>
      </c>
      <c r="K10" s="25">
        <f>SUMIF(B:B,"综合协调席",G:G)</f>
        <v>46.2875</v>
      </c>
      <c r="L10" s="25">
        <f>SUMIF(B:B,"综合协调席",H:H)</f>
        <v>0.413611111111111</v>
      </c>
      <c r="M10" s="21"/>
    </row>
    <row r="11" ht="18.75" spans="1:13">
      <c r="A11" s="12">
        <f ca="1" t="shared" si="0"/>
        <v>46217.3767689815</v>
      </c>
      <c r="B11" s="6" t="s">
        <v>88</v>
      </c>
      <c r="C11" s="13">
        <v>0.376759259259259</v>
      </c>
      <c r="D11" s="13" t="s">
        <v>65</v>
      </c>
      <c r="E11" s="13">
        <v>0.467060185185185</v>
      </c>
      <c r="F11" s="14">
        <f t="shared" si="1"/>
        <v>2.16722222222222</v>
      </c>
      <c r="G11" s="15">
        <f t="shared" si="2"/>
        <v>2.16722222222222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46219.9124295139</v>
      </c>
      <c r="B12" s="6" t="s">
        <v>88</v>
      </c>
      <c r="C12" s="13">
        <v>0.912418981481481</v>
      </c>
      <c r="D12" s="13" t="s">
        <v>65</v>
      </c>
      <c r="E12" s="13">
        <v>0.989131944444444</v>
      </c>
      <c r="F12" s="14">
        <f t="shared" si="1"/>
        <v>1.84111111111111</v>
      </c>
      <c r="G12" s="15">
        <f t="shared" si="2"/>
        <v>1.84111111111111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46225.3670958333</v>
      </c>
      <c r="B13" s="6" t="s">
        <v>88</v>
      </c>
      <c r="C13" s="13">
        <v>0.367094907407407</v>
      </c>
      <c r="D13" s="13" t="s">
        <v>65</v>
      </c>
      <c r="E13" s="13">
        <v>0.518622685185185</v>
      </c>
      <c r="F13" s="14">
        <f t="shared" si="1"/>
        <v>3.63666666666667</v>
      </c>
      <c r="G13" s="15">
        <f t="shared" si="2"/>
        <v>3.63666666666667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46225.5575489583</v>
      </c>
      <c r="B14" s="6" t="s">
        <v>88</v>
      </c>
      <c r="C14" s="13">
        <v>0.557546296296296</v>
      </c>
      <c r="D14" s="13" t="s">
        <v>65</v>
      </c>
      <c r="E14" s="13">
        <v>0.622858796296296</v>
      </c>
      <c r="F14" s="14">
        <f t="shared" si="1"/>
        <v>1.5675</v>
      </c>
      <c r="G14" s="15">
        <f t="shared" si="2"/>
        <v>1.5675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46227.3728114583</v>
      </c>
      <c r="B15" s="6" t="s">
        <v>88</v>
      </c>
      <c r="C15" s="13">
        <v>0.372800925925926</v>
      </c>
      <c r="D15" s="13" t="s">
        <v>65</v>
      </c>
      <c r="E15" s="13">
        <v>0.485208333333333</v>
      </c>
      <c r="F15" s="14">
        <f t="shared" si="1"/>
        <v>2.69777777777778</v>
      </c>
      <c r="G15" s="15">
        <f t="shared" si="2"/>
        <v>2.69777777777778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46227.6407292824</v>
      </c>
      <c r="B16" s="6" t="s">
        <v>88</v>
      </c>
      <c r="C16" s="13">
        <v>0.640729166666667</v>
      </c>
      <c r="D16" s="13" t="s">
        <v>65</v>
      </c>
      <c r="E16" s="13">
        <v>0.737743055555556</v>
      </c>
      <c r="F16" s="14">
        <f t="shared" si="1"/>
        <v>2.32833333333333</v>
      </c>
      <c r="G16" s="15">
        <f t="shared" si="2"/>
        <v>2.32833333333333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46228.3772266204</v>
      </c>
      <c r="B17" s="6" t="s">
        <v>88</v>
      </c>
      <c r="C17" s="13">
        <v>0.377222222222222</v>
      </c>
      <c r="D17" s="13" t="s">
        <v>65</v>
      </c>
      <c r="E17" s="13">
        <v>0.482025462962963</v>
      </c>
      <c r="F17" s="14">
        <f t="shared" si="1"/>
        <v>2.51527777777778</v>
      </c>
      <c r="G17" s="15">
        <f t="shared" si="2"/>
        <v>2.51527777777778</v>
      </c>
      <c r="H17" s="15">
        <f t="shared" si="3"/>
        <v>0</v>
      </c>
      <c r="I17" s="39" t="s">
        <v>80</v>
      </c>
      <c r="J17" s="40">
        <f>J4+J5+J6+J7+J10</f>
        <v>46.7011111111111</v>
      </c>
      <c r="K17" s="41">
        <f>K4+K5+K6+K7+K10</f>
        <v>46.2875</v>
      </c>
      <c r="L17" s="42">
        <f>L4+L5+L6+L7+L10</f>
        <v>0.413611111111111</v>
      </c>
      <c r="M17" s="43"/>
    </row>
    <row r="18" ht="20.25" spans="1:13">
      <c r="A18" s="12">
        <f ca="1" t="shared" si="0"/>
        <v>46232.3633108796</v>
      </c>
      <c r="B18" s="6" t="s">
        <v>88</v>
      </c>
      <c r="C18" s="13">
        <v>0.363310185185185</v>
      </c>
      <c r="D18" s="13"/>
      <c r="E18" s="13"/>
      <c r="F18" s="14">
        <f t="shared" si="1"/>
        <v>15.2805555555556</v>
      </c>
      <c r="G18" s="15">
        <f t="shared" si="2"/>
        <v>15.2805555555556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 t="str">
        <f ca="1" t="shared" si="0"/>
        <v/>
      </c>
      <c r="B19" s="6"/>
      <c r="C19" s="13"/>
      <c r="D19" s="13"/>
      <c r="E19" s="13"/>
      <c r="F19" s="14">
        <f t="shared" si="1"/>
        <v>0</v>
      </c>
      <c r="G19" s="15">
        <f t="shared" si="2"/>
        <v>0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 t="str">
        <f ca="1" t="shared" si="0"/>
        <v/>
      </c>
      <c r="B20" s="6"/>
      <c r="C20" s="13"/>
      <c r="D20" s="13"/>
      <c r="E20" s="13"/>
      <c r="F20" s="14">
        <f t="shared" si="1"/>
        <v>0</v>
      </c>
      <c r="G20" s="15">
        <f t="shared" si="2"/>
        <v>0</v>
      </c>
      <c r="H20" s="15">
        <f t="shared" si="3"/>
        <v>0</v>
      </c>
      <c r="I20" s="44" t="s">
        <v>82</v>
      </c>
      <c r="J20" s="45">
        <f>J16+J17+J18+J19</f>
        <v>46.7011111111111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46206.3802263889</v>
      </c>
      <c r="B3" s="6" t="s">
        <v>88</v>
      </c>
      <c r="C3" s="13">
        <v>0.380219907407407</v>
      </c>
      <c r="D3" s="13" t="s">
        <v>65</v>
      </c>
      <c r="E3" s="13">
        <v>0.48412037037037</v>
      </c>
      <c r="F3" s="14">
        <f t="shared" ref="F3:F66" si="1">(IF(E3-C3&lt;0,"24:00"-C3+E3,E3-C3))*24</f>
        <v>2.49361111111111</v>
      </c>
      <c r="G3" s="15">
        <f t="shared" ref="G3:G66" si="2">F3-H3</f>
        <v>2.49361111111111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46206.6288170139</v>
      </c>
      <c r="B4" s="6" t="s">
        <v>88</v>
      </c>
      <c r="C4" s="13">
        <v>0.62880787037037</v>
      </c>
      <c r="D4" s="13" t="s">
        <v>65</v>
      </c>
      <c r="E4" s="13">
        <v>0.758819444444444</v>
      </c>
      <c r="F4" s="14">
        <f t="shared" si="1"/>
        <v>3.12027777777778</v>
      </c>
      <c r="G4" s="15">
        <f t="shared" si="2"/>
        <v>3.12027777777778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0</v>
      </c>
      <c r="K4" s="25">
        <f>SUMIF(B:B,"西塔台管制席",G:G)+SUMIF(B:B,"东塔台管制席",G:G)</f>
        <v>0</v>
      </c>
      <c r="L4" s="25">
        <f>SUMIF(B:B,"西塔台管制席",H:H)+SUMIF(B:B,"东塔台管制席",H:H)</f>
        <v>0</v>
      </c>
      <c r="M4" s="21"/>
    </row>
    <row r="5" ht="18.75" spans="1:13">
      <c r="A5" s="12">
        <f ca="1" t="shared" si="0"/>
        <v>46206.8051034722</v>
      </c>
      <c r="B5" s="6" t="s">
        <v>88</v>
      </c>
      <c r="C5" s="13">
        <v>0.805092592592593</v>
      </c>
      <c r="D5" s="13" t="s">
        <v>65</v>
      </c>
      <c r="E5" s="13">
        <v>0.90337962962963</v>
      </c>
      <c r="F5" s="14">
        <f t="shared" si="1"/>
        <v>2.35888888888889</v>
      </c>
      <c r="G5" s="15">
        <f t="shared" si="2"/>
        <v>2.35888888888889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0</v>
      </c>
      <c r="K5" s="25">
        <f>SUMIF(B:B,"西塔台协调席",G:G)+SUMIF(B:B,"东塔台协调席",G:G)</f>
        <v>0</v>
      </c>
      <c r="L5" s="25">
        <f>SUMIF(B:B,"西塔台协调席",H:H)+SUMIF(B:B,"东塔台协调席",H:H)</f>
        <v>0</v>
      </c>
      <c r="M5" s="21"/>
    </row>
    <row r="6" ht="18.75" spans="1:13">
      <c r="A6" s="12">
        <f ca="1" t="shared" si="0"/>
        <v>46208.4094582176</v>
      </c>
      <c r="B6" s="6" t="s">
        <v>88</v>
      </c>
      <c r="C6" s="13">
        <v>0.409456018518519</v>
      </c>
      <c r="D6" s="13" t="s">
        <v>65</v>
      </c>
      <c r="E6" s="13">
        <v>0.486678240740741</v>
      </c>
      <c r="F6" s="14">
        <f t="shared" si="1"/>
        <v>1.85333333333333</v>
      </c>
      <c r="G6" s="15">
        <f t="shared" si="2"/>
        <v>1.85333333333333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>
        <f ca="1" t="shared" si="0"/>
        <v>46208.60625</v>
      </c>
      <c r="B7" s="6" t="s">
        <v>88</v>
      </c>
      <c r="C7" s="13">
        <v>0.60625</v>
      </c>
      <c r="D7" s="13" t="s">
        <v>65</v>
      </c>
      <c r="E7" s="13">
        <v>0.738229166666667</v>
      </c>
      <c r="F7" s="14">
        <f t="shared" si="1"/>
        <v>3.1675</v>
      </c>
      <c r="G7" s="15">
        <f t="shared" si="2"/>
        <v>3.1675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46210.9616517361</v>
      </c>
      <c r="B8" s="6" t="s">
        <v>88</v>
      </c>
      <c r="C8" s="13">
        <v>0.961643518518518</v>
      </c>
      <c r="D8" s="13" t="s">
        <v>65</v>
      </c>
      <c r="E8" s="13">
        <v>0.0124652777777778</v>
      </c>
      <c r="F8" s="14">
        <f t="shared" si="1"/>
        <v>1.21972222222222</v>
      </c>
      <c r="G8" s="15">
        <f t="shared" si="2"/>
        <v>0.920555555555556</v>
      </c>
      <c r="H8" s="15">
        <f t="shared" si="3"/>
        <v>0.299166666666667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46211.4090255787</v>
      </c>
      <c r="B9" s="6" t="s">
        <v>88</v>
      </c>
      <c r="C9" s="13">
        <v>0.409016203703704</v>
      </c>
      <c r="D9" s="13" t="s">
        <v>65</v>
      </c>
      <c r="E9" s="13">
        <v>0.462638888888889</v>
      </c>
      <c r="F9" s="14">
        <f t="shared" si="1"/>
        <v>1.28694444444444</v>
      </c>
      <c r="G9" s="15">
        <f t="shared" si="2"/>
        <v>1.28694444444444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46211.6708298611</v>
      </c>
      <c r="B10" s="6" t="s">
        <v>88</v>
      </c>
      <c r="C10" s="13">
        <v>0.615266203703704</v>
      </c>
      <c r="D10" s="13" t="s">
        <v>65</v>
      </c>
      <c r="E10" s="13">
        <v>0.700787037037037</v>
      </c>
      <c r="F10" s="14">
        <f t="shared" si="1"/>
        <v>2.0525</v>
      </c>
      <c r="G10" s="15">
        <f t="shared" si="2"/>
        <v>2.0525</v>
      </c>
      <c r="H10" s="15">
        <f t="shared" si="3"/>
        <v>0</v>
      </c>
      <c r="I10" s="23" t="s">
        <v>75</v>
      </c>
      <c r="J10" s="24">
        <f>SUMIF(B:B,"综合协调席",F:F)</f>
        <v>30.6541666666667</v>
      </c>
      <c r="K10" s="25">
        <f>SUMIF(B:B,"综合协调席",G:G)</f>
        <v>29.0516666666667</v>
      </c>
      <c r="L10" s="25">
        <f>SUMIF(B:B,"综合协调席",H:H)</f>
        <v>1.6025</v>
      </c>
      <c r="M10" s="21"/>
    </row>
    <row r="11" ht="18.75" spans="1:13">
      <c r="A11" s="12">
        <f ca="1" t="shared" si="0"/>
        <v>46224.4213981482</v>
      </c>
      <c r="B11" s="6" t="s">
        <v>88</v>
      </c>
      <c r="C11" s="13">
        <v>0.421388888888889</v>
      </c>
      <c r="D11" s="13" t="s">
        <v>65</v>
      </c>
      <c r="E11" s="13">
        <v>0.511956018518518</v>
      </c>
      <c r="F11" s="14">
        <f t="shared" si="1"/>
        <v>2.17361111111111</v>
      </c>
      <c r="G11" s="15">
        <f t="shared" si="2"/>
        <v>2.17361111111111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46231.6792969907</v>
      </c>
      <c r="B12" s="6" t="s">
        <v>88</v>
      </c>
      <c r="C12" s="13">
        <v>0.637627314814815</v>
      </c>
      <c r="D12" s="13" t="s">
        <v>65</v>
      </c>
      <c r="E12" s="13">
        <v>0.721099537037037</v>
      </c>
      <c r="F12" s="14">
        <f t="shared" si="1"/>
        <v>2.00333333333333</v>
      </c>
      <c r="G12" s="15">
        <f t="shared" si="2"/>
        <v>2.00333333333333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46232.600399537</v>
      </c>
      <c r="B13" s="6" t="s">
        <v>88</v>
      </c>
      <c r="C13" s="13">
        <v>0.600393518518519</v>
      </c>
      <c r="D13" s="13" t="s">
        <v>65</v>
      </c>
      <c r="E13" s="13">
        <v>0.712280092592593</v>
      </c>
      <c r="F13" s="14">
        <f t="shared" si="1"/>
        <v>2.68527777777778</v>
      </c>
      <c r="G13" s="15">
        <f t="shared" si="2"/>
        <v>2.68527777777778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46233.7764383102</v>
      </c>
      <c r="B14" s="6" t="s">
        <v>88</v>
      </c>
      <c r="C14" s="13">
        <v>0.776435185185185</v>
      </c>
      <c r="D14" s="13" t="s">
        <v>65</v>
      </c>
      <c r="E14" s="13">
        <v>0.887372685185185</v>
      </c>
      <c r="F14" s="14">
        <f t="shared" si="1"/>
        <v>2.6625</v>
      </c>
      <c r="G14" s="15">
        <f t="shared" si="2"/>
        <v>2.6625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46234.3736895833</v>
      </c>
      <c r="B15" s="6" t="s">
        <v>88</v>
      </c>
      <c r="C15" s="13">
        <v>0.00701388888888889</v>
      </c>
      <c r="D15" s="13" t="s">
        <v>65</v>
      </c>
      <c r="E15" s="13">
        <v>0.0613194444444444</v>
      </c>
      <c r="F15" s="14">
        <f t="shared" si="1"/>
        <v>1.30333333333333</v>
      </c>
      <c r="G15" s="15">
        <f t="shared" si="2"/>
        <v>0</v>
      </c>
      <c r="H15" s="15">
        <f t="shared" si="3"/>
        <v>1.30333333333333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46234.3739675926</v>
      </c>
      <c r="B16" s="6" t="s">
        <v>88</v>
      </c>
      <c r="C16" s="13">
        <v>0.373958333333333</v>
      </c>
      <c r="D16" s="13" t="s">
        <v>65</v>
      </c>
      <c r="E16" s="13">
        <v>0.468680555555556</v>
      </c>
      <c r="F16" s="14">
        <f t="shared" si="1"/>
        <v>2.27333333333333</v>
      </c>
      <c r="G16" s="15">
        <f t="shared" si="2"/>
        <v>2.27333333333333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 t="str">
        <f ca="1" t="shared" si="0"/>
        <v/>
      </c>
      <c r="B17" s="6"/>
      <c r="C17" s="13"/>
      <c r="D17" s="13"/>
      <c r="E17" s="13"/>
      <c r="F17" s="14">
        <f t="shared" si="1"/>
        <v>0</v>
      </c>
      <c r="G17" s="15">
        <f t="shared" si="2"/>
        <v>0</v>
      </c>
      <c r="H17" s="15">
        <f t="shared" si="3"/>
        <v>0</v>
      </c>
      <c r="I17" s="39" t="s">
        <v>80</v>
      </c>
      <c r="J17" s="40">
        <f>J4+J5+J6+J7+J10</f>
        <v>30.6541666666667</v>
      </c>
      <c r="K17" s="41">
        <f>K4+K5+K6+K7+K10</f>
        <v>29.0516666666667</v>
      </c>
      <c r="L17" s="42">
        <f>L4+L5+L6+L7+L10</f>
        <v>1.6025</v>
      </c>
      <c r="M17" s="43"/>
    </row>
    <row r="18" ht="20.25" spans="1:13">
      <c r="A18" s="12" t="str">
        <f ca="1" t="shared" si="0"/>
        <v/>
      </c>
      <c r="B18" s="6"/>
      <c r="C18" s="13"/>
      <c r="D18" s="13"/>
      <c r="E18" s="13"/>
      <c r="F18" s="14">
        <f t="shared" si="1"/>
        <v>0</v>
      </c>
      <c r="G18" s="15">
        <f t="shared" si="2"/>
        <v>0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 t="str">
        <f ca="1" t="shared" si="0"/>
        <v/>
      </c>
      <c r="B19" s="6"/>
      <c r="C19" s="13"/>
      <c r="D19" s="13"/>
      <c r="E19" s="13"/>
      <c r="F19" s="14">
        <f t="shared" si="1"/>
        <v>0</v>
      </c>
      <c r="G19" s="15">
        <f t="shared" si="2"/>
        <v>0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 t="str">
        <f ca="1" t="shared" si="0"/>
        <v/>
      </c>
      <c r="B20" s="6"/>
      <c r="C20" s="13"/>
      <c r="D20" s="13"/>
      <c r="E20" s="13"/>
      <c r="F20" s="14">
        <f t="shared" si="1"/>
        <v>0</v>
      </c>
      <c r="G20" s="15">
        <f t="shared" si="2"/>
        <v>0</v>
      </c>
      <c r="H20" s="15">
        <f t="shared" si="3"/>
        <v>0</v>
      </c>
      <c r="I20" s="44" t="s">
        <v>82</v>
      </c>
      <c r="J20" s="45">
        <f>J16+J17+J18+J19</f>
        <v>30.6541666666667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46204.137666088</v>
      </c>
      <c r="B3" s="6" t="s">
        <v>86</v>
      </c>
      <c r="C3" s="13">
        <v>0.137662037037037</v>
      </c>
      <c r="D3" s="13" t="s">
        <v>65</v>
      </c>
      <c r="E3" s="13">
        <v>0.22775462962963</v>
      </c>
      <c r="F3" s="14">
        <f t="shared" ref="F3:F66" si="1">(IF(E3-C3&lt;0,"24:00"-C3+E3,E3-C3))*24</f>
        <v>2.16222222222222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2.16222222222222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46207.1346159722</v>
      </c>
      <c r="B4" s="6" t="s">
        <v>85</v>
      </c>
      <c r="C4" s="13">
        <v>0.134606481481481</v>
      </c>
      <c r="D4" s="13" t="s">
        <v>65</v>
      </c>
      <c r="E4" s="13">
        <v>0.274328703703704</v>
      </c>
      <c r="F4" s="14">
        <f t="shared" si="1"/>
        <v>3.35333333333333</v>
      </c>
      <c r="G4" s="15">
        <f t="shared" si="2"/>
        <v>0</v>
      </c>
      <c r="H4" s="15">
        <f t="shared" si="3"/>
        <v>3.35333333333333</v>
      </c>
      <c r="I4" s="23" t="s">
        <v>67</v>
      </c>
      <c r="J4" s="24">
        <f>SUMIF(B:B,"西塔台管制席",F:F)+SUMIF(B:B,"东塔台管制席",F:F)</f>
        <v>33.9833333333333</v>
      </c>
      <c r="K4" s="25">
        <f>SUMIF(B:B,"西塔台管制席",G:G)+SUMIF(B:B,"东塔台管制席",G:G)</f>
        <v>19.0425</v>
      </c>
      <c r="L4" s="25">
        <f>SUMIF(B:B,"西塔台管制席",H:H)+SUMIF(B:B,"东塔台管制席",H:H)</f>
        <v>14.9408333333333</v>
      </c>
      <c r="M4" s="21"/>
    </row>
    <row r="5" ht="18.75" spans="1:13">
      <c r="A5" s="12">
        <f ca="1" t="shared" si="0"/>
        <v>46207.9516171296</v>
      </c>
      <c r="B5" s="6" t="s">
        <v>84</v>
      </c>
      <c r="C5" s="13">
        <v>0.951608796296296</v>
      </c>
      <c r="D5" s="13" t="s">
        <v>65</v>
      </c>
      <c r="E5" s="13">
        <v>0.112581018518519</v>
      </c>
      <c r="F5" s="14">
        <f t="shared" si="1"/>
        <v>3.86333333333333</v>
      </c>
      <c r="G5" s="15">
        <f t="shared" si="2"/>
        <v>1.16138888888889</v>
      </c>
      <c r="H5" s="15">
        <f t="shared" si="3"/>
        <v>2.70194444444444</v>
      </c>
      <c r="I5" s="23" t="s">
        <v>69</v>
      </c>
      <c r="J5" s="24">
        <f>SUMIF(B:B,"西塔台协调席",F:F)+SUMIF(B:B,"东塔台协调席",F:F)</f>
        <v>33.4636111111111</v>
      </c>
      <c r="K5" s="25">
        <f>SUMIF(B:B,"西塔台协调席",G:G)+SUMIF(B:B,"东塔台协调席",G:G)</f>
        <v>22.3280555555556</v>
      </c>
      <c r="L5" s="25">
        <f>SUMIF(B:B,"西塔台协调席",H:H)+SUMIF(B:B,"东塔台协调席",H:H)</f>
        <v>11.1355555555555</v>
      </c>
      <c r="M5" s="21"/>
    </row>
    <row r="6" ht="18.75" spans="1:13">
      <c r="A6" s="12">
        <f ca="1" t="shared" si="0"/>
        <v>46210.5218592593</v>
      </c>
      <c r="B6" s="6" t="s">
        <v>70</v>
      </c>
      <c r="C6" s="13">
        <v>0.521851851851852</v>
      </c>
      <c r="D6" s="13" t="s">
        <v>65</v>
      </c>
      <c r="E6" s="13">
        <v>0.694513888888889</v>
      </c>
      <c r="F6" s="14">
        <f t="shared" si="1"/>
        <v>4.14388888888889</v>
      </c>
      <c r="G6" s="15">
        <f t="shared" si="2"/>
        <v>4.14388888888889</v>
      </c>
      <c r="H6" s="15">
        <f t="shared" si="3"/>
        <v>0</v>
      </c>
      <c r="I6" s="23" t="s">
        <v>71</v>
      </c>
      <c r="J6" s="24">
        <f>SUMIF(B:B,"放行席",F:F)</f>
        <v>5.21694444444444</v>
      </c>
      <c r="K6" s="25">
        <f>SUMIF(B:B,"放行席",G:G)</f>
        <v>0</v>
      </c>
      <c r="L6" s="25">
        <f>SUMIF(B:B,"放行席",H:H)</f>
        <v>5.21694444444444</v>
      </c>
      <c r="M6" s="21"/>
    </row>
    <row r="7" ht="18.75" spans="1:13">
      <c r="A7" s="12">
        <f ca="1" t="shared" si="0"/>
        <v>46210.7712251157</v>
      </c>
      <c r="B7" s="6" t="s">
        <v>83</v>
      </c>
      <c r="C7" s="13">
        <v>0.771215277777778</v>
      </c>
      <c r="D7" s="13" t="s">
        <v>65</v>
      </c>
      <c r="E7" s="13">
        <v>0.863518518518518</v>
      </c>
      <c r="F7" s="14">
        <f t="shared" si="1"/>
        <v>2.21527777777778</v>
      </c>
      <c r="G7" s="15">
        <f t="shared" si="2"/>
        <v>2.21527777777778</v>
      </c>
      <c r="H7" s="15">
        <f t="shared" si="3"/>
        <v>0</v>
      </c>
      <c r="I7" s="23" t="s">
        <v>72</v>
      </c>
      <c r="J7" s="24">
        <f>SUMIF(B:B,"地面席",F:F)</f>
        <v>2.16222222222222</v>
      </c>
      <c r="K7" s="25">
        <f>SUMIF(B:B,"地面席",G:G)</f>
        <v>0</v>
      </c>
      <c r="L7" s="25">
        <f>SUMIF(B:B,"地面席",H:H)</f>
        <v>2.16222222222222</v>
      </c>
      <c r="M7" s="21"/>
    </row>
    <row r="8" ht="18.75" spans="1:13">
      <c r="A8" s="12">
        <f ca="1" t="shared" si="0"/>
        <v>46211.417212037</v>
      </c>
      <c r="B8" s="6" t="s">
        <v>70</v>
      </c>
      <c r="C8" s="13">
        <v>0.417210648148148</v>
      </c>
      <c r="D8" s="13" t="s">
        <v>65</v>
      </c>
      <c r="E8" s="13">
        <v>0.52744212962963</v>
      </c>
      <c r="F8" s="14">
        <f t="shared" si="1"/>
        <v>2.64555555555556</v>
      </c>
      <c r="G8" s="15">
        <f t="shared" si="2"/>
        <v>2.64555555555556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46211.6266543981</v>
      </c>
      <c r="B9" s="6" t="s">
        <v>70</v>
      </c>
      <c r="C9" s="13">
        <v>0.626655092592593</v>
      </c>
      <c r="D9" s="13" t="s">
        <v>65</v>
      </c>
      <c r="E9" s="13">
        <v>0.777650462962963</v>
      </c>
      <c r="F9" s="14">
        <f t="shared" si="1"/>
        <v>3.62388888888889</v>
      </c>
      <c r="G9" s="15">
        <f t="shared" si="2"/>
        <v>3.62388888888889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>
        <f ca="1" t="shared" si="0"/>
        <v>46211.8547267361</v>
      </c>
      <c r="B10" s="6" t="s">
        <v>83</v>
      </c>
      <c r="C10" s="13">
        <v>0.854722222222222</v>
      </c>
      <c r="D10" s="13" t="s">
        <v>65</v>
      </c>
      <c r="E10" s="13">
        <v>0.956446759259259</v>
      </c>
      <c r="F10" s="14">
        <f t="shared" si="1"/>
        <v>2.44138888888889</v>
      </c>
      <c r="G10" s="15">
        <f t="shared" si="2"/>
        <v>2.44138888888889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46212.2998724537</v>
      </c>
      <c r="B11" s="6" t="s">
        <v>83</v>
      </c>
      <c r="C11" s="13">
        <v>0.299872685185185</v>
      </c>
      <c r="D11" s="13" t="s">
        <v>65</v>
      </c>
      <c r="E11" s="13">
        <v>0.362106481481481</v>
      </c>
      <c r="F11" s="14">
        <f t="shared" si="1"/>
        <v>1.49361111111111</v>
      </c>
      <c r="G11" s="15">
        <f t="shared" si="2"/>
        <v>0.690555555555563</v>
      </c>
      <c r="H11" s="15">
        <f t="shared" si="3"/>
        <v>0.803055555555547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46215.0164144676</v>
      </c>
      <c r="B12" s="6" t="s">
        <v>83</v>
      </c>
      <c r="C12" s="13">
        <v>0.016412037037037</v>
      </c>
      <c r="D12" s="13" t="s">
        <v>65</v>
      </c>
      <c r="E12" s="13">
        <v>0.143449074074074</v>
      </c>
      <c r="F12" s="14">
        <f t="shared" si="1"/>
        <v>3.04888888888889</v>
      </c>
      <c r="G12" s="15">
        <f t="shared" si="2"/>
        <v>0</v>
      </c>
      <c r="H12" s="15">
        <f t="shared" si="3"/>
        <v>3.04888888888889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46216.1334327546</v>
      </c>
      <c r="B13" s="6" t="s">
        <v>85</v>
      </c>
      <c r="C13" s="13">
        <v>0.133425925925926</v>
      </c>
      <c r="D13" s="13" t="s">
        <v>65</v>
      </c>
      <c r="E13" s="13">
        <v>0.211076388888889</v>
      </c>
      <c r="F13" s="14">
        <f t="shared" si="1"/>
        <v>1.86361111111111</v>
      </c>
      <c r="G13" s="15">
        <f t="shared" si="2"/>
        <v>0</v>
      </c>
      <c r="H13" s="15">
        <f t="shared" si="3"/>
        <v>1.86361111111111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46219.1402369213</v>
      </c>
      <c r="B14" s="6" t="s">
        <v>84</v>
      </c>
      <c r="C14" s="13">
        <v>0.140231481481481</v>
      </c>
      <c r="D14" s="13" t="s">
        <v>65</v>
      </c>
      <c r="E14" s="13">
        <v>0.29849537037037</v>
      </c>
      <c r="F14" s="14">
        <f t="shared" si="1"/>
        <v>3.79833333333333</v>
      </c>
      <c r="G14" s="15">
        <f t="shared" si="2"/>
        <v>0</v>
      </c>
      <c r="H14" s="15">
        <f t="shared" si="3"/>
        <v>3.79833333333333</v>
      </c>
      <c r="I14" s="33"/>
      <c r="J14" s="33"/>
      <c r="K14" s="33"/>
      <c r="L14" s="33"/>
      <c r="M14" s="33"/>
    </row>
    <row r="15" ht="101.25" spans="1:13">
      <c r="A15" s="12"/>
      <c r="B15" s="6"/>
      <c r="C15" s="13"/>
      <c r="D15" s="13"/>
      <c r="E15" s="13"/>
      <c r="F15" s="14">
        <f t="shared" si="1"/>
        <v>0</v>
      </c>
      <c r="G15" s="15">
        <f t="shared" si="2"/>
        <v>0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46219.9526261574</v>
      </c>
      <c r="B16" s="6" t="s">
        <v>83</v>
      </c>
      <c r="C16" s="13">
        <v>0.952615740740741</v>
      </c>
      <c r="D16" s="13" t="s">
        <v>65</v>
      </c>
      <c r="E16" s="13">
        <v>0.112962962962963</v>
      </c>
      <c r="F16" s="14">
        <f t="shared" si="1"/>
        <v>3.84833333333333</v>
      </c>
      <c r="G16" s="15">
        <f t="shared" si="2"/>
        <v>1.13722222222222</v>
      </c>
      <c r="H16" s="15">
        <f t="shared" si="3"/>
        <v>2.71111111111111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46222.3541979167</v>
      </c>
      <c r="B17" s="6" t="s">
        <v>68</v>
      </c>
      <c r="C17" s="13">
        <v>0.353321759259259</v>
      </c>
      <c r="D17" s="13" t="s">
        <v>65</v>
      </c>
      <c r="E17" s="13">
        <v>0.383310185185185</v>
      </c>
      <c r="F17" s="14">
        <f t="shared" si="1"/>
        <v>0.719722222222222</v>
      </c>
      <c r="G17" s="15">
        <f t="shared" si="2"/>
        <v>0.719722222222222</v>
      </c>
      <c r="H17" s="15">
        <f t="shared" si="3"/>
        <v>0</v>
      </c>
      <c r="I17" s="39" t="s">
        <v>80</v>
      </c>
      <c r="J17" s="40">
        <f>J4+J5+J6+J7+J10</f>
        <v>74.8261111111111</v>
      </c>
      <c r="K17" s="41">
        <f>K4+K5+K6+K7+K10</f>
        <v>41.3705555555556</v>
      </c>
      <c r="L17" s="42">
        <f>L4+L5+L6+L7+L10</f>
        <v>33.4555555555555</v>
      </c>
      <c r="M17" s="43"/>
    </row>
    <row r="18" ht="20.25" spans="1:13">
      <c r="A18" s="12">
        <f ca="1" t="shared" si="0"/>
        <v>46222.3830893519</v>
      </c>
      <c r="B18" s="6" t="s">
        <v>83</v>
      </c>
      <c r="C18" s="13">
        <v>0.383310185185185</v>
      </c>
      <c r="D18" s="13" t="s">
        <v>65</v>
      </c>
      <c r="E18" s="13">
        <v>0.522650462962963</v>
      </c>
      <c r="F18" s="14">
        <f t="shared" si="1"/>
        <v>3.34416666666667</v>
      </c>
      <c r="G18" s="15">
        <f t="shared" si="2"/>
        <v>3.34416666666667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46222.6887846065</v>
      </c>
      <c r="B19" s="6" t="s">
        <v>70</v>
      </c>
      <c r="C19" s="13">
        <v>0.688784722222222</v>
      </c>
      <c r="D19" s="13" t="s">
        <v>65</v>
      </c>
      <c r="E19" s="13">
        <v>0.778842592592593</v>
      </c>
      <c r="F19" s="14">
        <f t="shared" si="1"/>
        <v>2.16138888888889</v>
      </c>
      <c r="G19" s="15">
        <f t="shared" si="2"/>
        <v>2.16138888888889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46222.8539685185</v>
      </c>
      <c r="B20" s="6" t="s">
        <v>83</v>
      </c>
      <c r="C20" s="13">
        <v>0.853958333333333</v>
      </c>
      <c r="D20" s="13" t="s">
        <v>65</v>
      </c>
      <c r="E20" s="13">
        <v>0.957569444444444</v>
      </c>
      <c r="F20" s="14">
        <f t="shared" si="1"/>
        <v>2.48666666666666</v>
      </c>
      <c r="G20" s="15">
        <f t="shared" si="2"/>
        <v>2.48666666666666</v>
      </c>
      <c r="H20" s="15">
        <f t="shared" si="3"/>
        <v>0</v>
      </c>
      <c r="I20" s="44" t="s">
        <v>82</v>
      </c>
      <c r="J20" s="45">
        <f>J16+J17+J18+J19</f>
        <v>74.8261111111111</v>
      </c>
      <c r="K20" s="46"/>
      <c r="L20" s="47"/>
      <c r="M20" s="48"/>
    </row>
    <row r="21" ht="20.25" spans="1:13">
      <c r="A21" s="12">
        <f ca="1" t="shared" si="0"/>
        <v>46223.4188226852</v>
      </c>
      <c r="B21" s="6" t="s">
        <v>84</v>
      </c>
      <c r="C21" s="13">
        <v>0.298680555555556</v>
      </c>
      <c r="D21" s="13" t="s">
        <v>65</v>
      </c>
      <c r="E21" s="13">
        <v>0.418854166666667</v>
      </c>
      <c r="F21" s="14">
        <f t="shared" si="1"/>
        <v>2.88416666666667</v>
      </c>
      <c r="G21" s="15">
        <f t="shared" si="2"/>
        <v>2.05250000000001</v>
      </c>
      <c r="H21" s="15">
        <f t="shared" si="3"/>
        <v>0.831666666666658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>
        <f ca="1" t="shared" si="0"/>
        <v>46223.5226528935</v>
      </c>
      <c r="B22" s="6" t="s">
        <v>68</v>
      </c>
      <c r="C22" s="13">
        <v>0.522650462962963</v>
      </c>
      <c r="D22" s="13" t="s">
        <v>65</v>
      </c>
      <c r="E22" s="13">
        <v>0.631608796296296</v>
      </c>
      <c r="F22" s="14">
        <f t="shared" si="1"/>
        <v>2.615</v>
      </c>
      <c r="G22" s="15">
        <f t="shared" si="2"/>
        <v>2.615</v>
      </c>
      <c r="H22" s="15">
        <f t="shared" si="3"/>
        <v>0</v>
      </c>
      <c r="I22"/>
      <c r="J22"/>
    </row>
    <row r="23" ht="18.75" spans="1:10">
      <c r="A23" s="12">
        <f ca="1" t="shared" si="0"/>
        <v>46223.7716686343</v>
      </c>
      <c r="B23" s="6" t="s">
        <v>68</v>
      </c>
      <c r="C23" s="13">
        <v>0.771666666666667</v>
      </c>
      <c r="D23" s="13" t="s">
        <v>65</v>
      </c>
      <c r="E23" s="13">
        <v>0.860300925925926</v>
      </c>
      <c r="F23" s="14">
        <f t="shared" si="1"/>
        <v>2.12722222222222</v>
      </c>
      <c r="G23" s="15">
        <f t="shared" si="2"/>
        <v>2.12722222222222</v>
      </c>
      <c r="H23" s="15">
        <f t="shared" si="3"/>
        <v>0</v>
      </c>
      <c r="I23"/>
      <c r="J23"/>
    </row>
    <row r="24" ht="18.75" spans="1:10">
      <c r="A24" s="12">
        <f ca="1" t="shared" si="0"/>
        <v>46227.0152256944</v>
      </c>
      <c r="B24" s="6" t="s">
        <v>83</v>
      </c>
      <c r="C24" s="13">
        <v>0.0152199074074074</v>
      </c>
      <c r="D24" s="13" t="s">
        <v>65</v>
      </c>
      <c r="E24" s="13">
        <v>0.145150462962963</v>
      </c>
      <c r="F24" s="14">
        <f t="shared" si="1"/>
        <v>3.11833333333333</v>
      </c>
      <c r="G24" s="15">
        <f t="shared" si="2"/>
        <v>0</v>
      </c>
      <c r="H24" s="15">
        <f t="shared" si="3"/>
        <v>3.11833333333333</v>
      </c>
      <c r="I24"/>
      <c r="J24"/>
    </row>
    <row r="25" ht="18.75" spans="1:10">
      <c r="A25" s="12">
        <f ca="1" t="shared" si="0"/>
        <v>46228.1347024306</v>
      </c>
      <c r="B25" s="6" t="s">
        <v>70</v>
      </c>
      <c r="C25" s="13">
        <v>0.134699074074074</v>
      </c>
      <c r="D25" s="13" t="s">
        <v>65</v>
      </c>
      <c r="E25" s="13">
        <v>0.231643518518519</v>
      </c>
      <c r="F25" s="14">
        <f t="shared" si="1"/>
        <v>2.32666666666667</v>
      </c>
      <c r="G25" s="15">
        <f t="shared" si="2"/>
        <v>0</v>
      </c>
      <c r="H25" s="15">
        <f t="shared" si="3"/>
        <v>2.32666666666667</v>
      </c>
      <c r="I25"/>
      <c r="J25"/>
    </row>
    <row r="26" ht="18.75" spans="1:10">
      <c r="A26" s="12">
        <f ca="1" t="shared" si="0"/>
        <v>46231.1381590278</v>
      </c>
      <c r="B26" s="6" t="s">
        <v>84</v>
      </c>
      <c r="C26" s="13">
        <v>0.138148148148148</v>
      </c>
      <c r="D26" s="13" t="s">
        <v>65</v>
      </c>
      <c r="E26" s="13">
        <v>0.242453703703704</v>
      </c>
      <c r="F26" s="14">
        <f t="shared" si="1"/>
        <v>2.50333333333333</v>
      </c>
      <c r="G26" s="15">
        <f t="shared" si="2"/>
        <v>0</v>
      </c>
      <c r="H26" s="15">
        <f t="shared" si="3"/>
        <v>2.50333333333333</v>
      </c>
      <c r="I26"/>
      <c r="J26"/>
    </row>
    <row r="27" ht="18.75" spans="1:10">
      <c r="A27" s="12">
        <f ca="1" t="shared" si="0"/>
        <v>46231.2425222222</v>
      </c>
      <c r="B27" s="6" t="s">
        <v>83</v>
      </c>
      <c r="C27" s="13">
        <v>0.242546296296296</v>
      </c>
      <c r="D27" s="13" t="s">
        <v>65</v>
      </c>
      <c r="E27" s="13">
        <v>0.303136574074074</v>
      </c>
      <c r="F27" s="14">
        <f t="shared" si="1"/>
        <v>1.45416666666667</v>
      </c>
      <c r="G27" s="15">
        <f t="shared" si="2"/>
        <v>0</v>
      </c>
      <c r="H27" s="15">
        <f t="shared" si="3"/>
        <v>1.45416666666667</v>
      </c>
      <c r="I27"/>
      <c r="J27"/>
    </row>
    <row r="28" ht="18.75" spans="1:10">
      <c r="A28" s="12">
        <f ca="1" t="shared" si="0"/>
        <v>46231.9528568287</v>
      </c>
      <c r="B28" s="6" t="s">
        <v>70</v>
      </c>
      <c r="C28" s="13">
        <v>0.952847222222222</v>
      </c>
      <c r="D28" s="13" t="s">
        <v>65</v>
      </c>
      <c r="E28" s="13">
        <v>0.115787037037037</v>
      </c>
      <c r="F28" s="14">
        <f t="shared" si="1"/>
        <v>3.91055555555556</v>
      </c>
      <c r="G28" s="15">
        <f t="shared" si="2"/>
        <v>1.13166666666667</v>
      </c>
      <c r="H28" s="15">
        <f t="shared" si="3"/>
        <v>2.77888888888889</v>
      </c>
      <c r="I28"/>
      <c r="J28"/>
    </row>
    <row r="29" ht="18.75" spans="1:10">
      <c r="A29" s="12">
        <f ca="1" t="shared" si="0"/>
        <v>46234.5027653935</v>
      </c>
      <c r="B29" s="6" t="s">
        <v>68</v>
      </c>
      <c r="C29" s="13">
        <v>0.50275462962963</v>
      </c>
      <c r="D29" s="13" t="s">
        <v>65</v>
      </c>
      <c r="E29" s="13">
        <v>0.692372685185185</v>
      </c>
      <c r="F29" s="14">
        <f t="shared" si="1"/>
        <v>4.55083333333334</v>
      </c>
      <c r="G29" s="15">
        <f t="shared" si="2"/>
        <v>4.55083333333334</v>
      </c>
      <c r="H29" s="15">
        <f t="shared" si="3"/>
        <v>0</v>
      </c>
      <c r="I29"/>
      <c r="J29"/>
    </row>
    <row r="30" ht="18.75" spans="1:10">
      <c r="A30" s="12">
        <f ca="1" t="shared" si="0"/>
        <v>46234.7714357639</v>
      </c>
      <c r="B30" s="6" t="s">
        <v>84</v>
      </c>
      <c r="C30" s="13">
        <v>0.771435185185185</v>
      </c>
      <c r="D30" s="13" t="s">
        <v>65</v>
      </c>
      <c r="E30" s="13">
        <v>0.859861111111111</v>
      </c>
      <c r="F30" s="14">
        <f t="shared" si="1"/>
        <v>2.12222222222222</v>
      </c>
      <c r="G30" s="15">
        <f t="shared" si="2"/>
        <v>2.12222222222222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P339"/>
  <sheetViews>
    <sheetView zoomScale="85" zoomScaleNormal="85" workbookViewId="0">
      <selection activeCell="D27" sqref="D27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46208.1404269676</v>
      </c>
      <c r="B3" s="6" t="s">
        <v>84</v>
      </c>
      <c r="C3" s="13">
        <v>0.140416666666667</v>
      </c>
      <c r="D3" s="13" t="s">
        <v>65</v>
      </c>
      <c r="E3" s="13">
        <v>0.234328703703704</v>
      </c>
      <c r="F3" s="14">
        <f t="shared" ref="F3:F66" si="1">(IF(E3-C3&lt;0,"24:00"-C3+E3,E3-C3))*24</f>
        <v>2.25388888888889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2.25388888888889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46211.1324262732</v>
      </c>
      <c r="B4" s="6" t="s">
        <v>85</v>
      </c>
      <c r="C4" s="13">
        <v>0.132418981481481</v>
      </c>
      <c r="D4" s="13" t="s">
        <v>65</v>
      </c>
      <c r="E4" s="13">
        <v>0.227337962962963</v>
      </c>
      <c r="F4" s="14">
        <f t="shared" si="1"/>
        <v>2.27805555555556</v>
      </c>
      <c r="G4" s="15">
        <f t="shared" si="2"/>
        <v>0</v>
      </c>
      <c r="H4" s="15">
        <f t="shared" si="3"/>
        <v>2.27805555555556</v>
      </c>
      <c r="I4" s="23" t="s">
        <v>67</v>
      </c>
      <c r="J4" s="24">
        <f>SUMIF(B:B,"西塔台管制席",F:F)+SUMIF(B:B,"东塔台管制席",F:F)</f>
        <v>23.4733333333333</v>
      </c>
      <c r="K4" s="25">
        <f>SUMIF(B:B,"西塔台管制席",G:G)+SUMIF(B:B,"东塔台管制席",G:G)</f>
        <v>8.43361111111112</v>
      </c>
      <c r="L4" s="25">
        <f>SUMIF(B:B,"西塔台管制席",H:H)+SUMIF(B:B,"东塔台管制席",H:H)</f>
        <v>15.0397222222222</v>
      </c>
      <c r="M4" s="21"/>
    </row>
    <row r="5" ht="18.75" spans="1:13">
      <c r="A5" s="12">
        <f ca="1" t="shared" si="0"/>
        <v>46212.0138204861</v>
      </c>
      <c r="B5" s="6" t="s">
        <v>68</v>
      </c>
      <c r="C5" s="13">
        <v>0.0138194444444444</v>
      </c>
      <c r="D5" s="13" t="s">
        <v>65</v>
      </c>
      <c r="E5" s="13">
        <v>0.1121875</v>
      </c>
      <c r="F5" s="14">
        <f t="shared" si="1"/>
        <v>2.36083333333333</v>
      </c>
      <c r="G5" s="15">
        <f t="shared" si="2"/>
        <v>0</v>
      </c>
      <c r="H5" s="15">
        <f t="shared" si="3"/>
        <v>2.36083333333333</v>
      </c>
      <c r="I5" s="23" t="s">
        <v>69</v>
      </c>
      <c r="J5" s="24">
        <f>SUMIF(B:B,"西塔台协调席",F:F)+SUMIF(B:B,"东塔台协调席",F:F)</f>
        <v>18.4072222222222</v>
      </c>
      <c r="K5" s="25">
        <f>SUMIF(B:B,"西塔台协调席",G:G)+SUMIF(B:B,"东塔台协调席",G:G)</f>
        <v>9.20805555555555</v>
      </c>
      <c r="L5" s="25">
        <f>SUMIF(B:B,"西塔台协调席",H:H)+SUMIF(B:B,"东塔台协调席",H:H)</f>
        <v>9.19916666666667</v>
      </c>
      <c r="M5" s="21"/>
    </row>
    <row r="6" ht="18.75" spans="1:13">
      <c r="A6" s="12">
        <f ca="1" t="shared" si="0"/>
        <v>46212.1122158565</v>
      </c>
      <c r="B6" s="6" t="s">
        <v>83</v>
      </c>
      <c r="C6" s="13">
        <v>0.112210648148148</v>
      </c>
      <c r="D6" s="13" t="s">
        <v>65</v>
      </c>
      <c r="E6" s="13">
        <v>0.146319444444444</v>
      </c>
      <c r="F6" s="14">
        <f t="shared" si="1"/>
        <v>0.818611111111111</v>
      </c>
      <c r="G6" s="15">
        <f t="shared" si="2"/>
        <v>0</v>
      </c>
      <c r="H6" s="15">
        <f t="shared" si="3"/>
        <v>0.818611111111111</v>
      </c>
      <c r="I6" s="23" t="s">
        <v>71</v>
      </c>
      <c r="J6" s="24">
        <f>SUMIF(B:B,"放行席",F:F)</f>
        <v>2.27805555555556</v>
      </c>
      <c r="K6" s="25">
        <f>SUMIF(B:B,"放行席",G:G)</f>
        <v>0</v>
      </c>
      <c r="L6" s="25">
        <f>SUMIF(B:B,"放行席",H:H)</f>
        <v>2.27805555555556</v>
      </c>
      <c r="M6" s="21"/>
    </row>
    <row r="7" ht="18.75" spans="1:13">
      <c r="A7" s="12">
        <f ca="1" t="shared" si="0"/>
        <v>46214.3799818287</v>
      </c>
      <c r="B7" s="6" t="s">
        <v>87</v>
      </c>
      <c r="C7" s="13">
        <v>0.379976851851852</v>
      </c>
      <c r="D7" s="13" t="s">
        <v>65</v>
      </c>
      <c r="E7" s="13">
        <v>0.42</v>
      </c>
      <c r="F7" s="14">
        <f t="shared" si="1"/>
        <v>0.960555555555556</v>
      </c>
      <c r="G7" s="15">
        <f t="shared" si="2"/>
        <v>0.960555555555556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46214.6221744213</v>
      </c>
      <c r="B8" s="6" t="s">
        <v>87</v>
      </c>
      <c r="C8" s="13">
        <v>0.622164351851852</v>
      </c>
      <c r="D8" s="13" t="s">
        <v>65</v>
      </c>
      <c r="E8" s="13">
        <v>0.731585648148148</v>
      </c>
      <c r="F8" s="14">
        <f t="shared" si="1"/>
        <v>2.62611111111111</v>
      </c>
      <c r="G8" s="15">
        <f t="shared" si="2"/>
        <v>2.62611111111111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46215.4184871528</v>
      </c>
      <c r="B9" s="6" t="s">
        <v>87</v>
      </c>
      <c r="C9" s="13">
        <v>0.418483796296296</v>
      </c>
      <c r="D9" s="13" t="s">
        <v>65</v>
      </c>
      <c r="E9" s="13">
        <v>0.487835648148148</v>
      </c>
      <c r="F9" s="14">
        <f t="shared" si="1"/>
        <v>1.66444444444444</v>
      </c>
      <c r="G9" s="15">
        <f t="shared" si="2"/>
        <v>1.66444444444444</v>
      </c>
      <c r="H9" s="15">
        <f t="shared" si="3"/>
        <v>0</v>
      </c>
      <c r="I9" s="23" t="s">
        <v>74</v>
      </c>
      <c r="J9" s="24">
        <f>SUMIF(B:B,"航班调度席",F:F)</f>
        <v>7.55694444444444</v>
      </c>
      <c r="K9" s="25">
        <f>SUMIF(B:B,"航班调度席",G:G)</f>
        <v>7.55694444444444</v>
      </c>
      <c r="L9" s="25">
        <f>SUMIF(B:B,"航班调度席",H:H)</f>
        <v>0</v>
      </c>
      <c r="M9" s="21"/>
    </row>
    <row r="10" ht="18.75" spans="1:13">
      <c r="A10" s="12">
        <f ca="1" t="shared" si="0"/>
        <v>46215.636953588</v>
      </c>
      <c r="B10" s="6" t="s">
        <v>87</v>
      </c>
      <c r="C10" s="13">
        <v>0.636944444444444</v>
      </c>
      <c r="D10" s="13" t="s">
        <v>65</v>
      </c>
      <c r="E10" s="13">
        <v>0.733020833333333</v>
      </c>
      <c r="F10" s="14">
        <f t="shared" si="1"/>
        <v>2.30583333333333</v>
      </c>
      <c r="G10" s="15">
        <f t="shared" si="2"/>
        <v>2.30583333333333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46218.9527445602</v>
      </c>
      <c r="B11" s="6" t="s">
        <v>70</v>
      </c>
      <c r="C11" s="13">
        <v>0.952743055555556</v>
      </c>
      <c r="D11" s="13" t="s">
        <v>65</v>
      </c>
      <c r="E11" s="13">
        <v>0.107280092592593</v>
      </c>
      <c r="F11" s="14">
        <f t="shared" si="1"/>
        <v>3.70888888888889</v>
      </c>
      <c r="G11" s="15">
        <f t="shared" si="2"/>
        <v>1.13416666666666</v>
      </c>
      <c r="H11" s="15">
        <f t="shared" si="3"/>
        <v>2.57472222222222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46220.1394583333</v>
      </c>
      <c r="B12" s="6" t="s">
        <v>70</v>
      </c>
      <c r="C12" s="13">
        <v>0.139456018518519</v>
      </c>
      <c r="D12" s="13" t="s">
        <v>65</v>
      </c>
      <c r="E12" s="13">
        <v>0.234108796296296</v>
      </c>
      <c r="F12" s="14">
        <f t="shared" si="1"/>
        <v>2.27166666666667</v>
      </c>
      <c r="G12" s="15">
        <f t="shared" si="2"/>
        <v>0</v>
      </c>
      <c r="H12" s="15">
        <f t="shared" si="3"/>
        <v>2.27166666666667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46220.2342258102</v>
      </c>
      <c r="B13" s="6" t="s">
        <v>68</v>
      </c>
      <c r="C13" s="13">
        <v>0.234224537037037</v>
      </c>
      <c r="D13" s="13" t="s">
        <v>65</v>
      </c>
      <c r="E13" s="13">
        <v>0.305034722222222</v>
      </c>
      <c r="F13" s="14">
        <f t="shared" si="1"/>
        <v>1.69944444444444</v>
      </c>
      <c r="G13" s="15">
        <f t="shared" si="2"/>
        <v>0</v>
      </c>
      <c r="H13" s="15">
        <f t="shared" si="3"/>
        <v>1.69944444444444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46223.0136503472</v>
      </c>
      <c r="B14" s="6" t="s">
        <v>68</v>
      </c>
      <c r="C14" s="13">
        <v>0.0136458333333333</v>
      </c>
      <c r="D14" s="13" t="s">
        <v>65</v>
      </c>
      <c r="E14" s="13">
        <v>0.0849768518518518</v>
      </c>
      <c r="F14" s="14">
        <f t="shared" si="1"/>
        <v>1.71194444444444</v>
      </c>
      <c r="G14" s="15">
        <f t="shared" si="2"/>
        <v>0</v>
      </c>
      <c r="H14" s="15">
        <f t="shared" si="3"/>
        <v>1.71194444444444</v>
      </c>
      <c r="I14" s="33"/>
      <c r="J14" s="33"/>
      <c r="K14" s="33"/>
      <c r="L14" s="33"/>
      <c r="M14" s="33"/>
    </row>
    <row r="15" ht="101.25" spans="1:13">
      <c r="A15" s="12">
        <f ca="1" t="shared" si="0"/>
        <v>46223.0851372685</v>
      </c>
      <c r="B15" s="6" t="s">
        <v>70</v>
      </c>
      <c r="C15" s="13">
        <v>0.0851273148148148</v>
      </c>
      <c r="D15" s="13" t="s">
        <v>65</v>
      </c>
      <c r="E15" s="13">
        <v>0.144965277777778</v>
      </c>
      <c r="F15" s="14">
        <f t="shared" si="1"/>
        <v>1.43611111111111</v>
      </c>
      <c r="G15" s="15">
        <f t="shared" si="2"/>
        <v>0</v>
      </c>
      <c r="H15" s="15">
        <f t="shared" si="3"/>
        <v>1.43611111111111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46224.0145490741</v>
      </c>
      <c r="B16" s="6" t="s">
        <v>70</v>
      </c>
      <c r="C16" s="13">
        <v>0.0145486111111111</v>
      </c>
      <c r="D16" s="13" t="s">
        <v>65</v>
      </c>
      <c r="E16" s="13">
        <v>0.144155092592593</v>
      </c>
      <c r="F16" s="14">
        <f t="shared" si="1"/>
        <v>3.11055555555556</v>
      </c>
      <c r="G16" s="15">
        <f t="shared" si="2"/>
        <v>0</v>
      </c>
      <c r="H16" s="15">
        <f t="shared" si="3"/>
        <v>3.11055555555556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46226.3537137731</v>
      </c>
      <c r="B17" s="6" t="s">
        <v>84</v>
      </c>
      <c r="C17" s="13">
        <v>0.353703703703704</v>
      </c>
      <c r="D17" s="13" t="s">
        <v>65</v>
      </c>
      <c r="E17" s="13">
        <v>0.526122685185185</v>
      </c>
      <c r="F17" s="14">
        <f t="shared" si="1"/>
        <v>4.13805555555555</v>
      </c>
      <c r="G17" s="15">
        <f t="shared" si="2"/>
        <v>4.13805555555555</v>
      </c>
      <c r="H17" s="15">
        <f t="shared" si="3"/>
        <v>0</v>
      </c>
      <c r="I17" s="39" t="s">
        <v>80</v>
      </c>
      <c r="J17" s="40">
        <f>J4+J5+J6+J7+J10</f>
        <v>44.1586111111111</v>
      </c>
      <c r="K17" s="41">
        <f>K4+K5+K6+K7+K10</f>
        <v>17.6416666666667</v>
      </c>
      <c r="L17" s="42">
        <f>L4+L5+L6+L7+L10</f>
        <v>26.5169444444444</v>
      </c>
      <c r="M17" s="43"/>
    </row>
    <row r="18" ht="20.25" spans="1:13">
      <c r="A18" s="12">
        <f ca="1" t="shared" si="0"/>
        <v>46226.6890537037</v>
      </c>
      <c r="B18" s="6" t="s">
        <v>68</v>
      </c>
      <c r="C18" s="13">
        <v>0.689050925925926</v>
      </c>
      <c r="D18" s="13" t="s">
        <v>65</v>
      </c>
      <c r="E18" s="13">
        <v>0.860208333333333</v>
      </c>
      <c r="F18" s="14">
        <f t="shared" si="1"/>
        <v>4.10777777777778</v>
      </c>
      <c r="G18" s="15">
        <f t="shared" si="2"/>
        <v>4.10777777777778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46227.300978125</v>
      </c>
      <c r="B19" s="6" t="s">
        <v>70</v>
      </c>
      <c r="C19" s="13">
        <v>0.300972222222222</v>
      </c>
      <c r="D19" s="13" t="s">
        <v>65</v>
      </c>
      <c r="E19" s="13">
        <v>0.46505787037037</v>
      </c>
      <c r="F19" s="14">
        <f t="shared" si="1"/>
        <v>3.93805555555555</v>
      </c>
      <c r="G19" s="15">
        <f t="shared" si="2"/>
        <v>3.1613888888889</v>
      </c>
      <c r="H19" s="15">
        <f t="shared" si="3"/>
        <v>0.776666666666658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46227.6271768518</v>
      </c>
      <c r="B20" s="6" t="s">
        <v>83</v>
      </c>
      <c r="C20" s="13">
        <v>0.627175925925926</v>
      </c>
      <c r="D20" s="13" t="s">
        <v>65</v>
      </c>
      <c r="E20" s="13">
        <v>0.791828703703704</v>
      </c>
      <c r="F20" s="14">
        <f t="shared" si="1"/>
        <v>3.95166666666667</v>
      </c>
      <c r="G20" s="15">
        <f t="shared" si="2"/>
        <v>3.95166666666667</v>
      </c>
      <c r="H20" s="15">
        <f t="shared" si="3"/>
        <v>0</v>
      </c>
      <c r="I20" s="44" t="s">
        <v>82</v>
      </c>
      <c r="J20" s="45">
        <f>J16+J17+J18+J19</f>
        <v>44.1586111111111</v>
      </c>
      <c r="K20" s="46"/>
      <c r="L20" s="47"/>
      <c r="M20" s="48"/>
    </row>
    <row r="21" ht="20.25" spans="1:13">
      <c r="A21" s="12">
        <f ca="1" t="shared" si="0"/>
        <v>46230.9521434028</v>
      </c>
      <c r="B21" s="6" t="s">
        <v>68</v>
      </c>
      <c r="C21" s="13">
        <v>0.952141203703704</v>
      </c>
      <c r="D21" s="13" t="s">
        <v>65</v>
      </c>
      <c r="E21" s="13">
        <v>0.108680555555556</v>
      </c>
      <c r="F21" s="14">
        <f t="shared" si="1"/>
        <v>3.75694444444444</v>
      </c>
      <c r="G21" s="15">
        <f t="shared" si="2"/>
        <v>1.14861111111111</v>
      </c>
      <c r="H21" s="15">
        <f t="shared" si="3"/>
        <v>2.60833333333333</v>
      </c>
      <c r="I21" s="49" t="s">
        <v>5</v>
      </c>
      <c r="J21" s="50">
        <f>SUM(J8:J9)</f>
        <v>7.55694444444444</v>
      </c>
      <c r="K21" s="41">
        <f>SUM(K8:K9)</f>
        <v>7.55694444444444</v>
      </c>
      <c r="L21" s="42">
        <f>SUM(L8:L9)</f>
        <v>0</v>
      </c>
      <c r="M21" s="51"/>
    </row>
    <row r="22" ht="18.75" spans="1:10">
      <c r="A22" s="12">
        <f ca="1" t="shared" si="0"/>
        <v>46232.1405792824</v>
      </c>
      <c r="B22" s="6" t="s">
        <v>84</v>
      </c>
      <c r="C22" s="13">
        <v>0.140578703703704</v>
      </c>
      <c r="D22" s="13" t="s">
        <v>65</v>
      </c>
      <c r="E22" s="13">
        <v>0.249583333333333</v>
      </c>
      <c r="F22" s="14">
        <f t="shared" si="1"/>
        <v>2.61611111111111</v>
      </c>
      <c r="G22" s="15">
        <f t="shared" si="2"/>
        <v>0</v>
      </c>
      <c r="H22" s="15">
        <f t="shared" si="3"/>
        <v>2.61611111111111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P339"/>
  <sheetViews>
    <sheetView zoomScale="85" zoomScaleNormal="85" workbookViewId="0">
      <selection activeCell="D26" sqref="D26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46204.2979418981</v>
      </c>
      <c r="B3" s="6" t="s">
        <v>84</v>
      </c>
      <c r="C3" s="13">
        <v>0.297939814814815</v>
      </c>
      <c r="D3" s="13" t="s">
        <v>65</v>
      </c>
      <c r="E3" s="13">
        <v>0.369108796296296</v>
      </c>
      <c r="F3" s="14">
        <f t="shared" ref="F3:F66" si="1">(IF(E3-C3&lt;0,"24:00"-C3+E3,E3-C3))*24</f>
        <v>1.70805555555555</v>
      </c>
      <c r="G3" s="15">
        <f t="shared" ref="G3:G66" si="2">F3-H3</f>
        <v>0.858611111111119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0.849444444444435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46206.37645625</v>
      </c>
      <c r="B4" s="6" t="s">
        <v>87</v>
      </c>
      <c r="C4" s="13">
        <v>0.376446759259259</v>
      </c>
      <c r="D4" s="13" t="s">
        <v>65</v>
      </c>
      <c r="E4" s="13">
        <v>0.530775462962963</v>
      </c>
      <c r="F4" s="14">
        <f t="shared" si="1"/>
        <v>3.70388888888889</v>
      </c>
      <c r="G4" s="15">
        <f t="shared" si="2"/>
        <v>3.70388888888889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34.2766666666667</v>
      </c>
      <c r="K4" s="25">
        <f>SUMIF(B:B,"西塔台管制席",G:G)+SUMIF(B:B,"东塔台管制席",G:G)</f>
        <v>19.0091666666667</v>
      </c>
      <c r="L4" s="25">
        <f>SUMIF(B:B,"西塔台管制席",H:H)+SUMIF(B:B,"东塔台管制席",H:H)</f>
        <v>15.2675</v>
      </c>
      <c r="M4" s="21"/>
    </row>
    <row r="5" ht="18.75" spans="1:13">
      <c r="A5" s="12">
        <f ca="1" t="shared" si="0"/>
        <v>46206.5663820602</v>
      </c>
      <c r="B5" s="6" t="s">
        <v>87</v>
      </c>
      <c r="C5" s="13">
        <v>0.566377314814815</v>
      </c>
      <c r="D5" s="13" t="s">
        <v>65</v>
      </c>
      <c r="E5" s="13">
        <v>0.62556712962963</v>
      </c>
      <c r="F5" s="14">
        <f t="shared" si="1"/>
        <v>1.42055555555555</v>
      </c>
      <c r="G5" s="15">
        <f t="shared" si="2"/>
        <v>1.42055555555555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20.6486111111111</v>
      </c>
      <c r="K5" s="25">
        <f>SUMIF(B:B,"西塔台协调席",G:G)+SUMIF(B:B,"东塔台协调席",G:G)</f>
        <v>17.7130555555556</v>
      </c>
      <c r="L5" s="25">
        <f>SUMIF(B:B,"西塔台协调席",H:H)+SUMIF(B:B,"东塔台协调席",H:H)</f>
        <v>2.93555555555556</v>
      </c>
      <c r="M5" s="21"/>
    </row>
    <row r="6" ht="18.75" spans="1:13">
      <c r="A6" s="12">
        <f ca="1" t="shared" si="0"/>
        <v>46207.427915625</v>
      </c>
      <c r="B6" s="6" t="s">
        <v>87</v>
      </c>
      <c r="C6" s="13">
        <v>0.427905092592593</v>
      </c>
      <c r="D6" s="13" t="s">
        <v>65</v>
      </c>
      <c r="E6" s="13">
        <v>0.548310185185185</v>
      </c>
      <c r="F6" s="14">
        <f t="shared" si="1"/>
        <v>2.88972222222222</v>
      </c>
      <c r="G6" s="15">
        <f t="shared" si="2"/>
        <v>2.88972222222222</v>
      </c>
      <c r="H6" s="15">
        <f t="shared" si="3"/>
        <v>0</v>
      </c>
      <c r="I6" s="23" t="s">
        <v>71</v>
      </c>
      <c r="J6" s="24">
        <f>SUMIF(B:B,"放行席",F:F)</f>
        <v>2.10861111111111</v>
      </c>
      <c r="K6" s="25">
        <f>SUMIF(B:B,"放行席",G:G)</f>
        <v>0</v>
      </c>
      <c r="L6" s="25">
        <f>SUMIF(B:B,"放行席",H:H)</f>
        <v>2.10861111111111</v>
      </c>
      <c r="M6" s="21"/>
    </row>
    <row r="7" ht="18.75" spans="1:13">
      <c r="A7" s="12">
        <f ca="1" t="shared" si="0"/>
        <v>46207.6114043982</v>
      </c>
      <c r="B7" s="6" t="s">
        <v>87</v>
      </c>
      <c r="C7" s="13">
        <v>0.611400462962963</v>
      </c>
      <c r="D7" s="13" t="s">
        <v>65</v>
      </c>
      <c r="E7" s="13">
        <v>0.729178240740741</v>
      </c>
      <c r="F7" s="14">
        <f t="shared" si="1"/>
        <v>2.82666666666667</v>
      </c>
      <c r="G7" s="15">
        <f t="shared" si="2"/>
        <v>2.82666666666667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>
        <f ca="1" t="shared" si="0"/>
        <v>46215.1398659722</v>
      </c>
      <c r="B8" s="6" t="s">
        <v>84</v>
      </c>
      <c r="C8" s="13">
        <v>0.139861111111111</v>
      </c>
      <c r="D8" s="13" t="s">
        <v>65</v>
      </c>
      <c r="E8" s="13">
        <v>0.306018518518519</v>
      </c>
      <c r="F8" s="14">
        <f t="shared" si="1"/>
        <v>3.98777777777778</v>
      </c>
      <c r="G8" s="15">
        <f t="shared" si="2"/>
        <v>0</v>
      </c>
      <c r="H8" s="15">
        <f t="shared" si="3"/>
        <v>3.98777777777778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46215.951025463</v>
      </c>
      <c r="B9" s="6" t="s">
        <v>68</v>
      </c>
      <c r="C9" s="13">
        <v>0.951018518518519</v>
      </c>
      <c r="D9" s="13" t="s">
        <v>65</v>
      </c>
      <c r="E9" s="13">
        <v>0.122314814814815</v>
      </c>
      <c r="F9" s="14">
        <f t="shared" si="1"/>
        <v>4.11111111111111</v>
      </c>
      <c r="G9" s="15">
        <f t="shared" si="2"/>
        <v>1.17555555555555</v>
      </c>
      <c r="H9" s="15">
        <f t="shared" si="3"/>
        <v>2.93555555555556</v>
      </c>
      <c r="I9" s="23" t="s">
        <v>74</v>
      </c>
      <c r="J9" s="24">
        <f>SUMIF(B:B,"航班调度席",F:F)</f>
        <v>10.8408333333333</v>
      </c>
      <c r="K9" s="25">
        <f>SUMIF(B:B,"航班调度席",G:G)</f>
        <v>10.8408333333333</v>
      </c>
      <c r="L9" s="25">
        <f>SUMIF(B:B,"航班调度席",H:H)</f>
        <v>0</v>
      </c>
      <c r="M9" s="21"/>
    </row>
    <row r="10" ht="18.75" spans="1:13">
      <c r="A10" s="12">
        <f ca="1" t="shared" si="0"/>
        <v>46218.5222174768</v>
      </c>
      <c r="B10" s="6" t="s">
        <v>70</v>
      </c>
      <c r="C10" s="13">
        <v>0.522210648148148</v>
      </c>
      <c r="D10" s="13" t="s">
        <v>65</v>
      </c>
      <c r="E10" s="13">
        <v>0.695706018518519</v>
      </c>
      <c r="F10" s="14">
        <f t="shared" si="1"/>
        <v>4.16388888888889</v>
      </c>
      <c r="G10" s="15">
        <f t="shared" si="2"/>
        <v>4.16388888888889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46218.7716775463</v>
      </c>
      <c r="B11" s="6" t="s">
        <v>70</v>
      </c>
      <c r="C11" s="13">
        <v>0.771666666666667</v>
      </c>
      <c r="D11" s="13" t="s">
        <v>65</v>
      </c>
      <c r="E11" s="13">
        <v>0.862476851851852</v>
      </c>
      <c r="F11" s="14">
        <f t="shared" si="1"/>
        <v>2.17944444444445</v>
      </c>
      <c r="G11" s="15">
        <f t="shared" si="2"/>
        <v>2.17944444444445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46219.416502662</v>
      </c>
      <c r="B12" s="6" t="s">
        <v>83</v>
      </c>
      <c r="C12" s="13">
        <v>0.416493055555556</v>
      </c>
      <c r="D12" s="13" t="s">
        <v>65</v>
      </c>
      <c r="E12" s="13">
        <v>0.528333333333333</v>
      </c>
      <c r="F12" s="14">
        <f t="shared" si="1"/>
        <v>2.68416666666667</v>
      </c>
      <c r="G12" s="15">
        <f t="shared" si="2"/>
        <v>2.68416666666667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46219.6478296296</v>
      </c>
      <c r="B13" s="6" t="s">
        <v>83</v>
      </c>
      <c r="C13" s="13">
        <v>0.647824074074074</v>
      </c>
      <c r="D13" s="13" t="s">
        <v>65</v>
      </c>
      <c r="E13" s="13">
        <v>0.734594907407407</v>
      </c>
      <c r="F13" s="14">
        <f t="shared" si="1"/>
        <v>2.0825</v>
      </c>
      <c r="G13" s="15">
        <f t="shared" si="2"/>
        <v>2.0825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46219.7928313657</v>
      </c>
      <c r="B14" s="6" t="s">
        <v>83</v>
      </c>
      <c r="C14" s="13">
        <v>0.792824074074074</v>
      </c>
      <c r="D14" s="13" t="s">
        <v>65</v>
      </c>
      <c r="E14" s="13">
        <v>0.957893518518519</v>
      </c>
      <c r="F14" s="14">
        <f t="shared" si="1"/>
        <v>3.96166666666667</v>
      </c>
      <c r="G14" s="15">
        <f t="shared" si="2"/>
        <v>3.96166666666667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>
        <f ca="1" t="shared" si="0"/>
        <v>46220.3004641204</v>
      </c>
      <c r="B15" s="6" t="s">
        <v>84</v>
      </c>
      <c r="C15" s="13">
        <v>0.300462962962963</v>
      </c>
      <c r="D15" s="13" t="s">
        <v>65</v>
      </c>
      <c r="E15" s="13">
        <v>0.366319444444444</v>
      </c>
      <c r="F15" s="14">
        <f t="shared" si="1"/>
        <v>1.58055555555555</v>
      </c>
      <c r="G15" s="15">
        <f t="shared" si="2"/>
        <v>0.791666666666675</v>
      </c>
      <c r="H15" s="15">
        <f t="shared" si="3"/>
        <v>0.78888888888888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46222.952993287</v>
      </c>
      <c r="B16" s="6" t="s">
        <v>70</v>
      </c>
      <c r="C16" s="13">
        <v>0.952986111111111</v>
      </c>
      <c r="D16" s="13" t="s">
        <v>65</v>
      </c>
      <c r="E16" s="13">
        <v>0.957488425925926</v>
      </c>
      <c r="F16" s="14">
        <f t="shared" si="1"/>
        <v>0.108055555555555</v>
      </c>
      <c r="G16" s="15">
        <f t="shared" si="2"/>
        <v>0.108055555555555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46222.9575212963</v>
      </c>
      <c r="B17" s="6" t="s">
        <v>70</v>
      </c>
      <c r="C17" s="13">
        <v>0.957511574074074</v>
      </c>
      <c r="D17" s="13" t="s">
        <v>65</v>
      </c>
      <c r="E17" s="13">
        <v>0.0898842592592593</v>
      </c>
      <c r="F17" s="14">
        <f t="shared" si="1"/>
        <v>3.17694444444444</v>
      </c>
      <c r="G17" s="15">
        <f t="shared" si="2"/>
        <v>1.01972222222222</v>
      </c>
      <c r="H17" s="15">
        <f t="shared" si="3"/>
        <v>2.15722222222222</v>
      </c>
      <c r="I17" s="39" t="s">
        <v>80</v>
      </c>
      <c r="J17" s="40">
        <f>J4+J5+J6+J7+J10</f>
        <v>57.0338888888889</v>
      </c>
      <c r="K17" s="41">
        <f>K4+K5+K6+K7+K10</f>
        <v>36.7222222222222</v>
      </c>
      <c r="L17" s="42">
        <f>L4+L5+L6+L7+L10</f>
        <v>20.3116666666666</v>
      </c>
      <c r="M17" s="43"/>
    </row>
    <row r="18" ht="20.25" spans="1:13">
      <c r="A18" s="12">
        <f ca="1" t="shared" si="0"/>
        <v>46224.1337289352</v>
      </c>
      <c r="B18" s="6" t="s">
        <v>85</v>
      </c>
      <c r="C18" s="13">
        <v>0.133726851851852</v>
      </c>
      <c r="D18" s="13" t="s">
        <v>65</v>
      </c>
      <c r="E18" s="13">
        <v>0.221585648148148</v>
      </c>
      <c r="F18" s="14">
        <f t="shared" si="1"/>
        <v>2.10861111111111</v>
      </c>
      <c r="G18" s="15">
        <f t="shared" si="2"/>
        <v>0</v>
      </c>
      <c r="H18" s="15">
        <f t="shared" si="3"/>
        <v>2.10861111111111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46227.1362320602</v>
      </c>
      <c r="B19" s="6" t="s">
        <v>70</v>
      </c>
      <c r="C19" s="13">
        <v>0.136226851851852</v>
      </c>
      <c r="D19" s="13" t="s">
        <v>65</v>
      </c>
      <c r="E19" s="13">
        <v>0.306759259259259</v>
      </c>
      <c r="F19" s="14">
        <f t="shared" si="1"/>
        <v>4.09277777777778</v>
      </c>
      <c r="G19" s="15">
        <f t="shared" si="2"/>
        <v>0</v>
      </c>
      <c r="H19" s="15">
        <f t="shared" si="3"/>
        <v>4.09277777777778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46227.9492363426</v>
      </c>
      <c r="B20" s="6" t="s">
        <v>70</v>
      </c>
      <c r="C20" s="13">
        <v>0.949236111111111</v>
      </c>
      <c r="D20" s="13" t="s">
        <v>65</v>
      </c>
      <c r="E20" s="13">
        <v>0.109074074074074</v>
      </c>
      <c r="F20" s="14">
        <f t="shared" si="1"/>
        <v>3.83611111111111</v>
      </c>
      <c r="G20" s="15">
        <f t="shared" si="2"/>
        <v>1.21833333333334</v>
      </c>
      <c r="H20" s="15">
        <f t="shared" si="3"/>
        <v>2.61777777777778</v>
      </c>
      <c r="I20" s="44" t="s">
        <v>82</v>
      </c>
      <c r="J20" s="45">
        <f>J16+J17+J18+J19</f>
        <v>57.0338888888889</v>
      </c>
      <c r="K20" s="46"/>
      <c r="L20" s="47"/>
      <c r="M20" s="48"/>
    </row>
    <row r="21" ht="20.25" spans="1:13">
      <c r="A21" s="12">
        <f ca="1" t="shared" si="0"/>
        <v>46230.3571157407</v>
      </c>
      <c r="B21" s="6" t="s">
        <v>84</v>
      </c>
      <c r="C21" s="13">
        <v>0.357106481481481</v>
      </c>
      <c r="D21" s="13" t="s">
        <v>65</v>
      </c>
      <c r="E21" s="13">
        <v>0.526967592592593</v>
      </c>
      <c r="F21" s="14">
        <f t="shared" si="1"/>
        <v>4.07666666666667</v>
      </c>
      <c r="G21" s="15">
        <f t="shared" si="2"/>
        <v>4.07666666666667</v>
      </c>
      <c r="H21" s="15">
        <f t="shared" si="3"/>
        <v>0</v>
      </c>
      <c r="I21" s="49" t="s">
        <v>5</v>
      </c>
      <c r="J21" s="50">
        <f>SUM(J8:J9)</f>
        <v>10.8408333333333</v>
      </c>
      <c r="K21" s="41">
        <f>SUM(K8:K9)</f>
        <v>10.8408333333333</v>
      </c>
      <c r="L21" s="42">
        <f>SUM(L8:L9)</f>
        <v>0</v>
      </c>
      <c r="M21" s="51"/>
    </row>
    <row r="22" ht="18.75" spans="1:10">
      <c r="A22" s="12">
        <f ca="1" t="shared" si="0"/>
        <v>46230.7660618056</v>
      </c>
      <c r="B22" s="6" t="s">
        <v>68</v>
      </c>
      <c r="C22" s="13">
        <v>0.766053240740741</v>
      </c>
      <c r="D22" s="13" t="s">
        <v>65</v>
      </c>
      <c r="E22" s="13">
        <v>0.957025462962963</v>
      </c>
      <c r="F22" s="14">
        <f t="shared" si="1"/>
        <v>4.58333333333334</v>
      </c>
      <c r="G22" s="15">
        <f t="shared" si="2"/>
        <v>4.58333333333334</v>
      </c>
      <c r="H22" s="15">
        <f t="shared" si="3"/>
        <v>0</v>
      </c>
      <c r="I22"/>
      <c r="J22"/>
    </row>
    <row r="23" ht="18.75" spans="1:10">
      <c r="A23" s="12">
        <f ca="1" t="shared" si="0"/>
        <v>46231.3011013889</v>
      </c>
      <c r="B23" s="6" t="s">
        <v>70</v>
      </c>
      <c r="C23" s="13">
        <v>0.301099537037037</v>
      </c>
      <c r="D23" s="13" t="s">
        <v>65</v>
      </c>
      <c r="E23" s="13">
        <v>0.423773148148148</v>
      </c>
      <c r="F23" s="14">
        <f t="shared" si="1"/>
        <v>2.94416666666667</v>
      </c>
      <c r="G23" s="15">
        <f t="shared" si="2"/>
        <v>2.17055555555556</v>
      </c>
      <c r="H23" s="15">
        <f t="shared" si="3"/>
        <v>0.773611111111103</v>
      </c>
      <c r="I23"/>
      <c r="J23"/>
    </row>
    <row r="24" ht="18.75" spans="1:10">
      <c r="A24" s="12">
        <f ca="1" t="shared" si="0"/>
        <v>46231.52229375</v>
      </c>
      <c r="B24" s="6" t="s">
        <v>83</v>
      </c>
      <c r="C24" s="13">
        <v>0.522291666666667</v>
      </c>
      <c r="D24" s="13" t="s">
        <v>65</v>
      </c>
      <c r="E24" s="13">
        <v>0.656701388888889</v>
      </c>
      <c r="F24" s="14">
        <f t="shared" si="1"/>
        <v>3.22583333333333</v>
      </c>
      <c r="G24" s="15">
        <f t="shared" si="2"/>
        <v>3.22583333333333</v>
      </c>
      <c r="H24" s="15">
        <f t="shared" si="3"/>
        <v>0</v>
      </c>
      <c r="I24"/>
      <c r="J24"/>
    </row>
    <row r="25" ht="18.75" spans="1:10">
      <c r="A25" s="12">
        <f ca="1" t="shared" si="0"/>
        <v>46231.7643612269</v>
      </c>
      <c r="B25" s="6" t="s">
        <v>70</v>
      </c>
      <c r="C25" s="13">
        <v>0.764351851851852</v>
      </c>
      <c r="D25" s="13" t="s">
        <v>65</v>
      </c>
      <c r="E25" s="13">
        <v>0.865277777777778</v>
      </c>
      <c r="F25" s="14">
        <f t="shared" si="1"/>
        <v>2.42222222222222</v>
      </c>
      <c r="G25" s="15">
        <f t="shared" si="2"/>
        <v>2.42222222222222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P339"/>
  <sheetViews>
    <sheetView zoomScale="85" zoomScaleNormal="85" topLeftCell="A7" workbookViewId="0">
      <selection activeCell="D30" sqref="D30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46205.1392056713</v>
      </c>
      <c r="B3" s="6" t="s">
        <v>86</v>
      </c>
      <c r="C3" s="13">
        <v>0.139201388888889</v>
      </c>
      <c r="D3" s="13" t="s">
        <v>65</v>
      </c>
      <c r="E3" s="13">
        <v>0.221273148148148</v>
      </c>
      <c r="F3" s="14">
        <f t="shared" ref="F3:F66" si="1">(IF(E3-C3&lt;0,"24:00"-C3+E3,E3-C3))*24</f>
        <v>1.96972222222222</v>
      </c>
      <c r="G3" s="15">
        <f t="shared" ref="G3:G66" si="2">F3-H3</f>
        <v>0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1.96972222222222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46206.138577662</v>
      </c>
      <c r="B4" s="6" t="s">
        <v>84</v>
      </c>
      <c r="C4" s="13">
        <v>0.138576388888889</v>
      </c>
      <c r="D4" s="13" t="s">
        <v>65</v>
      </c>
      <c r="E4" s="13">
        <v>0.304247685185185</v>
      </c>
      <c r="F4" s="14">
        <f t="shared" si="1"/>
        <v>3.97611111111111</v>
      </c>
      <c r="G4" s="15">
        <f t="shared" si="2"/>
        <v>0</v>
      </c>
      <c r="H4" s="15">
        <f t="shared" si="3"/>
        <v>3.97611111111111</v>
      </c>
      <c r="I4" s="23" t="s">
        <v>67</v>
      </c>
      <c r="J4" s="24">
        <f>SUMIF(B:B,"西塔台管制席",F:F)+SUMIF(B:B,"东塔台管制席",F:F)</f>
        <v>33.4752777777778</v>
      </c>
      <c r="K4" s="25">
        <f>SUMIF(B:B,"西塔台管制席",G:G)+SUMIF(B:B,"东塔台管制席",G:G)</f>
        <v>14.4375</v>
      </c>
      <c r="L4" s="25">
        <f>SUMIF(B:B,"西塔台管制席",H:H)+SUMIF(B:B,"东塔台管制席",H:H)</f>
        <v>19.0377777777778</v>
      </c>
      <c r="M4" s="21"/>
    </row>
    <row r="5" ht="18.75" spans="1:13">
      <c r="A5" s="12">
        <f ca="1" t="shared" si="0"/>
        <v>46208.3563398148</v>
      </c>
      <c r="B5" s="6" t="s">
        <v>68</v>
      </c>
      <c r="C5" s="13">
        <v>0.356331018518519</v>
      </c>
      <c r="D5" s="13" t="s">
        <v>65</v>
      </c>
      <c r="E5" s="13">
        <v>0.508900462962963</v>
      </c>
      <c r="F5" s="14">
        <f t="shared" si="1"/>
        <v>3.66166666666667</v>
      </c>
      <c r="G5" s="15">
        <f t="shared" si="2"/>
        <v>3.66166666666667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26.1002777777778</v>
      </c>
      <c r="K5" s="25">
        <f>SUMIF(B:B,"西塔台协调席",G:G)+SUMIF(B:B,"东塔台协调席",G:G)</f>
        <v>17.2791666666667</v>
      </c>
      <c r="L5" s="25">
        <f>SUMIF(B:B,"西塔台协调席",H:H)+SUMIF(B:B,"东塔台协调席",H:H)</f>
        <v>8.8211111111111</v>
      </c>
      <c r="M5" s="21"/>
    </row>
    <row r="6" ht="18.75" spans="1:13">
      <c r="A6" s="12">
        <f ca="1" t="shared" si="0"/>
        <v>46208.6271012731</v>
      </c>
      <c r="B6" s="6" t="s">
        <v>70</v>
      </c>
      <c r="C6" s="13">
        <v>0.627094907407407</v>
      </c>
      <c r="D6" s="13" t="s">
        <v>65</v>
      </c>
      <c r="E6" s="13">
        <v>0.757037037037037</v>
      </c>
      <c r="F6" s="14">
        <f t="shared" si="1"/>
        <v>3.11861111111111</v>
      </c>
      <c r="G6" s="15">
        <f t="shared" si="2"/>
        <v>3.11861111111111</v>
      </c>
      <c r="H6" s="15">
        <f t="shared" si="3"/>
        <v>0</v>
      </c>
      <c r="I6" s="23" t="s">
        <v>71</v>
      </c>
      <c r="J6" s="24">
        <f>SUMIF(B:B,"放行席",F:F)</f>
        <v>2.13222222222222</v>
      </c>
      <c r="K6" s="25">
        <f>SUMIF(B:B,"放行席",G:G)</f>
        <v>0</v>
      </c>
      <c r="L6" s="25">
        <f>SUMIF(B:B,"放行席",H:H)</f>
        <v>2.13222222222222</v>
      </c>
      <c r="M6" s="21"/>
    </row>
    <row r="7" ht="18.75" spans="1:13">
      <c r="A7" s="12">
        <f ca="1" t="shared" si="0"/>
        <v>46208.8759908565</v>
      </c>
      <c r="B7" s="6" t="s">
        <v>83</v>
      </c>
      <c r="C7" s="13">
        <v>0.875983796296296</v>
      </c>
      <c r="D7" s="13" t="s">
        <v>65</v>
      </c>
      <c r="E7" s="13">
        <v>0.960914351851852</v>
      </c>
      <c r="F7" s="14">
        <f t="shared" si="1"/>
        <v>2.03833333333333</v>
      </c>
      <c r="G7" s="15">
        <f t="shared" si="2"/>
        <v>2.03833333333333</v>
      </c>
      <c r="H7" s="15">
        <f t="shared" si="3"/>
        <v>0</v>
      </c>
      <c r="I7" s="23" t="s">
        <v>72</v>
      </c>
      <c r="J7" s="24">
        <f>SUMIF(B:B,"地面席",F:F)</f>
        <v>1.96972222222222</v>
      </c>
      <c r="K7" s="25">
        <f>SUMIF(B:B,"地面席",G:G)</f>
        <v>0</v>
      </c>
      <c r="L7" s="25">
        <f>SUMIF(B:B,"地面席",H:H)</f>
        <v>1.96972222222222</v>
      </c>
      <c r="M7" s="21"/>
    </row>
    <row r="8" ht="18.75" spans="1:13">
      <c r="A8" s="12">
        <f ca="1" t="shared" si="0"/>
        <v>46209.3004425926</v>
      </c>
      <c r="B8" s="6" t="s">
        <v>84</v>
      </c>
      <c r="C8" s="13">
        <v>0.300439814814815</v>
      </c>
      <c r="D8" s="13" t="s">
        <v>65</v>
      </c>
      <c r="E8" s="13">
        <v>0.349594907407407</v>
      </c>
      <c r="F8" s="14">
        <f t="shared" si="1"/>
        <v>1.17972222222222</v>
      </c>
      <c r="G8" s="15">
        <f t="shared" si="2"/>
        <v>0.390277777777786</v>
      </c>
      <c r="H8" s="15">
        <f t="shared" si="3"/>
        <v>0.789444444444436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46209.3585758102</v>
      </c>
      <c r="B9" s="6" t="s">
        <v>84</v>
      </c>
      <c r="C9" s="13">
        <v>0.358564814814815</v>
      </c>
      <c r="D9" s="13" t="s">
        <v>65</v>
      </c>
      <c r="E9" s="13">
        <v>0.465023148148148</v>
      </c>
      <c r="F9" s="14">
        <f t="shared" si="1"/>
        <v>2.555</v>
      </c>
      <c r="G9" s="15">
        <f t="shared" si="2"/>
        <v>2.555</v>
      </c>
      <c r="H9" s="15">
        <f t="shared" si="3"/>
        <v>0</v>
      </c>
      <c r="I9" s="23" t="s">
        <v>74</v>
      </c>
      <c r="J9" s="24">
        <f>SUMIF(B:B,"航班调度席",F:F)</f>
        <v>11.6525</v>
      </c>
      <c r="K9" s="25">
        <f>SUMIF(B:B,"航班调度席",G:G)</f>
        <v>11.6525</v>
      </c>
      <c r="L9" s="25">
        <f>SUMIF(B:B,"航班调度席",H:H)</f>
        <v>0</v>
      </c>
      <c r="M9" s="21"/>
    </row>
    <row r="10" ht="18.75" spans="1:13">
      <c r="A10" s="12">
        <f ca="1" t="shared" si="0"/>
        <v>46209.5200159722</v>
      </c>
      <c r="B10" s="6" t="s">
        <v>68</v>
      </c>
      <c r="C10" s="13">
        <v>0.520011574074074</v>
      </c>
      <c r="D10" s="13" t="s">
        <v>65</v>
      </c>
      <c r="E10" s="13">
        <v>0.609386574074074</v>
      </c>
      <c r="F10" s="14">
        <f t="shared" si="1"/>
        <v>2.145</v>
      </c>
      <c r="G10" s="15">
        <f t="shared" si="2"/>
        <v>2.145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46212.9522908565</v>
      </c>
      <c r="B11" s="6" t="s">
        <v>68</v>
      </c>
      <c r="C11" s="13">
        <v>0.952280092592593</v>
      </c>
      <c r="D11" s="13" t="s">
        <v>65</v>
      </c>
      <c r="E11" s="13">
        <v>0.111770833333333</v>
      </c>
      <c r="F11" s="14">
        <f t="shared" si="1"/>
        <v>3.82777777777778</v>
      </c>
      <c r="G11" s="15">
        <f t="shared" si="2"/>
        <v>1.14527777777778</v>
      </c>
      <c r="H11" s="15">
        <f t="shared" si="3"/>
        <v>2.6825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46214.0139559028</v>
      </c>
      <c r="B12" s="6" t="s">
        <v>84</v>
      </c>
      <c r="C12" s="13">
        <v>0.0139467592592593</v>
      </c>
      <c r="D12" s="13" t="s">
        <v>65</v>
      </c>
      <c r="E12" s="13">
        <v>0.145092592592593</v>
      </c>
      <c r="F12" s="14">
        <f t="shared" si="1"/>
        <v>3.1475</v>
      </c>
      <c r="G12" s="15">
        <f t="shared" si="2"/>
        <v>0</v>
      </c>
      <c r="H12" s="15">
        <f t="shared" si="3"/>
        <v>3.1475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46217.138528588</v>
      </c>
      <c r="B13" s="6" t="s">
        <v>70</v>
      </c>
      <c r="C13" s="13">
        <v>0.138518518518519</v>
      </c>
      <c r="D13" s="13" t="s">
        <v>65</v>
      </c>
      <c r="E13" s="13">
        <v>0.305613425925926</v>
      </c>
      <c r="F13" s="14">
        <f t="shared" si="1"/>
        <v>4.01027777777778</v>
      </c>
      <c r="G13" s="15">
        <f t="shared" si="2"/>
        <v>0</v>
      </c>
      <c r="H13" s="15">
        <f t="shared" si="3"/>
        <v>4.01027777777778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46218.1332108796</v>
      </c>
      <c r="B14" s="6" t="s">
        <v>85</v>
      </c>
      <c r="C14" s="13">
        <v>0.133206018518519</v>
      </c>
      <c r="D14" s="13" t="s">
        <v>65</v>
      </c>
      <c r="E14" s="13">
        <v>0.222048611111111</v>
      </c>
      <c r="F14" s="14">
        <f t="shared" si="1"/>
        <v>2.13222222222222</v>
      </c>
      <c r="G14" s="15">
        <f t="shared" si="2"/>
        <v>0</v>
      </c>
      <c r="H14" s="15">
        <f t="shared" si="3"/>
        <v>2.13222222222222</v>
      </c>
      <c r="I14" s="33"/>
      <c r="J14" s="33"/>
      <c r="K14" s="33"/>
      <c r="L14" s="33"/>
      <c r="M14" s="33"/>
    </row>
    <row r="15" ht="101.25" spans="1:13">
      <c r="A15" s="12">
        <f ca="1" t="shared" si="0"/>
        <v>46220.5027436343</v>
      </c>
      <c r="B15" s="6" t="s">
        <v>84</v>
      </c>
      <c r="C15" s="13">
        <v>0.502743055555556</v>
      </c>
      <c r="D15" s="13" t="s">
        <v>65</v>
      </c>
      <c r="E15" s="13">
        <v>0.633159722222222</v>
      </c>
      <c r="F15" s="14">
        <f t="shared" si="1"/>
        <v>3.13</v>
      </c>
      <c r="G15" s="15">
        <f t="shared" si="2"/>
        <v>3.13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46220.7508983796</v>
      </c>
      <c r="B16" s="6" t="s">
        <v>68</v>
      </c>
      <c r="C16" s="13">
        <v>0.750891203703704</v>
      </c>
      <c r="D16" s="13" t="s">
        <v>65</v>
      </c>
      <c r="E16" s="13">
        <v>0.882071759259259</v>
      </c>
      <c r="F16" s="14">
        <f t="shared" si="1"/>
        <v>3.14833333333333</v>
      </c>
      <c r="G16" s="15">
        <f t="shared" si="2"/>
        <v>3.14833333333333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46221.416894213</v>
      </c>
      <c r="B17" s="6" t="s">
        <v>84</v>
      </c>
      <c r="C17" s="13">
        <v>0.416886574074074</v>
      </c>
      <c r="D17" s="13" t="s">
        <v>65</v>
      </c>
      <c r="E17" s="13">
        <v>0.511527777777778</v>
      </c>
      <c r="F17" s="14">
        <f t="shared" si="1"/>
        <v>2.27138888888889</v>
      </c>
      <c r="G17" s="15">
        <f t="shared" si="2"/>
        <v>2.27138888888889</v>
      </c>
      <c r="H17" s="15">
        <f t="shared" si="3"/>
        <v>0</v>
      </c>
      <c r="I17" s="39" t="s">
        <v>80</v>
      </c>
      <c r="J17" s="40">
        <f>J4+J5+J6+J7+J10</f>
        <v>63.6775</v>
      </c>
      <c r="K17" s="41">
        <f>K4+K5+K6+K7+K10</f>
        <v>31.7166666666667</v>
      </c>
      <c r="L17" s="42">
        <f>L4+L5+L6+L7+L10</f>
        <v>31.9608333333333</v>
      </c>
      <c r="M17" s="43"/>
    </row>
    <row r="18" ht="20.25" spans="1:13">
      <c r="A18" s="12">
        <f ca="1" t="shared" si="0"/>
        <v>46221.6254892361</v>
      </c>
      <c r="B18" s="6" t="s">
        <v>68</v>
      </c>
      <c r="C18" s="13">
        <v>0.625486111111111</v>
      </c>
      <c r="D18" s="13" t="s">
        <v>65</v>
      </c>
      <c r="E18" s="13">
        <v>0.762546296296296</v>
      </c>
      <c r="F18" s="14">
        <f t="shared" si="1"/>
        <v>3.28944444444445</v>
      </c>
      <c r="G18" s="15">
        <f t="shared" si="2"/>
        <v>3.28944444444445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46221.834024537</v>
      </c>
      <c r="B19" s="6" t="s">
        <v>84</v>
      </c>
      <c r="C19" s="13">
        <v>0.834016203703704</v>
      </c>
      <c r="D19" s="13" t="s">
        <v>65</v>
      </c>
      <c r="E19" s="13">
        <v>0.957858796296296</v>
      </c>
      <c r="F19" s="14">
        <f t="shared" si="1"/>
        <v>2.97222222222222</v>
      </c>
      <c r="G19" s="15">
        <f t="shared" si="2"/>
        <v>2.97222222222222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46222.2992258102</v>
      </c>
      <c r="B20" s="6" t="s">
        <v>68</v>
      </c>
      <c r="C20" s="13">
        <v>0.299224537037037</v>
      </c>
      <c r="D20" s="13" t="s">
        <v>65</v>
      </c>
      <c r="E20" s="13">
        <v>0.362002314814815</v>
      </c>
      <c r="F20" s="14">
        <f t="shared" si="1"/>
        <v>1.50666666666667</v>
      </c>
      <c r="G20" s="15">
        <f t="shared" si="2"/>
        <v>0.688055555555564</v>
      </c>
      <c r="H20" s="15">
        <f t="shared" si="3"/>
        <v>0.818611111111102</v>
      </c>
      <c r="I20" s="44" t="s">
        <v>82</v>
      </c>
      <c r="J20" s="45">
        <f>J16+J17+J18+J19</f>
        <v>63.6775</v>
      </c>
      <c r="K20" s="46"/>
      <c r="L20" s="47"/>
      <c r="M20" s="48"/>
    </row>
    <row r="21" ht="20.25" spans="1:13">
      <c r="A21" s="12">
        <f ca="1" t="shared" si="0"/>
        <v>46225.0141887732</v>
      </c>
      <c r="B21" s="6" t="s">
        <v>84</v>
      </c>
      <c r="C21" s="13">
        <v>0.0141782407407407</v>
      </c>
      <c r="D21" s="13" t="s">
        <v>65</v>
      </c>
      <c r="E21" s="13">
        <v>0.146122685185185</v>
      </c>
      <c r="F21" s="14">
        <f t="shared" si="1"/>
        <v>3.16666666666667</v>
      </c>
      <c r="G21" s="15">
        <f t="shared" si="2"/>
        <v>0</v>
      </c>
      <c r="H21" s="15">
        <f t="shared" si="3"/>
        <v>3.16666666666667</v>
      </c>
      <c r="I21" s="49" t="s">
        <v>5</v>
      </c>
      <c r="J21" s="50">
        <f>SUM(J8:J9)</f>
        <v>11.6525</v>
      </c>
      <c r="K21" s="41">
        <f>SUM(K8:K9)</f>
        <v>11.6525</v>
      </c>
      <c r="L21" s="42">
        <f>SUM(L8:L9)</f>
        <v>0</v>
      </c>
      <c r="M21" s="51"/>
    </row>
    <row r="22" ht="18.75" spans="1:10">
      <c r="A22" s="12">
        <f ca="1" t="shared" si="0"/>
        <v>46225.9515421296</v>
      </c>
      <c r="B22" s="6" t="s">
        <v>68</v>
      </c>
      <c r="C22" s="13">
        <v>0.951539351851852</v>
      </c>
      <c r="D22" s="13" t="s">
        <v>65</v>
      </c>
      <c r="E22" s="13">
        <v>0.121967592592593</v>
      </c>
      <c r="F22" s="14">
        <f t="shared" si="1"/>
        <v>4.09027777777778</v>
      </c>
      <c r="G22" s="15">
        <f t="shared" si="2"/>
        <v>1.16305555555555</v>
      </c>
      <c r="H22" s="15">
        <f t="shared" si="3"/>
        <v>2.92722222222222</v>
      </c>
      <c r="I22"/>
      <c r="J22"/>
    </row>
    <row r="23" ht="18.75" spans="1:10">
      <c r="A23" s="12">
        <f ca="1" t="shared" si="0"/>
        <v>46230.1403195602</v>
      </c>
      <c r="B23" s="6" t="s">
        <v>84</v>
      </c>
      <c r="C23" s="13">
        <v>0.1403125</v>
      </c>
      <c r="D23" s="13" t="s">
        <v>65</v>
      </c>
      <c r="E23" s="13">
        <v>0.304803240740741</v>
      </c>
      <c r="F23" s="14">
        <f t="shared" si="1"/>
        <v>3.94777777777778</v>
      </c>
      <c r="G23" s="15">
        <f t="shared" si="2"/>
        <v>0</v>
      </c>
      <c r="H23" s="15">
        <f t="shared" si="3"/>
        <v>3.94777777777778</v>
      </c>
      <c r="I23"/>
      <c r="J23"/>
    </row>
    <row r="24" ht="18.75" spans="1:10">
      <c r="A24" s="12">
        <f ca="1" t="shared" si="0"/>
        <v>46232.3514498843</v>
      </c>
      <c r="B24" s="6" t="s">
        <v>87</v>
      </c>
      <c r="C24" s="13">
        <v>0.351446759259259</v>
      </c>
      <c r="D24" s="13" t="s">
        <v>65</v>
      </c>
      <c r="E24" s="13">
        <v>0.482337962962963</v>
      </c>
      <c r="F24" s="14">
        <f t="shared" si="1"/>
        <v>3.14138888888889</v>
      </c>
      <c r="G24" s="15">
        <f t="shared" si="2"/>
        <v>3.14138888888889</v>
      </c>
      <c r="H24" s="15">
        <f t="shared" si="3"/>
        <v>0</v>
      </c>
      <c r="I24"/>
      <c r="J24"/>
    </row>
    <row r="25" ht="18.75" spans="1:10">
      <c r="A25" s="12">
        <f ca="1" t="shared" si="0"/>
        <v>46232.5905123843</v>
      </c>
      <c r="B25" s="6" t="s">
        <v>87</v>
      </c>
      <c r="C25" s="13">
        <v>0.590509259259259</v>
      </c>
      <c r="D25" s="13" t="s">
        <v>65</v>
      </c>
      <c r="E25" s="13">
        <v>0.738900462962963</v>
      </c>
      <c r="F25" s="14">
        <f t="shared" si="1"/>
        <v>3.56138888888889</v>
      </c>
      <c r="G25" s="15">
        <f t="shared" si="2"/>
        <v>3.56138888888889</v>
      </c>
      <c r="H25" s="15">
        <f t="shared" si="3"/>
        <v>0</v>
      </c>
      <c r="I25"/>
      <c r="J25"/>
    </row>
    <row r="26" ht="18.75" spans="1:10">
      <c r="A26" s="12">
        <f ca="1" t="shared" si="0"/>
        <v>46233.3776042824</v>
      </c>
      <c r="B26" s="6" t="s">
        <v>87</v>
      </c>
      <c r="C26" s="13">
        <v>0.377604166666667</v>
      </c>
      <c r="D26" s="13" t="s">
        <v>65</v>
      </c>
      <c r="E26" s="13">
        <v>0.476030092592593</v>
      </c>
      <c r="F26" s="14">
        <f t="shared" si="1"/>
        <v>2.36222222222222</v>
      </c>
      <c r="G26" s="15">
        <f t="shared" si="2"/>
        <v>2.36222222222222</v>
      </c>
      <c r="H26" s="15">
        <f t="shared" si="3"/>
        <v>0</v>
      </c>
      <c r="I26"/>
      <c r="J26"/>
    </row>
    <row r="27" ht="18.75" spans="1:10">
      <c r="A27" s="12">
        <f ca="1" t="shared" si="0"/>
        <v>46233.5921219907</v>
      </c>
      <c r="B27" s="6" t="s">
        <v>87</v>
      </c>
      <c r="C27" s="13">
        <v>0.592118055555556</v>
      </c>
      <c r="D27" s="13" t="s">
        <v>65</v>
      </c>
      <c r="E27" s="13">
        <v>0.699930555555556</v>
      </c>
      <c r="F27" s="14">
        <f t="shared" si="1"/>
        <v>2.5875</v>
      </c>
      <c r="G27" s="15">
        <f t="shared" si="2"/>
        <v>2.5875</v>
      </c>
      <c r="H27" s="15">
        <f t="shared" si="3"/>
        <v>0</v>
      </c>
      <c r="I27"/>
      <c r="J27"/>
    </row>
    <row r="28" ht="18.75" spans="1:10">
      <c r="A28" s="12">
        <f ca="1" t="shared" si="0"/>
        <v>46234.0141069444</v>
      </c>
      <c r="B28" s="6" t="s">
        <v>83</v>
      </c>
      <c r="C28" s="13">
        <v>0.0140972222222222</v>
      </c>
      <c r="D28" s="13" t="s">
        <v>65</v>
      </c>
      <c r="E28" s="13">
        <v>0.113796296296296</v>
      </c>
      <c r="F28" s="14">
        <f t="shared" si="1"/>
        <v>2.39277777777778</v>
      </c>
      <c r="G28" s="15">
        <f t="shared" si="2"/>
        <v>0</v>
      </c>
      <c r="H28" s="15">
        <f t="shared" si="3"/>
        <v>2.39277777777778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>
        <f ca="1" t="shared" ref="A3:A66" si="0">IF(B3="","",IF(A3="",NOW(),A3))</f>
        <v>46204.9507791667</v>
      </c>
      <c r="B3" s="6" t="s">
        <v>84</v>
      </c>
      <c r="C3" s="13">
        <v>0.950775462962963</v>
      </c>
      <c r="D3" s="13" t="s">
        <v>65</v>
      </c>
      <c r="E3" s="13">
        <v>0.145046296296296</v>
      </c>
      <c r="F3" s="14">
        <f t="shared" ref="F3:F66" si="1">(IF(E3-C3&lt;0,"24:00"-C3+E3,E3-C3))*24</f>
        <v>4.6625</v>
      </c>
      <c r="G3" s="15">
        <f t="shared" ref="G3:G66" si="2">F3-H3</f>
        <v>1.18138888888889</v>
      </c>
      <c r="H3" s="15">
        <f t="shared" ref="H3:H66" si="3">(IF(AND(C3&gt;=$O$3,C3&lt;$P$3,E3&gt;=$O$3,E3&lt;$P$3),E3-C3,IF(AND(C3&gt;=$O$3,C3&lt;$P$3,E3&gt;=$P$3,E3&lt;$N$3),$P$3-C3,IF(AND(C3&gt;=$P$3,C3&lt;$N$3,E3&gt;=$O$3,E3&lt;$P$3),E3,IF(AND(C3&gt;=$P$3,C3&lt;$N$3,E3&gt;=$P$3,E3&lt;$N$3),"0","none")))))*24</f>
        <v>3.48111111111111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>
        <f ca="1" t="shared" si="0"/>
        <v>46206.0144642361</v>
      </c>
      <c r="B4" s="6" t="s">
        <v>70</v>
      </c>
      <c r="C4" s="13">
        <v>0.0144560185185185</v>
      </c>
      <c r="D4" s="13" t="s">
        <v>65</v>
      </c>
      <c r="E4" s="13">
        <v>0.147210648148148</v>
      </c>
      <c r="F4" s="14">
        <f t="shared" si="1"/>
        <v>3.18611111111111</v>
      </c>
      <c r="G4" s="15">
        <f t="shared" si="2"/>
        <v>0</v>
      </c>
      <c r="H4" s="15">
        <f t="shared" si="3"/>
        <v>3.18611111111111</v>
      </c>
      <c r="I4" s="23" t="s">
        <v>67</v>
      </c>
      <c r="J4" s="24">
        <f>SUMIF(B:B,"西塔台管制席",F:F)+SUMIF(B:B,"东塔台管制席",F:F)</f>
        <v>39.2</v>
      </c>
      <c r="K4" s="25">
        <f>SUMIF(B:B,"西塔台管制席",G:G)+SUMIF(B:B,"东塔台管制席",G:G)</f>
        <v>17.0294444444445</v>
      </c>
      <c r="L4" s="25">
        <f>SUMIF(B:B,"西塔台管制席",H:H)+SUMIF(B:B,"东塔台管制席",H:H)</f>
        <v>22.1705555555555</v>
      </c>
      <c r="M4" s="21"/>
    </row>
    <row r="5" ht="18.75" spans="1:13">
      <c r="A5" s="12">
        <f ca="1" t="shared" si="0"/>
        <v>46209.1369269676</v>
      </c>
      <c r="B5" s="6" t="s">
        <v>84</v>
      </c>
      <c r="C5" s="13">
        <v>0.136967592592593</v>
      </c>
      <c r="D5" s="13" t="s">
        <v>65</v>
      </c>
      <c r="E5" s="13">
        <v>0.225381944444444</v>
      </c>
      <c r="F5" s="14">
        <f t="shared" si="1"/>
        <v>2.12194444444444</v>
      </c>
      <c r="G5" s="15">
        <f t="shared" si="2"/>
        <v>0</v>
      </c>
      <c r="H5" s="15">
        <f t="shared" si="3"/>
        <v>2.12194444444444</v>
      </c>
      <c r="I5" s="23" t="s">
        <v>69</v>
      </c>
      <c r="J5" s="24">
        <f>SUMIF(B:B,"西塔台协调席",F:F)+SUMIF(B:B,"东塔台协调席",F:F)</f>
        <v>25.0255555555556</v>
      </c>
      <c r="K5" s="25">
        <f>SUMIF(B:B,"西塔台协调席",G:G)+SUMIF(B:B,"东塔台协调席",G:G)</f>
        <v>12.3133333333333</v>
      </c>
      <c r="L5" s="25">
        <f>SUMIF(B:B,"西塔台协调席",H:H)+SUMIF(B:B,"东塔台协调席",H:H)</f>
        <v>12.7122222222222</v>
      </c>
      <c r="M5" s="21"/>
    </row>
    <row r="6" ht="18.75" spans="1:13">
      <c r="A6" s="12">
        <f ca="1" t="shared" si="0"/>
        <v>46209.7485490741</v>
      </c>
      <c r="B6" s="6" t="s">
        <v>70</v>
      </c>
      <c r="C6" s="13">
        <v>0.748541666666667</v>
      </c>
      <c r="D6" s="13" t="s">
        <v>65</v>
      </c>
      <c r="E6" s="13">
        <v>0.837256944444444</v>
      </c>
      <c r="F6" s="14">
        <f t="shared" si="1"/>
        <v>2.12916666666667</v>
      </c>
      <c r="G6" s="15">
        <f t="shared" si="2"/>
        <v>2.12916666666667</v>
      </c>
      <c r="H6" s="15">
        <f t="shared" si="3"/>
        <v>0</v>
      </c>
      <c r="I6" s="23" t="s">
        <v>71</v>
      </c>
      <c r="J6" s="24">
        <f>SUMIF(B:B,"放行席",F:F)</f>
        <v>2.15833333333333</v>
      </c>
      <c r="K6" s="25">
        <f>SUMIF(B:B,"放行席",G:G)</f>
        <v>0</v>
      </c>
      <c r="L6" s="25">
        <f>SUMIF(B:B,"放行席",H:H)</f>
        <v>2.15833333333333</v>
      </c>
      <c r="M6" s="21"/>
    </row>
    <row r="7" ht="18.75" spans="1:13">
      <c r="A7" s="12">
        <f ca="1" t="shared" si="0"/>
        <v>46210.1381760417</v>
      </c>
      <c r="B7" s="6" t="s">
        <v>84</v>
      </c>
      <c r="C7" s="13">
        <v>0.138171296296296</v>
      </c>
      <c r="D7" s="13" t="s">
        <v>65</v>
      </c>
      <c r="E7" s="13">
        <v>0.256469907407407</v>
      </c>
      <c r="F7" s="14">
        <f t="shared" si="1"/>
        <v>2.83916666666667</v>
      </c>
      <c r="G7" s="15">
        <f t="shared" si="2"/>
        <v>0</v>
      </c>
      <c r="H7" s="15">
        <f t="shared" si="3"/>
        <v>2.83916666666667</v>
      </c>
      <c r="I7" s="23" t="s">
        <v>72</v>
      </c>
      <c r="J7" s="24">
        <f>SUMIF(B:B,"地面席",F:F)</f>
        <v>2.12722222222222</v>
      </c>
      <c r="K7" s="25">
        <f>SUMIF(B:B,"地面席",G:G)</f>
        <v>0</v>
      </c>
      <c r="L7" s="25">
        <f>SUMIF(B:B,"地面席",H:H)</f>
        <v>2.12722222222222</v>
      </c>
      <c r="M7" s="21"/>
    </row>
    <row r="8" ht="18.75" spans="1:13">
      <c r="A8" s="12">
        <f ca="1" t="shared" si="0"/>
        <v>46210.2564935185</v>
      </c>
      <c r="B8" s="6" t="s">
        <v>83</v>
      </c>
      <c r="C8" s="13">
        <v>0.256493055555556</v>
      </c>
      <c r="D8" s="13" t="s">
        <v>65</v>
      </c>
      <c r="E8" s="13">
        <v>0.305358796296296</v>
      </c>
      <c r="F8" s="14">
        <f t="shared" si="1"/>
        <v>1.17277777777778</v>
      </c>
      <c r="G8" s="15">
        <f t="shared" si="2"/>
        <v>0</v>
      </c>
      <c r="H8" s="15">
        <f t="shared" si="3"/>
        <v>1.17277777777778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>
        <f ca="1" t="shared" si="0"/>
        <v>46212.5020907407</v>
      </c>
      <c r="B9" s="6" t="s">
        <v>68</v>
      </c>
      <c r="C9" s="13">
        <v>0.502083333333333</v>
      </c>
      <c r="D9" s="13" t="s">
        <v>65</v>
      </c>
      <c r="E9" s="13">
        <v>0.649803240740741</v>
      </c>
      <c r="F9" s="14">
        <f t="shared" si="1"/>
        <v>3.54527777777778</v>
      </c>
      <c r="G9" s="15">
        <f t="shared" si="2"/>
        <v>3.54527777777778</v>
      </c>
      <c r="H9" s="15">
        <f t="shared" si="3"/>
        <v>0</v>
      </c>
      <c r="I9" s="23" t="s">
        <v>74</v>
      </c>
      <c r="J9" s="24">
        <f>SUMIF(B:B,"航班调度席",F:F)</f>
        <v>12.4191666666667</v>
      </c>
      <c r="K9" s="25">
        <f>SUMIF(B:B,"航班调度席",G:G)</f>
        <v>12.4191666666667</v>
      </c>
      <c r="L9" s="25">
        <f>SUMIF(B:B,"航班调度席",H:H)</f>
        <v>0</v>
      </c>
      <c r="M9" s="21"/>
    </row>
    <row r="10" ht="18.75" spans="1:13">
      <c r="A10" s="12">
        <f ca="1" t="shared" si="0"/>
        <v>46212.753303588</v>
      </c>
      <c r="B10" s="6" t="s">
        <v>84</v>
      </c>
      <c r="C10" s="13">
        <v>0.753298611111111</v>
      </c>
      <c r="D10" s="13" t="s">
        <v>65</v>
      </c>
      <c r="E10" s="13">
        <v>0.881990740740741</v>
      </c>
      <c r="F10" s="14">
        <f t="shared" si="1"/>
        <v>3.08861111111111</v>
      </c>
      <c r="G10" s="15">
        <f t="shared" si="2"/>
        <v>3.08861111111111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>
        <f ca="1" t="shared" si="0"/>
        <v>46213.4587980324</v>
      </c>
      <c r="B11" s="6" t="s">
        <v>83</v>
      </c>
      <c r="C11" s="13">
        <v>0.458796296296296</v>
      </c>
      <c r="D11" s="13" t="s">
        <v>65</v>
      </c>
      <c r="E11" s="13">
        <v>0.54474537037037</v>
      </c>
      <c r="F11" s="14">
        <f t="shared" si="1"/>
        <v>2.06277777777778</v>
      </c>
      <c r="G11" s="15">
        <f t="shared" si="2"/>
        <v>2.06277777777778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>
        <f ca="1" t="shared" si="0"/>
        <v>46213.625675463</v>
      </c>
      <c r="B12" s="6" t="s">
        <v>70</v>
      </c>
      <c r="C12" s="13">
        <v>0.625671296296296</v>
      </c>
      <c r="D12" s="13" t="s">
        <v>65</v>
      </c>
      <c r="E12" s="13">
        <v>0.757581018518518</v>
      </c>
      <c r="F12" s="14">
        <f t="shared" si="1"/>
        <v>3.16583333333333</v>
      </c>
      <c r="G12" s="15">
        <f t="shared" si="2"/>
        <v>3.16583333333333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>
        <f ca="1" t="shared" si="0"/>
        <v>46213.9566037037</v>
      </c>
      <c r="B13" s="6" t="s">
        <v>83</v>
      </c>
      <c r="C13" s="13">
        <v>0.833680555555556</v>
      </c>
      <c r="D13" s="13" t="s">
        <v>65</v>
      </c>
      <c r="E13" s="13">
        <v>0.95662037037037</v>
      </c>
      <c r="F13" s="14">
        <f t="shared" si="1"/>
        <v>2.95055555555556</v>
      </c>
      <c r="G13" s="15">
        <f t="shared" si="2"/>
        <v>2.95055555555556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>
        <f ca="1" t="shared" si="0"/>
        <v>46214.2995990741</v>
      </c>
      <c r="B14" s="6" t="s">
        <v>84</v>
      </c>
      <c r="C14" s="13">
        <v>0.299594907407407</v>
      </c>
      <c r="D14" s="13" t="s">
        <v>65</v>
      </c>
      <c r="E14" s="13">
        <v>0.327118055555556</v>
      </c>
      <c r="F14" s="14">
        <f t="shared" si="1"/>
        <v>0.660555555555556</v>
      </c>
      <c r="G14" s="15">
        <f t="shared" si="2"/>
        <v>0</v>
      </c>
      <c r="H14" s="15">
        <f t="shared" si="3"/>
        <v>0.660555555555556</v>
      </c>
      <c r="I14" s="33"/>
      <c r="J14" s="33"/>
      <c r="K14" s="33"/>
      <c r="L14" s="33"/>
      <c r="M14" s="33"/>
    </row>
    <row r="15" ht="101.25" spans="1:13">
      <c r="A15" s="12">
        <f ca="1" t="shared" si="0"/>
        <v>46214.3271484954</v>
      </c>
      <c r="B15" s="6" t="s">
        <v>70</v>
      </c>
      <c r="C15" s="13">
        <v>0.327141203703704</v>
      </c>
      <c r="D15" s="13" t="s">
        <v>65</v>
      </c>
      <c r="E15" s="13">
        <v>0.360671296296296</v>
      </c>
      <c r="F15" s="14">
        <f t="shared" si="1"/>
        <v>0.804722222222222</v>
      </c>
      <c r="G15" s="15">
        <f t="shared" si="2"/>
        <v>0.65611111111112</v>
      </c>
      <c r="H15" s="15">
        <f t="shared" si="3"/>
        <v>0.148611111111103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>
        <f ca="1" t="shared" si="0"/>
        <v>46217.0138896991</v>
      </c>
      <c r="B16" s="6" t="s">
        <v>83</v>
      </c>
      <c r="C16" s="13">
        <v>0.0138888888888889</v>
      </c>
      <c r="D16" s="13" t="s">
        <v>65</v>
      </c>
      <c r="E16" s="13">
        <v>0.119027777777778</v>
      </c>
      <c r="F16" s="14">
        <f t="shared" si="1"/>
        <v>2.52333333333333</v>
      </c>
      <c r="G16" s="15">
        <f t="shared" si="2"/>
        <v>0</v>
      </c>
      <c r="H16" s="15">
        <f t="shared" si="3"/>
        <v>2.52333333333333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>
        <f ca="1" t="shared" si="0"/>
        <v>46217.1190202546</v>
      </c>
      <c r="B17" s="6" t="s">
        <v>84</v>
      </c>
      <c r="C17" s="13">
        <v>0.119016203703704</v>
      </c>
      <c r="D17" s="13" t="s">
        <v>65</v>
      </c>
      <c r="E17" s="13">
        <v>0.1459375</v>
      </c>
      <c r="F17" s="14">
        <f t="shared" si="1"/>
        <v>0.646111111111111</v>
      </c>
      <c r="G17" s="15">
        <f t="shared" si="2"/>
        <v>0</v>
      </c>
      <c r="H17" s="15">
        <f t="shared" si="3"/>
        <v>0.646111111111111</v>
      </c>
      <c r="I17" s="39" t="s">
        <v>80</v>
      </c>
      <c r="J17" s="40">
        <f>J4+J5+J6+J7+J10</f>
        <v>68.5111111111111</v>
      </c>
      <c r="K17" s="41">
        <f>K4+K5+K6+K7+K10</f>
        <v>29.3427777777778</v>
      </c>
      <c r="L17" s="42">
        <f>L4+L5+L6+L7+L10</f>
        <v>39.1683333333333</v>
      </c>
      <c r="M17" s="43"/>
    </row>
    <row r="18" ht="20.25" spans="1:13">
      <c r="A18" s="12">
        <f ca="1" t="shared" si="0"/>
        <v>46217.9491644676</v>
      </c>
      <c r="B18" s="6" t="s">
        <v>70</v>
      </c>
      <c r="C18" s="13">
        <v>0.949155092592593</v>
      </c>
      <c r="D18" s="13" t="s">
        <v>65</v>
      </c>
      <c r="E18" s="13">
        <v>0.119143518518519</v>
      </c>
      <c r="F18" s="14">
        <f t="shared" si="1"/>
        <v>4.07972222222222</v>
      </c>
      <c r="G18" s="15">
        <f t="shared" si="2"/>
        <v>1.22027777777778</v>
      </c>
      <c r="H18" s="15">
        <f t="shared" si="3"/>
        <v>2.85944444444444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>
        <f ca="1" t="shared" si="0"/>
        <v>46221.1388061343</v>
      </c>
      <c r="B19" s="6" t="s">
        <v>70</v>
      </c>
      <c r="C19" s="13">
        <v>0.138796296296296</v>
      </c>
      <c r="D19" s="13" t="s">
        <v>65</v>
      </c>
      <c r="E19" s="13">
        <v>0.233136574074074</v>
      </c>
      <c r="F19" s="14">
        <f t="shared" si="1"/>
        <v>2.26416666666667</v>
      </c>
      <c r="G19" s="15">
        <f t="shared" si="2"/>
        <v>0</v>
      </c>
      <c r="H19" s="15">
        <f t="shared" si="3"/>
        <v>2.26416666666667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>
        <f ca="1" t="shared" si="0"/>
        <v>46222.1322899306</v>
      </c>
      <c r="B20" s="6" t="s">
        <v>85</v>
      </c>
      <c r="C20" s="13">
        <v>0.132280092592593</v>
      </c>
      <c r="D20" s="13" t="s">
        <v>65</v>
      </c>
      <c r="E20" s="13">
        <v>0.222210648148148</v>
      </c>
      <c r="F20" s="14">
        <f t="shared" si="1"/>
        <v>2.15833333333333</v>
      </c>
      <c r="G20" s="15">
        <f t="shared" si="2"/>
        <v>0</v>
      </c>
      <c r="H20" s="15">
        <f t="shared" si="3"/>
        <v>2.15833333333333</v>
      </c>
      <c r="I20" s="44" t="s">
        <v>82</v>
      </c>
      <c r="J20" s="45">
        <f>J16+J17+J18+J19</f>
        <v>68.5111111111111</v>
      </c>
      <c r="K20" s="46"/>
      <c r="L20" s="47"/>
      <c r="M20" s="48"/>
    </row>
    <row r="21" ht="20.25" spans="1:13">
      <c r="A21" s="12">
        <f ca="1" t="shared" si="0"/>
        <v>46222.2222508102</v>
      </c>
      <c r="B21" s="6" t="s">
        <v>68</v>
      </c>
      <c r="C21" s="13">
        <v>0.22224537037037</v>
      </c>
      <c r="D21" s="13" t="s">
        <v>65</v>
      </c>
      <c r="E21" s="13">
        <v>0.306354166666667</v>
      </c>
      <c r="F21" s="14">
        <f t="shared" si="1"/>
        <v>2.01861111111111</v>
      </c>
      <c r="G21" s="15">
        <f t="shared" si="2"/>
        <v>0</v>
      </c>
      <c r="H21" s="15">
        <f t="shared" si="3"/>
        <v>2.01861111111111</v>
      </c>
      <c r="I21" s="49" t="s">
        <v>5</v>
      </c>
      <c r="J21" s="50">
        <f>SUM(J8:J9)</f>
        <v>12.4191666666667</v>
      </c>
      <c r="K21" s="41">
        <f>SUM(K8:K9)</f>
        <v>12.4191666666667</v>
      </c>
      <c r="L21" s="42">
        <f>SUM(L8:L9)</f>
        <v>0</v>
      </c>
      <c r="M21" s="51"/>
    </row>
    <row r="22" ht="18.75" spans="1:10">
      <c r="A22" s="12">
        <f ca="1" t="shared" si="0"/>
        <v>46224.354205787</v>
      </c>
      <c r="B22" s="6" t="s">
        <v>70</v>
      </c>
      <c r="C22" s="13">
        <v>0.354201388888889</v>
      </c>
      <c r="D22" s="13" t="s">
        <v>65</v>
      </c>
      <c r="E22" s="13">
        <v>0.504131944444444</v>
      </c>
      <c r="F22" s="14">
        <f t="shared" si="1"/>
        <v>3.59833333333333</v>
      </c>
      <c r="G22" s="15">
        <f t="shared" si="2"/>
        <v>3.59833333333333</v>
      </c>
      <c r="H22" s="15">
        <f t="shared" si="3"/>
        <v>0</v>
      </c>
      <c r="I22"/>
      <c r="J22"/>
    </row>
    <row r="23" ht="18.75" spans="1:10">
      <c r="A23" s="12">
        <f ca="1" t="shared" si="0"/>
        <v>46224.6465976852</v>
      </c>
      <c r="B23" s="6" t="s">
        <v>83</v>
      </c>
      <c r="C23" s="13">
        <v>0.646597222222222</v>
      </c>
      <c r="D23" s="13" t="s">
        <v>65</v>
      </c>
      <c r="E23" s="13">
        <v>0.755185185185185</v>
      </c>
      <c r="F23" s="14">
        <f t="shared" si="1"/>
        <v>2.60611111111112</v>
      </c>
      <c r="G23" s="15">
        <f t="shared" si="2"/>
        <v>2.60611111111112</v>
      </c>
      <c r="H23" s="15">
        <f t="shared" si="3"/>
        <v>0</v>
      </c>
      <c r="I23"/>
      <c r="J23"/>
    </row>
    <row r="24" ht="18.75" spans="1:10">
      <c r="A24" s="12">
        <f ca="1" t="shared" si="0"/>
        <v>46224.8755068287</v>
      </c>
      <c r="B24" s="6" t="s">
        <v>70</v>
      </c>
      <c r="C24" s="13">
        <v>0.875497685185185</v>
      </c>
      <c r="D24" s="13" t="s">
        <v>65</v>
      </c>
      <c r="E24" s="13">
        <v>0.958402777777778</v>
      </c>
      <c r="F24" s="14">
        <f t="shared" si="1"/>
        <v>1.98972222222222</v>
      </c>
      <c r="G24" s="15">
        <f t="shared" si="2"/>
        <v>1.98972222222222</v>
      </c>
      <c r="H24" s="15">
        <f t="shared" si="3"/>
        <v>0</v>
      </c>
      <c r="I24"/>
      <c r="J24"/>
    </row>
    <row r="25" ht="18.75" spans="1:10">
      <c r="A25" s="12">
        <f ca="1" t="shared" si="0"/>
        <v>46225.3758866898</v>
      </c>
      <c r="B25" s="6" t="s">
        <v>87</v>
      </c>
      <c r="C25" s="13">
        <v>0.37587962962963</v>
      </c>
      <c r="D25" s="13" t="s">
        <v>65</v>
      </c>
      <c r="E25" s="13">
        <v>0.511678240740741</v>
      </c>
      <c r="F25" s="14">
        <f t="shared" si="1"/>
        <v>3.25916666666667</v>
      </c>
      <c r="G25" s="15">
        <f t="shared" si="2"/>
        <v>3.25916666666667</v>
      </c>
      <c r="H25" s="15">
        <f t="shared" si="3"/>
        <v>0</v>
      </c>
      <c r="I25"/>
      <c r="J25"/>
    </row>
    <row r="26" ht="18.75" spans="1:10">
      <c r="A26" s="12">
        <f ca="1" t="shared" si="0"/>
        <v>46225.5848356482</v>
      </c>
      <c r="B26" s="6" t="s">
        <v>87</v>
      </c>
      <c r="C26" s="13">
        <v>0.584826388888889</v>
      </c>
      <c r="D26" s="13" t="s">
        <v>65</v>
      </c>
      <c r="E26" s="13">
        <v>0.748923611111111</v>
      </c>
      <c r="F26" s="14">
        <f t="shared" si="1"/>
        <v>3.93833333333333</v>
      </c>
      <c r="G26" s="15">
        <f t="shared" si="2"/>
        <v>3.93833333333333</v>
      </c>
      <c r="H26" s="15">
        <f t="shared" si="3"/>
        <v>0</v>
      </c>
      <c r="I26"/>
      <c r="J26"/>
    </row>
    <row r="27" ht="18.75" spans="1:10">
      <c r="A27" s="12">
        <f ca="1" t="shared" si="0"/>
        <v>46226.0143163194</v>
      </c>
      <c r="B27" s="6" t="s">
        <v>83</v>
      </c>
      <c r="C27" s="13">
        <v>0.0143055555555556</v>
      </c>
      <c r="D27" s="13" t="s">
        <v>65</v>
      </c>
      <c r="E27" s="13">
        <v>0.119305555555556</v>
      </c>
      <c r="F27" s="14">
        <f t="shared" si="1"/>
        <v>2.52</v>
      </c>
      <c r="G27" s="15">
        <f t="shared" si="2"/>
        <v>0</v>
      </c>
      <c r="H27" s="15">
        <f t="shared" si="3"/>
        <v>2.52</v>
      </c>
      <c r="I27"/>
      <c r="J27"/>
    </row>
    <row r="28" ht="18.75" spans="1:10">
      <c r="A28" s="12">
        <f ca="1" t="shared" si="0"/>
        <v>46228.9521444444</v>
      </c>
      <c r="B28" s="6" t="s">
        <v>83</v>
      </c>
      <c r="C28" s="13">
        <v>0.952141203703704</v>
      </c>
      <c r="D28" s="13" t="s">
        <v>65</v>
      </c>
      <c r="E28" s="13">
        <v>0.0973263888888889</v>
      </c>
      <c r="F28" s="14">
        <f t="shared" si="1"/>
        <v>3.48444444444444</v>
      </c>
      <c r="G28" s="15">
        <f t="shared" si="2"/>
        <v>1.14861111111111</v>
      </c>
      <c r="H28" s="15">
        <f t="shared" si="3"/>
        <v>2.33583333333333</v>
      </c>
      <c r="I28"/>
      <c r="J28"/>
    </row>
    <row r="29" ht="18.75" spans="1:10">
      <c r="A29" s="12">
        <f ca="1" t="shared" si="0"/>
        <v>46229.4550023148</v>
      </c>
      <c r="B29" s="6" t="s">
        <v>87</v>
      </c>
      <c r="C29" s="13">
        <v>0.455</v>
      </c>
      <c r="D29" s="13" t="s">
        <v>65</v>
      </c>
      <c r="E29" s="13">
        <v>0.503252314814815</v>
      </c>
      <c r="F29" s="14">
        <f t="shared" si="1"/>
        <v>1.15805555555555</v>
      </c>
      <c r="G29" s="15">
        <f t="shared" si="2"/>
        <v>1.15805555555555</v>
      </c>
      <c r="H29" s="15">
        <f t="shared" si="3"/>
        <v>0</v>
      </c>
      <c r="I29"/>
      <c r="J29"/>
    </row>
    <row r="30" ht="18.75" spans="1:10">
      <c r="A30" s="12">
        <f ca="1" t="shared" si="0"/>
        <v>46229.5659732639</v>
      </c>
      <c r="B30" s="6" t="s">
        <v>87</v>
      </c>
      <c r="C30" s="13">
        <v>0.565972222222222</v>
      </c>
      <c r="D30" s="13" t="s">
        <v>65</v>
      </c>
      <c r="E30" s="13">
        <v>0.735289351851852</v>
      </c>
      <c r="F30" s="14">
        <f t="shared" si="1"/>
        <v>4.06361111111111</v>
      </c>
      <c r="G30" s="15">
        <f t="shared" si="2"/>
        <v>4.06361111111111</v>
      </c>
      <c r="H30" s="15">
        <f t="shared" si="3"/>
        <v>0</v>
      </c>
      <c r="I30"/>
      <c r="J30"/>
    </row>
    <row r="31" ht="18.75" spans="1:10">
      <c r="A31" s="12">
        <f ca="1" t="shared" si="0"/>
        <v>46230.013328588</v>
      </c>
      <c r="B31" s="6" t="s">
        <v>83</v>
      </c>
      <c r="C31" s="13">
        <v>0.0133217592592593</v>
      </c>
      <c r="D31" s="13" t="s">
        <v>65</v>
      </c>
      <c r="E31" s="13">
        <v>0.10255787037037</v>
      </c>
      <c r="F31" s="14">
        <f t="shared" si="1"/>
        <v>2.14166666666667</v>
      </c>
      <c r="G31" s="15">
        <f t="shared" si="2"/>
        <v>0</v>
      </c>
      <c r="H31" s="15">
        <f t="shared" si="3"/>
        <v>2.14166666666667</v>
      </c>
      <c r="I31"/>
      <c r="J31"/>
    </row>
    <row r="32" ht="18.75" spans="1:10">
      <c r="A32" s="12">
        <f ca="1" t="shared" si="0"/>
        <v>46233.1391122685</v>
      </c>
      <c r="B32" s="6" t="s">
        <v>84</v>
      </c>
      <c r="C32" s="13">
        <v>0.139108796296296</v>
      </c>
      <c r="D32" s="13" t="s">
        <v>65</v>
      </c>
      <c r="E32" s="13">
        <v>0.304247685185185</v>
      </c>
      <c r="F32" s="14">
        <f t="shared" si="1"/>
        <v>3.96333333333333</v>
      </c>
      <c r="G32" s="15">
        <f t="shared" si="2"/>
        <v>0</v>
      </c>
      <c r="H32" s="15">
        <f t="shared" si="3"/>
        <v>3.96333333333333</v>
      </c>
      <c r="I32"/>
      <c r="J32"/>
    </row>
    <row r="33" ht="18.75" spans="1:10">
      <c r="A33" s="12">
        <f ca="1" t="shared" si="0"/>
        <v>46234.1388017361</v>
      </c>
      <c r="B33" s="6" t="s">
        <v>86</v>
      </c>
      <c r="C33" s="13">
        <v>0.138900462962963</v>
      </c>
      <c r="D33" s="13" t="s">
        <v>65</v>
      </c>
      <c r="E33" s="13">
        <v>0.227534722222222</v>
      </c>
      <c r="F33" s="14">
        <f t="shared" si="1"/>
        <v>2.12722222222222</v>
      </c>
      <c r="G33" s="15">
        <f t="shared" si="2"/>
        <v>0</v>
      </c>
      <c r="H33" s="15">
        <f t="shared" si="3"/>
        <v>2.12722222222222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si="3"/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3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3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3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3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3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3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3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3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3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3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3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3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3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3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3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3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3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3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3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3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3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3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3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3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3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3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3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3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3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3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3"/>
        <v>0</v>
      </c>
      <c r="I66" s="52"/>
      <c r="J66" s="53"/>
      <c r="K66" s="13"/>
    </row>
    <row r="67" ht="18.75" spans="1:11">
      <c r="A67" s="12" t="str">
        <f ca="1" t="shared" ref="A67:A130" si="7">IF(B67="","",IF(A67="",NOW(),A67))</f>
        <v/>
      </c>
      <c r="B67" s="6"/>
      <c r="C67" s="13"/>
      <c r="D67" s="13"/>
      <c r="E67" s="13"/>
      <c r="F67" s="14">
        <f t="shared" ref="F67:F130" si="8">(IF(E67-C67&lt;0,"24:00"-C67+E67,E67-C67))*24</f>
        <v>0</v>
      </c>
      <c r="G67" s="15">
        <f t="shared" ref="G67:G130" si="9">F67-H67</f>
        <v>0</v>
      </c>
      <c r="H67" s="15">
        <f t="shared" ref="H67:H130" si="10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7"/>
        <v/>
      </c>
      <c r="B68" s="6"/>
      <c r="C68" s="13"/>
      <c r="D68" s="13"/>
      <c r="E68" s="13"/>
      <c r="F68" s="14">
        <f t="shared" si="8"/>
        <v>0</v>
      </c>
      <c r="G68" s="15">
        <f t="shared" si="9"/>
        <v>0</v>
      </c>
      <c r="H68" s="15">
        <f t="shared" si="10"/>
        <v>0</v>
      </c>
      <c r="I68" s="52"/>
      <c r="J68" s="53"/>
      <c r="K68" s="13"/>
    </row>
    <row r="69" ht="18.75" spans="1:11">
      <c r="A69" s="12" t="str">
        <f ca="1" t="shared" si="7"/>
        <v/>
      </c>
      <c r="B69" s="6"/>
      <c r="C69" s="13"/>
      <c r="D69" s="13"/>
      <c r="E69" s="13"/>
      <c r="F69" s="14">
        <f t="shared" si="8"/>
        <v>0</v>
      </c>
      <c r="G69" s="15">
        <f t="shared" si="9"/>
        <v>0</v>
      </c>
      <c r="H69" s="15">
        <f t="shared" si="10"/>
        <v>0</v>
      </c>
      <c r="I69" s="52"/>
      <c r="J69" s="53"/>
      <c r="K69" s="13"/>
    </row>
    <row r="70" ht="18.75" spans="1:11">
      <c r="A70" s="12" t="str">
        <f ca="1" t="shared" si="7"/>
        <v/>
      </c>
      <c r="B70" s="6"/>
      <c r="C70" s="13"/>
      <c r="D70" s="13"/>
      <c r="E70" s="13"/>
      <c r="F70" s="14">
        <f t="shared" si="8"/>
        <v>0</v>
      </c>
      <c r="G70" s="15">
        <f t="shared" si="9"/>
        <v>0</v>
      </c>
      <c r="H70" s="15">
        <f t="shared" si="10"/>
        <v>0</v>
      </c>
      <c r="I70" s="52"/>
      <c r="J70" s="53"/>
      <c r="K70" s="13"/>
    </row>
    <row r="71" ht="18.75" spans="1:11">
      <c r="A71" s="12" t="str">
        <f ca="1" t="shared" si="7"/>
        <v/>
      </c>
      <c r="B71" s="6"/>
      <c r="C71" s="13"/>
      <c r="D71" s="13"/>
      <c r="E71" s="13"/>
      <c r="F71" s="14">
        <f t="shared" si="8"/>
        <v>0</v>
      </c>
      <c r="G71" s="15">
        <f t="shared" si="9"/>
        <v>0</v>
      </c>
      <c r="H71" s="15">
        <f t="shared" si="10"/>
        <v>0</v>
      </c>
      <c r="I71" s="52"/>
      <c r="J71" s="53"/>
      <c r="K71" s="13"/>
    </row>
    <row r="72" ht="18.75" spans="1:11">
      <c r="A72" s="12" t="str">
        <f ca="1" t="shared" si="7"/>
        <v/>
      </c>
      <c r="B72" s="6"/>
      <c r="C72" s="13"/>
      <c r="D72" s="13"/>
      <c r="E72" s="13"/>
      <c r="F72" s="14">
        <f t="shared" si="8"/>
        <v>0</v>
      </c>
      <c r="G72" s="15">
        <f t="shared" si="9"/>
        <v>0</v>
      </c>
      <c r="H72" s="15">
        <f t="shared" si="10"/>
        <v>0</v>
      </c>
      <c r="I72" s="52"/>
      <c r="J72" s="53"/>
      <c r="K72" s="13"/>
    </row>
    <row r="73" ht="18.75" spans="1:11">
      <c r="A73" s="12" t="str">
        <f ca="1" t="shared" si="7"/>
        <v/>
      </c>
      <c r="B73" s="6"/>
      <c r="C73" s="13"/>
      <c r="D73" s="13"/>
      <c r="E73" s="13"/>
      <c r="F73" s="14">
        <f t="shared" si="8"/>
        <v>0</v>
      </c>
      <c r="G73" s="15">
        <f t="shared" si="9"/>
        <v>0</v>
      </c>
      <c r="H73" s="15">
        <f t="shared" si="10"/>
        <v>0</v>
      </c>
      <c r="I73" s="52"/>
      <c r="J73" s="53"/>
      <c r="K73" s="13"/>
    </row>
    <row r="74" ht="18.75" spans="1:11">
      <c r="A74" s="12" t="str">
        <f ca="1" t="shared" si="7"/>
        <v/>
      </c>
      <c r="B74" s="6"/>
      <c r="C74" s="13"/>
      <c r="D74" s="13"/>
      <c r="E74" s="13"/>
      <c r="F74" s="14">
        <f t="shared" si="8"/>
        <v>0</v>
      </c>
      <c r="G74" s="15">
        <f t="shared" si="9"/>
        <v>0</v>
      </c>
      <c r="H74" s="15">
        <f t="shared" si="10"/>
        <v>0</v>
      </c>
      <c r="I74" s="52"/>
      <c r="J74" s="53"/>
      <c r="K74" s="13"/>
    </row>
    <row r="75" ht="18.75" spans="1:11">
      <c r="A75" s="12" t="str">
        <f ca="1" t="shared" si="7"/>
        <v/>
      </c>
      <c r="B75" s="6"/>
      <c r="C75" s="13"/>
      <c r="D75" s="13"/>
      <c r="E75" s="13"/>
      <c r="F75" s="14">
        <f t="shared" si="8"/>
        <v>0</v>
      </c>
      <c r="G75" s="15">
        <f t="shared" si="9"/>
        <v>0</v>
      </c>
      <c r="H75" s="15">
        <f t="shared" si="10"/>
        <v>0</v>
      </c>
      <c r="I75" s="52"/>
      <c r="J75" s="53"/>
      <c r="K75" s="13"/>
    </row>
    <row r="76" ht="18.75" spans="1:11">
      <c r="A76" s="12" t="str">
        <f ca="1" t="shared" si="7"/>
        <v/>
      </c>
      <c r="B76" s="6"/>
      <c r="C76" s="13"/>
      <c r="D76" s="13"/>
      <c r="E76" s="13"/>
      <c r="F76" s="14">
        <f t="shared" si="8"/>
        <v>0</v>
      </c>
      <c r="G76" s="15">
        <f t="shared" si="9"/>
        <v>0</v>
      </c>
      <c r="H76" s="15">
        <f t="shared" si="10"/>
        <v>0</v>
      </c>
      <c r="I76" s="52"/>
      <c r="J76" s="53"/>
      <c r="K76" s="13"/>
    </row>
    <row r="77" ht="18.75" spans="1:11">
      <c r="A77" s="12" t="str">
        <f ca="1" t="shared" si="7"/>
        <v/>
      </c>
      <c r="B77" s="6"/>
      <c r="C77" s="13"/>
      <c r="D77" s="13"/>
      <c r="E77" s="13"/>
      <c r="F77" s="14">
        <f t="shared" si="8"/>
        <v>0</v>
      </c>
      <c r="G77" s="15">
        <f t="shared" si="9"/>
        <v>0</v>
      </c>
      <c r="H77" s="15">
        <f t="shared" si="10"/>
        <v>0</v>
      </c>
      <c r="I77" s="52"/>
      <c r="J77" s="53"/>
      <c r="K77" s="13"/>
    </row>
    <row r="78" ht="18.75" spans="1:11">
      <c r="A78" s="12" t="str">
        <f ca="1" t="shared" si="7"/>
        <v/>
      </c>
      <c r="B78" s="6"/>
      <c r="C78" s="13"/>
      <c r="D78" s="13"/>
      <c r="E78" s="13"/>
      <c r="F78" s="14">
        <f t="shared" si="8"/>
        <v>0</v>
      </c>
      <c r="G78" s="15">
        <f t="shared" si="9"/>
        <v>0</v>
      </c>
      <c r="H78" s="15">
        <f t="shared" si="10"/>
        <v>0</v>
      </c>
      <c r="I78" s="52"/>
      <c r="J78" s="53"/>
      <c r="K78" s="13"/>
    </row>
    <row r="79" ht="18.75" spans="1:11">
      <c r="A79" s="12" t="str">
        <f ca="1" t="shared" si="7"/>
        <v/>
      </c>
      <c r="B79" s="6"/>
      <c r="C79" s="13"/>
      <c r="D79" s="13"/>
      <c r="E79" s="13"/>
      <c r="F79" s="14">
        <f t="shared" si="8"/>
        <v>0</v>
      </c>
      <c r="G79" s="15">
        <f t="shared" si="9"/>
        <v>0</v>
      </c>
      <c r="H79" s="15">
        <f t="shared" si="10"/>
        <v>0</v>
      </c>
      <c r="I79" s="52"/>
      <c r="J79" s="53"/>
      <c r="K79" s="13"/>
    </row>
    <row r="80" ht="18.75" spans="1:11">
      <c r="A80" s="12" t="str">
        <f ca="1" t="shared" si="7"/>
        <v/>
      </c>
      <c r="B80" s="6"/>
      <c r="C80" s="13"/>
      <c r="D80" s="13"/>
      <c r="E80" s="13"/>
      <c r="F80" s="14">
        <f t="shared" si="8"/>
        <v>0</v>
      </c>
      <c r="G80" s="15">
        <f t="shared" si="9"/>
        <v>0</v>
      </c>
      <c r="H80" s="15">
        <f t="shared" si="10"/>
        <v>0</v>
      </c>
      <c r="I80" s="52"/>
      <c r="J80" s="53"/>
      <c r="K80" s="13"/>
    </row>
    <row r="81" ht="18.75" spans="1:11">
      <c r="A81" s="12" t="str">
        <f ca="1" t="shared" si="7"/>
        <v/>
      </c>
      <c r="B81" s="6"/>
      <c r="C81" s="13"/>
      <c r="D81" s="13"/>
      <c r="E81" s="13"/>
      <c r="F81" s="14">
        <f t="shared" si="8"/>
        <v>0</v>
      </c>
      <c r="G81" s="15">
        <f t="shared" si="9"/>
        <v>0</v>
      </c>
      <c r="H81" s="15">
        <f t="shared" si="10"/>
        <v>0</v>
      </c>
      <c r="I81" s="52"/>
      <c r="J81" s="53"/>
      <c r="K81" s="13"/>
    </row>
    <row r="82" ht="18.75" spans="1:11">
      <c r="A82" s="12" t="str">
        <f ca="1" t="shared" si="7"/>
        <v/>
      </c>
      <c r="B82" s="6"/>
      <c r="C82" s="13"/>
      <c r="D82" s="13"/>
      <c r="E82" s="13"/>
      <c r="F82" s="14">
        <f t="shared" si="8"/>
        <v>0</v>
      </c>
      <c r="G82" s="15">
        <f t="shared" si="9"/>
        <v>0</v>
      </c>
      <c r="H82" s="15">
        <f t="shared" si="10"/>
        <v>0</v>
      </c>
      <c r="I82" s="52"/>
      <c r="J82" s="53"/>
      <c r="K82" s="13"/>
    </row>
    <row r="83" ht="18.75" spans="1:11">
      <c r="A83" s="12" t="str">
        <f ca="1" t="shared" si="7"/>
        <v/>
      </c>
      <c r="B83" s="6"/>
      <c r="C83" s="13"/>
      <c r="D83" s="13"/>
      <c r="E83" s="13"/>
      <c r="F83" s="14">
        <f t="shared" si="8"/>
        <v>0</v>
      </c>
      <c r="G83" s="15">
        <f t="shared" si="9"/>
        <v>0</v>
      </c>
      <c r="H83" s="15">
        <f t="shared" si="10"/>
        <v>0</v>
      </c>
      <c r="I83" s="52"/>
      <c r="J83" s="53"/>
      <c r="K83" s="13"/>
    </row>
    <row r="84" ht="18.75" spans="1:11">
      <c r="A84" s="12" t="str">
        <f ca="1" t="shared" si="7"/>
        <v/>
      </c>
      <c r="B84" s="6"/>
      <c r="C84" s="13"/>
      <c r="D84" s="13"/>
      <c r="E84" s="13"/>
      <c r="F84" s="14">
        <f t="shared" si="8"/>
        <v>0</v>
      </c>
      <c r="G84" s="15">
        <f t="shared" si="9"/>
        <v>0</v>
      </c>
      <c r="H84" s="15">
        <f t="shared" si="10"/>
        <v>0</v>
      </c>
      <c r="I84" s="52"/>
      <c r="J84" s="53"/>
      <c r="K84" s="13"/>
    </row>
    <row r="85" ht="18.75" spans="1:11">
      <c r="A85" s="12" t="str">
        <f ca="1" t="shared" si="7"/>
        <v/>
      </c>
      <c r="B85" s="6"/>
      <c r="C85" s="13"/>
      <c r="D85" s="13"/>
      <c r="E85" s="13"/>
      <c r="F85" s="14">
        <f t="shared" si="8"/>
        <v>0</v>
      </c>
      <c r="G85" s="15">
        <f t="shared" si="9"/>
        <v>0</v>
      </c>
      <c r="H85" s="15">
        <f t="shared" si="10"/>
        <v>0</v>
      </c>
      <c r="I85" s="52"/>
      <c r="J85" s="54"/>
      <c r="K85" s="13"/>
    </row>
    <row r="86" ht="18.75" spans="1:11">
      <c r="A86" s="12" t="str">
        <f ca="1" t="shared" si="7"/>
        <v/>
      </c>
      <c r="B86" s="6"/>
      <c r="C86" s="13"/>
      <c r="D86" s="13"/>
      <c r="E86" s="13"/>
      <c r="F86" s="14">
        <f t="shared" si="8"/>
        <v>0</v>
      </c>
      <c r="G86" s="15">
        <f t="shared" si="9"/>
        <v>0</v>
      </c>
      <c r="H86" s="15">
        <f t="shared" si="10"/>
        <v>0</v>
      </c>
      <c r="I86" s="52"/>
      <c r="J86" s="54"/>
      <c r="K86" s="13"/>
    </row>
    <row r="87" ht="18.75" spans="1:11">
      <c r="A87" s="12" t="str">
        <f ca="1" t="shared" si="7"/>
        <v/>
      </c>
      <c r="B87" s="6"/>
      <c r="C87" s="13"/>
      <c r="D87" s="13"/>
      <c r="E87" s="13"/>
      <c r="F87" s="14">
        <f t="shared" si="8"/>
        <v>0</v>
      </c>
      <c r="G87" s="15">
        <f t="shared" si="9"/>
        <v>0</v>
      </c>
      <c r="H87" s="15">
        <f t="shared" si="10"/>
        <v>0</v>
      </c>
      <c r="I87" s="52"/>
      <c r="J87" s="54"/>
      <c r="K87" s="13"/>
    </row>
    <row r="88" ht="18.75" spans="1:11">
      <c r="A88" s="12" t="str">
        <f ca="1" t="shared" si="7"/>
        <v/>
      </c>
      <c r="B88" s="6"/>
      <c r="C88" s="13"/>
      <c r="D88" s="13"/>
      <c r="E88" s="13"/>
      <c r="F88" s="14">
        <f t="shared" si="8"/>
        <v>0</v>
      </c>
      <c r="G88" s="15">
        <f t="shared" si="9"/>
        <v>0</v>
      </c>
      <c r="H88" s="15">
        <f t="shared" si="10"/>
        <v>0</v>
      </c>
      <c r="I88" s="52"/>
      <c r="J88" s="54"/>
      <c r="K88" s="13"/>
    </row>
    <row r="89" ht="18.75" spans="1:11">
      <c r="A89" s="12" t="str">
        <f ca="1" t="shared" si="7"/>
        <v/>
      </c>
      <c r="B89" s="6"/>
      <c r="C89" s="13"/>
      <c r="D89" s="13"/>
      <c r="E89" s="13"/>
      <c r="F89" s="14">
        <f t="shared" si="8"/>
        <v>0</v>
      </c>
      <c r="G89" s="15">
        <f t="shared" si="9"/>
        <v>0</v>
      </c>
      <c r="H89" s="15">
        <f t="shared" si="10"/>
        <v>0</v>
      </c>
      <c r="I89" s="52"/>
      <c r="J89" s="54"/>
      <c r="K89" s="13"/>
    </row>
    <row r="90" ht="18.75" spans="1:11">
      <c r="A90" s="12" t="str">
        <f ca="1" t="shared" si="7"/>
        <v/>
      </c>
      <c r="B90" s="6"/>
      <c r="C90" s="13"/>
      <c r="D90" s="13"/>
      <c r="E90" s="13"/>
      <c r="F90" s="14">
        <f t="shared" si="8"/>
        <v>0</v>
      </c>
      <c r="G90" s="15">
        <f t="shared" si="9"/>
        <v>0</v>
      </c>
      <c r="H90" s="15">
        <f t="shared" si="10"/>
        <v>0</v>
      </c>
      <c r="I90" s="52"/>
      <c r="J90" s="54"/>
      <c r="K90" s="13"/>
    </row>
    <row r="91" ht="18.75" spans="1:11">
      <c r="A91" s="12" t="str">
        <f ca="1" t="shared" si="7"/>
        <v/>
      </c>
      <c r="B91" s="6"/>
      <c r="C91" s="13"/>
      <c r="D91" s="13"/>
      <c r="E91" s="13"/>
      <c r="F91" s="14">
        <f t="shared" si="8"/>
        <v>0</v>
      </c>
      <c r="G91" s="15">
        <f t="shared" si="9"/>
        <v>0</v>
      </c>
      <c r="H91" s="15">
        <f t="shared" si="10"/>
        <v>0</v>
      </c>
      <c r="I91" s="52"/>
      <c r="J91" s="54"/>
      <c r="K91" s="13"/>
    </row>
    <row r="92" ht="18.75" spans="1:11">
      <c r="A92" s="12" t="str">
        <f ca="1" t="shared" si="7"/>
        <v/>
      </c>
      <c r="B92" s="6"/>
      <c r="C92" s="13"/>
      <c r="D92" s="13"/>
      <c r="E92" s="13"/>
      <c r="F92" s="14">
        <f t="shared" si="8"/>
        <v>0</v>
      </c>
      <c r="G92" s="15">
        <f t="shared" si="9"/>
        <v>0</v>
      </c>
      <c r="H92" s="15">
        <f t="shared" si="10"/>
        <v>0</v>
      </c>
      <c r="I92" s="52"/>
      <c r="J92" s="54"/>
      <c r="K92" s="13"/>
    </row>
    <row r="93" ht="18.75" spans="1:11">
      <c r="A93" s="12" t="str">
        <f ca="1" t="shared" si="7"/>
        <v/>
      </c>
      <c r="B93" s="6"/>
      <c r="C93" s="13"/>
      <c r="D93" s="13"/>
      <c r="E93" s="13"/>
      <c r="F93" s="14">
        <f t="shared" si="8"/>
        <v>0</v>
      </c>
      <c r="G93" s="15">
        <f t="shared" si="9"/>
        <v>0</v>
      </c>
      <c r="H93" s="15">
        <f t="shared" si="10"/>
        <v>0</v>
      </c>
      <c r="I93" s="52"/>
      <c r="J93" s="54"/>
      <c r="K93" s="13"/>
    </row>
    <row r="94" ht="18.75" spans="1:11">
      <c r="A94" s="12" t="str">
        <f ca="1" t="shared" si="7"/>
        <v/>
      </c>
      <c r="B94" s="6"/>
      <c r="C94" s="13"/>
      <c r="D94" s="13"/>
      <c r="E94" s="13"/>
      <c r="F94" s="14">
        <f t="shared" si="8"/>
        <v>0</v>
      </c>
      <c r="G94" s="15">
        <f t="shared" si="9"/>
        <v>0</v>
      </c>
      <c r="H94" s="15">
        <f t="shared" si="10"/>
        <v>0</v>
      </c>
      <c r="I94" s="52"/>
      <c r="J94" s="54"/>
      <c r="K94" s="13"/>
    </row>
    <row r="95" ht="18.75" spans="1:11">
      <c r="A95" s="12" t="str">
        <f ca="1" t="shared" si="7"/>
        <v/>
      </c>
      <c r="B95" s="6"/>
      <c r="C95" s="13"/>
      <c r="D95" s="13"/>
      <c r="E95" s="13"/>
      <c r="F95" s="14">
        <f t="shared" si="8"/>
        <v>0</v>
      </c>
      <c r="G95" s="15">
        <f t="shared" si="9"/>
        <v>0</v>
      </c>
      <c r="H95" s="15">
        <f t="shared" si="10"/>
        <v>0</v>
      </c>
      <c r="I95" s="52"/>
      <c r="J95" s="54"/>
      <c r="K95" s="13"/>
    </row>
    <row r="96" ht="18.75" spans="1:11">
      <c r="A96" s="12" t="str">
        <f ca="1" t="shared" si="7"/>
        <v/>
      </c>
      <c r="B96" s="6"/>
      <c r="C96" s="13"/>
      <c r="D96" s="13"/>
      <c r="E96" s="13"/>
      <c r="F96" s="14">
        <f t="shared" si="8"/>
        <v>0</v>
      </c>
      <c r="G96" s="15">
        <f t="shared" si="9"/>
        <v>0</v>
      </c>
      <c r="H96" s="15">
        <f t="shared" si="10"/>
        <v>0</v>
      </c>
      <c r="I96" s="52"/>
      <c r="J96" s="54"/>
      <c r="K96" s="13"/>
    </row>
    <row r="97" ht="18.75" spans="1:11">
      <c r="A97" s="12" t="str">
        <f ca="1" t="shared" si="7"/>
        <v/>
      </c>
      <c r="B97" s="6"/>
      <c r="C97" s="13"/>
      <c r="D97" s="13"/>
      <c r="E97" s="13"/>
      <c r="F97" s="14">
        <f t="shared" si="8"/>
        <v>0</v>
      </c>
      <c r="G97" s="15">
        <f t="shared" si="9"/>
        <v>0</v>
      </c>
      <c r="H97" s="15">
        <f t="shared" si="10"/>
        <v>0</v>
      </c>
      <c r="I97" s="52"/>
      <c r="J97" s="54"/>
      <c r="K97" s="13"/>
    </row>
    <row r="98" ht="18.75" spans="1:11">
      <c r="A98" s="12" t="str">
        <f ca="1" t="shared" si="7"/>
        <v/>
      </c>
      <c r="B98" s="6"/>
      <c r="C98" s="13"/>
      <c r="D98" s="13"/>
      <c r="E98" s="13"/>
      <c r="F98" s="14">
        <f t="shared" si="8"/>
        <v>0</v>
      </c>
      <c r="G98" s="15">
        <f t="shared" si="9"/>
        <v>0</v>
      </c>
      <c r="H98" s="15">
        <f t="shared" si="10"/>
        <v>0</v>
      </c>
      <c r="I98" s="52"/>
      <c r="J98" s="54"/>
      <c r="K98" s="13"/>
    </row>
    <row r="99" ht="18.75" spans="1:11">
      <c r="A99" s="12" t="str">
        <f ca="1" t="shared" si="7"/>
        <v/>
      </c>
      <c r="B99" s="6"/>
      <c r="C99" s="13"/>
      <c r="D99" s="13"/>
      <c r="E99" s="13"/>
      <c r="F99" s="14">
        <f t="shared" si="8"/>
        <v>0</v>
      </c>
      <c r="G99" s="15">
        <f t="shared" si="9"/>
        <v>0</v>
      </c>
      <c r="H99" s="15">
        <f t="shared" si="10"/>
        <v>0</v>
      </c>
      <c r="I99" s="52"/>
      <c r="J99" s="54"/>
      <c r="K99" s="13"/>
    </row>
    <row r="100" ht="18.75" spans="1:11">
      <c r="A100" s="12" t="str">
        <f ca="1" t="shared" si="7"/>
        <v/>
      </c>
      <c r="B100" s="6"/>
      <c r="C100" s="13"/>
      <c r="D100" s="13"/>
      <c r="E100" s="13"/>
      <c r="F100" s="14">
        <f t="shared" si="8"/>
        <v>0</v>
      </c>
      <c r="G100" s="15">
        <f t="shared" si="9"/>
        <v>0</v>
      </c>
      <c r="H100" s="15">
        <f t="shared" si="10"/>
        <v>0</v>
      </c>
      <c r="I100" s="52"/>
      <c r="J100" s="54"/>
      <c r="K100" s="13"/>
    </row>
    <row r="101" ht="18.75" spans="1:11">
      <c r="A101" s="12" t="str">
        <f ca="1" t="shared" si="7"/>
        <v/>
      </c>
      <c r="B101" s="6"/>
      <c r="C101" s="13"/>
      <c r="D101" s="13"/>
      <c r="E101" s="13"/>
      <c r="F101" s="14">
        <f t="shared" si="8"/>
        <v>0</v>
      </c>
      <c r="G101" s="15">
        <f t="shared" si="9"/>
        <v>0</v>
      </c>
      <c r="H101" s="15">
        <f t="shared" si="10"/>
        <v>0</v>
      </c>
      <c r="I101" s="52"/>
      <c r="J101" s="54"/>
      <c r="K101" s="13"/>
    </row>
    <row r="102" ht="18.75" spans="1:11">
      <c r="A102" s="12" t="str">
        <f ca="1" t="shared" si="7"/>
        <v/>
      </c>
      <c r="B102" s="6"/>
      <c r="C102" s="13"/>
      <c r="D102" s="13"/>
      <c r="E102" s="13"/>
      <c r="F102" s="14">
        <f t="shared" si="8"/>
        <v>0</v>
      </c>
      <c r="G102" s="15">
        <f t="shared" si="9"/>
        <v>0</v>
      </c>
      <c r="H102" s="15">
        <f t="shared" si="10"/>
        <v>0</v>
      </c>
      <c r="I102" s="52"/>
      <c r="J102" s="54"/>
      <c r="K102" s="13"/>
    </row>
    <row r="103" ht="18.75" spans="1:11">
      <c r="A103" s="12" t="str">
        <f ca="1" t="shared" si="7"/>
        <v/>
      </c>
      <c r="B103" s="6"/>
      <c r="C103" s="13"/>
      <c r="D103" s="13"/>
      <c r="E103" s="13"/>
      <c r="F103" s="14">
        <f t="shared" si="8"/>
        <v>0</v>
      </c>
      <c r="G103" s="15">
        <f t="shared" si="9"/>
        <v>0</v>
      </c>
      <c r="H103" s="15">
        <f t="shared" si="10"/>
        <v>0</v>
      </c>
      <c r="I103" s="52"/>
      <c r="J103" s="54"/>
      <c r="K103" s="13"/>
    </row>
    <row r="104" ht="18.75" spans="1:11">
      <c r="A104" s="12" t="str">
        <f ca="1" t="shared" si="7"/>
        <v/>
      </c>
      <c r="B104" s="6"/>
      <c r="C104" s="13"/>
      <c r="D104" s="13"/>
      <c r="E104" s="13"/>
      <c r="F104" s="14">
        <f t="shared" si="8"/>
        <v>0</v>
      </c>
      <c r="G104" s="15">
        <f t="shared" si="9"/>
        <v>0</v>
      </c>
      <c r="H104" s="15">
        <f t="shared" si="10"/>
        <v>0</v>
      </c>
      <c r="I104" s="52"/>
      <c r="J104" s="54"/>
      <c r="K104" s="13"/>
    </row>
    <row r="105" ht="18.75" spans="1:11">
      <c r="A105" s="12" t="str">
        <f ca="1" t="shared" si="7"/>
        <v/>
      </c>
      <c r="B105" s="6"/>
      <c r="C105" s="13"/>
      <c r="D105" s="13"/>
      <c r="E105" s="13"/>
      <c r="F105" s="14">
        <f t="shared" si="8"/>
        <v>0</v>
      </c>
      <c r="G105" s="15">
        <f t="shared" si="9"/>
        <v>0</v>
      </c>
      <c r="H105" s="15">
        <f t="shared" si="10"/>
        <v>0</v>
      </c>
      <c r="I105" s="52"/>
      <c r="J105" s="54"/>
      <c r="K105" s="13"/>
    </row>
    <row r="106" ht="18.75" spans="1:11">
      <c r="A106" s="12" t="str">
        <f ca="1" t="shared" si="7"/>
        <v/>
      </c>
      <c r="B106" s="6"/>
      <c r="C106" s="13"/>
      <c r="D106" s="13"/>
      <c r="E106" s="13"/>
      <c r="F106" s="14">
        <f t="shared" si="8"/>
        <v>0</v>
      </c>
      <c r="G106" s="15">
        <f t="shared" si="9"/>
        <v>0</v>
      </c>
      <c r="H106" s="15">
        <f t="shared" si="10"/>
        <v>0</v>
      </c>
      <c r="I106" s="52"/>
      <c r="J106" s="54"/>
      <c r="K106" s="13"/>
    </row>
    <row r="107" ht="18.75" spans="1:11">
      <c r="A107" s="12" t="str">
        <f ca="1" t="shared" si="7"/>
        <v/>
      </c>
      <c r="B107" s="6"/>
      <c r="C107" s="13"/>
      <c r="D107" s="13"/>
      <c r="E107" s="13"/>
      <c r="F107" s="14">
        <f t="shared" si="8"/>
        <v>0</v>
      </c>
      <c r="G107" s="15">
        <f t="shared" si="9"/>
        <v>0</v>
      </c>
      <c r="H107" s="15">
        <f t="shared" si="10"/>
        <v>0</v>
      </c>
      <c r="I107" s="52"/>
      <c r="J107" s="54"/>
      <c r="K107" s="13"/>
    </row>
    <row r="108" ht="18.75" spans="1:11">
      <c r="A108" s="12" t="str">
        <f ca="1" t="shared" si="7"/>
        <v/>
      </c>
      <c r="B108" s="6"/>
      <c r="C108" s="13"/>
      <c r="D108" s="13"/>
      <c r="E108" s="13"/>
      <c r="F108" s="14">
        <f t="shared" si="8"/>
        <v>0</v>
      </c>
      <c r="G108" s="15">
        <f t="shared" si="9"/>
        <v>0</v>
      </c>
      <c r="H108" s="15">
        <f t="shared" si="10"/>
        <v>0</v>
      </c>
      <c r="I108" s="52"/>
      <c r="J108" s="54"/>
      <c r="K108" s="13"/>
    </row>
    <row r="109" ht="18.75" spans="1:11">
      <c r="A109" s="12" t="str">
        <f ca="1" t="shared" si="7"/>
        <v/>
      </c>
      <c r="B109" s="6"/>
      <c r="C109" s="13"/>
      <c r="D109" s="13"/>
      <c r="E109" s="13"/>
      <c r="F109" s="14">
        <f t="shared" si="8"/>
        <v>0</v>
      </c>
      <c r="G109" s="15">
        <f t="shared" si="9"/>
        <v>0</v>
      </c>
      <c r="H109" s="15">
        <f t="shared" si="10"/>
        <v>0</v>
      </c>
      <c r="I109" s="52"/>
      <c r="J109" s="54"/>
      <c r="K109" s="13"/>
    </row>
    <row r="110" ht="18.75" spans="1:11">
      <c r="A110" s="12" t="str">
        <f ca="1" t="shared" si="7"/>
        <v/>
      </c>
      <c r="B110" s="6"/>
      <c r="C110" s="13"/>
      <c r="D110" s="13"/>
      <c r="E110" s="13"/>
      <c r="F110" s="14">
        <f t="shared" si="8"/>
        <v>0</v>
      </c>
      <c r="G110" s="15">
        <f t="shared" si="9"/>
        <v>0</v>
      </c>
      <c r="H110" s="15">
        <f t="shared" si="10"/>
        <v>0</v>
      </c>
      <c r="I110" s="52"/>
      <c r="J110" s="54"/>
      <c r="K110" s="13"/>
    </row>
    <row r="111" ht="18.75" spans="1:11">
      <c r="A111" s="12" t="str">
        <f ca="1" t="shared" si="7"/>
        <v/>
      </c>
      <c r="B111" s="6"/>
      <c r="C111" s="13"/>
      <c r="D111" s="13"/>
      <c r="E111" s="13"/>
      <c r="F111" s="14">
        <f t="shared" si="8"/>
        <v>0</v>
      </c>
      <c r="G111" s="15">
        <f t="shared" si="9"/>
        <v>0</v>
      </c>
      <c r="H111" s="15">
        <f t="shared" si="10"/>
        <v>0</v>
      </c>
      <c r="I111" s="52"/>
      <c r="J111" s="54"/>
      <c r="K111" s="13"/>
    </row>
    <row r="112" ht="18.75" spans="1:11">
      <c r="A112" s="12" t="str">
        <f ca="1" t="shared" si="7"/>
        <v/>
      </c>
      <c r="B112" s="6"/>
      <c r="C112" s="13"/>
      <c r="D112" s="13"/>
      <c r="E112" s="13"/>
      <c r="F112" s="14">
        <f t="shared" si="8"/>
        <v>0</v>
      </c>
      <c r="G112" s="15">
        <f t="shared" si="9"/>
        <v>0</v>
      </c>
      <c r="H112" s="15">
        <f t="shared" si="10"/>
        <v>0</v>
      </c>
      <c r="I112" s="52"/>
      <c r="J112" s="54"/>
      <c r="K112" s="13"/>
    </row>
    <row r="113" ht="18.75" spans="1:11">
      <c r="A113" s="12" t="str">
        <f ca="1" t="shared" si="7"/>
        <v/>
      </c>
      <c r="B113" s="6"/>
      <c r="C113" s="13"/>
      <c r="D113" s="13"/>
      <c r="E113" s="13"/>
      <c r="F113" s="14">
        <f t="shared" si="8"/>
        <v>0</v>
      </c>
      <c r="G113" s="15">
        <f t="shared" si="9"/>
        <v>0</v>
      </c>
      <c r="H113" s="15">
        <f t="shared" si="10"/>
        <v>0</v>
      </c>
      <c r="I113" s="52"/>
      <c r="J113" s="54"/>
      <c r="K113" s="13"/>
    </row>
    <row r="114" ht="18.75" spans="1:11">
      <c r="A114" s="12" t="str">
        <f ca="1" t="shared" si="7"/>
        <v/>
      </c>
      <c r="B114" s="6"/>
      <c r="C114" s="13"/>
      <c r="D114" s="13"/>
      <c r="E114" s="13"/>
      <c r="F114" s="14">
        <f t="shared" si="8"/>
        <v>0</v>
      </c>
      <c r="G114" s="15">
        <f t="shared" si="9"/>
        <v>0</v>
      </c>
      <c r="H114" s="15">
        <f t="shared" si="10"/>
        <v>0</v>
      </c>
      <c r="I114" s="52"/>
      <c r="J114" s="54"/>
      <c r="K114" s="13"/>
    </row>
    <row r="115" ht="18.75" spans="1:11">
      <c r="A115" s="12" t="str">
        <f ca="1" t="shared" si="7"/>
        <v/>
      </c>
      <c r="B115" s="6"/>
      <c r="C115" s="13"/>
      <c r="D115" s="13"/>
      <c r="E115" s="13"/>
      <c r="F115" s="14">
        <f t="shared" si="8"/>
        <v>0</v>
      </c>
      <c r="G115" s="15">
        <f t="shared" si="9"/>
        <v>0</v>
      </c>
      <c r="H115" s="15">
        <f t="shared" si="10"/>
        <v>0</v>
      </c>
      <c r="I115" s="52"/>
      <c r="J115" s="54"/>
      <c r="K115" s="13"/>
    </row>
    <row r="116" ht="18.75" spans="1:11">
      <c r="A116" s="12" t="str">
        <f ca="1" t="shared" si="7"/>
        <v/>
      </c>
      <c r="B116" s="6"/>
      <c r="C116" s="13"/>
      <c r="D116" s="13"/>
      <c r="E116" s="13"/>
      <c r="F116" s="14">
        <f t="shared" si="8"/>
        <v>0</v>
      </c>
      <c r="G116" s="15">
        <f t="shared" si="9"/>
        <v>0</v>
      </c>
      <c r="H116" s="15">
        <f t="shared" si="10"/>
        <v>0</v>
      </c>
      <c r="I116" s="52"/>
      <c r="J116" s="54"/>
      <c r="K116" s="13"/>
    </row>
    <row r="117" ht="18.75" spans="1:11">
      <c r="A117" s="12" t="str">
        <f ca="1" t="shared" si="7"/>
        <v/>
      </c>
      <c r="B117" s="6"/>
      <c r="C117" s="13"/>
      <c r="D117" s="13"/>
      <c r="E117" s="13"/>
      <c r="F117" s="14">
        <f t="shared" si="8"/>
        <v>0</v>
      </c>
      <c r="G117" s="15">
        <f t="shared" si="9"/>
        <v>0</v>
      </c>
      <c r="H117" s="15">
        <f t="shared" si="10"/>
        <v>0</v>
      </c>
      <c r="I117" s="52"/>
      <c r="J117" s="54"/>
      <c r="K117" s="13"/>
    </row>
    <row r="118" ht="18.75" spans="1:11">
      <c r="A118" s="12" t="str">
        <f ca="1" t="shared" si="7"/>
        <v/>
      </c>
      <c r="B118" s="6"/>
      <c r="C118" s="13"/>
      <c r="D118" s="13"/>
      <c r="E118" s="13"/>
      <c r="F118" s="14">
        <f t="shared" si="8"/>
        <v>0</v>
      </c>
      <c r="G118" s="15">
        <f t="shared" si="9"/>
        <v>0</v>
      </c>
      <c r="H118" s="15">
        <f t="shared" si="10"/>
        <v>0</v>
      </c>
      <c r="I118" s="52"/>
      <c r="J118" s="54"/>
      <c r="K118" s="13"/>
    </row>
    <row r="119" ht="18.75" spans="1:11">
      <c r="A119" s="12" t="str">
        <f ca="1" t="shared" si="7"/>
        <v/>
      </c>
      <c r="B119" s="6"/>
      <c r="C119" s="13"/>
      <c r="D119" s="13"/>
      <c r="E119" s="13"/>
      <c r="F119" s="14">
        <f t="shared" si="8"/>
        <v>0</v>
      </c>
      <c r="G119" s="15">
        <f t="shared" si="9"/>
        <v>0</v>
      </c>
      <c r="H119" s="15">
        <f t="shared" si="10"/>
        <v>0</v>
      </c>
      <c r="I119" s="52"/>
      <c r="J119" s="54"/>
      <c r="K119" s="13"/>
    </row>
    <row r="120" ht="18.75" spans="1:11">
      <c r="A120" s="12" t="str">
        <f ca="1" t="shared" si="7"/>
        <v/>
      </c>
      <c r="B120" s="6"/>
      <c r="C120" s="13"/>
      <c r="D120" s="13"/>
      <c r="E120" s="13"/>
      <c r="F120" s="14">
        <f t="shared" si="8"/>
        <v>0</v>
      </c>
      <c r="G120" s="15">
        <f t="shared" si="9"/>
        <v>0</v>
      </c>
      <c r="H120" s="15">
        <f t="shared" si="10"/>
        <v>0</v>
      </c>
      <c r="I120" s="52"/>
      <c r="J120" s="54"/>
      <c r="K120" s="13"/>
    </row>
    <row r="121" ht="18.75" spans="1:11">
      <c r="A121" s="12" t="str">
        <f ca="1" t="shared" si="7"/>
        <v/>
      </c>
      <c r="B121" s="6"/>
      <c r="C121" s="13"/>
      <c r="D121" s="13"/>
      <c r="E121" s="13"/>
      <c r="F121" s="14">
        <f t="shared" si="8"/>
        <v>0</v>
      </c>
      <c r="G121" s="15">
        <f t="shared" si="9"/>
        <v>0</v>
      </c>
      <c r="H121" s="15">
        <f t="shared" si="10"/>
        <v>0</v>
      </c>
      <c r="I121" s="52"/>
      <c r="J121" s="54"/>
      <c r="K121" s="13"/>
    </row>
    <row r="122" ht="18.75" spans="1:11">
      <c r="A122" s="12" t="str">
        <f ca="1" t="shared" si="7"/>
        <v/>
      </c>
      <c r="B122" s="6"/>
      <c r="C122" s="13"/>
      <c r="D122" s="13"/>
      <c r="E122" s="13"/>
      <c r="F122" s="14">
        <f t="shared" si="8"/>
        <v>0</v>
      </c>
      <c r="G122" s="15">
        <f t="shared" si="9"/>
        <v>0</v>
      </c>
      <c r="H122" s="15">
        <f t="shared" si="10"/>
        <v>0</v>
      </c>
      <c r="I122" s="52"/>
      <c r="J122" s="54"/>
      <c r="K122" s="13"/>
    </row>
    <row r="123" ht="18.75" spans="1:11">
      <c r="A123" s="12" t="str">
        <f ca="1" t="shared" si="7"/>
        <v/>
      </c>
      <c r="B123" s="6"/>
      <c r="C123" s="13"/>
      <c r="D123" s="13"/>
      <c r="E123" s="13"/>
      <c r="F123" s="14">
        <f t="shared" si="8"/>
        <v>0</v>
      </c>
      <c r="G123" s="15">
        <f t="shared" si="9"/>
        <v>0</v>
      </c>
      <c r="H123" s="15">
        <f t="shared" si="10"/>
        <v>0</v>
      </c>
      <c r="I123" s="52"/>
      <c r="J123" s="54"/>
      <c r="K123" s="13"/>
    </row>
    <row r="124" ht="18.75" spans="1:11">
      <c r="A124" s="12" t="str">
        <f ca="1" t="shared" si="7"/>
        <v/>
      </c>
      <c r="B124" s="6"/>
      <c r="C124" s="13"/>
      <c r="D124" s="13"/>
      <c r="E124" s="13"/>
      <c r="F124" s="14">
        <f t="shared" si="8"/>
        <v>0</v>
      </c>
      <c r="G124" s="15">
        <f t="shared" si="9"/>
        <v>0</v>
      </c>
      <c r="H124" s="15">
        <f t="shared" si="10"/>
        <v>0</v>
      </c>
      <c r="I124" s="52"/>
      <c r="J124" s="54"/>
      <c r="K124" s="13"/>
    </row>
    <row r="125" ht="18.75" spans="1:11">
      <c r="A125" s="12" t="str">
        <f ca="1" t="shared" si="7"/>
        <v/>
      </c>
      <c r="B125" s="6"/>
      <c r="C125" s="13"/>
      <c r="D125" s="13"/>
      <c r="E125" s="13"/>
      <c r="F125" s="14">
        <f t="shared" si="8"/>
        <v>0</v>
      </c>
      <c r="G125" s="15">
        <f t="shared" si="9"/>
        <v>0</v>
      </c>
      <c r="H125" s="15">
        <f t="shared" si="10"/>
        <v>0</v>
      </c>
      <c r="I125" s="52"/>
      <c r="J125" s="54"/>
      <c r="K125" s="13"/>
    </row>
    <row r="126" ht="18.75" spans="1:11">
      <c r="A126" s="12" t="str">
        <f ca="1" t="shared" si="7"/>
        <v/>
      </c>
      <c r="B126" s="6"/>
      <c r="C126" s="13"/>
      <c r="D126" s="13"/>
      <c r="E126" s="13"/>
      <c r="F126" s="14">
        <f t="shared" si="8"/>
        <v>0</v>
      </c>
      <c r="G126" s="15">
        <f t="shared" si="9"/>
        <v>0</v>
      </c>
      <c r="H126" s="15">
        <f t="shared" si="10"/>
        <v>0</v>
      </c>
      <c r="I126" s="52"/>
      <c r="J126" s="54"/>
      <c r="K126" s="13"/>
    </row>
    <row r="127" ht="18.75" spans="1:11">
      <c r="A127" s="12" t="str">
        <f ca="1" t="shared" si="7"/>
        <v/>
      </c>
      <c r="B127" s="6"/>
      <c r="C127" s="13"/>
      <c r="D127" s="13"/>
      <c r="E127" s="13"/>
      <c r="F127" s="14">
        <f t="shared" si="8"/>
        <v>0</v>
      </c>
      <c r="G127" s="15">
        <f t="shared" si="9"/>
        <v>0</v>
      </c>
      <c r="H127" s="15">
        <f t="shared" si="10"/>
        <v>0</v>
      </c>
      <c r="I127" s="52"/>
      <c r="J127" s="54"/>
      <c r="K127" s="13"/>
    </row>
    <row r="128" ht="18.75" spans="1:11">
      <c r="A128" s="12" t="str">
        <f ca="1" t="shared" si="7"/>
        <v/>
      </c>
      <c r="B128" s="6"/>
      <c r="C128" s="13"/>
      <c r="D128" s="13"/>
      <c r="E128" s="13"/>
      <c r="F128" s="14">
        <f t="shared" si="8"/>
        <v>0</v>
      </c>
      <c r="G128" s="15">
        <f t="shared" si="9"/>
        <v>0</v>
      </c>
      <c r="H128" s="15">
        <f t="shared" si="10"/>
        <v>0</v>
      </c>
      <c r="I128" s="52"/>
      <c r="J128" s="54"/>
      <c r="K128" s="13"/>
    </row>
    <row r="129" ht="18.75" spans="1:11">
      <c r="A129" s="12" t="str">
        <f ca="1" t="shared" si="7"/>
        <v/>
      </c>
      <c r="B129" s="6"/>
      <c r="C129" s="13"/>
      <c r="D129" s="13"/>
      <c r="E129" s="13"/>
      <c r="F129" s="14">
        <f t="shared" si="8"/>
        <v>0</v>
      </c>
      <c r="G129" s="15">
        <f t="shared" si="9"/>
        <v>0</v>
      </c>
      <c r="H129" s="15">
        <f t="shared" si="10"/>
        <v>0</v>
      </c>
      <c r="I129" s="52"/>
      <c r="J129" s="54"/>
      <c r="K129" s="13"/>
    </row>
    <row r="130" ht="18.75" spans="1:11">
      <c r="A130" s="12" t="str">
        <f ca="1" t="shared" si="7"/>
        <v/>
      </c>
      <c r="B130" s="6"/>
      <c r="C130" s="13"/>
      <c r="D130" s="13"/>
      <c r="E130" s="13"/>
      <c r="F130" s="14">
        <f t="shared" si="8"/>
        <v>0</v>
      </c>
      <c r="G130" s="15">
        <f t="shared" si="9"/>
        <v>0</v>
      </c>
      <c r="H130" s="15">
        <f t="shared" si="10"/>
        <v>0</v>
      </c>
      <c r="I130" s="52"/>
      <c r="J130" s="54"/>
      <c r="K130" s="13"/>
    </row>
    <row r="131" ht="18.75" spans="1:11">
      <c r="A131" s="12" t="str">
        <f ca="1" t="shared" ref="A131:A160" si="11">IF(B131="","",IF(A131="",NOW(),A131))</f>
        <v/>
      </c>
      <c r="B131" s="6"/>
      <c r="C131" s="13"/>
      <c r="D131" s="13"/>
      <c r="E131" s="13"/>
      <c r="F131" s="14">
        <f t="shared" ref="F131:F160" si="12">(IF(E131-C131&lt;0,"24:00"-C131+E131,E131-C131))*24</f>
        <v>0</v>
      </c>
      <c r="G131" s="15">
        <f t="shared" ref="G131:G160" si="13">F131-H131</f>
        <v>0</v>
      </c>
      <c r="H131" s="15">
        <f t="shared" ref="H131:H160" si="14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1"/>
        <v/>
      </c>
      <c r="B132" s="6"/>
      <c r="C132" s="13"/>
      <c r="D132" s="13"/>
      <c r="E132" s="13"/>
      <c r="F132" s="14">
        <f t="shared" si="12"/>
        <v>0</v>
      </c>
      <c r="G132" s="15">
        <f t="shared" si="13"/>
        <v>0</v>
      </c>
      <c r="H132" s="15">
        <f t="shared" si="14"/>
        <v>0</v>
      </c>
      <c r="I132" s="52"/>
      <c r="J132" s="54"/>
      <c r="K132" s="13"/>
    </row>
    <row r="133" ht="18.75" spans="1:11">
      <c r="A133" s="12" t="str">
        <f ca="1" t="shared" si="11"/>
        <v/>
      </c>
      <c r="B133" s="6"/>
      <c r="C133" s="13"/>
      <c r="D133" s="13"/>
      <c r="E133" s="13"/>
      <c r="F133" s="14">
        <f t="shared" si="12"/>
        <v>0</v>
      </c>
      <c r="G133" s="15">
        <f t="shared" si="13"/>
        <v>0</v>
      </c>
      <c r="H133" s="15">
        <f t="shared" si="14"/>
        <v>0</v>
      </c>
      <c r="I133" s="52"/>
      <c r="J133" s="54"/>
      <c r="K133" s="13"/>
    </row>
    <row r="134" ht="18.75" spans="1:11">
      <c r="A134" s="12" t="str">
        <f ca="1" t="shared" si="11"/>
        <v/>
      </c>
      <c r="B134" s="6"/>
      <c r="C134" s="13"/>
      <c r="D134" s="13"/>
      <c r="E134" s="13"/>
      <c r="F134" s="14">
        <f t="shared" si="12"/>
        <v>0</v>
      </c>
      <c r="G134" s="15">
        <f t="shared" si="13"/>
        <v>0</v>
      </c>
      <c r="H134" s="15">
        <f t="shared" si="14"/>
        <v>0</v>
      </c>
      <c r="I134" s="52"/>
      <c r="J134" s="54"/>
      <c r="K134" s="13"/>
    </row>
    <row r="135" ht="18.75" spans="1:11">
      <c r="A135" s="12" t="str">
        <f ca="1" t="shared" si="11"/>
        <v/>
      </c>
      <c r="B135" s="6"/>
      <c r="C135" s="13"/>
      <c r="D135" s="13"/>
      <c r="E135" s="13"/>
      <c r="F135" s="14">
        <f t="shared" si="12"/>
        <v>0</v>
      </c>
      <c r="G135" s="15">
        <f t="shared" si="13"/>
        <v>0</v>
      </c>
      <c r="H135" s="15">
        <f t="shared" si="14"/>
        <v>0</v>
      </c>
      <c r="I135" s="52"/>
      <c r="J135" s="54"/>
      <c r="K135" s="13"/>
    </row>
    <row r="136" ht="18.75" spans="1:11">
      <c r="A136" s="12" t="str">
        <f ca="1" t="shared" si="11"/>
        <v/>
      </c>
      <c r="B136" s="6"/>
      <c r="C136" s="13"/>
      <c r="D136" s="13"/>
      <c r="E136" s="13"/>
      <c r="F136" s="14">
        <f t="shared" si="12"/>
        <v>0</v>
      </c>
      <c r="G136" s="15">
        <f t="shared" si="13"/>
        <v>0</v>
      </c>
      <c r="H136" s="15">
        <f t="shared" si="14"/>
        <v>0</v>
      </c>
      <c r="I136" s="52"/>
      <c r="J136" s="54"/>
      <c r="K136" s="13"/>
    </row>
    <row r="137" ht="18.75" spans="1:11">
      <c r="A137" s="12" t="str">
        <f ca="1" t="shared" si="11"/>
        <v/>
      </c>
      <c r="B137" s="6"/>
      <c r="C137" s="13"/>
      <c r="D137" s="13"/>
      <c r="E137" s="13"/>
      <c r="F137" s="14">
        <f t="shared" si="12"/>
        <v>0</v>
      </c>
      <c r="G137" s="15">
        <f t="shared" si="13"/>
        <v>0</v>
      </c>
      <c r="H137" s="15">
        <f t="shared" si="14"/>
        <v>0</v>
      </c>
      <c r="I137" s="52"/>
      <c r="J137" s="54"/>
      <c r="K137" s="13"/>
    </row>
    <row r="138" ht="18.75" spans="1:11">
      <c r="A138" s="12" t="str">
        <f ca="1" t="shared" si="11"/>
        <v/>
      </c>
      <c r="B138" s="6"/>
      <c r="C138" s="13"/>
      <c r="D138" s="13"/>
      <c r="E138" s="13"/>
      <c r="F138" s="14">
        <f t="shared" si="12"/>
        <v>0</v>
      </c>
      <c r="G138" s="15">
        <f t="shared" si="13"/>
        <v>0</v>
      </c>
      <c r="H138" s="15">
        <f t="shared" si="14"/>
        <v>0</v>
      </c>
      <c r="I138" s="52"/>
      <c r="J138" s="54"/>
      <c r="K138" s="13"/>
    </row>
    <row r="139" ht="18.75" spans="1:11">
      <c r="A139" s="12" t="str">
        <f ca="1" t="shared" si="11"/>
        <v/>
      </c>
      <c r="B139" s="6"/>
      <c r="C139" s="13"/>
      <c r="D139" s="13"/>
      <c r="E139" s="13"/>
      <c r="F139" s="14">
        <f t="shared" si="12"/>
        <v>0</v>
      </c>
      <c r="G139" s="15">
        <f t="shared" si="13"/>
        <v>0</v>
      </c>
      <c r="H139" s="15">
        <f t="shared" si="14"/>
        <v>0</v>
      </c>
      <c r="I139" s="52"/>
      <c r="J139" s="54"/>
      <c r="K139" s="13"/>
    </row>
    <row r="140" ht="18.75" spans="1:11">
      <c r="A140" s="12" t="str">
        <f ca="1" t="shared" si="11"/>
        <v/>
      </c>
      <c r="B140" s="6"/>
      <c r="C140" s="13"/>
      <c r="D140" s="13"/>
      <c r="E140" s="13"/>
      <c r="F140" s="14">
        <f t="shared" si="12"/>
        <v>0</v>
      </c>
      <c r="G140" s="15">
        <f t="shared" si="13"/>
        <v>0</v>
      </c>
      <c r="H140" s="15">
        <f t="shared" si="14"/>
        <v>0</v>
      </c>
      <c r="I140" s="52"/>
      <c r="J140" s="54"/>
      <c r="K140" s="13"/>
    </row>
    <row r="141" ht="18.75" spans="1:11">
      <c r="A141" s="12" t="str">
        <f ca="1" t="shared" si="11"/>
        <v/>
      </c>
      <c r="B141" s="6"/>
      <c r="C141" s="13"/>
      <c r="D141" s="13"/>
      <c r="E141" s="13"/>
      <c r="F141" s="14">
        <f t="shared" si="12"/>
        <v>0</v>
      </c>
      <c r="G141" s="15">
        <f t="shared" si="13"/>
        <v>0</v>
      </c>
      <c r="H141" s="15">
        <f t="shared" si="14"/>
        <v>0</v>
      </c>
      <c r="I141" s="52"/>
      <c r="J141" s="54"/>
      <c r="K141" s="13"/>
    </row>
    <row r="142" ht="18.75" spans="1:11">
      <c r="A142" s="12" t="str">
        <f ca="1" t="shared" si="11"/>
        <v/>
      </c>
      <c r="B142" s="6"/>
      <c r="C142" s="13"/>
      <c r="D142" s="13"/>
      <c r="E142" s="13"/>
      <c r="F142" s="14">
        <f t="shared" si="12"/>
        <v>0</v>
      </c>
      <c r="G142" s="15">
        <f t="shared" si="13"/>
        <v>0</v>
      </c>
      <c r="H142" s="15">
        <f t="shared" si="14"/>
        <v>0</v>
      </c>
      <c r="I142" s="52"/>
      <c r="J142" s="54"/>
      <c r="K142" s="13"/>
    </row>
    <row r="143" ht="18.75" spans="1:11">
      <c r="A143" s="12" t="str">
        <f ca="1" t="shared" si="11"/>
        <v/>
      </c>
      <c r="B143" s="6"/>
      <c r="C143" s="13"/>
      <c r="D143" s="13"/>
      <c r="E143" s="13"/>
      <c r="F143" s="14">
        <f t="shared" si="12"/>
        <v>0</v>
      </c>
      <c r="G143" s="15">
        <f t="shared" si="13"/>
        <v>0</v>
      </c>
      <c r="H143" s="15">
        <f t="shared" si="14"/>
        <v>0</v>
      </c>
      <c r="I143" s="52"/>
      <c r="J143" s="54"/>
      <c r="K143" s="13"/>
    </row>
    <row r="144" ht="18.75" spans="1:11">
      <c r="A144" s="12" t="str">
        <f ca="1" t="shared" si="11"/>
        <v/>
      </c>
      <c r="B144" s="6"/>
      <c r="C144" s="13"/>
      <c r="D144" s="13"/>
      <c r="E144" s="13"/>
      <c r="F144" s="14">
        <f t="shared" si="12"/>
        <v>0</v>
      </c>
      <c r="G144" s="15">
        <f t="shared" si="13"/>
        <v>0</v>
      </c>
      <c r="H144" s="15">
        <f t="shared" si="14"/>
        <v>0</v>
      </c>
      <c r="I144" s="52"/>
      <c r="J144" s="54"/>
      <c r="K144" s="13"/>
    </row>
    <row r="145" ht="18.75" spans="1:11">
      <c r="A145" s="12" t="str">
        <f ca="1" t="shared" si="11"/>
        <v/>
      </c>
      <c r="B145" s="6"/>
      <c r="C145" s="13"/>
      <c r="D145" s="13"/>
      <c r="E145" s="13"/>
      <c r="F145" s="14">
        <f t="shared" si="12"/>
        <v>0</v>
      </c>
      <c r="G145" s="15">
        <f t="shared" si="13"/>
        <v>0</v>
      </c>
      <c r="H145" s="15">
        <f t="shared" si="14"/>
        <v>0</v>
      </c>
      <c r="I145" s="52"/>
      <c r="J145" s="54"/>
      <c r="K145" s="13"/>
    </row>
    <row r="146" ht="18.75" spans="1:11">
      <c r="A146" s="12" t="str">
        <f ca="1" t="shared" si="11"/>
        <v/>
      </c>
      <c r="B146" s="6"/>
      <c r="C146" s="13"/>
      <c r="D146" s="13"/>
      <c r="E146" s="13"/>
      <c r="F146" s="14">
        <f t="shared" si="12"/>
        <v>0</v>
      </c>
      <c r="G146" s="15">
        <f t="shared" si="13"/>
        <v>0</v>
      </c>
      <c r="H146" s="15">
        <f t="shared" si="14"/>
        <v>0</v>
      </c>
      <c r="I146" s="52"/>
      <c r="J146" s="54"/>
      <c r="K146" s="13"/>
    </row>
    <row r="147" ht="18.75" spans="1:11">
      <c r="A147" s="12" t="str">
        <f ca="1" t="shared" si="11"/>
        <v/>
      </c>
      <c r="B147" s="6"/>
      <c r="C147" s="13"/>
      <c r="D147" s="13"/>
      <c r="E147" s="13"/>
      <c r="F147" s="14">
        <f t="shared" si="12"/>
        <v>0</v>
      </c>
      <c r="G147" s="15">
        <f t="shared" si="13"/>
        <v>0</v>
      </c>
      <c r="H147" s="15">
        <f t="shared" si="14"/>
        <v>0</v>
      </c>
      <c r="I147" s="52"/>
      <c r="J147" s="54"/>
      <c r="K147" s="13"/>
    </row>
    <row r="148" ht="18.75" spans="1:11">
      <c r="A148" s="12" t="str">
        <f ca="1" t="shared" si="11"/>
        <v/>
      </c>
      <c r="B148" s="6"/>
      <c r="C148" s="13"/>
      <c r="D148" s="13"/>
      <c r="E148" s="13"/>
      <c r="F148" s="14">
        <f t="shared" si="12"/>
        <v>0</v>
      </c>
      <c r="G148" s="15">
        <f t="shared" si="13"/>
        <v>0</v>
      </c>
      <c r="H148" s="15">
        <f t="shared" si="14"/>
        <v>0</v>
      </c>
      <c r="I148" s="52"/>
      <c r="J148" s="54"/>
      <c r="K148" s="13"/>
    </row>
    <row r="149" ht="18.75" spans="1:11">
      <c r="A149" s="12" t="str">
        <f ca="1" t="shared" si="11"/>
        <v/>
      </c>
      <c r="B149" s="6"/>
      <c r="C149" s="13"/>
      <c r="D149" s="13"/>
      <c r="E149" s="13"/>
      <c r="F149" s="14">
        <f t="shared" si="12"/>
        <v>0</v>
      </c>
      <c r="G149" s="15">
        <f t="shared" si="13"/>
        <v>0</v>
      </c>
      <c r="H149" s="15">
        <f t="shared" si="14"/>
        <v>0</v>
      </c>
      <c r="I149" s="52"/>
      <c r="J149" s="54"/>
      <c r="K149" s="13"/>
    </row>
    <row r="150" ht="18.75" spans="1:11">
      <c r="A150" s="12" t="str">
        <f ca="1" t="shared" si="11"/>
        <v/>
      </c>
      <c r="B150" s="6"/>
      <c r="C150" s="13"/>
      <c r="D150" s="13"/>
      <c r="E150" s="13"/>
      <c r="F150" s="14">
        <f t="shared" si="12"/>
        <v>0</v>
      </c>
      <c r="G150" s="15">
        <f t="shared" si="13"/>
        <v>0</v>
      </c>
      <c r="H150" s="15">
        <f t="shared" si="14"/>
        <v>0</v>
      </c>
      <c r="I150" s="52"/>
      <c r="J150" s="54"/>
      <c r="K150" s="13"/>
    </row>
    <row r="151" ht="18.75" spans="1:11">
      <c r="A151" s="12" t="str">
        <f ca="1" t="shared" si="11"/>
        <v/>
      </c>
      <c r="B151" s="6"/>
      <c r="C151" s="13"/>
      <c r="D151" s="13"/>
      <c r="E151" s="13"/>
      <c r="F151" s="14">
        <f t="shared" si="12"/>
        <v>0</v>
      </c>
      <c r="G151" s="15">
        <f t="shared" si="13"/>
        <v>0</v>
      </c>
      <c r="H151" s="15">
        <f t="shared" si="14"/>
        <v>0</v>
      </c>
      <c r="I151" s="52"/>
      <c r="J151" s="54"/>
      <c r="K151" s="13"/>
    </row>
    <row r="152" ht="18.75" spans="1:11">
      <c r="A152" s="12" t="str">
        <f ca="1" t="shared" si="11"/>
        <v/>
      </c>
      <c r="B152" s="6"/>
      <c r="C152" s="13"/>
      <c r="D152" s="13"/>
      <c r="E152" s="13"/>
      <c r="F152" s="14">
        <f t="shared" si="12"/>
        <v>0</v>
      </c>
      <c r="G152" s="15">
        <f t="shared" si="13"/>
        <v>0</v>
      </c>
      <c r="H152" s="15">
        <f t="shared" si="14"/>
        <v>0</v>
      </c>
      <c r="I152" s="52"/>
      <c r="J152" s="54"/>
      <c r="K152" s="13"/>
    </row>
    <row r="153" ht="18.75" spans="1:11">
      <c r="A153" s="12" t="str">
        <f ca="1" t="shared" si="11"/>
        <v/>
      </c>
      <c r="B153" s="6"/>
      <c r="C153" s="13"/>
      <c r="D153" s="13"/>
      <c r="E153" s="13"/>
      <c r="F153" s="14">
        <f t="shared" si="12"/>
        <v>0</v>
      </c>
      <c r="G153" s="15">
        <f t="shared" si="13"/>
        <v>0</v>
      </c>
      <c r="H153" s="15">
        <f t="shared" si="14"/>
        <v>0</v>
      </c>
      <c r="I153" s="52"/>
      <c r="J153" s="54"/>
      <c r="K153" s="13"/>
    </row>
    <row r="154" ht="18.75" spans="1:11">
      <c r="A154" s="12" t="str">
        <f ca="1" t="shared" si="11"/>
        <v/>
      </c>
      <c r="B154" s="6"/>
      <c r="C154" s="13"/>
      <c r="D154" s="13"/>
      <c r="E154" s="13"/>
      <c r="F154" s="14">
        <f t="shared" si="12"/>
        <v>0</v>
      </c>
      <c r="G154" s="15">
        <f t="shared" si="13"/>
        <v>0</v>
      </c>
      <c r="H154" s="15">
        <f t="shared" si="14"/>
        <v>0</v>
      </c>
      <c r="I154" s="52"/>
      <c r="J154" s="54"/>
      <c r="K154" s="13"/>
    </row>
    <row r="155" ht="18.75" spans="1:11">
      <c r="A155" s="12" t="str">
        <f ca="1" t="shared" si="11"/>
        <v/>
      </c>
      <c r="B155" s="6"/>
      <c r="C155" s="13"/>
      <c r="D155" s="13"/>
      <c r="E155" s="13"/>
      <c r="F155" s="14">
        <f t="shared" si="12"/>
        <v>0</v>
      </c>
      <c r="G155" s="15">
        <f t="shared" si="13"/>
        <v>0</v>
      </c>
      <c r="H155" s="15">
        <f t="shared" si="14"/>
        <v>0</v>
      </c>
      <c r="I155" s="52"/>
      <c r="J155" s="54"/>
      <c r="K155" s="13"/>
    </row>
    <row r="156" ht="18.75" spans="1:11">
      <c r="A156" s="12" t="str">
        <f ca="1" t="shared" si="11"/>
        <v/>
      </c>
      <c r="B156" s="6"/>
      <c r="C156" s="13"/>
      <c r="D156" s="13"/>
      <c r="E156" s="13"/>
      <c r="F156" s="14">
        <f t="shared" si="12"/>
        <v>0</v>
      </c>
      <c r="G156" s="15">
        <f t="shared" si="13"/>
        <v>0</v>
      </c>
      <c r="H156" s="15">
        <f t="shared" si="14"/>
        <v>0</v>
      </c>
      <c r="I156" s="52"/>
      <c r="J156" s="54"/>
      <c r="K156" s="13"/>
    </row>
    <row r="157" ht="18.75" spans="1:11">
      <c r="A157" s="12" t="str">
        <f ca="1" t="shared" si="11"/>
        <v/>
      </c>
      <c r="B157" s="6"/>
      <c r="C157" s="13"/>
      <c r="D157" s="13"/>
      <c r="E157" s="13"/>
      <c r="F157" s="14">
        <f t="shared" si="12"/>
        <v>0</v>
      </c>
      <c r="G157" s="15">
        <f t="shared" si="13"/>
        <v>0</v>
      </c>
      <c r="H157" s="15">
        <f t="shared" si="14"/>
        <v>0</v>
      </c>
      <c r="I157" s="52"/>
      <c r="J157" s="54"/>
      <c r="K157" s="13"/>
    </row>
    <row r="158" ht="18.75" spans="1:11">
      <c r="A158" s="12" t="str">
        <f ca="1" t="shared" si="11"/>
        <v/>
      </c>
      <c r="B158" s="6"/>
      <c r="C158" s="13"/>
      <c r="D158" s="13"/>
      <c r="E158" s="13"/>
      <c r="F158" s="14">
        <f t="shared" si="12"/>
        <v>0</v>
      </c>
      <c r="G158" s="15">
        <f t="shared" si="13"/>
        <v>0</v>
      </c>
      <c r="H158" s="15">
        <f t="shared" si="14"/>
        <v>0</v>
      </c>
      <c r="I158" s="52"/>
      <c r="J158" s="54"/>
      <c r="K158" s="13"/>
    </row>
    <row r="159" ht="18.75" spans="1:11">
      <c r="A159" s="12" t="str">
        <f ca="1" t="shared" si="11"/>
        <v/>
      </c>
      <c r="B159" s="6"/>
      <c r="C159" s="13"/>
      <c r="D159" s="13"/>
      <c r="E159" s="13"/>
      <c r="F159" s="14">
        <f t="shared" si="12"/>
        <v>0</v>
      </c>
      <c r="G159" s="15">
        <f t="shared" si="13"/>
        <v>0</v>
      </c>
      <c r="H159" s="15">
        <f t="shared" si="14"/>
        <v>0</v>
      </c>
      <c r="I159" s="52"/>
      <c r="J159" s="54"/>
      <c r="K159" s="13"/>
    </row>
    <row r="160" ht="18.75" spans="1:11">
      <c r="A160" s="12" t="str">
        <f ca="1" t="shared" si="11"/>
        <v/>
      </c>
      <c r="B160" s="6"/>
      <c r="C160" s="13"/>
      <c r="D160" s="13"/>
      <c r="E160" s="13"/>
      <c r="F160" s="14">
        <f t="shared" si="12"/>
        <v>0</v>
      </c>
      <c r="G160" s="15">
        <f t="shared" si="13"/>
        <v>0</v>
      </c>
      <c r="H160" s="15">
        <f t="shared" si="14"/>
        <v>0</v>
      </c>
      <c r="I160" s="52"/>
      <c r="J160" s="54"/>
      <c r="K160" s="13"/>
    </row>
    <row r="161" ht="18.75" spans="1:11">
      <c r="A161" s="12" t="str">
        <f ca="1" t="shared" ref="A161:A194" si="15">IF(B161="","",IF(A161="",NOW(),A161))</f>
        <v/>
      </c>
      <c r="B161" s="6"/>
      <c r="C161" s="13"/>
      <c r="D161" s="13"/>
      <c r="E161" s="13"/>
      <c r="F161" s="14">
        <f t="shared" ref="F161:F194" si="16">(IF(E161-C161&lt;0,"24:00"-C161+E161,E161-C161))*24</f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5"/>
        <v/>
      </c>
      <c r="B162" s="6"/>
      <c r="C162" s="13"/>
      <c r="D162" s="13"/>
      <c r="E162" s="13"/>
      <c r="F162" s="14">
        <f t="shared" si="16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5"/>
        <v/>
      </c>
      <c r="B163" s="6"/>
      <c r="C163" s="13"/>
      <c r="D163" s="13"/>
      <c r="E163" s="13"/>
      <c r="F163" s="14">
        <f t="shared" si="16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5"/>
        <v/>
      </c>
      <c r="B164" s="6"/>
      <c r="C164" s="13"/>
      <c r="D164" s="13"/>
      <c r="E164" s="13"/>
      <c r="F164" s="14">
        <f t="shared" si="16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5"/>
        <v/>
      </c>
      <c r="B165" s="6"/>
      <c r="C165" s="13"/>
      <c r="D165" s="13"/>
      <c r="E165" s="13"/>
      <c r="F165" s="14">
        <f t="shared" si="16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5"/>
        <v/>
      </c>
      <c r="B166" s="6"/>
      <c r="C166" s="13"/>
      <c r="D166" s="13"/>
      <c r="E166" s="13"/>
      <c r="F166" s="14">
        <f t="shared" si="16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5"/>
        <v/>
      </c>
      <c r="B167" s="6"/>
      <c r="C167" s="13"/>
      <c r="D167" s="13"/>
      <c r="E167" s="13"/>
      <c r="F167" s="14">
        <f t="shared" si="16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5"/>
        <v/>
      </c>
      <c r="B168" s="6"/>
      <c r="C168" s="13"/>
      <c r="D168" s="13"/>
      <c r="E168" s="13"/>
      <c r="F168" s="14">
        <f t="shared" si="16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5"/>
        <v/>
      </c>
      <c r="B169" s="6"/>
      <c r="C169" s="13"/>
      <c r="D169" s="13"/>
      <c r="E169" s="13"/>
      <c r="F169" s="14">
        <f t="shared" si="16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5"/>
        <v/>
      </c>
      <c r="B170" s="6"/>
      <c r="C170" s="13"/>
      <c r="D170" s="13"/>
      <c r="E170" s="13"/>
      <c r="F170" s="14">
        <f t="shared" si="16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5"/>
        <v/>
      </c>
      <c r="B171" s="6"/>
      <c r="C171" s="13"/>
      <c r="D171" s="13"/>
      <c r="E171" s="13"/>
      <c r="F171" s="14">
        <f t="shared" si="16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5"/>
        <v/>
      </c>
      <c r="B172" s="6"/>
      <c r="C172" s="13"/>
      <c r="D172" s="13"/>
      <c r="E172" s="13"/>
      <c r="F172" s="14">
        <f t="shared" si="16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5"/>
        <v/>
      </c>
      <c r="B173" s="6"/>
      <c r="C173" s="13"/>
      <c r="D173" s="13"/>
      <c r="E173" s="13"/>
      <c r="F173" s="14">
        <f t="shared" si="16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5"/>
        <v/>
      </c>
      <c r="B174" s="6"/>
      <c r="C174" s="13"/>
      <c r="D174" s="13"/>
      <c r="E174" s="13"/>
      <c r="F174" s="14">
        <f t="shared" si="16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5"/>
        <v/>
      </c>
      <c r="B175" s="6"/>
      <c r="C175" s="13"/>
      <c r="D175" s="13"/>
      <c r="E175" s="13"/>
      <c r="F175" s="14">
        <f t="shared" si="16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5"/>
        <v/>
      </c>
      <c r="B176" s="6"/>
      <c r="C176" s="13"/>
      <c r="D176" s="13"/>
      <c r="E176" s="13"/>
      <c r="F176" s="14">
        <f t="shared" si="16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5"/>
        <v/>
      </c>
      <c r="B177" s="6"/>
      <c r="C177" s="13"/>
      <c r="D177" s="13"/>
      <c r="E177" s="13"/>
      <c r="F177" s="14">
        <f t="shared" si="16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5"/>
        <v/>
      </c>
      <c r="B178" s="6"/>
      <c r="C178" s="13"/>
      <c r="D178" s="13"/>
      <c r="E178" s="13"/>
      <c r="F178" s="14">
        <f t="shared" si="16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5"/>
        <v/>
      </c>
      <c r="B179" s="6"/>
      <c r="C179" s="13"/>
      <c r="D179" s="13"/>
      <c r="E179" s="13"/>
      <c r="F179" s="14">
        <f t="shared" si="16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5"/>
        <v/>
      </c>
      <c r="B180" s="6"/>
      <c r="C180" s="13"/>
      <c r="D180" s="13"/>
      <c r="E180" s="13"/>
      <c r="F180" s="14">
        <f t="shared" si="16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5"/>
        <v/>
      </c>
      <c r="B181" s="6"/>
      <c r="C181" s="13"/>
      <c r="D181" s="13"/>
      <c r="E181" s="13"/>
      <c r="F181" s="14">
        <f t="shared" si="16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5"/>
        <v/>
      </c>
      <c r="B182" s="6"/>
      <c r="C182" s="13"/>
      <c r="D182" s="13"/>
      <c r="E182" s="13"/>
      <c r="F182" s="14">
        <f t="shared" si="16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5"/>
        <v/>
      </c>
      <c r="B183" s="6"/>
      <c r="C183" s="13"/>
      <c r="D183" s="13"/>
      <c r="E183" s="13"/>
      <c r="F183" s="14">
        <f t="shared" si="16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5"/>
        <v/>
      </c>
      <c r="B184" s="6"/>
      <c r="C184" s="13"/>
      <c r="D184" s="13"/>
      <c r="E184" s="13"/>
      <c r="F184" s="14">
        <f t="shared" si="16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5"/>
        <v/>
      </c>
      <c r="B185" s="6"/>
      <c r="C185" s="13"/>
      <c r="D185" s="13"/>
      <c r="E185" s="13"/>
      <c r="F185" s="14">
        <f t="shared" si="16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5"/>
        <v/>
      </c>
      <c r="B186" s="6"/>
      <c r="C186" s="13"/>
      <c r="D186" s="13"/>
      <c r="E186" s="13"/>
      <c r="F186" s="14">
        <f t="shared" si="16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5"/>
        <v/>
      </c>
      <c r="B187" s="6"/>
      <c r="C187" s="13"/>
      <c r="D187" s="13"/>
      <c r="E187" s="13"/>
      <c r="F187" s="14">
        <f t="shared" si="16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5"/>
        <v/>
      </c>
      <c r="B188" s="6"/>
      <c r="C188" s="13"/>
      <c r="D188" s="13"/>
      <c r="E188" s="13"/>
      <c r="F188" s="14">
        <f t="shared" si="16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5"/>
        <v/>
      </c>
      <c r="B189" s="6"/>
      <c r="C189" s="13"/>
      <c r="D189" s="13"/>
      <c r="E189" s="13"/>
      <c r="F189" s="14">
        <f t="shared" si="16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5"/>
        <v/>
      </c>
      <c r="B190" s="6"/>
      <c r="C190" s="13"/>
      <c r="D190" s="13"/>
      <c r="E190" s="13"/>
      <c r="F190" s="14">
        <f t="shared" si="16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5"/>
        <v/>
      </c>
      <c r="B191" s="6"/>
      <c r="C191" s="13"/>
      <c r="D191" s="13"/>
      <c r="E191" s="13"/>
      <c r="F191" s="14">
        <f t="shared" si="16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5"/>
        <v/>
      </c>
      <c r="B192" s="6"/>
      <c r="C192" s="13"/>
      <c r="D192" s="13"/>
      <c r="E192" s="13"/>
      <c r="F192" s="14">
        <f t="shared" si="16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5"/>
        <v/>
      </c>
      <c r="B193" s="6"/>
      <c r="C193" s="13"/>
      <c r="D193" s="13"/>
      <c r="E193" s="13"/>
      <c r="F193" s="14">
        <f t="shared" si="16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5"/>
        <v/>
      </c>
      <c r="B194" s="6"/>
      <c r="C194" s="13"/>
      <c r="D194" s="13"/>
      <c r="E194" s="13"/>
      <c r="F194" s="14">
        <f t="shared" si="16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P339"/>
  <sheetViews>
    <sheetView zoomScale="85" zoomScaleNormal="85" workbookViewId="0">
      <selection activeCell="A1" sqref="A1:K1"/>
    </sheetView>
  </sheetViews>
  <sheetFormatPr defaultColWidth="9" defaultRowHeight="13.5"/>
  <cols>
    <col min="1" max="1" width="14.875" style="1" customWidth="1"/>
    <col min="2" max="2" width="19.625" customWidth="1"/>
    <col min="3" max="3" width="13.625" customWidth="1"/>
    <col min="4" max="4" width="13.5" customWidth="1"/>
    <col min="5" max="5" width="12.875" customWidth="1"/>
    <col min="6" max="6" width="13.125" style="2" customWidth="1"/>
    <col min="7" max="7" width="13.125" customWidth="1"/>
    <col min="8" max="8" width="14" style="3" customWidth="1"/>
    <col min="9" max="9" width="25.625" style="3" customWidth="1"/>
    <col min="10" max="10" width="15.5" style="4" customWidth="1"/>
    <col min="11" max="11" width="15.125" customWidth="1"/>
    <col min="14" max="14" width="9.375"/>
  </cols>
  <sheetData>
    <row r="1" spans="1:11">
      <c r="A1" s="5" t="s">
        <v>51</v>
      </c>
      <c r="B1" s="6"/>
      <c r="C1" s="6"/>
      <c r="D1" s="6"/>
      <c r="E1" s="6"/>
      <c r="F1" s="7"/>
      <c r="G1" s="6"/>
      <c r="H1" s="6"/>
      <c r="I1" s="6"/>
      <c r="J1" s="6"/>
      <c r="K1" s="6"/>
    </row>
    <row r="2" ht="40.5" spans="1:13">
      <c r="A2" s="8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10" t="s">
        <v>57</v>
      </c>
      <c r="G2" s="9" t="s">
        <v>58</v>
      </c>
      <c r="H2" s="11" t="s">
        <v>59</v>
      </c>
      <c r="I2" s="16" t="s">
        <v>60</v>
      </c>
      <c r="J2" s="16" t="s">
        <v>61</v>
      </c>
      <c r="K2" s="16" t="s">
        <v>58</v>
      </c>
      <c r="L2" s="17" t="s">
        <v>62</v>
      </c>
      <c r="M2" s="16" t="s">
        <v>63</v>
      </c>
    </row>
    <row r="3" ht="18.75" spans="1:16">
      <c r="A3" s="12" t="str">
        <f ca="1" t="shared" ref="A3:A66" si="0">IF(B3="","",IF(A3="",NOW(),A3))</f>
        <v/>
      </c>
      <c r="B3" s="6"/>
      <c r="C3" s="13"/>
      <c r="D3" s="13"/>
      <c r="E3" s="13"/>
      <c r="F3" s="14">
        <f t="shared" ref="F3:F66" si="1">(IF(E3-C3&lt;0,"24:00"-C3+E3,E3-C3))*24</f>
        <v>0</v>
      </c>
      <c r="G3" s="15">
        <f t="shared" ref="G3:G66" si="2">F3-H3</f>
        <v>0</v>
      </c>
      <c r="H3" s="15">
        <f t="shared" ref="H3:H34" si="3">(IF(AND(C3&gt;=$O$3,C3&lt;$P$3,E3&gt;=$O$3,E3&lt;$P$3),E3-C3,IF(AND(C3&gt;=$O$3,C3&lt;$P$3,E3&gt;=$P$3,E3&lt;$N$3),$P$3-C3,IF(AND(C3&gt;=$P$3,C3&lt;$N$3,E3&gt;=$O$3,E3&lt;$P$3),E3,IF(AND(C3&gt;=$P$3,C3&lt;$N$3,E3&gt;=$P$3,E3&lt;$N$3),"0","none")))))*24</f>
        <v>0</v>
      </c>
      <c r="I3" s="18" t="s">
        <v>66</v>
      </c>
      <c r="J3" s="19">
        <f>SUMIF(B:B,"带班主任",F:F)</f>
        <v>0</v>
      </c>
      <c r="K3" s="20">
        <f>SUMIF(B:B,"带班主任",G:G)</f>
        <v>0</v>
      </c>
      <c r="L3" s="20">
        <f>SUMIF(B:B,"带班主任",H:H)</f>
        <v>0</v>
      </c>
      <c r="M3" s="21"/>
      <c r="N3" s="22">
        <v>0.999988425925926</v>
      </c>
      <c r="O3" s="22">
        <v>0</v>
      </c>
      <c r="P3" s="22">
        <v>0.333333333333333</v>
      </c>
    </row>
    <row r="4" ht="18.75" spans="1:13">
      <c r="A4" s="12" t="str">
        <f ca="1" t="shared" si="0"/>
        <v/>
      </c>
      <c r="B4" s="6"/>
      <c r="C4" s="13"/>
      <c r="D4" s="13"/>
      <c r="E4" s="13"/>
      <c r="F4" s="14">
        <f t="shared" si="1"/>
        <v>0</v>
      </c>
      <c r="G4" s="15">
        <f t="shared" si="2"/>
        <v>0</v>
      </c>
      <c r="H4" s="15">
        <f t="shared" si="3"/>
        <v>0</v>
      </c>
      <c r="I4" s="23" t="s">
        <v>67</v>
      </c>
      <c r="J4" s="24">
        <f>SUMIF(B:B,"西塔台管制席",F:F)+SUMIF(B:B,"东塔台管制席",F:F)</f>
        <v>0</v>
      </c>
      <c r="K4" s="25">
        <f>SUMIF(B:B,"西塔台管制席",G:G)+SUMIF(B:B,"东塔台管制席",G:G)</f>
        <v>0</v>
      </c>
      <c r="L4" s="25">
        <f>SUMIF(B:B,"西塔台管制席",H:H)+SUMIF(B:B,"东塔台管制席",H:H)</f>
        <v>0</v>
      </c>
      <c r="M4" s="21"/>
    </row>
    <row r="5" ht="18.75" spans="1:13">
      <c r="A5" s="12" t="str">
        <f ca="1" t="shared" si="0"/>
        <v/>
      </c>
      <c r="B5" s="6"/>
      <c r="C5" s="13"/>
      <c r="D5" s="13"/>
      <c r="E5" s="13"/>
      <c r="F5" s="14">
        <f t="shared" si="1"/>
        <v>0</v>
      </c>
      <c r="G5" s="15">
        <f t="shared" si="2"/>
        <v>0</v>
      </c>
      <c r="H5" s="15">
        <f t="shared" si="3"/>
        <v>0</v>
      </c>
      <c r="I5" s="23" t="s">
        <v>69</v>
      </c>
      <c r="J5" s="24">
        <f>SUMIF(B:B,"西塔台协调席",F:F)+SUMIF(B:B,"东塔台协调席",F:F)</f>
        <v>0</v>
      </c>
      <c r="K5" s="25">
        <f>SUMIF(B:B,"西塔台协调席",G:G)+SUMIF(B:B,"东塔台协调席",G:G)</f>
        <v>0</v>
      </c>
      <c r="L5" s="25">
        <f>SUMIF(B:B,"西塔台协调席",H:H)+SUMIF(B:B,"东塔台协调席",H:H)</f>
        <v>0</v>
      </c>
      <c r="M5" s="21"/>
    </row>
    <row r="6" ht="18.75" spans="1:13">
      <c r="A6" s="12" t="str">
        <f ca="1" t="shared" si="0"/>
        <v/>
      </c>
      <c r="B6" s="6"/>
      <c r="C6" s="13"/>
      <c r="D6" s="13"/>
      <c r="E6" s="13"/>
      <c r="F6" s="14">
        <f t="shared" si="1"/>
        <v>0</v>
      </c>
      <c r="G6" s="15">
        <f t="shared" si="2"/>
        <v>0</v>
      </c>
      <c r="H6" s="15">
        <f t="shared" si="3"/>
        <v>0</v>
      </c>
      <c r="I6" s="23" t="s">
        <v>71</v>
      </c>
      <c r="J6" s="24">
        <f>SUMIF(B:B,"放行席",F:F)</f>
        <v>0</v>
      </c>
      <c r="K6" s="25">
        <f>SUMIF(B:B,"放行席",G:G)</f>
        <v>0</v>
      </c>
      <c r="L6" s="25">
        <f>SUMIF(B:B,"放行席",H:H)</f>
        <v>0</v>
      </c>
      <c r="M6" s="21"/>
    </row>
    <row r="7" ht="18.75" spans="1:13">
      <c r="A7" s="12" t="str">
        <f ca="1" t="shared" si="0"/>
        <v/>
      </c>
      <c r="B7" s="6"/>
      <c r="C7" s="13"/>
      <c r="D7" s="13"/>
      <c r="E7" s="13"/>
      <c r="F7" s="14">
        <f t="shared" si="1"/>
        <v>0</v>
      </c>
      <c r="G7" s="15">
        <f t="shared" si="2"/>
        <v>0</v>
      </c>
      <c r="H7" s="15">
        <f t="shared" si="3"/>
        <v>0</v>
      </c>
      <c r="I7" s="23" t="s">
        <v>72</v>
      </c>
      <c r="J7" s="24">
        <f>SUMIF(B:B,"地面席",F:F)</f>
        <v>0</v>
      </c>
      <c r="K7" s="25">
        <f>SUMIF(B:B,"地面席",G:G)</f>
        <v>0</v>
      </c>
      <c r="L7" s="25">
        <f>SUMIF(B:B,"地面席",H:H)</f>
        <v>0</v>
      </c>
      <c r="M7" s="21"/>
    </row>
    <row r="8" ht="18.75" spans="1:13">
      <c r="A8" s="12" t="str">
        <f ca="1" t="shared" si="0"/>
        <v/>
      </c>
      <c r="B8" s="6"/>
      <c r="C8" s="13"/>
      <c r="D8" s="13"/>
      <c r="E8" s="13"/>
      <c r="F8" s="14">
        <f t="shared" si="1"/>
        <v>0</v>
      </c>
      <c r="G8" s="15">
        <f t="shared" si="2"/>
        <v>0</v>
      </c>
      <c r="H8" s="15">
        <f t="shared" si="3"/>
        <v>0</v>
      </c>
      <c r="I8" s="23" t="s">
        <v>73</v>
      </c>
      <c r="J8" s="24">
        <f>SUMIF(B:B,"生产调度席",F:F)</f>
        <v>0</v>
      </c>
      <c r="K8" s="25">
        <f>SUMIF(B:B,"生产调度席",G:G)</f>
        <v>0</v>
      </c>
      <c r="L8" s="25">
        <f>SUMIF(B:B,"生产调度席",H:H)</f>
        <v>0</v>
      </c>
      <c r="M8" s="21"/>
    </row>
    <row r="9" ht="18.75" spans="1:13">
      <c r="A9" s="12" t="str">
        <f ca="1" t="shared" si="0"/>
        <v/>
      </c>
      <c r="B9" s="6"/>
      <c r="C9" s="13"/>
      <c r="D9" s="13"/>
      <c r="E9" s="13"/>
      <c r="F9" s="14">
        <f t="shared" si="1"/>
        <v>0</v>
      </c>
      <c r="G9" s="15">
        <f t="shared" si="2"/>
        <v>0</v>
      </c>
      <c r="H9" s="15">
        <f t="shared" si="3"/>
        <v>0</v>
      </c>
      <c r="I9" s="23" t="s">
        <v>74</v>
      </c>
      <c r="J9" s="24">
        <f>SUMIF(B:B,"航班调度席",F:F)</f>
        <v>0</v>
      </c>
      <c r="K9" s="25">
        <f>SUMIF(B:B,"航班调度席",G:G)</f>
        <v>0</v>
      </c>
      <c r="L9" s="25">
        <f>SUMIF(B:B,"航班调度席",H:H)</f>
        <v>0</v>
      </c>
      <c r="M9" s="21"/>
    </row>
    <row r="10" ht="18.75" spans="1:13">
      <c r="A10" s="12" t="str">
        <f ca="1" t="shared" si="0"/>
        <v/>
      </c>
      <c r="B10" s="6"/>
      <c r="C10" s="13"/>
      <c r="D10" s="13"/>
      <c r="E10" s="13"/>
      <c r="F10" s="14">
        <f t="shared" si="1"/>
        <v>0</v>
      </c>
      <c r="G10" s="15">
        <f t="shared" si="2"/>
        <v>0</v>
      </c>
      <c r="H10" s="15">
        <f t="shared" si="3"/>
        <v>0</v>
      </c>
      <c r="I10" s="23" t="s">
        <v>75</v>
      </c>
      <c r="J10" s="24">
        <f>SUMIF(B:B,"综合协调席",F:F)</f>
        <v>0</v>
      </c>
      <c r="K10" s="25">
        <f>SUMIF(B:B,"综合协调席",G:G)</f>
        <v>0</v>
      </c>
      <c r="L10" s="25">
        <f>SUMIF(B:B,"综合协调席",H:H)</f>
        <v>0</v>
      </c>
      <c r="M10" s="21"/>
    </row>
    <row r="11" ht="18.75" spans="1:13">
      <c r="A11" s="12" t="str">
        <f ca="1" t="shared" si="0"/>
        <v/>
      </c>
      <c r="B11" s="6"/>
      <c r="C11" s="13"/>
      <c r="D11" s="13"/>
      <c r="E11" s="13"/>
      <c r="F11" s="14">
        <f t="shared" si="1"/>
        <v>0</v>
      </c>
      <c r="G11" s="15">
        <f t="shared" si="2"/>
        <v>0</v>
      </c>
      <c r="H11" s="15">
        <f t="shared" si="3"/>
        <v>0</v>
      </c>
      <c r="I11" s="26" t="s">
        <v>76</v>
      </c>
      <c r="J11" s="27">
        <f>SUMIF(B:B,"见习管制员",F:F)</f>
        <v>0</v>
      </c>
      <c r="K11" s="28">
        <f>SUMIF(B:B,"见习管制员",G:G)</f>
        <v>0</v>
      </c>
      <c r="L11" s="28">
        <f>SUMIF(B:B,"见习管制员",H:H)</f>
        <v>0</v>
      </c>
      <c r="M11" s="21"/>
    </row>
    <row r="12" ht="18.75" spans="1:13">
      <c r="A12" s="12" t="str">
        <f ca="1" t="shared" si="0"/>
        <v/>
      </c>
      <c r="B12" s="6"/>
      <c r="C12" s="13"/>
      <c r="D12" s="13"/>
      <c r="E12" s="13"/>
      <c r="F12" s="14">
        <f t="shared" si="1"/>
        <v>0</v>
      </c>
      <c r="G12" s="15">
        <f t="shared" si="2"/>
        <v>0</v>
      </c>
      <c r="H12" s="15">
        <f t="shared" si="3"/>
        <v>0</v>
      </c>
      <c r="I12" s="29" t="s">
        <v>77</v>
      </c>
      <c r="J12" s="30">
        <f>SUMIF(B:B,"管制教员席",F:F)</f>
        <v>0</v>
      </c>
      <c r="K12" s="31">
        <f>SUMIF(B:B,"管制教员席",G:G)</f>
        <v>0</v>
      </c>
      <c r="L12" s="31">
        <f>SUMIF(B:B,"管制教员席",H:H)</f>
        <v>0</v>
      </c>
      <c r="M12" s="21"/>
    </row>
    <row r="13" ht="18.75" spans="1:13">
      <c r="A13" s="12" t="str">
        <f ca="1" t="shared" si="0"/>
        <v/>
      </c>
      <c r="B13" s="6"/>
      <c r="C13" s="13"/>
      <c r="D13" s="13"/>
      <c r="E13" s="13"/>
      <c r="F13" s="14">
        <f t="shared" si="1"/>
        <v>0</v>
      </c>
      <c r="G13" s="15">
        <f t="shared" si="2"/>
        <v>0</v>
      </c>
      <c r="H13" s="15">
        <f t="shared" si="3"/>
        <v>0</v>
      </c>
      <c r="I13" s="32" t="s">
        <v>78</v>
      </c>
      <c r="J13" s="33"/>
      <c r="K13" s="33"/>
      <c r="L13" s="33"/>
      <c r="M13" s="33"/>
    </row>
    <row r="14" ht="18.75" spans="1:13">
      <c r="A14" s="12" t="str">
        <f ca="1" t="shared" si="0"/>
        <v/>
      </c>
      <c r="B14" s="6"/>
      <c r="C14" s="13"/>
      <c r="D14" s="13"/>
      <c r="E14" s="13"/>
      <c r="F14" s="14">
        <f t="shared" si="1"/>
        <v>0</v>
      </c>
      <c r="G14" s="15">
        <f t="shared" si="2"/>
        <v>0</v>
      </c>
      <c r="H14" s="15">
        <f t="shared" si="3"/>
        <v>0</v>
      </c>
      <c r="I14" s="33"/>
      <c r="J14" s="33"/>
      <c r="K14" s="33"/>
      <c r="L14" s="33"/>
      <c r="M14" s="33"/>
    </row>
    <row r="15" ht="101.25" spans="1:13">
      <c r="A15" s="12" t="str">
        <f ca="1" t="shared" si="0"/>
        <v/>
      </c>
      <c r="B15" s="6"/>
      <c r="C15" s="13"/>
      <c r="D15" s="13"/>
      <c r="E15" s="13"/>
      <c r="F15" s="14">
        <f t="shared" si="1"/>
        <v>0</v>
      </c>
      <c r="G15" s="15">
        <f t="shared" si="2"/>
        <v>0</v>
      </c>
      <c r="H15" s="15">
        <f t="shared" si="3"/>
        <v>0</v>
      </c>
      <c r="I15" s="34" t="s">
        <v>79</v>
      </c>
      <c r="J15" s="35" t="s">
        <v>61</v>
      </c>
      <c r="K15" s="36" t="s">
        <v>58</v>
      </c>
      <c r="L15" s="37" t="s">
        <v>62</v>
      </c>
      <c r="M15" s="38" t="s">
        <v>63</v>
      </c>
    </row>
    <row r="16" ht="20.25" spans="1:13">
      <c r="A16" s="12" t="str">
        <f ca="1" t="shared" si="0"/>
        <v/>
      </c>
      <c r="B16" s="6"/>
      <c r="C16" s="13"/>
      <c r="D16" s="13"/>
      <c r="E16" s="13"/>
      <c r="F16" s="14">
        <f t="shared" si="1"/>
        <v>0</v>
      </c>
      <c r="G16" s="15">
        <f t="shared" si="2"/>
        <v>0</v>
      </c>
      <c r="H16" s="15">
        <f t="shared" si="3"/>
        <v>0</v>
      </c>
      <c r="I16" s="39" t="s">
        <v>66</v>
      </c>
      <c r="J16" s="40">
        <f t="shared" ref="J16:L16" si="4">J3</f>
        <v>0</v>
      </c>
      <c r="K16" s="41">
        <f t="shared" si="4"/>
        <v>0</v>
      </c>
      <c r="L16" s="42">
        <f t="shared" si="4"/>
        <v>0</v>
      </c>
      <c r="M16" s="43"/>
    </row>
    <row r="17" ht="20.25" spans="1:13">
      <c r="A17" s="12" t="str">
        <f ca="1" t="shared" si="0"/>
        <v/>
      </c>
      <c r="B17" s="6"/>
      <c r="C17" s="13"/>
      <c r="D17" s="13"/>
      <c r="E17" s="13"/>
      <c r="F17" s="14">
        <f t="shared" si="1"/>
        <v>0</v>
      </c>
      <c r="G17" s="15">
        <f t="shared" si="2"/>
        <v>0</v>
      </c>
      <c r="H17" s="15">
        <f t="shared" si="3"/>
        <v>0</v>
      </c>
      <c r="I17" s="39" t="s">
        <v>80</v>
      </c>
      <c r="J17" s="40">
        <f>J4+J5+J6+J7+J10</f>
        <v>0</v>
      </c>
      <c r="K17" s="41">
        <f>K4+K5+K6+K7+K10</f>
        <v>0</v>
      </c>
      <c r="L17" s="42">
        <f>L4+L5+L6+L7+L10</f>
        <v>0</v>
      </c>
      <c r="M17" s="43"/>
    </row>
    <row r="18" ht="20.25" spans="1:13">
      <c r="A18" s="12" t="str">
        <f ca="1" t="shared" si="0"/>
        <v/>
      </c>
      <c r="B18" s="6"/>
      <c r="C18" s="13"/>
      <c r="D18" s="13"/>
      <c r="E18" s="13"/>
      <c r="F18" s="14">
        <f t="shared" si="1"/>
        <v>0</v>
      </c>
      <c r="G18" s="15">
        <f t="shared" si="2"/>
        <v>0</v>
      </c>
      <c r="H18" s="15">
        <f t="shared" si="3"/>
        <v>0</v>
      </c>
      <c r="I18" s="39" t="s">
        <v>76</v>
      </c>
      <c r="J18" s="40">
        <f t="shared" ref="J18:L18" si="5">J11</f>
        <v>0</v>
      </c>
      <c r="K18" s="41">
        <f t="shared" si="5"/>
        <v>0</v>
      </c>
      <c r="L18" s="42">
        <f t="shared" si="5"/>
        <v>0</v>
      </c>
      <c r="M18" s="43"/>
    </row>
    <row r="19" ht="20.25" spans="1:13">
      <c r="A19" s="12" t="str">
        <f ca="1" t="shared" si="0"/>
        <v/>
      </c>
      <c r="B19" s="6"/>
      <c r="C19" s="13"/>
      <c r="D19" s="13"/>
      <c r="E19" s="13"/>
      <c r="F19" s="14">
        <f t="shared" si="1"/>
        <v>0</v>
      </c>
      <c r="G19" s="15">
        <f t="shared" si="2"/>
        <v>0</v>
      </c>
      <c r="H19" s="15">
        <f t="shared" si="3"/>
        <v>0</v>
      </c>
      <c r="I19" s="39" t="s">
        <v>81</v>
      </c>
      <c r="J19" s="40">
        <f t="shared" ref="J19:L19" si="6">J12</f>
        <v>0</v>
      </c>
      <c r="K19" s="41">
        <f t="shared" si="6"/>
        <v>0</v>
      </c>
      <c r="L19" s="42">
        <f t="shared" si="6"/>
        <v>0</v>
      </c>
      <c r="M19" s="43"/>
    </row>
    <row r="20" ht="20.25" spans="1:13">
      <c r="A20" s="12" t="str">
        <f ca="1" t="shared" si="0"/>
        <v/>
      </c>
      <c r="B20" s="6"/>
      <c r="C20" s="13"/>
      <c r="D20" s="13"/>
      <c r="E20" s="13"/>
      <c r="F20" s="14">
        <f t="shared" si="1"/>
        <v>0</v>
      </c>
      <c r="G20" s="15">
        <f t="shared" si="2"/>
        <v>0</v>
      </c>
      <c r="H20" s="15">
        <f t="shared" si="3"/>
        <v>0</v>
      </c>
      <c r="I20" s="44" t="s">
        <v>82</v>
      </c>
      <c r="J20" s="45">
        <f>J16+J17+J18+J19</f>
        <v>0</v>
      </c>
      <c r="K20" s="46"/>
      <c r="L20" s="47"/>
      <c r="M20" s="48"/>
    </row>
    <row r="21" ht="20.25" spans="1:13">
      <c r="A21" s="12" t="str">
        <f ca="1" t="shared" si="0"/>
        <v/>
      </c>
      <c r="B21" s="6"/>
      <c r="C21" s="13"/>
      <c r="D21" s="13"/>
      <c r="E21" s="13"/>
      <c r="F21" s="14">
        <f t="shared" si="1"/>
        <v>0</v>
      </c>
      <c r="G21" s="15">
        <f t="shared" si="2"/>
        <v>0</v>
      </c>
      <c r="H21" s="15">
        <f t="shared" si="3"/>
        <v>0</v>
      </c>
      <c r="I21" s="49" t="s">
        <v>5</v>
      </c>
      <c r="J21" s="50">
        <f>SUM(J8:J9)</f>
        <v>0</v>
      </c>
      <c r="K21" s="41">
        <f>SUM(K8:K9)</f>
        <v>0</v>
      </c>
      <c r="L21" s="42">
        <f>SUM(L8:L9)</f>
        <v>0</v>
      </c>
      <c r="M21" s="51"/>
    </row>
    <row r="22" ht="18.75" spans="1:10">
      <c r="A22" s="12" t="str">
        <f ca="1" t="shared" si="0"/>
        <v/>
      </c>
      <c r="B22" s="6"/>
      <c r="C22" s="13"/>
      <c r="D22" s="13"/>
      <c r="E22" s="13"/>
      <c r="F22" s="14">
        <f t="shared" si="1"/>
        <v>0</v>
      </c>
      <c r="G22" s="15">
        <f t="shared" si="2"/>
        <v>0</v>
      </c>
      <c r="H22" s="15">
        <f t="shared" si="3"/>
        <v>0</v>
      </c>
      <c r="I22"/>
      <c r="J22"/>
    </row>
    <row r="23" ht="18.75" spans="1:10">
      <c r="A23" s="12" t="str">
        <f ca="1" t="shared" si="0"/>
        <v/>
      </c>
      <c r="B23" s="6"/>
      <c r="C23" s="13"/>
      <c r="D23" s="13"/>
      <c r="E23" s="13"/>
      <c r="F23" s="14">
        <f t="shared" si="1"/>
        <v>0</v>
      </c>
      <c r="G23" s="15">
        <f t="shared" si="2"/>
        <v>0</v>
      </c>
      <c r="H23" s="15">
        <f t="shared" si="3"/>
        <v>0</v>
      </c>
      <c r="I23"/>
      <c r="J23"/>
    </row>
    <row r="24" ht="18.75" spans="1:10">
      <c r="A24" s="12" t="str">
        <f ca="1" t="shared" si="0"/>
        <v/>
      </c>
      <c r="B24" s="6"/>
      <c r="C24" s="13"/>
      <c r="D24" s="13"/>
      <c r="E24" s="13"/>
      <c r="F24" s="14">
        <f t="shared" si="1"/>
        <v>0</v>
      </c>
      <c r="G24" s="15">
        <f t="shared" si="2"/>
        <v>0</v>
      </c>
      <c r="H24" s="15">
        <f t="shared" si="3"/>
        <v>0</v>
      </c>
      <c r="I24"/>
      <c r="J24"/>
    </row>
    <row r="25" ht="18.75" spans="1:10">
      <c r="A25" s="12" t="str">
        <f ca="1" t="shared" si="0"/>
        <v/>
      </c>
      <c r="B25" s="6"/>
      <c r="C25" s="13"/>
      <c r="D25" s="13"/>
      <c r="E25" s="13"/>
      <c r="F25" s="14">
        <f t="shared" si="1"/>
        <v>0</v>
      </c>
      <c r="G25" s="15">
        <f t="shared" si="2"/>
        <v>0</v>
      </c>
      <c r="H25" s="15">
        <f t="shared" si="3"/>
        <v>0</v>
      </c>
      <c r="I25"/>
      <c r="J25"/>
    </row>
    <row r="26" ht="18.75" spans="1:10">
      <c r="A26" s="12" t="str">
        <f ca="1" t="shared" si="0"/>
        <v/>
      </c>
      <c r="B26" s="6"/>
      <c r="C26" s="13"/>
      <c r="D26" s="13"/>
      <c r="E26" s="13"/>
      <c r="F26" s="14">
        <f t="shared" si="1"/>
        <v>0</v>
      </c>
      <c r="G26" s="15">
        <f t="shared" si="2"/>
        <v>0</v>
      </c>
      <c r="H26" s="15">
        <f t="shared" si="3"/>
        <v>0</v>
      </c>
      <c r="I26"/>
      <c r="J26"/>
    </row>
    <row r="27" ht="18.75" spans="1:10">
      <c r="A27" s="12" t="str">
        <f ca="1" t="shared" si="0"/>
        <v/>
      </c>
      <c r="B27" s="6"/>
      <c r="C27" s="13"/>
      <c r="D27" s="13"/>
      <c r="E27" s="13"/>
      <c r="F27" s="14">
        <f t="shared" si="1"/>
        <v>0</v>
      </c>
      <c r="G27" s="15">
        <f t="shared" si="2"/>
        <v>0</v>
      </c>
      <c r="H27" s="15">
        <f t="shared" si="3"/>
        <v>0</v>
      </c>
      <c r="I27"/>
      <c r="J27"/>
    </row>
    <row r="28" ht="18.75" spans="1:10">
      <c r="A28" s="12" t="str">
        <f ca="1" t="shared" si="0"/>
        <v/>
      </c>
      <c r="B28" s="6"/>
      <c r="C28" s="13"/>
      <c r="D28" s="13"/>
      <c r="E28" s="13"/>
      <c r="F28" s="14">
        <f t="shared" si="1"/>
        <v>0</v>
      </c>
      <c r="G28" s="15">
        <f t="shared" si="2"/>
        <v>0</v>
      </c>
      <c r="H28" s="15">
        <f t="shared" si="3"/>
        <v>0</v>
      </c>
      <c r="I28"/>
      <c r="J28"/>
    </row>
    <row r="29" ht="18.75" spans="1:10">
      <c r="A29" s="12" t="str">
        <f ca="1" t="shared" si="0"/>
        <v/>
      </c>
      <c r="B29" s="6"/>
      <c r="C29" s="13"/>
      <c r="D29" s="13"/>
      <c r="E29" s="13"/>
      <c r="F29" s="14">
        <f t="shared" si="1"/>
        <v>0</v>
      </c>
      <c r="G29" s="15">
        <f t="shared" si="2"/>
        <v>0</v>
      </c>
      <c r="H29" s="15">
        <f t="shared" si="3"/>
        <v>0</v>
      </c>
      <c r="I29"/>
      <c r="J29"/>
    </row>
    <row r="30" ht="18.75" spans="1:10">
      <c r="A30" s="12" t="str">
        <f ca="1" t="shared" si="0"/>
        <v/>
      </c>
      <c r="B30" s="6"/>
      <c r="C30" s="13"/>
      <c r="D30" s="13"/>
      <c r="E30" s="13"/>
      <c r="F30" s="14">
        <f t="shared" si="1"/>
        <v>0</v>
      </c>
      <c r="G30" s="15">
        <f t="shared" si="2"/>
        <v>0</v>
      </c>
      <c r="H30" s="15">
        <f t="shared" si="3"/>
        <v>0</v>
      </c>
      <c r="I30"/>
      <c r="J30"/>
    </row>
    <row r="31" ht="18.75" spans="1:10">
      <c r="A31" s="12" t="str">
        <f ca="1" t="shared" si="0"/>
        <v/>
      </c>
      <c r="B31" s="6"/>
      <c r="C31" s="13"/>
      <c r="D31" s="13"/>
      <c r="E31" s="13"/>
      <c r="F31" s="14">
        <f t="shared" si="1"/>
        <v>0</v>
      </c>
      <c r="G31" s="15">
        <f t="shared" si="2"/>
        <v>0</v>
      </c>
      <c r="H31" s="15">
        <f t="shared" si="3"/>
        <v>0</v>
      </c>
      <c r="I31"/>
      <c r="J31"/>
    </row>
    <row r="32" ht="18.75" spans="1:10">
      <c r="A32" s="12" t="str">
        <f ca="1" t="shared" si="0"/>
        <v/>
      </c>
      <c r="B32" s="6"/>
      <c r="C32" s="13"/>
      <c r="D32" s="13"/>
      <c r="E32" s="13"/>
      <c r="F32" s="14">
        <f t="shared" si="1"/>
        <v>0</v>
      </c>
      <c r="G32" s="15">
        <f t="shared" si="2"/>
        <v>0</v>
      </c>
      <c r="H32" s="15">
        <f t="shared" si="3"/>
        <v>0</v>
      </c>
      <c r="I32"/>
      <c r="J32"/>
    </row>
    <row r="33" ht="18.75" spans="1:10">
      <c r="A33" s="12" t="str">
        <f ca="1" t="shared" si="0"/>
        <v/>
      </c>
      <c r="B33" s="6"/>
      <c r="C33" s="13"/>
      <c r="D33" s="13"/>
      <c r="E33" s="13"/>
      <c r="F33" s="14">
        <f t="shared" si="1"/>
        <v>0</v>
      </c>
      <c r="G33" s="15">
        <f t="shared" si="2"/>
        <v>0</v>
      </c>
      <c r="H33" s="15">
        <f t="shared" si="3"/>
        <v>0</v>
      </c>
      <c r="I33"/>
      <c r="J33"/>
    </row>
    <row r="34" ht="18.75" spans="1:10">
      <c r="A34" s="12" t="str">
        <f ca="1" t="shared" si="0"/>
        <v/>
      </c>
      <c r="B34" s="6"/>
      <c r="C34" s="13"/>
      <c r="D34" s="13"/>
      <c r="E34" s="13"/>
      <c r="F34" s="14">
        <f t="shared" si="1"/>
        <v>0</v>
      </c>
      <c r="G34" s="15">
        <f t="shared" si="2"/>
        <v>0</v>
      </c>
      <c r="H34" s="15">
        <f t="shared" si="3"/>
        <v>0</v>
      </c>
      <c r="I34"/>
      <c r="J34"/>
    </row>
    <row r="35" ht="18.75" spans="1:10">
      <c r="A35" s="12" t="str">
        <f ca="1" t="shared" si="0"/>
        <v/>
      </c>
      <c r="B35" s="6"/>
      <c r="C35" s="13"/>
      <c r="D35" s="13"/>
      <c r="E35" s="13"/>
      <c r="F35" s="14">
        <f t="shared" si="1"/>
        <v>0</v>
      </c>
      <c r="G35" s="15">
        <f t="shared" si="2"/>
        <v>0</v>
      </c>
      <c r="H35" s="15">
        <f t="shared" ref="H35:H66" si="7">(IF(AND(C35&gt;=$O$3,C35&lt;$P$3,E35&gt;=$O$3,E35&lt;$P$3),E35-C35,IF(AND(C35&gt;=$O$3,C35&lt;$P$3,E35&gt;=$P$3,E35&lt;$N$3),$P$3-C35,IF(AND(C35&gt;=$P$3,C35&lt;$N$3,E35&gt;=$O$3,E35&lt;$P$3),E35,IF(AND(C35&gt;=$P$3,C35&lt;$N$3,E35&gt;=$P$3,E35&lt;$N$3),"0","none")))))*24</f>
        <v>0</v>
      </c>
      <c r="I35"/>
      <c r="J35"/>
    </row>
    <row r="36" ht="18.75" spans="1:10">
      <c r="A36" s="12" t="str">
        <f ca="1" t="shared" si="0"/>
        <v/>
      </c>
      <c r="B36" s="6"/>
      <c r="C36" s="13"/>
      <c r="D36" s="13"/>
      <c r="E36" s="13"/>
      <c r="F36" s="14">
        <f t="shared" si="1"/>
        <v>0</v>
      </c>
      <c r="G36" s="15">
        <f t="shared" si="2"/>
        <v>0</v>
      </c>
      <c r="H36" s="15">
        <f t="shared" si="7"/>
        <v>0</v>
      </c>
      <c r="I36"/>
      <c r="J36"/>
    </row>
    <row r="37" ht="18.75" spans="1:10">
      <c r="A37" s="12" t="str">
        <f ca="1" t="shared" si="0"/>
        <v/>
      </c>
      <c r="B37" s="6"/>
      <c r="C37" s="13"/>
      <c r="D37" s="13"/>
      <c r="E37" s="13"/>
      <c r="F37" s="14">
        <f t="shared" si="1"/>
        <v>0</v>
      </c>
      <c r="G37" s="15">
        <f t="shared" si="2"/>
        <v>0</v>
      </c>
      <c r="H37" s="15">
        <f t="shared" si="7"/>
        <v>0</v>
      </c>
      <c r="I37"/>
      <c r="J37"/>
    </row>
    <row r="38" ht="18.75" spans="1:11">
      <c r="A38" s="12" t="str">
        <f ca="1" t="shared" si="0"/>
        <v/>
      </c>
      <c r="B38" s="6"/>
      <c r="C38" s="13"/>
      <c r="D38" s="13"/>
      <c r="E38" s="13"/>
      <c r="F38" s="14">
        <f t="shared" si="1"/>
        <v>0</v>
      </c>
      <c r="G38" s="15">
        <f t="shared" si="2"/>
        <v>0</v>
      </c>
      <c r="H38" s="15">
        <f t="shared" si="7"/>
        <v>0</v>
      </c>
      <c r="I38" s="52"/>
      <c r="J38" s="53"/>
      <c r="K38" s="13"/>
    </row>
    <row r="39" ht="18.75" spans="1:11">
      <c r="A39" s="12" t="str">
        <f ca="1" t="shared" si="0"/>
        <v/>
      </c>
      <c r="B39" s="6"/>
      <c r="C39" s="13"/>
      <c r="D39" s="13"/>
      <c r="E39" s="13"/>
      <c r="F39" s="14">
        <f t="shared" si="1"/>
        <v>0</v>
      </c>
      <c r="G39" s="15">
        <f t="shared" si="2"/>
        <v>0</v>
      </c>
      <c r="H39" s="15">
        <f t="shared" si="7"/>
        <v>0</v>
      </c>
      <c r="I39" s="52"/>
      <c r="J39" s="53"/>
      <c r="K39" s="13"/>
    </row>
    <row r="40" ht="18.75" spans="1:11">
      <c r="A40" s="12" t="str">
        <f ca="1" t="shared" si="0"/>
        <v/>
      </c>
      <c r="B40" s="6"/>
      <c r="C40" s="13"/>
      <c r="D40" s="13"/>
      <c r="E40" s="13"/>
      <c r="F40" s="14">
        <f t="shared" si="1"/>
        <v>0</v>
      </c>
      <c r="G40" s="15">
        <f t="shared" si="2"/>
        <v>0</v>
      </c>
      <c r="H40" s="15">
        <f t="shared" si="7"/>
        <v>0</v>
      </c>
      <c r="I40" s="52"/>
      <c r="J40" s="53"/>
      <c r="K40" s="13"/>
    </row>
    <row r="41" ht="18.75" spans="1:11">
      <c r="A41" s="12" t="str">
        <f ca="1" t="shared" si="0"/>
        <v/>
      </c>
      <c r="B41" s="6"/>
      <c r="C41" s="13"/>
      <c r="D41" s="13"/>
      <c r="E41" s="13"/>
      <c r="F41" s="14">
        <f t="shared" si="1"/>
        <v>0</v>
      </c>
      <c r="G41" s="15">
        <f t="shared" si="2"/>
        <v>0</v>
      </c>
      <c r="H41" s="15">
        <f t="shared" si="7"/>
        <v>0</v>
      </c>
      <c r="I41" s="52"/>
      <c r="J41" s="53"/>
      <c r="K41" s="13"/>
    </row>
    <row r="42" ht="18.75" spans="1:11">
      <c r="A42" s="12" t="str">
        <f ca="1" t="shared" si="0"/>
        <v/>
      </c>
      <c r="B42" s="6"/>
      <c r="C42" s="13"/>
      <c r="D42" s="13"/>
      <c r="E42" s="13"/>
      <c r="F42" s="14">
        <f t="shared" si="1"/>
        <v>0</v>
      </c>
      <c r="G42" s="15">
        <f t="shared" si="2"/>
        <v>0</v>
      </c>
      <c r="H42" s="15">
        <f t="shared" si="7"/>
        <v>0</v>
      </c>
      <c r="I42" s="52"/>
      <c r="J42" s="53"/>
      <c r="K42" s="13"/>
    </row>
    <row r="43" ht="18.75" spans="1:11">
      <c r="A43" s="12" t="str">
        <f ca="1" t="shared" si="0"/>
        <v/>
      </c>
      <c r="B43" s="6"/>
      <c r="C43" s="13"/>
      <c r="D43" s="13"/>
      <c r="E43" s="13"/>
      <c r="F43" s="14">
        <f t="shared" si="1"/>
        <v>0</v>
      </c>
      <c r="G43" s="15">
        <f t="shared" si="2"/>
        <v>0</v>
      </c>
      <c r="H43" s="15">
        <f t="shared" si="7"/>
        <v>0</v>
      </c>
      <c r="I43" s="52"/>
      <c r="J43" s="53"/>
      <c r="K43" s="13"/>
    </row>
    <row r="44" ht="18.75" spans="1:11">
      <c r="A44" s="12" t="str">
        <f ca="1" t="shared" si="0"/>
        <v/>
      </c>
      <c r="B44" s="6"/>
      <c r="C44" s="13"/>
      <c r="D44" s="13"/>
      <c r="E44" s="13"/>
      <c r="F44" s="14">
        <f t="shared" si="1"/>
        <v>0</v>
      </c>
      <c r="G44" s="15">
        <f t="shared" si="2"/>
        <v>0</v>
      </c>
      <c r="H44" s="15">
        <f t="shared" si="7"/>
        <v>0</v>
      </c>
      <c r="I44" s="52"/>
      <c r="J44" s="53"/>
      <c r="K44" s="13"/>
    </row>
    <row r="45" ht="18.75" spans="1:11">
      <c r="A45" s="12" t="str">
        <f ca="1" t="shared" si="0"/>
        <v/>
      </c>
      <c r="B45" s="6"/>
      <c r="C45" s="13"/>
      <c r="D45" s="13"/>
      <c r="E45" s="13"/>
      <c r="F45" s="14">
        <f t="shared" si="1"/>
        <v>0</v>
      </c>
      <c r="G45" s="15">
        <f t="shared" si="2"/>
        <v>0</v>
      </c>
      <c r="H45" s="15">
        <f t="shared" si="7"/>
        <v>0</v>
      </c>
      <c r="I45" s="52"/>
      <c r="J45" s="53"/>
      <c r="K45" s="13"/>
    </row>
    <row r="46" ht="18.75" spans="1:11">
      <c r="A46" s="12" t="str">
        <f ca="1" t="shared" si="0"/>
        <v/>
      </c>
      <c r="B46" s="6"/>
      <c r="C46" s="13"/>
      <c r="D46" s="13"/>
      <c r="E46" s="13"/>
      <c r="F46" s="14">
        <f t="shared" si="1"/>
        <v>0</v>
      </c>
      <c r="G46" s="15">
        <f t="shared" si="2"/>
        <v>0</v>
      </c>
      <c r="H46" s="15">
        <f t="shared" si="7"/>
        <v>0</v>
      </c>
      <c r="I46" s="52"/>
      <c r="J46" s="53"/>
      <c r="K46" s="13"/>
    </row>
    <row r="47" ht="18.75" spans="1:11">
      <c r="A47" s="12" t="str">
        <f ca="1" t="shared" si="0"/>
        <v/>
      </c>
      <c r="B47" s="6"/>
      <c r="C47" s="13"/>
      <c r="D47" s="13"/>
      <c r="E47" s="13"/>
      <c r="F47" s="14">
        <f t="shared" si="1"/>
        <v>0</v>
      </c>
      <c r="G47" s="15">
        <f t="shared" si="2"/>
        <v>0</v>
      </c>
      <c r="H47" s="15">
        <f t="shared" si="7"/>
        <v>0</v>
      </c>
      <c r="I47" s="52"/>
      <c r="J47" s="53"/>
      <c r="K47" s="13"/>
    </row>
    <row r="48" ht="18.75" spans="1:11">
      <c r="A48" s="12" t="str">
        <f ca="1" t="shared" si="0"/>
        <v/>
      </c>
      <c r="B48" s="6"/>
      <c r="C48" s="13"/>
      <c r="D48" s="13"/>
      <c r="E48" s="13"/>
      <c r="F48" s="14">
        <f t="shared" si="1"/>
        <v>0</v>
      </c>
      <c r="G48" s="15">
        <f t="shared" si="2"/>
        <v>0</v>
      </c>
      <c r="H48" s="15">
        <f t="shared" si="7"/>
        <v>0</v>
      </c>
      <c r="I48" s="52"/>
      <c r="J48" s="53"/>
      <c r="K48" s="13"/>
    </row>
    <row r="49" ht="18.75" spans="1:11">
      <c r="A49" s="12" t="str">
        <f ca="1" t="shared" si="0"/>
        <v/>
      </c>
      <c r="B49" s="6"/>
      <c r="C49" s="13"/>
      <c r="D49" s="13"/>
      <c r="E49" s="13"/>
      <c r="F49" s="14">
        <f t="shared" si="1"/>
        <v>0</v>
      </c>
      <c r="G49" s="15">
        <f t="shared" si="2"/>
        <v>0</v>
      </c>
      <c r="H49" s="15">
        <f t="shared" si="7"/>
        <v>0</v>
      </c>
      <c r="I49" s="52"/>
      <c r="J49" s="53"/>
      <c r="K49" s="13"/>
    </row>
    <row r="50" ht="18.75" spans="1:11">
      <c r="A50" s="12" t="str">
        <f ca="1" t="shared" si="0"/>
        <v/>
      </c>
      <c r="B50" s="6"/>
      <c r="C50" s="13"/>
      <c r="D50" s="13"/>
      <c r="E50" s="13"/>
      <c r="F50" s="14">
        <f t="shared" si="1"/>
        <v>0</v>
      </c>
      <c r="G50" s="15">
        <f t="shared" si="2"/>
        <v>0</v>
      </c>
      <c r="H50" s="15">
        <f t="shared" si="7"/>
        <v>0</v>
      </c>
      <c r="I50" s="52"/>
      <c r="J50" s="53"/>
      <c r="K50" s="13"/>
    </row>
    <row r="51" ht="18.75" spans="1:11">
      <c r="A51" s="12" t="str">
        <f ca="1" t="shared" si="0"/>
        <v/>
      </c>
      <c r="B51" s="6"/>
      <c r="C51" s="13"/>
      <c r="D51" s="13"/>
      <c r="E51" s="13"/>
      <c r="F51" s="14">
        <f t="shared" si="1"/>
        <v>0</v>
      </c>
      <c r="G51" s="15">
        <f t="shared" si="2"/>
        <v>0</v>
      </c>
      <c r="H51" s="15">
        <f t="shared" si="7"/>
        <v>0</v>
      </c>
      <c r="I51" s="52"/>
      <c r="J51" s="53"/>
      <c r="K51" s="13"/>
    </row>
    <row r="52" ht="18.75" spans="1:11">
      <c r="A52" s="12" t="str">
        <f ca="1" t="shared" si="0"/>
        <v/>
      </c>
      <c r="B52" s="6"/>
      <c r="C52" s="13"/>
      <c r="D52" s="13"/>
      <c r="E52" s="13"/>
      <c r="F52" s="14">
        <f t="shared" si="1"/>
        <v>0</v>
      </c>
      <c r="G52" s="15">
        <f t="shared" si="2"/>
        <v>0</v>
      </c>
      <c r="H52" s="15">
        <f t="shared" si="7"/>
        <v>0</v>
      </c>
      <c r="I52" s="52"/>
      <c r="J52" s="53"/>
      <c r="K52" s="13"/>
    </row>
    <row r="53" ht="18.75" spans="1:11">
      <c r="A53" s="12" t="str">
        <f ca="1" t="shared" si="0"/>
        <v/>
      </c>
      <c r="B53" s="6"/>
      <c r="C53" s="13"/>
      <c r="D53" s="13"/>
      <c r="E53" s="13"/>
      <c r="F53" s="14">
        <f t="shared" si="1"/>
        <v>0</v>
      </c>
      <c r="G53" s="15">
        <f t="shared" si="2"/>
        <v>0</v>
      </c>
      <c r="H53" s="15">
        <f t="shared" si="7"/>
        <v>0</v>
      </c>
      <c r="I53" s="52"/>
      <c r="J53" s="53"/>
      <c r="K53" s="13"/>
    </row>
    <row r="54" ht="18.75" spans="1:11">
      <c r="A54" s="12" t="str">
        <f ca="1" t="shared" si="0"/>
        <v/>
      </c>
      <c r="B54" s="6"/>
      <c r="C54" s="13"/>
      <c r="D54" s="13"/>
      <c r="E54" s="13"/>
      <c r="F54" s="14">
        <f t="shared" si="1"/>
        <v>0</v>
      </c>
      <c r="G54" s="15">
        <f t="shared" si="2"/>
        <v>0</v>
      </c>
      <c r="H54" s="15">
        <f t="shared" si="7"/>
        <v>0</v>
      </c>
      <c r="I54" s="52"/>
      <c r="J54" s="53"/>
      <c r="K54" s="13"/>
    </row>
    <row r="55" ht="18.75" spans="1:11">
      <c r="A55" s="12" t="str">
        <f ca="1" t="shared" si="0"/>
        <v/>
      </c>
      <c r="B55" s="6"/>
      <c r="C55" s="13"/>
      <c r="D55" s="13"/>
      <c r="E55" s="13"/>
      <c r="F55" s="14">
        <f t="shared" si="1"/>
        <v>0</v>
      </c>
      <c r="G55" s="15">
        <f t="shared" si="2"/>
        <v>0</v>
      </c>
      <c r="H55" s="15">
        <f t="shared" si="7"/>
        <v>0</v>
      </c>
      <c r="I55" s="52"/>
      <c r="J55" s="53"/>
      <c r="K55" s="13"/>
    </row>
    <row r="56" ht="18.75" spans="1:11">
      <c r="A56" s="12" t="str">
        <f ca="1" t="shared" si="0"/>
        <v/>
      </c>
      <c r="B56" s="6"/>
      <c r="C56" s="13"/>
      <c r="D56" s="13"/>
      <c r="E56" s="13"/>
      <c r="F56" s="14">
        <f t="shared" si="1"/>
        <v>0</v>
      </c>
      <c r="G56" s="15">
        <f t="shared" si="2"/>
        <v>0</v>
      </c>
      <c r="H56" s="15">
        <f t="shared" si="7"/>
        <v>0</v>
      </c>
      <c r="I56" s="52"/>
      <c r="J56" s="53"/>
      <c r="K56" s="13"/>
    </row>
    <row r="57" ht="18.75" spans="1:11">
      <c r="A57" s="12" t="str">
        <f ca="1" t="shared" si="0"/>
        <v/>
      </c>
      <c r="B57" s="6"/>
      <c r="C57" s="13"/>
      <c r="D57" s="13"/>
      <c r="E57" s="13"/>
      <c r="F57" s="14">
        <f t="shared" si="1"/>
        <v>0</v>
      </c>
      <c r="G57" s="15">
        <f t="shared" si="2"/>
        <v>0</v>
      </c>
      <c r="H57" s="15">
        <f t="shared" si="7"/>
        <v>0</v>
      </c>
      <c r="I57" s="52"/>
      <c r="J57" s="53"/>
      <c r="K57" s="13"/>
    </row>
    <row r="58" ht="18.75" spans="1:11">
      <c r="A58" s="12" t="str">
        <f ca="1" t="shared" si="0"/>
        <v/>
      </c>
      <c r="B58" s="6"/>
      <c r="C58" s="13"/>
      <c r="D58" s="13"/>
      <c r="E58" s="13"/>
      <c r="F58" s="14">
        <f t="shared" si="1"/>
        <v>0</v>
      </c>
      <c r="G58" s="15">
        <f t="shared" si="2"/>
        <v>0</v>
      </c>
      <c r="H58" s="15">
        <f t="shared" si="7"/>
        <v>0</v>
      </c>
      <c r="I58" s="52"/>
      <c r="J58" s="53"/>
      <c r="K58" s="13"/>
    </row>
    <row r="59" ht="18.75" spans="1:11">
      <c r="A59" s="12" t="str">
        <f ca="1" t="shared" si="0"/>
        <v/>
      </c>
      <c r="B59" s="6"/>
      <c r="C59" s="13"/>
      <c r="D59" s="13"/>
      <c r="E59" s="13"/>
      <c r="F59" s="14">
        <f t="shared" si="1"/>
        <v>0</v>
      </c>
      <c r="G59" s="15">
        <f t="shared" si="2"/>
        <v>0</v>
      </c>
      <c r="H59" s="15">
        <f t="shared" si="7"/>
        <v>0</v>
      </c>
      <c r="I59" s="52"/>
      <c r="J59" s="53"/>
      <c r="K59" s="13"/>
    </row>
    <row r="60" ht="18.75" spans="1:11">
      <c r="A60" s="12" t="str">
        <f ca="1" t="shared" si="0"/>
        <v/>
      </c>
      <c r="B60" s="6"/>
      <c r="C60" s="13"/>
      <c r="D60" s="13"/>
      <c r="E60" s="13"/>
      <c r="F60" s="14">
        <f t="shared" si="1"/>
        <v>0</v>
      </c>
      <c r="G60" s="15">
        <f t="shared" si="2"/>
        <v>0</v>
      </c>
      <c r="H60" s="15">
        <f t="shared" si="7"/>
        <v>0</v>
      </c>
      <c r="I60" s="52"/>
      <c r="J60" s="53"/>
      <c r="K60" s="13"/>
    </row>
    <row r="61" ht="18.75" spans="1:11">
      <c r="A61" s="12" t="str">
        <f ca="1" t="shared" si="0"/>
        <v/>
      </c>
      <c r="B61" s="6"/>
      <c r="C61" s="13"/>
      <c r="D61" s="13"/>
      <c r="E61" s="13"/>
      <c r="F61" s="14">
        <f t="shared" si="1"/>
        <v>0</v>
      </c>
      <c r="G61" s="15">
        <f t="shared" si="2"/>
        <v>0</v>
      </c>
      <c r="H61" s="15">
        <f t="shared" si="7"/>
        <v>0</v>
      </c>
      <c r="I61" s="52"/>
      <c r="J61" s="53"/>
      <c r="K61" s="13"/>
    </row>
    <row r="62" ht="18.75" spans="1:11">
      <c r="A62" s="12" t="str">
        <f ca="1" t="shared" si="0"/>
        <v/>
      </c>
      <c r="B62" s="6"/>
      <c r="C62" s="13"/>
      <c r="D62" s="13"/>
      <c r="E62" s="13"/>
      <c r="F62" s="14">
        <f t="shared" si="1"/>
        <v>0</v>
      </c>
      <c r="G62" s="15">
        <f t="shared" si="2"/>
        <v>0</v>
      </c>
      <c r="H62" s="15">
        <f t="shared" si="7"/>
        <v>0</v>
      </c>
      <c r="I62" s="52"/>
      <c r="J62" s="53"/>
      <c r="K62" s="13"/>
    </row>
    <row r="63" ht="18.75" spans="1:11">
      <c r="A63" s="12" t="str">
        <f ca="1" t="shared" si="0"/>
        <v/>
      </c>
      <c r="B63" s="6"/>
      <c r="C63" s="13"/>
      <c r="D63" s="13"/>
      <c r="E63" s="13"/>
      <c r="F63" s="14">
        <f t="shared" si="1"/>
        <v>0</v>
      </c>
      <c r="G63" s="15">
        <f t="shared" si="2"/>
        <v>0</v>
      </c>
      <c r="H63" s="15">
        <f t="shared" si="7"/>
        <v>0</v>
      </c>
      <c r="I63" s="52"/>
      <c r="J63" s="53"/>
      <c r="K63" s="13"/>
    </row>
    <row r="64" ht="18.75" spans="1:11">
      <c r="A64" s="12" t="str">
        <f ca="1" t="shared" si="0"/>
        <v/>
      </c>
      <c r="B64" s="6"/>
      <c r="C64" s="13"/>
      <c r="D64" s="13"/>
      <c r="E64" s="13"/>
      <c r="F64" s="14">
        <f t="shared" si="1"/>
        <v>0</v>
      </c>
      <c r="G64" s="15">
        <f t="shared" si="2"/>
        <v>0</v>
      </c>
      <c r="H64" s="15">
        <f t="shared" si="7"/>
        <v>0</v>
      </c>
      <c r="I64" s="52"/>
      <c r="J64" s="53"/>
      <c r="K64" s="13"/>
    </row>
    <row r="65" ht="18.75" spans="1:11">
      <c r="A65" s="12" t="str">
        <f ca="1" t="shared" si="0"/>
        <v/>
      </c>
      <c r="B65" s="6"/>
      <c r="C65" s="13"/>
      <c r="D65" s="13"/>
      <c r="E65" s="13"/>
      <c r="F65" s="14">
        <f t="shared" si="1"/>
        <v>0</v>
      </c>
      <c r="G65" s="15">
        <f t="shared" si="2"/>
        <v>0</v>
      </c>
      <c r="H65" s="15">
        <f t="shared" si="7"/>
        <v>0</v>
      </c>
      <c r="I65" s="52"/>
      <c r="J65" s="53"/>
      <c r="K65" s="13"/>
    </row>
    <row r="66" ht="18.75" spans="1:11">
      <c r="A66" s="12" t="str">
        <f ca="1" t="shared" si="0"/>
        <v/>
      </c>
      <c r="B66" s="6"/>
      <c r="C66" s="13"/>
      <c r="D66" s="13"/>
      <c r="E66" s="13"/>
      <c r="F66" s="14">
        <f t="shared" si="1"/>
        <v>0</v>
      </c>
      <c r="G66" s="15">
        <f t="shared" si="2"/>
        <v>0</v>
      </c>
      <c r="H66" s="15">
        <f t="shared" si="7"/>
        <v>0</v>
      </c>
      <c r="I66" s="52"/>
      <c r="J66" s="53"/>
      <c r="K66" s="13"/>
    </row>
    <row r="67" ht="18.75" spans="1:11">
      <c r="A67" s="12" t="str">
        <f ca="1" t="shared" ref="A67:A130" si="8">IF(B67="","",IF(A67="",NOW(),A67))</f>
        <v/>
      </c>
      <c r="B67" s="6"/>
      <c r="C67" s="13"/>
      <c r="D67" s="13"/>
      <c r="E67" s="13"/>
      <c r="F67" s="14">
        <f t="shared" ref="F67:F130" si="9">(IF(E67-C67&lt;0,"24:00"-C67+E67,E67-C67))*24</f>
        <v>0</v>
      </c>
      <c r="G67" s="15">
        <f t="shared" ref="G67:G130" si="10">F67-H67</f>
        <v>0</v>
      </c>
      <c r="H67" s="15">
        <f t="shared" ref="H67:H98" si="11">(IF(AND(C67&gt;=$O$3,C67&lt;$P$3,E67&gt;=$O$3,E67&lt;$P$3),E67-C67,IF(AND(C67&gt;=$O$3,C67&lt;$P$3,E67&gt;=$P$3,E67&lt;$N$3),$P$3-C67,IF(AND(C67&gt;=$P$3,C67&lt;$N$3,E67&gt;=$O$3,E67&lt;$P$3),E67,IF(AND(C67&gt;=$P$3,C67&lt;$N$3,E67&gt;=$P$3,E67&lt;$N$3),"0","none")))))*24</f>
        <v>0</v>
      </c>
      <c r="I67" s="52"/>
      <c r="J67" s="53"/>
      <c r="K67" s="13"/>
    </row>
    <row r="68" ht="18.75" spans="1:11">
      <c r="A68" s="12" t="str">
        <f ca="1" t="shared" si="8"/>
        <v/>
      </c>
      <c r="B68" s="6"/>
      <c r="C68" s="13"/>
      <c r="D68" s="13"/>
      <c r="E68" s="13"/>
      <c r="F68" s="14">
        <f t="shared" si="9"/>
        <v>0</v>
      </c>
      <c r="G68" s="15">
        <f t="shared" si="10"/>
        <v>0</v>
      </c>
      <c r="H68" s="15">
        <f t="shared" si="11"/>
        <v>0</v>
      </c>
      <c r="I68" s="52"/>
      <c r="J68" s="53"/>
      <c r="K68" s="13"/>
    </row>
    <row r="69" ht="18.75" spans="1:11">
      <c r="A69" s="12" t="str">
        <f ca="1" t="shared" si="8"/>
        <v/>
      </c>
      <c r="B69" s="6"/>
      <c r="C69" s="13"/>
      <c r="D69" s="13"/>
      <c r="E69" s="13"/>
      <c r="F69" s="14">
        <f t="shared" si="9"/>
        <v>0</v>
      </c>
      <c r="G69" s="15">
        <f t="shared" si="10"/>
        <v>0</v>
      </c>
      <c r="H69" s="15">
        <f t="shared" si="11"/>
        <v>0</v>
      </c>
      <c r="I69" s="52"/>
      <c r="J69" s="53"/>
      <c r="K69" s="13"/>
    </row>
    <row r="70" ht="18.75" spans="1:11">
      <c r="A70" s="12" t="str">
        <f ca="1" t="shared" si="8"/>
        <v/>
      </c>
      <c r="B70" s="6"/>
      <c r="C70" s="13"/>
      <c r="D70" s="13"/>
      <c r="E70" s="13"/>
      <c r="F70" s="14">
        <f t="shared" si="9"/>
        <v>0</v>
      </c>
      <c r="G70" s="15">
        <f t="shared" si="10"/>
        <v>0</v>
      </c>
      <c r="H70" s="15">
        <f t="shared" si="11"/>
        <v>0</v>
      </c>
      <c r="I70" s="52"/>
      <c r="J70" s="53"/>
      <c r="K70" s="13"/>
    </row>
    <row r="71" ht="18.75" spans="1:11">
      <c r="A71" s="12" t="str">
        <f ca="1" t="shared" si="8"/>
        <v/>
      </c>
      <c r="B71" s="6"/>
      <c r="C71" s="13"/>
      <c r="D71" s="13"/>
      <c r="E71" s="13"/>
      <c r="F71" s="14">
        <f t="shared" si="9"/>
        <v>0</v>
      </c>
      <c r="G71" s="15">
        <f t="shared" si="10"/>
        <v>0</v>
      </c>
      <c r="H71" s="15">
        <f t="shared" si="11"/>
        <v>0</v>
      </c>
      <c r="I71" s="52"/>
      <c r="J71" s="53"/>
      <c r="K71" s="13"/>
    </row>
    <row r="72" ht="18.75" spans="1:11">
      <c r="A72" s="12" t="str">
        <f ca="1" t="shared" si="8"/>
        <v/>
      </c>
      <c r="B72" s="6"/>
      <c r="C72" s="13"/>
      <c r="D72" s="13"/>
      <c r="E72" s="13"/>
      <c r="F72" s="14">
        <f t="shared" si="9"/>
        <v>0</v>
      </c>
      <c r="G72" s="15">
        <f t="shared" si="10"/>
        <v>0</v>
      </c>
      <c r="H72" s="15">
        <f t="shared" si="11"/>
        <v>0</v>
      </c>
      <c r="I72" s="52"/>
      <c r="J72" s="53"/>
      <c r="K72" s="13"/>
    </row>
    <row r="73" ht="18.75" spans="1:11">
      <c r="A73" s="12" t="str">
        <f ca="1" t="shared" si="8"/>
        <v/>
      </c>
      <c r="B73" s="6"/>
      <c r="C73" s="13"/>
      <c r="D73" s="13"/>
      <c r="E73" s="13"/>
      <c r="F73" s="14">
        <f t="shared" si="9"/>
        <v>0</v>
      </c>
      <c r="G73" s="15">
        <f t="shared" si="10"/>
        <v>0</v>
      </c>
      <c r="H73" s="15">
        <f t="shared" si="11"/>
        <v>0</v>
      </c>
      <c r="I73" s="52"/>
      <c r="J73" s="53"/>
      <c r="K73" s="13"/>
    </row>
    <row r="74" ht="18.75" spans="1:11">
      <c r="A74" s="12" t="str">
        <f ca="1" t="shared" si="8"/>
        <v/>
      </c>
      <c r="B74" s="6"/>
      <c r="C74" s="13"/>
      <c r="D74" s="13"/>
      <c r="E74" s="13"/>
      <c r="F74" s="14">
        <f t="shared" si="9"/>
        <v>0</v>
      </c>
      <c r="G74" s="15">
        <f t="shared" si="10"/>
        <v>0</v>
      </c>
      <c r="H74" s="15">
        <f t="shared" si="11"/>
        <v>0</v>
      </c>
      <c r="I74" s="52"/>
      <c r="J74" s="53"/>
      <c r="K74" s="13"/>
    </row>
    <row r="75" ht="18.75" spans="1:11">
      <c r="A75" s="12" t="str">
        <f ca="1" t="shared" si="8"/>
        <v/>
      </c>
      <c r="B75" s="6"/>
      <c r="C75" s="13"/>
      <c r="D75" s="13"/>
      <c r="E75" s="13"/>
      <c r="F75" s="14">
        <f t="shared" si="9"/>
        <v>0</v>
      </c>
      <c r="G75" s="15">
        <f t="shared" si="10"/>
        <v>0</v>
      </c>
      <c r="H75" s="15">
        <f t="shared" si="11"/>
        <v>0</v>
      </c>
      <c r="I75" s="52"/>
      <c r="J75" s="53"/>
      <c r="K75" s="13"/>
    </row>
    <row r="76" ht="18.75" spans="1:11">
      <c r="A76" s="12" t="str">
        <f ca="1" t="shared" si="8"/>
        <v/>
      </c>
      <c r="B76" s="6"/>
      <c r="C76" s="13"/>
      <c r="D76" s="13"/>
      <c r="E76" s="13"/>
      <c r="F76" s="14">
        <f t="shared" si="9"/>
        <v>0</v>
      </c>
      <c r="G76" s="15">
        <f t="shared" si="10"/>
        <v>0</v>
      </c>
      <c r="H76" s="15">
        <f t="shared" si="11"/>
        <v>0</v>
      </c>
      <c r="I76" s="52"/>
      <c r="J76" s="53"/>
      <c r="K76" s="13"/>
    </row>
    <row r="77" ht="18.75" spans="1:11">
      <c r="A77" s="12" t="str">
        <f ca="1" t="shared" si="8"/>
        <v/>
      </c>
      <c r="B77" s="6"/>
      <c r="C77" s="13"/>
      <c r="D77" s="13"/>
      <c r="E77" s="13"/>
      <c r="F77" s="14">
        <f t="shared" si="9"/>
        <v>0</v>
      </c>
      <c r="G77" s="15">
        <f t="shared" si="10"/>
        <v>0</v>
      </c>
      <c r="H77" s="15">
        <f t="shared" si="11"/>
        <v>0</v>
      </c>
      <c r="I77" s="52"/>
      <c r="J77" s="53"/>
      <c r="K77" s="13"/>
    </row>
    <row r="78" ht="18.75" spans="1:11">
      <c r="A78" s="12" t="str">
        <f ca="1" t="shared" si="8"/>
        <v/>
      </c>
      <c r="B78" s="6"/>
      <c r="C78" s="13"/>
      <c r="D78" s="13"/>
      <c r="E78" s="13"/>
      <c r="F78" s="14">
        <f t="shared" si="9"/>
        <v>0</v>
      </c>
      <c r="G78" s="15">
        <f t="shared" si="10"/>
        <v>0</v>
      </c>
      <c r="H78" s="15">
        <f t="shared" si="11"/>
        <v>0</v>
      </c>
      <c r="I78" s="52"/>
      <c r="J78" s="53"/>
      <c r="K78" s="13"/>
    </row>
    <row r="79" ht="18.75" spans="1:11">
      <c r="A79" s="12" t="str">
        <f ca="1" t="shared" si="8"/>
        <v/>
      </c>
      <c r="B79" s="6"/>
      <c r="C79" s="13"/>
      <c r="D79" s="13"/>
      <c r="E79" s="13"/>
      <c r="F79" s="14">
        <f t="shared" si="9"/>
        <v>0</v>
      </c>
      <c r="G79" s="15">
        <f t="shared" si="10"/>
        <v>0</v>
      </c>
      <c r="H79" s="15">
        <f t="shared" si="11"/>
        <v>0</v>
      </c>
      <c r="I79" s="52"/>
      <c r="J79" s="53"/>
      <c r="K79" s="13"/>
    </row>
    <row r="80" ht="18.75" spans="1:11">
      <c r="A80" s="12" t="str">
        <f ca="1" t="shared" si="8"/>
        <v/>
      </c>
      <c r="B80" s="6"/>
      <c r="C80" s="13"/>
      <c r="D80" s="13"/>
      <c r="E80" s="13"/>
      <c r="F80" s="14">
        <f t="shared" si="9"/>
        <v>0</v>
      </c>
      <c r="G80" s="15">
        <f t="shared" si="10"/>
        <v>0</v>
      </c>
      <c r="H80" s="15">
        <f t="shared" si="11"/>
        <v>0</v>
      </c>
      <c r="I80" s="52"/>
      <c r="J80" s="53"/>
      <c r="K80" s="13"/>
    </row>
    <row r="81" ht="18.75" spans="1:11">
      <c r="A81" s="12" t="str">
        <f ca="1" t="shared" si="8"/>
        <v/>
      </c>
      <c r="B81" s="6"/>
      <c r="C81" s="13"/>
      <c r="D81" s="13"/>
      <c r="E81" s="13"/>
      <c r="F81" s="14">
        <f t="shared" si="9"/>
        <v>0</v>
      </c>
      <c r="G81" s="15">
        <f t="shared" si="10"/>
        <v>0</v>
      </c>
      <c r="H81" s="15">
        <f t="shared" si="11"/>
        <v>0</v>
      </c>
      <c r="I81" s="52"/>
      <c r="J81" s="53"/>
      <c r="K81" s="13"/>
    </row>
    <row r="82" ht="18.75" spans="1:11">
      <c r="A82" s="12" t="str">
        <f ca="1" t="shared" si="8"/>
        <v/>
      </c>
      <c r="B82" s="6"/>
      <c r="C82" s="13"/>
      <c r="D82" s="13"/>
      <c r="E82" s="13"/>
      <c r="F82" s="14">
        <f t="shared" si="9"/>
        <v>0</v>
      </c>
      <c r="G82" s="15">
        <f t="shared" si="10"/>
        <v>0</v>
      </c>
      <c r="H82" s="15">
        <f t="shared" si="11"/>
        <v>0</v>
      </c>
      <c r="I82" s="52"/>
      <c r="J82" s="53"/>
      <c r="K82" s="13"/>
    </row>
    <row r="83" ht="18.75" spans="1:11">
      <c r="A83" s="12" t="str">
        <f ca="1" t="shared" si="8"/>
        <v/>
      </c>
      <c r="B83" s="6"/>
      <c r="C83" s="13"/>
      <c r="D83" s="13"/>
      <c r="E83" s="13"/>
      <c r="F83" s="14">
        <f t="shared" si="9"/>
        <v>0</v>
      </c>
      <c r="G83" s="15">
        <f t="shared" si="10"/>
        <v>0</v>
      </c>
      <c r="H83" s="15">
        <f t="shared" si="11"/>
        <v>0</v>
      </c>
      <c r="I83" s="52"/>
      <c r="J83" s="53"/>
      <c r="K83" s="13"/>
    </row>
    <row r="84" ht="18.75" spans="1:11">
      <c r="A84" s="12" t="str">
        <f ca="1" t="shared" si="8"/>
        <v/>
      </c>
      <c r="B84" s="6"/>
      <c r="C84" s="13"/>
      <c r="D84" s="13"/>
      <c r="E84" s="13"/>
      <c r="F84" s="14">
        <f t="shared" si="9"/>
        <v>0</v>
      </c>
      <c r="G84" s="15">
        <f t="shared" si="10"/>
        <v>0</v>
      </c>
      <c r="H84" s="15">
        <f t="shared" si="11"/>
        <v>0</v>
      </c>
      <c r="I84" s="52"/>
      <c r="J84" s="53"/>
      <c r="K84" s="13"/>
    </row>
    <row r="85" ht="18.75" spans="1:11">
      <c r="A85" s="12" t="str">
        <f ca="1" t="shared" si="8"/>
        <v/>
      </c>
      <c r="B85" s="6"/>
      <c r="C85" s="13"/>
      <c r="D85" s="13"/>
      <c r="E85" s="13"/>
      <c r="F85" s="14">
        <f t="shared" si="9"/>
        <v>0</v>
      </c>
      <c r="G85" s="15">
        <f t="shared" si="10"/>
        <v>0</v>
      </c>
      <c r="H85" s="15">
        <f t="shared" si="11"/>
        <v>0</v>
      </c>
      <c r="I85" s="52"/>
      <c r="J85" s="54"/>
      <c r="K85" s="13"/>
    </row>
    <row r="86" ht="18.75" spans="1:11">
      <c r="A86" s="12" t="str">
        <f ca="1" t="shared" si="8"/>
        <v/>
      </c>
      <c r="B86" s="6"/>
      <c r="C86" s="13"/>
      <c r="D86" s="13"/>
      <c r="E86" s="13"/>
      <c r="F86" s="14">
        <f t="shared" si="9"/>
        <v>0</v>
      </c>
      <c r="G86" s="15">
        <f t="shared" si="10"/>
        <v>0</v>
      </c>
      <c r="H86" s="15">
        <f t="shared" si="11"/>
        <v>0</v>
      </c>
      <c r="I86" s="52"/>
      <c r="J86" s="54"/>
      <c r="K86" s="13"/>
    </row>
    <row r="87" ht="18.75" spans="1:11">
      <c r="A87" s="12" t="str">
        <f ca="1" t="shared" si="8"/>
        <v/>
      </c>
      <c r="B87" s="6"/>
      <c r="C87" s="13"/>
      <c r="D87" s="13"/>
      <c r="E87" s="13"/>
      <c r="F87" s="14">
        <f t="shared" si="9"/>
        <v>0</v>
      </c>
      <c r="G87" s="15">
        <f t="shared" si="10"/>
        <v>0</v>
      </c>
      <c r="H87" s="15">
        <f t="shared" si="11"/>
        <v>0</v>
      </c>
      <c r="I87" s="52"/>
      <c r="J87" s="54"/>
      <c r="K87" s="13"/>
    </row>
    <row r="88" ht="18.75" spans="1:11">
      <c r="A88" s="12" t="str">
        <f ca="1" t="shared" si="8"/>
        <v/>
      </c>
      <c r="B88" s="6"/>
      <c r="C88" s="13"/>
      <c r="D88" s="13"/>
      <c r="E88" s="13"/>
      <c r="F88" s="14">
        <f t="shared" si="9"/>
        <v>0</v>
      </c>
      <c r="G88" s="15">
        <f t="shared" si="10"/>
        <v>0</v>
      </c>
      <c r="H88" s="15">
        <f t="shared" si="11"/>
        <v>0</v>
      </c>
      <c r="I88" s="52"/>
      <c r="J88" s="54"/>
      <c r="K88" s="13"/>
    </row>
    <row r="89" ht="18.75" spans="1:11">
      <c r="A89" s="12" t="str">
        <f ca="1" t="shared" si="8"/>
        <v/>
      </c>
      <c r="B89" s="6"/>
      <c r="C89" s="13"/>
      <c r="D89" s="13"/>
      <c r="E89" s="13"/>
      <c r="F89" s="14">
        <f t="shared" si="9"/>
        <v>0</v>
      </c>
      <c r="G89" s="15">
        <f t="shared" si="10"/>
        <v>0</v>
      </c>
      <c r="H89" s="15">
        <f t="shared" si="11"/>
        <v>0</v>
      </c>
      <c r="I89" s="52"/>
      <c r="J89" s="54"/>
      <c r="K89" s="13"/>
    </row>
    <row r="90" ht="18.75" spans="1:11">
      <c r="A90" s="12" t="str">
        <f ca="1" t="shared" si="8"/>
        <v/>
      </c>
      <c r="B90" s="6"/>
      <c r="C90" s="13"/>
      <c r="D90" s="13"/>
      <c r="E90" s="13"/>
      <c r="F90" s="14">
        <f t="shared" si="9"/>
        <v>0</v>
      </c>
      <c r="G90" s="15">
        <f t="shared" si="10"/>
        <v>0</v>
      </c>
      <c r="H90" s="15">
        <f t="shared" si="11"/>
        <v>0</v>
      </c>
      <c r="I90" s="52"/>
      <c r="J90" s="54"/>
      <c r="K90" s="13"/>
    </row>
    <row r="91" ht="18.75" spans="1:11">
      <c r="A91" s="12" t="str">
        <f ca="1" t="shared" si="8"/>
        <v/>
      </c>
      <c r="B91" s="6"/>
      <c r="C91" s="13"/>
      <c r="D91" s="13"/>
      <c r="E91" s="13"/>
      <c r="F91" s="14">
        <f t="shared" si="9"/>
        <v>0</v>
      </c>
      <c r="G91" s="15">
        <f t="shared" si="10"/>
        <v>0</v>
      </c>
      <c r="H91" s="15">
        <f t="shared" si="11"/>
        <v>0</v>
      </c>
      <c r="I91" s="52"/>
      <c r="J91" s="54"/>
      <c r="K91" s="13"/>
    </row>
    <row r="92" ht="18.75" spans="1:11">
      <c r="A92" s="12" t="str">
        <f ca="1" t="shared" si="8"/>
        <v/>
      </c>
      <c r="B92" s="6"/>
      <c r="C92" s="13"/>
      <c r="D92" s="13"/>
      <c r="E92" s="13"/>
      <c r="F92" s="14">
        <f t="shared" si="9"/>
        <v>0</v>
      </c>
      <c r="G92" s="15">
        <f t="shared" si="10"/>
        <v>0</v>
      </c>
      <c r="H92" s="15">
        <f t="shared" si="11"/>
        <v>0</v>
      </c>
      <c r="I92" s="52"/>
      <c r="J92" s="54"/>
      <c r="K92" s="13"/>
    </row>
    <row r="93" ht="18.75" spans="1:11">
      <c r="A93" s="12" t="str">
        <f ca="1" t="shared" si="8"/>
        <v/>
      </c>
      <c r="B93" s="6"/>
      <c r="C93" s="13"/>
      <c r="D93" s="13"/>
      <c r="E93" s="13"/>
      <c r="F93" s="14">
        <f t="shared" si="9"/>
        <v>0</v>
      </c>
      <c r="G93" s="15">
        <f t="shared" si="10"/>
        <v>0</v>
      </c>
      <c r="H93" s="15">
        <f t="shared" si="11"/>
        <v>0</v>
      </c>
      <c r="I93" s="52"/>
      <c r="J93" s="54"/>
      <c r="K93" s="13"/>
    </row>
    <row r="94" ht="18.75" spans="1:11">
      <c r="A94" s="12" t="str">
        <f ca="1" t="shared" si="8"/>
        <v/>
      </c>
      <c r="B94" s="6"/>
      <c r="C94" s="13"/>
      <c r="D94" s="13"/>
      <c r="E94" s="13"/>
      <c r="F94" s="14">
        <f t="shared" si="9"/>
        <v>0</v>
      </c>
      <c r="G94" s="15">
        <f t="shared" si="10"/>
        <v>0</v>
      </c>
      <c r="H94" s="15">
        <f t="shared" si="11"/>
        <v>0</v>
      </c>
      <c r="I94" s="52"/>
      <c r="J94" s="54"/>
      <c r="K94" s="13"/>
    </row>
    <row r="95" ht="18.75" spans="1:11">
      <c r="A95" s="12" t="str">
        <f ca="1" t="shared" si="8"/>
        <v/>
      </c>
      <c r="B95" s="6"/>
      <c r="C95" s="13"/>
      <c r="D95" s="13"/>
      <c r="E95" s="13"/>
      <c r="F95" s="14">
        <f t="shared" si="9"/>
        <v>0</v>
      </c>
      <c r="G95" s="15">
        <f t="shared" si="10"/>
        <v>0</v>
      </c>
      <c r="H95" s="15">
        <f t="shared" si="11"/>
        <v>0</v>
      </c>
      <c r="I95" s="52"/>
      <c r="J95" s="54"/>
      <c r="K95" s="13"/>
    </row>
    <row r="96" ht="18.75" spans="1:11">
      <c r="A96" s="12" t="str">
        <f ca="1" t="shared" si="8"/>
        <v/>
      </c>
      <c r="B96" s="6"/>
      <c r="C96" s="13"/>
      <c r="D96" s="13"/>
      <c r="E96" s="13"/>
      <c r="F96" s="14">
        <f t="shared" si="9"/>
        <v>0</v>
      </c>
      <c r="G96" s="15">
        <f t="shared" si="10"/>
        <v>0</v>
      </c>
      <c r="H96" s="15">
        <f t="shared" si="11"/>
        <v>0</v>
      </c>
      <c r="I96" s="52"/>
      <c r="J96" s="54"/>
      <c r="K96" s="13"/>
    </row>
    <row r="97" ht="18.75" spans="1:11">
      <c r="A97" s="12" t="str">
        <f ca="1" t="shared" si="8"/>
        <v/>
      </c>
      <c r="B97" s="6"/>
      <c r="C97" s="13"/>
      <c r="D97" s="13"/>
      <c r="E97" s="13"/>
      <c r="F97" s="14">
        <f t="shared" si="9"/>
        <v>0</v>
      </c>
      <c r="G97" s="15">
        <f t="shared" si="10"/>
        <v>0</v>
      </c>
      <c r="H97" s="15">
        <f t="shared" si="11"/>
        <v>0</v>
      </c>
      <c r="I97" s="52"/>
      <c r="J97" s="54"/>
      <c r="K97" s="13"/>
    </row>
    <row r="98" ht="18.75" spans="1:11">
      <c r="A98" s="12" t="str">
        <f ca="1" t="shared" si="8"/>
        <v/>
      </c>
      <c r="B98" s="6"/>
      <c r="C98" s="13"/>
      <c r="D98" s="13"/>
      <c r="E98" s="13"/>
      <c r="F98" s="14">
        <f t="shared" si="9"/>
        <v>0</v>
      </c>
      <c r="G98" s="15">
        <f t="shared" si="10"/>
        <v>0</v>
      </c>
      <c r="H98" s="15">
        <f t="shared" si="11"/>
        <v>0</v>
      </c>
      <c r="I98" s="52"/>
      <c r="J98" s="54"/>
      <c r="K98" s="13"/>
    </row>
    <row r="99" ht="18.75" spans="1:11">
      <c r="A99" s="12" t="str">
        <f ca="1" t="shared" si="8"/>
        <v/>
      </c>
      <c r="B99" s="6"/>
      <c r="C99" s="13"/>
      <c r="D99" s="13"/>
      <c r="E99" s="13"/>
      <c r="F99" s="14">
        <f t="shared" si="9"/>
        <v>0</v>
      </c>
      <c r="G99" s="15">
        <f t="shared" si="10"/>
        <v>0</v>
      </c>
      <c r="H99" s="15">
        <f t="shared" ref="H99:H130" si="12">(IF(AND(C99&gt;=$O$3,C99&lt;$P$3,E99&gt;=$O$3,E99&lt;$P$3),E99-C99,IF(AND(C99&gt;=$O$3,C99&lt;$P$3,E99&gt;=$P$3,E99&lt;$N$3),$P$3-C99,IF(AND(C99&gt;=$P$3,C99&lt;$N$3,E99&gt;=$O$3,E99&lt;$P$3),E99,IF(AND(C99&gt;=$P$3,C99&lt;$N$3,E99&gt;=$P$3,E99&lt;$N$3),"0","none")))))*24</f>
        <v>0</v>
      </c>
      <c r="I99" s="52"/>
      <c r="J99" s="54"/>
      <c r="K99" s="13"/>
    </row>
    <row r="100" ht="18.75" spans="1:11">
      <c r="A100" s="12" t="str">
        <f ca="1" t="shared" si="8"/>
        <v/>
      </c>
      <c r="B100" s="6"/>
      <c r="C100" s="13"/>
      <c r="D100" s="13"/>
      <c r="E100" s="13"/>
      <c r="F100" s="14">
        <f t="shared" si="9"/>
        <v>0</v>
      </c>
      <c r="G100" s="15">
        <f t="shared" si="10"/>
        <v>0</v>
      </c>
      <c r="H100" s="15">
        <f t="shared" si="12"/>
        <v>0</v>
      </c>
      <c r="I100" s="52"/>
      <c r="J100" s="54"/>
      <c r="K100" s="13"/>
    </row>
    <row r="101" ht="18.75" spans="1:11">
      <c r="A101" s="12" t="str">
        <f ca="1" t="shared" si="8"/>
        <v/>
      </c>
      <c r="B101" s="6"/>
      <c r="C101" s="13"/>
      <c r="D101" s="13"/>
      <c r="E101" s="13"/>
      <c r="F101" s="14">
        <f t="shared" si="9"/>
        <v>0</v>
      </c>
      <c r="G101" s="15">
        <f t="shared" si="10"/>
        <v>0</v>
      </c>
      <c r="H101" s="15">
        <f t="shared" si="12"/>
        <v>0</v>
      </c>
      <c r="I101" s="52"/>
      <c r="J101" s="54"/>
      <c r="K101" s="13"/>
    </row>
    <row r="102" ht="18.75" spans="1:11">
      <c r="A102" s="12" t="str">
        <f ca="1" t="shared" si="8"/>
        <v/>
      </c>
      <c r="B102" s="6"/>
      <c r="C102" s="13"/>
      <c r="D102" s="13"/>
      <c r="E102" s="13"/>
      <c r="F102" s="14">
        <f t="shared" si="9"/>
        <v>0</v>
      </c>
      <c r="G102" s="15">
        <f t="shared" si="10"/>
        <v>0</v>
      </c>
      <c r="H102" s="15">
        <f t="shared" si="12"/>
        <v>0</v>
      </c>
      <c r="I102" s="52"/>
      <c r="J102" s="54"/>
      <c r="K102" s="13"/>
    </row>
    <row r="103" ht="18.75" spans="1:11">
      <c r="A103" s="12" t="str">
        <f ca="1" t="shared" si="8"/>
        <v/>
      </c>
      <c r="B103" s="6"/>
      <c r="C103" s="13"/>
      <c r="D103" s="13"/>
      <c r="E103" s="13"/>
      <c r="F103" s="14">
        <f t="shared" si="9"/>
        <v>0</v>
      </c>
      <c r="G103" s="15">
        <f t="shared" si="10"/>
        <v>0</v>
      </c>
      <c r="H103" s="15">
        <f t="shared" si="12"/>
        <v>0</v>
      </c>
      <c r="I103" s="52"/>
      <c r="J103" s="54"/>
      <c r="K103" s="13"/>
    </row>
    <row r="104" ht="18.75" spans="1:11">
      <c r="A104" s="12" t="str">
        <f ca="1" t="shared" si="8"/>
        <v/>
      </c>
      <c r="B104" s="6"/>
      <c r="C104" s="13"/>
      <c r="D104" s="13"/>
      <c r="E104" s="13"/>
      <c r="F104" s="14">
        <f t="shared" si="9"/>
        <v>0</v>
      </c>
      <c r="G104" s="15">
        <f t="shared" si="10"/>
        <v>0</v>
      </c>
      <c r="H104" s="15">
        <f t="shared" si="12"/>
        <v>0</v>
      </c>
      <c r="I104" s="52"/>
      <c r="J104" s="54"/>
      <c r="K104" s="13"/>
    </row>
    <row r="105" ht="18.75" spans="1:11">
      <c r="A105" s="12" t="str">
        <f ca="1" t="shared" si="8"/>
        <v/>
      </c>
      <c r="B105" s="6"/>
      <c r="C105" s="13"/>
      <c r="D105" s="13"/>
      <c r="E105" s="13"/>
      <c r="F105" s="14">
        <f t="shared" si="9"/>
        <v>0</v>
      </c>
      <c r="G105" s="15">
        <f t="shared" si="10"/>
        <v>0</v>
      </c>
      <c r="H105" s="15">
        <f t="shared" si="12"/>
        <v>0</v>
      </c>
      <c r="I105" s="52"/>
      <c r="J105" s="54"/>
      <c r="K105" s="13"/>
    </row>
    <row r="106" ht="18.75" spans="1:11">
      <c r="A106" s="12" t="str">
        <f ca="1" t="shared" si="8"/>
        <v/>
      </c>
      <c r="B106" s="6"/>
      <c r="C106" s="13"/>
      <c r="D106" s="13"/>
      <c r="E106" s="13"/>
      <c r="F106" s="14">
        <f t="shared" si="9"/>
        <v>0</v>
      </c>
      <c r="G106" s="15">
        <f t="shared" si="10"/>
        <v>0</v>
      </c>
      <c r="H106" s="15">
        <f t="shared" si="12"/>
        <v>0</v>
      </c>
      <c r="I106" s="52"/>
      <c r="J106" s="54"/>
      <c r="K106" s="13"/>
    </row>
    <row r="107" ht="18.75" spans="1:11">
      <c r="A107" s="12" t="str">
        <f ca="1" t="shared" si="8"/>
        <v/>
      </c>
      <c r="B107" s="6"/>
      <c r="C107" s="13"/>
      <c r="D107" s="13"/>
      <c r="E107" s="13"/>
      <c r="F107" s="14">
        <f t="shared" si="9"/>
        <v>0</v>
      </c>
      <c r="G107" s="15">
        <f t="shared" si="10"/>
        <v>0</v>
      </c>
      <c r="H107" s="15">
        <f t="shared" si="12"/>
        <v>0</v>
      </c>
      <c r="I107" s="52"/>
      <c r="J107" s="54"/>
      <c r="K107" s="13"/>
    </row>
    <row r="108" ht="18.75" spans="1:11">
      <c r="A108" s="12" t="str">
        <f ca="1" t="shared" si="8"/>
        <v/>
      </c>
      <c r="B108" s="6"/>
      <c r="C108" s="13"/>
      <c r="D108" s="13"/>
      <c r="E108" s="13"/>
      <c r="F108" s="14">
        <f t="shared" si="9"/>
        <v>0</v>
      </c>
      <c r="G108" s="15">
        <f t="shared" si="10"/>
        <v>0</v>
      </c>
      <c r="H108" s="15">
        <f t="shared" si="12"/>
        <v>0</v>
      </c>
      <c r="I108" s="52"/>
      <c r="J108" s="54"/>
      <c r="K108" s="13"/>
    </row>
    <row r="109" ht="18.75" spans="1:11">
      <c r="A109" s="12" t="str">
        <f ca="1" t="shared" si="8"/>
        <v/>
      </c>
      <c r="B109" s="6"/>
      <c r="C109" s="13"/>
      <c r="D109" s="13"/>
      <c r="E109" s="13"/>
      <c r="F109" s="14">
        <f t="shared" si="9"/>
        <v>0</v>
      </c>
      <c r="G109" s="15">
        <f t="shared" si="10"/>
        <v>0</v>
      </c>
      <c r="H109" s="15">
        <f t="shared" si="12"/>
        <v>0</v>
      </c>
      <c r="I109" s="52"/>
      <c r="J109" s="54"/>
      <c r="K109" s="13"/>
    </row>
    <row r="110" ht="18.75" spans="1:11">
      <c r="A110" s="12" t="str">
        <f ca="1" t="shared" si="8"/>
        <v/>
      </c>
      <c r="B110" s="6"/>
      <c r="C110" s="13"/>
      <c r="D110" s="13"/>
      <c r="E110" s="13"/>
      <c r="F110" s="14">
        <f t="shared" si="9"/>
        <v>0</v>
      </c>
      <c r="G110" s="15">
        <f t="shared" si="10"/>
        <v>0</v>
      </c>
      <c r="H110" s="15">
        <f t="shared" si="12"/>
        <v>0</v>
      </c>
      <c r="I110" s="52"/>
      <c r="J110" s="54"/>
      <c r="K110" s="13"/>
    </row>
    <row r="111" ht="18.75" spans="1:11">
      <c r="A111" s="12" t="str">
        <f ca="1" t="shared" si="8"/>
        <v/>
      </c>
      <c r="B111" s="6"/>
      <c r="C111" s="13"/>
      <c r="D111" s="13"/>
      <c r="E111" s="13"/>
      <c r="F111" s="14">
        <f t="shared" si="9"/>
        <v>0</v>
      </c>
      <c r="G111" s="15">
        <f t="shared" si="10"/>
        <v>0</v>
      </c>
      <c r="H111" s="15">
        <f t="shared" si="12"/>
        <v>0</v>
      </c>
      <c r="I111" s="52"/>
      <c r="J111" s="54"/>
      <c r="K111" s="13"/>
    </row>
    <row r="112" ht="18.75" spans="1:11">
      <c r="A112" s="12" t="str">
        <f ca="1" t="shared" si="8"/>
        <v/>
      </c>
      <c r="B112" s="6"/>
      <c r="C112" s="13"/>
      <c r="D112" s="13"/>
      <c r="E112" s="13"/>
      <c r="F112" s="14">
        <f t="shared" si="9"/>
        <v>0</v>
      </c>
      <c r="G112" s="15">
        <f t="shared" si="10"/>
        <v>0</v>
      </c>
      <c r="H112" s="15">
        <f t="shared" si="12"/>
        <v>0</v>
      </c>
      <c r="I112" s="52"/>
      <c r="J112" s="54"/>
      <c r="K112" s="13"/>
    </row>
    <row r="113" ht="18.75" spans="1:11">
      <c r="A113" s="12" t="str">
        <f ca="1" t="shared" si="8"/>
        <v/>
      </c>
      <c r="B113" s="6"/>
      <c r="C113" s="13"/>
      <c r="D113" s="13"/>
      <c r="E113" s="13"/>
      <c r="F113" s="14">
        <f t="shared" si="9"/>
        <v>0</v>
      </c>
      <c r="G113" s="15">
        <f t="shared" si="10"/>
        <v>0</v>
      </c>
      <c r="H113" s="15">
        <f t="shared" si="12"/>
        <v>0</v>
      </c>
      <c r="I113" s="52"/>
      <c r="J113" s="54"/>
      <c r="K113" s="13"/>
    </row>
    <row r="114" ht="18.75" spans="1:11">
      <c r="A114" s="12" t="str">
        <f ca="1" t="shared" si="8"/>
        <v/>
      </c>
      <c r="B114" s="6"/>
      <c r="C114" s="13"/>
      <c r="D114" s="13"/>
      <c r="E114" s="13"/>
      <c r="F114" s="14">
        <f t="shared" si="9"/>
        <v>0</v>
      </c>
      <c r="G114" s="15">
        <f t="shared" si="10"/>
        <v>0</v>
      </c>
      <c r="H114" s="15">
        <f t="shared" si="12"/>
        <v>0</v>
      </c>
      <c r="I114" s="52"/>
      <c r="J114" s="54"/>
      <c r="K114" s="13"/>
    </row>
    <row r="115" ht="18.75" spans="1:11">
      <c r="A115" s="12" t="str">
        <f ca="1" t="shared" si="8"/>
        <v/>
      </c>
      <c r="B115" s="6"/>
      <c r="C115" s="13"/>
      <c r="D115" s="13"/>
      <c r="E115" s="13"/>
      <c r="F115" s="14">
        <f t="shared" si="9"/>
        <v>0</v>
      </c>
      <c r="G115" s="15">
        <f t="shared" si="10"/>
        <v>0</v>
      </c>
      <c r="H115" s="15">
        <f t="shared" si="12"/>
        <v>0</v>
      </c>
      <c r="I115" s="52"/>
      <c r="J115" s="54"/>
      <c r="K115" s="13"/>
    </row>
    <row r="116" ht="18.75" spans="1:11">
      <c r="A116" s="12" t="str">
        <f ca="1" t="shared" si="8"/>
        <v/>
      </c>
      <c r="B116" s="6"/>
      <c r="C116" s="13"/>
      <c r="D116" s="13"/>
      <c r="E116" s="13"/>
      <c r="F116" s="14">
        <f t="shared" si="9"/>
        <v>0</v>
      </c>
      <c r="G116" s="15">
        <f t="shared" si="10"/>
        <v>0</v>
      </c>
      <c r="H116" s="15">
        <f t="shared" si="12"/>
        <v>0</v>
      </c>
      <c r="I116" s="52"/>
      <c r="J116" s="54"/>
      <c r="K116" s="13"/>
    </row>
    <row r="117" ht="18.75" spans="1:11">
      <c r="A117" s="12" t="str">
        <f ca="1" t="shared" si="8"/>
        <v/>
      </c>
      <c r="B117" s="6"/>
      <c r="C117" s="13"/>
      <c r="D117" s="13"/>
      <c r="E117" s="13"/>
      <c r="F117" s="14">
        <f t="shared" si="9"/>
        <v>0</v>
      </c>
      <c r="G117" s="15">
        <f t="shared" si="10"/>
        <v>0</v>
      </c>
      <c r="H117" s="15">
        <f t="shared" si="12"/>
        <v>0</v>
      </c>
      <c r="I117" s="52"/>
      <c r="J117" s="54"/>
      <c r="K117" s="13"/>
    </row>
    <row r="118" ht="18.75" spans="1:11">
      <c r="A118" s="12" t="str">
        <f ca="1" t="shared" si="8"/>
        <v/>
      </c>
      <c r="B118" s="6"/>
      <c r="C118" s="13"/>
      <c r="D118" s="13"/>
      <c r="E118" s="13"/>
      <c r="F118" s="14">
        <f t="shared" si="9"/>
        <v>0</v>
      </c>
      <c r="G118" s="15">
        <f t="shared" si="10"/>
        <v>0</v>
      </c>
      <c r="H118" s="15">
        <f t="shared" si="12"/>
        <v>0</v>
      </c>
      <c r="I118" s="52"/>
      <c r="J118" s="54"/>
      <c r="K118" s="13"/>
    </row>
    <row r="119" ht="18.75" spans="1:11">
      <c r="A119" s="12" t="str">
        <f ca="1" t="shared" si="8"/>
        <v/>
      </c>
      <c r="B119" s="6"/>
      <c r="C119" s="13"/>
      <c r="D119" s="13"/>
      <c r="E119" s="13"/>
      <c r="F119" s="14">
        <f t="shared" si="9"/>
        <v>0</v>
      </c>
      <c r="G119" s="15">
        <f t="shared" si="10"/>
        <v>0</v>
      </c>
      <c r="H119" s="15">
        <f t="shared" si="12"/>
        <v>0</v>
      </c>
      <c r="I119" s="52"/>
      <c r="J119" s="54"/>
      <c r="K119" s="13"/>
    </row>
    <row r="120" ht="18.75" spans="1:11">
      <c r="A120" s="12" t="str">
        <f ca="1" t="shared" si="8"/>
        <v/>
      </c>
      <c r="B120" s="6"/>
      <c r="C120" s="13"/>
      <c r="D120" s="13"/>
      <c r="E120" s="13"/>
      <c r="F120" s="14">
        <f t="shared" si="9"/>
        <v>0</v>
      </c>
      <c r="G120" s="15">
        <f t="shared" si="10"/>
        <v>0</v>
      </c>
      <c r="H120" s="15">
        <f t="shared" si="12"/>
        <v>0</v>
      </c>
      <c r="I120" s="52"/>
      <c r="J120" s="54"/>
      <c r="K120" s="13"/>
    </row>
    <row r="121" ht="18.75" spans="1:11">
      <c r="A121" s="12" t="str">
        <f ca="1" t="shared" si="8"/>
        <v/>
      </c>
      <c r="B121" s="6"/>
      <c r="C121" s="13"/>
      <c r="D121" s="13"/>
      <c r="E121" s="13"/>
      <c r="F121" s="14">
        <f t="shared" si="9"/>
        <v>0</v>
      </c>
      <c r="G121" s="15">
        <f t="shared" si="10"/>
        <v>0</v>
      </c>
      <c r="H121" s="15">
        <f t="shared" si="12"/>
        <v>0</v>
      </c>
      <c r="I121" s="52"/>
      <c r="J121" s="54"/>
      <c r="K121" s="13"/>
    </row>
    <row r="122" ht="18.75" spans="1:11">
      <c r="A122" s="12" t="str">
        <f ca="1" t="shared" si="8"/>
        <v/>
      </c>
      <c r="B122" s="6"/>
      <c r="C122" s="13"/>
      <c r="D122" s="13"/>
      <c r="E122" s="13"/>
      <c r="F122" s="14">
        <f t="shared" si="9"/>
        <v>0</v>
      </c>
      <c r="G122" s="15">
        <f t="shared" si="10"/>
        <v>0</v>
      </c>
      <c r="H122" s="15">
        <f t="shared" si="12"/>
        <v>0</v>
      </c>
      <c r="I122" s="52"/>
      <c r="J122" s="54"/>
      <c r="K122" s="13"/>
    </row>
    <row r="123" ht="18.75" spans="1:11">
      <c r="A123" s="12" t="str">
        <f ca="1" t="shared" si="8"/>
        <v/>
      </c>
      <c r="B123" s="6"/>
      <c r="C123" s="13"/>
      <c r="D123" s="13"/>
      <c r="E123" s="13"/>
      <c r="F123" s="14">
        <f t="shared" si="9"/>
        <v>0</v>
      </c>
      <c r="G123" s="15">
        <f t="shared" si="10"/>
        <v>0</v>
      </c>
      <c r="H123" s="15">
        <f t="shared" si="12"/>
        <v>0</v>
      </c>
      <c r="I123" s="52"/>
      <c r="J123" s="54"/>
      <c r="K123" s="13"/>
    </row>
    <row r="124" ht="18.75" spans="1:11">
      <c r="A124" s="12" t="str">
        <f ca="1" t="shared" si="8"/>
        <v/>
      </c>
      <c r="B124" s="6"/>
      <c r="C124" s="13"/>
      <c r="D124" s="13"/>
      <c r="E124" s="13"/>
      <c r="F124" s="14">
        <f t="shared" si="9"/>
        <v>0</v>
      </c>
      <c r="G124" s="15">
        <f t="shared" si="10"/>
        <v>0</v>
      </c>
      <c r="H124" s="15">
        <f t="shared" si="12"/>
        <v>0</v>
      </c>
      <c r="I124" s="52"/>
      <c r="J124" s="54"/>
      <c r="K124" s="13"/>
    </row>
    <row r="125" ht="18.75" spans="1:11">
      <c r="A125" s="12" t="str">
        <f ca="1" t="shared" si="8"/>
        <v/>
      </c>
      <c r="B125" s="6"/>
      <c r="C125" s="13"/>
      <c r="D125" s="13"/>
      <c r="E125" s="13"/>
      <c r="F125" s="14">
        <f t="shared" si="9"/>
        <v>0</v>
      </c>
      <c r="G125" s="15">
        <f t="shared" si="10"/>
        <v>0</v>
      </c>
      <c r="H125" s="15">
        <f t="shared" si="12"/>
        <v>0</v>
      </c>
      <c r="I125" s="52"/>
      <c r="J125" s="54"/>
      <c r="K125" s="13"/>
    </row>
    <row r="126" ht="18.75" spans="1:11">
      <c r="A126" s="12" t="str">
        <f ca="1" t="shared" si="8"/>
        <v/>
      </c>
      <c r="B126" s="6"/>
      <c r="C126" s="13"/>
      <c r="D126" s="13"/>
      <c r="E126" s="13"/>
      <c r="F126" s="14">
        <f t="shared" si="9"/>
        <v>0</v>
      </c>
      <c r="G126" s="15">
        <f t="shared" si="10"/>
        <v>0</v>
      </c>
      <c r="H126" s="15">
        <f t="shared" si="12"/>
        <v>0</v>
      </c>
      <c r="I126" s="52"/>
      <c r="J126" s="54"/>
      <c r="K126" s="13"/>
    </row>
    <row r="127" ht="18.75" spans="1:11">
      <c r="A127" s="12" t="str">
        <f ca="1" t="shared" si="8"/>
        <v/>
      </c>
      <c r="B127" s="6"/>
      <c r="C127" s="13"/>
      <c r="D127" s="13"/>
      <c r="E127" s="13"/>
      <c r="F127" s="14">
        <f t="shared" si="9"/>
        <v>0</v>
      </c>
      <c r="G127" s="15">
        <f t="shared" si="10"/>
        <v>0</v>
      </c>
      <c r="H127" s="15">
        <f t="shared" si="12"/>
        <v>0</v>
      </c>
      <c r="I127" s="52"/>
      <c r="J127" s="54"/>
      <c r="K127" s="13"/>
    </row>
    <row r="128" ht="18.75" spans="1:11">
      <c r="A128" s="12" t="str">
        <f ca="1" t="shared" si="8"/>
        <v/>
      </c>
      <c r="B128" s="6"/>
      <c r="C128" s="13"/>
      <c r="D128" s="13"/>
      <c r="E128" s="13"/>
      <c r="F128" s="14">
        <f t="shared" si="9"/>
        <v>0</v>
      </c>
      <c r="G128" s="15">
        <f t="shared" si="10"/>
        <v>0</v>
      </c>
      <c r="H128" s="15">
        <f t="shared" si="12"/>
        <v>0</v>
      </c>
      <c r="I128" s="52"/>
      <c r="J128" s="54"/>
      <c r="K128" s="13"/>
    </row>
    <row r="129" ht="18.75" spans="1:11">
      <c r="A129" s="12" t="str">
        <f ca="1" t="shared" si="8"/>
        <v/>
      </c>
      <c r="B129" s="6"/>
      <c r="C129" s="13"/>
      <c r="D129" s="13"/>
      <c r="E129" s="13"/>
      <c r="F129" s="14">
        <f t="shared" si="9"/>
        <v>0</v>
      </c>
      <c r="G129" s="15">
        <f t="shared" si="10"/>
        <v>0</v>
      </c>
      <c r="H129" s="15">
        <f t="shared" si="12"/>
        <v>0</v>
      </c>
      <c r="I129" s="52"/>
      <c r="J129" s="54"/>
      <c r="K129" s="13"/>
    </row>
    <row r="130" ht="18.75" spans="1:11">
      <c r="A130" s="12" t="str">
        <f ca="1" t="shared" si="8"/>
        <v/>
      </c>
      <c r="B130" s="6"/>
      <c r="C130" s="13"/>
      <c r="D130" s="13"/>
      <c r="E130" s="13"/>
      <c r="F130" s="14">
        <f t="shared" si="9"/>
        <v>0</v>
      </c>
      <c r="G130" s="15">
        <f t="shared" si="10"/>
        <v>0</v>
      </c>
      <c r="H130" s="15">
        <f t="shared" si="12"/>
        <v>0</v>
      </c>
      <c r="I130" s="52"/>
      <c r="J130" s="54"/>
      <c r="K130" s="13"/>
    </row>
    <row r="131" ht="18.75" spans="1:11">
      <c r="A131" s="12" t="str">
        <f ca="1" t="shared" ref="A131:A194" si="13">IF(B131="","",IF(A131="",NOW(),A131))</f>
        <v/>
      </c>
      <c r="B131" s="6"/>
      <c r="C131" s="13"/>
      <c r="D131" s="13"/>
      <c r="E131" s="13"/>
      <c r="F131" s="14">
        <f t="shared" ref="F131:F194" si="14">(IF(E131-C131&lt;0,"24:00"-C131+E131,E131-C131))*24</f>
        <v>0</v>
      </c>
      <c r="G131" s="15">
        <f t="shared" ref="G131:G160" si="15">F131-H131</f>
        <v>0</v>
      </c>
      <c r="H131" s="15">
        <f t="shared" ref="H131:H160" si="16">(IF(AND(C131&gt;=$O$3,C131&lt;$P$3,E131&gt;=$O$3,E131&lt;$P$3),E131-C131,IF(AND(C131&gt;=$O$3,C131&lt;$P$3,E131&gt;=$P$3,E131&lt;$N$3),$P$3-C131,IF(AND(C131&gt;=$P$3,C131&lt;$N$3,E131&gt;=$O$3,E131&lt;$P$3),E131,IF(AND(C131&gt;=$P$3,C131&lt;$N$3,E131&gt;=$P$3,E131&lt;$N$3),"0","none")))))*24</f>
        <v>0</v>
      </c>
      <c r="I131" s="52"/>
      <c r="J131" s="54"/>
      <c r="K131" s="13"/>
    </row>
    <row r="132" ht="18.75" spans="1:11">
      <c r="A132" s="12" t="str">
        <f ca="1" t="shared" si="13"/>
        <v/>
      </c>
      <c r="B132" s="6"/>
      <c r="C132" s="13"/>
      <c r="D132" s="13"/>
      <c r="E132" s="13"/>
      <c r="F132" s="14">
        <f t="shared" si="14"/>
        <v>0</v>
      </c>
      <c r="G132" s="15">
        <f t="shared" si="15"/>
        <v>0</v>
      </c>
      <c r="H132" s="15">
        <f t="shared" si="16"/>
        <v>0</v>
      </c>
      <c r="I132" s="52"/>
      <c r="J132" s="54"/>
      <c r="K132" s="13"/>
    </row>
    <row r="133" ht="18.75" spans="1:11">
      <c r="A133" s="12" t="str">
        <f ca="1" t="shared" si="13"/>
        <v/>
      </c>
      <c r="B133" s="6"/>
      <c r="C133" s="13"/>
      <c r="D133" s="13"/>
      <c r="E133" s="13"/>
      <c r="F133" s="14">
        <f t="shared" si="14"/>
        <v>0</v>
      </c>
      <c r="G133" s="15">
        <f t="shared" si="15"/>
        <v>0</v>
      </c>
      <c r="H133" s="15">
        <f t="shared" si="16"/>
        <v>0</v>
      </c>
      <c r="I133" s="52"/>
      <c r="J133" s="54"/>
      <c r="K133" s="13"/>
    </row>
    <row r="134" ht="18.75" spans="1:11">
      <c r="A134" s="12" t="str">
        <f ca="1" t="shared" si="13"/>
        <v/>
      </c>
      <c r="B134" s="6"/>
      <c r="C134" s="13"/>
      <c r="D134" s="13"/>
      <c r="E134" s="13"/>
      <c r="F134" s="14">
        <f t="shared" si="14"/>
        <v>0</v>
      </c>
      <c r="G134" s="15">
        <f t="shared" si="15"/>
        <v>0</v>
      </c>
      <c r="H134" s="15">
        <f t="shared" si="16"/>
        <v>0</v>
      </c>
      <c r="I134" s="52"/>
      <c r="J134" s="54"/>
      <c r="K134" s="13"/>
    </row>
    <row r="135" ht="18.75" spans="1:11">
      <c r="A135" s="12" t="str">
        <f ca="1" t="shared" si="13"/>
        <v/>
      </c>
      <c r="B135" s="6"/>
      <c r="C135" s="13"/>
      <c r="D135" s="13"/>
      <c r="E135" s="13"/>
      <c r="F135" s="14">
        <f t="shared" si="14"/>
        <v>0</v>
      </c>
      <c r="G135" s="15">
        <f t="shared" si="15"/>
        <v>0</v>
      </c>
      <c r="H135" s="15">
        <f t="shared" si="16"/>
        <v>0</v>
      </c>
      <c r="I135" s="52"/>
      <c r="J135" s="54"/>
      <c r="K135" s="13"/>
    </row>
    <row r="136" ht="18.75" spans="1:11">
      <c r="A136" s="12" t="str">
        <f ca="1" t="shared" si="13"/>
        <v/>
      </c>
      <c r="B136" s="6"/>
      <c r="C136" s="13"/>
      <c r="D136" s="13"/>
      <c r="E136" s="13"/>
      <c r="F136" s="14">
        <f t="shared" si="14"/>
        <v>0</v>
      </c>
      <c r="G136" s="15">
        <f t="shared" si="15"/>
        <v>0</v>
      </c>
      <c r="H136" s="15">
        <f t="shared" si="16"/>
        <v>0</v>
      </c>
      <c r="I136" s="52"/>
      <c r="J136" s="54"/>
      <c r="K136" s="13"/>
    </row>
    <row r="137" ht="18.75" spans="1:11">
      <c r="A137" s="12" t="str">
        <f ca="1" t="shared" si="13"/>
        <v/>
      </c>
      <c r="B137" s="6"/>
      <c r="C137" s="13"/>
      <c r="D137" s="13"/>
      <c r="E137" s="13"/>
      <c r="F137" s="14">
        <f t="shared" si="14"/>
        <v>0</v>
      </c>
      <c r="G137" s="15">
        <f t="shared" si="15"/>
        <v>0</v>
      </c>
      <c r="H137" s="15">
        <f t="shared" si="16"/>
        <v>0</v>
      </c>
      <c r="I137" s="52"/>
      <c r="J137" s="54"/>
      <c r="K137" s="13"/>
    </row>
    <row r="138" ht="18.75" spans="1:11">
      <c r="A138" s="12" t="str">
        <f ca="1" t="shared" si="13"/>
        <v/>
      </c>
      <c r="B138" s="6"/>
      <c r="C138" s="13"/>
      <c r="D138" s="13"/>
      <c r="E138" s="13"/>
      <c r="F138" s="14">
        <f t="shared" si="14"/>
        <v>0</v>
      </c>
      <c r="G138" s="15">
        <f t="shared" si="15"/>
        <v>0</v>
      </c>
      <c r="H138" s="15">
        <f t="shared" si="16"/>
        <v>0</v>
      </c>
      <c r="I138" s="52"/>
      <c r="J138" s="54"/>
      <c r="K138" s="13"/>
    </row>
    <row r="139" ht="18.75" spans="1:11">
      <c r="A139" s="12" t="str">
        <f ca="1" t="shared" si="13"/>
        <v/>
      </c>
      <c r="B139" s="6"/>
      <c r="C139" s="13"/>
      <c r="D139" s="13"/>
      <c r="E139" s="13"/>
      <c r="F139" s="14">
        <f t="shared" si="14"/>
        <v>0</v>
      </c>
      <c r="G139" s="15">
        <f t="shared" si="15"/>
        <v>0</v>
      </c>
      <c r="H139" s="15">
        <f t="shared" si="16"/>
        <v>0</v>
      </c>
      <c r="I139" s="52"/>
      <c r="J139" s="54"/>
      <c r="K139" s="13"/>
    </row>
    <row r="140" ht="18.75" spans="1:11">
      <c r="A140" s="12" t="str">
        <f ca="1" t="shared" si="13"/>
        <v/>
      </c>
      <c r="B140" s="6"/>
      <c r="C140" s="13"/>
      <c r="D140" s="13"/>
      <c r="E140" s="13"/>
      <c r="F140" s="14">
        <f t="shared" si="14"/>
        <v>0</v>
      </c>
      <c r="G140" s="15">
        <f t="shared" si="15"/>
        <v>0</v>
      </c>
      <c r="H140" s="15">
        <f t="shared" si="16"/>
        <v>0</v>
      </c>
      <c r="I140" s="52"/>
      <c r="J140" s="54"/>
      <c r="K140" s="13"/>
    </row>
    <row r="141" ht="18.75" spans="1:11">
      <c r="A141" s="12" t="str">
        <f ca="1" t="shared" si="13"/>
        <v/>
      </c>
      <c r="B141" s="6"/>
      <c r="C141" s="13"/>
      <c r="D141" s="13"/>
      <c r="E141" s="13"/>
      <c r="F141" s="14">
        <f t="shared" si="14"/>
        <v>0</v>
      </c>
      <c r="G141" s="15">
        <f t="shared" si="15"/>
        <v>0</v>
      </c>
      <c r="H141" s="15">
        <f t="shared" si="16"/>
        <v>0</v>
      </c>
      <c r="I141" s="52"/>
      <c r="J141" s="54"/>
      <c r="K141" s="13"/>
    </row>
    <row r="142" ht="18.75" spans="1:11">
      <c r="A142" s="12" t="str">
        <f ca="1" t="shared" si="13"/>
        <v/>
      </c>
      <c r="B142" s="6"/>
      <c r="C142" s="13"/>
      <c r="D142" s="13"/>
      <c r="E142" s="13"/>
      <c r="F142" s="14">
        <f t="shared" si="14"/>
        <v>0</v>
      </c>
      <c r="G142" s="15">
        <f t="shared" si="15"/>
        <v>0</v>
      </c>
      <c r="H142" s="15">
        <f t="shared" si="16"/>
        <v>0</v>
      </c>
      <c r="I142" s="52"/>
      <c r="J142" s="54"/>
      <c r="K142" s="13"/>
    </row>
    <row r="143" ht="18.75" spans="1:11">
      <c r="A143" s="12" t="str">
        <f ca="1" t="shared" si="13"/>
        <v/>
      </c>
      <c r="B143" s="6"/>
      <c r="C143" s="13"/>
      <c r="D143" s="13"/>
      <c r="E143" s="13"/>
      <c r="F143" s="14">
        <f t="shared" si="14"/>
        <v>0</v>
      </c>
      <c r="G143" s="15">
        <f t="shared" si="15"/>
        <v>0</v>
      </c>
      <c r="H143" s="15">
        <f t="shared" si="16"/>
        <v>0</v>
      </c>
      <c r="I143" s="52"/>
      <c r="J143" s="54"/>
      <c r="K143" s="13"/>
    </row>
    <row r="144" ht="18.75" spans="1:11">
      <c r="A144" s="12" t="str">
        <f ca="1" t="shared" si="13"/>
        <v/>
      </c>
      <c r="B144" s="6"/>
      <c r="C144" s="13"/>
      <c r="D144" s="13"/>
      <c r="E144" s="13"/>
      <c r="F144" s="14">
        <f t="shared" si="14"/>
        <v>0</v>
      </c>
      <c r="G144" s="15">
        <f t="shared" si="15"/>
        <v>0</v>
      </c>
      <c r="H144" s="15">
        <f t="shared" si="16"/>
        <v>0</v>
      </c>
      <c r="I144" s="52"/>
      <c r="J144" s="54"/>
      <c r="K144" s="13"/>
    </row>
    <row r="145" ht="18.75" spans="1:11">
      <c r="A145" s="12" t="str">
        <f ca="1" t="shared" si="13"/>
        <v/>
      </c>
      <c r="B145" s="6"/>
      <c r="C145" s="13"/>
      <c r="D145" s="13"/>
      <c r="E145" s="13"/>
      <c r="F145" s="14">
        <f t="shared" si="14"/>
        <v>0</v>
      </c>
      <c r="G145" s="15">
        <f t="shared" si="15"/>
        <v>0</v>
      </c>
      <c r="H145" s="15">
        <f t="shared" si="16"/>
        <v>0</v>
      </c>
      <c r="I145" s="52"/>
      <c r="J145" s="54"/>
      <c r="K145" s="13"/>
    </row>
    <row r="146" ht="18.75" spans="1:11">
      <c r="A146" s="12" t="str">
        <f ca="1" t="shared" si="13"/>
        <v/>
      </c>
      <c r="B146" s="6"/>
      <c r="C146" s="13"/>
      <c r="D146" s="13"/>
      <c r="E146" s="13"/>
      <c r="F146" s="14">
        <f t="shared" si="14"/>
        <v>0</v>
      </c>
      <c r="G146" s="15">
        <f t="shared" si="15"/>
        <v>0</v>
      </c>
      <c r="H146" s="15">
        <f t="shared" si="16"/>
        <v>0</v>
      </c>
      <c r="I146" s="52"/>
      <c r="J146" s="54"/>
      <c r="K146" s="13"/>
    </row>
    <row r="147" ht="18.75" spans="1:11">
      <c r="A147" s="12" t="str">
        <f ca="1" t="shared" si="13"/>
        <v/>
      </c>
      <c r="B147" s="6"/>
      <c r="C147" s="13"/>
      <c r="D147" s="13"/>
      <c r="E147" s="13"/>
      <c r="F147" s="14">
        <f t="shared" si="14"/>
        <v>0</v>
      </c>
      <c r="G147" s="15">
        <f t="shared" si="15"/>
        <v>0</v>
      </c>
      <c r="H147" s="15">
        <f t="shared" si="16"/>
        <v>0</v>
      </c>
      <c r="I147" s="52"/>
      <c r="J147" s="54"/>
      <c r="K147" s="13"/>
    </row>
    <row r="148" ht="18.75" spans="1:11">
      <c r="A148" s="12" t="str">
        <f ca="1" t="shared" si="13"/>
        <v/>
      </c>
      <c r="B148" s="6"/>
      <c r="C148" s="13"/>
      <c r="D148" s="13"/>
      <c r="E148" s="13"/>
      <c r="F148" s="14">
        <f t="shared" si="14"/>
        <v>0</v>
      </c>
      <c r="G148" s="15">
        <f t="shared" si="15"/>
        <v>0</v>
      </c>
      <c r="H148" s="15">
        <f t="shared" si="16"/>
        <v>0</v>
      </c>
      <c r="I148" s="52"/>
      <c r="J148" s="54"/>
      <c r="K148" s="13"/>
    </row>
    <row r="149" ht="18.75" spans="1:11">
      <c r="A149" s="12" t="str">
        <f ca="1" t="shared" si="13"/>
        <v/>
      </c>
      <c r="B149" s="6"/>
      <c r="C149" s="13"/>
      <c r="D149" s="13"/>
      <c r="E149" s="13"/>
      <c r="F149" s="14">
        <f t="shared" si="14"/>
        <v>0</v>
      </c>
      <c r="G149" s="15">
        <f t="shared" si="15"/>
        <v>0</v>
      </c>
      <c r="H149" s="15">
        <f t="shared" si="16"/>
        <v>0</v>
      </c>
      <c r="I149" s="52"/>
      <c r="J149" s="54"/>
      <c r="K149" s="13"/>
    </row>
    <row r="150" ht="18.75" spans="1:11">
      <c r="A150" s="12" t="str">
        <f ca="1" t="shared" si="13"/>
        <v/>
      </c>
      <c r="B150" s="6"/>
      <c r="C150" s="13"/>
      <c r="D150" s="13"/>
      <c r="E150" s="13"/>
      <c r="F150" s="14">
        <f t="shared" si="14"/>
        <v>0</v>
      </c>
      <c r="G150" s="15">
        <f t="shared" si="15"/>
        <v>0</v>
      </c>
      <c r="H150" s="15">
        <f t="shared" si="16"/>
        <v>0</v>
      </c>
      <c r="I150" s="52"/>
      <c r="J150" s="54"/>
      <c r="K150" s="13"/>
    </row>
    <row r="151" ht="18.75" spans="1:11">
      <c r="A151" s="12" t="str">
        <f ca="1" t="shared" si="13"/>
        <v/>
      </c>
      <c r="B151" s="6"/>
      <c r="C151" s="13"/>
      <c r="D151" s="13"/>
      <c r="E151" s="13"/>
      <c r="F151" s="14">
        <f t="shared" si="14"/>
        <v>0</v>
      </c>
      <c r="G151" s="15">
        <f t="shared" si="15"/>
        <v>0</v>
      </c>
      <c r="H151" s="15">
        <f t="shared" si="16"/>
        <v>0</v>
      </c>
      <c r="I151" s="52"/>
      <c r="J151" s="54"/>
      <c r="K151" s="13"/>
    </row>
    <row r="152" ht="18.75" spans="1:11">
      <c r="A152" s="12" t="str">
        <f ca="1" t="shared" si="13"/>
        <v/>
      </c>
      <c r="B152" s="6"/>
      <c r="C152" s="13"/>
      <c r="D152" s="13"/>
      <c r="E152" s="13"/>
      <c r="F152" s="14">
        <f t="shared" si="14"/>
        <v>0</v>
      </c>
      <c r="G152" s="15">
        <f t="shared" si="15"/>
        <v>0</v>
      </c>
      <c r="H152" s="15">
        <f t="shared" si="16"/>
        <v>0</v>
      </c>
      <c r="I152" s="52"/>
      <c r="J152" s="54"/>
      <c r="K152" s="13"/>
    </row>
    <row r="153" ht="18.75" spans="1:11">
      <c r="A153" s="12" t="str">
        <f ca="1" t="shared" si="13"/>
        <v/>
      </c>
      <c r="B153" s="6"/>
      <c r="C153" s="13"/>
      <c r="D153" s="13"/>
      <c r="E153" s="13"/>
      <c r="F153" s="14">
        <f t="shared" si="14"/>
        <v>0</v>
      </c>
      <c r="G153" s="15">
        <f t="shared" si="15"/>
        <v>0</v>
      </c>
      <c r="H153" s="15">
        <f t="shared" si="16"/>
        <v>0</v>
      </c>
      <c r="I153" s="52"/>
      <c r="J153" s="54"/>
      <c r="K153" s="13"/>
    </row>
    <row r="154" ht="18.75" spans="1:11">
      <c r="A154" s="12" t="str">
        <f ca="1" t="shared" si="13"/>
        <v/>
      </c>
      <c r="B154" s="6"/>
      <c r="C154" s="13"/>
      <c r="D154" s="13"/>
      <c r="E154" s="13"/>
      <c r="F154" s="14">
        <f t="shared" si="14"/>
        <v>0</v>
      </c>
      <c r="G154" s="15">
        <f t="shared" si="15"/>
        <v>0</v>
      </c>
      <c r="H154" s="15">
        <f t="shared" si="16"/>
        <v>0</v>
      </c>
      <c r="I154" s="52"/>
      <c r="J154" s="54"/>
      <c r="K154" s="13"/>
    </row>
    <row r="155" ht="18.75" spans="1:11">
      <c r="A155" s="12" t="str">
        <f ca="1" t="shared" si="13"/>
        <v/>
      </c>
      <c r="B155" s="6"/>
      <c r="C155" s="13"/>
      <c r="D155" s="13"/>
      <c r="E155" s="13"/>
      <c r="F155" s="14">
        <f t="shared" si="14"/>
        <v>0</v>
      </c>
      <c r="G155" s="15">
        <f t="shared" si="15"/>
        <v>0</v>
      </c>
      <c r="H155" s="15">
        <f t="shared" si="16"/>
        <v>0</v>
      </c>
      <c r="I155" s="52"/>
      <c r="J155" s="54"/>
      <c r="K155" s="13"/>
    </row>
    <row r="156" ht="18.75" spans="1:11">
      <c r="A156" s="12" t="str">
        <f ca="1" t="shared" si="13"/>
        <v/>
      </c>
      <c r="B156" s="6"/>
      <c r="C156" s="13"/>
      <c r="D156" s="13"/>
      <c r="E156" s="13"/>
      <c r="F156" s="14">
        <f t="shared" si="14"/>
        <v>0</v>
      </c>
      <c r="G156" s="15">
        <f t="shared" si="15"/>
        <v>0</v>
      </c>
      <c r="H156" s="15">
        <f t="shared" si="16"/>
        <v>0</v>
      </c>
      <c r="I156" s="52"/>
      <c r="J156" s="54"/>
      <c r="K156" s="13"/>
    </row>
    <row r="157" ht="18.75" spans="1:11">
      <c r="A157" s="12" t="str">
        <f ca="1" t="shared" si="13"/>
        <v/>
      </c>
      <c r="B157" s="6"/>
      <c r="C157" s="13"/>
      <c r="D157" s="13"/>
      <c r="E157" s="13"/>
      <c r="F157" s="14">
        <f t="shared" si="14"/>
        <v>0</v>
      </c>
      <c r="G157" s="15">
        <f t="shared" si="15"/>
        <v>0</v>
      </c>
      <c r="H157" s="15">
        <f t="shared" si="16"/>
        <v>0</v>
      </c>
      <c r="I157" s="52"/>
      <c r="J157" s="54"/>
      <c r="K157" s="13"/>
    </row>
    <row r="158" ht="18.75" spans="1:11">
      <c r="A158" s="12" t="str">
        <f ca="1" t="shared" si="13"/>
        <v/>
      </c>
      <c r="B158" s="6"/>
      <c r="C158" s="13"/>
      <c r="D158" s="13"/>
      <c r="E158" s="13"/>
      <c r="F158" s="14">
        <f t="shared" si="14"/>
        <v>0</v>
      </c>
      <c r="G158" s="15">
        <f t="shared" si="15"/>
        <v>0</v>
      </c>
      <c r="H158" s="15">
        <f t="shared" si="16"/>
        <v>0</v>
      </c>
      <c r="I158" s="52"/>
      <c r="J158" s="54"/>
      <c r="K158" s="13"/>
    </row>
    <row r="159" ht="18.75" spans="1:11">
      <c r="A159" s="12" t="str">
        <f ca="1" t="shared" si="13"/>
        <v/>
      </c>
      <c r="B159" s="6"/>
      <c r="C159" s="13"/>
      <c r="D159" s="13"/>
      <c r="E159" s="13"/>
      <c r="F159" s="14">
        <f t="shared" si="14"/>
        <v>0</v>
      </c>
      <c r="G159" s="15">
        <f t="shared" si="15"/>
        <v>0</v>
      </c>
      <c r="H159" s="15">
        <f t="shared" si="16"/>
        <v>0</v>
      </c>
      <c r="I159" s="52"/>
      <c r="J159" s="54"/>
      <c r="K159" s="13"/>
    </row>
    <row r="160" ht="18.75" spans="1:11">
      <c r="A160" s="12" t="str">
        <f ca="1" t="shared" si="13"/>
        <v/>
      </c>
      <c r="B160" s="6"/>
      <c r="C160" s="13"/>
      <c r="D160" s="13"/>
      <c r="E160" s="13"/>
      <c r="F160" s="14">
        <f t="shared" si="14"/>
        <v>0</v>
      </c>
      <c r="G160" s="15">
        <f t="shared" si="15"/>
        <v>0</v>
      </c>
      <c r="H160" s="15">
        <f t="shared" si="16"/>
        <v>0</v>
      </c>
      <c r="I160" s="52"/>
      <c r="J160" s="54"/>
      <c r="K160" s="13"/>
    </row>
    <row r="161" ht="18.75" spans="1:11">
      <c r="A161" s="12" t="str">
        <f ca="1" t="shared" si="13"/>
        <v/>
      </c>
      <c r="B161" s="6"/>
      <c r="C161" s="13"/>
      <c r="D161" s="13"/>
      <c r="E161" s="13"/>
      <c r="F161" s="14">
        <f t="shared" si="14"/>
        <v>0</v>
      </c>
      <c r="G161" s="13"/>
      <c r="H161" s="52"/>
      <c r="I161" s="52"/>
      <c r="J161" s="54"/>
      <c r="K161" s="13"/>
    </row>
    <row r="162" ht="18.75" spans="1:11">
      <c r="A162" s="12" t="str">
        <f ca="1" t="shared" si="13"/>
        <v/>
      </c>
      <c r="B162" s="6"/>
      <c r="C162" s="13"/>
      <c r="D162" s="13"/>
      <c r="E162" s="13"/>
      <c r="F162" s="14">
        <f t="shared" si="14"/>
        <v>0</v>
      </c>
      <c r="G162" s="13"/>
      <c r="H162" s="52"/>
      <c r="I162" s="52"/>
      <c r="J162" s="54"/>
      <c r="K162" s="13"/>
    </row>
    <row r="163" ht="18.75" spans="1:11">
      <c r="A163" s="12" t="str">
        <f ca="1" t="shared" si="13"/>
        <v/>
      </c>
      <c r="B163" s="6"/>
      <c r="C163" s="13"/>
      <c r="D163" s="13"/>
      <c r="E163" s="13"/>
      <c r="F163" s="14">
        <f t="shared" si="14"/>
        <v>0</v>
      </c>
      <c r="G163" s="13"/>
      <c r="H163" s="52"/>
      <c r="I163" s="52"/>
      <c r="J163" s="54"/>
      <c r="K163" s="13"/>
    </row>
    <row r="164" ht="18.75" spans="1:11">
      <c r="A164" s="12" t="str">
        <f ca="1" t="shared" si="13"/>
        <v/>
      </c>
      <c r="B164" s="6"/>
      <c r="C164" s="13"/>
      <c r="D164" s="13"/>
      <c r="E164" s="13"/>
      <c r="F164" s="14">
        <f t="shared" si="14"/>
        <v>0</v>
      </c>
      <c r="G164" s="13"/>
      <c r="H164" s="52"/>
      <c r="I164" s="52"/>
      <c r="J164" s="54"/>
      <c r="K164" s="13"/>
    </row>
    <row r="165" ht="18.75" spans="1:11">
      <c r="A165" s="12" t="str">
        <f ca="1" t="shared" si="13"/>
        <v/>
      </c>
      <c r="B165" s="6"/>
      <c r="C165" s="13"/>
      <c r="D165" s="13"/>
      <c r="E165" s="13"/>
      <c r="F165" s="14">
        <f t="shared" si="14"/>
        <v>0</v>
      </c>
      <c r="G165" s="13"/>
      <c r="H165" s="52"/>
      <c r="I165" s="52"/>
      <c r="J165" s="54"/>
      <c r="K165" s="13"/>
    </row>
    <row r="166" ht="18.75" spans="1:11">
      <c r="A166" s="12" t="str">
        <f ca="1" t="shared" si="13"/>
        <v/>
      </c>
      <c r="B166" s="6"/>
      <c r="C166" s="13"/>
      <c r="D166" s="13"/>
      <c r="E166" s="13"/>
      <c r="F166" s="14">
        <f t="shared" si="14"/>
        <v>0</v>
      </c>
      <c r="G166" s="13"/>
      <c r="H166" s="52"/>
      <c r="I166" s="52"/>
      <c r="J166" s="54"/>
      <c r="K166" s="13"/>
    </row>
    <row r="167" ht="18.75" spans="1:11">
      <c r="A167" s="12" t="str">
        <f ca="1" t="shared" si="13"/>
        <v/>
      </c>
      <c r="B167" s="6"/>
      <c r="C167" s="13"/>
      <c r="D167" s="13"/>
      <c r="E167" s="13"/>
      <c r="F167" s="14">
        <f t="shared" si="14"/>
        <v>0</v>
      </c>
      <c r="G167" s="13"/>
      <c r="H167" s="52"/>
      <c r="I167" s="52"/>
      <c r="J167" s="54"/>
      <c r="K167" s="13"/>
    </row>
    <row r="168" ht="18.75" spans="1:11">
      <c r="A168" s="12" t="str">
        <f ca="1" t="shared" si="13"/>
        <v/>
      </c>
      <c r="B168" s="6"/>
      <c r="C168" s="13"/>
      <c r="D168" s="13"/>
      <c r="E168" s="13"/>
      <c r="F168" s="14">
        <f t="shared" si="14"/>
        <v>0</v>
      </c>
      <c r="G168" s="13"/>
      <c r="H168" s="52"/>
      <c r="I168" s="52"/>
      <c r="J168" s="54"/>
      <c r="K168" s="13"/>
    </row>
    <row r="169" ht="18.75" spans="1:11">
      <c r="A169" s="12" t="str">
        <f ca="1" t="shared" si="13"/>
        <v/>
      </c>
      <c r="B169" s="6"/>
      <c r="C169" s="13"/>
      <c r="D169" s="13"/>
      <c r="E169" s="13"/>
      <c r="F169" s="14">
        <f t="shared" si="14"/>
        <v>0</v>
      </c>
      <c r="G169" s="13"/>
      <c r="H169" s="52"/>
      <c r="I169" s="52"/>
      <c r="J169" s="54"/>
      <c r="K169" s="13"/>
    </row>
    <row r="170" ht="18.75" spans="1:11">
      <c r="A170" s="12" t="str">
        <f ca="1" t="shared" si="13"/>
        <v/>
      </c>
      <c r="B170" s="6"/>
      <c r="C170" s="13"/>
      <c r="D170" s="13"/>
      <c r="E170" s="13"/>
      <c r="F170" s="14">
        <f t="shared" si="14"/>
        <v>0</v>
      </c>
      <c r="G170" s="13"/>
      <c r="H170" s="52"/>
      <c r="I170" s="52"/>
      <c r="J170" s="54"/>
      <c r="K170" s="13"/>
    </row>
    <row r="171" ht="18.75" spans="1:11">
      <c r="A171" s="12" t="str">
        <f ca="1" t="shared" si="13"/>
        <v/>
      </c>
      <c r="B171" s="6"/>
      <c r="C171" s="13"/>
      <c r="D171" s="13"/>
      <c r="E171" s="13"/>
      <c r="F171" s="14">
        <f t="shared" si="14"/>
        <v>0</v>
      </c>
      <c r="G171" s="13"/>
      <c r="H171" s="52"/>
      <c r="I171" s="52"/>
      <c r="J171" s="54"/>
      <c r="K171" s="13"/>
    </row>
    <row r="172" ht="18.75" spans="1:11">
      <c r="A172" s="12" t="str">
        <f ca="1" t="shared" si="13"/>
        <v/>
      </c>
      <c r="B172" s="6"/>
      <c r="C172" s="13"/>
      <c r="D172" s="13"/>
      <c r="E172" s="13"/>
      <c r="F172" s="14">
        <f t="shared" si="14"/>
        <v>0</v>
      </c>
      <c r="G172" s="13"/>
      <c r="H172" s="52"/>
      <c r="I172" s="52"/>
      <c r="J172" s="54"/>
      <c r="K172" s="13"/>
    </row>
    <row r="173" ht="18.75" spans="1:11">
      <c r="A173" s="12" t="str">
        <f ca="1" t="shared" si="13"/>
        <v/>
      </c>
      <c r="B173" s="6"/>
      <c r="C173" s="13"/>
      <c r="D173" s="13"/>
      <c r="E173" s="13"/>
      <c r="F173" s="14">
        <f t="shared" si="14"/>
        <v>0</v>
      </c>
      <c r="G173" s="13"/>
      <c r="H173" s="52"/>
      <c r="I173" s="52"/>
      <c r="J173" s="54"/>
      <c r="K173" s="13"/>
    </row>
    <row r="174" ht="18.75" spans="1:11">
      <c r="A174" s="12" t="str">
        <f ca="1" t="shared" si="13"/>
        <v/>
      </c>
      <c r="B174" s="6"/>
      <c r="C174" s="13"/>
      <c r="D174" s="13"/>
      <c r="E174" s="13"/>
      <c r="F174" s="14">
        <f t="shared" si="14"/>
        <v>0</v>
      </c>
      <c r="G174" s="13"/>
      <c r="H174" s="52"/>
      <c r="I174" s="52"/>
      <c r="J174" s="54"/>
      <c r="K174" s="13"/>
    </row>
    <row r="175" ht="18.75" spans="1:11">
      <c r="A175" s="12" t="str">
        <f ca="1" t="shared" si="13"/>
        <v/>
      </c>
      <c r="B175" s="6"/>
      <c r="C175" s="13"/>
      <c r="D175" s="13"/>
      <c r="E175" s="13"/>
      <c r="F175" s="14">
        <f t="shared" si="14"/>
        <v>0</v>
      </c>
      <c r="G175" s="13"/>
      <c r="H175" s="52"/>
      <c r="I175" s="52"/>
      <c r="J175" s="54"/>
      <c r="K175" s="13"/>
    </row>
    <row r="176" ht="18.75" spans="1:11">
      <c r="A176" s="12" t="str">
        <f ca="1" t="shared" si="13"/>
        <v/>
      </c>
      <c r="B176" s="6"/>
      <c r="C176" s="13"/>
      <c r="D176" s="13"/>
      <c r="E176" s="13"/>
      <c r="F176" s="14">
        <f t="shared" si="14"/>
        <v>0</v>
      </c>
      <c r="G176" s="13"/>
      <c r="H176" s="52"/>
      <c r="I176" s="52"/>
      <c r="J176" s="54"/>
      <c r="K176" s="13"/>
    </row>
    <row r="177" ht="18.75" spans="1:11">
      <c r="A177" s="12" t="str">
        <f ca="1" t="shared" si="13"/>
        <v/>
      </c>
      <c r="B177" s="6"/>
      <c r="C177" s="13"/>
      <c r="D177" s="13"/>
      <c r="E177" s="13"/>
      <c r="F177" s="14">
        <f t="shared" si="14"/>
        <v>0</v>
      </c>
      <c r="G177" s="13"/>
      <c r="H177" s="52"/>
      <c r="I177" s="52"/>
      <c r="J177" s="54"/>
      <c r="K177" s="13"/>
    </row>
    <row r="178" ht="18.75" spans="1:11">
      <c r="A178" s="12" t="str">
        <f ca="1" t="shared" si="13"/>
        <v/>
      </c>
      <c r="B178" s="6"/>
      <c r="C178" s="13"/>
      <c r="D178" s="13"/>
      <c r="E178" s="13"/>
      <c r="F178" s="14">
        <f t="shared" si="14"/>
        <v>0</v>
      </c>
      <c r="G178" s="13"/>
      <c r="H178" s="52"/>
      <c r="I178" s="52"/>
      <c r="J178" s="54"/>
      <c r="K178" s="13"/>
    </row>
    <row r="179" ht="18.75" spans="1:11">
      <c r="A179" s="12" t="str">
        <f ca="1" t="shared" si="13"/>
        <v/>
      </c>
      <c r="B179" s="6"/>
      <c r="C179" s="13"/>
      <c r="D179" s="13"/>
      <c r="E179" s="13"/>
      <c r="F179" s="14">
        <f t="shared" si="14"/>
        <v>0</v>
      </c>
      <c r="G179" s="13"/>
      <c r="H179" s="52"/>
      <c r="I179" s="52"/>
      <c r="J179" s="54"/>
      <c r="K179" s="13"/>
    </row>
    <row r="180" ht="18.75" spans="1:11">
      <c r="A180" s="12" t="str">
        <f ca="1" t="shared" si="13"/>
        <v/>
      </c>
      <c r="B180" s="6"/>
      <c r="C180" s="13"/>
      <c r="D180" s="13"/>
      <c r="E180" s="13"/>
      <c r="F180" s="14">
        <f t="shared" si="14"/>
        <v>0</v>
      </c>
      <c r="G180" s="13"/>
      <c r="H180" s="52"/>
      <c r="I180" s="52"/>
      <c r="J180" s="54"/>
      <c r="K180" s="13"/>
    </row>
    <row r="181" ht="18.75" spans="1:11">
      <c r="A181" s="12" t="str">
        <f ca="1" t="shared" si="13"/>
        <v/>
      </c>
      <c r="B181" s="6"/>
      <c r="C181" s="13"/>
      <c r="D181" s="13"/>
      <c r="E181" s="13"/>
      <c r="F181" s="14">
        <f t="shared" si="14"/>
        <v>0</v>
      </c>
      <c r="G181" s="13"/>
      <c r="H181" s="52"/>
      <c r="I181" s="52"/>
      <c r="J181" s="54"/>
      <c r="K181" s="13"/>
    </row>
    <row r="182" ht="18.75" spans="1:11">
      <c r="A182" s="12" t="str">
        <f ca="1" t="shared" si="13"/>
        <v/>
      </c>
      <c r="B182" s="6"/>
      <c r="C182" s="13"/>
      <c r="D182" s="13"/>
      <c r="E182" s="13"/>
      <c r="F182" s="14">
        <f t="shared" si="14"/>
        <v>0</v>
      </c>
      <c r="G182" s="13"/>
      <c r="H182" s="52"/>
      <c r="I182" s="52"/>
      <c r="J182" s="54"/>
      <c r="K182" s="13"/>
    </row>
    <row r="183" ht="18.75" spans="1:11">
      <c r="A183" s="12" t="str">
        <f ca="1" t="shared" si="13"/>
        <v/>
      </c>
      <c r="B183" s="6"/>
      <c r="C183" s="13"/>
      <c r="D183" s="13"/>
      <c r="E183" s="13"/>
      <c r="F183" s="14">
        <f t="shared" si="14"/>
        <v>0</v>
      </c>
      <c r="G183" s="13"/>
      <c r="H183" s="52"/>
      <c r="I183" s="52"/>
      <c r="J183" s="54"/>
      <c r="K183" s="13"/>
    </row>
    <row r="184" ht="18.75" spans="1:11">
      <c r="A184" s="12" t="str">
        <f ca="1" t="shared" si="13"/>
        <v/>
      </c>
      <c r="B184" s="6"/>
      <c r="C184" s="13"/>
      <c r="D184" s="13"/>
      <c r="E184" s="13"/>
      <c r="F184" s="14">
        <f t="shared" si="14"/>
        <v>0</v>
      </c>
      <c r="G184" s="13"/>
      <c r="H184" s="52"/>
      <c r="I184" s="52"/>
      <c r="J184" s="54"/>
      <c r="K184" s="13"/>
    </row>
    <row r="185" ht="18.75" spans="1:11">
      <c r="A185" s="12" t="str">
        <f ca="1" t="shared" si="13"/>
        <v/>
      </c>
      <c r="B185" s="6"/>
      <c r="C185" s="13"/>
      <c r="D185" s="13"/>
      <c r="E185" s="13"/>
      <c r="F185" s="14">
        <f t="shared" si="14"/>
        <v>0</v>
      </c>
      <c r="G185" s="13"/>
      <c r="H185" s="52"/>
      <c r="I185" s="52"/>
      <c r="J185" s="54"/>
      <c r="K185" s="13"/>
    </row>
    <row r="186" ht="18.75" spans="1:11">
      <c r="A186" s="12" t="str">
        <f ca="1" t="shared" si="13"/>
        <v/>
      </c>
      <c r="B186" s="6"/>
      <c r="C186" s="13"/>
      <c r="D186" s="13"/>
      <c r="E186" s="13"/>
      <c r="F186" s="14">
        <f t="shared" si="14"/>
        <v>0</v>
      </c>
      <c r="G186" s="13"/>
      <c r="H186" s="52"/>
      <c r="I186" s="52"/>
      <c r="J186" s="54"/>
      <c r="K186" s="13"/>
    </row>
    <row r="187" ht="18.75" spans="1:11">
      <c r="A187" s="12" t="str">
        <f ca="1" t="shared" si="13"/>
        <v/>
      </c>
      <c r="B187" s="6"/>
      <c r="C187" s="13"/>
      <c r="D187" s="13"/>
      <c r="E187" s="13"/>
      <c r="F187" s="14">
        <f t="shared" si="14"/>
        <v>0</v>
      </c>
      <c r="G187" s="13"/>
      <c r="H187" s="52"/>
      <c r="I187" s="52"/>
      <c r="J187" s="54"/>
      <c r="K187" s="13"/>
    </row>
    <row r="188" ht="18.75" spans="1:11">
      <c r="A188" s="12" t="str">
        <f ca="1" t="shared" si="13"/>
        <v/>
      </c>
      <c r="B188" s="6"/>
      <c r="C188" s="13"/>
      <c r="D188" s="13"/>
      <c r="E188" s="13"/>
      <c r="F188" s="14">
        <f t="shared" si="14"/>
        <v>0</v>
      </c>
      <c r="G188" s="13"/>
      <c r="H188" s="52"/>
      <c r="I188" s="52"/>
      <c r="J188" s="54"/>
      <c r="K188" s="13"/>
    </row>
    <row r="189" ht="18.75" spans="1:11">
      <c r="A189" s="12" t="str">
        <f ca="1" t="shared" si="13"/>
        <v/>
      </c>
      <c r="B189" s="6"/>
      <c r="C189" s="13"/>
      <c r="D189" s="13"/>
      <c r="E189" s="13"/>
      <c r="F189" s="14">
        <f t="shared" si="14"/>
        <v>0</v>
      </c>
      <c r="G189" s="13"/>
      <c r="H189" s="52"/>
      <c r="I189" s="52"/>
      <c r="J189" s="54"/>
      <c r="K189" s="13"/>
    </row>
    <row r="190" ht="18.75" spans="1:11">
      <c r="A190" s="12" t="str">
        <f ca="1" t="shared" si="13"/>
        <v/>
      </c>
      <c r="B190" s="6"/>
      <c r="C190" s="13"/>
      <c r="D190" s="13"/>
      <c r="E190" s="13"/>
      <c r="F190" s="14">
        <f t="shared" si="14"/>
        <v>0</v>
      </c>
      <c r="G190" s="13"/>
      <c r="H190" s="52"/>
      <c r="I190" s="52"/>
      <c r="J190" s="54"/>
      <c r="K190" s="13"/>
    </row>
    <row r="191" ht="18.75" spans="1:11">
      <c r="A191" s="12" t="str">
        <f ca="1" t="shared" si="13"/>
        <v/>
      </c>
      <c r="B191" s="6"/>
      <c r="C191" s="13"/>
      <c r="D191" s="13"/>
      <c r="E191" s="13"/>
      <c r="F191" s="14">
        <f t="shared" si="14"/>
        <v>0</v>
      </c>
      <c r="G191" s="13"/>
      <c r="H191" s="52"/>
      <c r="I191" s="52"/>
      <c r="J191" s="54"/>
      <c r="K191" s="13"/>
    </row>
    <row r="192" ht="18.75" spans="1:11">
      <c r="A192" s="12" t="str">
        <f ca="1" t="shared" si="13"/>
        <v/>
      </c>
      <c r="B192" s="6"/>
      <c r="C192" s="13"/>
      <c r="D192" s="13"/>
      <c r="E192" s="13"/>
      <c r="F192" s="14">
        <f t="shared" si="14"/>
        <v>0</v>
      </c>
      <c r="G192" s="13"/>
      <c r="H192" s="52"/>
      <c r="I192" s="52"/>
      <c r="J192" s="54"/>
      <c r="K192" s="13"/>
    </row>
    <row r="193" ht="18.75" spans="1:11">
      <c r="A193" s="12" t="str">
        <f ca="1" t="shared" si="13"/>
        <v/>
      </c>
      <c r="B193" s="6"/>
      <c r="C193" s="13"/>
      <c r="D193" s="13"/>
      <c r="E193" s="13"/>
      <c r="F193" s="14">
        <f t="shared" si="14"/>
        <v>0</v>
      </c>
      <c r="G193" s="13"/>
      <c r="H193" s="52"/>
      <c r="I193" s="52"/>
      <c r="J193" s="54"/>
      <c r="K193" s="13"/>
    </row>
    <row r="194" ht="18.75" spans="1:11">
      <c r="A194" s="12" t="str">
        <f ca="1" t="shared" si="13"/>
        <v/>
      </c>
      <c r="B194" s="6"/>
      <c r="C194" s="13"/>
      <c r="D194" s="13"/>
      <c r="E194" s="13"/>
      <c r="F194" s="14">
        <f t="shared" si="14"/>
        <v>0</v>
      </c>
      <c r="G194" s="13"/>
      <c r="H194" s="52"/>
      <c r="I194" s="52"/>
      <c r="J194" s="54"/>
      <c r="K194" s="13"/>
    </row>
    <row r="195" ht="18.75" spans="1:11">
      <c r="A195" s="12" t="str">
        <f ca="1" t="shared" ref="A195:A258" si="17">IF(B195="","",IF(A195="",NOW(),A195))</f>
        <v/>
      </c>
      <c r="B195" s="6"/>
      <c r="C195" s="13"/>
      <c r="D195" s="13"/>
      <c r="E195" s="13"/>
      <c r="F195" s="14">
        <f t="shared" ref="F195:F205" si="18">(IF(E195-C195&lt;0,"24:00"-C195+E195,E195-C195))*24</f>
        <v>0</v>
      </c>
      <c r="G195" s="13"/>
      <c r="H195" s="52"/>
      <c r="I195" s="52"/>
      <c r="J195" s="54"/>
      <c r="K195" s="13"/>
    </row>
    <row r="196" ht="18.75" spans="1:11">
      <c r="A196" s="12" t="str">
        <f ca="1" t="shared" si="17"/>
        <v/>
      </c>
      <c r="B196" s="6"/>
      <c r="C196" s="13"/>
      <c r="D196" s="13"/>
      <c r="E196" s="13"/>
      <c r="F196" s="14">
        <f t="shared" si="18"/>
        <v>0</v>
      </c>
      <c r="G196" s="13"/>
      <c r="H196" s="52"/>
      <c r="I196" s="52"/>
      <c r="J196" s="54"/>
      <c r="K196" s="13"/>
    </row>
    <row r="197" ht="18.75" spans="1:11">
      <c r="A197" s="12" t="str">
        <f ca="1" t="shared" si="17"/>
        <v/>
      </c>
      <c r="B197" s="6"/>
      <c r="C197" s="13"/>
      <c r="D197" s="13"/>
      <c r="E197" s="13"/>
      <c r="F197" s="14">
        <f t="shared" si="18"/>
        <v>0</v>
      </c>
      <c r="G197" s="13"/>
      <c r="H197" s="52"/>
      <c r="I197" s="52"/>
      <c r="J197" s="54"/>
      <c r="K197" s="13"/>
    </row>
    <row r="198" ht="18.75" spans="1:11">
      <c r="A198" s="12" t="str">
        <f ca="1" t="shared" si="17"/>
        <v/>
      </c>
      <c r="B198" s="6"/>
      <c r="C198" s="13"/>
      <c r="D198" s="13"/>
      <c r="E198" s="13"/>
      <c r="F198" s="14">
        <f t="shared" si="18"/>
        <v>0</v>
      </c>
      <c r="G198" s="13"/>
      <c r="H198" s="52"/>
      <c r="I198" s="52"/>
      <c r="J198" s="54"/>
      <c r="K198" s="13"/>
    </row>
    <row r="199" ht="18.75" spans="1:11">
      <c r="A199" s="12" t="str">
        <f ca="1" t="shared" si="17"/>
        <v/>
      </c>
      <c r="B199" s="6"/>
      <c r="C199" s="13"/>
      <c r="D199" s="13"/>
      <c r="E199" s="13"/>
      <c r="F199" s="14">
        <f t="shared" si="18"/>
        <v>0</v>
      </c>
      <c r="G199" s="13"/>
      <c r="H199" s="52"/>
      <c r="I199" s="52"/>
      <c r="J199" s="54"/>
      <c r="K199" s="13"/>
    </row>
    <row r="200" ht="18.75" spans="1:11">
      <c r="A200" s="12" t="str">
        <f ca="1" t="shared" si="17"/>
        <v/>
      </c>
      <c r="B200" s="6"/>
      <c r="C200" s="13"/>
      <c r="D200" s="13"/>
      <c r="E200" s="13"/>
      <c r="F200" s="14">
        <f t="shared" si="18"/>
        <v>0</v>
      </c>
      <c r="G200" s="13"/>
      <c r="H200" s="52"/>
      <c r="I200" s="52"/>
      <c r="J200" s="54"/>
      <c r="K200" s="13"/>
    </row>
    <row r="201" ht="18.75" spans="1:11">
      <c r="A201" s="12" t="str">
        <f ca="1" t="shared" si="17"/>
        <v/>
      </c>
      <c r="B201" s="6"/>
      <c r="C201" s="13"/>
      <c r="D201" s="13"/>
      <c r="E201" s="13"/>
      <c r="F201" s="14">
        <f t="shared" si="18"/>
        <v>0</v>
      </c>
      <c r="G201" s="13"/>
      <c r="H201" s="52"/>
      <c r="I201" s="52"/>
      <c r="J201" s="54"/>
      <c r="K201" s="13"/>
    </row>
    <row r="202" ht="18.75" spans="1:11">
      <c r="A202" s="12" t="str">
        <f ca="1" t="shared" si="17"/>
        <v/>
      </c>
      <c r="B202" s="6"/>
      <c r="C202" s="13"/>
      <c r="D202" s="13"/>
      <c r="E202" s="13"/>
      <c r="F202" s="14">
        <f t="shared" si="18"/>
        <v>0</v>
      </c>
      <c r="G202" s="13"/>
      <c r="H202" s="52"/>
      <c r="I202" s="52"/>
      <c r="J202" s="54"/>
      <c r="K202" s="13"/>
    </row>
    <row r="203" ht="18.75" spans="1:11">
      <c r="A203" s="12" t="str">
        <f ca="1" t="shared" si="17"/>
        <v/>
      </c>
      <c r="B203" s="6"/>
      <c r="C203" s="13"/>
      <c r="D203" s="13"/>
      <c r="E203" s="13"/>
      <c r="F203" s="14">
        <f t="shared" si="18"/>
        <v>0</v>
      </c>
      <c r="G203" s="13"/>
      <c r="H203" s="52"/>
      <c r="I203" s="52"/>
      <c r="J203" s="54"/>
      <c r="K203" s="13"/>
    </row>
    <row r="204" ht="18.75" spans="1:11">
      <c r="A204" s="12" t="str">
        <f ca="1" t="shared" si="17"/>
        <v/>
      </c>
      <c r="B204" s="6"/>
      <c r="C204" s="13"/>
      <c r="D204" s="13"/>
      <c r="E204" s="13"/>
      <c r="F204" s="14">
        <f t="shared" si="18"/>
        <v>0</v>
      </c>
      <c r="G204" s="13"/>
      <c r="H204" s="52"/>
      <c r="I204" s="52"/>
      <c r="J204" s="54"/>
      <c r="K204" s="13"/>
    </row>
    <row r="205" ht="18.75" spans="1:11">
      <c r="A205" s="12" t="str">
        <f ca="1" t="shared" si="17"/>
        <v/>
      </c>
      <c r="B205" s="6"/>
      <c r="C205" s="13"/>
      <c r="D205" s="13"/>
      <c r="E205" s="13"/>
      <c r="F205" s="14">
        <f t="shared" si="18"/>
        <v>0</v>
      </c>
      <c r="G205" s="13"/>
      <c r="H205" s="52"/>
      <c r="I205" s="52"/>
      <c r="J205" s="54"/>
      <c r="K205" s="13"/>
    </row>
    <row r="206" ht="18.75" spans="1:11">
      <c r="A206" s="12" t="str">
        <f ca="1" t="shared" si="17"/>
        <v/>
      </c>
      <c r="B206" s="6"/>
      <c r="C206" s="13"/>
      <c r="D206" s="13"/>
      <c r="E206" s="13"/>
      <c r="F206" s="14">
        <f t="shared" ref="F206:F269" si="19">IF(E206-C206&lt;0,"24:00"-C206+E206,E206-C206)</f>
        <v>0</v>
      </c>
      <c r="G206" s="13"/>
      <c r="H206" s="52"/>
      <c r="I206" s="52"/>
      <c r="J206" s="54"/>
      <c r="K206" s="13"/>
    </row>
    <row r="207" ht="18.75" spans="1:11">
      <c r="A207" s="12" t="str">
        <f ca="1" t="shared" si="17"/>
        <v/>
      </c>
      <c r="B207" s="6"/>
      <c r="C207" s="13"/>
      <c r="D207" s="13"/>
      <c r="E207" s="13"/>
      <c r="F207" s="14">
        <f t="shared" si="19"/>
        <v>0</v>
      </c>
      <c r="G207" s="13"/>
      <c r="H207" s="52"/>
      <c r="I207" s="52"/>
      <c r="J207" s="54"/>
      <c r="K207" s="13"/>
    </row>
    <row r="208" ht="18.75" spans="1:11">
      <c r="A208" s="12" t="str">
        <f ca="1" t="shared" si="17"/>
        <v/>
      </c>
      <c r="B208" s="6"/>
      <c r="C208" s="13"/>
      <c r="D208" s="13"/>
      <c r="E208" s="13"/>
      <c r="F208" s="14">
        <f t="shared" si="19"/>
        <v>0</v>
      </c>
      <c r="G208" s="13"/>
      <c r="H208" s="52"/>
      <c r="I208" s="52"/>
      <c r="J208" s="54"/>
      <c r="K208" s="13"/>
    </row>
    <row r="209" ht="18.75" spans="1:11">
      <c r="A209" s="12" t="str">
        <f ca="1" t="shared" si="17"/>
        <v/>
      </c>
      <c r="B209" s="6"/>
      <c r="C209" s="13"/>
      <c r="D209" s="13"/>
      <c r="E209" s="13"/>
      <c r="F209" s="14">
        <f t="shared" si="19"/>
        <v>0</v>
      </c>
      <c r="G209" s="13"/>
      <c r="H209" s="52"/>
      <c r="I209" s="52"/>
      <c r="J209" s="54"/>
      <c r="K209" s="13"/>
    </row>
    <row r="210" ht="18.75" spans="1:11">
      <c r="A210" s="12" t="str">
        <f ca="1" t="shared" si="17"/>
        <v/>
      </c>
      <c r="B210" s="6"/>
      <c r="C210" s="13"/>
      <c r="D210" s="13"/>
      <c r="E210" s="13"/>
      <c r="F210" s="14">
        <f t="shared" si="19"/>
        <v>0</v>
      </c>
      <c r="G210" s="13"/>
      <c r="H210" s="52"/>
      <c r="I210" s="52"/>
      <c r="J210" s="54"/>
      <c r="K210" s="13"/>
    </row>
    <row r="211" ht="18.75" spans="1:11">
      <c r="A211" s="12" t="str">
        <f ca="1" t="shared" si="17"/>
        <v/>
      </c>
      <c r="B211" s="6"/>
      <c r="C211" s="13"/>
      <c r="D211" s="13"/>
      <c r="E211" s="13"/>
      <c r="F211" s="14">
        <f t="shared" si="19"/>
        <v>0</v>
      </c>
      <c r="G211" s="13"/>
      <c r="H211" s="52"/>
      <c r="I211" s="52"/>
      <c r="J211" s="54"/>
      <c r="K211" s="13"/>
    </row>
    <row r="212" ht="18.75" spans="1:11">
      <c r="A212" s="12" t="str">
        <f ca="1" t="shared" si="17"/>
        <v/>
      </c>
      <c r="B212" s="6"/>
      <c r="C212" s="13"/>
      <c r="D212" s="13"/>
      <c r="E212" s="13"/>
      <c r="F212" s="14">
        <f t="shared" si="19"/>
        <v>0</v>
      </c>
      <c r="G212" s="13"/>
      <c r="H212" s="52"/>
      <c r="I212" s="52"/>
      <c r="J212" s="54"/>
      <c r="K212" s="13"/>
    </row>
    <row r="213" ht="18.75" spans="1:11">
      <c r="A213" s="12" t="str">
        <f ca="1" t="shared" si="17"/>
        <v/>
      </c>
      <c r="B213" s="6"/>
      <c r="C213" s="13"/>
      <c r="D213" s="13"/>
      <c r="E213" s="13"/>
      <c r="F213" s="14">
        <f t="shared" si="19"/>
        <v>0</v>
      </c>
      <c r="G213" s="13"/>
      <c r="H213" s="52"/>
      <c r="I213" s="52"/>
      <c r="J213" s="54"/>
      <c r="K213" s="13"/>
    </row>
    <row r="214" ht="18.75" spans="1:11">
      <c r="A214" s="12" t="str">
        <f ca="1" t="shared" si="17"/>
        <v/>
      </c>
      <c r="B214" s="6"/>
      <c r="C214" s="13"/>
      <c r="D214" s="13"/>
      <c r="E214" s="13"/>
      <c r="F214" s="14">
        <f t="shared" si="19"/>
        <v>0</v>
      </c>
      <c r="G214" s="13"/>
      <c r="H214" s="52"/>
      <c r="I214" s="52"/>
      <c r="J214" s="54"/>
      <c r="K214" s="13"/>
    </row>
    <row r="215" ht="18.75" spans="1:11">
      <c r="A215" s="12" t="str">
        <f ca="1" t="shared" si="17"/>
        <v/>
      </c>
      <c r="B215" s="6"/>
      <c r="C215" s="13"/>
      <c r="D215" s="13"/>
      <c r="E215" s="13"/>
      <c r="F215" s="14">
        <f t="shared" si="19"/>
        <v>0</v>
      </c>
      <c r="G215" s="13"/>
      <c r="H215" s="52"/>
      <c r="I215" s="52"/>
      <c r="J215" s="54"/>
      <c r="K215" s="13"/>
    </row>
    <row r="216" ht="18.75" spans="1:11">
      <c r="A216" s="12" t="str">
        <f ca="1" t="shared" si="17"/>
        <v/>
      </c>
      <c r="B216" s="6"/>
      <c r="C216" s="13"/>
      <c r="D216" s="13"/>
      <c r="E216" s="13"/>
      <c r="F216" s="14">
        <f t="shared" si="19"/>
        <v>0</v>
      </c>
      <c r="G216" s="13"/>
      <c r="H216" s="52"/>
      <c r="I216" s="52"/>
      <c r="J216" s="54"/>
      <c r="K216" s="13"/>
    </row>
    <row r="217" ht="18.75" spans="1:11">
      <c r="A217" s="12" t="str">
        <f ca="1" t="shared" si="17"/>
        <v/>
      </c>
      <c r="B217" s="6"/>
      <c r="C217" s="13"/>
      <c r="D217" s="13"/>
      <c r="E217" s="13"/>
      <c r="F217" s="14">
        <f t="shared" si="19"/>
        <v>0</v>
      </c>
      <c r="G217" s="13"/>
      <c r="H217" s="52"/>
      <c r="I217" s="52"/>
      <c r="J217" s="54"/>
      <c r="K217" s="13"/>
    </row>
    <row r="218" ht="18.75" spans="1:11">
      <c r="A218" s="12" t="str">
        <f ca="1" t="shared" si="17"/>
        <v/>
      </c>
      <c r="B218" s="6"/>
      <c r="C218" s="13"/>
      <c r="D218" s="13"/>
      <c r="E218" s="13"/>
      <c r="F218" s="14">
        <f t="shared" si="19"/>
        <v>0</v>
      </c>
      <c r="G218" s="13"/>
      <c r="H218" s="52"/>
      <c r="I218" s="52"/>
      <c r="J218" s="54"/>
      <c r="K218" s="13"/>
    </row>
    <row r="219" ht="18.75" spans="1:11">
      <c r="A219" s="12" t="str">
        <f ca="1" t="shared" si="17"/>
        <v/>
      </c>
      <c r="B219" s="6"/>
      <c r="C219" s="13"/>
      <c r="D219" s="13"/>
      <c r="E219" s="13"/>
      <c r="F219" s="14">
        <f t="shared" si="19"/>
        <v>0</v>
      </c>
      <c r="G219" s="13"/>
      <c r="H219" s="52"/>
      <c r="I219" s="52"/>
      <c r="J219" s="54"/>
      <c r="K219" s="13"/>
    </row>
    <row r="220" ht="18.75" spans="1:11">
      <c r="A220" s="12" t="str">
        <f ca="1" t="shared" si="17"/>
        <v/>
      </c>
      <c r="B220" s="6"/>
      <c r="C220" s="13"/>
      <c r="D220" s="13"/>
      <c r="E220" s="13"/>
      <c r="F220" s="14">
        <f t="shared" si="19"/>
        <v>0</v>
      </c>
      <c r="G220" s="13"/>
      <c r="H220" s="52"/>
      <c r="I220" s="52"/>
      <c r="J220" s="54"/>
      <c r="K220" s="13"/>
    </row>
    <row r="221" ht="18.75" spans="1:11">
      <c r="A221" s="12" t="str">
        <f ca="1" t="shared" si="17"/>
        <v/>
      </c>
      <c r="B221" s="6"/>
      <c r="C221" s="13"/>
      <c r="D221" s="13"/>
      <c r="E221" s="13"/>
      <c r="F221" s="14">
        <f t="shared" si="19"/>
        <v>0</v>
      </c>
      <c r="G221" s="13"/>
      <c r="H221" s="52"/>
      <c r="I221" s="52"/>
      <c r="J221" s="54"/>
      <c r="K221" s="13"/>
    </row>
    <row r="222" ht="18.75" spans="1:11">
      <c r="A222" s="12" t="str">
        <f ca="1" t="shared" si="17"/>
        <v/>
      </c>
      <c r="B222" s="6"/>
      <c r="C222" s="13"/>
      <c r="D222" s="13"/>
      <c r="E222" s="13"/>
      <c r="F222" s="14">
        <f t="shared" si="19"/>
        <v>0</v>
      </c>
      <c r="G222" s="13"/>
      <c r="H222" s="52"/>
      <c r="I222" s="52"/>
      <c r="J222" s="54"/>
      <c r="K222" s="13"/>
    </row>
    <row r="223" ht="18.75" spans="1:11">
      <c r="A223" s="12" t="str">
        <f ca="1" t="shared" si="17"/>
        <v/>
      </c>
      <c r="B223" s="6"/>
      <c r="C223" s="13"/>
      <c r="D223" s="13"/>
      <c r="E223" s="13"/>
      <c r="F223" s="14">
        <f t="shared" si="19"/>
        <v>0</v>
      </c>
      <c r="G223" s="13"/>
      <c r="H223" s="52"/>
      <c r="I223" s="52"/>
      <c r="J223" s="54"/>
      <c r="K223" s="13"/>
    </row>
    <row r="224" ht="18.75" spans="1:11">
      <c r="A224" s="12" t="str">
        <f ca="1" t="shared" si="17"/>
        <v/>
      </c>
      <c r="B224" s="6"/>
      <c r="C224" s="13"/>
      <c r="D224" s="13"/>
      <c r="E224" s="13"/>
      <c r="F224" s="14">
        <f t="shared" si="19"/>
        <v>0</v>
      </c>
      <c r="G224" s="13"/>
      <c r="H224" s="52"/>
      <c r="I224" s="52"/>
      <c r="J224" s="54"/>
      <c r="K224" s="13"/>
    </row>
    <row r="225" ht="18.75" spans="1:11">
      <c r="A225" s="12" t="str">
        <f ca="1" t="shared" si="17"/>
        <v/>
      </c>
      <c r="B225" s="6"/>
      <c r="C225" s="13"/>
      <c r="D225" s="13"/>
      <c r="E225" s="13"/>
      <c r="F225" s="14">
        <f t="shared" si="19"/>
        <v>0</v>
      </c>
      <c r="G225" s="13"/>
      <c r="H225" s="52"/>
      <c r="I225" s="52"/>
      <c r="J225" s="54"/>
      <c r="K225" s="13"/>
    </row>
    <row r="226" ht="18.75" spans="1:11">
      <c r="A226" s="12" t="str">
        <f ca="1" t="shared" si="17"/>
        <v/>
      </c>
      <c r="B226" s="6"/>
      <c r="C226" s="13"/>
      <c r="D226" s="13"/>
      <c r="E226" s="13"/>
      <c r="F226" s="14">
        <f t="shared" si="19"/>
        <v>0</v>
      </c>
      <c r="G226" s="13"/>
      <c r="H226" s="52"/>
      <c r="I226" s="52"/>
      <c r="J226" s="54"/>
      <c r="K226" s="13"/>
    </row>
    <row r="227" ht="18.75" spans="1:11">
      <c r="A227" s="12" t="str">
        <f ca="1" t="shared" si="17"/>
        <v/>
      </c>
      <c r="B227" s="6"/>
      <c r="C227" s="13"/>
      <c r="D227" s="13"/>
      <c r="E227" s="13"/>
      <c r="F227" s="14">
        <f t="shared" si="19"/>
        <v>0</v>
      </c>
      <c r="G227" s="13"/>
      <c r="H227" s="52"/>
      <c r="I227" s="52"/>
      <c r="J227" s="54"/>
      <c r="K227" s="13"/>
    </row>
    <row r="228" ht="18.75" spans="1:11">
      <c r="A228" s="12" t="str">
        <f ca="1" t="shared" si="17"/>
        <v/>
      </c>
      <c r="B228" s="6"/>
      <c r="C228" s="13"/>
      <c r="D228" s="13"/>
      <c r="E228" s="13"/>
      <c r="F228" s="14">
        <f t="shared" si="19"/>
        <v>0</v>
      </c>
      <c r="G228" s="13"/>
      <c r="H228" s="52"/>
      <c r="I228" s="52"/>
      <c r="J228" s="54"/>
      <c r="K228" s="13"/>
    </row>
    <row r="229" ht="18.75" spans="1:11">
      <c r="A229" s="12" t="str">
        <f ca="1" t="shared" si="17"/>
        <v/>
      </c>
      <c r="B229" s="6"/>
      <c r="C229" s="13"/>
      <c r="D229" s="13"/>
      <c r="E229" s="13"/>
      <c r="F229" s="14">
        <f t="shared" si="19"/>
        <v>0</v>
      </c>
      <c r="G229" s="13"/>
      <c r="H229" s="52"/>
      <c r="I229" s="52"/>
      <c r="J229" s="54"/>
      <c r="K229" s="13"/>
    </row>
    <row r="230" ht="18.75" spans="1:11">
      <c r="A230" s="12" t="str">
        <f ca="1" t="shared" si="17"/>
        <v/>
      </c>
      <c r="B230" s="6"/>
      <c r="C230" s="13"/>
      <c r="D230" s="13"/>
      <c r="E230" s="13"/>
      <c r="F230" s="14">
        <f t="shared" si="19"/>
        <v>0</v>
      </c>
      <c r="G230" s="13"/>
      <c r="H230" s="52"/>
      <c r="I230" s="52"/>
      <c r="J230" s="54"/>
      <c r="K230" s="13"/>
    </row>
    <row r="231" ht="18.75" spans="1:11">
      <c r="A231" s="12" t="str">
        <f ca="1" t="shared" si="17"/>
        <v/>
      </c>
      <c r="B231" s="6"/>
      <c r="C231" s="13"/>
      <c r="D231" s="13"/>
      <c r="E231" s="13"/>
      <c r="F231" s="14">
        <f t="shared" si="19"/>
        <v>0</v>
      </c>
      <c r="G231" s="13"/>
      <c r="H231" s="52"/>
      <c r="I231" s="52"/>
      <c r="J231" s="54"/>
      <c r="K231" s="13"/>
    </row>
    <row r="232" ht="18.75" spans="1:11">
      <c r="A232" s="12" t="str">
        <f ca="1" t="shared" si="17"/>
        <v/>
      </c>
      <c r="B232" s="6"/>
      <c r="C232" s="13"/>
      <c r="D232" s="13"/>
      <c r="E232" s="13"/>
      <c r="F232" s="14">
        <f t="shared" si="19"/>
        <v>0</v>
      </c>
      <c r="G232" s="13"/>
      <c r="H232" s="52"/>
      <c r="I232" s="52"/>
      <c r="J232" s="54"/>
      <c r="K232" s="13"/>
    </row>
    <row r="233" ht="18.75" spans="1:11">
      <c r="A233" s="12" t="str">
        <f ca="1" t="shared" si="17"/>
        <v/>
      </c>
      <c r="B233" s="6"/>
      <c r="C233" s="13"/>
      <c r="D233" s="13"/>
      <c r="E233" s="13"/>
      <c r="F233" s="14">
        <f t="shared" si="19"/>
        <v>0</v>
      </c>
      <c r="G233" s="13"/>
      <c r="H233" s="52"/>
      <c r="I233" s="52"/>
      <c r="J233" s="54"/>
      <c r="K233" s="13"/>
    </row>
    <row r="234" ht="18.75" spans="1:11">
      <c r="A234" s="12" t="str">
        <f ca="1" t="shared" si="17"/>
        <v/>
      </c>
      <c r="B234" s="6"/>
      <c r="C234" s="13"/>
      <c r="D234" s="13"/>
      <c r="E234" s="13"/>
      <c r="F234" s="14">
        <f t="shared" si="19"/>
        <v>0</v>
      </c>
      <c r="G234" s="13"/>
      <c r="H234" s="52"/>
      <c r="I234" s="52"/>
      <c r="J234" s="54"/>
      <c r="K234" s="13"/>
    </row>
    <row r="235" ht="18.75" spans="1:11">
      <c r="A235" s="12" t="str">
        <f ca="1" t="shared" si="17"/>
        <v/>
      </c>
      <c r="B235" s="6"/>
      <c r="C235" s="13"/>
      <c r="D235" s="13"/>
      <c r="E235" s="13"/>
      <c r="F235" s="14">
        <f t="shared" si="19"/>
        <v>0</v>
      </c>
      <c r="G235" s="13"/>
      <c r="H235" s="52"/>
      <c r="I235" s="52"/>
      <c r="J235" s="54"/>
      <c r="K235" s="13"/>
    </row>
    <row r="236" ht="18.75" spans="1:11">
      <c r="A236" s="12" t="str">
        <f ca="1" t="shared" si="17"/>
        <v/>
      </c>
      <c r="B236" s="6"/>
      <c r="C236" s="13"/>
      <c r="D236" s="13"/>
      <c r="E236" s="13"/>
      <c r="F236" s="14">
        <f t="shared" si="19"/>
        <v>0</v>
      </c>
      <c r="G236" s="13"/>
      <c r="H236" s="52"/>
      <c r="I236" s="52"/>
      <c r="J236" s="54"/>
      <c r="K236" s="13"/>
    </row>
    <row r="237" ht="18.75" spans="1:11">
      <c r="A237" s="12" t="str">
        <f ca="1" t="shared" si="17"/>
        <v/>
      </c>
      <c r="B237" s="6"/>
      <c r="C237" s="13"/>
      <c r="D237" s="13"/>
      <c r="E237" s="13"/>
      <c r="F237" s="14">
        <f t="shared" si="19"/>
        <v>0</v>
      </c>
      <c r="G237" s="13"/>
      <c r="H237" s="52"/>
      <c r="I237" s="52"/>
      <c r="J237" s="54"/>
      <c r="K237" s="13"/>
    </row>
    <row r="238" ht="18.75" spans="1:11">
      <c r="A238" s="12" t="str">
        <f ca="1" t="shared" si="17"/>
        <v/>
      </c>
      <c r="B238" s="6"/>
      <c r="C238" s="13"/>
      <c r="D238" s="13"/>
      <c r="E238" s="13"/>
      <c r="F238" s="14">
        <f t="shared" si="19"/>
        <v>0</v>
      </c>
      <c r="G238" s="13"/>
      <c r="H238" s="52"/>
      <c r="I238" s="52"/>
      <c r="J238" s="54"/>
      <c r="K238" s="13"/>
    </row>
    <row r="239" ht="18.75" spans="1:11">
      <c r="A239" s="12" t="str">
        <f ca="1" t="shared" si="17"/>
        <v/>
      </c>
      <c r="B239" s="6"/>
      <c r="C239" s="13"/>
      <c r="D239" s="13"/>
      <c r="E239" s="13"/>
      <c r="F239" s="14">
        <f t="shared" si="19"/>
        <v>0</v>
      </c>
      <c r="G239" s="13"/>
      <c r="H239" s="52"/>
      <c r="I239" s="52"/>
      <c r="J239" s="54"/>
      <c r="K239" s="13"/>
    </row>
    <row r="240" ht="18.75" spans="1:11">
      <c r="A240" s="12" t="str">
        <f ca="1" t="shared" si="17"/>
        <v/>
      </c>
      <c r="B240" s="6"/>
      <c r="C240" s="13"/>
      <c r="D240" s="13"/>
      <c r="E240" s="13"/>
      <c r="F240" s="14">
        <f t="shared" si="19"/>
        <v>0</v>
      </c>
      <c r="G240" s="13"/>
      <c r="H240" s="52"/>
      <c r="I240" s="52"/>
      <c r="J240" s="54"/>
      <c r="K240" s="13"/>
    </row>
    <row r="241" ht="18.75" spans="1:11">
      <c r="A241" s="12" t="str">
        <f ca="1" t="shared" si="17"/>
        <v/>
      </c>
      <c r="B241" s="6"/>
      <c r="C241" s="13"/>
      <c r="D241" s="13"/>
      <c r="E241" s="13"/>
      <c r="F241" s="14">
        <f t="shared" si="19"/>
        <v>0</v>
      </c>
      <c r="G241" s="13"/>
      <c r="H241" s="52"/>
      <c r="I241" s="52"/>
      <c r="J241" s="54"/>
      <c r="K241" s="13"/>
    </row>
    <row r="242" ht="18.75" spans="1:11">
      <c r="A242" s="12" t="str">
        <f ca="1" t="shared" si="17"/>
        <v/>
      </c>
      <c r="B242" s="6"/>
      <c r="C242" s="13"/>
      <c r="D242" s="13"/>
      <c r="E242" s="13"/>
      <c r="F242" s="14">
        <f t="shared" si="19"/>
        <v>0</v>
      </c>
      <c r="G242" s="13"/>
      <c r="H242" s="52"/>
      <c r="I242" s="52"/>
      <c r="J242" s="54"/>
      <c r="K242" s="13"/>
    </row>
    <row r="243" ht="18.75" spans="1:11">
      <c r="A243" s="12" t="str">
        <f ca="1" t="shared" si="17"/>
        <v/>
      </c>
      <c r="B243" s="6"/>
      <c r="C243" s="13"/>
      <c r="D243" s="13"/>
      <c r="E243" s="13"/>
      <c r="F243" s="14">
        <f t="shared" si="19"/>
        <v>0</v>
      </c>
      <c r="G243" s="13"/>
      <c r="H243" s="52"/>
      <c r="I243" s="52"/>
      <c r="J243" s="54"/>
      <c r="K243" s="13"/>
    </row>
    <row r="244" ht="18.75" spans="1:11">
      <c r="A244" s="12" t="str">
        <f ca="1" t="shared" si="17"/>
        <v/>
      </c>
      <c r="B244" s="6"/>
      <c r="C244" s="13"/>
      <c r="D244" s="13"/>
      <c r="E244" s="13"/>
      <c r="F244" s="14">
        <f t="shared" si="19"/>
        <v>0</v>
      </c>
      <c r="G244" s="13"/>
      <c r="H244" s="52"/>
      <c r="I244" s="52"/>
      <c r="J244" s="54"/>
      <c r="K244" s="13"/>
    </row>
    <row r="245" ht="18.75" spans="1:11">
      <c r="A245" s="12" t="str">
        <f ca="1" t="shared" si="17"/>
        <v/>
      </c>
      <c r="B245" s="6"/>
      <c r="C245" s="13"/>
      <c r="D245" s="13"/>
      <c r="E245" s="13"/>
      <c r="F245" s="14">
        <f t="shared" si="19"/>
        <v>0</v>
      </c>
      <c r="G245" s="13"/>
      <c r="H245" s="52"/>
      <c r="I245" s="52"/>
      <c r="J245" s="54"/>
      <c r="K245" s="13"/>
    </row>
    <row r="246" ht="18.75" spans="1:11">
      <c r="A246" s="12" t="str">
        <f ca="1" t="shared" si="17"/>
        <v/>
      </c>
      <c r="B246" s="6"/>
      <c r="C246" s="13"/>
      <c r="D246" s="13"/>
      <c r="E246" s="13"/>
      <c r="F246" s="14">
        <f t="shared" si="19"/>
        <v>0</v>
      </c>
      <c r="G246" s="13"/>
      <c r="H246" s="52"/>
      <c r="I246" s="52"/>
      <c r="J246" s="54"/>
      <c r="K246" s="13"/>
    </row>
    <row r="247" ht="18.75" spans="1:11">
      <c r="A247" s="12" t="str">
        <f ca="1" t="shared" si="17"/>
        <v/>
      </c>
      <c r="B247" s="6"/>
      <c r="C247" s="13"/>
      <c r="D247" s="13"/>
      <c r="E247" s="13"/>
      <c r="F247" s="14">
        <f t="shared" si="19"/>
        <v>0</v>
      </c>
      <c r="G247" s="13"/>
      <c r="H247" s="52"/>
      <c r="I247" s="52"/>
      <c r="J247" s="54"/>
      <c r="K247" s="13"/>
    </row>
    <row r="248" ht="18.75" spans="1:11">
      <c r="A248" s="12" t="str">
        <f ca="1" t="shared" si="17"/>
        <v/>
      </c>
      <c r="B248" s="6"/>
      <c r="C248" s="13"/>
      <c r="D248" s="13"/>
      <c r="E248" s="13"/>
      <c r="F248" s="14">
        <f t="shared" si="19"/>
        <v>0</v>
      </c>
      <c r="G248" s="13"/>
      <c r="H248" s="52"/>
      <c r="I248" s="52"/>
      <c r="J248" s="54"/>
      <c r="K248" s="13"/>
    </row>
    <row r="249" ht="18.75" spans="1:11">
      <c r="A249" s="12" t="str">
        <f ca="1" t="shared" si="17"/>
        <v/>
      </c>
      <c r="B249" s="6"/>
      <c r="C249" s="13"/>
      <c r="D249" s="13"/>
      <c r="E249" s="13"/>
      <c r="F249" s="14">
        <f t="shared" si="19"/>
        <v>0</v>
      </c>
      <c r="G249" s="13"/>
      <c r="H249" s="52"/>
      <c r="I249" s="52"/>
      <c r="J249" s="54"/>
      <c r="K249" s="13"/>
    </row>
    <row r="250" ht="18.75" spans="1:11">
      <c r="A250" s="12" t="str">
        <f ca="1" t="shared" si="17"/>
        <v/>
      </c>
      <c r="B250" s="6"/>
      <c r="C250" s="13"/>
      <c r="D250" s="13"/>
      <c r="E250" s="13"/>
      <c r="F250" s="14">
        <f t="shared" si="19"/>
        <v>0</v>
      </c>
      <c r="G250" s="13"/>
      <c r="H250" s="52"/>
      <c r="I250" s="52"/>
      <c r="J250" s="54"/>
      <c r="K250" s="13"/>
    </row>
    <row r="251" ht="18.75" spans="1:11">
      <c r="A251" s="12" t="str">
        <f ca="1" t="shared" si="17"/>
        <v/>
      </c>
      <c r="B251" s="6"/>
      <c r="C251" s="13"/>
      <c r="D251" s="13"/>
      <c r="E251" s="13"/>
      <c r="F251" s="14">
        <f t="shared" si="19"/>
        <v>0</v>
      </c>
      <c r="G251" s="13"/>
      <c r="H251" s="52"/>
      <c r="I251" s="52"/>
      <c r="J251" s="54"/>
      <c r="K251" s="13"/>
    </row>
    <row r="252" ht="18.75" spans="1:11">
      <c r="A252" s="12" t="str">
        <f ca="1" t="shared" si="17"/>
        <v/>
      </c>
      <c r="B252" s="6"/>
      <c r="C252" s="13"/>
      <c r="D252" s="13"/>
      <c r="E252" s="13"/>
      <c r="F252" s="14">
        <f t="shared" si="19"/>
        <v>0</v>
      </c>
      <c r="G252" s="13"/>
      <c r="H252" s="52"/>
      <c r="I252" s="52"/>
      <c r="J252" s="54"/>
      <c r="K252" s="13"/>
    </row>
    <row r="253" ht="18.75" spans="1:11">
      <c r="A253" s="12" t="str">
        <f ca="1" t="shared" si="17"/>
        <v/>
      </c>
      <c r="B253" s="6"/>
      <c r="C253" s="13"/>
      <c r="D253" s="13"/>
      <c r="E253" s="13"/>
      <c r="F253" s="14">
        <f t="shared" si="19"/>
        <v>0</v>
      </c>
      <c r="G253" s="13"/>
      <c r="H253" s="52"/>
      <c r="I253" s="52"/>
      <c r="J253" s="54"/>
      <c r="K253" s="13"/>
    </row>
    <row r="254" ht="18.75" spans="1:11">
      <c r="A254" s="12" t="str">
        <f ca="1" t="shared" si="17"/>
        <v/>
      </c>
      <c r="B254" s="6"/>
      <c r="C254" s="13"/>
      <c r="D254" s="13"/>
      <c r="E254" s="13"/>
      <c r="F254" s="14">
        <f t="shared" si="19"/>
        <v>0</v>
      </c>
      <c r="G254" s="13"/>
      <c r="H254" s="52"/>
      <c r="I254" s="52"/>
      <c r="J254" s="54"/>
      <c r="K254" s="13"/>
    </row>
    <row r="255" ht="18.75" spans="1:11">
      <c r="A255" s="12" t="str">
        <f ca="1" t="shared" si="17"/>
        <v/>
      </c>
      <c r="B255" s="6"/>
      <c r="C255" s="13"/>
      <c r="D255" s="13"/>
      <c r="E255" s="13"/>
      <c r="F255" s="14">
        <f t="shared" si="19"/>
        <v>0</v>
      </c>
      <c r="G255" s="13"/>
      <c r="H255" s="52"/>
      <c r="I255" s="52"/>
      <c r="J255" s="54"/>
      <c r="K255" s="13"/>
    </row>
    <row r="256" ht="18.75" spans="1:11">
      <c r="A256" s="12" t="str">
        <f ca="1" t="shared" si="17"/>
        <v/>
      </c>
      <c r="B256" s="6"/>
      <c r="C256" s="13"/>
      <c r="D256" s="13"/>
      <c r="E256" s="13"/>
      <c r="F256" s="14">
        <f t="shared" si="19"/>
        <v>0</v>
      </c>
      <c r="G256" s="13"/>
      <c r="H256" s="52"/>
      <c r="I256" s="52"/>
      <c r="J256" s="54"/>
      <c r="K256" s="13"/>
    </row>
    <row r="257" ht="18.75" spans="1:11">
      <c r="A257" s="12" t="str">
        <f ca="1" t="shared" si="17"/>
        <v/>
      </c>
      <c r="B257" s="6"/>
      <c r="C257" s="13"/>
      <c r="D257" s="13"/>
      <c r="E257" s="13"/>
      <c r="F257" s="14">
        <f t="shared" si="19"/>
        <v>0</v>
      </c>
      <c r="G257" s="13"/>
      <c r="H257" s="52"/>
      <c r="I257" s="52"/>
      <c r="J257" s="54"/>
      <c r="K257" s="13"/>
    </row>
    <row r="258" ht="18.75" spans="1:11">
      <c r="A258" s="12" t="str">
        <f ca="1" t="shared" si="17"/>
        <v/>
      </c>
      <c r="B258" s="6"/>
      <c r="C258" s="13"/>
      <c r="D258" s="13"/>
      <c r="E258" s="13"/>
      <c r="F258" s="14">
        <f t="shared" si="19"/>
        <v>0</v>
      </c>
      <c r="G258" s="13"/>
      <c r="H258" s="52"/>
      <c r="I258" s="52"/>
      <c r="J258" s="54"/>
      <c r="K258" s="13"/>
    </row>
    <row r="259" ht="18.75" spans="1:11">
      <c r="A259" s="12" t="str">
        <f ca="1" t="shared" ref="A259:A322" si="20">IF(B259="","",IF(A259="",NOW(),A259))</f>
        <v/>
      </c>
      <c r="B259" s="6"/>
      <c r="C259" s="13"/>
      <c r="D259" s="13"/>
      <c r="E259" s="13"/>
      <c r="F259" s="14">
        <f t="shared" si="19"/>
        <v>0</v>
      </c>
      <c r="G259" s="13"/>
      <c r="H259" s="52"/>
      <c r="I259" s="52"/>
      <c r="J259" s="54"/>
      <c r="K259" s="13"/>
    </row>
    <row r="260" ht="18.75" spans="1:11">
      <c r="A260" s="12" t="str">
        <f ca="1" t="shared" si="20"/>
        <v/>
      </c>
      <c r="B260" s="6"/>
      <c r="C260" s="13"/>
      <c r="D260" s="13"/>
      <c r="E260" s="13"/>
      <c r="F260" s="14">
        <f t="shared" si="19"/>
        <v>0</v>
      </c>
      <c r="G260" s="13"/>
      <c r="H260" s="52"/>
      <c r="I260" s="52"/>
      <c r="J260" s="54"/>
      <c r="K260" s="13"/>
    </row>
    <row r="261" ht="18.75" spans="1:11">
      <c r="A261" s="12" t="str">
        <f ca="1" t="shared" si="20"/>
        <v/>
      </c>
      <c r="B261" s="6"/>
      <c r="C261" s="13"/>
      <c r="D261" s="13"/>
      <c r="E261" s="13"/>
      <c r="F261" s="14">
        <f t="shared" si="19"/>
        <v>0</v>
      </c>
      <c r="G261" s="13"/>
      <c r="H261" s="52"/>
      <c r="I261" s="52"/>
      <c r="J261" s="54"/>
      <c r="K261" s="13"/>
    </row>
    <row r="262" ht="18.75" spans="1:11">
      <c r="A262" s="12" t="str">
        <f ca="1" t="shared" si="20"/>
        <v/>
      </c>
      <c r="B262" s="6"/>
      <c r="C262" s="13"/>
      <c r="D262" s="13"/>
      <c r="E262" s="13"/>
      <c r="F262" s="14">
        <f t="shared" si="19"/>
        <v>0</v>
      </c>
      <c r="G262" s="13"/>
      <c r="H262" s="52"/>
      <c r="I262" s="52"/>
      <c r="J262" s="54"/>
      <c r="K262" s="13"/>
    </row>
    <row r="263" ht="18.75" spans="1:11">
      <c r="A263" s="12" t="str">
        <f ca="1" t="shared" si="20"/>
        <v/>
      </c>
      <c r="B263" s="6"/>
      <c r="C263" s="13"/>
      <c r="D263" s="13"/>
      <c r="E263" s="13"/>
      <c r="F263" s="14">
        <f t="shared" si="19"/>
        <v>0</v>
      </c>
      <c r="G263" s="13"/>
      <c r="H263" s="52"/>
      <c r="I263" s="52"/>
      <c r="J263" s="54"/>
      <c r="K263" s="13"/>
    </row>
    <row r="264" ht="18.75" spans="1:11">
      <c r="A264" s="12" t="str">
        <f ca="1" t="shared" si="20"/>
        <v/>
      </c>
      <c r="B264" s="6"/>
      <c r="C264" s="13"/>
      <c r="D264" s="13"/>
      <c r="E264" s="13"/>
      <c r="F264" s="14">
        <f t="shared" si="19"/>
        <v>0</v>
      </c>
      <c r="G264" s="13"/>
      <c r="H264" s="52"/>
      <c r="I264" s="52"/>
      <c r="J264" s="54"/>
      <c r="K264" s="13"/>
    </row>
    <row r="265" ht="18.75" spans="1:11">
      <c r="A265" s="12" t="str">
        <f ca="1" t="shared" si="20"/>
        <v/>
      </c>
      <c r="B265" s="6"/>
      <c r="C265" s="13"/>
      <c r="D265" s="13"/>
      <c r="E265" s="13"/>
      <c r="F265" s="14">
        <f t="shared" si="19"/>
        <v>0</v>
      </c>
      <c r="G265" s="13"/>
      <c r="H265" s="52"/>
      <c r="I265" s="52"/>
      <c r="J265" s="54"/>
      <c r="K265" s="13"/>
    </row>
    <row r="266" ht="18.75" spans="1:11">
      <c r="A266" s="12" t="str">
        <f ca="1" t="shared" si="20"/>
        <v/>
      </c>
      <c r="B266" s="6"/>
      <c r="C266" s="13"/>
      <c r="D266" s="13"/>
      <c r="E266" s="13"/>
      <c r="F266" s="14">
        <f t="shared" si="19"/>
        <v>0</v>
      </c>
      <c r="G266" s="13"/>
      <c r="H266" s="52"/>
      <c r="I266" s="52"/>
      <c r="J266" s="54"/>
      <c r="K266" s="13"/>
    </row>
    <row r="267" ht="18.75" spans="1:11">
      <c r="A267" s="12" t="str">
        <f ca="1" t="shared" si="20"/>
        <v/>
      </c>
      <c r="B267" s="6"/>
      <c r="C267" s="13"/>
      <c r="D267" s="13"/>
      <c r="E267" s="13"/>
      <c r="F267" s="14">
        <f t="shared" si="19"/>
        <v>0</v>
      </c>
      <c r="G267" s="13"/>
      <c r="H267" s="52"/>
      <c r="I267" s="52"/>
      <c r="J267" s="54"/>
      <c r="K267" s="13"/>
    </row>
    <row r="268" ht="18.75" spans="1:11">
      <c r="A268" s="12" t="str">
        <f ca="1" t="shared" si="20"/>
        <v/>
      </c>
      <c r="B268" s="6"/>
      <c r="C268" s="13"/>
      <c r="D268" s="13"/>
      <c r="E268" s="13"/>
      <c r="F268" s="14">
        <f t="shared" si="19"/>
        <v>0</v>
      </c>
      <c r="G268" s="13"/>
      <c r="H268" s="52"/>
      <c r="I268" s="52"/>
      <c r="J268" s="54"/>
      <c r="K268" s="13"/>
    </row>
    <row r="269" ht="18.75" spans="1:11">
      <c r="A269" s="12" t="str">
        <f ca="1" t="shared" si="20"/>
        <v/>
      </c>
      <c r="B269" s="6"/>
      <c r="C269" s="13"/>
      <c r="D269" s="13"/>
      <c r="E269" s="13"/>
      <c r="F269" s="14">
        <f t="shared" si="19"/>
        <v>0</v>
      </c>
      <c r="G269" s="13"/>
      <c r="H269" s="52"/>
      <c r="I269" s="52"/>
      <c r="J269" s="54"/>
      <c r="K269" s="13"/>
    </row>
    <row r="270" ht="18.75" spans="1:11">
      <c r="A270" s="12" t="str">
        <f ca="1" t="shared" si="20"/>
        <v/>
      </c>
      <c r="B270" s="6"/>
      <c r="C270" s="13"/>
      <c r="D270" s="13"/>
      <c r="E270" s="13"/>
      <c r="F270" s="14">
        <f t="shared" ref="F270:F333" si="21">IF(E270-C270&lt;0,"24:00"-C270+E270,E270-C270)</f>
        <v>0</v>
      </c>
      <c r="G270" s="13"/>
      <c r="H270" s="52"/>
      <c r="I270" s="52"/>
      <c r="J270" s="54"/>
      <c r="K270" s="13"/>
    </row>
    <row r="271" ht="18.75" spans="1:11">
      <c r="A271" s="12" t="str">
        <f ca="1" t="shared" si="20"/>
        <v/>
      </c>
      <c r="B271" s="6"/>
      <c r="C271" s="13"/>
      <c r="D271" s="13"/>
      <c r="E271" s="13"/>
      <c r="F271" s="14">
        <f t="shared" si="21"/>
        <v>0</v>
      </c>
      <c r="G271" s="13"/>
      <c r="H271" s="52"/>
      <c r="I271" s="52"/>
      <c r="J271" s="54"/>
      <c r="K271" s="13"/>
    </row>
    <row r="272" ht="18.75" spans="1:11">
      <c r="A272" s="12" t="str">
        <f ca="1" t="shared" si="20"/>
        <v/>
      </c>
      <c r="B272" s="6"/>
      <c r="C272" s="13"/>
      <c r="D272" s="13"/>
      <c r="E272" s="13"/>
      <c r="F272" s="14">
        <f t="shared" si="21"/>
        <v>0</v>
      </c>
      <c r="G272" s="13"/>
      <c r="H272" s="52"/>
      <c r="I272" s="52"/>
      <c r="J272" s="54"/>
      <c r="K272" s="13"/>
    </row>
    <row r="273" ht="18.75" spans="1:11">
      <c r="A273" s="12" t="str">
        <f ca="1" t="shared" si="20"/>
        <v/>
      </c>
      <c r="B273" s="6"/>
      <c r="C273" s="13"/>
      <c r="D273" s="13"/>
      <c r="E273" s="13"/>
      <c r="F273" s="14">
        <f t="shared" si="21"/>
        <v>0</v>
      </c>
      <c r="G273" s="13"/>
      <c r="H273" s="52"/>
      <c r="I273" s="52"/>
      <c r="J273" s="54"/>
      <c r="K273" s="13"/>
    </row>
    <row r="274" ht="18.75" spans="1:11">
      <c r="A274" s="12" t="str">
        <f ca="1" t="shared" si="20"/>
        <v/>
      </c>
      <c r="B274" s="6"/>
      <c r="C274" s="13"/>
      <c r="D274" s="13"/>
      <c r="E274" s="13"/>
      <c r="F274" s="14">
        <f t="shared" si="21"/>
        <v>0</v>
      </c>
      <c r="G274" s="13"/>
      <c r="H274" s="52"/>
      <c r="I274" s="52"/>
      <c r="J274" s="54"/>
      <c r="K274" s="13"/>
    </row>
    <row r="275" ht="18.75" spans="1:11">
      <c r="A275" s="12" t="str">
        <f ca="1" t="shared" si="20"/>
        <v/>
      </c>
      <c r="B275" s="6"/>
      <c r="C275" s="13"/>
      <c r="D275" s="13"/>
      <c r="E275" s="13"/>
      <c r="F275" s="14">
        <f t="shared" si="21"/>
        <v>0</v>
      </c>
      <c r="G275" s="13"/>
      <c r="H275" s="52"/>
      <c r="I275" s="52"/>
      <c r="J275" s="54"/>
      <c r="K275" s="13"/>
    </row>
    <row r="276" ht="18.75" spans="1:11">
      <c r="A276" s="12" t="str">
        <f ca="1" t="shared" si="20"/>
        <v/>
      </c>
      <c r="B276" s="6"/>
      <c r="C276" s="13"/>
      <c r="D276" s="13"/>
      <c r="E276" s="13"/>
      <c r="F276" s="14">
        <f t="shared" si="21"/>
        <v>0</v>
      </c>
      <c r="G276" s="13"/>
      <c r="H276" s="52"/>
      <c r="I276" s="52"/>
      <c r="J276" s="54"/>
      <c r="K276" s="13"/>
    </row>
    <row r="277" ht="18.75" spans="1:11">
      <c r="A277" s="12" t="str">
        <f ca="1" t="shared" si="20"/>
        <v/>
      </c>
      <c r="B277" s="6"/>
      <c r="C277" s="13"/>
      <c r="D277" s="13"/>
      <c r="E277" s="13"/>
      <c r="F277" s="14">
        <f t="shared" si="21"/>
        <v>0</v>
      </c>
      <c r="G277" s="13"/>
      <c r="H277" s="52"/>
      <c r="I277" s="52"/>
      <c r="J277" s="54"/>
      <c r="K277" s="13"/>
    </row>
    <row r="278" ht="18.75" spans="1:11">
      <c r="A278" s="12" t="str">
        <f ca="1" t="shared" si="20"/>
        <v/>
      </c>
      <c r="B278" s="6"/>
      <c r="C278" s="13"/>
      <c r="D278" s="13"/>
      <c r="E278" s="13"/>
      <c r="F278" s="14">
        <f t="shared" si="21"/>
        <v>0</v>
      </c>
      <c r="G278" s="13"/>
      <c r="H278" s="52"/>
      <c r="I278" s="52"/>
      <c r="J278" s="54"/>
      <c r="K278" s="13"/>
    </row>
    <row r="279" ht="18.75" spans="1:11">
      <c r="A279" s="12" t="str">
        <f ca="1" t="shared" si="20"/>
        <v/>
      </c>
      <c r="B279" s="6"/>
      <c r="C279" s="13"/>
      <c r="D279" s="13"/>
      <c r="E279" s="13"/>
      <c r="F279" s="14">
        <f t="shared" si="21"/>
        <v>0</v>
      </c>
      <c r="G279" s="13"/>
      <c r="H279" s="52"/>
      <c r="I279" s="52"/>
      <c r="J279" s="54"/>
      <c r="K279" s="13"/>
    </row>
    <row r="280" ht="18.75" spans="1:11">
      <c r="A280" s="12" t="str">
        <f ca="1" t="shared" si="20"/>
        <v/>
      </c>
      <c r="B280" s="6"/>
      <c r="C280" s="13"/>
      <c r="D280" s="13"/>
      <c r="E280" s="13"/>
      <c r="F280" s="14">
        <f t="shared" si="21"/>
        <v>0</v>
      </c>
      <c r="G280" s="13"/>
      <c r="H280" s="52"/>
      <c r="I280" s="52"/>
      <c r="J280" s="54"/>
      <c r="K280" s="13"/>
    </row>
    <row r="281" ht="18.75" spans="1:11">
      <c r="A281" s="12" t="str">
        <f ca="1" t="shared" si="20"/>
        <v/>
      </c>
      <c r="B281" s="6"/>
      <c r="C281" s="13"/>
      <c r="D281" s="13"/>
      <c r="E281" s="13"/>
      <c r="F281" s="14">
        <f t="shared" si="21"/>
        <v>0</v>
      </c>
      <c r="G281" s="13"/>
      <c r="H281" s="52"/>
      <c r="I281" s="52"/>
      <c r="J281" s="54"/>
      <c r="K281" s="13"/>
    </row>
    <row r="282" ht="18.75" spans="1:11">
      <c r="A282" s="12" t="str">
        <f ca="1" t="shared" si="20"/>
        <v/>
      </c>
      <c r="B282" s="6"/>
      <c r="C282" s="13"/>
      <c r="D282" s="13"/>
      <c r="E282" s="13"/>
      <c r="F282" s="14">
        <f t="shared" si="21"/>
        <v>0</v>
      </c>
      <c r="G282" s="13"/>
      <c r="H282" s="52"/>
      <c r="I282" s="52"/>
      <c r="J282" s="54"/>
      <c r="K282" s="13"/>
    </row>
    <row r="283" ht="18.75" spans="1:11">
      <c r="A283" s="12" t="str">
        <f ca="1" t="shared" si="20"/>
        <v/>
      </c>
      <c r="B283" s="6"/>
      <c r="C283" s="13"/>
      <c r="D283" s="13"/>
      <c r="E283" s="13"/>
      <c r="F283" s="14">
        <f t="shared" si="21"/>
        <v>0</v>
      </c>
      <c r="G283" s="13"/>
      <c r="H283" s="52"/>
      <c r="I283" s="52"/>
      <c r="J283" s="54"/>
      <c r="K283" s="13"/>
    </row>
    <row r="284" ht="18.75" spans="1:11">
      <c r="A284" s="12" t="str">
        <f ca="1" t="shared" si="20"/>
        <v/>
      </c>
      <c r="B284" s="6"/>
      <c r="C284" s="13"/>
      <c r="D284" s="13"/>
      <c r="E284" s="13"/>
      <c r="F284" s="14">
        <f t="shared" si="21"/>
        <v>0</v>
      </c>
      <c r="G284" s="13"/>
      <c r="H284" s="52"/>
      <c r="I284" s="52"/>
      <c r="J284" s="54"/>
      <c r="K284" s="13"/>
    </row>
    <row r="285" ht="18.75" spans="1:11">
      <c r="A285" s="12" t="str">
        <f ca="1" t="shared" si="20"/>
        <v/>
      </c>
      <c r="B285" s="6"/>
      <c r="C285" s="13"/>
      <c r="D285" s="13"/>
      <c r="E285" s="13"/>
      <c r="F285" s="14">
        <f t="shared" si="21"/>
        <v>0</v>
      </c>
      <c r="G285" s="13"/>
      <c r="H285" s="52"/>
      <c r="I285" s="52"/>
      <c r="J285" s="54"/>
      <c r="K285" s="13"/>
    </row>
    <row r="286" ht="18.75" spans="1:11">
      <c r="A286" s="12" t="str">
        <f ca="1" t="shared" si="20"/>
        <v/>
      </c>
      <c r="B286" s="6"/>
      <c r="C286" s="13"/>
      <c r="D286" s="13"/>
      <c r="E286" s="13"/>
      <c r="F286" s="14">
        <f t="shared" si="21"/>
        <v>0</v>
      </c>
      <c r="G286" s="13"/>
      <c r="H286" s="52"/>
      <c r="I286" s="52"/>
      <c r="J286" s="54"/>
      <c r="K286" s="13"/>
    </row>
    <row r="287" ht="18.75" spans="1:11">
      <c r="A287" s="12" t="str">
        <f ca="1" t="shared" si="20"/>
        <v/>
      </c>
      <c r="B287" s="6"/>
      <c r="C287" s="13"/>
      <c r="D287" s="13"/>
      <c r="E287" s="13"/>
      <c r="F287" s="14">
        <f t="shared" si="21"/>
        <v>0</v>
      </c>
      <c r="G287" s="13"/>
      <c r="H287" s="52"/>
      <c r="I287" s="52"/>
      <c r="J287" s="54"/>
      <c r="K287" s="13"/>
    </row>
    <row r="288" ht="18.75" spans="1:11">
      <c r="A288" s="12" t="str">
        <f ca="1" t="shared" si="20"/>
        <v/>
      </c>
      <c r="B288" s="6"/>
      <c r="C288" s="13"/>
      <c r="D288" s="13"/>
      <c r="E288" s="13"/>
      <c r="F288" s="14">
        <f t="shared" si="21"/>
        <v>0</v>
      </c>
      <c r="G288" s="13"/>
      <c r="H288" s="52"/>
      <c r="I288" s="52"/>
      <c r="J288" s="54"/>
      <c r="K288" s="13"/>
    </row>
    <row r="289" ht="18.75" spans="1:11">
      <c r="A289" s="12" t="str">
        <f ca="1" t="shared" si="20"/>
        <v/>
      </c>
      <c r="B289" s="6"/>
      <c r="C289" s="13"/>
      <c r="D289" s="13"/>
      <c r="E289" s="13"/>
      <c r="F289" s="14">
        <f t="shared" si="21"/>
        <v>0</v>
      </c>
      <c r="G289" s="13"/>
      <c r="H289" s="52"/>
      <c r="I289" s="52"/>
      <c r="J289" s="54"/>
      <c r="K289" s="13"/>
    </row>
    <row r="290" ht="18.75" spans="1:11">
      <c r="A290" s="12" t="str">
        <f ca="1" t="shared" si="20"/>
        <v/>
      </c>
      <c r="B290" s="6"/>
      <c r="C290" s="13"/>
      <c r="D290" s="13"/>
      <c r="E290" s="13"/>
      <c r="F290" s="14">
        <f t="shared" si="21"/>
        <v>0</v>
      </c>
      <c r="G290" s="13"/>
      <c r="H290" s="52"/>
      <c r="I290" s="52"/>
      <c r="J290" s="54"/>
      <c r="K290" s="13"/>
    </row>
    <row r="291" ht="18.75" spans="1:11">
      <c r="A291" s="12" t="str">
        <f ca="1" t="shared" si="20"/>
        <v/>
      </c>
      <c r="B291" s="6"/>
      <c r="C291" s="13"/>
      <c r="D291" s="13"/>
      <c r="E291" s="13"/>
      <c r="F291" s="14">
        <f t="shared" si="21"/>
        <v>0</v>
      </c>
      <c r="G291" s="13"/>
      <c r="H291" s="52"/>
      <c r="I291" s="52"/>
      <c r="J291" s="54"/>
      <c r="K291" s="13"/>
    </row>
    <row r="292" ht="18.75" spans="1:11">
      <c r="A292" s="12" t="str">
        <f ca="1" t="shared" si="20"/>
        <v/>
      </c>
      <c r="B292" s="6"/>
      <c r="C292" s="13"/>
      <c r="D292" s="13"/>
      <c r="E292" s="13"/>
      <c r="F292" s="14">
        <f t="shared" si="21"/>
        <v>0</v>
      </c>
      <c r="G292" s="13"/>
      <c r="H292" s="52"/>
      <c r="I292" s="52"/>
      <c r="J292" s="54"/>
      <c r="K292" s="13"/>
    </row>
    <row r="293" ht="18.75" spans="1:11">
      <c r="A293" s="12" t="str">
        <f ca="1" t="shared" si="20"/>
        <v/>
      </c>
      <c r="B293" s="6"/>
      <c r="C293" s="13"/>
      <c r="D293" s="13"/>
      <c r="E293" s="13"/>
      <c r="F293" s="14">
        <f t="shared" si="21"/>
        <v>0</v>
      </c>
      <c r="G293" s="13"/>
      <c r="H293" s="52"/>
      <c r="I293" s="52"/>
      <c r="J293" s="54"/>
      <c r="K293" s="13"/>
    </row>
    <row r="294" ht="18.75" spans="1:11">
      <c r="A294" s="12" t="str">
        <f ca="1" t="shared" si="20"/>
        <v/>
      </c>
      <c r="B294" s="6"/>
      <c r="C294" s="13"/>
      <c r="D294" s="13"/>
      <c r="E294" s="13"/>
      <c r="F294" s="14">
        <f t="shared" si="21"/>
        <v>0</v>
      </c>
      <c r="G294" s="13"/>
      <c r="H294" s="52"/>
      <c r="I294" s="52"/>
      <c r="J294" s="54"/>
      <c r="K294" s="13"/>
    </row>
    <row r="295" ht="18.75" spans="1:11">
      <c r="A295" s="12" t="str">
        <f ca="1" t="shared" si="20"/>
        <v/>
      </c>
      <c r="B295" s="6"/>
      <c r="C295" s="13"/>
      <c r="D295" s="13"/>
      <c r="E295" s="13"/>
      <c r="F295" s="14">
        <f t="shared" si="21"/>
        <v>0</v>
      </c>
      <c r="G295" s="13"/>
      <c r="H295" s="52"/>
      <c r="I295" s="52"/>
      <c r="J295" s="54"/>
      <c r="K295" s="13"/>
    </row>
    <row r="296" ht="18.75" spans="1:11">
      <c r="A296" s="12" t="str">
        <f ca="1" t="shared" si="20"/>
        <v/>
      </c>
      <c r="B296" s="6"/>
      <c r="C296" s="13"/>
      <c r="D296" s="13"/>
      <c r="E296" s="13"/>
      <c r="F296" s="14">
        <f t="shared" si="21"/>
        <v>0</v>
      </c>
      <c r="G296" s="13"/>
      <c r="H296" s="52"/>
      <c r="I296" s="52"/>
      <c r="J296" s="54"/>
      <c r="K296" s="13"/>
    </row>
    <row r="297" ht="18.75" spans="1:11">
      <c r="A297" s="12" t="str">
        <f ca="1" t="shared" si="20"/>
        <v/>
      </c>
      <c r="B297" s="6"/>
      <c r="C297" s="13"/>
      <c r="D297" s="13"/>
      <c r="E297" s="13"/>
      <c r="F297" s="14">
        <f t="shared" si="21"/>
        <v>0</v>
      </c>
      <c r="G297" s="13"/>
      <c r="H297" s="52"/>
      <c r="I297" s="52"/>
      <c r="J297" s="54"/>
      <c r="K297" s="13"/>
    </row>
    <row r="298" ht="18.75" spans="1:11">
      <c r="A298" s="12" t="str">
        <f ca="1" t="shared" si="20"/>
        <v/>
      </c>
      <c r="B298" s="6"/>
      <c r="C298" s="13"/>
      <c r="D298" s="13"/>
      <c r="E298" s="13"/>
      <c r="F298" s="14">
        <f t="shared" si="21"/>
        <v>0</v>
      </c>
      <c r="G298" s="13"/>
      <c r="H298" s="52"/>
      <c r="I298" s="52"/>
      <c r="J298" s="54"/>
      <c r="K298" s="13"/>
    </row>
    <row r="299" ht="18.75" spans="1:11">
      <c r="A299" s="12" t="str">
        <f ca="1" t="shared" si="20"/>
        <v/>
      </c>
      <c r="B299" s="6"/>
      <c r="C299" s="13"/>
      <c r="D299" s="13"/>
      <c r="E299" s="13"/>
      <c r="F299" s="14">
        <f t="shared" si="21"/>
        <v>0</v>
      </c>
      <c r="G299" s="13"/>
      <c r="H299" s="52"/>
      <c r="I299" s="52"/>
      <c r="J299" s="54"/>
      <c r="K299" s="13"/>
    </row>
    <row r="300" ht="18.75" spans="1:11">
      <c r="A300" s="12" t="str">
        <f ca="1" t="shared" si="20"/>
        <v/>
      </c>
      <c r="B300" s="6"/>
      <c r="C300" s="13"/>
      <c r="D300" s="13"/>
      <c r="E300" s="13"/>
      <c r="F300" s="14">
        <f t="shared" si="21"/>
        <v>0</v>
      </c>
      <c r="G300" s="13"/>
      <c r="H300" s="52"/>
      <c r="I300" s="52"/>
      <c r="J300" s="54"/>
      <c r="K300" s="13"/>
    </row>
    <row r="301" ht="18.75" spans="1:11">
      <c r="A301" s="12" t="str">
        <f ca="1" t="shared" si="20"/>
        <v/>
      </c>
      <c r="B301" s="6"/>
      <c r="C301" s="13"/>
      <c r="D301" s="13"/>
      <c r="E301" s="13"/>
      <c r="F301" s="14">
        <f t="shared" si="21"/>
        <v>0</v>
      </c>
      <c r="G301" s="13"/>
      <c r="H301" s="52"/>
      <c r="I301" s="52"/>
      <c r="J301" s="54"/>
      <c r="K301" s="13"/>
    </row>
    <row r="302" ht="18.75" spans="1:11">
      <c r="A302" s="12" t="str">
        <f ca="1" t="shared" si="20"/>
        <v/>
      </c>
      <c r="B302" s="6"/>
      <c r="C302" s="13"/>
      <c r="D302" s="13"/>
      <c r="E302" s="13"/>
      <c r="F302" s="14">
        <f t="shared" si="21"/>
        <v>0</v>
      </c>
      <c r="G302" s="13"/>
      <c r="H302" s="52"/>
      <c r="I302" s="52"/>
      <c r="J302" s="54"/>
      <c r="K302" s="13"/>
    </row>
    <row r="303" ht="18.75" spans="1:11">
      <c r="A303" s="12" t="str">
        <f ca="1" t="shared" si="20"/>
        <v/>
      </c>
      <c r="B303" s="6"/>
      <c r="C303" s="13"/>
      <c r="D303" s="13"/>
      <c r="E303" s="13"/>
      <c r="F303" s="14">
        <f t="shared" si="21"/>
        <v>0</v>
      </c>
      <c r="G303" s="13"/>
      <c r="H303" s="52"/>
      <c r="I303" s="52"/>
      <c r="J303" s="54"/>
      <c r="K303" s="13"/>
    </row>
    <row r="304" ht="18.75" spans="1:11">
      <c r="A304" s="12" t="str">
        <f ca="1" t="shared" si="20"/>
        <v/>
      </c>
      <c r="B304" s="6"/>
      <c r="C304" s="13"/>
      <c r="D304" s="13"/>
      <c r="E304" s="13"/>
      <c r="F304" s="14">
        <f t="shared" si="21"/>
        <v>0</v>
      </c>
      <c r="G304" s="13"/>
      <c r="H304" s="52"/>
      <c r="I304" s="52"/>
      <c r="J304" s="54"/>
      <c r="K304" s="13"/>
    </row>
    <row r="305" ht="18.75" spans="1:11">
      <c r="A305" s="12" t="str">
        <f ca="1" t="shared" si="20"/>
        <v/>
      </c>
      <c r="B305" s="6"/>
      <c r="C305" s="13"/>
      <c r="D305" s="13"/>
      <c r="E305" s="13"/>
      <c r="F305" s="14">
        <f t="shared" si="21"/>
        <v>0</v>
      </c>
      <c r="G305" s="13"/>
      <c r="H305" s="52"/>
      <c r="I305" s="52"/>
      <c r="J305" s="54"/>
      <c r="K305" s="13"/>
    </row>
    <row r="306" ht="18.75" spans="1:11">
      <c r="A306" s="12" t="str">
        <f ca="1" t="shared" si="20"/>
        <v/>
      </c>
      <c r="B306" s="6"/>
      <c r="C306" s="13"/>
      <c r="D306" s="13"/>
      <c r="E306" s="13"/>
      <c r="F306" s="14">
        <f t="shared" si="21"/>
        <v>0</v>
      </c>
      <c r="G306" s="13"/>
      <c r="H306" s="52"/>
      <c r="I306" s="52"/>
      <c r="J306" s="54"/>
      <c r="K306" s="13"/>
    </row>
    <row r="307" ht="18.75" spans="1:11">
      <c r="A307" s="12" t="str">
        <f ca="1" t="shared" si="20"/>
        <v/>
      </c>
      <c r="B307" s="6"/>
      <c r="C307" s="13"/>
      <c r="D307" s="13"/>
      <c r="E307" s="13"/>
      <c r="F307" s="14">
        <f t="shared" si="21"/>
        <v>0</v>
      </c>
      <c r="G307" s="13"/>
      <c r="H307" s="52"/>
      <c r="I307" s="52"/>
      <c r="J307" s="54"/>
      <c r="K307" s="13"/>
    </row>
    <row r="308" ht="18.75" spans="1:11">
      <c r="A308" s="12" t="str">
        <f ca="1" t="shared" si="20"/>
        <v/>
      </c>
      <c r="B308" s="6"/>
      <c r="C308" s="13"/>
      <c r="D308" s="13"/>
      <c r="E308" s="13"/>
      <c r="F308" s="14">
        <f t="shared" si="21"/>
        <v>0</v>
      </c>
      <c r="G308" s="13"/>
      <c r="H308" s="52"/>
      <c r="I308" s="52"/>
      <c r="J308" s="54"/>
      <c r="K308" s="13"/>
    </row>
    <row r="309" ht="18.75" spans="1:11">
      <c r="A309" s="12" t="str">
        <f ca="1" t="shared" si="20"/>
        <v/>
      </c>
      <c r="B309" s="6"/>
      <c r="C309" s="13"/>
      <c r="D309" s="13"/>
      <c r="E309" s="13"/>
      <c r="F309" s="14">
        <f t="shared" si="21"/>
        <v>0</v>
      </c>
      <c r="G309" s="13"/>
      <c r="H309" s="52"/>
      <c r="I309" s="52"/>
      <c r="J309" s="54"/>
      <c r="K309" s="13"/>
    </row>
    <row r="310" ht="18.75" spans="1:11">
      <c r="A310" s="12" t="str">
        <f ca="1" t="shared" si="20"/>
        <v/>
      </c>
      <c r="B310" s="6"/>
      <c r="C310" s="13"/>
      <c r="D310" s="13"/>
      <c r="E310" s="13"/>
      <c r="F310" s="14">
        <f t="shared" si="21"/>
        <v>0</v>
      </c>
      <c r="G310" s="13"/>
      <c r="H310" s="52"/>
      <c r="I310" s="52"/>
      <c r="J310" s="54"/>
      <c r="K310" s="13"/>
    </row>
    <row r="311" ht="18.75" spans="1:11">
      <c r="A311" s="12" t="str">
        <f ca="1" t="shared" si="20"/>
        <v/>
      </c>
      <c r="B311" s="6"/>
      <c r="C311" s="13"/>
      <c r="D311" s="13"/>
      <c r="E311" s="13"/>
      <c r="F311" s="14">
        <f t="shared" si="21"/>
        <v>0</v>
      </c>
      <c r="G311" s="13"/>
      <c r="H311" s="52"/>
      <c r="I311" s="52"/>
      <c r="J311" s="54"/>
      <c r="K311" s="13"/>
    </row>
    <row r="312" ht="18.75" spans="1:11">
      <c r="A312" s="12" t="str">
        <f ca="1" t="shared" si="20"/>
        <v/>
      </c>
      <c r="B312" s="6"/>
      <c r="C312" s="13"/>
      <c r="D312" s="13"/>
      <c r="E312" s="13"/>
      <c r="F312" s="14">
        <f t="shared" si="21"/>
        <v>0</v>
      </c>
      <c r="G312" s="13"/>
      <c r="H312" s="52"/>
      <c r="I312" s="52"/>
      <c r="J312" s="54"/>
      <c r="K312" s="13"/>
    </row>
    <row r="313" ht="18.75" spans="1:11">
      <c r="A313" s="12" t="str">
        <f ca="1" t="shared" si="20"/>
        <v/>
      </c>
      <c r="B313" s="6"/>
      <c r="C313" s="13"/>
      <c r="D313" s="13"/>
      <c r="E313" s="13"/>
      <c r="F313" s="14">
        <f t="shared" si="21"/>
        <v>0</v>
      </c>
      <c r="G313" s="13"/>
      <c r="H313" s="52"/>
      <c r="I313" s="52"/>
      <c r="J313" s="54"/>
      <c r="K313" s="13"/>
    </row>
    <row r="314" ht="18.75" spans="1:11">
      <c r="A314" s="12" t="str">
        <f ca="1" t="shared" si="20"/>
        <v/>
      </c>
      <c r="B314" s="6"/>
      <c r="C314" s="13"/>
      <c r="D314" s="13"/>
      <c r="E314" s="13"/>
      <c r="F314" s="14">
        <f t="shared" si="21"/>
        <v>0</v>
      </c>
      <c r="G314" s="13"/>
      <c r="H314" s="52"/>
      <c r="I314" s="52"/>
      <c r="J314" s="54"/>
      <c r="K314" s="13"/>
    </row>
    <row r="315" ht="18.75" spans="1:11">
      <c r="A315" s="12" t="str">
        <f ca="1" t="shared" si="20"/>
        <v/>
      </c>
      <c r="B315" s="6"/>
      <c r="C315" s="13"/>
      <c r="D315" s="13"/>
      <c r="E315" s="13"/>
      <c r="F315" s="14">
        <f t="shared" si="21"/>
        <v>0</v>
      </c>
      <c r="G315" s="13"/>
      <c r="H315" s="52"/>
      <c r="I315" s="52"/>
      <c r="J315" s="54"/>
      <c r="K315" s="13"/>
    </row>
    <row r="316" ht="18.75" spans="1:11">
      <c r="A316" s="12" t="str">
        <f ca="1" t="shared" si="20"/>
        <v/>
      </c>
      <c r="B316" s="6"/>
      <c r="C316" s="13"/>
      <c r="D316" s="13"/>
      <c r="E316" s="13"/>
      <c r="F316" s="14">
        <f t="shared" si="21"/>
        <v>0</v>
      </c>
      <c r="G316" s="13"/>
      <c r="H316" s="52"/>
      <c r="I316" s="52"/>
      <c r="J316" s="54"/>
      <c r="K316" s="13"/>
    </row>
    <row r="317" ht="18.75" spans="1:11">
      <c r="A317" s="12" t="str">
        <f ca="1" t="shared" si="20"/>
        <v/>
      </c>
      <c r="B317" s="6"/>
      <c r="C317" s="13"/>
      <c r="D317" s="13"/>
      <c r="E317" s="13"/>
      <c r="F317" s="14">
        <f t="shared" si="21"/>
        <v>0</v>
      </c>
      <c r="G317" s="13"/>
      <c r="H317" s="52"/>
      <c r="I317" s="52"/>
      <c r="J317" s="54"/>
      <c r="K317" s="13"/>
    </row>
    <row r="318" ht="18.75" spans="1:11">
      <c r="A318" s="12" t="str">
        <f ca="1" t="shared" si="20"/>
        <v/>
      </c>
      <c r="B318" s="6"/>
      <c r="C318" s="13"/>
      <c r="D318" s="13"/>
      <c r="E318" s="13"/>
      <c r="F318" s="14">
        <f t="shared" si="21"/>
        <v>0</v>
      </c>
      <c r="G318" s="13"/>
      <c r="H318" s="52"/>
      <c r="I318" s="52"/>
      <c r="J318" s="54"/>
      <c r="K318" s="13"/>
    </row>
    <row r="319" ht="18.75" spans="1:11">
      <c r="A319" s="12" t="str">
        <f ca="1" t="shared" si="20"/>
        <v/>
      </c>
      <c r="B319" s="6"/>
      <c r="C319" s="13"/>
      <c r="D319" s="13"/>
      <c r="E319" s="13"/>
      <c r="F319" s="14">
        <f t="shared" si="21"/>
        <v>0</v>
      </c>
      <c r="G319" s="13"/>
      <c r="H319" s="52"/>
      <c r="I319" s="52"/>
      <c r="J319" s="54"/>
      <c r="K319" s="13"/>
    </row>
    <row r="320" ht="18.75" spans="1:11">
      <c r="A320" s="12" t="str">
        <f ca="1" t="shared" si="20"/>
        <v/>
      </c>
      <c r="B320" s="6"/>
      <c r="C320" s="13"/>
      <c r="D320" s="13"/>
      <c r="E320" s="13"/>
      <c r="F320" s="14">
        <f t="shared" si="21"/>
        <v>0</v>
      </c>
      <c r="G320" s="13"/>
      <c r="H320" s="52"/>
      <c r="I320" s="52"/>
      <c r="J320" s="54"/>
      <c r="K320" s="13"/>
    </row>
    <row r="321" ht="18.75" spans="1:11">
      <c r="A321" s="12" t="str">
        <f ca="1" t="shared" si="20"/>
        <v/>
      </c>
      <c r="B321" s="6"/>
      <c r="C321" s="13"/>
      <c r="D321" s="13"/>
      <c r="E321" s="13"/>
      <c r="F321" s="14">
        <f t="shared" si="21"/>
        <v>0</v>
      </c>
      <c r="G321" s="13"/>
      <c r="H321" s="52"/>
      <c r="I321" s="52"/>
      <c r="J321" s="54"/>
      <c r="K321" s="13"/>
    </row>
    <row r="322" ht="18.75" spans="1:11">
      <c r="A322" s="12" t="str">
        <f ca="1" t="shared" si="20"/>
        <v/>
      </c>
      <c r="B322" s="6"/>
      <c r="C322" s="13"/>
      <c r="D322" s="13"/>
      <c r="E322" s="13"/>
      <c r="F322" s="14">
        <f t="shared" si="21"/>
        <v>0</v>
      </c>
      <c r="G322" s="13"/>
      <c r="H322" s="52"/>
      <c r="I322" s="52"/>
      <c r="J322" s="54"/>
      <c r="K322" s="13"/>
    </row>
    <row r="323" ht="18.75" spans="1:11">
      <c r="A323" s="12" t="str">
        <f ca="1" t="shared" ref="A323:A339" si="22">IF(B323="","",IF(A323="",NOW(),A323))</f>
        <v/>
      </c>
      <c r="B323" s="6"/>
      <c r="C323" s="13"/>
      <c r="D323" s="13"/>
      <c r="E323" s="13"/>
      <c r="F323" s="14">
        <f t="shared" si="21"/>
        <v>0</v>
      </c>
      <c r="G323" s="13"/>
      <c r="H323" s="52"/>
      <c r="I323" s="52"/>
      <c r="J323" s="54"/>
      <c r="K323" s="13"/>
    </row>
    <row r="324" ht="18.75" spans="1:11">
      <c r="A324" s="12" t="str">
        <f ca="1" t="shared" si="22"/>
        <v/>
      </c>
      <c r="B324" s="6"/>
      <c r="C324" s="13"/>
      <c r="D324" s="13"/>
      <c r="E324" s="13"/>
      <c r="F324" s="14">
        <f t="shared" si="21"/>
        <v>0</v>
      </c>
      <c r="G324" s="13"/>
      <c r="H324" s="52"/>
      <c r="I324" s="52"/>
      <c r="J324" s="54"/>
      <c r="K324" s="13"/>
    </row>
    <row r="325" ht="18.75" spans="1:11">
      <c r="A325" s="12" t="str">
        <f ca="1" t="shared" si="22"/>
        <v/>
      </c>
      <c r="B325" s="6"/>
      <c r="C325" s="13"/>
      <c r="D325" s="13"/>
      <c r="E325" s="13"/>
      <c r="F325" s="14">
        <f t="shared" si="21"/>
        <v>0</v>
      </c>
      <c r="G325" s="13"/>
      <c r="H325" s="52"/>
      <c r="I325" s="52"/>
      <c r="J325" s="54"/>
      <c r="K325" s="13"/>
    </row>
    <row r="326" ht="18.75" spans="1:11">
      <c r="A326" s="12" t="str">
        <f ca="1" t="shared" si="22"/>
        <v/>
      </c>
      <c r="B326" s="6"/>
      <c r="C326" s="13"/>
      <c r="D326" s="13"/>
      <c r="E326" s="13"/>
      <c r="F326" s="14">
        <f t="shared" si="21"/>
        <v>0</v>
      </c>
      <c r="G326" s="13"/>
      <c r="H326" s="52"/>
      <c r="I326" s="52"/>
      <c r="J326" s="54"/>
      <c r="K326" s="13"/>
    </row>
    <row r="327" ht="18.75" spans="1:11">
      <c r="A327" s="12" t="str">
        <f ca="1" t="shared" si="22"/>
        <v/>
      </c>
      <c r="B327" s="6"/>
      <c r="C327" s="13"/>
      <c r="D327" s="13"/>
      <c r="E327" s="13"/>
      <c r="F327" s="14">
        <f t="shared" si="21"/>
        <v>0</v>
      </c>
      <c r="G327" s="13"/>
      <c r="H327" s="52"/>
      <c r="I327" s="52"/>
      <c r="J327" s="54"/>
      <c r="K327" s="13"/>
    </row>
    <row r="328" ht="18.75" spans="1:11">
      <c r="A328" s="12" t="str">
        <f ca="1" t="shared" si="22"/>
        <v/>
      </c>
      <c r="B328" s="6"/>
      <c r="C328" s="13"/>
      <c r="D328" s="13"/>
      <c r="E328" s="13"/>
      <c r="F328" s="14">
        <f t="shared" si="21"/>
        <v>0</v>
      </c>
      <c r="G328" s="13"/>
      <c r="H328" s="52"/>
      <c r="I328" s="52"/>
      <c r="J328" s="54"/>
      <c r="K328" s="13"/>
    </row>
    <row r="329" ht="18.75" spans="1:11">
      <c r="A329" s="12" t="str">
        <f ca="1" t="shared" si="22"/>
        <v/>
      </c>
      <c r="B329" s="6"/>
      <c r="C329" s="13"/>
      <c r="D329" s="13"/>
      <c r="E329" s="13"/>
      <c r="F329" s="14">
        <f t="shared" si="21"/>
        <v>0</v>
      </c>
      <c r="G329" s="13"/>
      <c r="H329" s="52"/>
      <c r="I329" s="52"/>
      <c r="J329" s="54"/>
      <c r="K329" s="13"/>
    </row>
    <row r="330" ht="18.75" spans="1:11">
      <c r="A330" s="12" t="str">
        <f ca="1" t="shared" si="22"/>
        <v/>
      </c>
      <c r="B330" s="6"/>
      <c r="C330" s="13"/>
      <c r="D330" s="13"/>
      <c r="E330" s="13"/>
      <c r="F330" s="14">
        <f t="shared" si="21"/>
        <v>0</v>
      </c>
      <c r="G330" s="13"/>
      <c r="H330" s="52"/>
      <c r="I330" s="52"/>
      <c r="J330" s="54"/>
      <c r="K330" s="13"/>
    </row>
    <row r="331" ht="18.75" spans="1:11">
      <c r="A331" s="12" t="str">
        <f ca="1" t="shared" si="22"/>
        <v/>
      </c>
      <c r="B331" s="6"/>
      <c r="C331" s="13"/>
      <c r="D331" s="13"/>
      <c r="E331" s="13"/>
      <c r="F331" s="14">
        <f t="shared" si="21"/>
        <v>0</v>
      </c>
      <c r="G331" s="13"/>
      <c r="H331" s="52"/>
      <c r="I331" s="52"/>
      <c r="J331" s="54"/>
      <c r="K331" s="13"/>
    </row>
    <row r="332" ht="18.75" spans="1:11">
      <c r="A332" s="12" t="str">
        <f ca="1" t="shared" si="22"/>
        <v/>
      </c>
      <c r="B332" s="6"/>
      <c r="C332" s="13"/>
      <c r="D332" s="13"/>
      <c r="E332" s="13"/>
      <c r="F332" s="14">
        <f t="shared" si="21"/>
        <v>0</v>
      </c>
      <c r="G332" s="13"/>
      <c r="H332" s="52"/>
      <c r="I332" s="52"/>
      <c r="J332" s="54"/>
      <c r="K332" s="13"/>
    </row>
    <row r="333" ht="18.75" spans="1:11">
      <c r="A333" s="12" t="str">
        <f ca="1" t="shared" si="22"/>
        <v/>
      </c>
      <c r="B333" s="6"/>
      <c r="C333" s="13"/>
      <c r="D333" s="13"/>
      <c r="E333" s="13"/>
      <c r="F333" s="14">
        <f t="shared" si="21"/>
        <v>0</v>
      </c>
      <c r="G333" s="13"/>
      <c r="H333" s="52"/>
      <c r="I333" s="52"/>
      <c r="J333" s="54"/>
      <c r="K333" s="13"/>
    </row>
    <row r="334" ht="18.75" spans="1:11">
      <c r="A334" s="12" t="str">
        <f ca="1" t="shared" si="22"/>
        <v/>
      </c>
      <c r="B334" s="6"/>
      <c r="C334" s="13"/>
      <c r="D334" s="13"/>
      <c r="E334" s="13"/>
      <c r="F334" s="14">
        <f t="shared" ref="F334:F339" si="23">IF(E334-C334&lt;0,"24:00"-C334+E334,E334-C334)</f>
        <v>0</v>
      </c>
      <c r="G334" s="13"/>
      <c r="H334" s="52"/>
      <c r="I334" s="52"/>
      <c r="J334" s="54"/>
      <c r="K334" s="13"/>
    </row>
    <row r="335" ht="18.75" spans="1:11">
      <c r="A335" s="12" t="str">
        <f ca="1" t="shared" si="22"/>
        <v/>
      </c>
      <c r="B335" s="6"/>
      <c r="C335" s="13"/>
      <c r="D335" s="13"/>
      <c r="E335" s="13"/>
      <c r="F335" s="14">
        <f t="shared" si="23"/>
        <v>0</v>
      </c>
      <c r="G335" s="13"/>
      <c r="H335" s="52"/>
      <c r="I335" s="52"/>
      <c r="J335" s="54"/>
      <c r="K335" s="13"/>
    </row>
    <row r="336" ht="18.75" spans="1:11">
      <c r="A336" s="12" t="str">
        <f ca="1" t="shared" si="22"/>
        <v/>
      </c>
      <c r="B336" s="6"/>
      <c r="C336" s="13"/>
      <c r="D336" s="13"/>
      <c r="E336" s="13"/>
      <c r="F336" s="14">
        <f t="shared" si="23"/>
        <v>0</v>
      </c>
      <c r="G336" s="13"/>
      <c r="H336" s="52"/>
      <c r="I336" s="52"/>
      <c r="J336" s="54"/>
      <c r="K336" s="13"/>
    </row>
    <row r="337" ht="18.75" spans="1:11">
      <c r="A337" s="12" t="str">
        <f ca="1" t="shared" si="22"/>
        <v/>
      </c>
      <c r="B337" s="6"/>
      <c r="C337" s="13"/>
      <c r="D337" s="13"/>
      <c r="E337" s="13"/>
      <c r="F337" s="14">
        <f t="shared" si="23"/>
        <v>0</v>
      </c>
      <c r="G337" s="13"/>
      <c r="H337" s="52"/>
      <c r="I337" s="52"/>
      <c r="J337" s="54"/>
      <c r="K337" s="13"/>
    </row>
    <row r="338" ht="18.75" spans="1:11">
      <c r="A338" s="12" t="str">
        <f ca="1" t="shared" si="22"/>
        <v/>
      </c>
      <c r="B338" s="6"/>
      <c r="C338" s="13"/>
      <c r="D338" s="13"/>
      <c r="E338" s="13"/>
      <c r="F338" s="14">
        <f t="shared" si="23"/>
        <v>0</v>
      </c>
      <c r="G338" s="13"/>
      <c r="H338" s="52"/>
      <c r="I338" s="52"/>
      <c r="J338" s="54"/>
      <c r="K338" s="13"/>
    </row>
    <row r="339" ht="18.75" spans="1:11">
      <c r="A339" s="12" t="str">
        <f ca="1" t="shared" si="22"/>
        <v/>
      </c>
      <c r="B339" s="6"/>
      <c r="C339" s="13"/>
      <c r="D339" s="13"/>
      <c r="E339" s="13"/>
      <c r="F339" s="14">
        <f t="shared" si="23"/>
        <v>0</v>
      </c>
      <c r="G339" s="13"/>
      <c r="H339" s="52"/>
      <c r="I339" s="52"/>
      <c r="J339" s="54"/>
      <c r="K339" s="13"/>
    </row>
  </sheetData>
  <autoFilter xmlns:etc="http://www.wps.cn/officeDocument/2017/etCustomData" ref="A2:K339" etc:filterBottomFollowUsedRange="0">
    <extLst/>
  </autoFilter>
  <mergeCells count="3">
    <mergeCell ref="A1:K1"/>
    <mergeCell ref="J20:L20"/>
    <mergeCell ref="I13:M14"/>
  </mergeCells>
  <dataValidations count="3">
    <dataValidation type="list" allowBlank="1" showInputMessage="1" showErrorMessage="1" sqref="B$1:B$1048576">
      <formula1>"带班主任,西塔台管制席,西塔台协调席,东塔台管制席,东塔台协调席,放行席,生产调度席,航班调度席,地面席,管制教员席,见习管制员,综合协调席"</formula1>
    </dataValidation>
    <dataValidation type="list" allowBlank="1" showInputMessage="1" showErrorMessage="1" sqref="D3:D339">
      <formula1>"完成"</formula1>
    </dataValidation>
    <dataValidation type="list" allowBlank="1" showInputMessage="1" showErrorMessage="1" sqref="K38:K339">
      <formula1>"复杂天气双带班,复杂天气增加席位,军方活动双带班,军方活动增加席位,其它原因增加席位"</formula1>
    </dataValidation>
  </dataValidations>
  <hyperlinks>
    <hyperlink ref="A1" location="'Sheet1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sheet1</vt:lpstr>
      <vt:lpstr>温若春</vt:lpstr>
      <vt:lpstr>明嘉</vt:lpstr>
      <vt:lpstr>徐万友</vt:lpstr>
      <vt:lpstr>耿若岩</vt:lpstr>
      <vt:lpstr>李明</vt:lpstr>
      <vt:lpstr>张虎</vt:lpstr>
      <vt:lpstr>马莲花</vt:lpstr>
      <vt:lpstr>刘国莲</vt:lpstr>
      <vt:lpstr>杜涛</vt:lpstr>
      <vt:lpstr>张文中</vt:lpstr>
      <vt:lpstr>李秋实</vt:lpstr>
      <vt:lpstr>周岸</vt:lpstr>
      <vt:lpstr>詹泽彬</vt:lpstr>
      <vt:lpstr>张笑延</vt:lpstr>
      <vt:lpstr>沈宁</vt:lpstr>
      <vt:lpstr>胡鑫</vt:lpstr>
      <vt:lpstr>邓心豪</vt:lpstr>
      <vt:lpstr>黄恩</vt:lpstr>
      <vt:lpstr>严亮</vt:lpstr>
      <vt:lpstr>边昊</vt:lpstr>
      <vt:lpstr>张宗根</vt:lpstr>
      <vt:lpstr>潘伟生</vt:lpstr>
      <vt:lpstr>蔡昊霖</vt:lpstr>
      <vt:lpstr>叶大鹏</vt:lpstr>
      <vt:lpstr>王建超</vt:lpstr>
      <vt:lpstr>王风瑞</vt:lpstr>
      <vt:lpstr>金鼎</vt:lpstr>
      <vt:lpstr>董志华</vt:lpstr>
      <vt:lpstr>姜文夫</vt:lpstr>
      <vt:lpstr>郭永杰</vt:lpstr>
      <vt:lpstr>吴疆</vt:lpstr>
      <vt:lpstr>朱永春</vt:lpstr>
      <vt:lpstr>刘琦</vt:lpstr>
      <vt:lpstr>巴富毅</vt:lpstr>
      <vt:lpstr>陈宏伟</vt:lpstr>
      <vt:lpstr>蒋露裕</vt:lpstr>
      <vt:lpstr>蓝宇航</vt:lpstr>
      <vt:lpstr>程卓</vt:lpstr>
      <vt:lpstr>郑文卓</vt:lpstr>
      <vt:lpstr>宋天霖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2026-08-02T09:11:41Z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D16B80E0B97949118579072BB318C112_13</vt:lpwstr>
  </property>
  <property fmtid="{D5CDD505-2E9C-101B-9397-08002B2CF9AE}" pid="3" name="KSOProductBuildVer">
    <vt:lpwstr>2052-12.1.0.19770</vt:lpwstr>
  </property>
</Properties>
</file>