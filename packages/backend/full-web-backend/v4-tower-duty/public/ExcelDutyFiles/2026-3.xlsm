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All-js-project\packages\frontend\atc-duty-front-react-js\dist\"/>
    </mc:Choice>
  </mc:AlternateContent>
  <bookViews>
    <workbookView xWindow="0" yWindow="0" windowWidth="15360" windowHeight="13500" tabRatio="913" firstSheet="22" activeTab="33"/>
  </bookViews>
  <sheets>
    <sheet name="sheet1" sheetId="123" r:id="rId1"/>
    <sheet name="温若春" sheetId="57" r:id="rId2"/>
    <sheet name="徐万友" sheetId="80" r:id="rId3"/>
    <sheet name="明嘉" sheetId="79" r:id="rId4"/>
    <sheet name="耿若岩" sheetId="82" r:id="rId5"/>
    <sheet name="李明" sheetId="83" r:id="rId6"/>
    <sheet name="张虎" sheetId="85" r:id="rId7"/>
    <sheet name="马莲花" sheetId="86" r:id="rId8"/>
    <sheet name="刘国莲" sheetId="87" r:id="rId9"/>
    <sheet name="杜涛" sheetId="88" r:id="rId10"/>
    <sheet name="张文中" sheetId="89" r:id="rId11"/>
    <sheet name="李秋实" sheetId="90" r:id="rId12"/>
    <sheet name="周岸" sheetId="91" r:id="rId13"/>
    <sheet name="詹泽彬" sheetId="92" r:id="rId14"/>
    <sheet name="张笑延" sheetId="93" r:id="rId15"/>
    <sheet name="沈宁" sheetId="94" r:id="rId16"/>
    <sheet name="胡鑫" sheetId="95" r:id="rId17"/>
    <sheet name="邓心豪" sheetId="96" r:id="rId18"/>
    <sheet name="黄恩" sheetId="97" r:id="rId19"/>
    <sheet name="严亮" sheetId="98" r:id="rId20"/>
    <sheet name="边昊" sheetId="99" r:id="rId21"/>
    <sheet name="张宗根" sheetId="100" r:id="rId22"/>
    <sheet name="潘伟生" sheetId="105" r:id="rId23"/>
    <sheet name="蔡昊霖" sheetId="102" r:id="rId24"/>
    <sheet name="叶大鹏" sheetId="103" r:id="rId25"/>
    <sheet name="王建超" sheetId="104" r:id="rId26"/>
    <sheet name="王风瑞" sheetId="106" r:id="rId27"/>
    <sheet name="董志华" sheetId="108" r:id="rId28"/>
    <sheet name="金鼎" sheetId="107" r:id="rId29"/>
    <sheet name="姜文夫" sheetId="109" r:id="rId30"/>
    <sheet name="郭永杰" sheetId="110" r:id="rId31"/>
    <sheet name="吴疆" sheetId="113" r:id="rId32"/>
    <sheet name="朱永春" sheetId="111" r:id="rId33"/>
    <sheet name="刘琦" sheetId="112" r:id="rId34"/>
    <sheet name="巴富毅" sheetId="114" r:id="rId35"/>
    <sheet name="陈宏伟" sheetId="118" r:id="rId36"/>
    <sheet name="蒋露裕" sheetId="119" r:id="rId37"/>
    <sheet name="蓝宇航" sheetId="120" r:id="rId38"/>
    <sheet name="程卓" sheetId="121" r:id="rId39"/>
    <sheet name="郑文卓" sheetId="122" r:id="rId40"/>
    <sheet name="王维华" sheetId="115" r:id="rId41"/>
    <sheet name="何飞" sheetId="116" r:id="rId42"/>
    <sheet name="宋天霖" sheetId="101" r:id="rId43"/>
    <sheet name="Sheet2" sheetId="124" r:id="rId44"/>
    <sheet name="Sheet3" sheetId="125" r:id="rId45"/>
    <sheet name="Sheet4" sheetId="126" r:id="rId46"/>
  </sheets>
  <definedNames>
    <definedName name="_xlnm._FilterDatabase" localSheetId="34" hidden="1">巴富毅!$A$2:$K$42</definedName>
    <definedName name="_xlnm._FilterDatabase" localSheetId="20" hidden="1">边昊!$A$2:$K$42</definedName>
    <definedName name="_xlnm._FilterDatabase" localSheetId="23" hidden="1">蔡昊霖!$A$2:$K$42</definedName>
    <definedName name="_xlnm._FilterDatabase" localSheetId="35" hidden="1">陈宏伟!$A$2:$K$42</definedName>
    <definedName name="_xlnm._FilterDatabase" localSheetId="38" hidden="1">程卓!$A$2:$K$42</definedName>
    <definedName name="_xlnm._FilterDatabase" localSheetId="17" hidden="1">邓心豪!$A$2:$K$42</definedName>
    <definedName name="_xlnm._FilterDatabase" localSheetId="27" hidden="1">董志华!$A$2:$K$42</definedName>
    <definedName name="_xlnm._FilterDatabase" localSheetId="9" hidden="1">杜涛!$A$2:$K$42</definedName>
    <definedName name="_xlnm._FilterDatabase" localSheetId="4" hidden="1">耿若岩!$A$2:$K$42</definedName>
    <definedName name="_xlnm._FilterDatabase" localSheetId="30" hidden="1">郭永杰!$A$2:$K$42</definedName>
    <definedName name="_xlnm._FilterDatabase" localSheetId="41" hidden="1">何飞!$A$2:$K$42</definedName>
    <definedName name="_xlnm._FilterDatabase" localSheetId="16" hidden="1">胡鑫!$A$2:$K$42</definedName>
    <definedName name="_xlnm._FilterDatabase" localSheetId="18" hidden="1">黄恩!$A$2:$K$42</definedName>
    <definedName name="_xlnm._FilterDatabase" localSheetId="29" hidden="1">姜文夫!$A$2:$K$42</definedName>
    <definedName name="_xlnm._FilterDatabase" localSheetId="36" hidden="1">蒋露裕!$A$2:$K$42</definedName>
    <definedName name="_xlnm._FilterDatabase" localSheetId="28" hidden="1">金鼎!$A$2:$K$42</definedName>
    <definedName name="_xlnm._FilterDatabase" localSheetId="37" hidden="1">蓝宇航!$A$2:$K$42</definedName>
    <definedName name="_xlnm._FilterDatabase" localSheetId="5" hidden="1">李明!$A$2:$K$42</definedName>
    <definedName name="_xlnm._FilterDatabase" localSheetId="11" hidden="1">李秋实!$A$2:$K$42</definedName>
    <definedName name="_xlnm._FilterDatabase" localSheetId="8" hidden="1">刘国莲!$A$2:$K$42</definedName>
    <definedName name="_xlnm._FilterDatabase" localSheetId="33" hidden="1">刘琦!$A$2:$K$42</definedName>
    <definedName name="_xlnm._FilterDatabase" localSheetId="7" hidden="1">马莲花!$A$2:$K$42</definedName>
    <definedName name="_xlnm._FilterDatabase" localSheetId="3" hidden="1">明嘉!$A$2:$K$42</definedName>
    <definedName name="_xlnm._FilterDatabase" localSheetId="22" hidden="1">潘伟生!$A$2:$K$42</definedName>
    <definedName name="_xlnm._FilterDatabase" localSheetId="15" hidden="1">沈宁!$A$2:$K$42</definedName>
    <definedName name="_xlnm._FilterDatabase" localSheetId="42" hidden="1">宋天霖!$A$2:$K$42</definedName>
    <definedName name="_xlnm._FilterDatabase" localSheetId="26" hidden="1">王风瑞!$A$2:$K$42</definedName>
    <definedName name="_xlnm._FilterDatabase" localSheetId="25" hidden="1">王建超!$A$2:$K$42</definedName>
    <definedName name="_xlnm._FilterDatabase" localSheetId="40" hidden="1">王维华!$A$2:$K$42</definedName>
    <definedName name="_xlnm._FilterDatabase" localSheetId="1" hidden="1">温若春!$A$2:$K$42</definedName>
    <definedName name="_xlnm._FilterDatabase" localSheetId="31" hidden="1">吴疆!$A$2:$K$42</definedName>
    <definedName name="_xlnm._FilterDatabase" localSheetId="2" hidden="1">徐万友!$A$2:$K$42</definedName>
    <definedName name="_xlnm._FilterDatabase" localSheetId="19" hidden="1">严亮!$A$2:$K$42</definedName>
    <definedName name="_xlnm._FilterDatabase" localSheetId="24" hidden="1">叶大鹏!$A$2:$K$42</definedName>
    <definedName name="_xlnm._FilterDatabase" localSheetId="13" hidden="1">詹泽彬!$A$2:$K$42</definedName>
    <definedName name="_xlnm._FilterDatabase" localSheetId="6" hidden="1">张虎!$A$2:$K$42</definedName>
    <definedName name="_xlnm._FilterDatabase" localSheetId="10" hidden="1">张文中!$A$2:$K$42</definedName>
    <definedName name="_xlnm._FilterDatabase" localSheetId="14" hidden="1">张笑延!$A$2:$K$42</definedName>
    <definedName name="_xlnm._FilterDatabase" localSheetId="21" hidden="1">张宗根!$A$2:$K$42</definedName>
    <definedName name="_xlnm._FilterDatabase" localSheetId="39" hidden="1">郑文卓!$A$2:$K$42</definedName>
    <definedName name="_xlnm._FilterDatabase" localSheetId="12" hidden="1">周岸!$A$2:$K$42</definedName>
    <definedName name="_xlnm._FilterDatabase" localSheetId="32" hidden="1">朱永春!$A$2:$K$42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101" l="1"/>
  <c r="F42" i="101"/>
  <c r="G42" i="101" s="1"/>
  <c r="A42" i="101"/>
  <c r="H41" i="101"/>
  <c r="F41" i="101"/>
  <c r="G41" i="101" s="1"/>
  <c r="A41" i="101"/>
  <c r="H40" i="101"/>
  <c r="F40" i="101"/>
  <c r="G40" i="101" s="1"/>
  <c r="A40" i="101"/>
  <c r="H39" i="101"/>
  <c r="F39" i="101"/>
  <c r="G39" i="101" s="1"/>
  <c r="A39" i="101"/>
  <c r="H38" i="101"/>
  <c r="F38" i="101"/>
  <c r="G38" i="101" s="1"/>
  <c r="A38" i="101"/>
  <c r="H37" i="101"/>
  <c r="G37" i="101"/>
  <c r="F37" i="101"/>
  <c r="A37" i="101"/>
  <c r="H36" i="101"/>
  <c r="F36" i="101"/>
  <c r="G36" i="101" s="1"/>
  <c r="A36" i="101"/>
  <c r="H35" i="101"/>
  <c r="F35" i="101"/>
  <c r="G35" i="101" s="1"/>
  <c r="A35" i="101"/>
  <c r="H34" i="101"/>
  <c r="F34" i="101"/>
  <c r="G34" i="101" s="1"/>
  <c r="A34" i="101"/>
  <c r="H33" i="101"/>
  <c r="F33" i="101"/>
  <c r="G33" i="101" s="1"/>
  <c r="A33" i="101"/>
  <c r="H32" i="101"/>
  <c r="F32" i="101"/>
  <c r="G32" i="101" s="1"/>
  <c r="A32" i="101"/>
  <c r="H31" i="101"/>
  <c r="F31" i="101"/>
  <c r="G31" i="101" s="1"/>
  <c r="A31" i="101"/>
  <c r="H30" i="101"/>
  <c r="F30" i="101"/>
  <c r="G30" i="101" s="1"/>
  <c r="A30" i="101"/>
  <c r="H29" i="101"/>
  <c r="G29" i="101"/>
  <c r="F29" i="101"/>
  <c r="A29" i="101"/>
  <c r="H28" i="101"/>
  <c r="F28" i="101"/>
  <c r="G28" i="101" s="1"/>
  <c r="A28" i="101"/>
  <c r="H27" i="101"/>
  <c r="F27" i="101"/>
  <c r="G27" i="101" s="1"/>
  <c r="A27" i="101"/>
  <c r="H26" i="101"/>
  <c r="F26" i="101"/>
  <c r="G26" i="101" s="1"/>
  <c r="A26" i="101"/>
  <c r="H25" i="101"/>
  <c r="F25" i="101"/>
  <c r="G25" i="101" s="1"/>
  <c r="A25" i="101"/>
  <c r="H24" i="101"/>
  <c r="F24" i="101"/>
  <c r="G24" i="101" s="1"/>
  <c r="A24" i="101"/>
  <c r="H23" i="101"/>
  <c r="F23" i="101"/>
  <c r="G23" i="101" s="1"/>
  <c r="A23" i="101"/>
  <c r="H22" i="101"/>
  <c r="F22" i="101"/>
  <c r="G22" i="101" s="1"/>
  <c r="A22" i="101"/>
  <c r="H21" i="101"/>
  <c r="F21" i="101"/>
  <c r="G21" i="101" s="1"/>
  <c r="A21" i="101"/>
  <c r="H20" i="101"/>
  <c r="F20" i="101"/>
  <c r="G20" i="101" s="1"/>
  <c r="A20" i="101"/>
  <c r="H19" i="101"/>
  <c r="F19" i="101"/>
  <c r="G19" i="101" s="1"/>
  <c r="A19" i="101"/>
  <c r="H18" i="101"/>
  <c r="F18" i="101"/>
  <c r="G18" i="101" s="1"/>
  <c r="A18" i="101"/>
  <c r="H17" i="101"/>
  <c r="F17" i="101"/>
  <c r="G17" i="101" s="1"/>
  <c r="A17" i="101"/>
  <c r="L16" i="101"/>
  <c r="E26" i="123" s="1"/>
  <c r="J16" i="101"/>
  <c r="H16" i="101"/>
  <c r="F16" i="101"/>
  <c r="G16" i="101" s="1"/>
  <c r="A16" i="101"/>
  <c r="H15" i="101"/>
  <c r="F15" i="101"/>
  <c r="G15" i="101" s="1"/>
  <c r="A15" i="101"/>
  <c r="H14" i="101"/>
  <c r="F14" i="101"/>
  <c r="G14" i="101" s="1"/>
  <c r="A14" i="101"/>
  <c r="H13" i="101"/>
  <c r="F13" i="101"/>
  <c r="G13" i="101" s="1"/>
  <c r="A13" i="101"/>
  <c r="L12" i="101"/>
  <c r="L19" i="101" s="1"/>
  <c r="G26" i="123" s="1"/>
  <c r="K12" i="101"/>
  <c r="K19" i="101" s="1"/>
  <c r="D26" i="123" s="1"/>
  <c r="J12" i="101"/>
  <c r="J19" i="101" s="1"/>
  <c r="H12" i="101"/>
  <c r="F12" i="101"/>
  <c r="G12" i="101" s="1"/>
  <c r="A12" i="101"/>
  <c r="L11" i="101"/>
  <c r="L18" i="101" s="1"/>
  <c r="K11" i="101"/>
  <c r="K18" i="101" s="1"/>
  <c r="J11" i="101"/>
  <c r="J18" i="101" s="1"/>
  <c r="H11" i="101"/>
  <c r="F11" i="101"/>
  <c r="G11" i="101" s="1"/>
  <c r="A11" i="101"/>
  <c r="L10" i="101"/>
  <c r="K10" i="101"/>
  <c r="J10" i="101"/>
  <c r="H10" i="101"/>
  <c r="F10" i="101"/>
  <c r="G10" i="101" s="1"/>
  <c r="A10" i="101"/>
  <c r="L9" i="101"/>
  <c r="L21" i="101" s="1"/>
  <c r="K9" i="101"/>
  <c r="K21" i="101" s="1"/>
  <c r="J9" i="101"/>
  <c r="H9" i="101"/>
  <c r="F9" i="101"/>
  <c r="G9" i="101" s="1"/>
  <c r="A9" i="101"/>
  <c r="L8" i="101"/>
  <c r="K8" i="101"/>
  <c r="J8" i="101"/>
  <c r="J21" i="101" s="1"/>
  <c r="I26" i="123" s="1"/>
  <c r="H8" i="101"/>
  <c r="F8" i="101"/>
  <c r="G8" i="101" s="1"/>
  <c r="A8" i="101"/>
  <c r="L7" i="101"/>
  <c r="K7" i="101"/>
  <c r="J7" i="101"/>
  <c r="H7" i="101"/>
  <c r="F7" i="101"/>
  <c r="G7" i="101" s="1"/>
  <c r="A7" i="101"/>
  <c r="L6" i="101"/>
  <c r="K6" i="101"/>
  <c r="J6" i="101"/>
  <c r="H6" i="101"/>
  <c r="F6" i="101"/>
  <c r="G6" i="101" s="1"/>
  <c r="A6" i="101"/>
  <c r="L5" i="101"/>
  <c r="L17" i="101" s="1"/>
  <c r="F26" i="123" s="1"/>
  <c r="K5" i="101"/>
  <c r="K17" i="101" s="1"/>
  <c r="C26" i="123" s="1"/>
  <c r="J5" i="101"/>
  <c r="J17" i="101" s="1"/>
  <c r="J20" i="101" s="1"/>
  <c r="H5" i="101"/>
  <c r="F5" i="101"/>
  <c r="G5" i="101" s="1"/>
  <c r="A5" i="101"/>
  <c r="L4" i="101"/>
  <c r="K4" i="101"/>
  <c r="J4" i="101"/>
  <c r="H4" i="101"/>
  <c r="G4" i="101"/>
  <c r="F4" i="101"/>
  <c r="A4" i="101"/>
  <c r="L3" i="101"/>
  <c r="K3" i="101"/>
  <c r="K16" i="101" s="1"/>
  <c r="B26" i="123" s="1"/>
  <c r="J3" i="101"/>
  <c r="H3" i="101"/>
  <c r="G3" i="101"/>
  <c r="F3" i="101"/>
  <c r="A3" i="101"/>
  <c r="H42" i="116"/>
  <c r="G42" i="116" s="1"/>
  <c r="F42" i="116"/>
  <c r="A42" i="116"/>
  <c r="H41" i="116"/>
  <c r="F41" i="116"/>
  <c r="G41" i="116" s="1"/>
  <c r="A41" i="116"/>
  <c r="H40" i="116"/>
  <c r="G40" i="116"/>
  <c r="F40" i="116"/>
  <c r="A40" i="116"/>
  <c r="H39" i="116"/>
  <c r="F39" i="116"/>
  <c r="G39" i="116" s="1"/>
  <c r="A39" i="116"/>
  <c r="H38" i="116"/>
  <c r="F38" i="116"/>
  <c r="G38" i="116" s="1"/>
  <c r="A38" i="116"/>
  <c r="H37" i="116"/>
  <c r="G37" i="116"/>
  <c r="F37" i="116"/>
  <c r="A37" i="116"/>
  <c r="H36" i="116"/>
  <c r="G36" i="116"/>
  <c r="F36" i="116"/>
  <c r="A36" i="116"/>
  <c r="H35" i="116"/>
  <c r="G35" i="116"/>
  <c r="F35" i="116"/>
  <c r="A35" i="116"/>
  <c r="H34" i="116"/>
  <c r="G34" i="116" s="1"/>
  <c r="F34" i="116"/>
  <c r="A34" i="116"/>
  <c r="H33" i="116"/>
  <c r="F33" i="116"/>
  <c r="G33" i="116" s="1"/>
  <c r="A33" i="116"/>
  <c r="H32" i="116"/>
  <c r="G32" i="116"/>
  <c r="F32" i="116"/>
  <c r="A32" i="116"/>
  <c r="H31" i="116"/>
  <c r="F31" i="116"/>
  <c r="G31" i="116" s="1"/>
  <c r="A31" i="116"/>
  <c r="H30" i="116"/>
  <c r="F30" i="116"/>
  <c r="G30" i="116" s="1"/>
  <c r="A30" i="116"/>
  <c r="H29" i="116"/>
  <c r="G29" i="116"/>
  <c r="F29" i="116"/>
  <c r="A29" i="116"/>
  <c r="H28" i="116"/>
  <c r="G28" i="116"/>
  <c r="F28" i="116"/>
  <c r="A28" i="116"/>
  <c r="H27" i="116"/>
  <c r="G27" i="116"/>
  <c r="F27" i="116"/>
  <c r="A27" i="116"/>
  <c r="H26" i="116"/>
  <c r="G26" i="116" s="1"/>
  <c r="F26" i="116"/>
  <c r="A26" i="116"/>
  <c r="H25" i="116"/>
  <c r="F25" i="116"/>
  <c r="G25" i="116" s="1"/>
  <c r="A25" i="116"/>
  <c r="H24" i="116"/>
  <c r="G24" i="116"/>
  <c r="F24" i="116"/>
  <c r="A24" i="116"/>
  <c r="H23" i="116"/>
  <c r="F23" i="116"/>
  <c r="G23" i="116" s="1"/>
  <c r="A23" i="116"/>
  <c r="H22" i="116"/>
  <c r="F22" i="116"/>
  <c r="G22" i="116" s="1"/>
  <c r="A22" i="116"/>
  <c r="H21" i="116"/>
  <c r="F21" i="116"/>
  <c r="G21" i="116" s="1"/>
  <c r="A21" i="116"/>
  <c r="H20" i="116"/>
  <c r="G20" i="116"/>
  <c r="F20" i="116"/>
  <c r="A20" i="116"/>
  <c r="H19" i="116"/>
  <c r="F19" i="116"/>
  <c r="G19" i="116" s="1"/>
  <c r="A19" i="116"/>
  <c r="H18" i="116"/>
  <c r="F18" i="116"/>
  <c r="G18" i="116" s="1"/>
  <c r="A18" i="116"/>
  <c r="J17" i="116"/>
  <c r="H17" i="116"/>
  <c r="F17" i="116"/>
  <c r="G17" i="116" s="1"/>
  <c r="A17" i="116"/>
  <c r="H16" i="116"/>
  <c r="G16" i="116"/>
  <c r="F16" i="116"/>
  <c r="A16" i="116"/>
  <c r="H15" i="116"/>
  <c r="G15" i="116"/>
  <c r="F15" i="116"/>
  <c r="A15" i="116"/>
  <c r="H14" i="116"/>
  <c r="G14" i="116" s="1"/>
  <c r="F14" i="116"/>
  <c r="A14" i="116"/>
  <c r="H13" i="116"/>
  <c r="F13" i="116"/>
  <c r="G13" i="116" s="1"/>
  <c r="A13" i="116"/>
  <c r="L12" i="116"/>
  <c r="L19" i="116" s="1"/>
  <c r="K12" i="116"/>
  <c r="K19" i="116" s="1"/>
  <c r="J12" i="116"/>
  <c r="J19" i="116" s="1"/>
  <c r="H12" i="116"/>
  <c r="F12" i="116"/>
  <c r="G12" i="116" s="1"/>
  <c r="A12" i="116"/>
  <c r="L11" i="116"/>
  <c r="L18" i="116" s="1"/>
  <c r="K11" i="116"/>
  <c r="K18" i="116" s="1"/>
  <c r="J11" i="116"/>
  <c r="J18" i="116" s="1"/>
  <c r="H11" i="116"/>
  <c r="G11" i="116"/>
  <c r="F11" i="116"/>
  <c r="A11" i="116"/>
  <c r="L10" i="116"/>
  <c r="K10" i="116"/>
  <c r="J10" i="116"/>
  <c r="H10" i="116"/>
  <c r="G10" i="116" s="1"/>
  <c r="F10" i="116"/>
  <c r="A10" i="116"/>
  <c r="L9" i="116"/>
  <c r="K9" i="116"/>
  <c r="J9" i="116"/>
  <c r="H9" i="116"/>
  <c r="G9" i="116" s="1"/>
  <c r="F9" i="116"/>
  <c r="A9" i="116"/>
  <c r="L8" i="116"/>
  <c r="L21" i="116" s="1"/>
  <c r="K8" i="116"/>
  <c r="K21" i="116" s="1"/>
  <c r="J8" i="116"/>
  <c r="J21" i="116" s="1"/>
  <c r="H8" i="116"/>
  <c r="F8" i="116"/>
  <c r="G8" i="116" s="1"/>
  <c r="A8" i="116"/>
  <c r="L7" i="116"/>
  <c r="K7" i="116"/>
  <c r="J7" i="116"/>
  <c r="H7" i="116"/>
  <c r="F7" i="116"/>
  <c r="G7" i="116" s="1"/>
  <c r="A7" i="116"/>
  <c r="L6" i="116"/>
  <c r="L17" i="116" s="1"/>
  <c r="K6" i="116"/>
  <c r="K17" i="116" s="1"/>
  <c r="J6" i="116"/>
  <c r="H6" i="116"/>
  <c r="F6" i="116"/>
  <c r="G6" i="116" s="1"/>
  <c r="A6" i="116"/>
  <c r="L5" i="116"/>
  <c r="K5" i="116"/>
  <c r="J5" i="116"/>
  <c r="H5" i="116"/>
  <c r="F5" i="116"/>
  <c r="G5" i="116" s="1"/>
  <c r="A5" i="116"/>
  <c r="L4" i="116"/>
  <c r="K4" i="116"/>
  <c r="J4" i="116"/>
  <c r="H4" i="116"/>
  <c r="F4" i="116"/>
  <c r="G4" i="116" s="1"/>
  <c r="A4" i="116"/>
  <c r="L3" i="116"/>
  <c r="L16" i="116" s="1"/>
  <c r="K3" i="116"/>
  <c r="K16" i="116" s="1"/>
  <c r="J3" i="116"/>
  <c r="J16" i="116" s="1"/>
  <c r="H3" i="116"/>
  <c r="F3" i="116"/>
  <c r="G3" i="116" s="1"/>
  <c r="A3" i="116"/>
  <c r="H42" i="115"/>
  <c r="F42" i="115"/>
  <c r="G42" i="115" s="1"/>
  <c r="A42" i="115"/>
  <c r="H41" i="115"/>
  <c r="F41" i="115"/>
  <c r="G41" i="115" s="1"/>
  <c r="A41" i="115"/>
  <c r="H40" i="115"/>
  <c r="G40" i="115"/>
  <c r="F40" i="115"/>
  <c r="A40" i="115"/>
  <c r="H39" i="115"/>
  <c r="G39" i="115"/>
  <c r="F39" i="115"/>
  <c r="A39" i="115"/>
  <c r="H38" i="115"/>
  <c r="G38" i="115"/>
  <c r="F38" i="115"/>
  <c r="A38" i="115"/>
  <c r="H37" i="115"/>
  <c r="G37" i="115"/>
  <c r="F37" i="115"/>
  <c r="A37" i="115"/>
  <c r="H36" i="115"/>
  <c r="F36" i="115"/>
  <c r="G36" i="115" s="1"/>
  <c r="A36" i="115"/>
  <c r="H35" i="115"/>
  <c r="G35" i="115"/>
  <c r="F35" i="115"/>
  <c r="A35" i="115"/>
  <c r="H34" i="115"/>
  <c r="F34" i="115"/>
  <c r="G34" i="115" s="1"/>
  <c r="A34" i="115"/>
  <c r="H33" i="115"/>
  <c r="F33" i="115"/>
  <c r="G33" i="115" s="1"/>
  <c r="A33" i="115"/>
  <c r="H32" i="115"/>
  <c r="G32" i="115"/>
  <c r="F32" i="115"/>
  <c r="A32" i="115"/>
  <c r="H31" i="115"/>
  <c r="G31" i="115"/>
  <c r="F31" i="115"/>
  <c r="A31" i="115"/>
  <c r="H30" i="115"/>
  <c r="G30" i="115"/>
  <c r="F30" i="115"/>
  <c r="A30" i="115"/>
  <c r="H29" i="115"/>
  <c r="G29" i="115"/>
  <c r="F29" i="115"/>
  <c r="A29" i="115"/>
  <c r="H28" i="115"/>
  <c r="F28" i="115"/>
  <c r="G28" i="115" s="1"/>
  <c r="A28" i="115"/>
  <c r="H27" i="115"/>
  <c r="G27" i="115"/>
  <c r="F27" i="115"/>
  <c r="A27" i="115"/>
  <c r="H26" i="115"/>
  <c r="F26" i="115"/>
  <c r="G26" i="115" s="1"/>
  <c r="A26" i="115"/>
  <c r="H25" i="115"/>
  <c r="F25" i="115"/>
  <c r="G25" i="115" s="1"/>
  <c r="A25" i="115"/>
  <c r="H24" i="115"/>
  <c r="G24" i="115"/>
  <c r="F24" i="115"/>
  <c r="A24" i="115"/>
  <c r="H23" i="115"/>
  <c r="G23" i="115"/>
  <c r="F23" i="115"/>
  <c r="A23" i="115"/>
  <c r="H22" i="115"/>
  <c r="G22" i="115"/>
  <c r="F22" i="115"/>
  <c r="A22" i="115"/>
  <c r="H21" i="115"/>
  <c r="F21" i="115"/>
  <c r="G21" i="115" s="1"/>
  <c r="A21" i="115"/>
  <c r="H20" i="115"/>
  <c r="G20" i="115"/>
  <c r="F20" i="115"/>
  <c r="A20" i="115"/>
  <c r="L19" i="115"/>
  <c r="K19" i="115"/>
  <c r="J19" i="115"/>
  <c r="H19" i="115"/>
  <c r="F19" i="115"/>
  <c r="G19" i="115" s="1"/>
  <c r="A19" i="115"/>
  <c r="L18" i="115"/>
  <c r="H18" i="115"/>
  <c r="G18" i="115"/>
  <c r="F18" i="115"/>
  <c r="A18" i="115"/>
  <c r="H17" i="115"/>
  <c r="F17" i="115"/>
  <c r="G17" i="115" s="1"/>
  <c r="A17" i="115"/>
  <c r="J16" i="115"/>
  <c r="H16" i="115"/>
  <c r="F16" i="115"/>
  <c r="G16" i="115" s="1"/>
  <c r="A16" i="115"/>
  <c r="H15" i="115"/>
  <c r="G15" i="115"/>
  <c r="F15" i="115"/>
  <c r="A15" i="115"/>
  <c r="H14" i="115"/>
  <c r="F14" i="115"/>
  <c r="G14" i="115" s="1"/>
  <c r="A14" i="115"/>
  <c r="H13" i="115"/>
  <c r="F13" i="115"/>
  <c r="G13" i="115" s="1"/>
  <c r="A13" i="115"/>
  <c r="L12" i="115"/>
  <c r="K12" i="115"/>
  <c r="J12" i="115"/>
  <c r="H12" i="115"/>
  <c r="F12" i="115"/>
  <c r="G12" i="115" s="1"/>
  <c r="A12" i="115"/>
  <c r="L11" i="115"/>
  <c r="K11" i="115"/>
  <c r="K18" i="115" s="1"/>
  <c r="J11" i="115"/>
  <c r="J18" i="115" s="1"/>
  <c r="H11" i="115"/>
  <c r="G11" i="115"/>
  <c r="F11" i="115"/>
  <c r="A11" i="115"/>
  <c r="L10" i="115"/>
  <c r="K10" i="115"/>
  <c r="J10" i="115"/>
  <c r="H10" i="115"/>
  <c r="F10" i="115"/>
  <c r="G10" i="115" s="1"/>
  <c r="A10" i="115"/>
  <c r="L9" i="115"/>
  <c r="K9" i="115"/>
  <c r="J9" i="115"/>
  <c r="H9" i="115"/>
  <c r="F9" i="115"/>
  <c r="G9" i="115" s="1"/>
  <c r="A9" i="115"/>
  <c r="L8" i="115"/>
  <c r="L21" i="115" s="1"/>
  <c r="K8" i="115"/>
  <c r="K21" i="115" s="1"/>
  <c r="J8" i="115"/>
  <c r="J21" i="115" s="1"/>
  <c r="H8" i="115"/>
  <c r="F8" i="115"/>
  <c r="G8" i="115" s="1"/>
  <c r="A8" i="115"/>
  <c r="L7" i="115"/>
  <c r="K7" i="115"/>
  <c r="J7" i="115"/>
  <c r="H7" i="115"/>
  <c r="G7" i="115"/>
  <c r="F7" i="115"/>
  <c r="A7" i="115"/>
  <c r="L6" i="115"/>
  <c r="K6" i="115"/>
  <c r="J6" i="115"/>
  <c r="H6" i="115"/>
  <c r="F6" i="115"/>
  <c r="G6" i="115" s="1"/>
  <c r="A6" i="115"/>
  <c r="L5" i="115"/>
  <c r="K5" i="115"/>
  <c r="J5" i="115"/>
  <c r="H5" i="115"/>
  <c r="G5" i="115"/>
  <c r="F5" i="115"/>
  <c r="A5" i="115"/>
  <c r="L4" i="115"/>
  <c r="L17" i="115" s="1"/>
  <c r="K4" i="115"/>
  <c r="K17" i="115" s="1"/>
  <c r="J4" i="115"/>
  <c r="J17" i="115" s="1"/>
  <c r="J20" i="115" s="1"/>
  <c r="H4" i="115"/>
  <c r="F4" i="115"/>
  <c r="G4" i="115" s="1"/>
  <c r="A4" i="115"/>
  <c r="L3" i="115"/>
  <c r="L16" i="115" s="1"/>
  <c r="K3" i="115"/>
  <c r="K16" i="115" s="1"/>
  <c r="J3" i="115"/>
  <c r="H3" i="115"/>
  <c r="G3" i="115"/>
  <c r="F3" i="115"/>
  <c r="A3" i="115"/>
  <c r="H42" i="122"/>
  <c r="G42" i="122"/>
  <c r="F42" i="122"/>
  <c r="A42" i="122"/>
  <c r="H41" i="122"/>
  <c r="G41" i="122"/>
  <c r="F41" i="122"/>
  <c r="A41" i="122"/>
  <c r="H40" i="122"/>
  <c r="F40" i="122"/>
  <c r="G40" i="122" s="1"/>
  <c r="A40" i="122"/>
  <c r="H39" i="122"/>
  <c r="F39" i="122"/>
  <c r="G39" i="122" s="1"/>
  <c r="A39" i="122"/>
  <c r="H38" i="122"/>
  <c r="G38" i="122"/>
  <c r="F38" i="122"/>
  <c r="A38" i="122"/>
  <c r="H37" i="122"/>
  <c r="F37" i="122"/>
  <c r="G37" i="122" s="1"/>
  <c r="A37" i="122"/>
  <c r="H36" i="122"/>
  <c r="F36" i="122"/>
  <c r="G36" i="122" s="1"/>
  <c r="A36" i="122"/>
  <c r="H35" i="122"/>
  <c r="F35" i="122"/>
  <c r="G35" i="122" s="1"/>
  <c r="A35" i="122"/>
  <c r="H34" i="122"/>
  <c r="G34" i="122"/>
  <c r="F34" i="122"/>
  <c r="A34" i="122"/>
  <c r="H33" i="122"/>
  <c r="G33" i="122"/>
  <c r="F33" i="122"/>
  <c r="A33" i="122"/>
  <c r="H32" i="122"/>
  <c r="F32" i="122"/>
  <c r="G32" i="122" s="1"/>
  <c r="A32" i="122"/>
  <c r="H31" i="122"/>
  <c r="F31" i="122"/>
  <c r="G31" i="122" s="1"/>
  <c r="A31" i="122"/>
  <c r="H30" i="122"/>
  <c r="G30" i="122"/>
  <c r="F30" i="122"/>
  <c r="A30" i="122"/>
  <c r="H29" i="122"/>
  <c r="F29" i="122"/>
  <c r="G29" i="122" s="1"/>
  <c r="A29" i="122"/>
  <c r="H28" i="122"/>
  <c r="F28" i="122"/>
  <c r="G28" i="122" s="1"/>
  <c r="A28" i="122"/>
  <c r="H27" i="122"/>
  <c r="F27" i="122"/>
  <c r="G27" i="122" s="1"/>
  <c r="A27" i="122"/>
  <c r="H26" i="122"/>
  <c r="G26" i="122"/>
  <c r="F26" i="122"/>
  <c r="A26" i="122"/>
  <c r="H25" i="122"/>
  <c r="G25" i="122"/>
  <c r="F25" i="122"/>
  <c r="H24" i="122"/>
  <c r="F24" i="122"/>
  <c r="G24" i="122" s="1"/>
  <c r="H23" i="122"/>
  <c r="F23" i="122"/>
  <c r="G23" i="122" s="1"/>
  <c r="H22" i="122"/>
  <c r="F22" i="122"/>
  <c r="G22" i="122" s="1"/>
  <c r="H21" i="122"/>
  <c r="F21" i="122"/>
  <c r="G21" i="122" s="1"/>
  <c r="H20" i="122"/>
  <c r="F20" i="122"/>
  <c r="G20" i="122" s="1"/>
  <c r="K19" i="122"/>
  <c r="H19" i="122"/>
  <c r="F19" i="122"/>
  <c r="G19" i="122" s="1"/>
  <c r="K8" i="122" s="1"/>
  <c r="K18" i="122"/>
  <c r="H18" i="122"/>
  <c r="F18" i="122"/>
  <c r="G18" i="122" s="1"/>
  <c r="H17" i="122"/>
  <c r="F17" i="122"/>
  <c r="G17" i="122" s="1"/>
  <c r="K16" i="122"/>
  <c r="J16" i="122"/>
  <c r="H16" i="122"/>
  <c r="L9" i="122" s="1"/>
  <c r="L21" i="122" s="1"/>
  <c r="F16" i="122"/>
  <c r="J9" i="122" s="1"/>
  <c r="H15" i="122"/>
  <c r="F15" i="122"/>
  <c r="G15" i="122" s="1"/>
  <c r="H14" i="122"/>
  <c r="F14" i="122"/>
  <c r="G14" i="122" s="1"/>
  <c r="H13" i="122"/>
  <c r="L6" i="122" s="1"/>
  <c r="F13" i="122"/>
  <c r="J6" i="122" s="1"/>
  <c r="L12" i="122"/>
  <c r="L19" i="122" s="1"/>
  <c r="K12" i="122"/>
  <c r="J12" i="122"/>
  <c r="J19" i="122" s="1"/>
  <c r="H12" i="122"/>
  <c r="F12" i="122"/>
  <c r="G12" i="122" s="1"/>
  <c r="L11" i="122"/>
  <c r="L18" i="122" s="1"/>
  <c r="K11" i="122"/>
  <c r="J11" i="122"/>
  <c r="J18" i="122" s="1"/>
  <c r="H11" i="122"/>
  <c r="G11" i="122"/>
  <c r="F11" i="122"/>
  <c r="L10" i="122"/>
  <c r="K10" i="122"/>
  <c r="J10" i="122"/>
  <c r="H10" i="122"/>
  <c r="L5" i="122" s="1"/>
  <c r="F10" i="122"/>
  <c r="G10" i="122" s="1"/>
  <c r="H9" i="122"/>
  <c r="L4" i="122" s="1"/>
  <c r="G9" i="122"/>
  <c r="F9" i="122"/>
  <c r="L8" i="122"/>
  <c r="J8" i="122"/>
  <c r="J21" i="122" s="1"/>
  <c r="H8" i="122"/>
  <c r="F8" i="122"/>
  <c r="G8" i="122" s="1"/>
  <c r="L7" i="122"/>
  <c r="J7" i="122"/>
  <c r="H7" i="122"/>
  <c r="G7" i="122" s="1"/>
  <c r="F7" i="122"/>
  <c r="H6" i="122"/>
  <c r="G6" i="122"/>
  <c r="F6" i="122"/>
  <c r="H5" i="122"/>
  <c r="F5" i="122"/>
  <c r="G5" i="122" s="1"/>
  <c r="H4" i="122"/>
  <c r="F4" i="122"/>
  <c r="G4" i="122" s="1"/>
  <c r="K7" i="122" s="1"/>
  <c r="L3" i="122"/>
  <c r="L16" i="122" s="1"/>
  <c r="K3" i="122"/>
  <c r="J3" i="122"/>
  <c r="H3" i="122"/>
  <c r="F3" i="122"/>
  <c r="J4" i="122" s="1"/>
  <c r="H42" i="121"/>
  <c r="F42" i="121"/>
  <c r="G42" i="121" s="1"/>
  <c r="A42" i="121"/>
  <c r="H41" i="121"/>
  <c r="F41" i="121"/>
  <c r="G41" i="121" s="1"/>
  <c r="A41" i="121"/>
  <c r="H40" i="121"/>
  <c r="F40" i="121"/>
  <c r="G40" i="121" s="1"/>
  <c r="A40" i="121"/>
  <c r="H39" i="121"/>
  <c r="F39" i="121"/>
  <c r="G39" i="121" s="1"/>
  <c r="A39" i="121"/>
  <c r="H38" i="121"/>
  <c r="F38" i="121"/>
  <c r="G38" i="121" s="1"/>
  <c r="A38" i="121"/>
  <c r="H37" i="121"/>
  <c r="F37" i="121"/>
  <c r="G37" i="121" s="1"/>
  <c r="A37" i="121"/>
  <c r="H36" i="121"/>
  <c r="F36" i="121"/>
  <c r="G36" i="121" s="1"/>
  <c r="A36" i="121"/>
  <c r="H35" i="121"/>
  <c r="F35" i="121"/>
  <c r="G35" i="121" s="1"/>
  <c r="A35" i="121"/>
  <c r="H34" i="121"/>
  <c r="F34" i="121"/>
  <c r="G34" i="121" s="1"/>
  <c r="A34" i="121"/>
  <c r="H33" i="121"/>
  <c r="F33" i="121"/>
  <c r="G33" i="121" s="1"/>
  <c r="A33" i="121"/>
  <c r="H32" i="121"/>
  <c r="F32" i="121"/>
  <c r="G32" i="121" s="1"/>
  <c r="A32" i="121"/>
  <c r="H31" i="121"/>
  <c r="F31" i="121"/>
  <c r="G31" i="121" s="1"/>
  <c r="A31" i="121"/>
  <c r="H30" i="121"/>
  <c r="F30" i="121"/>
  <c r="G30" i="121" s="1"/>
  <c r="A30" i="121"/>
  <c r="H29" i="121"/>
  <c r="F29" i="121"/>
  <c r="G29" i="121" s="1"/>
  <c r="A29" i="121"/>
  <c r="H28" i="121"/>
  <c r="F28" i="121"/>
  <c r="G28" i="121" s="1"/>
  <c r="A28" i="121"/>
  <c r="H27" i="121"/>
  <c r="F27" i="121"/>
  <c r="G27" i="121" s="1"/>
  <c r="A27" i="121"/>
  <c r="H26" i="121"/>
  <c r="F26" i="121"/>
  <c r="G26" i="121" s="1"/>
  <c r="A26" i="121"/>
  <c r="H25" i="121"/>
  <c r="F25" i="121"/>
  <c r="G25" i="121" s="1"/>
  <c r="A25" i="121"/>
  <c r="H24" i="121"/>
  <c r="F24" i="121"/>
  <c r="G24" i="121" s="1"/>
  <c r="A24" i="121"/>
  <c r="H23" i="121"/>
  <c r="F23" i="121"/>
  <c r="G23" i="121" s="1"/>
  <c r="A23" i="121"/>
  <c r="H22" i="121"/>
  <c r="F22" i="121"/>
  <c r="G22" i="121" s="1"/>
  <c r="A22" i="121"/>
  <c r="H21" i="121"/>
  <c r="F21" i="121"/>
  <c r="G21" i="121" s="1"/>
  <c r="A21" i="121"/>
  <c r="H20" i="121"/>
  <c r="F20" i="121"/>
  <c r="G20" i="121" s="1"/>
  <c r="A20" i="121"/>
  <c r="H19" i="121"/>
  <c r="F19" i="121"/>
  <c r="G19" i="121" s="1"/>
  <c r="A19" i="121"/>
  <c r="H18" i="121"/>
  <c r="F18" i="121"/>
  <c r="G18" i="121" s="1"/>
  <c r="K7" i="121" s="1"/>
  <c r="H17" i="121"/>
  <c r="F17" i="121"/>
  <c r="G17" i="121" s="1"/>
  <c r="H16" i="121"/>
  <c r="F16" i="121"/>
  <c r="G16" i="121" s="1"/>
  <c r="H15" i="121"/>
  <c r="F15" i="121"/>
  <c r="G15" i="121" s="1"/>
  <c r="H14" i="121"/>
  <c r="F14" i="121"/>
  <c r="G14" i="121" s="1"/>
  <c r="H13" i="121"/>
  <c r="F13" i="121"/>
  <c r="J9" i="121" s="1"/>
  <c r="L12" i="121"/>
  <c r="L19" i="121" s="1"/>
  <c r="K12" i="121"/>
  <c r="K19" i="121" s="1"/>
  <c r="J12" i="121"/>
  <c r="J19" i="121" s="1"/>
  <c r="H12" i="121"/>
  <c r="L9" i="121" s="1"/>
  <c r="G12" i="121"/>
  <c r="F12" i="121"/>
  <c r="L11" i="121"/>
  <c r="L18" i="121" s="1"/>
  <c r="K11" i="121"/>
  <c r="K18" i="121" s="1"/>
  <c r="J11" i="121"/>
  <c r="J18" i="121" s="1"/>
  <c r="H11" i="121"/>
  <c r="G11" i="121"/>
  <c r="F11" i="121"/>
  <c r="L10" i="121"/>
  <c r="K10" i="121"/>
  <c r="J10" i="121"/>
  <c r="H10" i="121"/>
  <c r="G10" i="121"/>
  <c r="F10" i="121"/>
  <c r="H9" i="121"/>
  <c r="F9" i="121"/>
  <c r="G9" i="121" s="1"/>
  <c r="L8" i="121"/>
  <c r="K8" i="121"/>
  <c r="J8" i="121"/>
  <c r="H8" i="121"/>
  <c r="F8" i="121"/>
  <c r="J5" i="121" s="1"/>
  <c r="L7" i="121"/>
  <c r="J7" i="121"/>
  <c r="H7" i="121"/>
  <c r="F7" i="121"/>
  <c r="J6" i="121" s="1"/>
  <c r="L6" i="121"/>
  <c r="H6" i="121"/>
  <c r="G6" i="121"/>
  <c r="F6" i="121"/>
  <c r="H5" i="121"/>
  <c r="G5" i="121"/>
  <c r="F5" i="121"/>
  <c r="H4" i="121"/>
  <c r="L4" i="121" s="1"/>
  <c r="L17" i="121" s="1"/>
  <c r="F4" i="121"/>
  <c r="J4" i="121" s="1"/>
  <c r="J17" i="121" s="1"/>
  <c r="L3" i="121"/>
  <c r="L16" i="121" s="1"/>
  <c r="K3" i="121"/>
  <c r="K16" i="121" s="1"/>
  <c r="J3" i="121"/>
  <c r="J16" i="121" s="1"/>
  <c r="J20" i="121" s="1"/>
  <c r="H3" i="121"/>
  <c r="L5" i="121" s="1"/>
  <c r="G3" i="121"/>
  <c r="F3" i="121"/>
  <c r="H42" i="120"/>
  <c r="F42" i="120"/>
  <c r="G42" i="120" s="1"/>
  <c r="A42" i="120"/>
  <c r="H41" i="120"/>
  <c r="F41" i="120"/>
  <c r="G41" i="120" s="1"/>
  <c r="A41" i="120"/>
  <c r="H40" i="120"/>
  <c r="F40" i="120"/>
  <c r="G40" i="120" s="1"/>
  <c r="A40" i="120"/>
  <c r="H39" i="120"/>
  <c r="G39" i="120" s="1"/>
  <c r="F39" i="120"/>
  <c r="A39" i="120"/>
  <c r="H38" i="120"/>
  <c r="G38" i="120" s="1"/>
  <c r="F38" i="120"/>
  <c r="A38" i="120"/>
  <c r="H37" i="120"/>
  <c r="F37" i="120"/>
  <c r="G37" i="120" s="1"/>
  <c r="A37" i="120"/>
  <c r="H36" i="120"/>
  <c r="F36" i="120"/>
  <c r="G36" i="120" s="1"/>
  <c r="A36" i="120"/>
  <c r="H35" i="120"/>
  <c r="F35" i="120"/>
  <c r="G35" i="120" s="1"/>
  <c r="A35" i="120"/>
  <c r="H34" i="120"/>
  <c r="F34" i="120"/>
  <c r="G34" i="120" s="1"/>
  <c r="A34" i="120"/>
  <c r="H33" i="120"/>
  <c r="F33" i="120"/>
  <c r="G33" i="120" s="1"/>
  <c r="A33" i="120"/>
  <c r="H32" i="120"/>
  <c r="F32" i="120"/>
  <c r="G32" i="120" s="1"/>
  <c r="A32" i="120"/>
  <c r="H31" i="120"/>
  <c r="G31" i="120" s="1"/>
  <c r="F31" i="120"/>
  <c r="A31" i="120"/>
  <c r="H30" i="120"/>
  <c r="G30" i="120" s="1"/>
  <c r="F30" i="120"/>
  <c r="A30" i="120"/>
  <c r="H29" i="120"/>
  <c r="F29" i="120"/>
  <c r="G29" i="120" s="1"/>
  <c r="A29" i="120"/>
  <c r="H28" i="120"/>
  <c r="F28" i="120"/>
  <c r="G28" i="120" s="1"/>
  <c r="A28" i="120"/>
  <c r="H27" i="120"/>
  <c r="F27" i="120"/>
  <c r="G27" i="120" s="1"/>
  <c r="A27" i="120"/>
  <c r="H26" i="120"/>
  <c r="F26" i="120"/>
  <c r="G26" i="120" s="1"/>
  <c r="A26" i="120"/>
  <c r="H25" i="120"/>
  <c r="F25" i="120"/>
  <c r="G25" i="120" s="1"/>
  <c r="H24" i="120"/>
  <c r="F24" i="120"/>
  <c r="G24" i="120" s="1"/>
  <c r="H23" i="120"/>
  <c r="F23" i="120"/>
  <c r="G23" i="120" s="1"/>
  <c r="H22" i="120"/>
  <c r="G22" i="120" s="1"/>
  <c r="F22" i="120"/>
  <c r="H21" i="120"/>
  <c r="G21" i="120"/>
  <c r="F21" i="120"/>
  <c r="H20" i="120"/>
  <c r="G20" i="120"/>
  <c r="F20" i="120"/>
  <c r="H19" i="120"/>
  <c r="F19" i="120"/>
  <c r="J4" i="120" s="1"/>
  <c r="J17" i="120" s="1"/>
  <c r="L18" i="120"/>
  <c r="H18" i="120"/>
  <c r="F18" i="120"/>
  <c r="G18" i="120" s="1"/>
  <c r="H17" i="120"/>
  <c r="L5" i="120" s="1"/>
  <c r="G17" i="120"/>
  <c r="F17" i="120"/>
  <c r="L16" i="120"/>
  <c r="K16" i="120"/>
  <c r="H16" i="120"/>
  <c r="G16" i="120"/>
  <c r="F16" i="120"/>
  <c r="H15" i="120"/>
  <c r="F15" i="120"/>
  <c r="G15" i="120" s="1"/>
  <c r="H14" i="120"/>
  <c r="G14" i="120"/>
  <c r="F14" i="120"/>
  <c r="H13" i="120"/>
  <c r="F13" i="120"/>
  <c r="G13" i="120" s="1"/>
  <c r="L12" i="120"/>
  <c r="L19" i="120" s="1"/>
  <c r="G42" i="123" s="1"/>
  <c r="K12" i="120"/>
  <c r="K19" i="120" s="1"/>
  <c r="D42" i="123" s="1"/>
  <c r="J12" i="120"/>
  <c r="J19" i="120" s="1"/>
  <c r="H12" i="120"/>
  <c r="L9" i="120" s="1"/>
  <c r="F12" i="120"/>
  <c r="J9" i="120" s="1"/>
  <c r="L11" i="120"/>
  <c r="K11" i="120"/>
  <c r="K18" i="120" s="1"/>
  <c r="J11" i="120"/>
  <c r="J18" i="120" s="1"/>
  <c r="H11" i="120"/>
  <c r="F11" i="120"/>
  <c r="G11" i="120" s="1"/>
  <c r="L10" i="120"/>
  <c r="K10" i="120"/>
  <c r="J10" i="120"/>
  <c r="H10" i="120"/>
  <c r="F10" i="120"/>
  <c r="G10" i="120" s="1"/>
  <c r="H9" i="120"/>
  <c r="G9" i="120" s="1"/>
  <c r="F9" i="120"/>
  <c r="L8" i="120"/>
  <c r="L21" i="120" s="1"/>
  <c r="K8" i="120"/>
  <c r="J8" i="120"/>
  <c r="J21" i="120" s="1"/>
  <c r="I42" i="123" s="1"/>
  <c r="H8" i="120"/>
  <c r="F8" i="120"/>
  <c r="G8" i="120" s="1"/>
  <c r="L7" i="120"/>
  <c r="K7" i="120"/>
  <c r="J7" i="120"/>
  <c r="H7" i="120"/>
  <c r="F7" i="120"/>
  <c r="G7" i="120" s="1"/>
  <c r="L6" i="120"/>
  <c r="K6" i="120"/>
  <c r="J6" i="120"/>
  <c r="H6" i="120"/>
  <c r="F6" i="120"/>
  <c r="G6" i="120" s="1"/>
  <c r="H5" i="120"/>
  <c r="F5" i="120"/>
  <c r="J5" i="120" s="1"/>
  <c r="H4" i="120"/>
  <c r="L4" i="120" s="1"/>
  <c r="F4" i="120"/>
  <c r="G4" i="120" s="1"/>
  <c r="L3" i="120"/>
  <c r="K3" i="120"/>
  <c r="J3" i="120"/>
  <c r="J16" i="120" s="1"/>
  <c r="H3" i="120"/>
  <c r="G3" i="120" s="1"/>
  <c r="F3" i="120"/>
  <c r="H42" i="119"/>
  <c r="F42" i="119"/>
  <c r="G42" i="119" s="1"/>
  <c r="A42" i="119"/>
  <c r="H41" i="119"/>
  <c r="F41" i="119"/>
  <c r="G41" i="119" s="1"/>
  <c r="A41" i="119"/>
  <c r="H40" i="119"/>
  <c r="G40" i="119"/>
  <c r="F40" i="119"/>
  <c r="A40" i="119"/>
  <c r="H39" i="119"/>
  <c r="F39" i="119"/>
  <c r="G39" i="119" s="1"/>
  <c r="A39" i="119"/>
  <c r="H38" i="119"/>
  <c r="F38" i="119"/>
  <c r="G38" i="119" s="1"/>
  <c r="A38" i="119"/>
  <c r="H37" i="119"/>
  <c r="G37" i="119"/>
  <c r="F37" i="119"/>
  <c r="A37" i="119"/>
  <c r="H36" i="119"/>
  <c r="F36" i="119"/>
  <c r="G36" i="119" s="1"/>
  <c r="A36" i="119"/>
  <c r="H35" i="119"/>
  <c r="F35" i="119"/>
  <c r="G35" i="119" s="1"/>
  <c r="A35" i="119"/>
  <c r="H34" i="119"/>
  <c r="F34" i="119"/>
  <c r="G34" i="119" s="1"/>
  <c r="A34" i="119"/>
  <c r="H33" i="119"/>
  <c r="F33" i="119"/>
  <c r="G33" i="119" s="1"/>
  <c r="A33" i="119"/>
  <c r="H32" i="119"/>
  <c r="G32" i="119"/>
  <c r="F32" i="119"/>
  <c r="A32" i="119"/>
  <c r="H31" i="119"/>
  <c r="F31" i="119"/>
  <c r="G31" i="119" s="1"/>
  <c r="A31" i="119"/>
  <c r="H30" i="119"/>
  <c r="F30" i="119"/>
  <c r="G30" i="119" s="1"/>
  <c r="A30" i="119"/>
  <c r="H29" i="119"/>
  <c r="G29" i="119"/>
  <c r="F29" i="119"/>
  <c r="A29" i="119"/>
  <c r="H28" i="119"/>
  <c r="F28" i="119"/>
  <c r="G28" i="119" s="1"/>
  <c r="A28" i="119"/>
  <c r="H27" i="119"/>
  <c r="F27" i="119"/>
  <c r="G27" i="119" s="1"/>
  <c r="A27" i="119"/>
  <c r="H25" i="119"/>
  <c r="F25" i="119"/>
  <c r="G25" i="119" s="1"/>
  <c r="H24" i="119"/>
  <c r="F24" i="119"/>
  <c r="G24" i="119" s="1"/>
  <c r="H23" i="119"/>
  <c r="F23" i="119"/>
  <c r="G23" i="119" s="1"/>
  <c r="H22" i="119"/>
  <c r="F22" i="119"/>
  <c r="G22" i="119" s="1"/>
  <c r="H21" i="119"/>
  <c r="F21" i="119"/>
  <c r="G21" i="119" s="1"/>
  <c r="H20" i="119"/>
  <c r="F20" i="119"/>
  <c r="G20" i="119" s="1"/>
  <c r="J19" i="119"/>
  <c r="H19" i="119"/>
  <c r="F19" i="119"/>
  <c r="G19" i="119" s="1"/>
  <c r="H18" i="119"/>
  <c r="F18" i="119"/>
  <c r="G18" i="119" s="1"/>
  <c r="H17" i="119"/>
  <c r="F17" i="119"/>
  <c r="G17" i="119" s="1"/>
  <c r="L16" i="119"/>
  <c r="E41" i="123" s="1"/>
  <c r="K16" i="119"/>
  <c r="B41" i="123" s="1"/>
  <c r="H16" i="119"/>
  <c r="G16" i="119" s="1"/>
  <c r="F16" i="119"/>
  <c r="H15" i="119"/>
  <c r="F15" i="119"/>
  <c r="G15" i="119" s="1"/>
  <c r="H14" i="119"/>
  <c r="F14" i="119"/>
  <c r="G14" i="119" s="1"/>
  <c r="H13" i="119"/>
  <c r="G13" i="119"/>
  <c r="F13" i="119"/>
  <c r="L12" i="119"/>
  <c r="L19" i="119" s="1"/>
  <c r="G41" i="123" s="1"/>
  <c r="K12" i="119"/>
  <c r="K19" i="119" s="1"/>
  <c r="D41" i="123" s="1"/>
  <c r="J12" i="119"/>
  <c r="H12" i="119"/>
  <c r="F12" i="119"/>
  <c r="G12" i="119" s="1"/>
  <c r="H11" i="119"/>
  <c r="F11" i="119"/>
  <c r="G11" i="119" s="1"/>
  <c r="L10" i="119"/>
  <c r="K10" i="119"/>
  <c r="J10" i="119"/>
  <c r="H10" i="119"/>
  <c r="F10" i="119"/>
  <c r="G10" i="119" s="1"/>
  <c r="L9" i="119"/>
  <c r="J9" i="119"/>
  <c r="H9" i="119"/>
  <c r="F9" i="119"/>
  <c r="G9" i="119" s="1"/>
  <c r="L8" i="119"/>
  <c r="L21" i="119" s="1"/>
  <c r="K8" i="119"/>
  <c r="K21" i="119" s="1"/>
  <c r="J8" i="119"/>
  <c r="J21" i="119" s="1"/>
  <c r="I41" i="123" s="1"/>
  <c r="H8" i="119"/>
  <c r="F8" i="119"/>
  <c r="G8" i="119" s="1"/>
  <c r="L7" i="119"/>
  <c r="K7" i="119"/>
  <c r="J7" i="119"/>
  <c r="H7" i="119"/>
  <c r="F7" i="119"/>
  <c r="G7" i="119" s="1"/>
  <c r="L6" i="119"/>
  <c r="K6" i="119"/>
  <c r="J6" i="119"/>
  <c r="H6" i="119"/>
  <c r="G6" i="119"/>
  <c r="F6" i="119"/>
  <c r="L5" i="119"/>
  <c r="K5" i="119"/>
  <c r="J5" i="119"/>
  <c r="H5" i="119"/>
  <c r="F5" i="119"/>
  <c r="G5" i="119" s="1"/>
  <c r="L4" i="119"/>
  <c r="L17" i="119" s="1"/>
  <c r="F41" i="123" s="1"/>
  <c r="K4" i="119"/>
  <c r="K17" i="119" s="1"/>
  <c r="C41" i="123" s="1"/>
  <c r="J4" i="119"/>
  <c r="J17" i="119" s="1"/>
  <c r="H4" i="119"/>
  <c r="G4" i="119"/>
  <c r="K9" i="119" s="1"/>
  <c r="F4" i="119"/>
  <c r="L3" i="119"/>
  <c r="K3" i="119"/>
  <c r="J3" i="119"/>
  <c r="J16" i="119" s="1"/>
  <c r="H3" i="119"/>
  <c r="L11" i="119" s="1"/>
  <c r="L18" i="119" s="1"/>
  <c r="F3" i="119"/>
  <c r="J11" i="119" s="1"/>
  <c r="J18" i="119" s="1"/>
  <c r="H42" i="118"/>
  <c r="F42" i="118"/>
  <c r="G42" i="118" s="1"/>
  <c r="A42" i="118"/>
  <c r="H41" i="118"/>
  <c r="F41" i="118"/>
  <c r="G41" i="118" s="1"/>
  <c r="A41" i="118"/>
  <c r="H40" i="118"/>
  <c r="F40" i="118"/>
  <c r="G40" i="118" s="1"/>
  <c r="A40" i="118"/>
  <c r="H39" i="118"/>
  <c r="F39" i="118"/>
  <c r="G39" i="118" s="1"/>
  <c r="A39" i="118"/>
  <c r="H38" i="118"/>
  <c r="F38" i="118"/>
  <c r="G38" i="118" s="1"/>
  <c r="A38" i="118"/>
  <c r="H37" i="118"/>
  <c r="F37" i="118"/>
  <c r="G37" i="118" s="1"/>
  <c r="A37" i="118"/>
  <c r="H36" i="118"/>
  <c r="F36" i="118"/>
  <c r="G36" i="118" s="1"/>
  <c r="A36" i="118"/>
  <c r="H35" i="118"/>
  <c r="F35" i="118"/>
  <c r="G35" i="118" s="1"/>
  <c r="A35" i="118"/>
  <c r="H34" i="118"/>
  <c r="F34" i="118"/>
  <c r="G34" i="118" s="1"/>
  <c r="A34" i="118"/>
  <c r="H33" i="118"/>
  <c r="F33" i="118"/>
  <c r="G33" i="118" s="1"/>
  <c r="A33" i="118"/>
  <c r="H32" i="118"/>
  <c r="F32" i="118"/>
  <c r="G32" i="118" s="1"/>
  <c r="A32" i="118"/>
  <c r="H31" i="118"/>
  <c r="F31" i="118"/>
  <c r="G31" i="118" s="1"/>
  <c r="A31" i="118"/>
  <c r="H30" i="118"/>
  <c r="F30" i="118"/>
  <c r="G30" i="118" s="1"/>
  <c r="A30" i="118"/>
  <c r="H29" i="118"/>
  <c r="F29" i="118"/>
  <c r="G29" i="118" s="1"/>
  <c r="A29" i="118"/>
  <c r="H28" i="118"/>
  <c r="F28" i="118"/>
  <c r="G28" i="118" s="1"/>
  <c r="A28" i="118"/>
  <c r="H27" i="118"/>
  <c r="F27" i="118"/>
  <c r="G27" i="118" s="1"/>
  <c r="A27" i="118"/>
  <c r="H26" i="118"/>
  <c r="F26" i="118"/>
  <c r="G26" i="118" s="1"/>
  <c r="A26" i="118"/>
  <c r="H25" i="118"/>
  <c r="F25" i="118"/>
  <c r="G25" i="118" s="1"/>
  <c r="A25" i="118"/>
  <c r="H24" i="118"/>
  <c r="F24" i="118"/>
  <c r="G24" i="118" s="1"/>
  <c r="A24" i="118"/>
  <c r="H23" i="118"/>
  <c r="F23" i="118"/>
  <c r="G23" i="118" s="1"/>
  <c r="A23" i="118"/>
  <c r="H22" i="118"/>
  <c r="F22" i="118"/>
  <c r="G22" i="118" s="1"/>
  <c r="A22" i="118"/>
  <c r="J21" i="118"/>
  <c r="I40" i="123" s="1"/>
  <c r="H21" i="118"/>
  <c r="F21" i="118"/>
  <c r="G21" i="118" s="1"/>
  <c r="A21" i="118"/>
  <c r="H20" i="118"/>
  <c r="F20" i="118"/>
  <c r="G20" i="118" s="1"/>
  <c r="A20" i="118"/>
  <c r="H19" i="118"/>
  <c r="G19" i="118"/>
  <c r="F19" i="118"/>
  <c r="K18" i="118"/>
  <c r="H18" i="118"/>
  <c r="G18" i="118"/>
  <c r="F18" i="118"/>
  <c r="H17" i="118"/>
  <c r="F17" i="118"/>
  <c r="G17" i="118" s="1"/>
  <c r="H16" i="118"/>
  <c r="F16" i="118"/>
  <c r="G16" i="118" s="1"/>
  <c r="H15" i="118"/>
  <c r="F15" i="118"/>
  <c r="G15" i="118" s="1"/>
  <c r="H14" i="118"/>
  <c r="F14" i="118"/>
  <c r="G14" i="118" s="1"/>
  <c r="H13" i="118"/>
  <c r="F13" i="118"/>
  <c r="G13" i="118" s="1"/>
  <c r="L12" i="118"/>
  <c r="L19" i="118" s="1"/>
  <c r="G40" i="123" s="1"/>
  <c r="K12" i="118"/>
  <c r="K19" i="118" s="1"/>
  <c r="D40" i="123" s="1"/>
  <c r="J12" i="118"/>
  <c r="J19" i="118" s="1"/>
  <c r="H12" i="118"/>
  <c r="F12" i="118"/>
  <c r="G12" i="118" s="1"/>
  <c r="L11" i="118"/>
  <c r="L18" i="118" s="1"/>
  <c r="K11" i="118"/>
  <c r="J11" i="118"/>
  <c r="J18" i="118" s="1"/>
  <c r="H11" i="118"/>
  <c r="F11" i="118"/>
  <c r="G11" i="118" s="1"/>
  <c r="L10" i="118"/>
  <c r="K10" i="118"/>
  <c r="J10" i="118"/>
  <c r="H10" i="118"/>
  <c r="F10" i="118"/>
  <c r="G10" i="118" s="1"/>
  <c r="L9" i="118"/>
  <c r="K9" i="118"/>
  <c r="J9" i="118"/>
  <c r="H9" i="118"/>
  <c r="F9" i="118"/>
  <c r="G9" i="118" s="1"/>
  <c r="L8" i="118"/>
  <c r="L21" i="118" s="1"/>
  <c r="K8" i="118"/>
  <c r="K21" i="118" s="1"/>
  <c r="J8" i="118"/>
  <c r="H8" i="118"/>
  <c r="F8" i="118"/>
  <c r="G8" i="118" s="1"/>
  <c r="H7" i="118"/>
  <c r="L5" i="118" s="1"/>
  <c r="F7" i="118"/>
  <c r="J5" i="118" s="1"/>
  <c r="L6" i="118"/>
  <c r="K6" i="118"/>
  <c r="J6" i="118"/>
  <c r="H6" i="118"/>
  <c r="F6" i="118"/>
  <c r="G6" i="118" s="1"/>
  <c r="H5" i="118"/>
  <c r="F5" i="118"/>
  <c r="G5" i="118" s="1"/>
  <c r="H4" i="118"/>
  <c r="L4" i="118" s="1"/>
  <c r="F4" i="118"/>
  <c r="J4" i="118" s="1"/>
  <c r="L3" i="118"/>
  <c r="L16" i="118" s="1"/>
  <c r="E40" i="123" s="1"/>
  <c r="K3" i="118"/>
  <c r="K16" i="118" s="1"/>
  <c r="B40" i="123" s="1"/>
  <c r="J3" i="118"/>
  <c r="J16" i="118" s="1"/>
  <c r="H3" i="118"/>
  <c r="G3" i="118" s="1"/>
  <c r="F3" i="118"/>
  <c r="H42" i="114"/>
  <c r="F42" i="114"/>
  <c r="G42" i="114" s="1"/>
  <c r="A42" i="114"/>
  <c r="H41" i="114"/>
  <c r="F41" i="114"/>
  <c r="G41" i="114" s="1"/>
  <c r="A41" i="114"/>
  <c r="H40" i="114"/>
  <c r="G40" i="114"/>
  <c r="F40" i="114"/>
  <c r="A40" i="114"/>
  <c r="H39" i="114"/>
  <c r="G39" i="114" s="1"/>
  <c r="F39" i="114"/>
  <c r="A39" i="114"/>
  <c r="H38" i="114"/>
  <c r="G38" i="114"/>
  <c r="F38" i="114"/>
  <c r="A38" i="114"/>
  <c r="H37" i="114"/>
  <c r="G37" i="114"/>
  <c r="F37" i="114"/>
  <c r="A37" i="114"/>
  <c r="H36" i="114"/>
  <c r="F36" i="114"/>
  <c r="G36" i="114" s="1"/>
  <c r="A36" i="114"/>
  <c r="H35" i="114"/>
  <c r="G35" i="114"/>
  <c r="F35" i="114"/>
  <c r="A35" i="114"/>
  <c r="H34" i="114"/>
  <c r="F34" i="114"/>
  <c r="G34" i="114" s="1"/>
  <c r="A34" i="114"/>
  <c r="H33" i="114"/>
  <c r="F33" i="114"/>
  <c r="G33" i="114" s="1"/>
  <c r="A33" i="114"/>
  <c r="H32" i="114"/>
  <c r="G32" i="114"/>
  <c r="F32" i="114"/>
  <c r="A32" i="114"/>
  <c r="H31" i="114"/>
  <c r="G31" i="114" s="1"/>
  <c r="F31" i="114"/>
  <c r="A31" i="114"/>
  <c r="H30" i="114"/>
  <c r="G30" i="114"/>
  <c r="F30" i="114"/>
  <c r="A30" i="114"/>
  <c r="H29" i="114"/>
  <c r="G29" i="114"/>
  <c r="F29" i="114"/>
  <c r="A29" i="114"/>
  <c r="H28" i="114"/>
  <c r="F28" i="114"/>
  <c r="G28" i="114" s="1"/>
  <c r="A28" i="114"/>
  <c r="H27" i="114"/>
  <c r="G27" i="114"/>
  <c r="F27" i="114"/>
  <c r="A27" i="114"/>
  <c r="H26" i="114"/>
  <c r="F26" i="114"/>
  <c r="G26" i="114" s="1"/>
  <c r="A26" i="114"/>
  <c r="H25" i="114"/>
  <c r="F25" i="114"/>
  <c r="G25" i="114" s="1"/>
  <c r="A25" i="114"/>
  <c r="H24" i="114"/>
  <c r="G24" i="114"/>
  <c r="F24" i="114"/>
  <c r="A24" i="114"/>
  <c r="H23" i="114"/>
  <c r="G23" i="114" s="1"/>
  <c r="F23" i="114"/>
  <c r="A23" i="114"/>
  <c r="H22" i="114"/>
  <c r="G22" i="114"/>
  <c r="F22" i="114"/>
  <c r="A22" i="114"/>
  <c r="H21" i="114"/>
  <c r="F21" i="114"/>
  <c r="G21" i="114" s="1"/>
  <c r="A21" i="114"/>
  <c r="H20" i="114"/>
  <c r="G20" i="114"/>
  <c r="F20" i="114"/>
  <c r="A20" i="114"/>
  <c r="J19" i="114"/>
  <c r="H19" i="114"/>
  <c r="F19" i="114"/>
  <c r="G19" i="114" s="1"/>
  <c r="A19" i="114"/>
  <c r="L18" i="114"/>
  <c r="K18" i="114"/>
  <c r="J18" i="114"/>
  <c r="H18" i="114"/>
  <c r="F18" i="114"/>
  <c r="G18" i="114" s="1"/>
  <c r="A18" i="114"/>
  <c r="H17" i="114"/>
  <c r="F17" i="114"/>
  <c r="G17" i="114" s="1"/>
  <c r="A17" i="114"/>
  <c r="H16" i="114"/>
  <c r="F16" i="114"/>
  <c r="G16" i="114" s="1"/>
  <c r="A16" i="114"/>
  <c r="H15" i="114"/>
  <c r="G15" i="114"/>
  <c r="F15" i="114"/>
  <c r="A15" i="114"/>
  <c r="H14" i="114"/>
  <c r="F14" i="114"/>
  <c r="G14" i="114" s="1"/>
  <c r="A14" i="114"/>
  <c r="H13" i="114"/>
  <c r="F13" i="114"/>
  <c r="G13" i="114" s="1"/>
  <c r="A13" i="114"/>
  <c r="L12" i="114"/>
  <c r="L19" i="114" s="1"/>
  <c r="G39" i="123" s="1"/>
  <c r="K12" i="114"/>
  <c r="K19" i="114" s="1"/>
  <c r="D39" i="123" s="1"/>
  <c r="J12" i="114"/>
  <c r="H12" i="114"/>
  <c r="G12" i="114"/>
  <c r="F12" i="114"/>
  <c r="L11" i="114"/>
  <c r="K11" i="114"/>
  <c r="J11" i="114"/>
  <c r="H11" i="114"/>
  <c r="F11" i="114"/>
  <c r="G11" i="114" s="1"/>
  <c r="H10" i="114"/>
  <c r="F10" i="114"/>
  <c r="G10" i="114" s="1"/>
  <c r="L9" i="114"/>
  <c r="K9" i="114"/>
  <c r="J9" i="114"/>
  <c r="H9" i="114"/>
  <c r="F9" i="114"/>
  <c r="G9" i="114" s="1"/>
  <c r="L8" i="114"/>
  <c r="L21" i="114" s="1"/>
  <c r="K8" i="114"/>
  <c r="K21" i="114" s="1"/>
  <c r="J8" i="114"/>
  <c r="J21" i="114" s="1"/>
  <c r="I39" i="123" s="1"/>
  <c r="H8" i="114"/>
  <c r="F8" i="114"/>
  <c r="G8" i="114" s="1"/>
  <c r="L7" i="114"/>
  <c r="K7" i="114"/>
  <c r="J7" i="114"/>
  <c r="H7" i="114"/>
  <c r="F7" i="114"/>
  <c r="G7" i="114" s="1"/>
  <c r="L6" i="114"/>
  <c r="K6" i="114"/>
  <c r="J6" i="114"/>
  <c r="H6" i="114"/>
  <c r="F6" i="114"/>
  <c r="G6" i="114" s="1"/>
  <c r="L5" i="114"/>
  <c r="K5" i="114"/>
  <c r="J5" i="114"/>
  <c r="H5" i="114"/>
  <c r="F5" i="114"/>
  <c r="G5" i="114" s="1"/>
  <c r="L4" i="114"/>
  <c r="K4" i="114"/>
  <c r="J4" i="114"/>
  <c r="H4" i="114"/>
  <c r="F4" i="114"/>
  <c r="G4" i="114" s="1"/>
  <c r="L3" i="114"/>
  <c r="L16" i="114" s="1"/>
  <c r="E39" i="123" s="1"/>
  <c r="K3" i="114"/>
  <c r="K16" i="114" s="1"/>
  <c r="B39" i="123" s="1"/>
  <c r="J3" i="114"/>
  <c r="J16" i="114" s="1"/>
  <c r="H3" i="114"/>
  <c r="L10" i="114" s="1"/>
  <c r="F3" i="114"/>
  <c r="J10" i="114" s="1"/>
  <c r="H42" i="112"/>
  <c r="F42" i="112"/>
  <c r="G42" i="112" s="1"/>
  <c r="A42" i="112"/>
  <c r="H41" i="112"/>
  <c r="F41" i="112"/>
  <c r="G41" i="112" s="1"/>
  <c r="A41" i="112"/>
  <c r="H40" i="112"/>
  <c r="G40" i="112"/>
  <c r="F40" i="112"/>
  <c r="A40" i="112"/>
  <c r="H39" i="112"/>
  <c r="F39" i="112"/>
  <c r="G39" i="112" s="1"/>
  <c r="A39" i="112"/>
  <c r="H38" i="112"/>
  <c r="G38" i="112"/>
  <c r="F38" i="112"/>
  <c r="A38" i="112"/>
  <c r="H37" i="112"/>
  <c r="F37" i="112"/>
  <c r="G37" i="112" s="1"/>
  <c r="A37" i="112"/>
  <c r="H36" i="112"/>
  <c r="F36" i="112"/>
  <c r="G36" i="112" s="1"/>
  <c r="A36" i="112"/>
  <c r="H35" i="112"/>
  <c r="G35" i="112"/>
  <c r="F35" i="112"/>
  <c r="A35" i="112"/>
  <c r="H34" i="112"/>
  <c r="F34" i="112"/>
  <c r="G34" i="112" s="1"/>
  <c r="A34" i="112"/>
  <c r="H33" i="112"/>
  <c r="F33" i="112"/>
  <c r="G33" i="112" s="1"/>
  <c r="A33" i="112"/>
  <c r="H32" i="112"/>
  <c r="G32" i="112"/>
  <c r="F32" i="112"/>
  <c r="A32" i="112"/>
  <c r="H31" i="112"/>
  <c r="F31" i="112"/>
  <c r="G31" i="112" s="1"/>
  <c r="A31" i="112"/>
  <c r="H30" i="112"/>
  <c r="G30" i="112"/>
  <c r="F30" i="112"/>
  <c r="A30" i="112"/>
  <c r="H29" i="112"/>
  <c r="F29" i="112"/>
  <c r="G29" i="112" s="1"/>
  <c r="A29" i="112"/>
  <c r="H28" i="112"/>
  <c r="F28" i="112"/>
  <c r="G28" i="112" s="1"/>
  <c r="A28" i="112"/>
  <c r="H27" i="112"/>
  <c r="G27" i="112"/>
  <c r="F27" i="112"/>
  <c r="A27" i="112"/>
  <c r="H26" i="112"/>
  <c r="F26" i="112"/>
  <c r="G26" i="112" s="1"/>
  <c r="A26" i="112"/>
  <c r="H25" i="112"/>
  <c r="F25" i="112"/>
  <c r="G25" i="112" s="1"/>
  <c r="A25" i="112"/>
  <c r="H24" i="112"/>
  <c r="G24" i="112"/>
  <c r="F24" i="112"/>
  <c r="A24" i="112"/>
  <c r="H23" i="112"/>
  <c r="F23" i="112"/>
  <c r="G23" i="112" s="1"/>
  <c r="A23" i="112"/>
  <c r="H22" i="112"/>
  <c r="G22" i="112"/>
  <c r="F22" i="112"/>
  <c r="A22" i="112"/>
  <c r="H21" i="112"/>
  <c r="F21" i="112"/>
  <c r="G21" i="112" s="1"/>
  <c r="A21" i="112"/>
  <c r="H20" i="112"/>
  <c r="G20" i="112"/>
  <c r="F20" i="112"/>
  <c r="A20" i="112"/>
  <c r="H19" i="112"/>
  <c r="F19" i="112"/>
  <c r="G19" i="112" s="1"/>
  <c r="A19" i="112"/>
  <c r="L18" i="112"/>
  <c r="J18" i="112"/>
  <c r="H18" i="112"/>
  <c r="F18" i="112"/>
  <c r="G18" i="112" s="1"/>
  <c r="H17" i="112"/>
  <c r="G17" i="112"/>
  <c r="F17" i="112"/>
  <c r="H16" i="112"/>
  <c r="F16" i="112"/>
  <c r="G16" i="112" s="1"/>
  <c r="H15" i="112"/>
  <c r="F15" i="112"/>
  <c r="G15" i="112" s="1"/>
  <c r="H14" i="112"/>
  <c r="G14" i="112"/>
  <c r="F14" i="112"/>
  <c r="H13" i="112"/>
  <c r="F13" i="112"/>
  <c r="G13" i="112" s="1"/>
  <c r="L12" i="112"/>
  <c r="L19" i="112" s="1"/>
  <c r="G37" i="123" s="1"/>
  <c r="K12" i="112"/>
  <c r="K19" i="112" s="1"/>
  <c r="D37" i="123" s="1"/>
  <c r="J12" i="112"/>
  <c r="J19" i="112" s="1"/>
  <c r="H12" i="112"/>
  <c r="F12" i="112"/>
  <c r="G12" i="112" s="1"/>
  <c r="L11" i="112"/>
  <c r="K11" i="112"/>
  <c r="K18" i="112" s="1"/>
  <c r="J11" i="112"/>
  <c r="H11" i="112"/>
  <c r="F11" i="112"/>
  <c r="G11" i="112" s="1"/>
  <c r="H10" i="112"/>
  <c r="F10" i="112"/>
  <c r="G10" i="112" s="1"/>
  <c r="L9" i="112"/>
  <c r="K9" i="112"/>
  <c r="J9" i="112"/>
  <c r="H9" i="112"/>
  <c r="F9" i="112"/>
  <c r="G9" i="112" s="1"/>
  <c r="L8" i="112"/>
  <c r="L21" i="112" s="1"/>
  <c r="K8" i="112"/>
  <c r="K21" i="112" s="1"/>
  <c r="J8" i="112"/>
  <c r="J21" i="112" s="1"/>
  <c r="I37" i="123" s="1"/>
  <c r="H8" i="112"/>
  <c r="F8" i="112"/>
  <c r="G8" i="112" s="1"/>
  <c r="L7" i="112"/>
  <c r="K7" i="112"/>
  <c r="J7" i="112"/>
  <c r="H7" i="112"/>
  <c r="F7" i="112"/>
  <c r="G7" i="112" s="1"/>
  <c r="L6" i="112"/>
  <c r="K6" i="112"/>
  <c r="J6" i="112"/>
  <c r="H6" i="112"/>
  <c r="G6" i="112" s="1"/>
  <c r="F6" i="112"/>
  <c r="L5" i="112"/>
  <c r="K5" i="112"/>
  <c r="J5" i="112"/>
  <c r="H5" i="112"/>
  <c r="G5" i="112" s="1"/>
  <c r="F5" i="112"/>
  <c r="L4" i="112"/>
  <c r="L17" i="112" s="1"/>
  <c r="F37" i="123" s="1"/>
  <c r="K4" i="112"/>
  <c r="J4" i="112"/>
  <c r="H4" i="112"/>
  <c r="L10" i="112" s="1"/>
  <c r="F4" i="112"/>
  <c r="G4" i="112" s="1"/>
  <c r="H3" i="112"/>
  <c r="L3" i="112" s="1"/>
  <c r="L16" i="112" s="1"/>
  <c r="E37" i="123" s="1"/>
  <c r="F3" i="112"/>
  <c r="G3" i="112" s="1"/>
  <c r="H42" i="111"/>
  <c r="F42" i="111"/>
  <c r="G42" i="111" s="1"/>
  <c r="A42" i="111"/>
  <c r="H41" i="111"/>
  <c r="F41" i="111"/>
  <c r="G41" i="111" s="1"/>
  <c r="A41" i="111"/>
  <c r="H40" i="111"/>
  <c r="F40" i="111"/>
  <c r="G40" i="111" s="1"/>
  <c r="A40" i="111"/>
  <c r="H39" i="111"/>
  <c r="F39" i="111"/>
  <c r="G39" i="111" s="1"/>
  <c r="A39" i="111"/>
  <c r="H38" i="111"/>
  <c r="G38" i="111"/>
  <c r="F38" i="111"/>
  <c r="A38" i="111"/>
  <c r="H37" i="111"/>
  <c r="G37" i="111"/>
  <c r="F37" i="111"/>
  <c r="A37" i="111"/>
  <c r="H36" i="111"/>
  <c r="G36" i="111"/>
  <c r="F36" i="111"/>
  <c r="A36" i="111"/>
  <c r="H35" i="111"/>
  <c r="F35" i="111"/>
  <c r="G35" i="111" s="1"/>
  <c r="A35" i="111"/>
  <c r="H34" i="111"/>
  <c r="F34" i="111"/>
  <c r="G34" i="111" s="1"/>
  <c r="A34" i="111"/>
  <c r="H33" i="111"/>
  <c r="F33" i="111"/>
  <c r="G33" i="111" s="1"/>
  <c r="A33" i="111"/>
  <c r="H32" i="111"/>
  <c r="F32" i="111"/>
  <c r="G32" i="111" s="1"/>
  <c r="A32" i="111"/>
  <c r="H31" i="111"/>
  <c r="F31" i="111"/>
  <c r="G31" i="111" s="1"/>
  <c r="A31" i="111"/>
  <c r="H30" i="111"/>
  <c r="G30" i="111"/>
  <c r="F30" i="111"/>
  <c r="A30" i="111"/>
  <c r="H29" i="111"/>
  <c r="G29" i="111"/>
  <c r="F29" i="111"/>
  <c r="A29" i="111"/>
  <c r="H28" i="111"/>
  <c r="G28" i="111"/>
  <c r="F28" i="111"/>
  <c r="A28" i="111"/>
  <c r="H27" i="111"/>
  <c r="F27" i="111"/>
  <c r="G27" i="111" s="1"/>
  <c r="A27" i="111"/>
  <c r="H26" i="111"/>
  <c r="F26" i="111"/>
  <c r="G26" i="111" s="1"/>
  <c r="H25" i="111"/>
  <c r="F25" i="111"/>
  <c r="G25" i="111" s="1"/>
  <c r="H24" i="111"/>
  <c r="F24" i="111"/>
  <c r="J4" i="111" s="1"/>
  <c r="H23" i="111"/>
  <c r="L5" i="111" s="1"/>
  <c r="F23" i="111"/>
  <c r="J5" i="111" s="1"/>
  <c r="H22" i="111"/>
  <c r="F22" i="111"/>
  <c r="G22" i="111" s="1"/>
  <c r="L21" i="111"/>
  <c r="H21" i="111"/>
  <c r="G21" i="111" s="1"/>
  <c r="F21" i="111"/>
  <c r="H20" i="111"/>
  <c r="G20" i="111"/>
  <c r="F20" i="111"/>
  <c r="H19" i="111"/>
  <c r="F19" i="111"/>
  <c r="G19" i="111" s="1"/>
  <c r="L18" i="111"/>
  <c r="H18" i="111"/>
  <c r="F18" i="111"/>
  <c r="G18" i="111" s="1"/>
  <c r="H17" i="111"/>
  <c r="F17" i="111"/>
  <c r="G17" i="111" s="1"/>
  <c r="H16" i="111"/>
  <c r="G16" i="111"/>
  <c r="F16" i="111"/>
  <c r="H15" i="111"/>
  <c r="G15" i="111" s="1"/>
  <c r="F15" i="111"/>
  <c r="A15" i="111"/>
  <c r="H14" i="111"/>
  <c r="F14" i="111"/>
  <c r="G14" i="111" s="1"/>
  <c r="H13" i="111"/>
  <c r="G13" i="111"/>
  <c r="F13" i="111"/>
  <c r="L12" i="111"/>
  <c r="L19" i="111" s="1"/>
  <c r="G36" i="123" s="1"/>
  <c r="K12" i="111"/>
  <c r="K19" i="111" s="1"/>
  <c r="D36" i="123" s="1"/>
  <c r="J12" i="111"/>
  <c r="J19" i="111" s="1"/>
  <c r="H12" i="111"/>
  <c r="L7" i="111" s="1"/>
  <c r="G12" i="111"/>
  <c r="K7" i="111" s="1"/>
  <c r="F12" i="111"/>
  <c r="L11" i="111"/>
  <c r="K11" i="111"/>
  <c r="K18" i="111" s="1"/>
  <c r="J11" i="111"/>
  <c r="J18" i="111" s="1"/>
  <c r="H11" i="111"/>
  <c r="F11" i="111"/>
  <c r="G11" i="111" s="1"/>
  <c r="L10" i="111"/>
  <c r="K10" i="111"/>
  <c r="J10" i="111"/>
  <c r="H10" i="111"/>
  <c r="G10" i="111"/>
  <c r="F10" i="111"/>
  <c r="L9" i="111"/>
  <c r="K9" i="111"/>
  <c r="K21" i="111" s="1"/>
  <c r="J9" i="111"/>
  <c r="J21" i="111" s="1"/>
  <c r="I36" i="123" s="1"/>
  <c r="H9" i="111"/>
  <c r="G9" i="111"/>
  <c r="F9" i="111"/>
  <c r="L8" i="111"/>
  <c r="K8" i="111"/>
  <c r="J8" i="111"/>
  <c r="H8" i="111"/>
  <c r="G8" i="111"/>
  <c r="F8" i="111"/>
  <c r="J7" i="111"/>
  <c r="H7" i="111"/>
  <c r="F7" i="111"/>
  <c r="G7" i="111" s="1"/>
  <c r="L6" i="111"/>
  <c r="K6" i="111"/>
  <c r="J6" i="111"/>
  <c r="H6" i="111"/>
  <c r="F6" i="111"/>
  <c r="G6" i="111" s="1"/>
  <c r="H5" i="111"/>
  <c r="L3" i="111" s="1"/>
  <c r="L16" i="111" s="1"/>
  <c r="E36" i="123" s="1"/>
  <c r="F5" i="111"/>
  <c r="G5" i="111" s="1"/>
  <c r="L4" i="111"/>
  <c r="L17" i="111" s="1"/>
  <c r="F36" i="123" s="1"/>
  <c r="H4" i="111"/>
  <c r="G4" i="111"/>
  <c r="F4" i="111"/>
  <c r="H3" i="111"/>
  <c r="G3" i="111"/>
  <c r="F3" i="111"/>
  <c r="J3" i="111" s="1"/>
  <c r="J16" i="111" s="1"/>
  <c r="H42" i="113"/>
  <c r="F42" i="113"/>
  <c r="G42" i="113" s="1"/>
  <c r="A42" i="113"/>
  <c r="H41" i="113"/>
  <c r="F41" i="113"/>
  <c r="G41" i="113" s="1"/>
  <c r="A41" i="113"/>
  <c r="H40" i="113"/>
  <c r="F40" i="113"/>
  <c r="G40" i="113" s="1"/>
  <c r="A40" i="113"/>
  <c r="H39" i="113"/>
  <c r="F39" i="113"/>
  <c r="G39" i="113" s="1"/>
  <c r="A39" i="113"/>
  <c r="H38" i="113"/>
  <c r="F38" i="113"/>
  <c r="G38" i="113" s="1"/>
  <c r="A38" i="113"/>
  <c r="H37" i="113"/>
  <c r="F37" i="113"/>
  <c r="G37" i="113" s="1"/>
  <c r="A37" i="113"/>
  <c r="H36" i="113"/>
  <c r="F36" i="113"/>
  <c r="G36" i="113" s="1"/>
  <c r="A36" i="113"/>
  <c r="H35" i="113"/>
  <c r="F35" i="113"/>
  <c r="G35" i="113" s="1"/>
  <c r="A35" i="113"/>
  <c r="H34" i="113"/>
  <c r="F34" i="113"/>
  <c r="G34" i="113" s="1"/>
  <c r="A34" i="113"/>
  <c r="H33" i="113"/>
  <c r="F33" i="113"/>
  <c r="G33" i="113" s="1"/>
  <c r="A33" i="113"/>
  <c r="H32" i="113"/>
  <c r="F32" i="113"/>
  <c r="G32" i="113" s="1"/>
  <c r="A32" i="113"/>
  <c r="H31" i="113"/>
  <c r="F31" i="113"/>
  <c r="G31" i="113" s="1"/>
  <c r="A31" i="113"/>
  <c r="H30" i="113"/>
  <c r="F30" i="113"/>
  <c r="G30" i="113" s="1"/>
  <c r="A30" i="113"/>
  <c r="H29" i="113"/>
  <c r="F29" i="113"/>
  <c r="G29" i="113" s="1"/>
  <c r="H28" i="113"/>
  <c r="G28" i="113"/>
  <c r="F28" i="113"/>
  <c r="H27" i="113"/>
  <c r="F27" i="113"/>
  <c r="G27" i="113" s="1"/>
  <c r="H26" i="113"/>
  <c r="G26" i="113"/>
  <c r="F26" i="113"/>
  <c r="H25" i="113"/>
  <c r="F25" i="113"/>
  <c r="G25" i="113" s="1"/>
  <c r="H24" i="113"/>
  <c r="F24" i="113"/>
  <c r="G24" i="113" s="1"/>
  <c r="H23" i="113"/>
  <c r="F23" i="113"/>
  <c r="G23" i="113" s="1"/>
  <c r="H22" i="113"/>
  <c r="G22" i="113"/>
  <c r="F22" i="113"/>
  <c r="H21" i="113"/>
  <c r="F21" i="113"/>
  <c r="G21" i="113" s="1"/>
  <c r="H20" i="113"/>
  <c r="L4" i="113" s="1"/>
  <c r="L17" i="113" s="1"/>
  <c r="F38" i="123" s="1"/>
  <c r="F20" i="113"/>
  <c r="J4" i="113" s="1"/>
  <c r="J17" i="113" s="1"/>
  <c r="L19" i="113"/>
  <c r="G38" i="123" s="1"/>
  <c r="J19" i="113"/>
  <c r="H19" i="113"/>
  <c r="G19" i="113"/>
  <c r="F19" i="113"/>
  <c r="L18" i="113"/>
  <c r="H18" i="113"/>
  <c r="G18" i="113"/>
  <c r="F18" i="113"/>
  <c r="H17" i="113"/>
  <c r="F17" i="113"/>
  <c r="G17" i="113" s="1"/>
  <c r="H16" i="113"/>
  <c r="G16" i="113"/>
  <c r="F16" i="113"/>
  <c r="H15" i="113"/>
  <c r="F15" i="113"/>
  <c r="G15" i="113" s="1"/>
  <c r="H14" i="113"/>
  <c r="F14" i="113"/>
  <c r="G14" i="113" s="1"/>
  <c r="H13" i="113"/>
  <c r="F13" i="113"/>
  <c r="G13" i="113" s="1"/>
  <c r="L12" i="113"/>
  <c r="K12" i="113"/>
  <c r="K19" i="113" s="1"/>
  <c r="D38" i="123" s="1"/>
  <c r="J12" i="113"/>
  <c r="H12" i="113"/>
  <c r="F12" i="113"/>
  <c r="G12" i="113" s="1"/>
  <c r="L11" i="113"/>
  <c r="K11" i="113"/>
  <c r="K18" i="113" s="1"/>
  <c r="J11" i="113"/>
  <c r="J18" i="113" s="1"/>
  <c r="H11" i="113"/>
  <c r="F11" i="113"/>
  <c r="G11" i="113" s="1"/>
  <c r="L10" i="113"/>
  <c r="K10" i="113"/>
  <c r="J10" i="113"/>
  <c r="H10" i="113"/>
  <c r="F10" i="113"/>
  <c r="G10" i="113" s="1"/>
  <c r="L9" i="113"/>
  <c r="L21" i="113" s="1"/>
  <c r="K9" i="113"/>
  <c r="J9" i="113"/>
  <c r="H9" i="113"/>
  <c r="F9" i="113"/>
  <c r="G9" i="113" s="1"/>
  <c r="L8" i="113"/>
  <c r="K8" i="113"/>
  <c r="K21" i="113" s="1"/>
  <c r="J8" i="113"/>
  <c r="J21" i="113" s="1"/>
  <c r="I38" i="123" s="1"/>
  <c r="H8" i="113"/>
  <c r="F8" i="113"/>
  <c r="G8" i="113" s="1"/>
  <c r="L7" i="113"/>
  <c r="K7" i="113"/>
  <c r="J7" i="113"/>
  <c r="H7" i="113"/>
  <c r="F7" i="113"/>
  <c r="G7" i="113" s="1"/>
  <c r="L6" i="113"/>
  <c r="K6" i="113"/>
  <c r="J6" i="113"/>
  <c r="H6" i="113"/>
  <c r="F6" i="113"/>
  <c r="G6" i="113" s="1"/>
  <c r="L5" i="113"/>
  <c r="K5" i="113"/>
  <c r="J5" i="113"/>
  <c r="H5" i="113"/>
  <c r="F5" i="113"/>
  <c r="G5" i="113" s="1"/>
  <c r="H4" i="113"/>
  <c r="F4" i="113"/>
  <c r="G4" i="113" s="1"/>
  <c r="H3" i="113"/>
  <c r="L3" i="113" s="1"/>
  <c r="L16" i="113" s="1"/>
  <c r="E38" i="123" s="1"/>
  <c r="F3" i="113"/>
  <c r="G3" i="113" s="1"/>
  <c r="H42" i="110"/>
  <c r="F42" i="110"/>
  <c r="G42" i="110" s="1"/>
  <c r="A42" i="110"/>
  <c r="H41" i="110"/>
  <c r="G41" i="110"/>
  <c r="F41" i="110"/>
  <c r="A41" i="110"/>
  <c r="H40" i="110"/>
  <c r="G40" i="110"/>
  <c r="F40" i="110"/>
  <c r="A40" i="110"/>
  <c r="H39" i="110"/>
  <c r="G39" i="110" s="1"/>
  <c r="F39" i="110"/>
  <c r="A39" i="110"/>
  <c r="H38" i="110"/>
  <c r="G38" i="110"/>
  <c r="F38" i="110"/>
  <c r="A38" i="110"/>
  <c r="H37" i="110"/>
  <c r="F37" i="110"/>
  <c r="G37" i="110" s="1"/>
  <c r="A37" i="110"/>
  <c r="H36" i="110"/>
  <c r="F36" i="110"/>
  <c r="G36" i="110" s="1"/>
  <c r="A36" i="110"/>
  <c r="H35" i="110"/>
  <c r="F35" i="110"/>
  <c r="G35" i="110" s="1"/>
  <c r="A35" i="110"/>
  <c r="H34" i="110"/>
  <c r="F34" i="110"/>
  <c r="G34" i="110" s="1"/>
  <c r="A34" i="110"/>
  <c r="H33" i="110"/>
  <c r="G33" i="110"/>
  <c r="F33" i="110"/>
  <c r="A33" i="110"/>
  <c r="H32" i="110"/>
  <c r="G32" i="110"/>
  <c r="F32" i="110"/>
  <c r="A32" i="110"/>
  <c r="H31" i="110"/>
  <c r="G31" i="110" s="1"/>
  <c r="F31" i="110"/>
  <c r="A31" i="110"/>
  <c r="H30" i="110"/>
  <c r="G30" i="110"/>
  <c r="F30" i="110"/>
  <c r="A30" i="110"/>
  <c r="H29" i="110"/>
  <c r="F29" i="110"/>
  <c r="G29" i="110" s="1"/>
  <c r="A29" i="110"/>
  <c r="H28" i="110"/>
  <c r="F28" i="110"/>
  <c r="G28" i="110" s="1"/>
  <c r="A28" i="110"/>
  <c r="H27" i="110"/>
  <c r="F27" i="110"/>
  <c r="G27" i="110" s="1"/>
  <c r="H26" i="110"/>
  <c r="L6" i="110" s="1"/>
  <c r="F26" i="110"/>
  <c r="J6" i="110" s="1"/>
  <c r="H25" i="110"/>
  <c r="F25" i="110"/>
  <c r="G25" i="110" s="1"/>
  <c r="K5" i="110" s="1"/>
  <c r="H24" i="110"/>
  <c r="F24" i="110"/>
  <c r="G24" i="110" s="1"/>
  <c r="H23" i="110"/>
  <c r="G23" i="110"/>
  <c r="F23" i="110"/>
  <c r="H22" i="110"/>
  <c r="G22" i="110" s="1"/>
  <c r="F22" i="110"/>
  <c r="H21" i="110"/>
  <c r="F21" i="110"/>
  <c r="G21" i="110" s="1"/>
  <c r="H20" i="110"/>
  <c r="F20" i="110"/>
  <c r="G20" i="110" s="1"/>
  <c r="H19" i="110"/>
  <c r="F19" i="110"/>
  <c r="G19" i="110" s="1"/>
  <c r="H18" i="110"/>
  <c r="F18" i="110"/>
  <c r="G18" i="110" s="1"/>
  <c r="H17" i="110"/>
  <c r="F17" i="110"/>
  <c r="G17" i="110" s="1"/>
  <c r="H16" i="110"/>
  <c r="F16" i="110"/>
  <c r="G16" i="110" s="1"/>
  <c r="H15" i="110"/>
  <c r="G15" i="110"/>
  <c r="F15" i="110"/>
  <c r="H14" i="110"/>
  <c r="F14" i="110"/>
  <c r="G14" i="110" s="1"/>
  <c r="H13" i="110"/>
  <c r="L4" i="110" s="1"/>
  <c r="F13" i="110"/>
  <c r="J4" i="110" s="1"/>
  <c r="L12" i="110"/>
  <c r="L19" i="110" s="1"/>
  <c r="G35" i="123" s="1"/>
  <c r="K12" i="110"/>
  <c r="K19" i="110" s="1"/>
  <c r="D35" i="123" s="1"/>
  <c r="J12" i="110"/>
  <c r="J19" i="110" s="1"/>
  <c r="H12" i="110"/>
  <c r="F12" i="110"/>
  <c r="G12" i="110" s="1"/>
  <c r="K7" i="110" s="1"/>
  <c r="L11" i="110"/>
  <c r="L18" i="110" s="1"/>
  <c r="K11" i="110"/>
  <c r="K18" i="110" s="1"/>
  <c r="J11" i="110"/>
  <c r="J18" i="110" s="1"/>
  <c r="H11" i="110"/>
  <c r="F11" i="110"/>
  <c r="G11" i="110" s="1"/>
  <c r="L10" i="110"/>
  <c r="K10" i="110"/>
  <c r="J10" i="110"/>
  <c r="H10" i="110"/>
  <c r="G10" i="110"/>
  <c r="F10" i="110"/>
  <c r="L9" i="110"/>
  <c r="K9" i="110"/>
  <c r="J9" i="110"/>
  <c r="H9" i="110"/>
  <c r="F9" i="110"/>
  <c r="G9" i="110" s="1"/>
  <c r="L8" i="110"/>
  <c r="L21" i="110" s="1"/>
  <c r="K8" i="110"/>
  <c r="K21" i="110" s="1"/>
  <c r="J8" i="110"/>
  <c r="J21" i="110" s="1"/>
  <c r="I35" i="123" s="1"/>
  <c r="H8" i="110"/>
  <c r="F8" i="110"/>
  <c r="G8" i="110" s="1"/>
  <c r="L7" i="110"/>
  <c r="J7" i="110"/>
  <c r="H7" i="110"/>
  <c r="G7" i="110"/>
  <c r="F7" i="110"/>
  <c r="H6" i="110"/>
  <c r="F6" i="110"/>
  <c r="G6" i="110" s="1"/>
  <c r="L5" i="110"/>
  <c r="J5" i="110"/>
  <c r="H5" i="110"/>
  <c r="G5" i="110"/>
  <c r="F5" i="110"/>
  <c r="H4" i="110"/>
  <c r="G4" i="110" s="1"/>
  <c r="F4" i="110"/>
  <c r="H3" i="110"/>
  <c r="G3" i="110"/>
  <c r="F3" i="110"/>
  <c r="H42" i="109"/>
  <c r="F42" i="109"/>
  <c r="G42" i="109" s="1"/>
  <c r="A42" i="109"/>
  <c r="H41" i="109"/>
  <c r="F41" i="109"/>
  <c r="G41" i="109" s="1"/>
  <c r="A41" i="109"/>
  <c r="H40" i="109"/>
  <c r="F40" i="109"/>
  <c r="G40" i="109" s="1"/>
  <c r="A40" i="109"/>
  <c r="H39" i="109"/>
  <c r="F39" i="109"/>
  <c r="G39" i="109" s="1"/>
  <c r="A39" i="109"/>
  <c r="H38" i="109"/>
  <c r="F38" i="109"/>
  <c r="G38" i="109" s="1"/>
  <c r="A38" i="109"/>
  <c r="H37" i="109"/>
  <c r="F37" i="109"/>
  <c r="G37" i="109" s="1"/>
  <c r="A37" i="109"/>
  <c r="H36" i="109"/>
  <c r="F36" i="109"/>
  <c r="G36" i="109" s="1"/>
  <c r="A36" i="109"/>
  <c r="H35" i="109"/>
  <c r="F35" i="109"/>
  <c r="G35" i="109" s="1"/>
  <c r="A35" i="109"/>
  <c r="H34" i="109"/>
  <c r="F34" i="109"/>
  <c r="G34" i="109" s="1"/>
  <c r="A34" i="109"/>
  <c r="H33" i="109"/>
  <c r="F33" i="109"/>
  <c r="G33" i="109" s="1"/>
  <c r="A33" i="109"/>
  <c r="H32" i="109"/>
  <c r="F32" i="109"/>
  <c r="G32" i="109" s="1"/>
  <c r="A32" i="109"/>
  <c r="H31" i="109"/>
  <c r="F31" i="109"/>
  <c r="G31" i="109" s="1"/>
  <c r="A31" i="109"/>
  <c r="H30" i="109"/>
  <c r="F30" i="109"/>
  <c r="G30" i="109" s="1"/>
  <c r="A30" i="109"/>
  <c r="H29" i="109"/>
  <c r="F29" i="109"/>
  <c r="G29" i="109" s="1"/>
  <c r="A29" i="109"/>
  <c r="H28" i="109"/>
  <c r="F28" i="109"/>
  <c r="G28" i="109" s="1"/>
  <c r="A28" i="109"/>
  <c r="H27" i="109"/>
  <c r="F27" i="109"/>
  <c r="G27" i="109" s="1"/>
  <c r="A27" i="109"/>
  <c r="H26" i="109"/>
  <c r="F26" i="109"/>
  <c r="G26" i="109" s="1"/>
  <c r="A26" i="109"/>
  <c r="H25" i="109"/>
  <c r="F25" i="109"/>
  <c r="G25" i="109" s="1"/>
  <c r="A25" i="109"/>
  <c r="H24" i="109"/>
  <c r="F24" i="109"/>
  <c r="G24" i="109" s="1"/>
  <c r="A24" i="109"/>
  <c r="H23" i="109"/>
  <c r="F23" i="109"/>
  <c r="G23" i="109" s="1"/>
  <c r="A23" i="109"/>
  <c r="H22" i="109"/>
  <c r="F22" i="109"/>
  <c r="G22" i="109" s="1"/>
  <c r="A22" i="109"/>
  <c r="H21" i="109"/>
  <c r="G21" i="109"/>
  <c r="F21" i="109"/>
  <c r="A21" i="109"/>
  <c r="H20" i="109"/>
  <c r="F20" i="109"/>
  <c r="G20" i="109" s="1"/>
  <c r="A20" i="109"/>
  <c r="H19" i="109"/>
  <c r="G19" i="109"/>
  <c r="F19" i="109"/>
  <c r="A19" i="109"/>
  <c r="K18" i="109"/>
  <c r="H18" i="109"/>
  <c r="F18" i="109"/>
  <c r="J4" i="109" s="1"/>
  <c r="J17" i="109" s="1"/>
  <c r="H17" i="109"/>
  <c r="F17" i="109"/>
  <c r="G17" i="109" s="1"/>
  <c r="H16" i="109"/>
  <c r="F16" i="109"/>
  <c r="G16" i="109" s="1"/>
  <c r="H15" i="109"/>
  <c r="G15" i="109"/>
  <c r="F15" i="109"/>
  <c r="H14" i="109"/>
  <c r="F14" i="109"/>
  <c r="G14" i="109" s="1"/>
  <c r="H13" i="109"/>
  <c r="F13" i="109"/>
  <c r="G13" i="109" s="1"/>
  <c r="L12" i="109"/>
  <c r="L19" i="109" s="1"/>
  <c r="G34" i="123" s="1"/>
  <c r="K12" i="109"/>
  <c r="K19" i="109" s="1"/>
  <c r="D34" i="123" s="1"/>
  <c r="J12" i="109"/>
  <c r="J19" i="109" s="1"/>
  <c r="H12" i="109"/>
  <c r="F12" i="109"/>
  <c r="G12" i="109" s="1"/>
  <c r="L11" i="109"/>
  <c r="L18" i="109" s="1"/>
  <c r="K11" i="109"/>
  <c r="J11" i="109"/>
  <c r="J18" i="109" s="1"/>
  <c r="H11" i="109"/>
  <c r="F11" i="109"/>
  <c r="G11" i="109" s="1"/>
  <c r="L10" i="109"/>
  <c r="K10" i="109"/>
  <c r="J10" i="109"/>
  <c r="H10" i="109"/>
  <c r="G10" i="109"/>
  <c r="F10" i="109"/>
  <c r="L9" i="109"/>
  <c r="K9" i="109"/>
  <c r="J9" i="109"/>
  <c r="H9" i="109"/>
  <c r="G9" i="109"/>
  <c r="F9" i="109"/>
  <c r="L8" i="109"/>
  <c r="L21" i="109" s="1"/>
  <c r="K8" i="109"/>
  <c r="K21" i="109" s="1"/>
  <c r="J8" i="109"/>
  <c r="J21" i="109" s="1"/>
  <c r="I34" i="123" s="1"/>
  <c r="H8" i="109"/>
  <c r="G8" i="109"/>
  <c r="F8" i="109"/>
  <c r="H7" i="109"/>
  <c r="G7" i="109"/>
  <c r="F7" i="109"/>
  <c r="L6" i="109"/>
  <c r="K6" i="109"/>
  <c r="J6" i="109"/>
  <c r="H6" i="109"/>
  <c r="L3" i="109" s="1"/>
  <c r="L16" i="109" s="1"/>
  <c r="E34" i="123" s="1"/>
  <c r="F6" i="109"/>
  <c r="J3" i="109" s="1"/>
  <c r="J16" i="109" s="1"/>
  <c r="L5" i="109"/>
  <c r="K5" i="109"/>
  <c r="J5" i="109"/>
  <c r="H5" i="109"/>
  <c r="L7" i="109" s="1"/>
  <c r="F5" i="109"/>
  <c r="J7" i="109" s="1"/>
  <c r="L4" i="109"/>
  <c r="L17" i="109" s="1"/>
  <c r="F34" i="123" s="1"/>
  <c r="H4" i="109"/>
  <c r="G4" i="109"/>
  <c r="F4" i="109"/>
  <c r="H3" i="109"/>
  <c r="G3" i="109"/>
  <c r="F3" i="109"/>
  <c r="H42" i="107"/>
  <c r="F42" i="107"/>
  <c r="G42" i="107" s="1"/>
  <c r="H41" i="107"/>
  <c r="G41" i="107"/>
  <c r="F41" i="107"/>
  <c r="H40" i="107"/>
  <c r="F40" i="107"/>
  <c r="G40" i="107" s="1"/>
  <c r="H39" i="107"/>
  <c r="G39" i="107"/>
  <c r="F39" i="107"/>
  <c r="H38" i="107"/>
  <c r="F38" i="107"/>
  <c r="G38" i="107" s="1"/>
  <c r="H37" i="107"/>
  <c r="F37" i="107"/>
  <c r="G37" i="107" s="1"/>
  <c r="H36" i="107"/>
  <c r="F36" i="107"/>
  <c r="G36" i="107" s="1"/>
  <c r="H35" i="107"/>
  <c r="G35" i="107"/>
  <c r="F35" i="107"/>
  <c r="H34" i="107"/>
  <c r="F34" i="107"/>
  <c r="G34" i="107" s="1"/>
  <c r="H33" i="107"/>
  <c r="G33" i="107"/>
  <c r="F33" i="107"/>
  <c r="H32" i="107"/>
  <c r="F32" i="107"/>
  <c r="G32" i="107" s="1"/>
  <c r="H31" i="107"/>
  <c r="G31" i="107"/>
  <c r="F31" i="107"/>
  <c r="H30" i="107"/>
  <c r="F30" i="107"/>
  <c r="G30" i="107" s="1"/>
  <c r="H29" i="107"/>
  <c r="F29" i="107"/>
  <c r="G29" i="107" s="1"/>
  <c r="H28" i="107"/>
  <c r="F28" i="107"/>
  <c r="G28" i="107" s="1"/>
  <c r="H27" i="107"/>
  <c r="F27" i="107"/>
  <c r="G27" i="107" s="1"/>
  <c r="H26" i="107"/>
  <c r="F26" i="107"/>
  <c r="G26" i="107" s="1"/>
  <c r="H25" i="107"/>
  <c r="F25" i="107"/>
  <c r="G25" i="107" s="1"/>
  <c r="H24" i="107"/>
  <c r="F24" i="107"/>
  <c r="G24" i="107" s="1"/>
  <c r="H23" i="107"/>
  <c r="G23" i="107"/>
  <c r="F23" i="107"/>
  <c r="H22" i="107"/>
  <c r="G22" i="107" s="1"/>
  <c r="F22" i="107"/>
  <c r="H21" i="107"/>
  <c r="F21" i="107"/>
  <c r="G21" i="107" s="1"/>
  <c r="H20" i="107"/>
  <c r="F20" i="107"/>
  <c r="G20" i="107" s="1"/>
  <c r="K19" i="107"/>
  <c r="D32" i="123" s="1"/>
  <c r="H19" i="107"/>
  <c r="F19" i="107"/>
  <c r="G19" i="107" s="1"/>
  <c r="H18" i="107"/>
  <c r="F18" i="107"/>
  <c r="G18" i="107" s="1"/>
  <c r="H17" i="107"/>
  <c r="F17" i="107"/>
  <c r="G17" i="107" s="1"/>
  <c r="H16" i="107"/>
  <c r="F16" i="107"/>
  <c r="G16" i="107" s="1"/>
  <c r="H15" i="107"/>
  <c r="G15" i="107"/>
  <c r="F15" i="107"/>
  <c r="H14" i="107"/>
  <c r="F14" i="107"/>
  <c r="G14" i="107" s="1"/>
  <c r="H13" i="107"/>
  <c r="F13" i="107"/>
  <c r="G13" i="107" s="1"/>
  <c r="L12" i="107"/>
  <c r="L19" i="107" s="1"/>
  <c r="G32" i="123" s="1"/>
  <c r="K12" i="107"/>
  <c r="J12" i="107"/>
  <c r="J19" i="107" s="1"/>
  <c r="H12" i="107"/>
  <c r="F12" i="107"/>
  <c r="G12" i="107" s="1"/>
  <c r="L11" i="107"/>
  <c r="L18" i="107" s="1"/>
  <c r="K11" i="107"/>
  <c r="K18" i="107" s="1"/>
  <c r="J11" i="107"/>
  <c r="J18" i="107" s="1"/>
  <c r="H11" i="107"/>
  <c r="F11" i="107"/>
  <c r="G11" i="107" s="1"/>
  <c r="L10" i="107"/>
  <c r="L17" i="107" s="1"/>
  <c r="F32" i="123" s="1"/>
  <c r="K10" i="107"/>
  <c r="J10" i="107"/>
  <c r="H10" i="107"/>
  <c r="G10" i="107"/>
  <c r="F10" i="107"/>
  <c r="L9" i="107"/>
  <c r="K9" i="107"/>
  <c r="J9" i="107"/>
  <c r="H9" i="107"/>
  <c r="G9" i="107"/>
  <c r="F9" i="107"/>
  <c r="L8" i="107"/>
  <c r="L21" i="107" s="1"/>
  <c r="K8" i="107"/>
  <c r="K21" i="107" s="1"/>
  <c r="J8" i="107"/>
  <c r="J21" i="107" s="1"/>
  <c r="I32" i="123" s="1"/>
  <c r="H8" i="107"/>
  <c r="F8" i="107"/>
  <c r="G8" i="107" s="1"/>
  <c r="L7" i="107"/>
  <c r="K7" i="107"/>
  <c r="J7" i="107"/>
  <c r="H7" i="107"/>
  <c r="F7" i="107"/>
  <c r="J4" i="107" s="1"/>
  <c r="J17" i="107" s="1"/>
  <c r="L6" i="107"/>
  <c r="K6" i="107"/>
  <c r="J6" i="107"/>
  <c r="H6" i="107"/>
  <c r="F6" i="107"/>
  <c r="G6" i="107" s="1"/>
  <c r="L5" i="107"/>
  <c r="K5" i="107"/>
  <c r="J5" i="107"/>
  <c r="H5" i="107"/>
  <c r="G5" i="107"/>
  <c r="F5" i="107"/>
  <c r="L4" i="107"/>
  <c r="H4" i="107"/>
  <c r="G4" i="107" s="1"/>
  <c r="F4" i="107"/>
  <c r="H3" i="107"/>
  <c r="L3" i="107" s="1"/>
  <c r="L16" i="107" s="1"/>
  <c r="E32" i="123" s="1"/>
  <c r="G3" i="107"/>
  <c r="F3" i="107"/>
  <c r="J3" i="107" s="1"/>
  <c r="J16" i="107" s="1"/>
  <c r="J20" i="107" s="1"/>
  <c r="H42" i="108"/>
  <c r="F42" i="108"/>
  <c r="G42" i="108" s="1"/>
  <c r="A42" i="108"/>
  <c r="H41" i="108"/>
  <c r="F41" i="108"/>
  <c r="G41" i="108" s="1"/>
  <c r="A41" i="108"/>
  <c r="H40" i="108"/>
  <c r="F40" i="108"/>
  <c r="G40" i="108" s="1"/>
  <c r="H39" i="108"/>
  <c r="F39" i="108"/>
  <c r="G39" i="108" s="1"/>
  <c r="H38" i="108"/>
  <c r="F38" i="108"/>
  <c r="G38" i="108" s="1"/>
  <c r="H37" i="108"/>
  <c r="F37" i="108"/>
  <c r="G37" i="108" s="1"/>
  <c r="H36" i="108"/>
  <c r="F36" i="108"/>
  <c r="G36" i="108" s="1"/>
  <c r="H35" i="108"/>
  <c r="G35" i="108"/>
  <c r="F35" i="108"/>
  <c r="H34" i="108"/>
  <c r="F34" i="108"/>
  <c r="G34" i="108" s="1"/>
  <c r="H33" i="108"/>
  <c r="G33" i="108"/>
  <c r="F33" i="108"/>
  <c r="H32" i="108"/>
  <c r="F32" i="108"/>
  <c r="G32" i="108" s="1"/>
  <c r="H31" i="108"/>
  <c r="F31" i="108"/>
  <c r="G31" i="108" s="1"/>
  <c r="H30" i="108"/>
  <c r="F30" i="108"/>
  <c r="G30" i="108" s="1"/>
  <c r="H29" i="108"/>
  <c r="G29" i="108"/>
  <c r="F29" i="108"/>
  <c r="H28" i="108"/>
  <c r="F28" i="108"/>
  <c r="G28" i="108" s="1"/>
  <c r="H27" i="108"/>
  <c r="L3" i="108" s="1"/>
  <c r="L16" i="108" s="1"/>
  <c r="E33" i="123" s="1"/>
  <c r="F27" i="108"/>
  <c r="G27" i="108" s="1"/>
  <c r="H26" i="108"/>
  <c r="F26" i="108"/>
  <c r="G26" i="108" s="1"/>
  <c r="H25" i="108"/>
  <c r="G25" i="108"/>
  <c r="F25" i="108"/>
  <c r="H24" i="108"/>
  <c r="F24" i="108"/>
  <c r="G24" i="108" s="1"/>
  <c r="H23" i="108"/>
  <c r="F23" i="108"/>
  <c r="G23" i="108" s="1"/>
  <c r="H22" i="108"/>
  <c r="G22" i="108" s="1"/>
  <c r="F22" i="108"/>
  <c r="H21" i="108"/>
  <c r="F21" i="108"/>
  <c r="J5" i="108" s="1"/>
  <c r="H20" i="108"/>
  <c r="F20" i="108"/>
  <c r="G20" i="108" s="1"/>
  <c r="H19" i="108"/>
  <c r="F19" i="108"/>
  <c r="G19" i="108" s="1"/>
  <c r="H18" i="108"/>
  <c r="F18" i="108"/>
  <c r="G18" i="108" s="1"/>
  <c r="H17" i="108"/>
  <c r="F17" i="108"/>
  <c r="G17" i="108" s="1"/>
  <c r="H16" i="108"/>
  <c r="F16" i="108"/>
  <c r="G16" i="108" s="1"/>
  <c r="H15" i="108"/>
  <c r="F15" i="108"/>
  <c r="G15" i="108" s="1"/>
  <c r="H14" i="108"/>
  <c r="F14" i="108"/>
  <c r="G14" i="108" s="1"/>
  <c r="H13" i="108"/>
  <c r="L5" i="108" s="1"/>
  <c r="G13" i="108"/>
  <c r="F13" i="108"/>
  <c r="L12" i="108"/>
  <c r="L19" i="108" s="1"/>
  <c r="G33" i="123" s="1"/>
  <c r="K12" i="108"/>
  <c r="K19" i="108" s="1"/>
  <c r="D33" i="123" s="1"/>
  <c r="J12" i="108"/>
  <c r="J19" i="108" s="1"/>
  <c r="H12" i="108"/>
  <c r="F12" i="108"/>
  <c r="G12" i="108" s="1"/>
  <c r="L11" i="108"/>
  <c r="L18" i="108" s="1"/>
  <c r="K11" i="108"/>
  <c r="K18" i="108" s="1"/>
  <c r="J11" i="108"/>
  <c r="J18" i="108" s="1"/>
  <c r="H11" i="108"/>
  <c r="G11" i="108"/>
  <c r="F11" i="108"/>
  <c r="L10" i="108"/>
  <c r="K10" i="108"/>
  <c r="J10" i="108"/>
  <c r="H10" i="108"/>
  <c r="F10" i="108"/>
  <c r="G10" i="108" s="1"/>
  <c r="L9" i="108"/>
  <c r="K9" i="108"/>
  <c r="J9" i="108"/>
  <c r="H9" i="108"/>
  <c r="F9" i="108"/>
  <c r="G9" i="108" s="1"/>
  <c r="L8" i="108"/>
  <c r="L21" i="108" s="1"/>
  <c r="K8" i="108"/>
  <c r="K21" i="108" s="1"/>
  <c r="J8" i="108"/>
  <c r="J21" i="108" s="1"/>
  <c r="I33" i="123" s="1"/>
  <c r="H8" i="108"/>
  <c r="G8" i="108"/>
  <c r="F8" i="108"/>
  <c r="L7" i="108"/>
  <c r="H7" i="108"/>
  <c r="F7" i="108"/>
  <c r="G7" i="108" s="1"/>
  <c r="L6" i="108"/>
  <c r="J6" i="108"/>
  <c r="H6" i="108"/>
  <c r="L4" i="108" s="1"/>
  <c r="L17" i="108" s="1"/>
  <c r="F33" i="123" s="1"/>
  <c r="G6" i="108"/>
  <c r="F6" i="108"/>
  <c r="H5" i="108"/>
  <c r="G5" i="108"/>
  <c r="F5" i="108"/>
  <c r="H4" i="108"/>
  <c r="F4" i="108"/>
  <c r="G4" i="108" s="1"/>
  <c r="K6" i="108" s="1"/>
  <c r="H3" i="108"/>
  <c r="G3" i="108"/>
  <c r="F3" i="108"/>
  <c r="H42" i="106"/>
  <c r="F42" i="106"/>
  <c r="G42" i="106" s="1"/>
  <c r="A42" i="106"/>
  <c r="H41" i="106"/>
  <c r="F41" i="106"/>
  <c r="G41" i="106" s="1"/>
  <c r="A41" i="106"/>
  <c r="H40" i="106"/>
  <c r="F40" i="106"/>
  <c r="G40" i="106" s="1"/>
  <c r="A40" i="106"/>
  <c r="H39" i="106"/>
  <c r="F39" i="106"/>
  <c r="G39" i="106" s="1"/>
  <c r="A39" i="106"/>
  <c r="H38" i="106"/>
  <c r="F38" i="106"/>
  <c r="G38" i="106" s="1"/>
  <c r="A38" i="106"/>
  <c r="H37" i="106"/>
  <c r="G37" i="106" s="1"/>
  <c r="F37" i="106"/>
  <c r="A37" i="106"/>
  <c r="H36" i="106"/>
  <c r="F36" i="106"/>
  <c r="G36" i="106" s="1"/>
  <c r="A36" i="106"/>
  <c r="H35" i="106"/>
  <c r="F35" i="106"/>
  <c r="G35" i="106" s="1"/>
  <c r="A35" i="106"/>
  <c r="H34" i="106"/>
  <c r="F34" i="106"/>
  <c r="G34" i="106" s="1"/>
  <c r="A34" i="106"/>
  <c r="H33" i="106"/>
  <c r="F33" i="106"/>
  <c r="G33" i="106" s="1"/>
  <c r="A33" i="106"/>
  <c r="H32" i="106"/>
  <c r="F32" i="106"/>
  <c r="G32" i="106" s="1"/>
  <c r="A32" i="106"/>
  <c r="H31" i="106"/>
  <c r="F31" i="106"/>
  <c r="G31" i="106" s="1"/>
  <c r="A31" i="106"/>
  <c r="H30" i="106"/>
  <c r="F30" i="106"/>
  <c r="G30" i="106" s="1"/>
  <c r="H29" i="106"/>
  <c r="G29" i="106"/>
  <c r="F29" i="106"/>
  <c r="H28" i="106"/>
  <c r="F28" i="106"/>
  <c r="G28" i="106" s="1"/>
  <c r="H27" i="106"/>
  <c r="G27" i="106"/>
  <c r="F27" i="106"/>
  <c r="H26" i="106"/>
  <c r="F26" i="106"/>
  <c r="G26" i="106" s="1"/>
  <c r="H25" i="106"/>
  <c r="F25" i="106"/>
  <c r="G25" i="106" s="1"/>
  <c r="H24" i="106"/>
  <c r="F24" i="106"/>
  <c r="G24" i="106" s="1"/>
  <c r="H23" i="106"/>
  <c r="F23" i="106"/>
  <c r="J5" i="106" s="1"/>
  <c r="H22" i="106"/>
  <c r="F22" i="106"/>
  <c r="G22" i="106" s="1"/>
  <c r="J21" i="106"/>
  <c r="I31" i="123" s="1"/>
  <c r="H21" i="106"/>
  <c r="L9" i="106" s="1"/>
  <c r="F21" i="106"/>
  <c r="G21" i="106" s="1"/>
  <c r="H20" i="106"/>
  <c r="F20" i="106"/>
  <c r="G20" i="106" s="1"/>
  <c r="L19" i="106"/>
  <c r="H19" i="106"/>
  <c r="F19" i="106"/>
  <c r="G19" i="106" s="1"/>
  <c r="H18" i="106"/>
  <c r="F18" i="106"/>
  <c r="G18" i="106" s="1"/>
  <c r="H17" i="106"/>
  <c r="L7" i="106" s="1"/>
  <c r="F17" i="106"/>
  <c r="G17" i="106" s="1"/>
  <c r="H16" i="106"/>
  <c r="F16" i="106"/>
  <c r="G16" i="106" s="1"/>
  <c r="H15" i="106"/>
  <c r="G15" i="106"/>
  <c r="F15" i="106"/>
  <c r="H14" i="106"/>
  <c r="F14" i="106"/>
  <c r="G14" i="106" s="1"/>
  <c r="H13" i="106"/>
  <c r="G13" i="106"/>
  <c r="F13" i="106"/>
  <c r="L12" i="106"/>
  <c r="K12" i="106"/>
  <c r="K19" i="106" s="1"/>
  <c r="D31" i="123" s="1"/>
  <c r="J12" i="106"/>
  <c r="J19" i="106" s="1"/>
  <c r="H12" i="106"/>
  <c r="G12" i="106"/>
  <c r="F12" i="106"/>
  <c r="L11" i="106"/>
  <c r="L18" i="106" s="1"/>
  <c r="K11" i="106"/>
  <c r="K18" i="106" s="1"/>
  <c r="J11" i="106"/>
  <c r="J18" i="106" s="1"/>
  <c r="H11" i="106"/>
  <c r="F11" i="106"/>
  <c r="G11" i="106" s="1"/>
  <c r="L10" i="106"/>
  <c r="K10" i="106"/>
  <c r="J10" i="106"/>
  <c r="H10" i="106"/>
  <c r="F10" i="106"/>
  <c r="G10" i="106" s="1"/>
  <c r="K9" i="106" s="1"/>
  <c r="K21" i="106" s="1"/>
  <c r="J9" i="106"/>
  <c r="H9" i="106"/>
  <c r="L4" i="106" s="1"/>
  <c r="F9" i="106"/>
  <c r="G9" i="106" s="1"/>
  <c r="L8" i="106"/>
  <c r="K8" i="106"/>
  <c r="J8" i="106"/>
  <c r="H8" i="106"/>
  <c r="G8" i="106"/>
  <c r="F8" i="106"/>
  <c r="H7" i="106"/>
  <c r="F7" i="106"/>
  <c r="G7" i="106" s="1"/>
  <c r="H6" i="106"/>
  <c r="F6" i="106"/>
  <c r="G6" i="106" s="1"/>
  <c r="L5" i="106"/>
  <c r="H5" i="106"/>
  <c r="F5" i="106"/>
  <c r="G5" i="106" s="1"/>
  <c r="H4" i="106"/>
  <c r="L6" i="106" s="1"/>
  <c r="F4" i="106"/>
  <c r="J6" i="106" s="1"/>
  <c r="L3" i="106"/>
  <c r="L16" i="106" s="1"/>
  <c r="E31" i="123" s="1"/>
  <c r="K3" i="106"/>
  <c r="K16" i="106" s="1"/>
  <c r="B31" i="123" s="1"/>
  <c r="J3" i="106"/>
  <c r="J16" i="106" s="1"/>
  <c r="H3" i="106"/>
  <c r="F3" i="106"/>
  <c r="G3" i="106" s="1"/>
  <c r="H42" i="104"/>
  <c r="G42" i="104" s="1"/>
  <c r="F42" i="104"/>
  <c r="A42" i="104"/>
  <c r="H41" i="104"/>
  <c r="F41" i="104"/>
  <c r="G41" i="104" s="1"/>
  <c r="A41" i="104"/>
  <c r="H40" i="104"/>
  <c r="F40" i="104"/>
  <c r="G40" i="104" s="1"/>
  <c r="A40" i="104"/>
  <c r="H39" i="104"/>
  <c r="F39" i="104"/>
  <c r="G39" i="104" s="1"/>
  <c r="A39" i="104"/>
  <c r="H38" i="104"/>
  <c r="F38" i="104"/>
  <c r="G38" i="104" s="1"/>
  <c r="A38" i="104"/>
  <c r="H37" i="104"/>
  <c r="F37" i="104"/>
  <c r="G37" i="104" s="1"/>
  <c r="A37" i="104"/>
  <c r="H36" i="104"/>
  <c r="F36" i="104"/>
  <c r="G36" i="104" s="1"/>
  <c r="A36" i="104"/>
  <c r="H35" i="104"/>
  <c r="F35" i="104"/>
  <c r="G35" i="104" s="1"/>
  <c r="A35" i="104"/>
  <c r="H34" i="104"/>
  <c r="G34" i="104" s="1"/>
  <c r="F34" i="104"/>
  <c r="A34" i="104"/>
  <c r="H33" i="104"/>
  <c r="F33" i="104"/>
  <c r="G33" i="104" s="1"/>
  <c r="A33" i="104"/>
  <c r="H32" i="104"/>
  <c r="F32" i="104"/>
  <c r="G32" i="104" s="1"/>
  <c r="A32" i="104"/>
  <c r="H31" i="104"/>
  <c r="F31" i="104"/>
  <c r="G31" i="104" s="1"/>
  <c r="A31" i="104"/>
  <c r="H30" i="104"/>
  <c r="F30" i="104"/>
  <c r="G30" i="104" s="1"/>
  <c r="A30" i="104"/>
  <c r="H29" i="104"/>
  <c r="F29" i="104"/>
  <c r="G29" i="104" s="1"/>
  <c r="A29" i="104"/>
  <c r="H27" i="104"/>
  <c r="F27" i="104"/>
  <c r="G27" i="104" s="1"/>
  <c r="H26" i="104"/>
  <c r="F26" i="104"/>
  <c r="G26" i="104" s="1"/>
  <c r="H25" i="104"/>
  <c r="F25" i="104"/>
  <c r="G25" i="104" s="1"/>
  <c r="H24" i="104"/>
  <c r="G24" i="104" s="1"/>
  <c r="F24" i="104"/>
  <c r="H23" i="104"/>
  <c r="F23" i="104"/>
  <c r="J5" i="104" s="1"/>
  <c r="H22" i="104"/>
  <c r="F22" i="104"/>
  <c r="G22" i="104" s="1"/>
  <c r="H21" i="104"/>
  <c r="F21" i="104"/>
  <c r="G21" i="104" s="1"/>
  <c r="H20" i="104"/>
  <c r="G20" i="104"/>
  <c r="F20" i="104"/>
  <c r="H19" i="104"/>
  <c r="F19" i="104"/>
  <c r="G19" i="104" s="1"/>
  <c r="K6" i="104" s="1"/>
  <c r="H18" i="104"/>
  <c r="L7" i="104" s="1"/>
  <c r="G18" i="104"/>
  <c r="K7" i="104" s="1"/>
  <c r="F18" i="104"/>
  <c r="H17" i="104"/>
  <c r="F17" i="104"/>
  <c r="G17" i="104" s="1"/>
  <c r="H16" i="104"/>
  <c r="F16" i="104"/>
  <c r="G16" i="104" s="1"/>
  <c r="H15" i="104"/>
  <c r="F15" i="104"/>
  <c r="G15" i="104" s="1"/>
  <c r="H14" i="104"/>
  <c r="F14" i="104"/>
  <c r="G14" i="104" s="1"/>
  <c r="H13" i="104"/>
  <c r="F13" i="104"/>
  <c r="G13" i="104" s="1"/>
  <c r="H12" i="104"/>
  <c r="F12" i="104"/>
  <c r="G12" i="104" s="1"/>
  <c r="L11" i="104"/>
  <c r="L18" i="104" s="1"/>
  <c r="K11" i="104"/>
  <c r="K18" i="104" s="1"/>
  <c r="J11" i="104"/>
  <c r="J18" i="104" s="1"/>
  <c r="H11" i="104"/>
  <c r="F11" i="104"/>
  <c r="G11" i="104" s="1"/>
  <c r="L10" i="104"/>
  <c r="K10" i="104"/>
  <c r="J10" i="104"/>
  <c r="H10" i="104"/>
  <c r="F10" i="104"/>
  <c r="G10" i="104" s="1"/>
  <c r="J9" i="104"/>
  <c r="H9" i="104"/>
  <c r="L9" i="104" s="1"/>
  <c r="F9" i="104"/>
  <c r="G9" i="104" s="1"/>
  <c r="K9" i="104" s="1"/>
  <c r="L8" i="104"/>
  <c r="L21" i="104" s="1"/>
  <c r="K8" i="104"/>
  <c r="K21" i="104" s="1"/>
  <c r="J8" i="104"/>
  <c r="J21" i="104" s="1"/>
  <c r="I29" i="123" s="1"/>
  <c r="H8" i="104"/>
  <c r="F8" i="104"/>
  <c r="G8" i="104" s="1"/>
  <c r="J7" i="104"/>
  <c r="H7" i="104"/>
  <c r="F7" i="104"/>
  <c r="G7" i="104" s="1"/>
  <c r="L6" i="104"/>
  <c r="J6" i="104"/>
  <c r="H6" i="104"/>
  <c r="L12" i="104" s="1"/>
  <c r="L19" i="104" s="1"/>
  <c r="G29" i="123" s="1"/>
  <c r="F6" i="104"/>
  <c r="G6" i="104" s="1"/>
  <c r="H5" i="104"/>
  <c r="L5" i="104" s="1"/>
  <c r="G5" i="104"/>
  <c r="F5" i="104"/>
  <c r="H4" i="104"/>
  <c r="F4" i="104"/>
  <c r="G4" i="104" s="1"/>
  <c r="L3" i="104"/>
  <c r="L16" i="104" s="1"/>
  <c r="E29" i="123" s="1"/>
  <c r="K3" i="104"/>
  <c r="K16" i="104" s="1"/>
  <c r="B29" i="123" s="1"/>
  <c r="J3" i="104"/>
  <c r="J16" i="104" s="1"/>
  <c r="H3" i="104"/>
  <c r="L4" i="104" s="1"/>
  <c r="F3" i="104"/>
  <c r="G3" i="104" s="1"/>
  <c r="H42" i="103"/>
  <c r="F42" i="103"/>
  <c r="G42" i="103" s="1"/>
  <c r="A42" i="103"/>
  <c r="H41" i="103"/>
  <c r="F41" i="103"/>
  <c r="G41" i="103" s="1"/>
  <c r="A41" i="103"/>
  <c r="H40" i="103"/>
  <c r="F40" i="103"/>
  <c r="G40" i="103" s="1"/>
  <c r="A40" i="103"/>
  <c r="H39" i="103"/>
  <c r="F39" i="103"/>
  <c r="G39" i="103" s="1"/>
  <c r="A39" i="103"/>
  <c r="H38" i="103"/>
  <c r="F38" i="103"/>
  <c r="G38" i="103" s="1"/>
  <c r="A38" i="103"/>
  <c r="H37" i="103"/>
  <c r="F37" i="103"/>
  <c r="G37" i="103" s="1"/>
  <c r="A37" i="103"/>
  <c r="H36" i="103"/>
  <c r="F36" i="103"/>
  <c r="G36" i="103" s="1"/>
  <c r="A36" i="103"/>
  <c r="H35" i="103"/>
  <c r="F35" i="103"/>
  <c r="G35" i="103" s="1"/>
  <c r="A35" i="103"/>
  <c r="H34" i="103"/>
  <c r="F34" i="103"/>
  <c r="G34" i="103" s="1"/>
  <c r="A34" i="103"/>
  <c r="H33" i="103"/>
  <c r="F33" i="103"/>
  <c r="G33" i="103" s="1"/>
  <c r="A33" i="103"/>
  <c r="H32" i="103"/>
  <c r="F32" i="103"/>
  <c r="G32" i="103" s="1"/>
  <c r="A32" i="103"/>
  <c r="H31" i="103"/>
  <c r="F31" i="103"/>
  <c r="G31" i="103" s="1"/>
  <c r="A31" i="103"/>
  <c r="H30" i="103"/>
  <c r="F30" i="103"/>
  <c r="G30" i="103" s="1"/>
  <c r="A30" i="103"/>
  <c r="H29" i="103"/>
  <c r="F29" i="103"/>
  <c r="G29" i="103" s="1"/>
  <c r="A29" i="103"/>
  <c r="H28" i="103"/>
  <c r="F28" i="103"/>
  <c r="G28" i="103" s="1"/>
  <c r="A28" i="103"/>
  <c r="H27" i="103"/>
  <c r="F27" i="103"/>
  <c r="G27" i="103" s="1"/>
  <c r="A27" i="103"/>
  <c r="H26" i="103"/>
  <c r="F26" i="103"/>
  <c r="G26" i="103" s="1"/>
  <c r="A26" i="103"/>
  <c r="H25" i="103"/>
  <c r="F25" i="103"/>
  <c r="G25" i="103" s="1"/>
  <c r="A25" i="103"/>
  <c r="H24" i="103"/>
  <c r="F24" i="103"/>
  <c r="G24" i="103" s="1"/>
  <c r="H23" i="103"/>
  <c r="F23" i="103"/>
  <c r="G23" i="103" s="1"/>
  <c r="H22" i="103"/>
  <c r="G22" i="103"/>
  <c r="F22" i="103"/>
  <c r="H21" i="103"/>
  <c r="F21" i="103"/>
  <c r="G21" i="103" s="1"/>
  <c r="H20" i="103"/>
  <c r="F20" i="103"/>
  <c r="G20" i="103" s="1"/>
  <c r="H19" i="103"/>
  <c r="F19" i="103"/>
  <c r="G19" i="103" s="1"/>
  <c r="J18" i="103"/>
  <c r="H18" i="103"/>
  <c r="F18" i="103"/>
  <c r="G18" i="103" s="1"/>
  <c r="H17" i="103"/>
  <c r="F17" i="103"/>
  <c r="G17" i="103" s="1"/>
  <c r="L16" i="103"/>
  <c r="E28" i="123" s="1"/>
  <c r="K16" i="103"/>
  <c r="B28" i="123" s="1"/>
  <c r="J16" i="103"/>
  <c r="H16" i="103"/>
  <c r="F16" i="103"/>
  <c r="G16" i="103" s="1"/>
  <c r="H15" i="103"/>
  <c r="F15" i="103"/>
  <c r="G15" i="103" s="1"/>
  <c r="H14" i="103"/>
  <c r="F14" i="103"/>
  <c r="G14" i="103" s="1"/>
  <c r="H13" i="103"/>
  <c r="F13" i="103"/>
  <c r="G13" i="103" s="1"/>
  <c r="L12" i="103"/>
  <c r="L19" i="103" s="1"/>
  <c r="G28" i="123" s="1"/>
  <c r="K12" i="103"/>
  <c r="K19" i="103" s="1"/>
  <c r="D28" i="123" s="1"/>
  <c r="J12" i="103"/>
  <c r="J19" i="103" s="1"/>
  <c r="H12" i="103"/>
  <c r="F12" i="103"/>
  <c r="G12" i="103" s="1"/>
  <c r="L11" i="103"/>
  <c r="L18" i="103" s="1"/>
  <c r="K11" i="103"/>
  <c r="K18" i="103" s="1"/>
  <c r="J11" i="103"/>
  <c r="H11" i="103"/>
  <c r="F11" i="103"/>
  <c r="G11" i="103" s="1"/>
  <c r="L10" i="103"/>
  <c r="K10" i="103"/>
  <c r="J10" i="103"/>
  <c r="H10" i="103"/>
  <c r="L7" i="103" s="1"/>
  <c r="F10" i="103"/>
  <c r="J7" i="103" s="1"/>
  <c r="L9" i="103"/>
  <c r="K9" i="103"/>
  <c r="J9" i="103"/>
  <c r="H9" i="103"/>
  <c r="G9" i="103"/>
  <c r="F9" i="103"/>
  <c r="L8" i="103"/>
  <c r="L21" i="103" s="1"/>
  <c r="K8" i="103"/>
  <c r="K21" i="103" s="1"/>
  <c r="J8" i="103"/>
  <c r="J21" i="103" s="1"/>
  <c r="I28" i="123" s="1"/>
  <c r="H8" i="103"/>
  <c r="F8" i="103"/>
  <c r="G8" i="103" s="1"/>
  <c r="K6" i="103" s="1"/>
  <c r="H7" i="103"/>
  <c r="F7" i="103"/>
  <c r="G7" i="103" s="1"/>
  <c r="K4" i="103" s="1"/>
  <c r="L6" i="103"/>
  <c r="J6" i="103"/>
  <c r="H6" i="103"/>
  <c r="F6" i="103"/>
  <c r="G6" i="103" s="1"/>
  <c r="H5" i="103"/>
  <c r="F5" i="103"/>
  <c r="G5" i="103" s="1"/>
  <c r="L4" i="103"/>
  <c r="J4" i="103"/>
  <c r="H4" i="103"/>
  <c r="G4" i="103" s="1"/>
  <c r="F4" i="103"/>
  <c r="L3" i="103"/>
  <c r="K3" i="103"/>
  <c r="J3" i="103"/>
  <c r="H3" i="103"/>
  <c r="G3" i="103"/>
  <c r="F3" i="103"/>
  <c r="H42" i="102"/>
  <c r="G42" i="102" s="1"/>
  <c r="F42" i="102"/>
  <c r="A42" i="102"/>
  <c r="H41" i="102"/>
  <c r="F41" i="102"/>
  <c r="G41" i="102" s="1"/>
  <c r="A41" i="102"/>
  <c r="H40" i="102"/>
  <c r="F40" i="102"/>
  <c r="G40" i="102" s="1"/>
  <c r="A40" i="102"/>
  <c r="H39" i="102"/>
  <c r="G39" i="102"/>
  <c r="F39" i="102"/>
  <c r="A39" i="102"/>
  <c r="H38" i="102"/>
  <c r="F38" i="102"/>
  <c r="G38" i="102" s="1"/>
  <c r="A38" i="102"/>
  <c r="H37" i="102"/>
  <c r="F37" i="102"/>
  <c r="G37" i="102" s="1"/>
  <c r="A37" i="102"/>
  <c r="H36" i="102"/>
  <c r="G36" i="102"/>
  <c r="F36" i="102"/>
  <c r="A36" i="102"/>
  <c r="H35" i="102"/>
  <c r="G35" i="102"/>
  <c r="F35" i="102"/>
  <c r="A35" i="102"/>
  <c r="H34" i="102"/>
  <c r="G34" i="102" s="1"/>
  <c r="F34" i="102"/>
  <c r="A34" i="102"/>
  <c r="H33" i="102"/>
  <c r="F33" i="102"/>
  <c r="G33" i="102" s="1"/>
  <c r="A33" i="102"/>
  <c r="H32" i="102"/>
  <c r="F32" i="102"/>
  <c r="G32" i="102" s="1"/>
  <c r="A32" i="102"/>
  <c r="H31" i="102"/>
  <c r="G31" i="102"/>
  <c r="F31" i="102"/>
  <c r="A31" i="102"/>
  <c r="H30" i="102"/>
  <c r="F30" i="102"/>
  <c r="G30" i="102" s="1"/>
  <c r="H29" i="102"/>
  <c r="F29" i="102"/>
  <c r="G29" i="102" s="1"/>
  <c r="H28" i="102"/>
  <c r="F28" i="102"/>
  <c r="G28" i="102" s="1"/>
  <c r="H27" i="102"/>
  <c r="F27" i="102"/>
  <c r="G27" i="102" s="1"/>
  <c r="H26" i="102"/>
  <c r="G26" i="102"/>
  <c r="F26" i="102"/>
  <c r="H25" i="102"/>
  <c r="G25" i="102"/>
  <c r="F25" i="102"/>
  <c r="H24" i="102"/>
  <c r="F24" i="102"/>
  <c r="G24" i="102" s="1"/>
  <c r="H23" i="102"/>
  <c r="F23" i="102"/>
  <c r="G23" i="102" s="1"/>
  <c r="H22" i="102"/>
  <c r="F22" i="102"/>
  <c r="G22" i="102" s="1"/>
  <c r="L21" i="102"/>
  <c r="H21" i="102"/>
  <c r="G21" i="102"/>
  <c r="F21" i="102"/>
  <c r="H20" i="102"/>
  <c r="F20" i="102"/>
  <c r="G20" i="102" s="1"/>
  <c r="H19" i="102"/>
  <c r="G19" i="102"/>
  <c r="F19" i="102"/>
  <c r="L18" i="102"/>
  <c r="J18" i="102"/>
  <c r="H18" i="102"/>
  <c r="F18" i="102"/>
  <c r="G18" i="102" s="1"/>
  <c r="H17" i="102"/>
  <c r="F17" i="102"/>
  <c r="J6" i="102" s="1"/>
  <c r="J16" i="102"/>
  <c r="H16" i="102"/>
  <c r="F16" i="102"/>
  <c r="G16" i="102" s="1"/>
  <c r="H15" i="102"/>
  <c r="F15" i="102"/>
  <c r="G15" i="102" s="1"/>
  <c r="H14" i="102"/>
  <c r="F14" i="102"/>
  <c r="G14" i="102" s="1"/>
  <c r="H13" i="102"/>
  <c r="F13" i="102"/>
  <c r="G13" i="102" s="1"/>
  <c r="L12" i="102"/>
  <c r="L19" i="102" s="1"/>
  <c r="G27" i="123" s="1"/>
  <c r="K12" i="102"/>
  <c r="K19" i="102" s="1"/>
  <c r="D27" i="123" s="1"/>
  <c r="J12" i="102"/>
  <c r="J19" i="102" s="1"/>
  <c r="H12" i="102"/>
  <c r="F12" i="102"/>
  <c r="G12" i="102" s="1"/>
  <c r="L11" i="102"/>
  <c r="K11" i="102"/>
  <c r="K18" i="102" s="1"/>
  <c r="J11" i="102"/>
  <c r="H11" i="102"/>
  <c r="F11" i="102"/>
  <c r="G11" i="102" s="1"/>
  <c r="L10" i="102"/>
  <c r="K10" i="102"/>
  <c r="J10" i="102"/>
  <c r="H10" i="102"/>
  <c r="F10" i="102"/>
  <c r="G10" i="102" s="1"/>
  <c r="L9" i="102"/>
  <c r="H9" i="102"/>
  <c r="L4" i="102" s="1"/>
  <c r="F9" i="102"/>
  <c r="J4" i="102" s="1"/>
  <c r="L8" i="102"/>
  <c r="K8" i="102"/>
  <c r="J8" i="102"/>
  <c r="H8" i="102"/>
  <c r="F8" i="102"/>
  <c r="G8" i="102" s="1"/>
  <c r="L7" i="102"/>
  <c r="K7" i="102"/>
  <c r="J7" i="102"/>
  <c r="H7" i="102"/>
  <c r="F7" i="102"/>
  <c r="J9" i="102" s="1"/>
  <c r="J21" i="102" s="1"/>
  <c r="I27" i="123" s="1"/>
  <c r="H6" i="102"/>
  <c r="F6" i="102"/>
  <c r="G6" i="102" s="1"/>
  <c r="H5" i="102"/>
  <c r="F5" i="102"/>
  <c r="G5" i="102" s="1"/>
  <c r="H4" i="102"/>
  <c r="L5" i="102" s="1"/>
  <c r="F4" i="102"/>
  <c r="J5" i="102" s="1"/>
  <c r="L3" i="102"/>
  <c r="L16" i="102" s="1"/>
  <c r="E27" i="123" s="1"/>
  <c r="K3" i="102"/>
  <c r="K16" i="102" s="1"/>
  <c r="B27" i="123" s="1"/>
  <c r="J3" i="102"/>
  <c r="H3" i="102"/>
  <c r="L6" i="102" s="1"/>
  <c r="F3" i="102"/>
  <c r="H42" i="105"/>
  <c r="F42" i="105"/>
  <c r="G42" i="105" s="1"/>
  <c r="A42" i="105"/>
  <c r="H41" i="105"/>
  <c r="F41" i="105"/>
  <c r="G41" i="105" s="1"/>
  <c r="A41" i="105"/>
  <c r="H40" i="105"/>
  <c r="G40" i="105"/>
  <c r="F40" i="105"/>
  <c r="A40" i="105"/>
  <c r="H39" i="105"/>
  <c r="G39" i="105"/>
  <c r="F39" i="105"/>
  <c r="A39" i="105"/>
  <c r="H38" i="105"/>
  <c r="G38" i="105" s="1"/>
  <c r="F38" i="105"/>
  <c r="A38" i="105"/>
  <c r="H37" i="105"/>
  <c r="F37" i="105"/>
  <c r="G37" i="105" s="1"/>
  <c r="A37" i="105"/>
  <c r="H36" i="105"/>
  <c r="F36" i="105"/>
  <c r="G36" i="105" s="1"/>
  <c r="A36" i="105"/>
  <c r="H35" i="105"/>
  <c r="F35" i="105"/>
  <c r="G35" i="105" s="1"/>
  <c r="A35" i="105"/>
  <c r="H34" i="105"/>
  <c r="F34" i="105"/>
  <c r="G34" i="105" s="1"/>
  <c r="A34" i="105"/>
  <c r="H33" i="105"/>
  <c r="F33" i="105"/>
  <c r="G33" i="105" s="1"/>
  <c r="A33" i="105"/>
  <c r="H32" i="105"/>
  <c r="G32" i="105"/>
  <c r="F32" i="105"/>
  <c r="H31" i="105"/>
  <c r="F31" i="105"/>
  <c r="G31" i="105" s="1"/>
  <c r="H30" i="105"/>
  <c r="F30" i="105"/>
  <c r="G30" i="105" s="1"/>
  <c r="H29" i="105"/>
  <c r="F29" i="105"/>
  <c r="G29" i="105" s="1"/>
  <c r="H28" i="105"/>
  <c r="F28" i="105"/>
  <c r="G28" i="105" s="1"/>
  <c r="H27" i="105"/>
  <c r="F27" i="105"/>
  <c r="G27" i="105" s="1"/>
  <c r="H26" i="105"/>
  <c r="F26" i="105"/>
  <c r="G26" i="105" s="1"/>
  <c r="H25" i="105"/>
  <c r="F25" i="105"/>
  <c r="G25" i="105" s="1"/>
  <c r="H24" i="105"/>
  <c r="F24" i="105"/>
  <c r="G24" i="105" s="1"/>
  <c r="H23" i="105"/>
  <c r="F23" i="105"/>
  <c r="G23" i="105" s="1"/>
  <c r="H22" i="105"/>
  <c r="F22" i="105"/>
  <c r="G22" i="105" s="1"/>
  <c r="L21" i="105"/>
  <c r="H21" i="105"/>
  <c r="G21" i="105"/>
  <c r="F21" i="105"/>
  <c r="H20" i="105"/>
  <c r="G20" i="105" s="1"/>
  <c r="F20" i="105"/>
  <c r="H19" i="105"/>
  <c r="F19" i="105"/>
  <c r="G19" i="105" s="1"/>
  <c r="H18" i="105"/>
  <c r="F18" i="105"/>
  <c r="G18" i="105" s="1"/>
  <c r="H17" i="105"/>
  <c r="F17" i="105"/>
  <c r="G17" i="105" s="1"/>
  <c r="L16" i="105"/>
  <c r="E30" i="123" s="1"/>
  <c r="K16" i="105"/>
  <c r="B30" i="123" s="1"/>
  <c r="J16" i="105"/>
  <c r="H16" i="105"/>
  <c r="G16" i="105"/>
  <c r="F16" i="105"/>
  <c r="H15" i="105"/>
  <c r="F15" i="105"/>
  <c r="G15" i="105" s="1"/>
  <c r="H14" i="105"/>
  <c r="F14" i="105"/>
  <c r="G14" i="105" s="1"/>
  <c r="H13" i="105"/>
  <c r="F13" i="105"/>
  <c r="G13" i="105" s="1"/>
  <c r="L12" i="105"/>
  <c r="L19" i="105" s="1"/>
  <c r="G30" i="123" s="1"/>
  <c r="K12" i="105"/>
  <c r="K19" i="105" s="1"/>
  <c r="D30" i="123" s="1"/>
  <c r="J12" i="105"/>
  <c r="J19" i="105" s="1"/>
  <c r="H12" i="105"/>
  <c r="F12" i="105"/>
  <c r="G12" i="105" s="1"/>
  <c r="L11" i="105"/>
  <c r="L18" i="105" s="1"/>
  <c r="K11" i="105"/>
  <c r="K18" i="105" s="1"/>
  <c r="J11" i="105"/>
  <c r="J18" i="105" s="1"/>
  <c r="H11" i="105"/>
  <c r="L7" i="105" s="1"/>
  <c r="F11" i="105"/>
  <c r="J7" i="105" s="1"/>
  <c r="L10" i="105"/>
  <c r="K10" i="105"/>
  <c r="J10" i="105"/>
  <c r="H10" i="105"/>
  <c r="F10" i="105"/>
  <c r="J5" i="105" s="1"/>
  <c r="L9" i="105"/>
  <c r="K9" i="105"/>
  <c r="J9" i="105"/>
  <c r="H9" i="105"/>
  <c r="L5" i="105" s="1"/>
  <c r="F9" i="105"/>
  <c r="G9" i="105" s="1"/>
  <c r="L8" i="105"/>
  <c r="K8" i="105"/>
  <c r="K21" i="105" s="1"/>
  <c r="J8" i="105"/>
  <c r="J21" i="105" s="1"/>
  <c r="I30" i="123" s="1"/>
  <c r="H8" i="105"/>
  <c r="G8" i="105"/>
  <c r="F8" i="105"/>
  <c r="H7" i="105"/>
  <c r="F7" i="105"/>
  <c r="G7" i="105" s="1"/>
  <c r="L6" i="105"/>
  <c r="K6" i="105"/>
  <c r="J6" i="105"/>
  <c r="H6" i="105"/>
  <c r="F6" i="105"/>
  <c r="G6" i="105" s="1"/>
  <c r="H5" i="105"/>
  <c r="F5" i="105"/>
  <c r="G5" i="105" s="1"/>
  <c r="H4" i="105"/>
  <c r="L4" i="105" s="1"/>
  <c r="F4" i="105"/>
  <c r="G4" i="105" s="1"/>
  <c r="L3" i="105"/>
  <c r="K3" i="105"/>
  <c r="J3" i="105"/>
  <c r="H3" i="105"/>
  <c r="F3" i="105"/>
  <c r="G3" i="105" s="1"/>
  <c r="H42" i="100"/>
  <c r="G42" i="100"/>
  <c r="F42" i="100"/>
  <c r="A42" i="100"/>
  <c r="H41" i="100"/>
  <c r="G41" i="100"/>
  <c r="F41" i="100"/>
  <c r="A41" i="100"/>
  <c r="H40" i="100"/>
  <c r="F40" i="100"/>
  <c r="G40" i="100" s="1"/>
  <c r="A40" i="100"/>
  <c r="H39" i="100"/>
  <c r="F39" i="100"/>
  <c r="G39" i="100" s="1"/>
  <c r="A39" i="100"/>
  <c r="H38" i="100"/>
  <c r="G38" i="100"/>
  <c r="F38" i="100"/>
  <c r="A38" i="100"/>
  <c r="H37" i="100"/>
  <c r="F37" i="100"/>
  <c r="G37" i="100" s="1"/>
  <c r="A37" i="100"/>
  <c r="H36" i="100"/>
  <c r="F36" i="100"/>
  <c r="G36" i="100" s="1"/>
  <c r="A36" i="100"/>
  <c r="H35" i="100"/>
  <c r="F35" i="100"/>
  <c r="G35" i="100" s="1"/>
  <c r="A35" i="100"/>
  <c r="H34" i="100"/>
  <c r="G34" i="100"/>
  <c r="F34" i="100"/>
  <c r="A34" i="100"/>
  <c r="H33" i="100"/>
  <c r="G33" i="100"/>
  <c r="F33" i="100"/>
  <c r="A33" i="100"/>
  <c r="H32" i="100"/>
  <c r="F32" i="100"/>
  <c r="G32" i="100" s="1"/>
  <c r="A32" i="100"/>
  <c r="H31" i="100"/>
  <c r="F31" i="100"/>
  <c r="G31" i="100" s="1"/>
  <c r="A31" i="100"/>
  <c r="H30" i="100"/>
  <c r="G30" i="100"/>
  <c r="F30" i="100"/>
  <c r="A30" i="100"/>
  <c r="H29" i="100"/>
  <c r="F29" i="100"/>
  <c r="G29" i="100" s="1"/>
  <c r="A29" i="100"/>
  <c r="H28" i="100"/>
  <c r="F28" i="100"/>
  <c r="G28" i="100" s="1"/>
  <c r="A28" i="100"/>
  <c r="H27" i="100"/>
  <c r="F27" i="100"/>
  <c r="G27" i="100" s="1"/>
  <c r="H26" i="100"/>
  <c r="F26" i="100"/>
  <c r="G26" i="100" s="1"/>
  <c r="H25" i="100"/>
  <c r="G25" i="100"/>
  <c r="F25" i="100"/>
  <c r="H24" i="100"/>
  <c r="F24" i="100"/>
  <c r="G24" i="100" s="1"/>
  <c r="H23" i="100"/>
  <c r="F23" i="100"/>
  <c r="G23" i="100" s="1"/>
  <c r="H22" i="100"/>
  <c r="F22" i="100"/>
  <c r="G22" i="100" s="1"/>
  <c r="L21" i="100"/>
  <c r="K21" i="100"/>
  <c r="H21" i="100"/>
  <c r="F21" i="100"/>
  <c r="G21" i="100" s="1"/>
  <c r="H20" i="100"/>
  <c r="F20" i="100"/>
  <c r="G20" i="100" s="1"/>
  <c r="H19" i="100"/>
  <c r="F19" i="100"/>
  <c r="G19" i="100" s="1"/>
  <c r="K18" i="100"/>
  <c r="H18" i="100"/>
  <c r="F18" i="100"/>
  <c r="G18" i="100" s="1"/>
  <c r="H17" i="100"/>
  <c r="F17" i="100"/>
  <c r="G17" i="100" s="1"/>
  <c r="K16" i="100"/>
  <c r="B25" i="123" s="1"/>
  <c r="J16" i="100"/>
  <c r="H16" i="100"/>
  <c r="L4" i="100" s="1"/>
  <c r="L17" i="100" s="1"/>
  <c r="F25" i="123" s="1"/>
  <c r="F16" i="100"/>
  <c r="G16" i="100" s="1"/>
  <c r="H15" i="100"/>
  <c r="G15" i="100"/>
  <c r="F15" i="100"/>
  <c r="H14" i="100"/>
  <c r="F14" i="100"/>
  <c r="G14" i="100" s="1"/>
  <c r="H13" i="100"/>
  <c r="F13" i="100"/>
  <c r="J4" i="100" s="1"/>
  <c r="L12" i="100"/>
  <c r="L19" i="100" s="1"/>
  <c r="G25" i="123" s="1"/>
  <c r="J12" i="100"/>
  <c r="J19" i="100" s="1"/>
  <c r="H12" i="100"/>
  <c r="F12" i="100"/>
  <c r="G12" i="100" s="1"/>
  <c r="L11" i="100"/>
  <c r="L18" i="100" s="1"/>
  <c r="K11" i="100"/>
  <c r="J11" i="100"/>
  <c r="J18" i="100" s="1"/>
  <c r="H11" i="100"/>
  <c r="F11" i="100"/>
  <c r="G11" i="100" s="1"/>
  <c r="K12" i="100" s="1"/>
  <c r="K19" i="100" s="1"/>
  <c r="D25" i="123" s="1"/>
  <c r="L10" i="100"/>
  <c r="K10" i="100"/>
  <c r="J10" i="100"/>
  <c r="H10" i="100"/>
  <c r="F10" i="100"/>
  <c r="G10" i="100" s="1"/>
  <c r="L9" i="100"/>
  <c r="K9" i="100"/>
  <c r="J9" i="100"/>
  <c r="H9" i="100"/>
  <c r="G9" i="100"/>
  <c r="F9" i="100"/>
  <c r="L8" i="100"/>
  <c r="K8" i="100"/>
  <c r="J8" i="100"/>
  <c r="J21" i="100" s="1"/>
  <c r="I25" i="123" s="1"/>
  <c r="H8" i="100"/>
  <c r="F8" i="100"/>
  <c r="G8" i="100" s="1"/>
  <c r="L7" i="100"/>
  <c r="K7" i="100"/>
  <c r="J7" i="100"/>
  <c r="H7" i="100"/>
  <c r="G7" i="100"/>
  <c r="F7" i="100"/>
  <c r="L6" i="100"/>
  <c r="K6" i="100"/>
  <c r="J6" i="100"/>
  <c r="H6" i="100"/>
  <c r="G6" i="100"/>
  <c r="F6" i="100"/>
  <c r="H5" i="100"/>
  <c r="F5" i="100"/>
  <c r="G5" i="100" s="1"/>
  <c r="H4" i="100"/>
  <c r="L5" i="100" s="1"/>
  <c r="F4" i="100"/>
  <c r="G4" i="100" s="1"/>
  <c r="L3" i="100"/>
  <c r="L16" i="100" s="1"/>
  <c r="E25" i="123" s="1"/>
  <c r="K3" i="100"/>
  <c r="J3" i="100"/>
  <c r="H3" i="100"/>
  <c r="F3" i="100"/>
  <c r="G3" i="100" s="1"/>
  <c r="H42" i="99"/>
  <c r="F42" i="99"/>
  <c r="G42" i="99" s="1"/>
  <c r="A42" i="99"/>
  <c r="H41" i="99"/>
  <c r="F41" i="99"/>
  <c r="G41" i="99" s="1"/>
  <c r="A41" i="99"/>
  <c r="H40" i="99"/>
  <c r="F40" i="99"/>
  <c r="G40" i="99" s="1"/>
  <c r="A40" i="99"/>
  <c r="H39" i="99"/>
  <c r="F39" i="99"/>
  <c r="G39" i="99" s="1"/>
  <c r="A39" i="99"/>
  <c r="H38" i="99"/>
  <c r="F38" i="99"/>
  <c r="G38" i="99" s="1"/>
  <c r="A38" i="99"/>
  <c r="H37" i="99"/>
  <c r="F37" i="99"/>
  <c r="G37" i="99" s="1"/>
  <c r="A37" i="99"/>
  <c r="H36" i="99"/>
  <c r="F36" i="99"/>
  <c r="G36" i="99" s="1"/>
  <c r="A36" i="99"/>
  <c r="H35" i="99"/>
  <c r="F35" i="99"/>
  <c r="G35" i="99" s="1"/>
  <c r="A35" i="99"/>
  <c r="H34" i="99"/>
  <c r="F34" i="99"/>
  <c r="G34" i="99" s="1"/>
  <c r="A34" i="99"/>
  <c r="H33" i="99"/>
  <c r="F33" i="99"/>
  <c r="G33" i="99" s="1"/>
  <c r="A33" i="99"/>
  <c r="H32" i="99"/>
  <c r="F32" i="99"/>
  <c r="G32" i="99" s="1"/>
  <c r="A32" i="99"/>
  <c r="H31" i="99"/>
  <c r="F31" i="99"/>
  <c r="G31" i="99" s="1"/>
  <c r="A31" i="99"/>
  <c r="H30" i="99"/>
  <c r="F30" i="99"/>
  <c r="G30" i="99" s="1"/>
  <c r="A30" i="99"/>
  <c r="H29" i="99"/>
  <c r="F29" i="99"/>
  <c r="G29" i="99" s="1"/>
  <c r="A29" i="99"/>
  <c r="H28" i="99"/>
  <c r="F28" i="99"/>
  <c r="G28" i="99" s="1"/>
  <c r="A28" i="99"/>
  <c r="H27" i="99"/>
  <c r="F27" i="99"/>
  <c r="G27" i="99" s="1"/>
  <c r="A27" i="99"/>
  <c r="H26" i="99"/>
  <c r="F26" i="99"/>
  <c r="G26" i="99" s="1"/>
  <c r="H25" i="99"/>
  <c r="F25" i="99"/>
  <c r="G25" i="99" s="1"/>
  <c r="H24" i="99"/>
  <c r="L12" i="99" s="1"/>
  <c r="L19" i="99" s="1"/>
  <c r="G24" i="123" s="1"/>
  <c r="F24" i="99"/>
  <c r="J12" i="99" s="1"/>
  <c r="J19" i="99" s="1"/>
  <c r="H23" i="99"/>
  <c r="G23" i="99"/>
  <c r="F23" i="99"/>
  <c r="H22" i="99"/>
  <c r="F22" i="99"/>
  <c r="G22" i="99" s="1"/>
  <c r="L21" i="99"/>
  <c r="H21" i="99"/>
  <c r="F21" i="99"/>
  <c r="G21" i="99" s="1"/>
  <c r="H20" i="99"/>
  <c r="F20" i="99"/>
  <c r="G20" i="99" s="1"/>
  <c r="H19" i="99"/>
  <c r="F19" i="99"/>
  <c r="G19" i="99" s="1"/>
  <c r="H18" i="99"/>
  <c r="F18" i="99"/>
  <c r="G18" i="99" s="1"/>
  <c r="H17" i="99"/>
  <c r="F17" i="99"/>
  <c r="G17" i="99" s="1"/>
  <c r="H16" i="99"/>
  <c r="G16" i="99" s="1"/>
  <c r="F16" i="99"/>
  <c r="H15" i="99"/>
  <c r="G15" i="99"/>
  <c r="F15" i="99"/>
  <c r="H14" i="99"/>
  <c r="F14" i="99"/>
  <c r="G14" i="99" s="1"/>
  <c r="H13" i="99"/>
  <c r="F13" i="99"/>
  <c r="G13" i="99" s="1"/>
  <c r="H12" i="99"/>
  <c r="G12" i="99"/>
  <c r="F12" i="99"/>
  <c r="L11" i="99"/>
  <c r="L18" i="99" s="1"/>
  <c r="K11" i="99"/>
  <c r="K18" i="99" s="1"/>
  <c r="J11" i="99"/>
  <c r="J18" i="99" s="1"/>
  <c r="H11" i="99"/>
  <c r="F11" i="99"/>
  <c r="G11" i="99" s="1"/>
  <c r="L10" i="99"/>
  <c r="L17" i="99" s="1"/>
  <c r="F24" i="123" s="1"/>
  <c r="K10" i="99"/>
  <c r="J10" i="99"/>
  <c r="J17" i="99" s="1"/>
  <c r="H10" i="99"/>
  <c r="G10" i="99"/>
  <c r="F10" i="99"/>
  <c r="L9" i="99"/>
  <c r="K9" i="99"/>
  <c r="K21" i="99" s="1"/>
  <c r="J9" i="99"/>
  <c r="H9" i="99"/>
  <c r="G9" i="99" s="1"/>
  <c r="F9" i="99"/>
  <c r="L8" i="99"/>
  <c r="K8" i="99"/>
  <c r="J8" i="99"/>
  <c r="J21" i="99" s="1"/>
  <c r="I24" i="123" s="1"/>
  <c r="H8" i="99"/>
  <c r="F8" i="99"/>
  <c r="G8" i="99" s="1"/>
  <c r="L7" i="99"/>
  <c r="K7" i="99"/>
  <c r="J7" i="99"/>
  <c r="H7" i="99"/>
  <c r="F7" i="99"/>
  <c r="G7" i="99" s="1"/>
  <c r="L6" i="99"/>
  <c r="K6" i="99"/>
  <c r="J6" i="99"/>
  <c r="H6" i="99"/>
  <c r="F6" i="99"/>
  <c r="G6" i="99" s="1"/>
  <c r="L5" i="99"/>
  <c r="K5" i="99"/>
  <c r="J5" i="99"/>
  <c r="H5" i="99"/>
  <c r="G5" i="99"/>
  <c r="F5" i="99"/>
  <c r="L4" i="99"/>
  <c r="J4" i="99"/>
  <c r="H4" i="99"/>
  <c r="L3" i="99" s="1"/>
  <c r="L16" i="99" s="1"/>
  <c r="E24" i="123" s="1"/>
  <c r="G4" i="99"/>
  <c r="F4" i="99"/>
  <c r="J3" i="99" s="1"/>
  <c r="J16" i="99" s="1"/>
  <c r="J20" i="99" s="1"/>
  <c r="H3" i="99"/>
  <c r="F3" i="99"/>
  <c r="G3" i="99" s="1"/>
  <c r="K4" i="99" s="1"/>
  <c r="K17" i="99" s="1"/>
  <c r="C24" i="123" s="1"/>
  <c r="H42" i="98"/>
  <c r="F42" i="98"/>
  <c r="G42" i="98" s="1"/>
  <c r="A42" i="98"/>
  <c r="H41" i="98"/>
  <c r="F41" i="98"/>
  <c r="G41" i="98" s="1"/>
  <c r="A41" i="98"/>
  <c r="H40" i="98"/>
  <c r="F40" i="98"/>
  <c r="G40" i="98" s="1"/>
  <c r="A40" i="98"/>
  <c r="H39" i="98"/>
  <c r="F39" i="98"/>
  <c r="G39" i="98" s="1"/>
  <c r="A39" i="98"/>
  <c r="H38" i="98"/>
  <c r="F38" i="98"/>
  <c r="G38" i="98" s="1"/>
  <c r="A38" i="98"/>
  <c r="H37" i="98"/>
  <c r="F37" i="98"/>
  <c r="G37" i="98" s="1"/>
  <c r="A37" i="98"/>
  <c r="H36" i="98"/>
  <c r="F36" i="98"/>
  <c r="G36" i="98" s="1"/>
  <c r="A36" i="98"/>
  <c r="H35" i="98"/>
  <c r="F35" i="98"/>
  <c r="G35" i="98" s="1"/>
  <c r="A35" i="98"/>
  <c r="H34" i="98"/>
  <c r="F34" i="98"/>
  <c r="G34" i="98" s="1"/>
  <c r="A34" i="98"/>
  <c r="H33" i="98"/>
  <c r="F33" i="98"/>
  <c r="G33" i="98" s="1"/>
  <c r="A33" i="98"/>
  <c r="H32" i="98"/>
  <c r="F32" i="98"/>
  <c r="G32" i="98" s="1"/>
  <c r="A32" i="98"/>
  <c r="H31" i="98"/>
  <c r="F31" i="98"/>
  <c r="G31" i="98" s="1"/>
  <c r="A31" i="98"/>
  <c r="H30" i="98"/>
  <c r="F30" i="98"/>
  <c r="G30" i="98" s="1"/>
  <c r="A30" i="98"/>
  <c r="H29" i="98"/>
  <c r="F29" i="98"/>
  <c r="G29" i="98" s="1"/>
  <c r="A29" i="98"/>
  <c r="H28" i="98"/>
  <c r="F28" i="98"/>
  <c r="G28" i="98" s="1"/>
  <c r="A28" i="98"/>
  <c r="H27" i="98"/>
  <c r="F27" i="98"/>
  <c r="G27" i="98" s="1"/>
  <c r="A27" i="98"/>
  <c r="H26" i="98"/>
  <c r="F26" i="98"/>
  <c r="G26" i="98" s="1"/>
  <c r="A26" i="98"/>
  <c r="H25" i="98"/>
  <c r="F25" i="98"/>
  <c r="G25" i="98" s="1"/>
  <c r="A25" i="98"/>
  <c r="H24" i="98"/>
  <c r="F24" i="98"/>
  <c r="G24" i="98" s="1"/>
  <c r="A24" i="98"/>
  <c r="H23" i="98"/>
  <c r="F23" i="98"/>
  <c r="G23" i="98" s="1"/>
  <c r="A23" i="98"/>
  <c r="H22" i="98"/>
  <c r="F22" i="98"/>
  <c r="G22" i="98" s="1"/>
  <c r="A22" i="98"/>
  <c r="L21" i="98"/>
  <c r="H21" i="98"/>
  <c r="G21" i="98"/>
  <c r="F21" i="98"/>
  <c r="A21" i="98"/>
  <c r="H20" i="98"/>
  <c r="F20" i="98"/>
  <c r="G20" i="98" s="1"/>
  <c r="A20" i="98"/>
  <c r="H19" i="98"/>
  <c r="F19" i="98"/>
  <c r="G19" i="98" s="1"/>
  <c r="L18" i="98"/>
  <c r="H18" i="98"/>
  <c r="G18" i="98"/>
  <c r="F18" i="98"/>
  <c r="H17" i="98"/>
  <c r="F17" i="98"/>
  <c r="G17" i="98" s="1"/>
  <c r="L16" i="98"/>
  <c r="E23" i="123" s="1"/>
  <c r="K16" i="98"/>
  <c r="B23" i="123" s="1"/>
  <c r="J16" i="98"/>
  <c r="H16" i="98"/>
  <c r="F16" i="98"/>
  <c r="G16" i="98" s="1"/>
  <c r="H15" i="98"/>
  <c r="F15" i="98"/>
  <c r="G15" i="98" s="1"/>
  <c r="H14" i="98"/>
  <c r="G14" i="98" s="1"/>
  <c r="F14" i="98"/>
  <c r="H13" i="98"/>
  <c r="G13" i="98"/>
  <c r="F13" i="98"/>
  <c r="L12" i="98"/>
  <c r="L19" i="98" s="1"/>
  <c r="G23" i="123" s="1"/>
  <c r="K12" i="98"/>
  <c r="K19" i="98" s="1"/>
  <c r="D23" i="123" s="1"/>
  <c r="J12" i="98"/>
  <c r="J19" i="98" s="1"/>
  <c r="H12" i="98"/>
  <c r="F12" i="98"/>
  <c r="G12" i="98" s="1"/>
  <c r="L11" i="98"/>
  <c r="K11" i="98"/>
  <c r="K18" i="98" s="1"/>
  <c r="J11" i="98"/>
  <c r="J18" i="98" s="1"/>
  <c r="H11" i="98"/>
  <c r="F11" i="98"/>
  <c r="J9" i="98" s="1"/>
  <c r="L10" i="98"/>
  <c r="K10" i="98"/>
  <c r="J10" i="98"/>
  <c r="H10" i="98"/>
  <c r="F10" i="98"/>
  <c r="G10" i="98" s="1"/>
  <c r="L9" i="98"/>
  <c r="H9" i="98"/>
  <c r="F9" i="98"/>
  <c r="G9" i="98" s="1"/>
  <c r="L8" i="98"/>
  <c r="K8" i="98"/>
  <c r="J8" i="98"/>
  <c r="J21" i="98" s="1"/>
  <c r="I23" i="123" s="1"/>
  <c r="H8" i="98"/>
  <c r="F8" i="98"/>
  <c r="G8" i="98" s="1"/>
  <c r="L7" i="98"/>
  <c r="K7" i="98"/>
  <c r="J7" i="98"/>
  <c r="H7" i="98"/>
  <c r="F7" i="98"/>
  <c r="G7" i="98" s="1"/>
  <c r="H6" i="98"/>
  <c r="L5" i="98" s="1"/>
  <c r="F6" i="98"/>
  <c r="G6" i="98" s="1"/>
  <c r="H5" i="98"/>
  <c r="L6" i="98" s="1"/>
  <c r="F5" i="98"/>
  <c r="G5" i="98" s="1"/>
  <c r="K6" i="98" s="1"/>
  <c r="J4" i="98"/>
  <c r="H4" i="98"/>
  <c r="L4" i="98" s="1"/>
  <c r="L17" i="98" s="1"/>
  <c r="F23" i="123" s="1"/>
  <c r="F4" i="98"/>
  <c r="G4" i="98" s="1"/>
  <c r="L3" i="98"/>
  <c r="K3" i="98"/>
  <c r="J3" i="98"/>
  <c r="H3" i="98"/>
  <c r="G3" i="98" s="1"/>
  <c r="F3" i="98"/>
  <c r="H42" i="97"/>
  <c r="G42" i="97" s="1"/>
  <c r="F42" i="97"/>
  <c r="A42" i="97"/>
  <c r="H41" i="97"/>
  <c r="G41" i="97"/>
  <c r="F41" i="97"/>
  <c r="A41" i="97"/>
  <c r="H40" i="97"/>
  <c r="F40" i="97"/>
  <c r="G40" i="97" s="1"/>
  <c r="A40" i="97"/>
  <c r="H39" i="97"/>
  <c r="F39" i="97"/>
  <c r="G39" i="97" s="1"/>
  <c r="A39" i="97"/>
  <c r="H38" i="97"/>
  <c r="F38" i="97"/>
  <c r="G38" i="97" s="1"/>
  <c r="A38" i="97"/>
  <c r="H37" i="97"/>
  <c r="F37" i="97"/>
  <c r="G37" i="97" s="1"/>
  <c r="A37" i="97"/>
  <c r="H36" i="97"/>
  <c r="G36" i="97"/>
  <c r="F36" i="97"/>
  <c r="A36" i="97"/>
  <c r="H35" i="97"/>
  <c r="G35" i="97"/>
  <c r="F35" i="97"/>
  <c r="A35" i="97"/>
  <c r="H34" i="97"/>
  <c r="G34" i="97" s="1"/>
  <c r="F34" i="97"/>
  <c r="A34" i="97"/>
  <c r="H33" i="97"/>
  <c r="G33" i="97"/>
  <c r="F33" i="97"/>
  <c r="A33" i="97"/>
  <c r="H32" i="97"/>
  <c r="F32" i="97"/>
  <c r="G32" i="97" s="1"/>
  <c r="A32" i="97"/>
  <c r="H31" i="97"/>
  <c r="F31" i="97"/>
  <c r="G31" i="97" s="1"/>
  <c r="A31" i="97"/>
  <c r="H30" i="97"/>
  <c r="F30" i="97"/>
  <c r="G30" i="97" s="1"/>
  <c r="A30" i="97"/>
  <c r="H29" i="97"/>
  <c r="F29" i="97"/>
  <c r="G29" i="97" s="1"/>
  <c r="A29" i="97"/>
  <c r="H28" i="97"/>
  <c r="G28" i="97"/>
  <c r="F28" i="97"/>
  <c r="H27" i="97"/>
  <c r="F27" i="97"/>
  <c r="G27" i="97" s="1"/>
  <c r="H26" i="97"/>
  <c r="F26" i="97"/>
  <c r="G26" i="97" s="1"/>
  <c r="H25" i="97"/>
  <c r="F25" i="97"/>
  <c r="G25" i="97" s="1"/>
  <c r="H24" i="97"/>
  <c r="G24" i="97" s="1"/>
  <c r="F24" i="97"/>
  <c r="H23" i="97"/>
  <c r="F23" i="97"/>
  <c r="G23" i="97" s="1"/>
  <c r="H22" i="97"/>
  <c r="F22" i="97"/>
  <c r="G22" i="97" s="1"/>
  <c r="L21" i="97"/>
  <c r="H21" i="97"/>
  <c r="F21" i="97"/>
  <c r="G21" i="97" s="1"/>
  <c r="H20" i="97"/>
  <c r="F20" i="97"/>
  <c r="G20" i="97" s="1"/>
  <c r="J19" i="97"/>
  <c r="H19" i="97"/>
  <c r="G19" i="97"/>
  <c r="F19" i="97"/>
  <c r="H18" i="97"/>
  <c r="G18" i="97" s="1"/>
  <c r="F18" i="97"/>
  <c r="H17" i="97"/>
  <c r="F17" i="97"/>
  <c r="G17" i="97" s="1"/>
  <c r="J16" i="97"/>
  <c r="H16" i="97"/>
  <c r="F16" i="97"/>
  <c r="G16" i="97" s="1"/>
  <c r="H15" i="97"/>
  <c r="F15" i="97"/>
  <c r="G15" i="97" s="1"/>
  <c r="H14" i="97"/>
  <c r="F14" i="97"/>
  <c r="G14" i="97" s="1"/>
  <c r="H13" i="97"/>
  <c r="L4" i="97" s="1"/>
  <c r="F13" i="97"/>
  <c r="G13" i="97" s="1"/>
  <c r="L12" i="97"/>
  <c r="L19" i="97" s="1"/>
  <c r="G22" i="123" s="1"/>
  <c r="K12" i="97"/>
  <c r="K19" i="97" s="1"/>
  <c r="D22" i="123" s="1"/>
  <c r="J12" i="97"/>
  <c r="H12" i="97"/>
  <c r="F12" i="97"/>
  <c r="G12" i="97" s="1"/>
  <c r="L11" i="97"/>
  <c r="L18" i="97" s="1"/>
  <c r="K11" i="97"/>
  <c r="K18" i="97" s="1"/>
  <c r="J11" i="97"/>
  <c r="J18" i="97" s="1"/>
  <c r="H11" i="97"/>
  <c r="F11" i="97"/>
  <c r="G11" i="97" s="1"/>
  <c r="L10" i="97"/>
  <c r="K10" i="97"/>
  <c r="J10" i="97"/>
  <c r="H10" i="97"/>
  <c r="F10" i="97"/>
  <c r="G10" i="97" s="1"/>
  <c r="L9" i="97"/>
  <c r="H9" i="97"/>
  <c r="F9" i="97"/>
  <c r="G9" i="97" s="1"/>
  <c r="L8" i="97"/>
  <c r="K8" i="97"/>
  <c r="J8" i="97"/>
  <c r="H8" i="97"/>
  <c r="F8" i="97"/>
  <c r="G8" i="97" s="1"/>
  <c r="L7" i="97"/>
  <c r="K7" i="97"/>
  <c r="J7" i="97"/>
  <c r="H7" i="97"/>
  <c r="L6" i="97" s="1"/>
  <c r="F7" i="97"/>
  <c r="G7" i="97" s="1"/>
  <c r="K6" i="97" s="1"/>
  <c r="H6" i="97"/>
  <c r="L5" i="97" s="1"/>
  <c r="G6" i="97"/>
  <c r="F6" i="97"/>
  <c r="H5" i="97"/>
  <c r="F5" i="97"/>
  <c r="G5" i="97" s="1"/>
  <c r="H4" i="97"/>
  <c r="F4" i="97"/>
  <c r="G4" i="97" s="1"/>
  <c r="L3" i="97"/>
  <c r="L16" i="97" s="1"/>
  <c r="E22" i="123" s="1"/>
  <c r="K3" i="97"/>
  <c r="K16" i="97" s="1"/>
  <c r="B22" i="123" s="1"/>
  <c r="J3" i="97"/>
  <c r="H3" i="97"/>
  <c r="F3" i="97"/>
  <c r="J9" i="97" s="1"/>
  <c r="J21" i="97" s="1"/>
  <c r="I22" i="123" s="1"/>
  <c r="H42" i="96"/>
  <c r="F42" i="96"/>
  <c r="G42" i="96" s="1"/>
  <c r="A42" i="96"/>
  <c r="H41" i="96"/>
  <c r="F41" i="96"/>
  <c r="G41" i="96" s="1"/>
  <c r="A41" i="96"/>
  <c r="H40" i="96"/>
  <c r="G40" i="96"/>
  <c r="F40" i="96"/>
  <c r="A40" i="96"/>
  <c r="H39" i="96"/>
  <c r="G39" i="96"/>
  <c r="F39" i="96"/>
  <c r="A39" i="96"/>
  <c r="H38" i="96"/>
  <c r="G38" i="96"/>
  <c r="F38" i="96"/>
  <c r="A38" i="96"/>
  <c r="H37" i="96"/>
  <c r="F37" i="96"/>
  <c r="G37" i="96" s="1"/>
  <c r="A37" i="96"/>
  <c r="H36" i="96"/>
  <c r="F36" i="96"/>
  <c r="G36" i="96" s="1"/>
  <c r="A36" i="96"/>
  <c r="H35" i="96"/>
  <c r="G35" i="96"/>
  <c r="F35" i="96"/>
  <c r="A35" i="96"/>
  <c r="H34" i="96"/>
  <c r="F34" i="96"/>
  <c r="G34" i="96" s="1"/>
  <c r="A34" i="96"/>
  <c r="H33" i="96"/>
  <c r="F33" i="96"/>
  <c r="G33" i="96" s="1"/>
  <c r="A33" i="96"/>
  <c r="H32" i="96"/>
  <c r="G32" i="96"/>
  <c r="F32" i="96"/>
  <c r="A32" i="96"/>
  <c r="H30" i="96"/>
  <c r="G30" i="96"/>
  <c r="F30" i="96"/>
  <c r="H29" i="96"/>
  <c r="F29" i="96"/>
  <c r="G29" i="96" s="1"/>
  <c r="H28" i="96"/>
  <c r="G28" i="96"/>
  <c r="F28" i="96"/>
  <c r="H27" i="96"/>
  <c r="F27" i="96"/>
  <c r="G27" i="96" s="1"/>
  <c r="H26" i="96"/>
  <c r="F26" i="96"/>
  <c r="G26" i="96" s="1"/>
  <c r="K9" i="96" s="1"/>
  <c r="H25" i="96"/>
  <c r="F25" i="96"/>
  <c r="G25" i="96" s="1"/>
  <c r="H24" i="96"/>
  <c r="F24" i="96"/>
  <c r="G24" i="96" s="1"/>
  <c r="H23" i="96"/>
  <c r="L7" i="96" s="1"/>
  <c r="F23" i="96"/>
  <c r="J7" i="96" s="1"/>
  <c r="H22" i="96"/>
  <c r="F22" i="96"/>
  <c r="G22" i="96" s="1"/>
  <c r="L21" i="96"/>
  <c r="H21" i="96"/>
  <c r="F21" i="96"/>
  <c r="G21" i="96" s="1"/>
  <c r="H20" i="96"/>
  <c r="G20" i="96"/>
  <c r="F20" i="96"/>
  <c r="H19" i="96"/>
  <c r="F19" i="96"/>
  <c r="G19" i="96" s="1"/>
  <c r="H18" i="96"/>
  <c r="G18" i="96"/>
  <c r="F18" i="96"/>
  <c r="H17" i="96"/>
  <c r="F17" i="96"/>
  <c r="G17" i="96" s="1"/>
  <c r="L16" i="96"/>
  <c r="K16" i="96"/>
  <c r="J16" i="96"/>
  <c r="H16" i="96"/>
  <c r="G16" i="96"/>
  <c r="F16" i="96"/>
  <c r="H15" i="96"/>
  <c r="F15" i="96"/>
  <c r="G15" i="96" s="1"/>
  <c r="H14" i="96"/>
  <c r="G14" i="96"/>
  <c r="F14" i="96"/>
  <c r="H13" i="96"/>
  <c r="F13" i="96"/>
  <c r="G13" i="96" s="1"/>
  <c r="L12" i="96"/>
  <c r="L19" i="96" s="1"/>
  <c r="G21" i="123" s="1"/>
  <c r="K12" i="96"/>
  <c r="K19" i="96" s="1"/>
  <c r="D21" i="123" s="1"/>
  <c r="J12" i="96"/>
  <c r="J19" i="96" s="1"/>
  <c r="H12" i="96"/>
  <c r="F12" i="96"/>
  <c r="G12" i="96" s="1"/>
  <c r="L11" i="96"/>
  <c r="L18" i="96" s="1"/>
  <c r="K11" i="96"/>
  <c r="K18" i="96" s="1"/>
  <c r="J11" i="96"/>
  <c r="J18" i="96" s="1"/>
  <c r="H11" i="96"/>
  <c r="F11" i="96"/>
  <c r="G11" i="96" s="1"/>
  <c r="L10" i="96"/>
  <c r="K10" i="96"/>
  <c r="J10" i="96"/>
  <c r="H10" i="96"/>
  <c r="L6" i="96" s="1"/>
  <c r="F10" i="96"/>
  <c r="J6" i="96" s="1"/>
  <c r="L9" i="96"/>
  <c r="J9" i="96"/>
  <c r="H9" i="96"/>
  <c r="L4" i="96" s="1"/>
  <c r="L17" i="96" s="1"/>
  <c r="F21" i="123" s="1"/>
  <c r="F9" i="96"/>
  <c r="G9" i="96" s="1"/>
  <c r="L8" i="96"/>
  <c r="K8" i="96"/>
  <c r="J8" i="96"/>
  <c r="J21" i="96" s="1"/>
  <c r="I21" i="123" s="1"/>
  <c r="H8" i="96"/>
  <c r="F8" i="96"/>
  <c r="G8" i="96" s="1"/>
  <c r="H7" i="96"/>
  <c r="F7" i="96"/>
  <c r="G7" i="96" s="1"/>
  <c r="H6" i="96"/>
  <c r="F6" i="96"/>
  <c r="G6" i="96" s="1"/>
  <c r="H5" i="96"/>
  <c r="F5" i="96"/>
  <c r="G5" i="96" s="1"/>
  <c r="J4" i="96"/>
  <c r="H4" i="96"/>
  <c r="L5" i="96" s="1"/>
  <c r="F4" i="96"/>
  <c r="G4" i="96" s="1"/>
  <c r="L3" i="96"/>
  <c r="K3" i="96"/>
  <c r="J3" i="96"/>
  <c r="H3" i="96"/>
  <c r="F3" i="96"/>
  <c r="G3" i="96" s="1"/>
  <c r="H42" i="95"/>
  <c r="F42" i="95"/>
  <c r="G42" i="95" s="1"/>
  <c r="A42" i="95"/>
  <c r="H41" i="95"/>
  <c r="G41" i="95"/>
  <c r="F41" i="95"/>
  <c r="A41" i="95"/>
  <c r="H40" i="95"/>
  <c r="F40" i="95"/>
  <c r="G40" i="95" s="1"/>
  <c r="A40" i="95"/>
  <c r="H39" i="95"/>
  <c r="F39" i="95"/>
  <c r="G39" i="95" s="1"/>
  <c r="A39" i="95"/>
  <c r="H38" i="95"/>
  <c r="G38" i="95"/>
  <c r="F38" i="95"/>
  <c r="A38" i="95"/>
  <c r="H37" i="95"/>
  <c r="F37" i="95"/>
  <c r="G37" i="95" s="1"/>
  <c r="A37" i="95"/>
  <c r="H36" i="95"/>
  <c r="F36" i="95"/>
  <c r="G36" i="95" s="1"/>
  <c r="A36" i="95"/>
  <c r="H35" i="95"/>
  <c r="G35" i="95"/>
  <c r="F35" i="95"/>
  <c r="A35" i="95"/>
  <c r="H34" i="95"/>
  <c r="F34" i="95"/>
  <c r="G34" i="95" s="1"/>
  <c r="A34" i="95"/>
  <c r="H33" i="95"/>
  <c r="G33" i="95"/>
  <c r="F33" i="95"/>
  <c r="A33" i="95"/>
  <c r="H32" i="95"/>
  <c r="F32" i="95"/>
  <c r="G32" i="95" s="1"/>
  <c r="A32" i="95"/>
  <c r="H31" i="95"/>
  <c r="F31" i="95"/>
  <c r="G31" i="95" s="1"/>
  <c r="A31" i="95"/>
  <c r="H30" i="95"/>
  <c r="G30" i="95"/>
  <c r="F30" i="95"/>
  <c r="A30" i="95"/>
  <c r="H29" i="95"/>
  <c r="F29" i="95"/>
  <c r="G29" i="95" s="1"/>
  <c r="A29" i="95"/>
  <c r="H28" i="95"/>
  <c r="F28" i="95"/>
  <c r="G28" i="95" s="1"/>
  <c r="H27" i="95"/>
  <c r="L3" i="95" s="1"/>
  <c r="L16" i="95" s="1"/>
  <c r="E20" i="123" s="1"/>
  <c r="F27" i="95"/>
  <c r="G27" i="95" s="1"/>
  <c r="H26" i="95"/>
  <c r="G26" i="95" s="1"/>
  <c r="F26" i="95"/>
  <c r="H25" i="95"/>
  <c r="G25" i="95"/>
  <c r="F25" i="95"/>
  <c r="H24" i="95"/>
  <c r="G24" i="95"/>
  <c r="F24" i="95"/>
  <c r="H23" i="95"/>
  <c r="F23" i="95"/>
  <c r="G23" i="95" s="1"/>
  <c r="H22" i="95"/>
  <c r="F22" i="95"/>
  <c r="G22" i="95" s="1"/>
  <c r="H21" i="95"/>
  <c r="G21" i="95"/>
  <c r="F21" i="95"/>
  <c r="H20" i="95"/>
  <c r="F20" i="95"/>
  <c r="J4" i="95" s="1"/>
  <c r="H19" i="95"/>
  <c r="G19" i="95"/>
  <c r="F19" i="95"/>
  <c r="L18" i="95"/>
  <c r="H18" i="95"/>
  <c r="F18" i="95"/>
  <c r="G18" i="95" s="1"/>
  <c r="H17" i="95"/>
  <c r="G17" i="95"/>
  <c r="F17" i="95"/>
  <c r="H16" i="95"/>
  <c r="F16" i="95"/>
  <c r="G16" i="95" s="1"/>
  <c r="H15" i="95"/>
  <c r="L5" i="95" s="1"/>
  <c r="F15" i="95"/>
  <c r="G15" i="95" s="1"/>
  <c r="K5" i="95" s="1"/>
  <c r="H14" i="95"/>
  <c r="F14" i="95"/>
  <c r="G14" i="95" s="1"/>
  <c r="H13" i="95"/>
  <c r="L9" i="95" s="1"/>
  <c r="F13" i="95"/>
  <c r="J9" i="95" s="1"/>
  <c r="J21" i="95" s="1"/>
  <c r="I20" i="123" s="1"/>
  <c r="H12" i="95"/>
  <c r="L4" i="95" s="1"/>
  <c r="F12" i="95"/>
  <c r="G12" i="95" s="1"/>
  <c r="L11" i="95"/>
  <c r="K11" i="95"/>
  <c r="K18" i="95" s="1"/>
  <c r="J11" i="95"/>
  <c r="J18" i="95" s="1"/>
  <c r="H11" i="95"/>
  <c r="G11" i="95"/>
  <c r="F11" i="95"/>
  <c r="L10" i="95"/>
  <c r="K10" i="95"/>
  <c r="J10" i="95"/>
  <c r="H10" i="95"/>
  <c r="F10" i="95"/>
  <c r="G10" i="95" s="1"/>
  <c r="H9" i="95"/>
  <c r="F9" i="95"/>
  <c r="G9" i="95" s="1"/>
  <c r="L8" i="95"/>
  <c r="L21" i="95" s="1"/>
  <c r="K8" i="95"/>
  <c r="J8" i="95"/>
  <c r="H8" i="95"/>
  <c r="F8" i="95"/>
  <c r="G8" i="95" s="1"/>
  <c r="L7" i="95"/>
  <c r="K7" i="95"/>
  <c r="J7" i="95"/>
  <c r="H7" i="95"/>
  <c r="L12" i="95" s="1"/>
  <c r="L19" i="95" s="1"/>
  <c r="G20" i="123" s="1"/>
  <c r="F7" i="95"/>
  <c r="J12" i="95" s="1"/>
  <c r="J19" i="95" s="1"/>
  <c r="L6" i="95"/>
  <c r="K6" i="95"/>
  <c r="J6" i="95"/>
  <c r="H6" i="95"/>
  <c r="F6" i="95"/>
  <c r="G6" i="95" s="1"/>
  <c r="H5" i="95"/>
  <c r="G5" i="95" s="1"/>
  <c r="F5" i="95"/>
  <c r="H4" i="95"/>
  <c r="F4" i="95"/>
  <c r="G4" i="95" s="1"/>
  <c r="H3" i="95"/>
  <c r="F3" i="95"/>
  <c r="G3" i="95" s="1"/>
  <c r="H42" i="94"/>
  <c r="F42" i="94"/>
  <c r="G42" i="94" s="1"/>
  <c r="A42" i="94"/>
  <c r="H41" i="94"/>
  <c r="F41" i="94"/>
  <c r="G41" i="94" s="1"/>
  <c r="A41" i="94"/>
  <c r="H40" i="94"/>
  <c r="G40" i="94"/>
  <c r="F40" i="94"/>
  <c r="A40" i="94"/>
  <c r="H39" i="94"/>
  <c r="F39" i="94"/>
  <c r="G39" i="94" s="1"/>
  <c r="A39" i="94"/>
  <c r="H38" i="94"/>
  <c r="G38" i="94" s="1"/>
  <c r="F38" i="94"/>
  <c r="A38" i="94"/>
  <c r="H37" i="94"/>
  <c r="F37" i="94"/>
  <c r="G37" i="94" s="1"/>
  <c r="A37" i="94"/>
  <c r="H36" i="94"/>
  <c r="F36" i="94"/>
  <c r="G36" i="94" s="1"/>
  <c r="A36" i="94"/>
  <c r="H35" i="94"/>
  <c r="G35" i="94"/>
  <c r="F35" i="94"/>
  <c r="A35" i="94"/>
  <c r="H34" i="94"/>
  <c r="F34" i="94"/>
  <c r="G34" i="94" s="1"/>
  <c r="A34" i="94"/>
  <c r="H33" i="94"/>
  <c r="F33" i="94"/>
  <c r="G33" i="94" s="1"/>
  <c r="A33" i="94"/>
  <c r="H32" i="94"/>
  <c r="G32" i="94"/>
  <c r="F32" i="94"/>
  <c r="H31" i="94"/>
  <c r="F31" i="94"/>
  <c r="G31" i="94" s="1"/>
  <c r="H30" i="94"/>
  <c r="G30" i="94"/>
  <c r="F30" i="94"/>
  <c r="H29" i="94"/>
  <c r="F29" i="94"/>
  <c r="G29" i="94" s="1"/>
  <c r="H28" i="94"/>
  <c r="F28" i="94"/>
  <c r="G28" i="94" s="1"/>
  <c r="H27" i="94"/>
  <c r="F27" i="94"/>
  <c r="G27" i="94" s="1"/>
  <c r="H26" i="94"/>
  <c r="F26" i="94"/>
  <c r="G26" i="94" s="1"/>
  <c r="H25" i="94"/>
  <c r="L6" i="94" s="1"/>
  <c r="F25" i="94"/>
  <c r="G25" i="94" s="1"/>
  <c r="K6" i="94" s="1"/>
  <c r="H24" i="94"/>
  <c r="F24" i="94"/>
  <c r="G24" i="94" s="1"/>
  <c r="H23" i="94"/>
  <c r="F23" i="94"/>
  <c r="G23" i="94" s="1"/>
  <c r="H22" i="94"/>
  <c r="F22" i="94"/>
  <c r="G22" i="94" s="1"/>
  <c r="L21" i="94"/>
  <c r="H21" i="94"/>
  <c r="F21" i="94"/>
  <c r="G21" i="94" s="1"/>
  <c r="H20" i="94"/>
  <c r="G20" i="94" s="1"/>
  <c r="F20" i="94"/>
  <c r="H19" i="94"/>
  <c r="G19" i="94"/>
  <c r="F19" i="94"/>
  <c r="H18" i="94"/>
  <c r="G18" i="94"/>
  <c r="F18" i="94"/>
  <c r="H17" i="94"/>
  <c r="F17" i="94"/>
  <c r="G17" i="94" s="1"/>
  <c r="L16" i="94"/>
  <c r="E19" i="123" s="1"/>
  <c r="K16" i="94"/>
  <c r="B19" i="123" s="1"/>
  <c r="J16" i="94"/>
  <c r="H16" i="94"/>
  <c r="G16" i="94"/>
  <c r="F16" i="94"/>
  <c r="H15" i="94"/>
  <c r="F15" i="94"/>
  <c r="G15" i="94" s="1"/>
  <c r="H14" i="94"/>
  <c r="G14" i="94"/>
  <c r="F14" i="94"/>
  <c r="H13" i="94"/>
  <c r="F13" i="94"/>
  <c r="G13" i="94" s="1"/>
  <c r="L12" i="94"/>
  <c r="L19" i="94" s="1"/>
  <c r="G19" i="123" s="1"/>
  <c r="K12" i="94"/>
  <c r="K19" i="94" s="1"/>
  <c r="D19" i="123" s="1"/>
  <c r="J12" i="94"/>
  <c r="J19" i="94" s="1"/>
  <c r="H12" i="94"/>
  <c r="F12" i="94"/>
  <c r="G12" i="94" s="1"/>
  <c r="L11" i="94"/>
  <c r="L18" i="94" s="1"/>
  <c r="K11" i="94"/>
  <c r="K18" i="94" s="1"/>
  <c r="J11" i="94"/>
  <c r="J18" i="94" s="1"/>
  <c r="H11" i="94"/>
  <c r="L7" i="94" s="1"/>
  <c r="F11" i="94"/>
  <c r="J7" i="94" s="1"/>
  <c r="L10" i="94"/>
  <c r="K10" i="94"/>
  <c r="J10" i="94"/>
  <c r="H10" i="94"/>
  <c r="F10" i="94"/>
  <c r="G10" i="94" s="1"/>
  <c r="L9" i="94"/>
  <c r="K9" i="94"/>
  <c r="J9" i="94"/>
  <c r="H9" i="94"/>
  <c r="F9" i="94"/>
  <c r="G9" i="94" s="1"/>
  <c r="L8" i="94"/>
  <c r="K8" i="94"/>
  <c r="K21" i="94" s="1"/>
  <c r="J8" i="94"/>
  <c r="J21" i="94" s="1"/>
  <c r="I19" i="123" s="1"/>
  <c r="H8" i="94"/>
  <c r="G8" i="94" s="1"/>
  <c r="K5" i="94" s="1"/>
  <c r="F8" i="94"/>
  <c r="H7" i="94"/>
  <c r="F7" i="94"/>
  <c r="G7" i="94" s="1"/>
  <c r="J6" i="94"/>
  <c r="H6" i="94"/>
  <c r="F6" i="94"/>
  <c r="G6" i="94" s="1"/>
  <c r="H5" i="94"/>
  <c r="F5" i="94"/>
  <c r="G5" i="94" s="1"/>
  <c r="H4" i="94"/>
  <c r="L4" i="94" s="1"/>
  <c r="F4" i="94"/>
  <c r="J4" i="94" s="1"/>
  <c r="L3" i="94"/>
  <c r="K3" i="94"/>
  <c r="J3" i="94"/>
  <c r="H3" i="94"/>
  <c r="F3" i="94"/>
  <c r="G3" i="94" s="1"/>
  <c r="H42" i="93"/>
  <c r="G42" i="93"/>
  <c r="F42" i="93"/>
  <c r="A42" i="93"/>
  <c r="H41" i="93"/>
  <c r="F41" i="93"/>
  <c r="G41" i="93" s="1"/>
  <c r="A41" i="93"/>
  <c r="H40" i="93"/>
  <c r="G40" i="93"/>
  <c r="F40" i="93"/>
  <c r="A40" i="93"/>
  <c r="H39" i="93"/>
  <c r="F39" i="93"/>
  <c r="G39" i="93" s="1"/>
  <c r="A39" i="93"/>
  <c r="H38" i="93"/>
  <c r="G38" i="93"/>
  <c r="F38" i="93"/>
  <c r="A38" i="93"/>
  <c r="H37" i="93"/>
  <c r="F37" i="93"/>
  <c r="G37" i="93" s="1"/>
  <c r="A37" i="93"/>
  <c r="H36" i="93"/>
  <c r="F36" i="93"/>
  <c r="G36" i="93" s="1"/>
  <c r="A36" i="93"/>
  <c r="H35" i="93"/>
  <c r="F35" i="93"/>
  <c r="G35" i="93" s="1"/>
  <c r="A35" i="93"/>
  <c r="H34" i="93"/>
  <c r="G34" i="93"/>
  <c r="F34" i="93"/>
  <c r="A34" i="93"/>
  <c r="H33" i="93"/>
  <c r="F33" i="93"/>
  <c r="G33" i="93" s="1"/>
  <c r="A33" i="93"/>
  <c r="H32" i="93"/>
  <c r="G32" i="93"/>
  <c r="F32" i="93"/>
  <c r="A32" i="93"/>
  <c r="H31" i="93"/>
  <c r="F31" i="93"/>
  <c r="G31" i="93" s="1"/>
  <c r="A31" i="93"/>
  <c r="H30" i="93"/>
  <c r="G30" i="93"/>
  <c r="F30" i="93"/>
  <c r="A30" i="93"/>
  <c r="H29" i="93"/>
  <c r="F29" i="93"/>
  <c r="G29" i="93" s="1"/>
  <c r="H28" i="93"/>
  <c r="F28" i="93"/>
  <c r="G28" i="93" s="1"/>
  <c r="H27" i="93"/>
  <c r="G27" i="93"/>
  <c r="F27" i="93"/>
  <c r="H26" i="93"/>
  <c r="F26" i="93"/>
  <c r="G26" i="93" s="1"/>
  <c r="H25" i="93"/>
  <c r="G25" i="93"/>
  <c r="F25" i="93"/>
  <c r="H24" i="93"/>
  <c r="F24" i="93"/>
  <c r="G24" i="93" s="1"/>
  <c r="H23" i="93"/>
  <c r="G23" i="93"/>
  <c r="F23" i="93"/>
  <c r="H22" i="93"/>
  <c r="F22" i="93"/>
  <c r="G22" i="93" s="1"/>
  <c r="H21" i="93"/>
  <c r="F21" i="93"/>
  <c r="G21" i="93" s="1"/>
  <c r="H20" i="93"/>
  <c r="F20" i="93"/>
  <c r="G20" i="93" s="1"/>
  <c r="H19" i="93"/>
  <c r="F19" i="93"/>
  <c r="G19" i="93" s="1"/>
  <c r="H18" i="93"/>
  <c r="F18" i="93"/>
  <c r="G18" i="93" s="1"/>
  <c r="H17" i="93"/>
  <c r="F17" i="93"/>
  <c r="G17" i="93" s="1"/>
  <c r="H16" i="93"/>
  <c r="F16" i="93"/>
  <c r="J6" i="93" s="1"/>
  <c r="H15" i="93"/>
  <c r="F15" i="93"/>
  <c r="G15" i="93" s="1"/>
  <c r="H14" i="93"/>
  <c r="L5" i="93" s="1"/>
  <c r="F14" i="93"/>
  <c r="G14" i="93" s="1"/>
  <c r="H13" i="93"/>
  <c r="F13" i="93"/>
  <c r="G13" i="93" s="1"/>
  <c r="L12" i="93"/>
  <c r="L19" i="93" s="1"/>
  <c r="G18" i="123" s="1"/>
  <c r="K12" i="93"/>
  <c r="K19" i="93" s="1"/>
  <c r="D18" i="123" s="1"/>
  <c r="J12" i="93"/>
  <c r="J19" i="93" s="1"/>
  <c r="H12" i="93"/>
  <c r="G12" i="93"/>
  <c r="F12" i="93"/>
  <c r="L11" i="93"/>
  <c r="L18" i="93" s="1"/>
  <c r="K11" i="93"/>
  <c r="K18" i="93" s="1"/>
  <c r="J11" i="93"/>
  <c r="J18" i="93" s="1"/>
  <c r="H11" i="93"/>
  <c r="G11" i="93"/>
  <c r="F11" i="93"/>
  <c r="L10" i="93"/>
  <c r="K10" i="93"/>
  <c r="J10" i="93"/>
  <c r="H10" i="93"/>
  <c r="G10" i="93"/>
  <c r="F10" i="93"/>
  <c r="L9" i="93"/>
  <c r="K9" i="93"/>
  <c r="J9" i="93"/>
  <c r="H9" i="93"/>
  <c r="F9" i="93"/>
  <c r="G9" i="93" s="1"/>
  <c r="K7" i="93" s="1"/>
  <c r="L8" i="93"/>
  <c r="L21" i="93" s="1"/>
  <c r="K8" i="93"/>
  <c r="K21" i="93" s="1"/>
  <c r="J8" i="93"/>
  <c r="J21" i="93" s="1"/>
  <c r="I18" i="123" s="1"/>
  <c r="H8" i="93"/>
  <c r="F8" i="93"/>
  <c r="G8" i="93" s="1"/>
  <c r="L7" i="93"/>
  <c r="J7" i="93"/>
  <c r="H7" i="93"/>
  <c r="F7" i="93"/>
  <c r="G7" i="93" s="1"/>
  <c r="L6" i="93"/>
  <c r="H6" i="93"/>
  <c r="G6" i="93"/>
  <c r="F6" i="93"/>
  <c r="H5" i="93"/>
  <c r="F5" i="93"/>
  <c r="J5" i="93" s="1"/>
  <c r="H4" i="93"/>
  <c r="L4" i="93" s="1"/>
  <c r="F4" i="93"/>
  <c r="G4" i="93" s="1"/>
  <c r="L3" i="93"/>
  <c r="L16" i="93" s="1"/>
  <c r="E18" i="123" s="1"/>
  <c r="K3" i="93"/>
  <c r="K16" i="93" s="1"/>
  <c r="B18" i="123" s="1"/>
  <c r="J3" i="93"/>
  <c r="J16" i="93" s="1"/>
  <c r="H3" i="93"/>
  <c r="G3" i="93"/>
  <c r="F3" i="93"/>
  <c r="H42" i="92"/>
  <c r="F42" i="92"/>
  <c r="G42" i="92" s="1"/>
  <c r="A42" i="92"/>
  <c r="H41" i="92"/>
  <c r="F41" i="92"/>
  <c r="G41" i="92" s="1"/>
  <c r="A41" i="92"/>
  <c r="H40" i="92"/>
  <c r="F40" i="92"/>
  <c r="G40" i="92" s="1"/>
  <c r="A40" i="92"/>
  <c r="H39" i="92"/>
  <c r="F39" i="92"/>
  <c r="G39" i="92" s="1"/>
  <c r="A39" i="92"/>
  <c r="H38" i="92"/>
  <c r="F38" i="92"/>
  <c r="G38" i="92" s="1"/>
  <c r="A38" i="92"/>
  <c r="H37" i="92"/>
  <c r="F37" i="92"/>
  <c r="G37" i="92" s="1"/>
  <c r="A37" i="92"/>
  <c r="H36" i="92"/>
  <c r="F36" i="92"/>
  <c r="G36" i="92" s="1"/>
  <c r="H35" i="92"/>
  <c r="G35" i="92"/>
  <c r="F35" i="92"/>
  <c r="H34" i="92"/>
  <c r="F34" i="92"/>
  <c r="G34" i="92" s="1"/>
  <c r="H33" i="92"/>
  <c r="G33" i="92"/>
  <c r="F33" i="92"/>
  <c r="H32" i="92"/>
  <c r="F32" i="92"/>
  <c r="J6" i="92" s="1"/>
  <c r="H31" i="92"/>
  <c r="F31" i="92"/>
  <c r="G31" i="92" s="1"/>
  <c r="H30" i="92"/>
  <c r="L9" i="92" s="1"/>
  <c r="F30" i="92"/>
  <c r="G30" i="92" s="1"/>
  <c r="H29" i="92"/>
  <c r="G29" i="92"/>
  <c r="F29" i="92"/>
  <c r="H28" i="92"/>
  <c r="F28" i="92"/>
  <c r="G28" i="92" s="1"/>
  <c r="H27" i="92"/>
  <c r="G27" i="92"/>
  <c r="F27" i="92"/>
  <c r="H26" i="92"/>
  <c r="F26" i="92"/>
  <c r="G26" i="92" s="1"/>
  <c r="H25" i="92"/>
  <c r="F25" i="92"/>
  <c r="G25" i="92" s="1"/>
  <c r="H24" i="92"/>
  <c r="F24" i="92"/>
  <c r="G24" i="92" s="1"/>
  <c r="H23" i="92"/>
  <c r="F23" i="92"/>
  <c r="G23" i="92" s="1"/>
  <c r="H22" i="92"/>
  <c r="F22" i="92"/>
  <c r="G22" i="92" s="1"/>
  <c r="H21" i="92"/>
  <c r="F21" i="92"/>
  <c r="G21" i="92" s="1"/>
  <c r="H20" i="92"/>
  <c r="F20" i="92"/>
  <c r="G20" i="92" s="1"/>
  <c r="K19" i="92"/>
  <c r="D17" i="123" s="1"/>
  <c r="H19" i="92"/>
  <c r="F19" i="92"/>
  <c r="G19" i="92" s="1"/>
  <c r="K18" i="92"/>
  <c r="H18" i="92"/>
  <c r="F18" i="92"/>
  <c r="G18" i="92" s="1"/>
  <c r="H17" i="92"/>
  <c r="F17" i="92"/>
  <c r="G17" i="92" s="1"/>
  <c r="H16" i="92"/>
  <c r="F16" i="92"/>
  <c r="G16" i="92" s="1"/>
  <c r="H15" i="92"/>
  <c r="L5" i="92" s="1"/>
  <c r="F15" i="92"/>
  <c r="G15" i="92" s="1"/>
  <c r="H14" i="92"/>
  <c r="F14" i="92"/>
  <c r="G14" i="92" s="1"/>
  <c r="H13" i="92"/>
  <c r="G13" i="92"/>
  <c r="F13" i="92"/>
  <c r="L12" i="92"/>
  <c r="L19" i="92" s="1"/>
  <c r="G17" i="123" s="1"/>
  <c r="K12" i="92"/>
  <c r="J12" i="92"/>
  <c r="J19" i="92" s="1"/>
  <c r="H12" i="92"/>
  <c r="G12" i="92"/>
  <c r="F12" i="92"/>
  <c r="L11" i="92"/>
  <c r="L18" i="92" s="1"/>
  <c r="K11" i="92"/>
  <c r="J11" i="92"/>
  <c r="J18" i="92" s="1"/>
  <c r="H11" i="92"/>
  <c r="F11" i="92"/>
  <c r="G11" i="92" s="1"/>
  <c r="L10" i="92"/>
  <c r="K10" i="92"/>
  <c r="J10" i="92"/>
  <c r="H10" i="92"/>
  <c r="F10" i="92"/>
  <c r="G10" i="92" s="1"/>
  <c r="J9" i="92"/>
  <c r="H9" i="92"/>
  <c r="F9" i="92"/>
  <c r="G9" i="92" s="1"/>
  <c r="L8" i="92"/>
  <c r="K8" i="92"/>
  <c r="J8" i="92"/>
  <c r="J21" i="92" s="1"/>
  <c r="I17" i="123" s="1"/>
  <c r="H8" i="92"/>
  <c r="G8" i="92"/>
  <c r="F8" i="92"/>
  <c r="L7" i="92"/>
  <c r="K7" i="92"/>
  <c r="J7" i="92"/>
  <c r="H7" i="92"/>
  <c r="G7" i="92"/>
  <c r="F7" i="92"/>
  <c r="H6" i="92"/>
  <c r="F6" i="92"/>
  <c r="G6" i="92" s="1"/>
  <c r="K5" i="92" s="1"/>
  <c r="H5" i="92"/>
  <c r="G5" i="92"/>
  <c r="F5" i="92"/>
  <c r="H4" i="92"/>
  <c r="L4" i="92" s="1"/>
  <c r="F4" i="92"/>
  <c r="G4" i="92" s="1"/>
  <c r="L3" i="92"/>
  <c r="L16" i="92" s="1"/>
  <c r="E17" i="123" s="1"/>
  <c r="K3" i="92"/>
  <c r="K16" i="92" s="1"/>
  <c r="B17" i="123" s="1"/>
  <c r="J3" i="92"/>
  <c r="J16" i="92" s="1"/>
  <c r="H3" i="92"/>
  <c r="L6" i="92" s="1"/>
  <c r="G3" i="92"/>
  <c r="F3" i="92"/>
  <c r="H42" i="91"/>
  <c r="F42" i="91"/>
  <c r="G42" i="91" s="1"/>
  <c r="A42" i="91"/>
  <c r="H41" i="91"/>
  <c r="F41" i="91"/>
  <c r="G41" i="91" s="1"/>
  <c r="A41" i="91"/>
  <c r="H40" i="91"/>
  <c r="F40" i="91"/>
  <c r="G40" i="91" s="1"/>
  <c r="A40" i="91"/>
  <c r="H39" i="91"/>
  <c r="F39" i="91"/>
  <c r="G39" i="91" s="1"/>
  <c r="A39" i="91"/>
  <c r="H38" i="91"/>
  <c r="F38" i="91"/>
  <c r="G38" i="91" s="1"/>
  <c r="A38" i="91"/>
  <c r="H37" i="91"/>
  <c r="F37" i="91"/>
  <c r="G37" i="91" s="1"/>
  <c r="A37" i="91"/>
  <c r="H36" i="91"/>
  <c r="F36" i="91"/>
  <c r="G36" i="91" s="1"/>
  <c r="A36" i="91"/>
  <c r="H35" i="91"/>
  <c r="F35" i="91"/>
  <c r="G35" i="91" s="1"/>
  <c r="A35" i="91"/>
  <c r="H34" i="91"/>
  <c r="F34" i="91"/>
  <c r="G34" i="91" s="1"/>
  <c r="A34" i="91"/>
  <c r="H33" i="91"/>
  <c r="F33" i="91"/>
  <c r="G33" i="91" s="1"/>
  <c r="A33" i="91"/>
  <c r="H32" i="91"/>
  <c r="F32" i="91"/>
  <c r="G32" i="91" s="1"/>
  <c r="A32" i="91"/>
  <c r="H31" i="91"/>
  <c r="F31" i="91"/>
  <c r="G31" i="91" s="1"/>
  <c r="A31" i="91"/>
  <c r="H30" i="91"/>
  <c r="F30" i="91"/>
  <c r="G30" i="91" s="1"/>
  <c r="A30" i="91"/>
  <c r="H29" i="91"/>
  <c r="F29" i="91"/>
  <c r="G29" i="91" s="1"/>
  <c r="A29" i="91"/>
  <c r="H28" i="91"/>
  <c r="F28" i="91"/>
  <c r="G28" i="91" s="1"/>
  <c r="H27" i="91"/>
  <c r="F27" i="91"/>
  <c r="G27" i="91" s="1"/>
  <c r="H26" i="91"/>
  <c r="F26" i="91"/>
  <c r="G26" i="91" s="1"/>
  <c r="H25" i="91"/>
  <c r="F25" i="91"/>
  <c r="G25" i="91" s="1"/>
  <c r="H24" i="91"/>
  <c r="F24" i="91"/>
  <c r="G24" i="91" s="1"/>
  <c r="H23" i="91"/>
  <c r="G23" i="91" s="1"/>
  <c r="F23" i="91"/>
  <c r="H22" i="91"/>
  <c r="F22" i="91"/>
  <c r="G22" i="91" s="1"/>
  <c r="H21" i="91"/>
  <c r="F21" i="91"/>
  <c r="G21" i="91" s="1"/>
  <c r="H20" i="91"/>
  <c r="F20" i="91"/>
  <c r="G20" i="91" s="1"/>
  <c r="H19" i="91"/>
  <c r="F19" i="91"/>
  <c r="G19" i="91" s="1"/>
  <c r="H18" i="91"/>
  <c r="F18" i="91"/>
  <c r="G18" i="91" s="1"/>
  <c r="H17" i="91"/>
  <c r="G17" i="91" s="1"/>
  <c r="F17" i="91"/>
  <c r="H16" i="91"/>
  <c r="F16" i="91"/>
  <c r="G16" i="91" s="1"/>
  <c r="H15" i="91"/>
  <c r="F15" i="91"/>
  <c r="G15" i="91" s="1"/>
  <c r="H14" i="91"/>
  <c r="F14" i="91"/>
  <c r="G14" i="91" s="1"/>
  <c r="H13" i="91"/>
  <c r="F13" i="91"/>
  <c r="G13" i="91" s="1"/>
  <c r="L12" i="91"/>
  <c r="L19" i="91" s="1"/>
  <c r="G16" i="123" s="1"/>
  <c r="K12" i="91"/>
  <c r="K19" i="91" s="1"/>
  <c r="D16" i="123" s="1"/>
  <c r="J12" i="91"/>
  <c r="J19" i="91" s="1"/>
  <c r="H12" i="91"/>
  <c r="L4" i="91" s="1"/>
  <c r="F12" i="91"/>
  <c r="G12" i="91" s="1"/>
  <c r="L11" i="91"/>
  <c r="L18" i="91" s="1"/>
  <c r="K11" i="91"/>
  <c r="K18" i="91" s="1"/>
  <c r="J11" i="91"/>
  <c r="J18" i="91" s="1"/>
  <c r="H11" i="91"/>
  <c r="F11" i="91"/>
  <c r="G11" i="91" s="1"/>
  <c r="H10" i="91"/>
  <c r="G10" i="91" s="1"/>
  <c r="F10" i="91"/>
  <c r="H9" i="91"/>
  <c r="G9" i="91"/>
  <c r="F9" i="91"/>
  <c r="J9" i="91" s="1"/>
  <c r="L8" i="91"/>
  <c r="L21" i="91" s="1"/>
  <c r="K8" i="91"/>
  <c r="K21" i="91" s="1"/>
  <c r="J8" i="91"/>
  <c r="J21" i="91" s="1"/>
  <c r="I16" i="123" s="1"/>
  <c r="H8" i="91"/>
  <c r="G8" i="91"/>
  <c r="F8" i="91"/>
  <c r="L7" i="91"/>
  <c r="K7" i="91"/>
  <c r="J7" i="91"/>
  <c r="H7" i="91"/>
  <c r="L5" i="91" s="1"/>
  <c r="F7" i="91"/>
  <c r="J5" i="91" s="1"/>
  <c r="L6" i="91"/>
  <c r="K6" i="91"/>
  <c r="J6" i="91"/>
  <c r="H6" i="91"/>
  <c r="G6" i="91"/>
  <c r="F6" i="91"/>
  <c r="H5" i="91"/>
  <c r="L9" i="91" s="1"/>
  <c r="G5" i="91"/>
  <c r="K9" i="91" s="1"/>
  <c r="F5" i="91"/>
  <c r="H4" i="91"/>
  <c r="G4" i="91"/>
  <c r="F4" i="91"/>
  <c r="L3" i="91"/>
  <c r="L16" i="91" s="1"/>
  <c r="E16" i="123" s="1"/>
  <c r="K3" i="91"/>
  <c r="K16" i="91" s="1"/>
  <c r="B16" i="123" s="1"/>
  <c r="J3" i="91"/>
  <c r="J16" i="91" s="1"/>
  <c r="H3" i="91"/>
  <c r="L10" i="91" s="1"/>
  <c r="F3" i="91"/>
  <c r="J10" i="91" s="1"/>
  <c r="H42" i="90"/>
  <c r="F42" i="90"/>
  <c r="G42" i="90" s="1"/>
  <c r="A42" i="90"/>
  <c r="H41" i="90"/>
  <c r="F41" i="90"/>
  <c r="G41" i="90" s="1"/>
  <c r="A41" i="90"/>
  <c r="H40" i="90"/>
  <c r="F40" i="90"/>
  <c r="G40" i="90" s="1"/>
  <c r="A40" i="90"/>
  <c r="H39" i="90"/>
  <c r="F39" i="90"/>
  <c r="G39" i="90" s="1"/>
  <c r="A39" i="90"/>
  <c r="H38" i="90"/>
  <c r="F38" i="90"/>
  <c r="G38" i="90" s="1"/>
  <c r="A38" i="90"/>
  <c r="H37" i="90"/>
  <c r="F37" i="90"/>
  <c r="G37" i="90" s="1"/>
  <c r="A37" i="90"/>
  <c r="H36" i="90"/>
  <c r="F36" i="90"/>
  <c r="G36" i="90" s="1"/>
  <c r="A36" i="90"/>
  <c r="H35" i="90"/>
  <c r="F35" i="90"/>
  <c r="G35" i="90" s="1"/>
  <c r="A35" i="90"/>
  <c r="H34" i="90"/>
  <c r="F34" i="90"/>
  <c r="G34" i="90" s="1"/>
  <c r="A34" i="90"/>
  <c r="H33" i="90"/>
  <c r="F33" i="90"/>
  <c r="G33" i="90" s="1"/>
  <c r="A33" i="90"/>
  <c r="H32" i="90"/>
  <c r="F32" i="90"/>
  <c r="G32" i="90" s="1"/>
  <c r="A32" i="90"/>
  <c r="H31" i="90"/>
  <c r="F31" i="90"/>
  <c r="G31" i="90" s="1"/>
  <c r="A31" i="90"/>
  <c r="H30" i="90"/>
  <c r="F30" i="90"/>
  <c r="G30" i="90" s="1"/>
  <c r="H29" i="90"/>
  <c r="G29" i="90"/>
  <c r="K7" i="90" s="1"/>
  <c r="F29" i="90"/>
  <c r="H28" i="90"/>
  <c r="F28" i="90"/>
  <c r="G28" i="90" s="1"/>
  <c r="H27" i="90"/>
  <c r="F27" i="90"/>
  <c r="G27" i="90" s="1"/>
  <c r="H26" i="90"/>
  <c r="F26" i="90"/>
  <c r="G26" i="90" s="1"/>
  <c r="H25" i="90"/>
  <c r="F25" i="90"/>
  <c r="G25" i="90" s="1"/>
  <c r="H24" i="90"/>
  <c r="F24" i="90"/>
  <c r="G24" i="90" s="1"/>
  <c r="H23" i="90"/>
  <c r="F23" i="90"/>
  <c r="G23" i="90" s="1"/>
  <c r="H22" i="90"/>
  <c r="F22" i="90"/>
  <c r="G22" i="90" s="1"/>
  <c r="H21" i="90"/>
  <c r="F21" i="90"/>
  <c r="G21" i="90" s="1"/>
  <c r="H20" i="90"/>
  <c r="F20" i="90"/>
  <c r="G20" i="90" s="1"/>
  <c r="K19" i="90"/>
  <c r="H19" i="90"/>
  <c r="F19" i="90"/>
  <c r="G19" i="90" s="1"/>
  <c r="K6" i="90" s="1"/>
  <c r="H18" i="90"/>
  <c r="L4" i="90" s="1"/>
  <c r="L17" i="90" s="1"/>
  <c r="F15" i="123" s="1"/>
  <c r="F18" i="90"/>
  <c r="G18" i="90" s="1"/>
  <c r="H17" i="90"/>
  <c r="F17" i="90"/>
  <c r="G17" i="90" s="1"/>
  <c r="K10" i="90" s="1"/>
  <c r="H16" i="90"/>
  <c r="F16" i="90"/>
  <c r="G16" i="90" s="1"/>
  <c r="H15" i="90"/>
  <c r="G15" i="90"/>
  <c r="F15" i="90"/>
  <c r="H14" i="90"/>
  <c r="F14" i="90"/>
  <c r="G14" i="90" s="1"/>
  <c r="H13" i="90"/>
  <c r="G13" i="90"/>
  <c r="F13" i="90"/>
  <c r="L12" i="90"/>
  <c r="L19" i="90" s="1"/>
  <c r="G15" i="123" s="1"/>
  <c r="K12" i="90"/>
  <c r="J12" i="90"/>
  <c r="J19" i="90" s="1"/>
  <c r="H12" i="90"/>
  <c r="F12" i="90"/>
  <c r="G12" i="90" s="1"/>
  <c r="L11" i="90"/>
  <c r="L18" i="90" s="1"/>
  <c r="K11" i="90"/>
  <c r="K18" i="90" s="1"/>
  <c r="J11" i="90"/>
  <c r="J18" i="90" s="1"/>
  <c r="H11" i="90"/>
  <c r="F11" i="90"/>
  <c r="G11" i="90" s="1"/>
  <c r="L10" i="90"/>
  <c r="J10" i="90"/>
  <c r="H10" i="90"/>
  <c r="F10" i="90"/>
  <c r="G10" i="90" s="1"/>
  <c r="H9" i="90"/>
  <c r="L5" i="90" s="1"/>
  <c r="F9" i="90"/>
  <c r="G9" i="90" s="1"/>
  <c r="L8" i="90"/>
  <c r="K8" i="90"/>
  <c r="J8" i="90"/>
  <c r="H8" i="90"/>
  <c r="G8" i="90"/>
  <c r="F8" i="90"/>
  <c r="L7" i="90"/>
  <c r="J7" i="90"/>
  <c r="H7" i="90"/>
  <c r="G7" i="90"/>
  <c r="F7" i="90"/>
  <c r="L6" i="90"/>
  <c r="J6" i="90"/>
  <c r="H6" i="90"/>
  <c r="F6" i="90"/>
  <c r="G6" i="90" s="1"/>
  <c r="H5" i="90"/>
  <c r="G5" i="90"/>
  <c r="F5" i="90"/>
  <c r="H4" i="90"/>
  <c r="L9" i="90" s="1"/>
  <c r="F4" i="90"/>
  <c r="G4" i="90" s="1"/>
  <c r="K9" i="90" s="1"/>
  <c r="K21" i="90" s="1"/>
  <c r="L3" i="90"/>
  <c r="L16" i="90" s="1"/>
  <c r="E15" i="123" s="1"/>
  <c r="K3" i="90"/>
  <c r="K16" i="90" s="1"/>
  <c r="B15" i="123" s="1"/>
  <c r="J3" i="90"/>
  <c r="J16" i="90" s="1"/>
  <c r="H3" i="90"/>
  <c r="G3" i="90"/>
  <c r="F3" i="90"/>
  <c r="H42" i="89"/>
  <c r="G42" i="89"/>
  <c r="F42" i="89"/>
  <c r="A42" i="89"/>
  <c r="H41" i="89"/>
  <c r="F41" i="89"/>
  <c r="G41" i="89" s="1"/>
  <c r="A41" i="89"/>
  <c r="H40" i="89"/>
  <c r="G40" i="89"/>
  <c r="F40" i="89"/>
  <c r="A40" i="89"/>
  <c r="H39" i="89"/>
  <c r="F39" i="89"/>
  <c r="G39" i="89" s="1"/>
  <c r="A39" i="89"/>
  <c r="H38" i="89"/>
  <c r="F38" i="89"/>
  <c r="G38" i="89" s="1"/>
  <c r="A38" i="89"/>
  <c r="H37" i="89"/>
  <c r="F37" i="89"/>
  <c r="G37" i="89" s="1"/>
  <c r="A37" i="89"/>
  <c r="H36" i="89"/>
  <c r="F36" i="89"/>
  <c r="G36" i="89" s="1"/>
  <c r="A36" i="89"/>
  <c r="H35" i="89"/>
  <c r="F35" i="89"/>
  <c r="G35" i="89" s="1"/>
  <c r="A35" i="89"/>
  <c r="H34" i="89"/>
  <c r="G34" i="89"/>
  <c r="F34" i="89"/>
  <c r="H33" i="89"/>
  <c r="G33" i="89"/>
  <c r="F33" i="89"/>
  <c r="H32" i="89"/>
  <c r="F32" i="89"/>
  <c r="G32" i="89" s="1"/>
  <c r="H31" i="89"/>
  <c r="G31" i="89" s="1"/>
  <c r="F31" i="89"/>
  <c r="H30" i="89"/>
  <c r="F30" i="89"/>
  <c r="G30" i="89" s="1"/>
  <c r="H29" i="89"/>
  <c r="F29" i="89"/>
  <c r="G29" i="89" s="1"/>
  <c r="H28" i="89"/>
  <c r="F28" i="89"/>
  <c r="G28" i="89" s="1"/>
  <c r="H27" i="89"/>
  <c r="F27" i="89"/>
  <c r="G27" i="89" s="1"/>
  <c r="H26" i="89"/>
  <c r="F26" i="89"/>
  <c r="G26" i="89" s="1"/>
  <c r="H25" i="89"/>
  <c r="F25" i="89"/>
  <c r="G25" i="89" s="1"/>
  <c r="H24" i="89"/>
  <c r="F24" i="89"/>
  <c r="G24" i="89" s="1"/>
  <c r="H23" i="89"/>
  <c r="F23" i="89"/>
  <c r="G23" i="89" s="1"/>
  <c r="H22" i="89"/>
  <c r="F22" i="89"/>
  <c r="G22" i="89" s="1"/>
  <c r="K9" i="89" s="1"/>
  <c r="K21" i="89" s="1"/>
  <c r="J21" i="89"/>
  <c r="H21" i="89"/>
  <c r="F21" i="89"/>
  <c r="G21" i="89" s="1"/>
  <c r="H20" i="89"/>
  <c r="F20" i="89"/>
  <c r="G20" i="89" s="1"/>
  <c r="K19" i="89"/>
  <c r="D14" i="123" s="1"/>
  <c r="H19" i="89"/>
  <c r="F19" i="89"/>
  <c r="G19" i="89" s="1"/>
  <c r="H18" i="89"/>
  <c r="F18" i="89"/>
  <c r="G18" i="89" s="1"/>
  <c r="H17" i="89"/>
  <c r="G17" i="89"/>
  <c r="F17" i="89"/>
  <c r="H16" i="89"/>
  <c r="F16" i="89"/>
  <c r="G16" i="89" s="1"/>
  <c r="H15" i="89"/>
  <c r="G15" i="89" s="1"/>
  <c r="F15" i="89"/>
  <c r="H14" i="89"/>
  <c r="F14" i="89"/>
  <c r="G14" i="89" s="1"/>
  <c r="H13" i="89"/>
  <c r="F13" i="89"/>
  <c r="G13" i="89" s="1"/>
  <c r="K7" i="89" s="1"/>
  <c r="L12" i="89"/>
  <c r="L19" i="89" s="1"/>
  <c r="G14" i="123" s="1"/>
  <c r="K12" i="89"/>
  <c r="J12" i="89"/>
  <c r="J19" i="89" s="1"/>
  <c r="H12" i="89"/>
  <c r="F12" i="89"/>
  <c r="G12" i="89" s="1"/>
  <c r="L11" i="89"/>
  <c r="L18" i="89" s="1"/>
  <c r="K11" i="89"/>
  <c r="K18" i="89" s="1"/>
  <c r="J11" i="89"/>
  <c r="J18" i="89" s="1"/>
  <c r="H11" i="89"/>
  <c r="L6" i="89" s="1"/>
  <c r="F11" i="89"/>
  <c r="G11" i="89" s="1"/>
  <c r="K6" i="89" s="1"/>
  <c r="L10" i="89"/>
  <c r="K10" i="89"/>
  <c r="J10" i="89"/>
  <c r="H10" i="89"/>
  <c r="F10" i="89"/>
  <c r="G10" i="89" s="1"/>
  <c r="L9" i="89"/>
  <c r="J9" i="89"/>
  <c r="H9" i="89"/>
  <c r="F9" i="89"/>
  <c r="G9" i="89" s="1"/>
  <c r="L8" i="89"/>
  <c r="L21" i="89" s="1"/>
  <c r="K8" i="89"/>
  <c r="J8" i="89"/>
  <c r="H8" i="89"/>
  <c r="F8" i="89"/>
  <c r="G8" i="89" s="1"/>
  <c r="L7" i="89"/>
  <c r="J7" i="89"/>
  <c r="H7" i="89"/>
  <c r="L4" i="89" s="1"/>
  <c r="G7" i="89"/>
  <c r="F7" i="89"/>
  <c r="J4" i="89" s="1"/>
  <c r="H6" i="89"/>
  <c r="F6" i="89"/>
  <c r="G6" i="89" s="1"/>
  <c r="L5" i="89"/>
  <c r="J5" i="89"/>
  <c r="H5" i="89"/>
  <c r="F5" i="89"/>
  <c r="G5" i="89" s="1"/>
  <c r="H4" i="89"/>
  <c r="G4" i="89"/>
  <c r="F4" i="89"/>
  <c r="L3" i="89"/>
  <c r="L16" i="89" s="1"/>
  <c r="E14" i="123" s="1"/>
  <c r="K3" i="89"/>
  <c r="K16" i="89" s="1"/>
  <c r="B14" i="123" s="1"/>
  <c r="J3" i="89"/>
  <c r="J16" i="89" s="1"/>
  <c r="H3" i="89"/>
  <c r="F3" i="89"/>
  <c r="G3" i="89" s="1"/>
  <c r="H42" i="88"/>
  <c r="F42" i="88"/>
  <c r="G42" i="88" s="1"/>
  <c r="A42" i="88"/>
  <c r="H41" i="88"/>
  <c r="F41" i="88"/>
  <c r="G41" i="88" s="1"/>
  <c r="A41" i="88"/>
  <c r="H40" i="88"/>
  <c r="F40" i="88"/>
  <c r="G40" i="88" s="1"/>
  <c r="A40" i="88"/>
  <c r="H39" i="88"/>
  <c r="F39" i="88"/>
  <c r="G39" i="88" s="1"/>
  <c r="A39" i="88"/>
  <c r="H38" i="88"/>
  <c r="F38" i="88"/>
  <c r="G38" i="88" s="1"/>
  <c r="A38" i="88"/>
  <c r="H37" i="88"/>
  <c r="G37" i="88" s="1"/>
  <c r="F37" i="88"/>
  <c r="A37" i="88"/>
  <c r="H36" i="88"/>
  <c r="G36" i="88"/>
  <c r="F36" i="88"/>
  <c r="A36" i="88"/>
  <c r="H35" i="88"/>
  <c r="G35" i="88" s="1"/>
  <c r="F35" i="88"/>
  <c r="A35" i="88"/>
  <c r="H34" i="88"/>
  <c r="F34" i="88"/>
  <c r="G34" i="88" s="1"/>
  <c r="A34" i="88"/>
  <c r="H33" i="88"/>
  <c r="F33" i="88"/>
  <c r="G33" i="88" s="1"/>
  <c r="A33" i="88"/>
  <c r="H32" i="88"/>
  <c r="F32" i="88"/>
  <c r="G32" i="88" s="1"/>
  <c r="A32" i="88"/>
  <c r="H31" i="88"/>
  <c r="F31" i="88"/>
  <c r="G31" i="88" s="1"/>
  <c r="H30" i="88"/>
  <c r="F30" i="88"/>
  <c r="G30" i="88" s="1"/>
  <c r="H29" i="88"/>
  <c r="F29" i="88"/>
  <c r="G29" i="88" s="1"/>
  <c r="H28" i="88"/>
  <c r="F28" i="88"/>
  <c r="G28" i="88" s="1"/>
  <c r="H27" i="88"/>
  <c r="G27" i="88"/>
  <c r="F27" i="88"/>
  <c r="H26" i="88"/>
  <c r="G26" i="88"/>
  <c r="F26" i="88"/>
  <c r="H25" i="88"/>
  <c r="F25" i="88"/>
  <c r="G25" i="88" s="1"/>
  <c r="H24" i="88"/>
  <c r="F24" i="88"/>
  <c r="G24" i="88" s="1"/>
  <c r="H23" i="88"/>
  <c r="L7" i="88" s="1"/>
  <c r="F23" i="88"/>
  <c r="G23" i="88" s="1"/>
  <c r="K7" i="88" s="1"/>
  <c r="H22" i="88"/>
  <c r="G22" i="88"/>
  <c r="F22" i="88"/>
  <c r="H21" i="88"/>
  <c r="F21" i="88"/>
  <c r="G21" i="88" s="1"/>
  <c r="H20" i="88"/>
  <c r="G20" i="88"/>
  <c r="F20" i="88"/>
  <c r="H19" i="88"/>
  <c r="F19" i="88"/>
  <c r="G19" i="88" s="1"/>
  <c r="J18" i="88"/>
  <c r="H18" i="88"/>
  <c r="F18" i="88"/>
  <c r="G18" i="88" s="1"/>
  <c r="H17" i="88"/>
  <c r="F17" i="88"/>
  <c r="G17" i="88" s="1"/>
  <c r="L16" i="88"/>
  <c r="E13" i="123" s="1"/>
  <c r="K16" i="88"/>
  <c r="B13" i="123" s="1"/>
  <c r="H16" i="88"/>
  <c r="F16" i="88"/>
  <c r="G16" i="88" s="1"/>
  <c r="H15" i="88"/>
  <c r="F15" i="88"/>
  <c r="G15" i="88" s="1"/>
  <c r="H14" i="88"/>
  <c r="F14" i="88"/>
  <c r="G14" i="88" s="1"/>
  <c r="H13" i="88"/>
  <c r="F13" i="88"/>
  <c r="G13" i="88" s="1"/>
  <c r="L12" i="88"/>
  <c r="L19" i="88" s="1"/>
  <c r="G13" i="123" s="1"/>
  <c r="K12" i="88"/>
  <c r="K19" i="88" s="1"/>
  <c r="D13" i="123" s="1"/>
  <c r="J12" i="88"/>
  <c r="J19" i="88" s="1"/>
  <c r="H12" i="88"/>
  <c r="G12" i="88"/>
  <c r="F12" i="88"/>
  <c r="L11" i="88"/>
  <c r="L18" i="88" s="1"/>
  <c r="K11" i="88"/>
  <c r="K18" i="88" s="1"/>
  <c r="J11" i="88"/>
  <c r="H11" i="88"/>
  <c r="F11" i="88"/>
  <c r="G11" i="88" s="1"/>
  <c r="L10" i="88"/>
  <c r="K10" i="88"/>
  <c r="J10" i="88"/>
  <c r="H10" i="88"/>
  <c r="F10" i="88"/>
  <c r="G10" i="88" s="1"/>
  <c r="H9" i="88"/>
  <c r="F9" i="88"/>
  <c r="G9" i="88" s="1"/>
  <c r="L8" i="88"/>
  <c r="K8" i="88"/>
  <c r="K21" i="88" s="1"/>
  <c r="J8" i="88"/>
  <c r="H8" i="88"/>
  <c r="L9" i="88" s="1"/>
  <c r="F8" i="88"/>
  <c r="G8" i="88" s="1"/>
  <c r="K9" i="88" s="1"/>
  <c r="H7" i="88"/>
  <c r="F7" i="88"/>
  <c r="G7" i="88" s="1"/>
  <c r="L6" i="88"/>
  <c r="K6" i="88"/>
  <c r="J6" i="88"/>
  <c r="H6" i="88"/>
  <c r="G6" i="88" s="1"/>
  <c r="F6" i="88"/>
  <c r="H5" i="88"/>
  <c r="F5" i="88"/>
  <c r="G5" i="88" s="1"/>
  <c r="H4" i="88"/>
  <c r="L5" i="88" s="1"/>
  <c r="F4" i="88"/>
  <c r="J5" i="88" s="1"/>
  <c r="L3" i="88"/>
  <c r="K3" i="88"/>
  <c r="J3" i="88"/>
  <c r="J16" i="88" s="1"/>
  <c r="H3" i="88"/>
  <c r="L4" i="88" s="1"/>
  <c r="F3" i="88"/>
  <c r="J4" i="88" s="1"/>
  <c r="H42" i="87"/>
  <c r="F42" i="87"/>
  <c r="G42" i="87" s="1"/>
  <c r="A42" i="87"/>
  <c r="H41" i="87"/>
  <c r="G41" i="87"/>
  <c r="F41" i="87"/>
  <c r="A41" i="87"/>
  <c r="H40" i="87"/>
  <c r="F40" i="87"/>
  <c r="G40" i="87" s="1"/>
  <c r="A40" i="87"/>
  <c r="H39" i="87"/>
  <c r="G39" i="87"/>
  <c r="F39" i="87"/>
  <c r="A39" i="87"/>
  <c r="H38" i="87"/>
  <c r="F38" i="87"/>
  <c r="G38" i="87" s="1"/>
  <c r="A38" i="87"/>
  <c r="H37" i="87"/>
  <c r="F37" i="87"/>
  <c r="G37" i="87" s="1"/>
  <c r="A37" i="87"/>
  <c r="H36" i="87"/>
  <c r="G36" i="87"/>
  <c r="F36" i="87"/>
  <c r="A36" i="87"/>
  <c r="H35" i="87"/>
  <c r="F35" i="87"/>
  <c r="G35" i="87" s="1"/>
  <c r="A35" i="87"/>
  <c r="H34" i="87"/>
  <c r="F34" i="87"/>
  <c r="G34" i="87" s="1"/>
  <c r="A34" i="87"/>
  <c r="H33" i="87"/>
  <c r="G33" i="87"/>
  <c r="F33" i="87"/>
  <c r="A33" i="87"/>
  <c r="H32" i="87"/>
  <c r="F32" i="87"/>
  <c r="G32" i="87" s="1"/>
  <c r="A32" i="87"/>
  <c r="H31" i="87"/>
  <c r="G31" i="87"/>
  <c r="F31" i="87"/>
  <c r="A31" i="87"/>
  <c r="H30" i="87"/>
  <c r="F30" i="87"/>
  <c r="G30" i="87" s="1"/>
  <c r="A30" i="87"/>
  <c r="H29" i="87"/>
  <c r="F29" i="87"/>
  <c r="G29" i="87" s="1"/>
  <c r="H28" i="87"/>
  <c r="F28" i="87"/>
  <c r="G28" i="87" s="1"/>
  <c r="H27" i="87"/>
  <c r="F27" i="87"/>
  <c r="G27" i="87" s="1"/>
  <c r="H26" i="87"/>
  <c r="F26" i="87"/>
  <c r="G26" i="87" s="1"/>
  <c r="H25" i="87"/>
  <c r="F25" i="87"/>
  <c r="G25" i="87" s="1"/>
  <c r="H24" i="87"/>
  <c r="L5" i="87" s="1"/>
  <c r="F24" i="87"/>
  <c r="G24" i="87" s="1"/>
  <c r="H23" i="87"/>
  <c r="F23" i="87"/>
  <c r="G23" i="87" s="1"/>
  <c r="H22" i="87"/>
  <c r="G22" i="87"/>
  <c r="F22" i="87"/>
  <c r="H21" i="87"/>
  <c r="G21" i="87"/>
  <c r="F21" i="87"/>
  <c r="H20" i="87"/>
  <c r="F20" i="87"/>
  <c r="G20" i="87" s="1"/>
  <c r="K6" i="87" s="1"/>
  <c r="H19" i="87"/>
  <c r="F19" i="87"/>
  <c r="G19" i="87" s="1"/>
  <c r="L18" i="87"/>
  <c r="G12" i="123" s="1"/>
  <c r="H18" i="87"/>
  <c r="F18" i="87"/>
  <c r="G18" i="87" s="1"/>
  <c r="L17" i="87"/>
  <c r="K17" i="87"/>
  <c r="J17" i="87"/>
  <c r="H17" i="87"/>
  <c r="L9" i="87" s="1"/>
  <c r="G17" i="87"/>
  <c r="F17" i="87"/>
  <c r="H16" i="87"/>
  <c r="F16" i="87"/>
  <c r="G16" i="87" s="1"/>
  <c r="H15" i="87"/>
  <c r="F15" i="87"/>
  <c r="J9" i="87" s="1"/>
  <c r="H14" i="87"/>
  <c r="F14" i="87"/>
  <c r="G14" i="87" s="1"/>
  <c r="H13" i="87"/>
  <c r="F13" i="87"/>
  <c r="G13" i="87" s="1"/>
  <c r="L12" i="87"/>
  <c r="K12" i="87"/>
  <c r="K18" i="87" s="1"/>
  <c r="D12" i="123" s="1"/>
  <c r="J12" i="87"/>
  <c r="J18" i="87" s="1"/>
  <c r="H12" i="87"/>
  <c r="F12" i="87"/>
  <c r="G12" i="87" s="1"/>
  <c r="L11" i="87"/>
  <c r="K11" i="87"/>
  <c r="J11" i="87"/>
  <c r="H11" i="87"/>
  <c r="F11" i="87"/>
  <c r="G11" i="87" s="1"/>
  <c r="L10" i="87"/>
  <c r="H10" i="87"/>
  <c r="F10" i="87"/>
  <c r="G10" i="87" s="1"/>
  <c r="H9" i="87"/>
  <c r="G9" i="87"/>
  <c r="F9" i="87"/>
  <c r="L8" i="87"/>
  <c r="K8" i="87"/>
  <c r="J8" i="87"/>
  <c r="H8" i="87"/>
  <c r="L4" i="87" s="1"/>
  <c r="F8" i="87"/>
  <c r="J4" i="87" s="1"/>
  <c r="L7" i="87"/>
  <c r="K7" i="87"/>
  <c r="J7" i="87"/>
  <c r="H7" i="87"/>
  <c r="G7" i="87"/>
  <c r="F7" i="87"/>
  <c r="L6" i="87"/>
  <c r="J6" i="87"/>
  <c r="H6" i="87"/>
  <c r="F6" i="87"/>
  <c r="J10" i="87" s="1"/>
  <c r="J5" i="87"/>
  <c r="H5" i="87"/>
  <c r="G5" i="87"/>
  <c r="F5" i="87"/>
  <c r="H4" i="87"/>
  <c r="G4" i="87" s="1"/>
  <c r="F4" i="87"/>
  <c r="L3" i="87"/>
  <c r="L15" i="87" s="1"/>
  <c r="E12" i="123" s="1"/>
  <c r="K3" i="87"/>
  <c r="K15" i="87" s="1"/>
  <c r="B12" i="123" s="1"/>
  <c r="J3" i="87"/>
  <c r="J15" i="87" s="1"/>
  <c r="H3" i="87"/>
  <c r="F3" i="87"/>
  <c r="G3" i="87" s="1"/>
  <c r="H42" i="86"/>
  <c r="F42" i="86"/>
  <c r="G42" i="86" s="1"/>
  <c r="A42" i="86"/>
  <c r="H41" i="86"/>
  <c r="F41" i="86"/>
  <c r="G41" i="86" s="1"/>
  <c r="A41" i="86"/>
  <c r="H40" i="86"/>
  <c r="F40" i="86"/>
  <c r="G40" i="86" s="1"/>
  <c r="A40" i="86"/>
  <c r="H39" i="86"/>
  <c r="F39" i="86"/>
  <c r="G39" i="86" s="1"/>
  <c r="A39" i="86"/>
  <c r="H38" i="86"/>
  <c r="F38" i="86"/>
  <c r="G38" i="86" s="1"/>
  <c r="A38" i="86"/>
  <c r="H37" i="86"/>
  <c r="F37" i="86"/>
  <c r="G37" i="86" s="1"/>
  <c r="A37" i="86"/>
  <c r="H36" i="86"/>
  <c r="F36" i="86"/>
  <c r="G36" i="86" s="1"/>
  <c r="A36" i="86"/>
  <c r="H35" i="86"/>
  <c r="F35" i="86"/>
  <c r="G35" i="86" s="1"/>
  <c r="A35" i="86"/>
  <c r="H34" i="86"/>
  <c r="F34" i="86"/>
  <c r="G34" i="86" s="1"/>
  <c r="A34" i="86"/>
  <c r="H33" i="86"/>
  <c r="F33" i="86"/>
  <c r="G33" i="86" s="1"/>
  <c r="A33" i="86"/>
  <c r="H32" i="86"/>
  <c r="F32" i="86"/>
  <c r="G32" i="86" s="1"/>
  <c r="A32" i="86"/>
  <c r="H31" i="86"/>
  <c r="F31" i="86"/>
  <c r="G31" i="86" s="1"/>
  <c r="H30" i="86"/>
  <c r="F30" i="86"/>
  <c r="G30" i="86" s="1"/>
  <c r="H29" i="86"/>
  <c r="F29" i="86"/>
  <c r="G29" i="86" s="1"/>
  <c r="H28" i="86"/>
  <c r="G28" i="86"/>
  <c r="F28" i="86"/>
  <c r="H27" i="86"/>
  <c r="F27" i="86"/>
  <c r="G27" i="86" s="1"/>
  <c r="H26" i="86"/>
  <c r="G26" i="86"/>
  <c r="F26" i="86"/>
  <c r="H25" i="86"/>
  <c r="F25" i="86"/>
  <c r="G25" i="86" s="1"/>
  <c r="H24" i="86"/>
  <c r="L5" i="86" s="1"/>
  <c r="F24" i="86"/>
  <c r="J5" i="86" s="1"/>
  <c r="H23" i="86"/>
  <c r="F23" i="86"/>
  <c r="G23" i="86" s="1"/>
  <c r="K4" i="86" s="1"/>
  <c r="H22" i="86"/>
  <c r="F22" i="86"/>
  <c r="G22" i="86" s="1"/>
  <c r="L21" i="86"/>
  <c r="H21" i="86"/>
  <c r="F21" i="86"/>
  <c r="G21" i="86" s="1"/>
  <c r="H20" i="86"/>
  <c r="F20" i="86"/>
  <c r="G20" i="86" s="1"/>
  <c r="L19" i="86"/>
  <c r="G11" i="123" s="1"/>
  <c r="H19" i="86"/>
  <c r="G19" i="86" s="1"/>
  <c r="F19" i="86"/>
  <c r="H18" i="86"/>
  <c r="F18" i="86"/>
  <c r="G18" i="86" s="1"/>
  <c r="H17" i="86"/>
  <c r="F17" i="86"/>
  <c r="G17" i="86" s="1"/>
  <c r="H16" i="86"/>
  <c r="G16" i="86"/>
  <c r="F16" i="86"/>
  <c r="H15" i="86"/>
  <c r="F15" i="86"/>
  <c r="G15" i="86" s="1"/>
  <c r="H14" i="86"/>
  <c r="F14" i="86"/>
  <c r="G14" i="86" s="1"/>
  <c r="H13" i="86"/>
  <c r="F13" i="86"/>
  <c r="G13" i="86" s="1"/>
  <c r="L12" i="86"/>
  <c r="K12" i="86"/>
  <c r="K19" i="86" s="1"/>
  <c r="D11" i="123" s="1"/>
  <c r="J12" i="86"/>
  <c r="J19" i="86" s="1"/>
  <c r="H12" i="86"/>
  <c r="F12" i="86"/>
  <c r="G12" i="86" s="1"/>
  <c r="L11" i="86"/>
  <c r="L18" i="86" s="1"/>
  <c r="K11" i="86"/>
  <c r="K18" i="86" s="1"/>
  <c r="J11" i="86"/>
  <c r="J18" i="86" s="1"/>
  <c r="H11" i="86"/>
  <c r="F11" i="86"/>
  <c r="G11" i="86" s="1"/>
  <c r="L10" i="86"/>
  <c r="K10" i="86"/>
  <c r="J10" i="86"/>
  <c r="H10" i="86"/>
  <c r="F10" i="86"/>
  <c r="G10" i="86" s="1"/>
  <c r="L9" i="86"/>
  <c r="K9" i="86"/>
  <c r="J9" i="86"/>
  <c r="H9" i="86"/>
  <c r="F9" i="86"/>
  <c r="G9" i="86" s="1"/>
  <c r="L8" i="86"/>
  <c r="K8" i="86"/>
  <c r="K21" i="86" s="1"/>
  <c r="J8" i="86"/>
  <c r="J21" i="86" s="1"/>
  <c r="I11" i="123" s="1"/>
  <c r="H8" i="86"/>
  <c r="F8" i="86"/>
  <c r="G8" i="86" s="1"/>
  <c r="L7" i="86"/>
  <c r="K7" i="86"/>
  <c r="J7" i="86"/>
  <c r="H7" i="86"/>
  <c r="G7" i="86"/>
  <c r="F7" i="86"/>
  <c r="L6" i="86"/>
  <c r="K6" i="86"/>
  <c r="J6" i="86"/>
  <c r="H6" i="86"/>
  <c r="F6" i="86"/>
  <c r="G6" i="86" s="1"/>
  <c r="H5" i="86"/>
  <c r="F5" i="86"/>
  <c r="G5" i="86" s="1"/>
  <c r="L4" i="86"/>
  <c r="L17" i="86" s="1"/>
  <c r="F11" i="123" s="1"/>
  <c r="H4" i="86"/>
  <c r="F4" i="86"/>
  <c r="G4" i="86" s="1"/>
  <c r="H3" i="86"/>
  <c r="L3" i="86" s="1"/>
  <c r="L16" i="86" s="1"/>
  <c r="E11" i="123" s="1"/>
  <c r="F3" i="86"/>
  <c r="J3" i="86" s="1"/>
  <c r="J16" i="86" s="1"/>
  <c r="H42" i="85"/>
  <c r="F42" i="85"/>
  <c r="G42" i="85" s="1"/>
  <c r="A42" i="85"/>
  <c r="H41" i="85"/>
  <c r="G41" i="85"/>
  <c r="F41" i="85"/>
  <c r="A41" i="85"/>
  <c r="H40" i="85"/>
  <c r="G40" i="85"/>
  <c r="F40" i="85"/>
  <c r="A40" i="85"/>
  <c r="H39" i="85"/>
  <c r="G39" i="85" s="1"/>
  <c r="F39" i="85"/>
  <c r="A39" i="85"/>
  <c r="H38" i="85"/>
  <c r="G38" i="85" s="1"/>
  <c r="F38" i="85"/>
  <c r="A38" i="85"/>
  <c r="H37" i="85"/>
  <c r="F37" i="85"/>
  <c r="G37" i="85" s="1"/>
  <c r="A37" i="85"/>
  <c r="H36" i="85"/>
  <c r="F36" i="85"/>
  <c r="G36" i="85" s="1"/>
  <c r="A36" i="85"/>
  <c r="H35" i="85"/>
  <c r="F35" i="85"/>
  <c r="G35" i="85" s="1"/>
  <c r="A35" i="85"/>
  <c r="H34" i="85"/>
  <c r="F34" i="85"/>
  <c r="G34" i="85" s="1"/>
  <c r="A34" i="85"/>
  <c r="H33" i="85"/>
  <c r="G33" i="85"/>
  <c r="F33" i="85"/>
  <c r="A33" i="85"/>
  <c r="H32" i="85"/>
  <c r="G32" i="85"/>
  <c r="F32" i="85"/>
  <c r="A32" i="85"/>
  <c r="H31" i="85"/>
  <c r="G31" i="85" s="1"/>
  <c r="F31" i="85"/>
  <c r="A31" i="85"/>
  <c r="H30" i="85"/>
  <c r="G30" i="85" s="1"/>
  <c r="F30" i="85"/>
  <c r="H29" i="85"/>
  <c r="F29" i="85"/>
  <c r="G29" i="85" s="1"/>
  <c r="H28" i="85"/>
  <c r="F28" i="85"/>
  <c r="G28" i="85" s="1"/>
  <c r="H27" i="85"/>
  <c r="F27" i="85"/>
  <c r="G27" i="85" s="1"/>
  <c r="H26" i="85"/>
  <c r="F26" i="85"/>
  <c r="G26" i="85" s="1"/>
  <c r="H25" i="85"/>
  <c r="F25" i="85"/>
  <c r="G25" i="85" s="1"/>
  <c r="H24" i="85"/>
  <c r="F24" i="85"/>
  <c r="G24" i="85" s="1"/>
  <c r="H23" i="85"/>
  <c r="F23" i="85"/>
  <c r="G23" i="85" s="1"/>
  <c r="H22" i="85"/>
  <c r="G22" i="85"/>
  <c r="F22" i="85"/>
  <c r="K21" i="85"/>
  <c r="H21" i="85"/>
  <c r="G21" i="85"/>
  <c r="F21" i="85"/>
  <c r="H20" i="85"/>
  <c r="F20" i="85"/>
  <c r="G20" i="85" s="1"/>
  <c r="H19" i="85"/>
  <c r="F19" i="85"/>
  <c r="G19" i="85" s="1"/>
  <c r="L18" i="85"/>
  <c r="H18" i="85"/>
  <c r="F18" i="85"/>
  <c r="G18" i="85" s="1"/>
  <c r="H17" i="85"/>
  <c r="G17" i="85"/>
  <c r="F17" i="85"/>
  <c r="H16" i="85"/>
  <c r="F16" i="85"/>
  <c r="G16" i="85" s="1"/>
  <c r="H15" i="85"/>
  <c r="F15" i="85"/>
  <c r="G15" i="85" s="1"/>
  <c r="H14" i="85"/>
  <c r="G14" i="85" s="1"/>
  <c r="F14" i="85"/>
  <c r="H13" i="85"/>
  <c r="F13" i="85"/>
  <c r="G13" i="85" s="1"/>
  <c r="L12" i="85"/>
  <c r="L19" i="85" s="1"/>
  <c r="G10" i="123" s="1"/>
  <c r="K12" i="85"/>
  <c r="K19" i="85" s="1"/>
  <c r="D10" i="123" s="1"/>
  <c r="J12" i="85"/>
  <c r="J19" i="85" s="1"/>
  <c r="H12" i="85"/>
  <c r="F12" i="85"/>
  <c r="G12" i="85" s="1"/>
  <c r="L11" i="85"/>
  <c r="K11" i="85"/>
  <c r="K18" i="85" s="1"/>
  <c r="J11" i="85"/>
  <c r="J18" i="85" s="1"/>
  <c r="H11" i="85"/>
  <c r="L7" i="85" s="1"/>
  <c r="F11" i="85"/>
  <c r="J7" i="85" s="1"/>
  <c r="L10" i="85"/>
  <c r="K10" i="85"/>
  <c r="J10" i="85"/>
  <c r="H10" i="85"/>
  <c r="F10" i="85"/>
  <c r="G10" i="85" s="1"/>
  <c r="L9" i="85"/>
  <c r="L21" i="85" s="1"/>
  <c r="K9" i="85"/>
  <c r="J9" i="85"/>
  <c r="H9" i="85"/>
  <c r="G9" i="85"/>
  <c r="F9" i="85"/>
  <c r="L8" i="85"/>
  <c r="K8" i="85"/>
  <c r="J8" i="85"/>
  <c r="J21" i="85" s="1"/>
  <c r="I10" i="123" s="1"/>
  <c r="H8" i="85"/>
  <c r="F8" i="85"/>
  <c r="G8" i="85" s="1"/>
  <c r="H7" i="85"/>
  <c r="F7" i="85"/>
  <c r="G7" i="85" s="1"/>
  <c r="K6" i="85" s="1"/>
  <c r="L6" i="85"/>
  <c r="H6" i="85"/>
  <c r="L4" i="85" s="1"/>
  <c r="F6" i="85"/>
  <c r="J4" i="85" s="1"/>
  <c r="H5" i="85"/>
  <c r="L5" i="85" s="1"/>
  <c r="F5" i="85"/>
  <c r="J5" i="85" s="1"/>
  <c r="H4" i="85"/>
  <c r="F4" i="85"/>
  <c r="G4" i="85" s="1"/>
  <c r="L3" i="85"/>
  <c r="L16" i="85" s="1"/>
  <c r="E10" i="123" s="1"/>
  <c r="K3" i="85"/>
  <c r="K16" i="85" s="1"/>
  <c r="B10" i="123" s="1"/>
  <c r="J3" i="85"/>
  <c r="J16" i="85" s="1"/>
  <c r="H3" i="85"/>
  <c r="G3" i="85"/>
  <c r="F3" i="85"/>
  <c r="H42" i="83"/>
  <c r="F42" i="83"/>
  <c r="G42" i="83" s="1"/>
  <c r="A42" i="83"/>
  <c r="H41" i="83"/>
  <c r="F41" i="83"/>
  <c r="G41" i="83" s="1"/>
  <c r="A41" i="83"/>
  <c r="H40" i="83"/>
  <c r="G40" i="83"/>
  <c r="F40" i="83"/>
  <c r="A40" i="83"/>
  <c r="H39" i="83"/>
  <c r="F39" i="83"/>
  <c r="G39" i="83" s="1"/>
  <c r="A39" i="83"/>
  <c r="H38" i="83"/>
  <c r="F38" i="83"/>
  <c r="G38" i="83" s="1"/>
  <c r="A38" i="83"/>
  <c r="H37" i="83"/>
  <c r="G37" i="83"/>
  <c r="F37" i="83"/>
  <c r="A37" i="83"/>
  <c r="H36" i="83"/>
  <c r="F36" i="83"/>
  <c r="G36" i="83" s="1"/>
  <c r="A36" i="83"/>
  <c r="H35" i="83"/>
  <c r="G35" i="83" s="1"/>
  <c r="F35" i="83"/>
  <c r="A35" i="83"/>
  <c r="H34" i="83"/>
  <c r="F34" i="83"/>
  <c r="G34" i="83" s="1"/>
  <c r="A34" i="83"/>
  <c r="H33" i="83"/>
  <c r="F33" i="83"/>
  <c r="G33" i="83" s="1"/>
  <c r="A33" i="83"/>
  <c r="H32" i="83"/>
  <c r="G32" i="83"/>
  <c r="F32" i="83"/>
  <c r="A32" i="83"/>
  <c r="H31" i="83"/>
  <c r="F31" i="83"/>
  <c r="G31" i="83" s="1"/>
  <c r="A31" i="83"/>
  <c r="H30" i="83"/>
  <c r="F30" i="83"/>
  <c r="G30" i="83" s="1"/>
  <c r="A30" i="83"/>
  <c r="H29" i="83"/>
  <c r="G29" i="83"/>
  <c r="F29" i="83"/>
  <c r="A29" i="83"/>
  <c r="H28" i="83"/>
  <c r="F28" i="83"/>
  <c r="G28" i="83" s="1"/>
  <c r="A28" i="83"/>
  <c r="H27" i="83"/>
  <c r="G27" i="83" s="1"/>
  <c r="F27" i="83"/>
  <c r="A27" i="83"/>
  <c r="H26" i="83"/>
  <c r="F26" i="83"/>
  <c r="G26" i="83" s="1"/>
  <c r="H25" i="83"/>
  <c r="F25" i="83"/>
  <c r="G25" i="83" s="1"/>
  <c r="H24" i="83"/>
  <c r="F24" i="83"/>
  <c r="G24" i="83" s="1"/>
  <c r="H23" i="83"/>
  <c r="L7" i="83" s="1"/>
  <c r="F23" i="83"/>
  <c r="J7" i="83" s="1"/>
  <c r="H22" i="83"/>
  <c r="F22" i="83"/>
  <c r="G22" i="83" s="1"/>
  <c r="H21" i="83"/>
  <c r="F21" i="83"/>
  <c r="G21" i="83" s="1"/>
  <c r="H20" i="83"/>
  <c r="F20" i="83"/>
  <c r="G20" i="83" s="1"/>
  <c r="H19" i="83"/>
  <c r="G19" i="83" s="1"/>
  <c r="F19" i="83"/>
  <c r="K18" i="83"/>
  <c r="H18" i="83"/>
  <c r="F18" i="83"/>
  <c r="G18" i="83" s="1"/>
  <c r="H17" i="83"/>
  <c r="L9" i="83" s="1"/>
  <c r="G17" i="83"/>
  <c r="F17" i="83"/>
  <c r="H16" i="83"/>
  <c r="F16" i="83"/>
  <c r="G16" i="83" s="1"/>
  <c r="H15" i="83"/>
  <c r="F15" i="83"/>
  <c r="G15" i="83" s="1"/>
  <c r="H14" i="83"/>
  <c r="G14" i="83"/>
  <c r="F14" i="83"/>
  <c r="H13" i="83"/>
  <c r="G13" i="83"/>
  <c r="F13" i="83"/>
  <c r="L12" i="83"/>
  <c r="L19" i="83" s="1"/>
  <c r="G9" i="123" s="1"/>
  <c r="K12" i="83"/>
  <c r="K19" i="83" s="1"/>
  <c r="D9" i="123" s="1"/>
  <c r="J12" i="83"/>
  <c r="J19" i="83" s="1"/>
  <c r="H12" i="83"/>
  <c r="F12" i="83"/>
  <c r="G12" i="83" s="1"/>
  <c r="L11" i="83"/>
  <c r="L18" i="83" s="1"/>
  <c r="K11" i="83"/>
  <c r="J11" i="83"/>
  <c r="J18" i="83" s="1"/>
  <c r="H11" i="83"/>
  <c r="F11" i="83"/>
  <c r="G11" i="83" s="1"/>
  <c r="L10" i="83"/>
  <c r="K10" i="83"/>
  <c r="J10" i="83"/>
  <c r="H10" i="83"/>
  <c r="F10" i="83"/>
  <c r="G10" i="83" s="1"/>
  <c r="K9" i="83"/>
  <c r="J9" i="83"/>
  <c r="H9" i="83"/>
  <c r="F9" i="83"/>
  <c r="G9" i="83" s="1"/>
  <c r="L8" i="83"/>
  <c r="K8" i="83"/>
  <c r="K21" i="83" s="1"/>
  <c r="J8" i="83"/>
  <c r="J21" i="83" s="1"/>
  <c r="I9" i="123" s="1"/>
  <c r="H8" i="83"/>
  <c r="F8" i="83"/>
  <c r="G8" i="83" s="1"/>
  <c r="H7" i="83"/>
  <c r="G7" i="83" s="1"/>
  <c r="F7" i="83"/>
  <c r="L6" i="83"/>
  <c r="K6" i="83"/>
  <c r="J6" i="83"/>
  <c r="H6" i="83"/>
  <c r="F6" i="83"/>
  <c r="G6" i="83" s="1"/>
  <c r="H5" i="83"/>
  <c r="F5" i="83"/>
  <c r="G5" i="83" s="1"/>
  <c r="H4" i="83"/>
  <c r="L5" i="83" s="1"/>
  <c r="F4" i="83"/>
  <c r="G4" i="83" s="1"/>
  <c r="L3" i="83"/>
  <c r="L16" i="83" s="1"/>
  <c r="E9" i="123" s="1"/>
  <c r="K3" i="83"/>
  <c r="K16" i="83" s="1"/>
  <c r="B9" i="123" s="1"/>
  <c r="J3" i="83"/>
  <c r="J16" i="83" s="1"/>
  <c r="H3" i="83"/>
  <c r="L4" i="83" s="1"/>
  <c r="F3" i="83"/>
  <c r="G3" i="83" s="1"/>
  <c r="H42" i="82"/>
  <c r="G42" i="82"/>
  <c r="F42" i="82"/>
  <c r="A42" i="82"/>
  <c r="H41" i="82"/>
  <c r="G41" i="82"/>
  <c r="F41" i="82"/>
  <c r="A41" i="82"/>
  <c r="H40" i="82"/>
  <c r="G40" i="82" s="1"/>
  <c r="F40" i="82"/>
  <c r="A40" i="82"/>
  <c r="H39" i="82"/>
  <c r="G39" i="82"/>
  <c r="F39" i="82"/>
  <c r="A39" i="82"/>
  <c r="H38" i="82"/>
  <c r="F38" i="82"/>
  <c r="G38" i="82" s="1"/>
  <c r="A38" i="82"/>
  <c r="H37" i="82"/>
  <c r="F37" i="82"/>
  <c r="G37" i="82" s="1"/>
  <c r="A37" i="82"/>
  <c r="H36" i="82"/>
  <c r="F36" i="82"/>
  <c r="G36" i="82" s="1"/>
  <c r="A36" i="82"/>
  <c r="H35" i="82"/>
  <c r="F35" i="82"/>
  <c r="G35" i="82" s="1"/>
  <c r="A35" i="82"/>
  <c r="H34" i="82"/>
  <c r="G34" i="82"/>
  <c r="F34" i="82"/>
  <c r="A34" i="82"/>
  <c r="H33" i="82"/>
  <c r="G33" i="82"/>
  <c r="F33" i="82"/>
  <c r="A33" i="82"/>
  <c r="H32" i="82"/>
  <c r="G32" i="82" s="1"/>
  <c r="F32" i="82"/>
  <c r="A32" i="82"/>
  <c r="H31" i="82"/>
  <c r="G31" i="82"/>
  <c r="F31" i="82"/>
  <c r="A31" i="82"/>
  <c r="H30" i="82"/>
  <c r="F30" i="82"/>
  <c r="G30" i="82" s="1"/>
  <c r="A30" i="82"/>
  <c r="H29" i="82"/>
  <c r="F29" i="82"/>
  <c r="G29" i="82" s="1"/>
  <c r="H28" i="82"/>
  <c r="F28" i="82"/>
  <c r="G28" i="82" s="1"/>
  <c r="H27" i="82"/>
  <c r="F27" i="82"/>
  <c r="G27" i="82" s="1"/>
  <c r="H26" i="82"/>
  <c r="F26" i="82"/>
  <c r="G26" i="82" s="1"/>
  <c r="H25" i="82"/>
  <c r="G25" i="82"/>
  <c r="F25" i="82"/>
  <c r="H24" i="82"/>
  <c r="F24" i="82"/>
  <c r="G24" i="82" s="1"/>
  <c r="H23" i="82"/>
  <c r="F23" i="82"/>
  <c r="G23" i="82" s="1"/>
  <c r="H22" i="82"/>
  <c r="F22" i="82"/>
  <c r="G22" i="82" s="1"/>
  <c r="H21" i="82"/>
  <c r="F21" i="82"/>
  <c r="G21" i="82" s="1"/>
  <c r="H20" i="82"/>
  <c r="F20" i="82"/>
  <c r="G20" i="82" s="1"/>
  <c r="K19" i="82"/>
  <c r="H19" i="82"/>
  <c r="L9" i="82" s="1"/>
  <c r="F19" i="82"/>
  <c r="J9" i="82" s="1"/>
  <c r="H18" i="82"/>
  <c r="F18" i="82"/>
  <c r="G18" i="82" s="1"/>
  <c r="H17" i="82"/>
  <c r="F17" i="82"/>
  <c r="G17" i="82" s="1"/>
  <c r="L16" i="82"/>
  <c r="H16" i="82"/>
  <c r="F16" i="82"/>
  <c r="G16" i="82" s="1"/>
  <c r="H15" i="82"/>
  <c r="F15" i="82"/>
  <c r="G15" i="82" s="1"/>
  <c r="K6" i="82" s="1"/>
  <c r="H14" i="82"/>
  <c r="F14" i="82"/>
  <c r="G14" i="82" s="1"/>
  <c r="H13" i="82"/>
  <c r="F13" i="82"/>
  <c r="G13" i="82" s="1"/>
  <c r="L12" i="82"/>
  <c r="L19" i="82" s="1"/>
  <c r="G8" i="123" s="1"/>
  <c r="K12" i="82"/>
  <c r="J12" i="82"/>
  <c r="J19" i="82" s="1"/>
  <c r="H12" i="82"/>
  <c r="F12" i="82"/>
  <c r="J7" i="82" s="1"/>
  <c r="L11" i="82"/>
  <c r="L18" i="82" s="1"/>
  <c r="K11" i="82"/>
  <c r="K18" i="82" s="1"/>
  <c r="J11" i="82"/>
  <c r="J18" i="82" s="1"/>
  <c r="H11" i="82"/>
  <c r="G11" i="82"/>
  <c r="F11" i="82"/>
  <c r="L10" i="82"/>
  <c r="K10" i="82"/>
  <c r="J10" i="82"/>
  <c r="H10" i="82"/>
  <c r="F10" i="82"/>
  <c r="G10" i="82" s="1"/>
  <c r="H9" i="82"/>
  <c r="G9" i="82"/>
  <c r="F9" i="82"/>
  <c r="L8" i="82"/>
  <c r="K8" i="82"/>
  <c r="J8" i="82"/>
  <c r="H8" i="82"/>
  <c r="F8" i="82"/>
  <c r="G8" i="82" s="1"/>
  <c r="L7" i="82"/>
  <c r="H7" i="82"/>
  <c r="F7" i="82"/>
  <c r="J5" i="82" s="1"/>
  <c r="L6" i="82"/>
  <c r="J6" i="82"/>
  <c r="H6" i="82"/>
  <c r="F6" i="82"/>
  <c r="G6" i="82" s="1"/>
  <c r="L5" i="82"/>
  <c r="H5" i="82"/>
  <c r="G5" i="82"/>
  <c r="F5" i="82"/>
  <c r="H4" i="82"/>
  <c r="G4" i="82"/>
  <c r="F4" i="82"/>
  <c r="L3" i="82"/>
  <c r="K3" i="82"/>
  <c r="K16" i="82" s="1"/>
  <c r="B8" i="123" s="1"/>
  <c r="J3" i="82"/>
  <c r="J16" i="82" s="1"/>
  <c r="H3" i="82"/>
  <c r="L4" i="82" s="1"/>
  <c r="L17" i="82" s="1"/>
  <c r="F8" i="123" s="1"/>
  <c r="F3" i="82"/>
  <c r="J4" i="82" s="1"/>
  <c r="J17" i="82" s="1"/>
  <c r="H42" i="79"/>
  <c r="F42" i="79"/>
  <c r="G42" i="79" s="1"/>
  <c r="A42" i="79"/>
  <c r="H41" i="79"/>
  <c r="F41" i="79"/>
  <c r="G41" i="79" s="1"/>
  <c r="A41" i="79"/>
  <c r="H40" i="79"/>
  <c r="F40" i="79"/>
  <c r="G40" i="79" s="1"/>
  <c r="A40" i="79"/>
  <c r="H39" i="79"/>
  <c r="F39" i="79"/>
  <c r="G39" i="79" s="1"/>
  <c r="A39" i="79"/>
  <c r="H38" i="79"/>
  <c r="F38" i="79"/>
  <c r="G38" i="79" s="1"/>
  <c r="A38" i="79"/>
  <c r="H37" i="79"/>
  <c r="F37" i="79"/>
  <c r="G37" i="79" s="1"/>
  <c r="A37" i="79"/>
  <c r="H36" i="79"/>
  <c r="F36" i="79"/>
  <c r="G36" i="79" s="1"/>
  <c r="A36" i="79"/>
  <c r="H35" i="79"/>
  <c r="F35" i="79"/>
  <c r="G35" i="79" s="1"/>
  <c r="A35" i="79"/>
  <c r="H34" i="79"/>
  <c r="F34" i="79"/>
  <c r="G34" i="79" s="1"/>
  <c r="A34" i="79"/>
  <c r="H33" i="79"/>
  <c r="F33" i="79"/>
  <c r="G33" i="79" s="1"/>
  <c r="A33" i="79"/>
  <c r="H32" i="79"/>
  <c r="F32" i="79"/>
  <c r="G32" i="79" s="1"/>
  <c r="A32" i="79"/>
  <c r="H31" i="79"/>
  <c r="F31" i="79"/>
  <c r="G31" i="79" s="1"/>
  <c r="A31" i="79"/>
  <c r="H30" i="79"/>
  <c r="F30" i="79"/>
  <c r="G30" i="79" s="1"/>
  <c r="A30" i="79"/>
  <c r="H29" i="79"/>
  <c r="F29" i="79"/>
  <c r="G29" i="79" s="1"/>
  <c r="A29" i="79"/>
  <c r="H28" i="79"/>
  <c r="F28" i="79"/>
  <c r="G28" i="79" s="1"/>
  <c r="A28" i="79"/>
  <c r="H27" i="79"/>
  <c r="F27" i="79"/>
  <c r="G27" i="79" s="1"/>
  <c r="A27" i="79"/>
  <c r="H26" i="79"/>
  <c r="F26" i="79"/>
  <c r="G26" i="79" s="1"/>
  <c r="A26" i="79"/>
  <c r="H25" i="79"/>
  <c r="F25" i="79"/>
  <c r="G25" i="79" s="1"/>
  <c r="A25" i="79"/>
  <c r="H24" i="79"/>
  <c r="F24" i="79"/>
  <c r="G24" i="79" s="1"/>
  <c r="A24" i="79"/>
  <c r="H23" i="79"/>
  <c r="F23" i="79"/>
  <c r="G23" i="79" s="1"/>
  <c r="A23" i="79"/>
  <c r="H22" i="79"/>
  <c r="F22" i="79"/>
  <c r="G22" i="79" s="1"/>
  <c r="A22" i="79"/>
  <c r="H21" i="79"/>
  <c r="G21" i="79"/>
  <c r="F21" i="79"/>
  <c r="A21" i="79"/>
  <c r="H20" i="79"/>
  <c r="F20" i="79"/>
  <c r="G20" i="79" s="1"/>
  <c r="H19" i="79"/>
  <c r="F19" i="79"/>
  <c r="G19" i="79" s="1"/>
  <c r="K18" i="79"/>
  <c r="H18" i="79"/>
  <c r="F18" i="79"/>
  <c r="J6" i="79" s="1"/>
  <c r="H17" i="79"/>
  <c r="F17" i="79"/>
  <c r="G17" i="79" s="1"/>
  <c r="H16" i="79"/>
  <c r="F16" i="79"/>
  <c r="G16" i="79" s="1"/>
  <c r="H15" i="79"/>
  <c r="G15" i="79"/>
  <c r="F15" i="79"/>
  <c r="H14" i="79"/>
  <c r="F14" i="79"/>
  <c r="G14" i="79" s="1"/>
  <c r="H13" i="79"/>
  <c r="F13" i="79"/>
  <c r="G13" i="79" s="1"/>
  <c r="L12" i="79"/>
  <c r="L19" i="79" s="1"/>
  <c r="G6" i="123" s="1"/>
  <c r="K12" i="79"/>
  <c r="K19" i="79" s="1"/>
  <c r="D6" i="123" s="1"/>
  <c r="J12" i="79"/>
  <c r="J19" i="79" s="1"/>
  <c r="H12" i="79"/>
  <c r="G12" i="79"/>
  <c r="F12" i="79"/>
  <c r="L11" i="79"/>
  <c r="L18" i="79" s="1"/>
  <c r="K11" i="79"/>
  <c r="J11" i="79"/>
  <c r="J18" i="79" s="1"/>
  <c r="H11" i="79"/>
  <c r="F11" i="79"/>
  <c r="G11" i="79" s="1"/>
  <c r="L10" i="79"/>
  <c r="K10" i="79"/>
  <c r="J10" i="79"/>
  <c r="H10" i="79"/>
  <c r="G10" i="79"/>
  <c r="F10" i="79"/>
  <c r="L9" i="79"/>
  <c r="K9" i="79"/>
  <c r="J9" i="79"/>
  <c r="H9" i="79"/>
  <c r="G9" i="79"/>
  <c r="F9" i="79"/>
  <c r="L8" i="79"/>
  <c r="L21" i="79" s="1"/>
  <c r="K8" i="79"/>
  <c r="K21" i="79" s="1"/>
  <c r="J8" i="79"/>
  <c r="J21" i="79" s="1"/>
  <c r="I6" i="123" s="1"/>
  <c r="H8" i="79"/>
  <c r="F8" i="79"/>
  <c r="G8" i="79" s="1"/>
  <c r="L7" i="79"/>
  <c r="K7" i="79"/>
  <c r="J7" i="79"/>
  <c r="H7" i="79"/>
  <c r="L5" i="79" s="1"/>
  <c r="G7" i="79"/>
  <c r="F7" i="79"/>
  <c r="L6" i="79"/>
  <c r="H6" i="79"/>
  <c r="F6" i="79"/>
  <c r="G6" i="79" s="1"/>
  <c r="H5" i="79"/>
  <c r="F5" i="79"/>
  <c r="J4" i="79" s="1"/>
  <c r="L4" i="79"/>
  <c r="H4" i="79"/>
  <c r="G4" i="79"/>
  <c r="F4" i="79"/>
  <c r="L3" i="79"/>
  <c r="L16" i="79" s="1"/>
  <c r="E6" i="123" s="1"/>
  <c r="K3" i="79"/>
  <c r="K16" i="79" s="1"/>
  <c r="B6" i="123" s="1"/>
  <c r="J3" i="79"/>
  <c r="J16" i="79" s="1"/>
  <c r="H3" i="79"/>
  <c r="G3" i="79"/>
  <c r="F3" i="79"/>
  <c r="H42" i="80"/>
  <c r="F42" i="80"/>
  <c r="G42" i="80" s="1"/>
  <c r="A42" i="80"/>
  <c r="H41" i="80"/>
  <c r="F41" i="80"/>
  <c r="G41" i="80" s="1"/>
  <c r="A41" i="80"/>
  <c r="H40" i="80"/>
  <c r="F40" i="80"/>
  <c r="G40" i="80" s="1"/>
  <c r="A40" i="80"/>
  <c r="H39" i="80"/>
  <c r="F39" i="80"/>
  <c r="G39" i="80" s="1"/>
  <c r="A39" i="80"/>
  <c r="H38" i="80"/>
  <c r="F38" i="80"/>
  <c r="G38" i="80" s="1"/>
  <c r="A38" i="80"/>
  <c r="H37" i="80"/>
  <c r="F37" i="80"/>
  <c r="G37" i="80" s="1"/>
  <c r="A37" i="80"/>
  <c r="H36" i="80"/>
  <c r="F36" i="80"/>
  <c r="G36" i="80" s="1"/>
  <c r="A36" i="80"/>
  <c r="H35" i="80"/>
  <c r="G35" i="80"/>
  <c r="F35" i="80"/>
  <c r="A35" i="80"/>
  <c r="H34" i="80"/>
  <c r="F34" i="80"/>
  <c r="G34" i="80" s="1"/>
  <c r="A34" i="80"/>
  <c r="H33" i="80"/>
  <c r="F33" i="80"/>
  <c r="G33" i="80" s="1"/>
  <c r="A33" i="80"/>
  <c r="H32" i="80"/>
  <c r="F32" i="80"/>
  <c r="G32" i="80" s="1"/>
  <c r="H31" i="80"/>
  <c r="G31" i="80"/>
  <c r="F31" i="80"/>
  <c r="H30" i="80"/>
  <c r="F30" i="80"/>
  <c r="G30" i="80" s="1"/>
  <c r="H29" i="80"/>
  <c r="L3" i="80" s="1"/>
  <c r="L16" i="80" s="1"/>
  <c r="E7" i="123" s="1"/>
  <c r="F29" i="80"/>
  <c r="G29" i="80" s="1"/>
  <c r="K3" i="80" s="1"/>
  <c r="K16" i="80" s="1"/>
  <c r="B7" i="123" s="1"/>
  <c r="H28" i="80"/>
  <c r="F28" i="80"/>
  <c r="G28" i="80" s="1"/>
  <c r="H27" i="80"/>
  <c r="G27" i="80"/>
  <c r="F27" i="80"/>
  <c r="H26" i="80"/>
  <c r="F26" i="80"/>
  <c r="G26" i="80" s="1"/>
  <c r="H25" i="80"/>
  <c r="G25" i="80" s="1"/>
  <c r="F25" i="80"/>
  <c r="H24" i="80"/>
  <c r="F24" i="80"/>
  <c r="G24" i="80" s="1"/>
  <c r="H23" i="80"/>
  <c r="F23" i="80"/>
  <c r="G23" i="80" s="1"/>
  <c r="H22" i="80"/>
  <c r="F22" i="80"/>
  <c r="G22" i="80" s="1"/>
  <c r="K21" i="80"/>
  <c r="J21" i="80"/>
  <c r="I7" i="123" s="1"/>
  <c r="H21" i="80"/>
  <c r="F21" i="80"/>
  <c r="G21" i="80" s="1"/>
  <c r="H20" i="80"/>
  <c r="F20" i="80"/>
  <c r="G20" i="80" s="1"/>
  <c r="H19" i="80"/>
  <c r="L7" i="80" s="1"/>
  <c r="F19" i="80"/>
  <c r="G19" i="80" s="1"/>
  <c r="K7" i="80" s="1"/>
  <c r="H18" i="80"/>
  <c r="G18" i="80"/>
  <c r="F18" i="80"/>
  <c r="H17" i="80"/>
  <c r="F17" i="80"/>
  <c r="G17" i="80" s="1"/>
  <c r="H16" i="80"/>
  <c r="F16" i="80"/>
  <c r="G16" i="80" s="1"/>
  <c r="H15" i="80"/>
  <c r="G15" i="80"/>
  <c r="F15" i="80"/>
  <c r="H14" i="80"/>
  <c r="F14" i="80"/>
  <c r="G14" i="80" s="1"/>
  <c r="H13" i="80"/>
  <c r="F13" i="80"/>
  <c r="G13" i="80" s="1"/>
  <c r="L12" i="80"/>
  <c r="L19" i="80" s="1"/>
  <c r="G7" i="123" s="1"/>
  <c r="K12" i="80"/>
  <c r="K19" i="80" s="1"/>
  <c r="D7" i="123" s="1"/>
  <c r="J12" i="80"/>
  <c r="J19" i="80" s="1"/>
  <c r="H12" i="80"/>
  <c r="G12" i="80"/>
  <c r="F12" i="80"/>
  <c r="L11" i="80"/>
  <c r="L18" i="80" s="1"/>
  <c r="K11" i="80"/>
  <c r="K18" i="80" s="1"/>
  <c r="J11" i="80"/>
  <c r="J18" i="80" s="1"/>
  <c r="H11" i="80"/>
  <c r="G11" i="80" s="1"/>
  <c r="F11" i="80"/>
  <c r="L10" i="80"/>
  <c r="K10" i="80"/>
  <c r="J10" i="80"/>
  <c r="H10" i="80"/>
  <c r="F10" i="80"/>
  <c r="G10" i="80" s="1"/>
  <c r="L9" i="80"/>
  <c r="K9" i="80"/>
  <c r="J9" i="80"/>
  <c r="H9" i="80"/>
  <c r="F9" i="80"/>
  <c r="J5" i="80" s="1"/>
  <c r="L8" i="80"/>
  <c r="L21" i="80" s="1"/>
  <c r="K8" i="80"/>
  <c r="J8" i="80"/>
  <c r="H8" i="80"/>
  <c r="F8" i="80"/>
  <c r="G8" i="80" s="1"/>
  <c r="J7" i="80"/>
  <c r="H7" i="80"/>
  <c r="L5" i="80" s="1"/>
  <c r="G7" i="80"/>
  <c r="F7" i="80"/>
  <c r="L6" i="80"/>
  <c r="K6" i="80"/>
  <c r="J6" i="80"/>
  <c r="H6" i="80"/>
  <c r="F6" i="80"/>
  <c r="G6" i="80" s="1"/>
  <c r="H5" i="80"/>
  <c r="G5" i="80"/>
  <c r="F5" i="80"/>
  <c r="H4" i="80"/>
  <c r="F4" i="80"/>
  <c r="G4" i="80" s="1"/>
  <c r="H3" i="80"/>
  <c r="L4" i="80" s="1"/>
  <c r="L17" i="80" s="1"/>
  <c r="F7" i="123" s="1"/>
  <c r="F3" i="80"/>
  <c r="J4" i="80" s="1"/>
  <c r="J17" i="80" s="1"/>
  <c r="H42" i="57"/>
  <c r="F42" i="57"/>
  <c r="G42" i="57" s="1"/>
  <c r="A42" i="57"/>
  <c r="H41" i="57"/>
  <c r="F41" i="57"/>
  <c r="G41" i="57" s="1"/>
  <c r="A41" i="57"/>
  <c r="H40" i="57"/>
  <c r="F40" i="57"/>
  <c r="G40" i="57" s="1"/>
  <c r="A40" i="57"/>
  <c r="H39" i="57"/>
  <c r="F39" i="57"/>
  <c r="G39" i="57" s="1"/>
  <c r="A39" i="57"/>
  <c r="H38" i="57"/>
  <c r="F38" i="57"/>
  <c r="G38" i="57" s="1"/>
  <c r="A38" i="57"/>
  <c r="H37" i="57"/>
  <c r="F37" i="57"/>
  <c r="G37" i="57" s="1"/>
  <c r="A37" i="57"/>
  <c r="H36" i="57"/>
  <c r="F36" i="57"/>
  <c r="G36" i="57" s="1"/>
  <c r="A36" i="57"/>
  <c r="H35" i="57"/>
  <c r="F35" i="57"/>
  <c r="G35" i="57" s="1"/>
  <c r="A35" i="57"/>
  <c r="H34" i="57"/>
  <c r="F34" i="57"/>
  <c r="G34" i="57" s="1"/>
  <c r="A34" i="57"/>
  <c r="H33" i="57"/>
  <c r="F33" i="57"/>
  <c r="G33" i="57" s="1"/>
  <c r="A33" i="57"/>
  <c r="H32" i="57"/>
  <c r="F32" i="57"/>
  <c r="G32" i="57" s="1"/>
  <c r="A32" i="57"/>
  <c r="H31" i="57"/>
  <c r="F31" i="57"/>
  <c r="G31" i="57" s="1"/>
  <c r="H30" i="57"/>
  <c r="G30" i="57"/>
  <c r="F30" i="57"/>
  <c r="H29" i="57"/>
  <c r="F29" i="57"/>
  <c r="G29" i="57" s="1"/>
  <c r="K4" i="57" s="1"/>
  <c r="K17" i="57" s="1"/>
  <c r="C5" i="123" s="1"/>
  <c r="H28" i="57"/>
  <c r="F28" i="57"/>
  <c r="G28" i="57" s="1"/>
  <c r="H27" i="57"/>
  <c r="L5" i="57" s="1"/>
  <c r="F27" i="57"/>
  <c r="G27" i="57" s="1"/>
  <c r="H26" i="57"/>
  <c r="F26" i="57"/>
  <c r="G26" i="57" s="1"/>
  <c r="H25" i="57"/>
  <c r="F25" i="57"/>
  <c r="G25" i="57" s="1"/>
  <c r="H24" i="57"/>
  <c r="F24" i="57"/>
  <c r="G24" i="57" s="1"/>
  <c r="H23" i="57"/>
  <c r="F23" i="57"/>
  <c r="G23" i="57" s="1"/>
  <c r="H22" i="57"/>
  <c r="G22" i="57"/>
  <c r="F22" i="57"/>
  <c r="H21" i="57"/>
  <c r="G21" i="57"/>
  <c r="F21" i="57"/>
  <c r="H20" i="57"/>
  <c r="F20" i="57"/>
  <c r="G20" i="57" s="1"/>
  <c r="H19" i="57"/>
  <c r="F19" i="57"/>
  <c r="G19" i="57" s="1"/>
  <c r="H18" i="57"/>
  <c r="G18" i="57"/>
  <c r="F18" i="57"/>
  <c r="H17" i="57"/>
  <c r="F17" i="57"/>
  <c r="G17" i="57" s="1"/>
  <c r="H16" i="57"/>
  <c r="G16" i="57"/>
  <c r="F16" i="57"/>
  <c r="H15" i="57"/>
  <c r="F15" i="57"/>
  <c r="G15" i="57" s="1"/>
  <c r="K5" i="57" s="1"/>
  <c r="H14" i="57"/>
  <c r="G14" i="57"/>
  <c r="F14" i="57"/>
  <c r="H13" i="57"/>
  <c r="F13" i="57"/>
  <c r="G13" i="57" s="1"/>
  <c r="L12" i="57"/>
  <c r="L19" i="57" s="1"/>
  <c r="G5" i="123" s="1"/>
  <c r="K12" i="57"/>
  <c r="K19" i="57" s="1"/>
  <c r="D5" i="123" s="1"/>
  <c r="J12" i="57"/>
  <c r="J19" i="57" s="1"/>
  <c r="H12" i="57"/>
  <c r="F12" i="57"/>
  <c r="G12" i="57" s="1"/>
  <c r="L11" i="57"/>
  <c r="L18" i="57" s="1"/>
  <c r="K11" i="57"/>
  <c r="K18" i="57" s="1"/>
  <c r="J11" i="57"/>
  <c r="J18" i="57" s="1"/>
  <c r="H11" i="57"/>
  <c r="F11" i="57"/>
  <c r="G11" i="57" s="1"/>
  <c r="L10" i="57"/>
  <c r="K10" i="57"/>
  <c r="J10" i="57"/>
  <c r="H10" i="57"/>
  <c r="F10" i="57"/>
  <c r="G10" i="57" s="1"/>
  <c r="L9" i="57"/>
  <c r="K9" i="57"/>
  <c r="J9" i="57"/>
  <c r="H9" i="57"/>
  <c r="F9" i="57"/>
  <c r="G9" i="57" s="1"/>
  <c r="L8" i="57"/>
  <c r="L21" i="57" s="1"/>
  <c r="K8" i="57"/>
  <c r="K21" i="57" s="1"/>
  <c r="J8" i="57"/>
  <c r="J21" i="57" s="1"/>
  <c r="I5" i="123" s="1"/>
  <c r="H8" i="57"/>
  <c r="F8" i="57"/>
  <c r="G8" i="57" s="1"/>
  <c r="L7" i="57"/>
  <c r="K7" i="57"/>
  <c r="J7" i="57"/>
  <c r="H7" i="57"/>
  <c r="F7" i="57"/>
  <c r="G7" i="57" s="1"/>
  <c r="L6" i="57"/>
  <c r="K6" i="57"/>
  <c r="J6" i="57"/>
  <c r="H6" i="57"/>
  <c r="F6" i="57"/>
  <c r="G6" i="57" s="1"/>
  <c r="H5" i="57"/>
  <c r="F5" i="57"/>
  <c r="J3" i="57" s="1"/>
  <c r="J16" i="57" s="1"/>
  <c r="L4" i="57"/>
  <c r="J4" i="57"/>
  <c r="H4" i="57"/>
  <c r="G4" i="57" s="1"/>
  <c r="F4" i="57"/>
  <c r="H3" i="57"/>
  <c r="L3" i="57" s="1"/>
  <c r="L16" i="57" s="1"/>
  <c r="E5" i="123" s="1"/>
  <c r="F3" i="57"/>
  <c r="E42" i="123"/>
  <c r="B42" i="123"/>
  <c r="G31" i="123"/>
  <c r="E21" i="123"/>
  <c r="B21" i="123"/>
  <c r="D15" i="123"/>
  <c r="I14" i="123"/>
  <c r="E8" i="123"/>
  <c r="D8" i="123"/>
  <c r="H26" i="123" l="1"/>
  <c r="J26" i="123" s="1"/>
  <c r="J20" i="116"/>
  <c r="L17" i="122"/>
  <c r="K5" i="122"/>
  <c r="G3" i="122"/>
  <c r="K4" i="122" s="1"/>
  <c r="K17" i="122" s="1"/>
  <c r="J5" i="122"/>
  <c r="J17" i="122" s="1"/>
  <c r="J20" i="122" s="1"/>
  <c r="G13" i="122"/>
  <c r="K6" i="122" s="1"/>
  <c r="G16" i="122"/>
  <c r="K9" i="122" s="1"/>
  <c r="K21" i="122" s="1"/>
  <c r="K5" i="121"/>
  <c r="J21" i="121"/>
  <c r="L21" i="121"/>
  <c r="K9" i="121"/>
  <c r="K21" i="121" s="1"/>
  <c r="G13" i="121"/>
  <c r="G8" i="121"/>
  <c r="G4" i="121"/>
  <c r="K4" i="121" s="1"/>
  <c r="K17" i="121" s="1"/>
  <c r="G7" i="121"/>
  <c r="K6" i="121" s="1"/>
  <c r="L17" i="120"/>
  <c r="F42" i="123" s="1"/>
  <c r="K5" i="120"/>
  <c r="J20" i="120"/>
  <c r="G5" i="120"/>
  <c r="G12" i="120"/>
  <c r="K9" i="120" s="1"/>
  <c r="K21" i="120" s="1"/>
  <c r="G19" i="120"/>
  <c r="K4" i="120" s="1"/>
  <c r="K17" i="120" s="1"/>
  <c r="C42" i="123" s="1"/>
  <c r="H42" i="123" s="1"/>
  <c r="J42" i="123" s="1"/>
  <c r="J20" i="119"/>
  <c r="H41" i="123"/>
  <c r="J41" i="123" s="1"/>
  <c r="G3" i="119"/>
  <c r="K11" i="119" s="1"/>
  <c r="K18" i="119" s="1"/>
  <c r="K7" i="118"/>
  <c r="G7" i="118"/>
  <c r="K5" i="118" s="1"/>
  <c r="J7" i="118"/>
  <c r="J17" i="118" s="1"/>
  <c r="J20" i="118" s="1"/>
  <c r="L7" i="118"/>
  <c r="L17" i="118" s="1"/>
  <c r="F40" i="123" s="1"/>
  <c r="G4" i="118"/>
  <c r="K4" i="118" s="1"/>
  <c r="K17" i="118" s="1"/>
  <c r="C40" i="123" s="1"/>
  <c r="J17" i="114"/>
  <c r="J20" i="114" s="1"/>
  <c r="L17" i="114"/>
  <c r="F39" i="123" s="1"/>
  <c r="G3" i="114"/>
  <c r="K10" i="114" s="1"/>
  <c r="K17" i="114" s="1"/>
  <c r="C39" i="123" s="1"/>
  <c r="H39" i="123" s="1"/>
  <c r="J39" i="123" s="1"/>
  <c r="K3" i="112"/>
  <c r="K16" i="112" s="1"/>
  <c r="B37" i="123" s="1"/>
  <c r="K10" i="112"/>
  <c r="K17" i="112" s="1"/>
  <c r="C37" i="123" s="1"/>
  <c r="H37" i="123" s="1"/>
  <c r="J37" i="123" s="1"/>
  <c r="J10" i="112"/>
  <c r="J17" i="112" s="1"/>
  <c r="J3" i="112"/>
  <c r="J16" i="112" s="1"/>
  <c r="J17" i="111"/>
  <c r="J20" i="111" s="1"/>
  <c r="K3" i="111"/>
  <c r="K16" i="111" s="1"/>
  <c r="B36" i="123" s="1"/>
  <c r="K4" i="111"/>
  <c r="G23" i="111"/>
  <c r="K5" i="111" s="1"/>
  <c r="G24" i="111"/>
  <c r="K3" i="113"/>
  <c r="K16" i="113" s="1"/>
  <c r="B38" i="123" s="1"/>
  <c r="J3" i="113"/>
  <c r="J16" i="113" s="1"/>
  <c r="J20" i="113" s="1"/>
  <c r="G20" i="113"/>
  <c r="K4" i="113" s="1"/>
  <c r="K17" i="113" s="1"/>
  <c r="C38" i="123" s="1"/>
  <c r="J17" i="110"/>
  <c r="L17" i="110"/>
  <c r="F35" i="123" s="1"/>
  <c r="K3" i="110"/>
  <c r="K16" i="110" s="1"/>
  <c r="B35" i="123" s="1"/>
  <c r="H35" i="123" s="1"/>
  <c r="J35" i="123" s="1"/>
  <c r="G26" i="110"/>
  <c r="K6" i="110" s="1"/>
  <c r="J3" i="110"/>
  <c r="J16" i="110" s="1"/>
  <c r="J20" i="110" s="1"/>
  <c r="L3" i="110"/>
  <c r="L16" i="110" s="1"/>
  <c r="E35" i="123" s="1"/>
  <c r="G13" i="110"/>
  <c r="K4" i="110" s="1"/>
  <c r="K17" i="110" s="1"/>
  <c r="C35" i="123" s="1"/>
  <c r="K3" i="109"/>
  <c r="K16" i="109" s="1"/>
  <c r="B34" i="123" s="1"/>
  <c r="J20" i="109"/>
  <c r="G18" i="109"/>
  <c r="K4" i="109" s="1"/>
  <c r="K17" i="109" s="1"/>
  <c r="C34" i="123" s="1"/>
  <c r="H34" i="123" s="1"/>
  <c r="J34" i="123" s="1"/>
  <c r="G6" i="109"/>
  <c r="G5" i="109"/>
  <c r="K7" i="109" s="1"/>
  <c r="K3" i="107"/>
  <c r="K16" i="107" s="1"/>
  <c r="B32" i="123" s="1"/>
  <c r="H32" i="123" s="1"/>
  <c r="J32" i="123" s="1"/>
  <c r="G7" i="107"/>
  <c r="K4" i="107" s="1"/>
  <c r="K17" i="107" s="1"/>
  <c r="C32" i="123" s="1"/>
  <c r="K3" i="108"/>
  <c r="K16" i="108" s="1"/>
  <c r="B33" i="123" s="1"/>
  <c r="H33" i="123" s="1"/>
  <c r="J33" i="123" s="1"/>
  <c r="K7" i="108"/>
  <c r="K5" i="108"/>
  <c r="K4" i="108"/>
  <c r="K17" i="108" s="1"/>
  <c r="C33" i="123" s="1"/>
  <c r="J7" i="108"/>
  <c r="J3" i="108"/>
  <c r="J16" i="108" s="1"/>
  <c r="J4" i="108"/>
  <c r="J17" i="108" s="1"/>
  <c r="G21" i="108"/>
  <c r="L21" i="106"/>
  <c r="L17" i="106"/>
  <c r="F31" i="123" s="1"/>
  <c r="K7" i="106"/>
  <c r="K4" i="106"/>
  <c r="G23" i="106"/>
  <c r="K5" i="106" s="1"/>
  <c r="G4" i="106"/>
  <c r="K6" i="106" s="1"/>
  <c r="J4" i="106"/>
  <c r="J17" i="106" s="1"/>
  <c r="J20" i="106" s="1"/>
  <c r="J7" i="106"/>
  <c r="K4" i="104"/>
  <c r="L17" i="104"/>
  <c r="F29" i="123" s="1"/>
  <c r="K5" i="104"/>
  <c r="K12" i="104"/>
  <c r="K19" i="104" s="1"/>
  <c r="D29" i="123" s="1"/>
  <c r="J12" i="104"/>
  <c r="J19" i="104" s="1"/>
  <c r="J4" i="104"/>
  <c r="J17" i="104" s="1"/>
  <c r="J20" i="104" s="1"/>
  <c r="G23" i="104"/>
  <c r="K5" i="103"/>
  <c r="K17" i="103" s="1"/>
  <c r="C28" i="123" s="1"/>
  <c r="J5" i="103"/>
  <c r="J17" i="103" s="1"/>
  <c r="J20" i="103" s="1"/>
  <c r="L5" i="103"/>
  <c r="L17" i="103" s="1"/>
  <c r="F28" i="123" s="1"/>
  <c r="G10" i="103"/>
  <c r="K7" i="103" s="1"/>
  <c r="K4" i="102"/>
  <c r="L17" i="102"/>
  <c r="F27" i="123" s="1"/>
  <c r="J17" i="102"/>
  <c r="J20" i="102" s="1"/>
  <c r="G7" i="102"/>
  <c r="K9" i="102" s="1"/>
  <c r="K21" i="102" s="1"/>
  <c r="G3" i="102"/>
  <c r="K6" i="102" s="1"/>
  <c r="G4" i="102"/>
  <c r="K5" i="102" s="1"/>
  <c r="G17" i="102"/>
  <c r="G9" i="102"/>
  <c r="K5" i="105"/>
  <c r="L17" i="105"/>
  <c r="F30" i="123" s="1"/>
  <c r="K4" i="105"/>
  <c r="K17" i="105" s="1"/>
  <c r="C30" i="123" s="1"/>
  <c r="H30" i="123" s="1"/>
  <c r="J30" i="123" s="1"/>
  <c r="G10" i="105"/>
  <c r="J4" i="105"/>
  <c r="J17" i="105" s="1"/>
  <c r="J20" i="105" s="1"/>
  <c r="G11" i="105"/>
  <c r="K7" i="105" s="1"/>
  <c r="K5" i="100"/>
  <c r="G13" i="100"/>
  <c r="K4" i="100" s="1"/>
  <c r="K17" i="100" s="1"/>
  <c r="C25" i="123" s="1"/>
  <c r="H25" i="123" s="1"/>
  <c r="J25" i="123" s="1"/>
  <c r="J5" i="100"/>
  <c r="J17" i="100" s="1"/>
  <c r="J20" i="100" s="1"/>
  <c r="K3" i="99"/>
  <c r="K16" i="99" s="1"/>
  <c r="B24" i="123" s="1"/>
  <c r="H24" i="123" s="1"/>
  <c r="J24" i="123" s="1"/>
  <c r="G24" i="99"/>
  <c r="K12" i="99" s="1"/>
  <c r="K19" i="99" s="1"/>
  <c r="D24" i="123" s="1"/>
  <c r="K4" i="98"/>
  <c r="K17" i="98" s="1"/>
  <c r="C23" i="123" s="1"/>
  <c r="H23" i="123" s="1"/>
  <c r="J23" i="123" s="1"/>
  <c r="K5" i="98"/>
  <c r="J5" i="98"/>
  <c r="J17" i="98" s="1"/>
  <c r="J20" i="98" s="1"/>
  <c r="G11" i="98"/>
  <c r="K9" i="98" s="1"/>
  <c r="K21" i="98" s="1"/>
  <c r="J6" i="98"/>
  <c r="L17" i="97"/>
  <c r="F22" i="123" s="1"/>
  <c r="K5" i="97"/>
  <c r="K4" i="97"/>
  <c r="K17" i="97" s="1"/>
  <c r="C22" i="123" s="1"/>
  <c r="H22" i="123" s="1"/>
  <c r="J22" i="123" s="1"/>
  <c r="G3" i="97"/>
  <c r="K9" i="97" s="1"/>
  <c r="K21" i="97" s="1"/>
  <c r="J5" i="97"/>
  <c r="J4" i="97"/>
  <c r="J17" i="97" s="1"/>
  <c r="J20" i="97" s="1"/>
  <c r="J6" i="97"/>
  <c r="K5" i="96"/>
  <c r="K4" i="96"/>
  <c r="K17" i="96" s="1"/>
  <c r="C21" i="123" s="1"/>
  <c r="H21" i="123" s="1"/>
  <c r="J21" i="123" s="1"/>
  <c r="K21" i="96"/>
  <c r="G10" i="96"/>
  <c r="K6" i="96" s="1"/>
  <c r="G23" i="96"/>
  <c r="K7" i="96" s="1"/>
  <c r="J5" i="96"/>
  <c r="J17" i="96" s="1"/>
  <c r="J20" i="96" s="1"/>
  <c r="L17" i="95"/>
  <c r="F20" i="123" s="1"/>
  <c r="K12" i="95"/>
  <c r="K19" i="95" s="1"/>
  <c r="D20" i="123" s="1"/>
  <c r="H20" i="123" s="1"/>
  <c r="J20" i="123" s="1"/>
  <c r="K3" i="95"/>
  <c r="K16" i="95" s="1"/>
  <c r="B20" i="123" s="1"/>
  <c r="K4" i="95"/>
  <c r="K17" i="95" s="1"/>
  <c r="C20" i="123" s="1"/>
  <c r="G13" i="95"/>
  <c r="K9" i="95" s="1"/>
  <c r="K21" i="95" s="1"/>
  <c r="G20" i="95"/>
  <c r="J3" i="95"/>
  <c r="J16" i="95" s="1"/>
  <c r="G7" i="95"/>
  <c r="J5" i="95"/>
  <c r="J17" i="95" s="1"/>
  <c r="G4" i="94"/>
  <c r="K4" i="94" s="1"/>
  <c r="K17" i="94" s="1"/>
  <c r="C19" i="123" s="1"/>
  <c r="J5" i="94"/>
  <c r="J17" i="94" s="1"/>
  <c r="J20" i="94" s="1"/>
  <c r="L5" i="94"/>
  <c r="L17" i="94" s="1"/>
  <c r="F19" i="123" s="1"/>
  <c r="G11" i="94"/>
  <c r="K7" i="94" s="1"/>
  <c r="L17" i="93"/>
  <c r="F18" i="123" s="1"/>
  <c r="K4" i="93"/>
  <c r="J4" i="93"/>
  <c r="J17" i="93" s="1"/>
  <c r="J20" i="93" s="1"/>
  <c r="G16" i="93"/>
  <c r="K6" i="93" s="1"/>
  <c r="G5" i="93"/>
  <c r="K5" i="93" s="1"/>
  <c r="K6" i="92"/>
  <c r="K4" i="92"/>
  <c r="K17" i="92" s="1"/>
  <c r="C17" i="123" s="1"/>
  <c r="H17" i="123" s="1"/>
  <c r="J17" i="123" s="1"/>
  <c r="L21" i="92"/>
  <c r="L17" i="92"/>
  <c r="F17" i="123" s="1"/>
  <c r="K9" i="92"/>
  <c r="K21" i="92" s="1"/>
  <c r="J4" i="92"/>
  <c r="G32" i="92"/>
  <c r="J5" i="92"/>
  <c r="L17" i="91"/>
  <c r="F16" i="123" s="1"/>
  <c r="K4" i="91"/>
  <c r="K17" i="91" s="1"/>
  <c r="C16" i="123" s="1"/>
  <c r="H16" i="123" s="1"/>
  <c r="J16" i="123" s="1"/>
  <c r="G7" i="91"/>
  <c r="K5" i="91" s="1"/>
  <c r="G3" i="91"/>
  <c r="K10" i="91" s="1"/>
  <c r="J4" i="91"/>
  <c r="J17" i="91" s="1"/>
  <c r="J20" i="91" s="1"/>
  <c r="K4" i="90"/>
  <c r="L21" i="90"/>
  <c r="K5" i="90"/>
  <c r="J9" i="90"/>
  <c r="J21" i="90" s="1"/>
  <c r="I15" i="123" s="1"/>
  <c r="J4" i="90"/>
  <c r="J5" i="90"/>
  <c r="K5" i="89"/>
  <c r="K4" i="89"/>
  <c r="K17" i="89" s="1"/>
  <c r="C14" i="123" s="1"/>
  <c r="H14" i="123" s="1"/>
  <c r="J14" i="123" s="1"/>
  <c r="L17" i="89"/>
  <c r="F14" i="123" s="1"/>
  <c r="J6" i="89"/>
  <c r="J17" i="89" s="1"/>
  <c r="J20" i="89" s="1"/>
  <c r="L21" i="88"/>
  <c r="L17" i="88"/>
  <c r="F13" i="123" s="1"/>
  <c r="G3" i="88"/>
  <c r="K4" i="88" s="1"/>
  <c r="G4" i="88"/>
  <c r="K5" i="88" s="1"/>
  <c r="J9" i="88"/>
  <c r="J21" i="88" s="1"/>
  <c r="I13" i="123" s="1"/>
  <c r="J7" i="88"/>
  <c r="J17" i="88" s="1"/>
  <c r="J20" i="88" s="1"/>
  <c r="K5" i="87"/>
  <c r="J16" i="87"/>
  <c r="J19" i="87" s="1"/>
  <c r="L16" i="87"/>
  <c r="F12" i="123" s="1"/>
  <c r="J20" i="87"/>
  <c r="I12" i="123" s="1"/>
  <c r="L20" i="87"/>
  <c r="G15" i="87"/>
  <c r="K9" i="87" s="1"/>
  <c r="K20" i="87" s="1"/>
  <c r="G6" i="87"/>
  <c r="K10" i="87" s="1"/>
  <c r="G8" i="87"/>
  <c r="K4" i="87" s="1"/>
  <c r="K16" i="87" s="1"/>
  <c r="C12" i="123" s="1"/>
  <c r="H12" i="123" s="1"/>
  <c r="J12" i="123" s="1"/>
  <c r="G3" i="86"/>
  <c r="K3" i="86" s="1"/>
  <c r="K16" i="86" s="1"/>
  <c r="B11" i="123" s="1"/>
  <c r="J4" i="86"/>
  <c r="J17" i="86" s="1"/>
  <c r="J20" i="86" s="1"/>
  <c r="G24" i="86"/>
  <c r="K5" i="86" s="1"/>
  <c r="K17" i="86" s="1"/>
  <c r="C11" i="123" s="1"/>
  <c r="L17" i="85"/>
  <c r="F10" i="123" s="1"/>
  <c r="G6" i="85"/>
  <c r="K4" i="85" s="1"/>
  <c r="J6" i="85"/>
  <c r="J17" i="85" s="1"/>
  <c r="J20" i="85" s="1"/>
  <c r="G11" i="85"/>
  <c r="K7" i="85" s="1"/>
  <c r="G5" i="85"/>
  <c r="K5" i="85" s="1"/>
  <c r="L21" i="83"/>
  <c r="L17" i="83"/>
  <c r="F9" i="123" s="1"/>
  <c r="K4" i="83"/>
  <c r="K5" i="83"/>
  <c r="J4" i="83"/>
  <c r="J17" i="83" s="1"/>
  <c r="J20" i="83" s="1"/>
  <c r="G23" i="83"/>
  <c r="K7" i="83" s="1"/>
  <c r="J5" i="83"/>
  <c r="J20" i="82"/>
  <c r="J21" i="82"/>
  <c r="I8" i="123" s="1"/>
  <c r="L21" i="82"/>
  <c r="K9" i="82"/>
  <c r="K21" i="82" s="1"/>
  <c r="G12" i="82"/>
  <c r="K7" i="82" s="1"/>
  <c r="G19" i="82"/>
  <c r="G7" i="82"/>
  <c r="K5" i="82" s="1"/>
  <c r="G3" i="82"/>
  <c r="K4" i="82" s="1"/>
  <c r="L17" i="79"/>
  <c r="F6" i="123" s="1"/>
  <c r="K6" i="79"/>
  <c r="K5" i="79"/>
  <c r="G18" i="79"/>
  <c r="J5" i="79"/>
  <c r="J17" i="79" s="1"/>
  <c r="J20" i="79" s="1"/>
  <c r="G5" i="79"/>
  <c r="K4" i="79" s="1"/>
  <c r="K17" i="79" s="1"/>
  <c r="C6" i="123" s="1"/>
  <c r="H6" i="123" s="1"/>
  <c r="J6" i="123" s="1"/>
  <c r="G3" i="80"/>
  <c r="K4" i="80" s="1"/>
  <c r="G9" i="80"/>
  <c r="K5" i="80" s="1"/>
  <c r="J3" i="80"/>
  <c r="J16" i="80" s="1"/>
  <c r="J20" i="80" s="1"/>
  <c r="L17" i="57"/>
  <c r="F5" i="123" s="1"/>
  <c r="J5" i="57"/>
  <c r="J17" i="57" s="1"/>
  <c r="J20" i="57" s="1"/>
  <c r="G5" i="57"/>
  <c r="G3" i="57"/>
  <c r="K3" i="57" s="1"/>
  <c r="K16" i="57" s="1"/>
  <c r="B5" i="123" s="1"/>
  <c r="H5" i="123" s="1"/>
  <c r="J5" i="123" s="1"/>
  <c r="H40" i="123" l="1"/>
  <c r="J40" i="123" s="1"/>
  <c r="J20" i="112"/>
  <c r="K17" i="111"/>
  <c r="C36" i="123" s="1"/>
  <c r="H36" i="123" s="1"/>
  <c r="J36" i="123" s="1"/>
  <c r="H38" i="123"/>
  <c r="J38" i="123" s="1"/>
  <c r="J20" i="108"/>
  <c r="K17" i="106"/>
  <c r="C31" i="123" s="1"/>
  <c r="H31" i="123" s="1"/>
  <c r="J31" i="123" s="1"/>
  <c r="H29" i="123"/>
  <c r="J29" i="123" s="1"/>
  <c r="K17" i="104"/>
  <c r="C29" i="123" s="1"/>
  <c r="H28" i="123"/>
  <c r="J28" i="123" s="1"/>
  <c r="K17" i="102"/>
  <c r="C27" i="123" s="1"/>
  <c r="H27" i="123" s="1"/>
  <c r="J27" i="123" s="1"/>
  <c r="J20" i="95"/>
  <c r="H19" i="123"/>
  <c r="J19" i="123" s="1"/>
  <c r="K17" i="93"/>
  <c r="C18" i="123" s="1"/>
  <c r="H18" i="123" s="1"/>
  <c r="J18" i="123" s="1"/>
  <c r="J17" i="92"/>
  <c r="J20" i="92" s="1"/>
  <c r="J17" i="90"/>
  <c r="J20" i="90" s="1"/>
  <c r="K17" i="90"/>
  <c r="C15" i="123" s="1"/>
  <c r="H15" i="123" s="1"/>
  <c r="J15" i="123" s="1"/>
  <c r="K17" i="88"/>
  <c r="C13" i="123" s="1"/>
  <c r="H13" i="123" s="1"/>
  <c r="J13" i="123" s="1"/>
  <c r="H11" i="123"/>
  <c r="J11" i="123" s="1"/>
  <c r="K17" i="85"/>
  <c r="C10" i="123" s="1"/>
  <c r="H10" i="123" s="1"/>
  <c r="J10" i="123" s="1"/>
  <c r="K17" i="83"/>
  <c r="C9" i="123" s="1"/>
  <c r="H9" i="123" s="1"/>
  <c r="J9" i="123" s="1"/>
  <c r="K17" i="82"/>
  <c r="C8" i="123" s="1"/>
  <c r="H8" i="123" s="1"/>
  <c r="J8" i="123" s="1"/>
  <c r="K17" i="80"/>
  <c r="C7" i="123" s="1"/>
  <c r="H7" i="123" s="1"/>
  <c r="J7" i="123" s="1"/>
  <c r="A8" i="96"/>
  <c r="A4" i="89"/>
  <c r="A23" i="103"/>
  <c r="A22" i="103"/>
  <c r="A3" i="95"/>
  <c r="A9" i="100"/>
  <c r="A16" i="108"/>
  <c r="A23" i="105"/>
  <c r="A14" i="102"/>
  <c r="A22" i="93"/>
  <c r="A13" i="108"/>
  <c r="A19" i="83"/>
  <c r="A34" i="89"/>
  <c r="A10" i="103"/>
  <c r="A14" i="98"/>
  <c r="A11" i="80"/>
  <c r="A4" i="90"/>
  <c r="A4" i="103"/>
  <c r="A28" i="102"/>
  <c r="A12" i="114"/>
  <c r="A22" i="85"/>
  <c r="A22" i="91"/>
  <c r="A18" i="79"/>
  <c r="A28" i="95"/>
  <c r="A17" i="94"/>
  <c r="A20" i="90"/>
  <c r="A8" i="122"/>
  <c r="A22" i="104"/>
  <c r="A7" i="91"/>
  <c r="A28" i="93"/>
  <c r="A4" i="104"/>
  <c r="A22" i="120"/>
  <c r="A32" i="107"/>
  <c r="A21" i="86"/>
  <c r="A13" i="100"/>
  <c r="A19" i="120"/>
  <c r="A3" i="118"/>
  <c r="A7" i="114"/>
  <c r="A26" i="85"/>
  <c r="A18" i="82"/>
  <c r="A22" i="105"/>
  <c r="A12" i="105"/>
  <c r="A5" i="113"/>
  <c r="A26" i="57"/>
  <c r="A5" i="94"/>
  <c r="A31" i="105"/>
  <c r="A15" i="112"/>
  <c r="A19" i="94"/>
  <c r="A22" i="87"/>
  <c r="A17" i="121"/>
  <c r="A14" i="107"/>
  <c r="A7" i="102"/>
  <c r="A5" i="99"/>
  <c r="A25" i="120"/>
  <c r="A11" i="87"/>
  <c r="A4" i="106"/>
  <c r="A23" i="92"/>
  <c r="A17" i="102"/>
  <c r="A7" i="104"/>
  <c r="A3" i="83"/>
  <c r="A19" i="87"/>
  <c r="A14" i="113"/>
  <c r="A19" i="85"/>
  <c r="A22" i="113"/>
  <c r="A3" i="88"/>
  <c r="A13" i="57"/>
  <c r="A3" i="82"/>
  <c r="A15" i="109"/>
  <c r="A11" i="91"/>
  <c r="A23" i="91"/>
  <c r="A4" i="107"/>
  <c r="A24" i="88"/>
  <c r="A5" i="106"/>
  <c r="A7" i="112"/>
  <c r="A13" i="97"/>
  <c r="A14" i="92"/>
  <c r="A17" i="88"/>
  <c r="A4" i="94"/>
  <c r="A17" i="97"/>
  <c r="A27" i="105"/>
  <c r="A14" i="119"/>
  <c r="A6" i="93"/>
  <c r="A18" i="85"/>
  <c r="A22" i="106"/>
  <c r="A23" i="88"/>
  <c r="A27" i="88"/>
  <c r="A10" i="118"/>
  <c r="A8" i="120"/>
  <c r="A8" i="107"/>
  <c r="A15" i="85"/>
  <c r="A18" i="86"/>
  <c r="A10" i="91"/>
  <c r="A9" i="119"/>
  <c r="A8" i="118"/>
  <c r="A19" i="88"/>
  <c r="A5" i="111"/>
  <c r="A17" i="93"/>
  <c r="A18" i="94"/>
  <c r="A14" i="122"/>
  <c r="A26" i="88"/>
  <c r="A8" i="88"/>
  <c r="A15" i="89"/>
  <c r="A6" i="79"/>
  <c r="A26" i="83"/>
  <c r="A16" i="99"/>
  <c r="A25" i="90"/>
  <c r="A5" i="118"/>
  <c r="A4" i="91"/>
  <c r="A4" i="83"/>
  <c r="A10" i="92"/>
  <c r="A27" i="86"/>
  <c r="A5" i="88"/>
  <c r="A30" i="107"/>
  <c r="A14" i="105"/>
  <c r="A6" i="111"/>
  <c r="A18" i="106"/>
  <c r="A30" i="102"/>
  <c r="A30" i="92"/>
  <c r="A23" i="96"/>
  <c r="A39" i="107"/>
  <c r="A10" i="109"/>
  <c r="A10" i="120"/>
  <c r="A37" i="108"/>
  <c r="A3" i="106"/>
  <c r="A20" i="85"/>
  <c r="A8" i="92"/>
  <c r="A6" i="109"/>
  <c r="A5" i="82"/>
  <c r="A18" i="122"/>
  <c r="A24" i="106"/>
  <c r="A29" i="80"/>
  <c r="A30" i="88"/>
  <c r="A17" i="82"/>
  <c r="A15" i="107"/>
  <c r="A16" i="118"/>
  <c r="A19" i="93"/>
  <c r="A14" i="110"/>
  <c r="A5" i="90"/>
  <c r="A35" i="107"/>
  <c r="A30" i="108"/>
  <c r="A20" i="110"/>
  <c r="A10" i="111"/>
  <c r="A21" i="113"/>
  <c r="A27" i="87"/>
  <c r="A16" i="107"/>
  <c r="A17" i="99"/>
  <c r="A10" i="107"/>
  <c r="A15" i="98"/>
  <c r="A29" i="93"/>
  <c r="A10" i="88"/>
  <c r="A25" i="111"/>
  <c r="A24" i="119"/>
  <c r="A19" i="90"/>
  <c r="A25" i="108"/>
  <c r="A11" i="97"/>
  <c r="A18" i="96"/>
  <c r="A25" i="86"/>
  <c r="A15" i="57"/>
  <c r="A28" i="57"/>
  <c r="A8" i="110"/>
  <c r="A5" i="119"/>
  <c r="A28" i="106"/>
  <c r="A15" i="95"/>
  <c r="A6" i="114"/>
  <c r="A16" i="87"/>
  <c r="A5" i="83"/>
  <c r="A27" i="108"/>
  <c r="A12" i="94"/>
  <c r="A3" i="91"/>
  <c r="A24" i="105"/>
  <c r="A20" i="87"/>
  <c r="A18" i="109"/>
  <c r="A6" i="103"/>
  <c r="A10" i="112"/>
  <c r="A21" i="107"/>
  <c r="A11" i="57"/>
  <c r="A3" i="92"/>
  <c r="A7" i="93"/>
  <c r="A30" i="85"/>
  <c r="A28" i="91"/>
  <c r="A17" i="111"/>
  <c r="A12" i="110"/>
  <c r="A10" i="87"/>
  <c r="A25" i="82"/>
  <c r="A18" i="57"/>
  <c r="A4" i="86"/>
  <c r="A27" i="57"/>
  <c r="A6" i="80"/>
  <c r="A19" i="102"/>
  <c r="A16" i="90"/>
  <c r="A16" i="110"/>
  <c r="A20" i="95"/>
  <c r="A40" i="107"/>
  <c r="A17" i="91"/>
  <c r="A5" i="96"/>
  <c r="A27" i="107"/>
  <c r="A11" i="99"/>
  <c r="A11" i="88"/>
  <c r="A7" i="121"/>
  <c r="A38" i="108"/>
  <c r="A24" i="89"/>
  <c r="A7" i="83"/>
  <c r="A21" i="120"/>
  <c r="A18" i="110"/>
  <c r="A9" i="82"/>
  <c r="A26" i="95"/>
  <c r="A15" i="91"/>
  <c r="A15" i="88"/>
  <c r="A25" i="57"/>
  <c r="A25" i="93"/>
  <c r="A7" i="57"/>
  <c r="A23" i="119"/>
  <c r="A20" i="93"/>
  <c r="A9" i="103"/>
  <c r="A21" i="88"/>
  <c r="A34" i="92"/>
  <c r="A18" i="97"/>
  <c r="A12" i="122"/>
  <c r="A23" i="95"/>
  <c r="A4" i="80"/>
  <c r="A20" i="79"/>
  <c r="A5" i="80"/>
  <c r="A15" i="105"/>
  <c r="A24" i="104"/>
  <c r="A21" i="100"/>
  <c r="A19" i="98"/>
  <c r="A10" i="122"/>
  <c r="A10" i="86"/>
  <c r="A13" i="121"/>
  <c r="A28" i="85"/>
  <c r="A3" i="110"/>
  <c r="A7" i="96"/>
  <c r="A13" i="92"/>
  <c r="A8" i="90"/>
  <c r="A8" i="98"/>
  <c r="A13" i="82"/>
  <c r="A11" i="106"/>
  <c r="A13" i="105"/>
  <c r="A13" i="91"/>
  <c r="A13" i="118"/>
  <c r="A5" i="92"/>
  <c r="A22" i="107"/>
  <c r="A16" i="109"/>
  <c r="A14" i="88"/>
  <c r="A13" i="88"/>
  <c r="A24" i="87"/>
  <c r="A16" i="85"/>
  <c r="A3" i="105"/>
  <c r="A19" i="104"/>
  <c r="A23" i="97"/>
  <c r="A13" i="102"/>
  <c r="A32" i="105"/>
  <c r="A5" i="85"/>
  <c r="A9" i="89"/>
  <c r="A5" i="122"/>
  <c r="A17" i="110"/>
  <c r="A20" i="80"/>
  <c r="A3" i="97"/>
  <c r="A8" i="119"/>
  <c r="A20" i="107"/>
  <c r="A10" i="97"/>
  <c r="A13" i="104"/>
  <c r="A16" i="105"/>
  <c r="A17" i="86"/>
  <c r="A4" i="95"/>
  <c r="A24" i="111"/>
  <c r="A15" i="93"/>
  <c r="A29" i="94"/>
  <c r="A18" i="93"/>
  <c r="A24" i="95"/>
  <c r="A19" i="122"/>
  <c r="A9" i="96"/>
  <c r="A26" i="91"/>
  <c r="A11" i="109"/>
  <c r="A15" i="82"/>
  <c r="A33" i="108"/>
  <c r="A8" i="95"/>
  <c r="A19" i="57"/>
  <c r="A13" i="85"/>
  <c r="A7" i="119"/>
  <c r="A29" i="113"/>
  <c r="A10" i="82"/>
  <c r="A5" i="120"/>
  <c r="A32" i="94"/>
  <c r="A19" i="86"/>
  <c r="A27" i="92"/>
  <c r="A8" i="100"/>
  <c r="A29" i="82"/>
  <c r="A11" i="108"/>
  <c r="A23" i="93"/>
  <c r="A21" i="110"/>
  <c r="A29" i="102"/>
  <c r="A38" i="107"/>
  <c r="A3" i="93"/>
  <c r="A15" i="118"/>
  <c r="A16" i="89"/>
  <c r="A21" i="122"/>
  <c r="A12" i="87"/>
  <c r="A18" i="100"/>
  <c r="A19" i="100"/>
  <c r="A27" i="95"/>
  <c r="A9" i="112"/>
  <c r="A28" i="87"/>
  <c r="A18" i="104"/>
  <c r="A9" i="88"/>
  <c r="A15" i="119"/>
  <c r="A15" i="106"/>
  <c r="A16" i="119"/>
  <c r="A21" i="91"/>
  <c r="A17" i="87"/>
  <c r="A16" i="106"/>
  <c r="A13" i="120"/>
  <c r="A25" i="105"/>
  <c r="A10" i="106"/>
  <c r="A18" i="118"/>
  <c r="A29" i="88"/>
  <c r="A11" i="100"/>
  <c r="A7" i="89"/>
  <c r="A10" i="94"/>
  <c r="A24" i="83"/>
  <c r="A22" i="96"/>
  <c r="A10" i="113"/>
  <c r="A12" i="80"/>
  <c r="A4" i="109"/>
  <c r="A9" i="98"/>
  <c r="A10" i="83"/>
  <c r="A15" i="100"/>
  <c r="A26" i="93"/>
  <c r="A6" i="106"/>
  <c r="A11" i="102"/>
  <c r="A16" i="91"/>
  <c r="A26" i="107"/>
  <c r="A24" i="103"/>
  <c r="A16" i="79"/>
  <c r="A6" i="85"/>
  <c r="A5" i="121"/>
  <c r="A15" i="102"/>
  <c r="A7" i="100"/>
  <c r="A12" i="79"/>
  <c r="A12" i="82"/>
  <c r="A6" i="92"/>
  <c r="A15" i="104"/>
  <c r="A23" i="87"/>
  <c r="A16" i="92"/>
  <c r="A6" i="87"/>
  <c r="A6" i="112"/>
  <c r="A9" i="118"/>
  <c r="A36" i="92"/>
  <c r="A23" i="111"/>
  <c r="A15" i="87"/>
  <c r="A4" i="97"/>
  <c r="A19" i="79"/>
  <c r="A33" i="89"/>
  <c r="A20" i="106"/>
  <c r="A9" i="122"/>
  <c r="A3" i="99"/>
  <c r="A20" i="92"/>
  <c r="A5" i="95"/>
  <c r="A17" i="85"/>
  <c r="A13" i="103"/>
  <c r="A6" i="120"/>
  <c r="A21" i="93"/>
  <c r="A26" i="102"/>
  <c r="A15" i="120"/>
  <c r="A6" i="97"/>
  <c r="A10" i="105"/>
  <c r="A20" i="57"/>
  <c r="A19" i="82"/>
  <c r="A11" i="107"/>
  <c r="A4" i="102"/>
  <c r="A20" i="86"/>
  <c r="A16" i="83"/>
  <c r="A11" i="85"/>
  <c r="A14" i="80"/>
  <c r="A18" i="89"/>
  <c r="A13" i="83"/>
  <c r="A9" i="121"/>
  <c r="A9" i="110"/>
  <c r="A8" i="89"/>
  <c r="A32" i="89"/>
  <c r="A6" i="88"/>
  <c r="A5" i="105"/>
  <c r="A5" i="98"/>
  <c r="A19" i="108"/>
  <c r="A36" i="107"/>
  <c r="A30" i="89"/>
  <c r="A25" i="92"/>
  <c r="A18" i="87"/>
  <c r="A19" i="105"/>
  <c r="A16" i="103"/>
  <c r="A6" i="89"/>
  <c r="A3" i="85"/>
  <c r="A25" i="113"/>
  <c r="A22" i="92"/>
  <c r="A13" i="107"/>
  <c r="A7" i="98"/>
  <c r="A16" i="88"/>
  <c r="A6" i="108"/>
  <c r="A13" i="87"/>
  <c r="A20" i="122"/>
  <c r="A15" i="90"/>
  <c r="A9" i="83"/>
  <c r="A29" i="89"/>
  <c r="A24" i="92"/>
  <c r="A8" i="113"/>
  <c r="A7" i="95"/>
  <c r="A3" i="90"/>
  <c r="A4" i="122"/>
  <c r="A18" i="120"/>
  <c r="A27" i="89"/>
  <c r="A7" i="109"/>
  <c r="A20" i="94"/>
  <c r="A16" i="95"/>
  <c r="A12" i="112"/>
  <c r="A24" i="122"/>
  <c r="A31" i="80"/>
  <c r="A11" i="121"/>
  <c r="A25" i="83"/>
  <c r="A14" i="91"/>
  <c r="A30" i="96"/>
  <c r="A18" i="102"/>
  <c r="A20" i="91"/>
  <c r="A15" i="122"/>
  <c r="A21" i="96"/>
  <c r="A25" i="91"/>
  <c r="A6" i="100"/>
  <c r="A8" i="87"/>
  <c r="A7" i="94"/>
  <c r="A28" i="82"/>
  <c r="A6" i="122"/>
  <c r="A19" i="95"/>
  <c r="A12" i="103"/>
  <c r="A16" i="113"/>
  <c r="A12" i="83"/>
  <c r="A12" i="121"/>
  <c r="A6" i="107"/>
  <c r="A24" i="97"/>
  <c r="A17" i="96"/>
  <c r="A11" i="83"/>
  <c r="A17" i="119"/>
  <c r="A16" i="93"/>
  <c r="A31" i="94"/>
  <c r="A8" i="99"/>
  <c r="A17" i="79"/>
  <c r="A6" i="110"/>
  <c r="A26" i="87"/>
  <c r="A42" i="107"/>
  <c r="A18" i="111"/>
  <c r="A14" i="108"/>
  <c r="A9" i="104"/>
  <c r="A11" i="90"/>
  <c r="A12" i="85"/>
  <c r="A3" i="112"/>
  <c r="A10" i="93"/>
  <c r="A6" i="105"/>
  <c r="A27" i="106"/>
  <c r="A14" i="89"/>
  <c r="A20" i="102"/>
  <c r="A11" i="96"/>
  <c r="A21" i="57"/>
  <c r="A23" i="83"/>
  <c r="A3" i="114"/>
  <c r="A18" i="91"/>
  <c r="A14" i="79"/>
  <c r="A23" i="107"/>
  <c r="A12" i="89"/>
  <c r="A6" i="104"/>
  <c r="A21" i="103"/>
  <c r="A21" i="87"/>
  <c r="A6" i="99"/>
  <c r="A5" i="104"/>
  <c r="A4" i="118"/>
  <c r="A5" i="93"/>
  <c r="A7" i="122"/>
  <c r="A21" i="111"/>
  <c r="A17" i="104"/>
  <c r="A15" i="83"/>
  <c r="A12" i="88"/>
  <c r="A30" i="90"/>
  <c r="A20" i="120"/>
  <c r="A4" i="113"/>
  <c r="A20" i="83"/>
  <c r="A21" i="104"/>
  <c r="A9" i="87"/>
  <c r="A28" i="97"/>
  <c r="A23" i="113"/>
  <c r="A12" i="100"/>
  <c r="A26" i="97"/>
  <c r="A19" i="80"/>
  <c r="A21" i="89"/>
  <c r="A26" i="96"/>
  <c r="A31" i="92"/>
  <c r="A16" i="121"/>
  <c r="A25" i="102"/>
  <c r="A14" i="100"/>
  <c r="A16" i="100"/>
  <c r="A26" i="80"/>
  <c r="A8" i="114"/>
  <c r="A8" i="112"/>
  <c r="A5" i="91"/>
  <c r="A19" i="118"/>
  <c r="A8" i="57"/>
  <c r="A10" i="121"/>
  <c r="A4" i="105"/>
  <c r="A5" i="57"/>
  <c r="A20" i="99"/>
  <c r="A17" i="120"/>
  <c r="A32" i="92"/>
  <c r="A17" i="57"/>
  <c r="A12" i="111"/>
  <c r="A4" i="79"/>
  <c r="A11" i="89"/>
  <c r="A22" i="57"/>
  <c r="A17" i="103"/>
  <c r="A4" i="96"/>
  <c r="A19" i="97"/>
  <c r="A4" i="100"/>
  <c r="A9" i="85"/>
  <c r="A7" i="82"/>
  <c r="A16" i="97"/>
  <c r="A22" i="102"/>
  <c r="A11" i="103"/>
  <c r="A27" i="94"/>
  <c r="A13" i="93"/>
  <c r="A16" i="112"/>
  <c r="A15" i="86"/>
  <c r="A23" i="106"/>
  <c r="A3" i="122"/>
  <c r="A26" i="92"/>
  <c r="A29" i="107"/>
  <c r="A24" i="108"/>
  <c r="A23" i="99"/>
  <c r="A27" i="82"/>
  <c r="A3" i="57"/>
  <c r="A4" i="82"/>
  <c r="A14" i="90"/>
  <c r="A18" i="83"/>
  <c r="A14" i="82"/>
  <c r="A21" i="92"/>
  <c r="A12" i="98"/>
  <c r="A8" i="94"/>
  <c r="A25" i="96"/>
  <c r="A3" i="107"/>
  <c r="A19" i="110"/>
  <c r="A3" i="103"/>
  <c r="A13" i="96"/>
  <c r="A23" i="57"/>
  <c r="A29" i="86"/>
  <c r="A7" i="97"/>
  <c r="A4" i="88"/>
  <c r="A31" i="57"/>
  <c r="A14" i="86"/>
  <c r="A28" i="94"/>
  <c r="A24" i="120"/>
  <c r="A11" i="93"/>
  <c r="A11" i="92"/>
  <c r="A18" i="105"/>
  <c r="A25" i="88"/>
  <c r="A7" i="85"/>
  <c r="A8" i="82"/>
  <c r="A24" i="102"/>
  <c r="A26" i="99"/>
  <c r="A16" i="82"/>
  <c r="A26" i="111"/>
  <c r="A7" i="80"/>
  <c r="A17" i="92"/>
  <c r="A15" i="94"/>
  <c r="A17" i="83"/>
  <c r="A12" i="108"/>
  <c r="A19" i="111"/>
  <c r="A26" i="94"/>
  <c r="A25" i="97"/>
  <c r="A13" i="110"/>
  <c r="A13" i="86"/>
  <c r="A13" i="90"/>
  <c r="A3" i="100"/>
  <c r="A20" i="97"/>
  <c r="A19" i="89"/>
  <c r="A28" i="92"/>
  <c r="A10" i="108"/>
  <c r="A26" i="86"/>
  <c r="A3" i="121"/>
  <c r="A9" i="106"/>
  <c r="A21" i="119"/>
  <c r="A23" i="94"/>
  <c r="A15" i="103"/>
  <c r="A27" i="90"/>
  <c r="A20" i="111"/>
  <c r="A24" i="94"/>
  <c r="A24" i="82"/>
  <c r="A12" i="93"/>
  <c r="A28" i="89"/>
  <c r="A19" i="113"/>
  <c r="A15" i="96"/>
  <c r="A14" i="118"/>
  <c r="A18" i="88"/>
  <c r="A13" i="80"/>
  <c r="A10" i="99"/>
  <c r="A18" i="108"/>
  <c r="A11" i="98"/>
  <c r="A15" i="79"/>
  <c r="A22" i="119"/>
  <c r="A16" i="102"/>
  <c r="A17" i="95"/>
  <c r="A19" i="91"/>
  <c r="A7" i="103"/>
  <c r="A8" i="80"/>
  <c r="A18" i="80"/>
  <c r="A7" i="110"/>
  <c r="A3" i="109"/>
  <c r="A9" i="95"/>
  <c r="A6" i="118"/>
  <c r="A20" i="113"/>
  <c r="A29" i="90"/>
  <c r="A3" i="79"/>
  <c r="A27" i="104"/>
  <c r="A7" i="87"/>
  <c r="A11" i="120"/>
  <c r="A12" i="91"/>
  <c r="A14" i="85"/>
  <c r="A27" i="102"/>
  <c r="A16" i="98"/>
  <c r="A21" i="97"/>
  <c r="A21" i="99"/>
  <c r="A7" i="108"/>
  <c r="A25" i="99"/>
  <c r="A12" i="99"/>
  <c r="A24" i="57"/>
  <c r="A6" i="90"/>
  <c r="A17" i="118"/>
  <c r="A11" i="94"/>
  <c r="A29" i="57"/>
  <c r="A10" i="100"/>
  <c r="A25" i="107"/>
  <c r="A8" i="93"/>
  <c r="A10" i="96"/>
  <c r="A19" i="106"/>
  <c r="A14" i="109"/>
  <c r="A27" i="80"/>
  <c r="A10" i="80"/>
  <c r="A28" i="108"/>
  <c r="A32" i="108"/>
  <c r="A4" i="121"/>
  <c r="A23" i="85"/>
  <c r="A5" i="102"/>
  <c r="A8" i="111"/>
  <c r="A18" i="99"/>
  <c r="A25" i="100"/>
  <c r="A31" i="108"/>
  <c r="A9" i="102"/>
  <c r="A8" i="105"/>
  <c r="A22" i="94"/>
  <c r="A3" i="80"/>
  <c r="A6" i="57"/>
  <c r="A6" i="119"/>
  <c r="A23" i="80"/>
  <c r="A11" i="104"/>
  <c r="A8" i="86"/>
  <c r="A3" i="86"/>
  <c r="A8" i="106"/>
  <c r="A20" i="104"/>
  <c r="A22" i="88"/>
  <c r="A3" i="120"/>
  <c r="A17" i="107"/>
  <c r="A8" i="108"/>
  <c r="A24" i="110"/>
  <c r="A14" i="112"/>
  <c r="A4" i="87"/>
  <c r="A7" i="105"/>
  <c r="A17" i="113"/>
  <c r="A28" i="90"/>
  <c r="A14" i="57"/>
  <c r="A24" i="113"/>
  <c r="A4" i="114"/>
  <c r="A13" i="106"/>
  <c r="A5" i="97"/>
  <c r="A28" i="80"/>
  <c r="A7" i="107"/>
  <c r="A26" i="110"/>
  <c r="A31" i="86"/>
  <c r="A3" i="108"/>
  <c r="A27" i="93"/>
  <c r="A23" i="89"/>
  <c r="A20" i="88"/>
  <c r="A30" i="105"/>
  <c r="A6" i="82"/>
  <c r="A24" i="93"/>
  <c r="A15" i="99"/>
  <c r="A14" i="106"/>
  <c r="A5" i="112"/>
  <c r="A11" i="119"/>
  <c r="A25" i="106"/>
  <c r="A19" i="103"/>
  <c r="A22" i="100"/>
  <c r="A16" i="96"/>
  <c r="A14" i="83"/>
  <c r="A6" i="91"/>
  <c r="A13" i="119"/>
  <c r="A11" i="95"/>
  <c r="A30" i="94"/>
  <c r="A16" i="111"/>
  <c r="A16" i="57"/>
  <c r="A8" i="79"/>
  <c r="A25" i="122"/>
  <c r="A25" i="89"/>
  <c r="A4" i="119"/>
  <c r="A10" i="110"/>
  <c r="A28" i="107"/>
  <c r="A25" i="104"/>
  <c r="A19" i="107"/>
  <c r="A28" i="105"/>
  <c r="A22" i="110"/>
  <c r="A9" i="80"/>
  <c r="A22" i="90"/>
  <c r="A17" i="106"/>
  <c r="A7" i="118"/>
  <c r="A15" i="92"/>
  <c r="A25" i="110"/>
  <c r="A16" i="94"/>
  <c r="A20" i="100"/>
  <c r="A9" i="113"/>
  <c r="A9" i="108"/>
  <c r="A11" i="113"/>
  <c r="A20" i="103"/>
  <c r="A35" i="92"/>
  <c r="A19" i="96"/>
  <c r="A10" i="95"/>
  <c r="A23" i="104"/>
  <c r="A18" i="121"/>
  <c r="A29" i="96"/>
  <c r="A3" i="119"/>
  <c r="A26" i="108"/>
  <c r="A9" i="93"/>
  <c r="A10" i="119"/>
  <c r="A23" i="120"/>
  <c r="A13" i="99"/>
  <c r="A16" i="122"/>
  <c r="A16" i="120"/>
  <c r="A3" i="111"/>
  <c r="A12" i="118"/>
  <c r="A14" i="97"/>
  <c r="A14" i="95"/>
  <c r="A7" i="79"/>
  <c r="A29" i="92"/>
  <c r="A22" i="99"/>
  <c r="A12" i="86"/>
  <c r="A21" i="105"/>
  <c r="A22" i="89"/>
  <c r="A6" i="98"/>
  <c r="A17" i="89"/>
  <c r="A9" i="94"/>
  <c r="A23" i="100"/>
  <c r="A30" i="106"/>
  <c r="A27" i="100"/>
  <c r="A21" i="94"/>
  <c r="A24" i="85"/>
  <c r="A12" i="92"/>
  <c r="A16" i="86"/>
  <c r="A30" i="80"/>
  <c r="A5" i="89"/>
  <c r="A10" i="89"/>
  <c r="A17" i="109"/>
  <c r="A19" i="92"/>
  <c r="A11" i="79"/>
  <c r="A17" i="100"/>
  <c r="A39" i="108"/>
  <c r="A17" i="80"/>
  <c r="A12" i="109"/>
  <c r="A6" i="96"/>
  <c r="A4" i="93"/>
  <c r="A25" i="94"/>
  <c r="A13" i="113"/>
  <c r="A25" i="119"/>
  <c r="A21" i="85"/>
  <c r="A23" i="108"/>
  <c r="A22" i="83"/>
  <c r="A21" i="83"/>
  <c r="A14" i="103"/>
  <c r="A10" i="114"/>
  <c r="A12" i="104"/>
  <c r="A23" i="102"/>
  <c r="A11" i="122"/>
  <c r="A22" i="80"/>
  <c r="A17" i="98"/>
  <c r="A9" i="105"/>
  <c r="A3" i="113"/>
  <c r="A8" i="102"/>
  <c r="A15" i="110"/>
  <c r="A20" i="96"/>
  <c r="A11" i="110"/>
  <c r="A13" i="79"/>
  <c r="A27" i="96"/>
  <c r="A28" i="86"/>
  <c r="A14" i="104"/>
  <c r="A4" i="120"/>
  <c r="A29" i="85"/>
  <c r="A24" i="90"/>
  <c r="A8" i="97"/>
  <c r="A13" i="109"/>
  <c r="A6" i="95"/>
  <c r="A15" i="121"/>
  <c r="A15" i="113"/>
  <c r="A15" i="108"/>
  <c r="A12" i="106"/>
  <c r="A11" i="112"/>
  <c r="A24" i="100"/>
  <c r="A14" i="93"/>
  <c r="A9" i="99"/>
  <c r="A19" i="119"/>
  <c r="A14" i="120"/>
  <c r="A13" i="89"/>
  <c r="A9" i="107"/>
  <c r="A23" i="86"/>
  <c r="A31" i="107"/>
  <c r="A29" i="105"/>
  <c r="A7" i="120"/>
  <c r="A23" i="90"/>
  <c r="A20" i="82"/>
  <c r="A27" i="113"/>
  <c r="A5" i="107"/>
  <c r="A41" i="107"/>
  <c r="A24" i="91"/>
  <c r="A23" i="122"/>
  <c r="A21" i="108"/>
  <c r="A11" i="105"/>
  <c r="A18" i="92"/>
  <c r="A20" i="89"/>
  <c r="A10" i="85"/>
  <c r="A24" i="99"/>
  <c r="A8" i="83"/>
  <c r="A12" i="119"/>
  <c r="A4" i="111"/>
  <c r="A17" i="112"/>
  <c r="A17" i="90"/>
  <c r="A23" i="110"/>
  <c r="A26" i="106"/>
  <c r="A13" i="95"/>
  <c r="A11" i="111"/>
  <c r="A12" i="97"/>
  <c r="A12" i="107"/>
  <c r="A13" i="94"/>
  <c r="A28" i="96"/>
  <c r="A10" i="57"/>
  <c r="A7" i="90"/>
  <c r="A21" i="80"/>
  <c r="A7" i="86"/>
  <c r="A7" i="111"/>
  <c r="A5" i="87"/>
  <c r="A24" i="96"/>
  <c r="A5" i="79"/>
  <c r="A7" i="99"/>
  <c r="A29" i="106"/>
  <c r="A24" i="107"/>
  <c r="A34" i="108"/>
  <c r="A8" i="121"/>
  <c r="A29" i="87"/>
  <c r="A7" i="92"/>
  <c r="A9" i="90"/>
  <c r="A3" i="102"/>
  <c r="A22" i="111"/>
  <c r="A4" i="57"/>
  <c r="A8" i="104"/>
  <c r="A24" i="80"/>
  <c r="A26" i="89"/>
  <c r="A22" i="86"/>
  <c r="A19" i="99"/>
  <c r="A4" i="112"/>
  <c r="A15" i="97"/>
  <c r="A17" i="122"/>
  <c r="A16" i="104"/>
  <c r="A5" i="108"/>
  <c r="A8" i="91"/>
  <c r="A5" i="100"/>
  <c r="A6" i="102"/>
  <c r="A18" i="107"/>
  <c r="A21" i="106"/>
  <c r="A29" i="108"/>
  <c r="A3" i="104"/>
  <c r="A9" i="109"/>
  <c r="A13" i="122"/>
  <c r="A17" i="108"/>
  <c r="A3" i="98"/>
  <c r="A24" i="86"/>
  <c r="A26" i="100"/>
  <c r="A13" i="98"/>
  <c r="A18" i="103"/>
  <c r="A23" i="82"/>
  <c r="A10" i="102"/>
  <c r="A4" i="99"/>
  <c r="A3" i="89"/>
  <c r="A26" i="104"/>
  <c r="A6" i="121"/>
  <c r="A26" i="113"/>
  <c r="A3" i="96"/>
  <c r="A4" i="98"/>
  <c r="A20" i="119"/>
  <c r="A20" i="108"/>
  <c r="A4" i="110"/>
  <c r="A35" i="108"/>
  <c r="A25" i="85"/>
  <c r="A6" i="83"/>
  <c r="A25" i="80"/>
  <c r="A9" i="91"/>
  <c r="A10" i="79"/>
  <c r="A27" i="97"/>
  <c r="A6" i="86"/>
  <c r="A5" i="86"/>
  <c r="A16" i="80"/>
  <c r="A6" i="113"/>
  <c r="A21" i="102"/>
  <c r="A8" i="85"/>
  <c r="A21" i="90"/>
  <c r="A21" i="82"/>
  <c r="A5" i="114"/>
  <c r="A17" i="105"/>
  <c r="A32" i="80"/>
  <c r="A8" i="103"/>
  <c r="A30" i="86"/>
  <c r="A22" i="108"/>
  <c r="A28" i="88"/>
  <c r="A26" i="82"/>
  <c r="A11" i="118"/>
  <c r="A27" i="110"/>
  <c r="A7" i="88"/>
  <c r="A5" i="103"/>
  <c r="A10" i="90"/>
  <c r="A9" i="120"/>
  <c r="A12" i="102"/>
  <c r="A12" i="113"/>
  <c r="A11" i="114"/>
  <c r="A14" i="96"/>
  <c r="A30" i="57"/>
  <c r="A22" i="122"/>
  <c r="A7" i="113"/>
  <c r="A10" i="104"/>
  <c r="A9" i="114"/>
  <c r="A13" i="111"/>
  <c r="A22" i="97"/>
  <c r="A28" i="113"/>
  <c r="A18" i="113"/>
  <c r="A18" i="90"/>
  <c r="A34" i="107"/>
  <c r="A33" i="92"/>
  <c r="A12" i="120"/>
  <c r="A18" i="95"/>
  <c r="A10" i="98"/>
  <c r="A3" i="87"/>
  <c r="A3" i="94"/>
  <c r="A11" i="86"/>
  <c r="A6" i="94"/>
  <c r="A4" i="108"/>
  <c r="A21" i="95"/>
  <c r="A12" i="95"/>
  <c r="A8" i="109"/>
  <c r="A33" i="107"/>
  <c r="A25" i="87"/>
  <c r="A31" i="89"/>
  <c r="A25" i="95"/>
  <c r="A12" i="96"/>
  <c r="A12" i="57"/>
  <c r="A15" i="80"/>
  <c r="A14" i="121"/>
  <c r="A14" i="111"/>
  <c r="A9" i="79"/>
  <c r="A22" i="82"/>
  <c r="A27" i="85"/>
  <c r="A14" i="94"/>
  <c r="A13" i="112"/>
  <c r="A31" i="88"/>
  <c r="A4" i="92"/>
  <c r="A26" i="105"/>
  <c r="A18" i="112"/>
  <c r="A18" i="119"/>
  <c r="A9" i="57"/>
  <c r="A18" i="98"/>
  <c r="A5" i="110"/>
  <c r="A14" i="99"/>
  <c r="A12" i="90"/>
  <c r="A26" i="90"/>
  <c r="A4" i="85"/>
  <c r="A37" i="107"/>
  <c r="A27" i="91"/>
  <c r="A20" i="105"/>
  <c r="A9" i="86"/>
  <c r="A9" i="97"/>
  <c r="A11" i="82"/>
  <c r="A22" i="95"/>
  <c r="A14" i="87"/>
  <c r="A5" i="109"/>
  <c r="A40" i="108"/>
  <c r="A36" i="108"/>
  <c r="A9" i="92"/>
  <c r="A9" i="111"/>
</calcChain>
</file>

<file path=xl/sharedStrings.xml><?xml version="1.0" encoding="utf-8"?>
<sst xmlns="http://schemas.openxmlformats.org/spreadsheetml/2006/main" count="3544" uniqueCount="89">
  <si>
    <t>汇总统计</t>
  </si>
  <si>
    <t>白班</t>
  </si>
  <si>
    <t>夜班</t>
  </si>
  <si>
    <t>总小时数</t>
  </si>
  <si>
    <t>调度席</t>
  </si>
  <si>
    <t>目录</t>
  </si>
  <si>
    <t>带班</t>
  </si>
  <si>
    <t>席位</t>
  </si>
  <si>
    <t>教员</t>
  </si>
  <si>
    <t>温若春</t>
  </si>
  <si>
    <t>明嘉</t>
  </si>
  <si>
    <t>徐万友</t>
  </si>
  <si>
    <t>耿若岩</t>
  </si>
  <si>
    <t>李明</t>
  </si>
  <si>
    <t>张虎</t>
  </si>
  <si>
    <t>马莲花</t>
  </si>
  <si>
    <t>刘国莲</t>
  </si>
  <si>
    <t>杜涛</t>
  </si>
  <si>
    <t>张文中</t>
  </si>
  <si>
    <t xml:space="preserve"> </t>
  </si>
  <si>
    <t>李秋实</t>
  </si>
  <si>
    <t>周岸</t>
  </si>
  <si>
    <t>詹泽彬</t>
  </si>
  <si>
    <t>张笑延</t>
  </si>
  <si>
    <t>沈宁</t>
  </si>
  <si>
    <t>胡鑫</t>
  </si>
  <si>
    <t>邓心豪</t>
  </si>
  <si>
    <t>黄恩</t>
  </si>
  <si>
    <t>严亮</t>
  </si>
  <si>
    <t>边昊</t>
  </si>
  <si>
    <t>张宗根</t>
  </si>
  <si>
    <t>宋天霖</t>
  </si>
  <si>
    <t>蔡昊霖</t>
  </si>
  <si>
    <t>叶大鹏</t>
  </si>
  <si>
    <t>王建超</t>
  </si>
  <si>
    <t>潘伟生</t>
  </si>
  <si>
    <t>王风瑞</t>
  </si>
  <si>
    <t>金鼎</t>
  </si>
  <si>
    <t>董志华</t>
  </si>
  <si>
    <t>姜文夫</t>
  </si>
  <si>
    <t>郭永杰</t>
  </si>
  <si>
    <t>朱永春</t>
  </si>
  <si>
    <t>刘琦</t>
  </si>
  <si>
    <t>吴疆</t>
  </si>
  <si>
    <t>巴富毅</t>
  </si>
  <si>
    <t>陈宏伟</t>
  </si>
  <si>
    <t>蒋露裕</t>
  </si>
  <si>
    <t>蓝宇航</t>
  </si>
  <si>
    <t>返回目录</t>
  </si>
  <si>
    <t>日  期</t>
  </si>
  <si>
    <t>岗  位</t>
  </si>
  <si>
    <t>上岗时刻</t>
  </si>
  <si>
    <t>交接班</t>
  </si>
  <si>
    <t>离岗时刻</t>
  </si>
  <si>
    <t>时段工作小时</t>
  </si>
  <si>
    <t>白班小时</t>
  </si>
  <si>
    <t>夜班小时 (0200-0800)</t>
  </si>
  <si>
    <t>统   计</t>
  </si>
  <si>
    <t>各席位总小时</t>
  </si>
  <si>
    <t>夜班小时 (0000-0800)</t>
  </si>
  <si>
    <t>备注</t>
  </si>
  <si>
    <t>带班主任</t>
  </si>
  <si>
    <t>完成</t>
  </si>
  <si>
    <t>带班主任席执勤小时</t>
  </si>
  <si>
    <t>机场管制席执勤小时</t>
  </si>
  <si>
    <t>机场协调席执勤小时</t>
  </si>
  <si>
    <t>放行席执勤小时</t>
  </si>
  <si>
    <t>地面席执勤小时</t>
  </si>
  <si>
    <t>生产调度席执勤小时</t>
  </si>
  <si>
    <t>航班调度席执勤小时</t>
  </si>
  <si>
    <t>综合协调席小时</t>
  </si>
  <si>
    <t>见习管制员小时</t>
  </si>
  <si>
    <t>管制教员席小时</t>
  </si>
  <si>
    <t>东塔台管制席</t>
  </si>
  <si>
    <t>月度总小时统计</t>
  </si>
  <si>
    <t>西塔台管制席</t>
  </si>
  <si>
    <t>西塔台协调席</t>
  </si>
  <si>
    <t>统计</t>
  </si>
  <si>
    <t>席位执勤小时</t>
  </si>
  <si>
    <t>管制教员小时</t>
  </si>
  <si>
    <t>月度总小时</t>
  </si>
  <si>
    <t>东塔台协调席</t>
  </si>
  <si>
    <t>地面席</t>
  </si>
  <si>
    <t>放行席</t>
  </si>
  <si>
    <t>航班调度席</t>
  </si>
  <si>
    <t>综合协调席</t>
  </si>
  <si>
    <t>管制教员席</t>
  </si>
  <si>
    <t>见习管制员</t>
  </si>
  <si>
    <t>生产调度席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</si>
</sst>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8" formatCode="0.0_ "/>
    <numFmt numFmtId="179" formatCode="0.00_);[Red]\(0.00\)"/>
    <numFmt numFmtId="180" formatCode="h:mm:ss;@"/>
    <numFmt numFmtId="181" formatCode="0.0_);[Red]\(0.0\)"/>
    <numFmt numFmtId="182" formatCode="0.0"/>
    <numFmt numFmtId="183" formatCode="0.00_ "/>
  </numFmts>
  <fonts count="18" x14ac:knownFonts="1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rgb="FFFF0000"/>
      <name val="宋体"/>
      <charset val="134"/>
      <scheme val="minor"/>
    </font>
    <font>
      <b/>
      <sz val="14"/>
      <color theme="4"/>
      <name val="宋体"/>
      <charset val="134"/>
      <scheme val="minor"/>
    </font>
    <font>
      <b/>
      <sz val="14"/>
      <color theme="7"/>
      <name val="宋体"/>
      <charset val="134"/>
      <scheme val="minor"/>
    </font>
    <font>
      <b/>
      <sz val="14"/>
      <color theme="9"/>
      <name val="宋体"/>
      <charset val="134"/>
      <scheme val="minor"/>
    </font>
    <font>
      <b/>
      <sz val="18"/>
      <color theme="1"/>
      <name val="宋体"/>
      <charset val="134"/>
      <scheme val="minor"/>
    </font>
    <font>
      <sz val="18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6"/>
      <color theme="1"/>
      <name val="宋体"/>
      <charset val="134"/>
      <scheme val="minor"/>
    </font>
    <font>
      <b/>
      <sz val="16"/>
      <color rgb="FFFF00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20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NumberFormat="1"/>
    <xf numFmtId="178" fontId="0" fillId="0" borderId="0" xfId="0" applyNumberFormat="1"/>
    <xf numFmtId="179" fontId="0" fillId="0" borderId="0" xfId="0" applyNumberFormat="1"/>
    <xf numFmtId="179" fontId="1" fillId="0" borderId="0" xfId="0" applyNumberFormat="1" applyFont="1"/>
    <xf numFmtId="180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 wrapText="1"/>
    </xf>
    <xf numFmtId="178" fontId="3" fillId="0" borderId="1" xfId="0" applyNumberFormat="1" applyFont="1" applyBorder="1" applyAlignment="1">
      <alignment horizontal="center" vertical="center" wrapText="1"/>
    </xf>
    <xf numFmtId="179" fontId="1" fillId="0" borderId="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 wrapText="1"/>
    </xf>
    <xf numFmtId="179" fontId="1" fillId="0" borderId="1" xfId="0" applyNumberFormat="1" applyFont="1" applyFill="1" applyBorder="1" applyAlignment="1">
      <alignment horizontal="center" vertical="center" wrapText="1"/>
    </xf>
    <xf numFmtId="179" fontId="5" fillId="0" borderId="1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 vertical="center"/>
    </xf>
    <xf numFmtId="181" fontId="5" fillId="0" borderId="1" xfId="0" applyNumberFormat="1" applyFont="1" applyFill="1" applyBorder="1" applyAlignment="1"/>
    <xf numFmtId="0" fontId="0" fillId="0" borderId="1" xfId="0" applyFont="1" applyFill="1" applyBorder="1" applyAlignment="1"/>
    <xf numFmtId="21" fontId="0" fillId="0" borderId="0" xfId="0" applyNumberFormat="1"/>
    <xf numFmtId="179" fontId="6" fillId="0" borderId="1" xfId="0" applyNumberFormat="1" applyFont="1" applyFill="1" applyBorder="1" applyAlignment="1">
      <alignment horizontal="center" vertical="center"/>
    </xf>
    <xf numFmtId="178" fontId="6" fillId="0" borderId="1" xfId="0" applyNumberFormat="1" applyFont="1" applyFill="1" applyBorder="1" applyAlignment="1">
      <alignment horizontal="center" vertical="center"/>
    </xf>
    <xf numFmtId="181" fontId="6" fillId="0" borderId="1" xfId="0" applyNumberFormat="1" applyFont="1" applyFill="1" applyBorder="1" applyAlignment="1"/>
    <xf numFmtId="179" fontId="7" fillId="0" borderId="1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181" fontId="7" fillId="0" borderId="1" xfId="0" applyNumberFormat="1" applyFont="1" applyFill="1" applyBorder="1" applyAlignment="1"/>
    <xf numFmtId="179" fontId="8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181" fontId="8" fillId="0" borderId="1" xfId="0" applyNumberFormat="1" applyFont="1" applyFill="1" applyBorder="1" applyAlignment="1"/>
    <xf numFmtId="179" fontId="11" fillId="0" borderId="2" xfId="0" applyNumberFormat="1" applyFont="1" applyFill="1" applyBorder="1" applyAlignment="1">
      <alignment horizontal="center" vertical="center"/>
    </xf>
    <xf numFmtId="180" fontId="11" fillId="0" borderId="2" xfId="0" applyNumberFormat="1" applyFont="1" applyFill="1" applyBorder="1" applyAlignment="1">
      <alignment horizontal="center" vertical="center" wrapText="1"/>
    </xf>
    <xf numFmtId="180" fontId="11" fillId="2" borderId="2" xfId="0" applyNumberFormat="1" applyFont="1" applyFill="1" applyBorder="1" applyAlignment="1">
      <alignment horizontal="center" vertical="center" wrapText="1"/>
    </xf>
    <xf numFmtId="179" fontId="11" fillId="3" borderId="2" xfId="0" applyNumberFormat="1" applyFont="1" applyFill="1" applyBorder="1" applyAlignment="1">
      <alignment horizontal="center" vertical="center" wrapText="1"/>
    </xf>
    <xf numFmtId="180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/>
    </xf>
    <xf numFmtId="181" fontId="12" fillId="0" borderId="1" xfId="0" applyNumberFormat="1" applyFont="1" applyFill="1" applyBorder="1" applyAlignment="1">
      <alignment horizontal="center"/>
    </xf>
    <xf numFmtId="181" fontId="12" fillId="2" borderId="1" xfId="0" applyNumberFormat="1" applyFont="1" applyFill="1" applyBorder="1" applyAlignment="1">
      <alignment horizontal="center"/>
    </xf>
    <xf numFmtId="181" fontId="12" fillId="3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79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81" fontId="12" fillId="0" borderId="1" xfId="0" applyNumberFormat="1" applyFont="1" applyBorder="1" applyAlignment="1">
      <alignment horizontal="center"/>
    </xf>
    <xf numFmtId="0" fontId="0" fillId="0" borderId="1" xfId="0" applyBorder="1"/>
    <xf numFmtId="179" fontId="4" fillId="0" borderId="1" xfId="0" applyNumberFormat="1" applyFont="1" applyBorder="1" applyAlignment="1">
      <alignment horizontal="center" vertical="center"/>
    </xf>
    <xf numFmtId="46" fontId="5" fillId="0" borderId="1" xfId="0" applyNumberFormat="1" applyFont="1" applyBorder="1" applyAlignment="1">
      <alignment horizontal="center" vertical="center"/>
    </xf>
    <xf numFmtId="0" fontId="16" fillId="5" borderId="1" xfId="0" applyFont="1" applyFill="1" applyBorder="1" applyAlignment="1">
      <alignment horizontal="center"/>
    </xf>
    <xf numFmtId="0" fontId="2" fillId="0" borderId="1" xfId="1" applyFont="1" applyBorder="1" applyAlignment="1"/>
    <xf numFmtId="178" fontId="16" fillId="0" borderId="1" xfId="0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/>
    </xf>
    <xf numFmtId="0" fontId="14" fillId="0" borderId="1" xfId="1" applyFont="1" applyBorder="1" applyAlignment="1"/>
    <xf numFmtId="0" fontId="14" fillId="0" borderId="1" xfId="1" applyBorder="1" applyAlignment="1"/>
    <xf numFmtId="182" fontId="0" fillId="0" borderId="1" xfId="0" applyNumberFormat="1" applyBorder="1" applyAlignment="1">
      <alignment horizontal="center" vertical="center"/>
    </xf>
    <xf numFmtId="183" fontId="0" fillId="0" borderId="0" xfId="0" applyNumberFormat="1"/>
    <xf numFmtId="182" fontId="16" fillId="0" borderId="1" xfId="0" applyNumberFormat="1" applyFont="1" applyBorder="1" applyAlignment="1">
      <alignment horizontal="center" vertical="center"/>
    </xf>
    <xf numFmtId="0" fontId="16" fillId="0" borderId="0" xfId="0" applyFont="1"/>
    <xf numFmtId="0" fontId="16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180" fontId="14" fillId="0" borderId="1" xfId="1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81" fontId="13" fillId="0" borderId="3" xfId="0" applyNumberFormat="1" applyFont="1" applyFill="1" applyBorder="1" applyAlignment="1">
      <alignment horizontal="center" vertical="center"/>
    </xf>
    <xf numFmtId="181" fontId="13" fillId="0" borderId="4" xfId="0" applyNumberFormat="1" applyFont="1" applyFill="1" applyBorder="1" applyAlignment="1">
      <alignment horizontal="center" vertical="center"/>
    </xf>
    <xf numFmtId="181" fontId="13" fillId="0" borderId="5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180" fontId="2" fillId="0" borderId="1" xfId="1" applyNumberFormat="1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2"/>
  <sheetViews>
    <sheetView topLeftCell="A4" workbookViewId="0">
      <selection activeCell="A39" sqref="A39"/>
    </sheetView>
  </sheetViews>
  <sheetFormatPr defaultColWidth="9" defaultRowHeight="13.5" x14ac:dyDescent="0.15"/>
  <cols>
    <col min="10" max="10" width="10.375" customWidth="1"/>
  </cols>
  <sheetData>
    <row r="1" spans="1:15" ht="14.1" customHeight="1" x14ac:dyDescent="0.15">
      <c r="A1" s="44"/>
      <c r="B1" s="61" t="s">
        <v>0</v>
      </c>
      <c r="C1" s="61"/>
      <c r="D1" s="61"/>
      <c r="E1" s="61"/>
      <c r="F1" s="61"/>
      <c r="G1" s="61"/>
    </row>
    <row r="2" spans="1:15" ht="14.1" customHeight="1" x14ac:dyDescent="0.15">
      <c r="A2" s="44"/>
      <c r="B2" s="61"/>
      <c r="C2" s="61"/>
      <c r="D2" s="61"/>
      <c r="E2" s="61"/>
      <c r="F2" s="61"/>
      <c r="G2" s="61"/>
    </row>
    <row r="3" spans="1:15" ht="14.1" customHeight="1" x14ac:dyDescent="0.15">
      <c r="A3" s="44"/>
      <c r="B3" s="57" t="s">
        <v>1</v>
      </c>
      <c r="C3" s="57"/>
      <c r="D3" s="57"/>
      <c r="E3" s="57" t="s">
        <v>2</v>
      </c>
      <c r="F3" s="58"/>
      <c r="G3" s="58"/>
      <c r="H3" s="59" t="s">
        <v>3</v>
      </c>
      <c r="I3" s="59" t="s">
        <v>4</v>
      </c>
    </row>
    <row r="4" spans="1:15" x14ac:dyDescent="0.15">
      <c r="A4" s="44" t="s">
        <v>5</v>
      </c>
      <c r="B4" s="47" t="s">
        <v>6</v>
      </c>
      <c r="C4" s="47" t="s">
        <v>7</v>
      </c>
      <c r="D4" s="47" t="s">
        <v>8</v>
      </c>
      <c r="E4" s="47" t="s">
        <v>6</v>
      </c>
      <c r="F4" s="47" t="s">
        <v>7</v>
      </c>
      <c r="G4" s="47" t="s">
        <v>8</v>
      </c>
      <c r="H4" s="60"/>
      <c r="I4" s="60"/>
    </row>
    <row r="5" spans="1:15" x14ac:dyDescent="0.15">
      <c r="A5" s="48" t="s">
        <v>9</v>
      </c>
      <c r="B5" s="49">
        <f>温若春!K16</f>
        <v>52.269166666666706</v>
      </c>
      <c r="C5" s="49">
        <f>温若春!K17</f>
        <v>5.6161111111110955</v>
      </c>
      <c r="D5" s="49">
        <f>温若春!K19</f>
        <v>0</v>
      </c>
      <c r="E5" s="49">
        <f>温若春!L16</f>
        <v>35.575555555555525</v>
      </c>
      <c r="F5" s="49">
        <f>温若春!L17</f>
        <v>10.059444444444445</v>
      </c>
      <c r="G5" s="49">
        <f>温若春!L19</f>
        <v>0</v>
      </c>
      <c r="H5" s="50">
        <f>SUM(B5:G5)</f>
        <v>103.52027777777778</v>
      </c>
      <c r="I5" s="53">
        <f>温若春!J21</f>
        <v>0</v>
      </c>
      <c r="J5" s="54">
        <f>SUM(H5:I5)</f>
        <v>103.52027777777778</v>
      </c>
    </row>
    <row r="6" spans="1:15" x14ac:dyDescent="0.15">
      <c r="A6" s="51" t="s">
        <v>10</v>
      </c>
      <c r="B6" s="50">
        <f>明嘉!K16</f>
        <v>0</v>
      </c>
      <c r="C6" s="50">
        <f>明嘉!K17</f>
        <v>29.254444444444466</v>
      </c>
      <c r="D6" s="50">
        <f>明嘉!K19</f>
        <v>0</v>
      </c>
      <c r="E6" s="49">
        <f>明嘉!L16</f>
        <v>0</v>
      </c>
      <c r="F6" s="49">
        <f>明嘉!L17</f>
        <v>22.130277777777749</v>
      </c>
      <c r="G6" s="49">
        <f>明嘉!L19</f>
        <v>0</v>
      </c>
      <c r="H6" s="50">
        <f t="shared" ref="H6:H39" si="0">SUM(B6:G6)</f>
        <v>51.384722222222216</v>
      </c>
      <c r="I6" s="53">
        <f>明嘉!J21</f>
        <v>0</v>
      </c>
      <c r="J6" s="54">
        <f t="shared" ref="J6:J39" si="1">SUM(H6:I6)</f>
        <v>51.384722222222216</v>
      </c>
    </row>
    <row r="7" spans="1:15" x14ac:dyDescent="0.15">
      <c r="A7" s="48" t="s">
        <v>11</v>
      </c>
      <c r="B7" s="49">
        <f>徐万友!K16</f>
        <v>6.3672222222222219</v>
      </c>
      <c r="C7" s="49">
        <f>徐万友!K17</f>
        <v>32.596944444444453</v>
      </c>
      <c r="D7" s="49">
        <f>徐万友!K19</f>
        <v>0</v>
      </c>
      <c r="E7" s="49">
        <f>徐万友!L16</f>
        <v>4.1116666666666566</v>
      </c>
      <c r="F7" s="49">
        <f>徐万友!L17</f>
        <v>33.689444444444391</v>
      </c>
      <c r="G7" s="49">
        <f>徐万友!L19</f>
        <v>0</v>
      </c>
      <c r="H7" s="50">
        <f t="shared" si="0"/>
        <v>76.765277777777726</v>
      </c>
      <c r="I7" s="53">
        <f>徐万友!J21</f>
        <v>0</v>
      </c>
      <c r="J7" s="54">
        <f t="shared" si="1"/>
        <v>76.765277777777726</v>
      </c>
    </row>
    <row r="8" spans="1:15" x14ac:dyDescent="0.15">
      <c r="A8" s="52" t="s">
        <v>12</v>
      </c>
      <c r="B8" s="49">
        <f>耿若岩!K16</f>
        <v>0</v>
      </c>
      <c r="C8" s="49">
        <f>耿若岩!K17</f>
        <v>40.228888888888875</v>
      </c>
      <c r="D8" s="49">
        <f>耿若岩!K19</f>
        <v>0</v>
      </c>
      <c r="E8" s="49">
        <f>耿若岩!L16</f>
        <v>0</v>
      </c>
      <c r="F8" s="49">
        <f>耿若岩!L17</f>
        <v>25.163333333333327</v>
      </c>
      <c r="G8" s="49">
        <f>耿若岩!L19</f>
        <v>0</v>
      </c>
      <c r="H8" s="50">
        <f t="shared" si="0"/>
        <v>65.392222222222202</v>
      </c>
      <c r="I8" s="55">
        <f>耿若岩!J21</f>
        <v>3.9519444444444245</v>
      </c>
      <c r="J8" s="54">
        <f t="shared" si="1"/>
        <v>69.344166666666624</v>
      </c>
    </row>
    <row r="9" spans="1:15" x14ac:dyDescent="0.15">
      <c r="A9" s="48" t="s">
        <v>13</v>
      </c>
      <c r="B9" s="49">
        <f>李明!K16</f>
        <v>0</v>
      </c>
      <c r="C9" s="49">
        <f>李明!K17</f>
        <v>35.432777777777765</v>
      </c>
      <c r="D9" s="49">
        <f>李明!K19</f>
        <v>0</v>
      </c>
      <c r="E9" s="49">
        <f>李明!L16</f>
        <v>0</v>
      </c>
      <c r="F9" s="49">
        <f>李明!L17</f>
        <v>24.722500000000029</v>
      </c>
      <c r="G9" s="49">
        <f>李明!L19</f>
        <v>0</v>
      </c>
      <c r="H9" s="50">
        <f t="shared" si="0"/>
        <v>60.155277777777798</v>
      </c>
      <c r="I9" s="53">
        <f>李明!J21</f>
        <v>2.0958333333333359</v>
      </c>
      <c r="J9" s="54">
        <f t="shared" si="1"/>
        <v>62.251111111111136</v>
      </c>
    </row>
    <row r="10" spans="1:15" x14ac:dyDescent="0.15">
      <c r="A10" s="51" t="s">
        <v>14</v>
      </c>
      <c r="B10" s="49">
        <f>张虎!K16</f>
        <v>0</v>
      </c>
      <c r="C10" s="49">
        <f>张虎!K17</f>
        <v>39.938055555555628</v>
      </c>
      <c r="D10" s="49">
        <f>张虎!K19</f>
        <v>0</v>
      </c>
      <c r="E10" s="49">
        <f>张虎!L16</f>
        <v>0</v>
      </c>
      <c r="F10" s="49">
        <f>张虎!L17</f>
        <v>33.051944444444395</v>
      </c>
      <c r="G10" s="49">
        <f>张虎!L19</f>
        <v>0</v>
      </c>
      <c r="H10" s="50">
        <f t="shared" si="0"/>
        <v>72.990000000000023</v>
      </c>
      <c r="I10" s="53">
        <f>张虎!J21</f>
        <v>0</v>
      </c>
      <c r="J10" s="54">
        <f t="shared" si="1"/>
        <v>72.990000000000023</v>
      </c>
    </row>
    <row r="11" spans="1:15" x14ac:dyDescent="0.15">
      <c r="A11" s="48" t="s">
        <v>15</v>
      </c>
      <c r="B11" s="49">
        <f>马莲花!K16</f>
        <v>48.603611111111157</v>
      </c>
      <c r="C11" s="49">
        <f>马莲花!K17</f>
        <v>8.6377777777778171</v>
      </c>
      <c r="D11" s="49">
        <f>马莲花!K19</f>
        <v>0</v>
      </c>
      <c r="E11" s="49">
        <f>马莲花!L16</f>
        <v>31.552777777777724</v>
      </c>
      <c r="F11" s="49">
        <f>马莲花!L17</f>
        <v>6.6566666666666539</v>
      </c>
      <c r="G11" s="49">
        <f>马莲花!L19</f>
        <v>0</v>
      </c>
      <c r="H11" s="50">
        <f t="shared" si="0"/>
        <v>95.45083333333335</v>
      </c>
      <c r="I11" s="53">
        <f>马莲花!J21</f>
        <v>0</v>
      </c>
      <c r="J11" s="54">
        <f t="shared" si="1"/>
        <v>95.45083333333335</v>
      </c>
    </row>
    <row r="12" spans="1:15" x14ac:dyDescent="0.15">
      <c r="A12" s="48" t="s">
        <v>16</v>
      </c>
      <c r="B12" s="49">
        <f>刘国莲!K15</f>
        <v>0</v>
      </c>
      <c r="C12" s="49">
        <f>刘国莲!K16</f>
        <v>32.761111111111134</v>
      </c>
      <c r="D12" s="49">
        <f>刘国莲!K18</f>
        <v>0</v>
      </c>
      <c r="E12" s="49">
        <f>刘国莲!L15</f>
        <v>0</v>
      </c>
      <c r="F12" s="49">
        <f>刘国莲!L16</f>
        <v>27.378055555555534</v>
      </c>
      <c r="G12" s="49">
        <f>刘国莲!L18</f>
        <v>0</v>
      </c>
      <c r="H12" s="50">
        <f t="shared" si="0"/>
        <v>60.139166666666668</v>
      </c>
      <c r="I12" s="53">
        <f>刘国莲!J20</f>
        <v>12.71916666666665</v>
      </c>
      <c r="J12" s="54">
        <f t="shared" si="1"/>
        <v>72.85833333333332</v>
      </c>
    </row>
    <row r="13" spans="1:15" x14ac:dyDescent="0.15">
      <c r="A13" s="48" t="s">
        <v>17</v>
      </c>
      <c r="B13" s="49">
        <f>杜涛!K16</f>
        <v>0</v>
      </c>
      <c r="C13" s="49">
        <f>杜涛!K17</f>
        <v>41.907499999999999</v>
      </c>
      <c r="D13" s="49">
        <f>杜涛!K19</f>
        <v>0</v>
      </c>
      <c r="E13" s="49">
        <f>杜涛!L16</f>
        <v>0</v>
      </c>
      <c r="F13" s="49">
        <f>杜涛!L17</f>
        <v>29.233611111111074</v>
      </c>
      <c r="G13" s="49">
        <f>杜涛!L19</f>
        <v>0</v>
      </c>
      <c r="H13" s="50">
        <f t="shared" si="0"/>
        <v>71.141111111111073</v>
      </c>
      <c r="I13" s="53">
        <f>杜涛!J21</f>
        <v>10.576944444444409</v>
      </c>
      <c r="J13" s="54">
        <f t="shared" si="1"/>
        <v>81.71805555555548</v>
      </c>
    </row>
    <row r="14" spans="1:15" x14ac:dyDescent="0.15">
      <c r="A14" s="51" t="s">
        <v>18</v>
      </c>
      <c r="B14" s="49">
        <f>张文中!K16</f>
        <v>0</v>
      </c>
      <c r="C14" s="49">
        <f>张文中!K17</f>
        <v>51.506666666666689</v>
      </c>
      <c r="D14" s="49">
        <f>张文中!K19</f>
        <v>0</v>
      </c>
      <c r="E14" s="49">
        <f>张文中!L16</f>
        <v>0</v>
      </c>
      <c r="F14" s="49">
        <f>张文中!L17</f>
        <v>33.863611111111062</v>
      </c>
      <c r="G14" s="49">
        <f>张文中!L19</f>
        <v>0</v>
      </c>
      <c r="H14" s="50">
        <f t="shared" si="0"/>
        <v>85.370277777777744</v>
      </c>
      <c r="I14" s="53">
        <f>张文中!J21</f>
        <v>2.0294444444444637</v>
      </c>
      <c r="J14" s="54">
        <f t="shared" si="1"/>
        <v>87.399722222222209</v>
      </c>
      <c r="O14" s="56" t="s">
        <v>19</v>
      </c>
    </row>
    <row r="15" spans="1:15" x14ac:dyDescent="0.15">
      <c r="A15" s="48" t="s">
        <v>20</v>
      </c>
      <c r="B15" s="49">
        <f>李秋实!K16</f>
        <v>0</v>
      </c>
      <c r="C15" s="49">
        <f>李秋实!K17</f>
        <v>34.065277777777794</v>
      </c>
      <c r="D15" s="49">
        <f>李秋实!K19</f>
        <v>0</v>
      </c>
      <c r="E15" s="49">
        <f>李秋实!L16</f>
        <v>0</v>
      </c>
      <c r="F15" s="49">
        <f>李秋实!L17</f>
        <v>29.144444444444403</v>
      </c>
      <c r="G15" s="49">
        <f>李秋实!L19</f>
        <v>0</v>
      </c>
      <c r="H15" s="50">
        <f t="shared" si="0"/>
        <v>63.209722222222197</v>
      </c>
      <c r="I15" s="53">
        <f>李秋实!J21</f>
        <v>6.1544444444444633</v>
      </c>
      <c r="J15" s="54">
        <f t="shared" si="1"/>
        <v>69.364166666666662</v>
      </c>
    </row>
    <row r="16" spans="1:15" x14ac:dyDescent="0.15">
      <c r="A16" s="51" t="s">
        <v>21</v>
      </c>
      <c r="B16" s="49">
        <f>周岸!K16</f>
        <v>0</v>
      </c>
      <c r="C16" s="49">
        <f>周岸!K17</f>
        <v>34.860833333333353</v>
      </c>
      <c r="D16" s="49">
        <f>周岸!K19</f>
        <v>0</v>
      </c>
      <c r="E16" s="49">
        <f>周岸!L16</f>
        <v>0</v>
      </c>
      <c r="F16" s="49">
        <f>周岸!L17</f>
        <v>29.963055555555556</v>
      </c>
      <c r="G16" s="49">
        <f>周岸!L19</f>
        <v>0</v>
      </c>
      <c r="H16" s="50">
        <f t="shared" si="0"/>
        <v>64.823888888888916</v>
      </c>
      <c r="I16" s="53">
        <f>周岸!J21</f>
        <v>12.157499999999976</v>
      </c>
      <c r="J16" s="54">
        <f t="shared" si="1"/>
        <v>76.981388888888887</v>
      </c>
    </row>
    <row r="17" spans="1:10" x14ac:dyDescent="0.15">
      <c r="A17" s="48" t="s">
        <v>22</v>
      </c>
      <c r="B17" s="49">
        <f>詹泽彬!K16</f>
        <v>0</v>
      </c>
      <c r="C17" s="49">
        <f>詹泽彬!K17</f>
        <v>31.665000000000006</v>
      </c>
      <c r="D17" s="49">
        <f>詹泽彬!K19</f>
        <v>0</v>
      </c>
      <c r="E17" s="49">
        <f>詹泽彬!L16</f>
        <v>0</v>
      </c>
      <c r="F17" s="49">
        <f>詹泽彬!L17</f>
        <v>27.636666666666677</v>
      </c>
      <c r="G17" s="49">
        <f>詹泽彬!L19</f>
        <v>0</v>
      </c>
      <c r="H17" s="50">
        <f t="shared" si="0"/>
        <v>59.301666666666684</v>
      </c>
      <c r="I17" s="53">
        <f>詹泽彬!J21</f>
        <v>19.848055555555518</v>
      </c>
      <c r="J17" s="54">
        <f t="shared" si="1"/>
        <v>79.149722222222209</v>
      </c>
    </row>
    <row r="18" spans="1:10" x14ac:dyDescent="0.15">
      <c r="A18" s="51" t="s">
        <v>23</v>
      </c>
      <c r="B18" s="49">
        <f>张笑延!K16</f>
        <v>0</v>
      </c>
      <c r="C18" s="49">
        <f>张笑延!K17</f>
        <v>37.879444444444431</v>
      </c>
      <c r="D18" s="49">
        <f>张笑延!K19</f>
        <v>0</v>
      </c>
      <c r="E18" s="49">
        <f>张笑延!L16</f>
        <v>0</v>
      </c>
      <c r="F18" s="49">
        <f>张笑延!L17</f>
        <v>28.601111111111074</v>
      </c>
      <c r="G18" s="49">
        <f>张笑延!L19</f>
        <v>0</v>
      </c>
      <c r="H18" s="50">
        <f t="shared" si="0"/>
        <v>66.480555555555497</v>
      </c>
      <c r="I18" s="53">
        <f>张笑延!J21</f>
        <v>0</v>
      </c>
      <c r="J18" s="54">
        <f t="shared" si="1"/>
        <v>66.480555555555497</v>
      </c>
    </row>
    <row r="19" spans="1:10" x14ac:dyDescent="0.15">
      <c r="A19" s="52" t="s">
        <v>24</v>
      </c>
      <c r="B19" s="50">
        <f>沈宁!K16</f>
        <v>0</v>
      </c>
      <c r="C19" s="50">
        <f>沈宁!K17</f>
        <v>41.538888888888891</v>
      </c>
      <c r="D19" s="50">
        <f>沈宁!K19</f>
        <v>0</v>
      </c>
      <c r="E19" s="50">
        <f>沈宁!L16</f>
        <v>0</v>
      </c>
      <c r="F19" s="50">
        <f>沈宁!L17</f>
        <v>26.73194444444448</v>
      </c>
      <c r="G19" s="50">
        <f>沈宁!L19</f>
        <v>0</v>
      </c>
      <c r="H19" s="50">
        <f t="shared" si="0"/>
        <v>68.270833333333371</v>
      </c>
      <c r="I19" s="53">
        <f>沈宁!J21</f>
        <v>0</v>
      </c>
      <c r="J19" s="54">
        <f t="shared" si="1"/>
        <v>68.270833333333371</v>
      </c>
    </row>
    <row r="20" spans="1:10" x14ac:dyDescent="0.15">
      <c r="A20" s="52" t="s">
        <v>25</v>
      </c>
      <c r="B20" s="50">
        <f>胡鑫!K16</f>
        <v>22.932777777777815</v>
      </c>
      <c r="C20" s="50">
        <f>胡鑫!K17</f>
        <v>1.7597222222222184</v>
      </c>
      <c r="D20" s="50">
        <f>胡鑫!K19</f>
        <v>31.372499999999974</v>
      </c>
      <c r="E20" s="50">
        <f>胡鑫!L16</f>
        <v>11.660555555555543</v>
      </c>
      <c r="F20" s="50">
        <f>胡鑫!L17</f>
        <v>5.3477777777778046</v>
      </c>
      <c r="G20" s="50">
        <f>胡鑫!L19</f>
        <v>0.94555555555555104</v>
      </c>
      <c r="H20" s="50">
        <f t="shared" si="0"/>
        <v>74.018888888888924</v>
      </c>
      <c r="I20" s="53">
        <f>胡鑫!J21</f>
        <v>0.52499999999999947</v>
      </c>
      <c r="J20" s="54">
        <f t="shared" si="1"/>
        <v>74.54388888888893</v>
      </c>
    </row>
    <row r="21" spans="1:10" x14ac:dyDescent="0.15">
      <c r="A21" s="51" t="s">
        <v>26</v>
      </c>
      <c r="B21" s="50">
        <f>邓心豪!K16</f>
        <v>0</v>
      </c>
      <c r="C21" s="50">
        <f>邓心豪!K17</f>
        <v>41.158333333333346</v>
      </c>
      <c r="D21" s="50">
        <f>邓心豪!K19</f>
        <v>0</v>
      </c>
      <c r="E21" s="50">
        <f>邓心豪!L16</f>
        <v>0</v>
      </c>
      <c r="F21" s="50">
        <f>邓心豪!L17</f>
        <v>23.937222222222207</v>
      </c>
      <c r="G21" s="50">
        <f>邓心豪!L19</f>
        <v>0</v>
      </c>
      <c r="H21" s="50">
        <f t="shared" si="0"/>
        <v>65.095555555555549</v>
      </c>
      <c r="I21" s="53">
        <f>邓心豪!J21</f>
        <v>2.0052777777777839</v>
      </c>
      <c r="J21" s="54">
        <f t="shared" si="1"/>
        <v>67.100833333333327</v>
      </c>
    </row>
    <row r="22" spans="1:10" x14ac:dyDescent="0.15">
      <c r="A22" s="52" t="s">
        <v>27</v>
      </c>
      <c r="B22" s="50">
        <f>黄恩!K16</f>
        <v>0</v>
      </c>
      <c r="C22" s="50">
        <f>黄恩!K17</f>
        <v>39.836111111111116</v>
      </c>
      <c r="D22" s="50">
        <f>黄恩!K19</f>
        <v>0</v>
      </c>
      <c r="E22" s="50">
        <f>黄恩!L16</f>
        <v>0</v>
      </c>
      <c r="F22" s="50">
        <f>黄恩!L17</f>
        <v>21.579999999999959</v>
      </c>
      <c r="G22" s="50">
        <f>黄恩!L19</f>
        <v>0</v>
      </c>
      <c r="H22" s="50">
        <f t="shared" si="0"/>
        <v>61.416111111111078</v>
      </c>
      <c r="I22" s="53">
        <f>黄恩!J21</f>
        <v>4.3311111111111114</v>
      </c>
      <c r="J22" s="54">
        <f t="shared" si="1"/>
        <v>65.747222222222192</v>
      </c>
    </row>
    <row r="23" spans="1:10" x14ac:dyDescent="0.15">
      <c r="A23" s="52" t="s">
        <v>28</v>
      </c>
      <c r="B23" s="50">
        <f>严亮!K16</f>
        <v>0</v>
      </c>
      <c r="C23" s="50">
        <f>严亮!K17</f>
        <v>27.436388888888896</v>
      </c>
      <c r="D23" s="50">
        <f>严亮!K19</f>
        <v>0</v>
      </c>
      <c r="E23" s="50">
        <f>严亮!L16</f>
        <v>0</v>
      </c>
      <c r="F23" s="50">
        <f>严亮!L17</f>
        <v>19.126666666666651</v>
      </c>
      <c r="G23" s="50">
        <f>严亮!L19</f>
        <v>0</v>
      </c>
      <c r="H23" s="50">
        <f t="shared" si="0"/>
        <v>46.56305555555555</v>
      </c>
      <c r="I23" s="53">
        <f>严亮!J21</f>
        <v>2.5719444444444486</v>
      </c>
      <c r="J23" s="54">
        <f t="shared" si="1"/>
        <v>49.134999999999998</v>
      </c>
    </row>
    <row r="24" spans="1:10" x14ac:dyDescent="0.15">
      <c r="A24" s="48" t="s">
        <v>29</v>
      </c>
      <c r="B24" s="50">
        <f>边昊!K16</f>
        <v>62.939166666666644</v>
      </c>
      <c r="C24" s="50">
        <f>边昊!K17</f>
        <v>1.1819444444444391</v>
      </c>
      <c r="D24" s="50">
        <f>边昊!K19</f>
        <v>7.4269444444444312</v>
      </c>
      <c r="E24" s="50">
        <f>边昊!L16</f>
        <v>25.768611111111092</v>
      </c>
      <c r="F24" s="50">
        <f>边昊!L17</f>
        <v>3.0030555555555605</v>
      </c>
      <c r="G24" s="50">
        <f>边昊!L19</f>
        <v>2.4705555555555598</v>
      </c>
      <c r="H24" s="50">
        <f t="shared" si="0"/>
        <v>102.79027777777773</v>
      </c>
      <c r="I24" s="53">
        <f>边昊!J21</f>
        <v>0</v>
      </c>
      <c r="J24" s="54">
        <f t="shared" si="1"/>
        <v>102.79027777777773</v>
      </c>
    </row>
    <row r="25" spans="1:10" x14ac:dyDescent="0.15">
      <c r="A25" s="51" t="s">
        <v>30</v>
      </c>
      <c r="B25" s="50">
        <f>张宗根!K16</f>
        <v>0</v>
      </c>
      <c r="C25" s="50">
        <f>张宗根!K17</f>
        <v>33.15472222222229</v>
      </c>
      <c r="D25" s="50">
        <f>张宗根!K19</f>
        <v>5.2772222222222176</v>
      </c>
      <c r="E25" s="50">
        <f>张宗根!L16</f>
        <v>0</v>
      </c>
      <c r="F25" s="50">
        <f>张宗根!L17</f>
        <v>22.511111111111063</v>
      </c>
      <c r="G25" s="50">
        <f>张宗根!L19</f>
        <v>4.9425000000000008</v>
      </c>
      <c r="H25" s="50">
        <f t="shared" si="0"/>
        <v>65.88555555555557</v>
      </c>
      <c r="I25" s="53">
        <f>张宗根!J21</f>
        <v>0</v>
      </c>
      <c r="J25" s="54">
        <f t="shared" si="1"/>
        <v>65.88555555555557</v>
      </c>
    </row>
    <row r="26" spans="1:10" x14ac:dyDescent="0.15">
      <c r="A26" s="48" t="s">
        <v>31</v>
      </c>
      <c r="B26" s="50">
        <f>宋天霖!K16</f>
        <v>0</v>
      </c>
      <c r="C26" s="50">
        <f>宋天霖!K17</f>
        <v>0</v>
      </c>
      <c r="D26" s="50">
        <f>宋天霖!K19</f>
        <v>0</v>
      </c>
      <c r="E26" s="50">
        <f>宋天霖!L16</f>
        <v>0</v>
      </c>
      <c r="F26" s="50">
        <f>宋天霖!L17</f>
        <v>0</v>
      </c>
      <c r="G26" s="50">
        <f>宋天霖!L19</f>
        <v>0</v>
      </c>
      <c r="H26" s="50">
        <f t="shared" si="0"/>
        <v>0</v>
      </c>
      <c r="I26" s="53">
        <f>宋天霖!J21</f>
        <v>0</v>
      </c>
      <c r="J26" s="54">
        <f t="shared" si="1"/>
        <v>0</v>
      </c>
    </row>
    <row r="27" spans="1:10" x14ac:dyDescent="0.15">
      <c r="A27" s="51" t="s">
        <v>32</v>
      </c>
      <c r="B27" s="50">
        <f>蔡昊霖!K16</f>
        <v>0</v>
      </c>
      <c r="C27" s="50">
        <f>蔡昊霖!K17</f>
        <v>31.767777777777791</v>
      </c>
      <c r="D27" s="50">
        <f>蔡昊霖!K19</f>
        <v>0</v>
      </c>
      <c r="E27" s="50">
        <f>蔡昊霖!L16</f>
        <v>0</v>
      </c>
      <c r="F27" s="50">
        <f>蔡昊霖!L17</f>
        <v>28.063055555555522</v>
      </c>
      <c r="G27" s="50">
        <f>蔡昊霖!L19</f>
        <v>0</v>
      </c>
      <c r="H27" s="50">
        <f t="shared" si="0"/>
        <v>59.830833333333317</v>
      </c>
      <c r="I27" s="53">
        <f>蔡昊霖!J21</f>
        <v>4.4952777777778055</v>
      </c>
      <c r="J27" s="54">
        <f t="shared" si="1"/>
        <v>64.326111111111118</v>
      </c>
    </row>
    <row r="28" spans="1:10" x14ac:dyDescent="0.15">
      <c r="A28" s="51" t="s">
        <v>33</v>
      </c>
      <c r="B28" s="50">
        <f>叶大鹏!K16</f>
        <v>0</v>
      </c>
      <c r="C28" s="50">
        <f>叶大鹏!K17</f>
        <v>28.664722222222174</v>
      </c>
      <c r="D28" s="50">
        <f>叶大鹏!K19</f>
        <v>0</v>
      </c>
      <c r="E28" s="50">
        <f>叶大鹏!L16</f>
        <v>0</v>
      </c>
      <c r="F28" s="50">
        <f>叶大鹏!L17</f>
        <v>22.736388888888865</v>
      </c>
      <c r="G28" s="50">
        <f>叶大鹏!L19</f>
        <v>0</v>
      </c>
      <c r="H28" s="50">
        <f t="shared" si="0"/>
        <v>51.401111111111035</v>
      </c>
      <c r="I28" s="53">
        <f>叶大鹏!J21</f>
        <v>1.022499999999984</v>
      </c>
      <c r="J28" s="54">
        <f t="shared" si="1"/>
        <v>52.423611111111022</v>
      </c>
    </row>
    <row r="29" spans="1:10" x14ac:dyDescent="0.15">
      <c r="A29" s="51" t="s">
        <v>34</v>
      </c>
      <c r="B29" s="50">
        <f>王建超!K16</f>
        <v>0</v>
      </c>
      <c r="C29" s="50">
        <f>王建超!K17</f>
        <v>22.508055555555579</v>
      </c>
      <c r="D29" s="50">
        <f>王建超!K19</f>
        <v>3.4294444444444538</v>
      </c>
      <c r="E29" s="50">
        <f>王建超!L16</f>
        <v>0</v>
      </c>
      <c r="F29" s="50">
        <f>王建超!L17</f>
        <v>25.523888888888862</v>
      </c>
      <c r="G29" s="50">
        <f>王建超!L19</f>
        <v>6.1449999999999889</v>
      </c>
      <c r="H29" s="50">
        <f t="shared" si="0"/>
        <v>57.60638888888888</v>
      </c>
      <c r="I29" s="53">
        <f>王建超!J21</f>
        <v>3.7455555555555611</v>
      </c>
      <c r="J29" s="54">
        <f t="shared" si="1"/>
        <v>61.351944444444442</v>
      </c>
    </row>
    <row r="30" spans="1:10" x14ac:dyDescent="0.15">
      <c r="A30" s="51" t="s">
        <v>35</v>
      </c>
      <c r="B30" s="50">
        <f>潘伟生!K16</f>
        <v>0</v>
      </c>
      <c r="C30" s="50">
        <f>潘伟生!K17</f>
        <v>54.066111111111141</v>
      </c>
      <c r="D30" s="50">
        <f>潘伟生!K19</f>
        <v>0</v>
      </c>
      <c r="E30" s="50">
        <f>潘伟生!L16</f>
        <v>0</v>
      </c>
      <c r="F30" s="50">
        <f>潘伟生!L17</f>
        <v>27.342222222222262</v>
      </c>
      <c r="G30" s="50">
        <f>潘伟生!L19</f>
        <v>0</v>
      </c>
      <c r="H30" s="50">
        <f t="shared" si="0"/>
        <v>81.408333333333402</v>
      </c>
      <c r="I30" s="53">
        <f>潘伟生!J21</f>
        <v>0</v>
      </c>
      <c r="J30" s="54">
        <f t="shared" si="1"/>
        <v>81.408333333333402</v>
      </c>
    </row>
    <row r="31" spans="1:10" x14ac:dyDescent="0.15">
      <c r="A31" s="48" t="s">
        <v>36</v>
      </c>
      <c r="B31" s="50">
        <f>王风瑞!K16</f>
        <v>0</v>
      </c>
      <c r="C31" s="50">
        <f>王风瑞!K17</f>
        <v>30.988888888888873</v>
      </c>
      <c r="D31" s="50">
        <f>王风瑞!K19</f>
        <v>0</v>
      </c>
      <c r="E31" s="50">
        <f>王风瑞!L16</f>
        <v>0</v>
      </c>
      <c r="F31" s="50">
        <f>王风瑞!L17</f>
        <v>29.701944444444393</v>
      </c>
      <c r="G31" s="50">
        <f>王风瑞!L19</f>
        <v>0</v>
      </c>
      <c r="H31" s="50">
        <f t="shared" si="0"/>
        <v>60.690833333333266</v>
      </c>
      <c r="I31" s="53">
        <f>王风瑞!J21</f>
        <v>4.0036111111111206</v>
      </c>
      <c r="J31" s="54">
        <f t="shared" si="1"/>
        <v>64.694444444444386</v>
      </c>
    </row>
    <row r="32" spans="1:10" x14ac:dyDescent="0.15">
      <c r="A32" s="48" t="s">
        <v>37</v>
      </c>
      <c r="B32" s="50">
        <f>金鼎!K16</f>
        <v>63.630833333333307</v>
      </c>
      <c r="C32" s="50">
        <f>金鼎!K17</f>
        <v>0.96638888888889696</v>
      </c>
      <c r="D32" s="50">
        <f>金鼎!K19</f>
        <v>0</v>
      </c>
      <c r="E32" s="50">
        <f>金鼎!L16</f>
        <v>24.741666666666628</v>
      </c>
      <c r="F32" s="50">
        <f>金鼎!L17</f>
        <v>5.6313888888888943</v>
      </c>
      <c r="G32" s="50">
        <f>金鼎!L19</f>
        <v>0</v>
      </c>
      <c r="H32" s="50">
        <f t="shared" si="0"/>
        <v>94.970277777777724</v>
      </c>
      <c r="I32" s="53">
        <f>金鼎!J21</f>
        <v>0</v>
      </c>
      <c r="J32" s="54">
        <f t="shared" si="1"/>
        <v>94.970277777777724</v>
      </c>
    </row>
    <row r="33" spans="1:10" x14ac:dyDescent="0.15">
      <c r="A33" s="51" t="s">
        <v>38</v>
      </c>
      <c r="B33" s="50">
        <f>董志华!K16</f>
        <v>22.83305555555561</v>
      </c>
      <c r="C33" s="50">
        <f>董志华!K17</f>
        <v>34.779166666666562</v>
      </c>
      <c r="D33" s="50">
        <f>董志华!K19</f>
        <v>0</v>
      </c>
      <c r="E33" s="50">
        <f>董志华!L16</f>
        <v>3.0811111111110696</v>
      </c>
      <c r="F33" s="50">
        <f>董志华!L17</f>
        <v>23.729166666666618</v>
      </c>
      <c r="G33" s="50">
        <f>董志华!L19</f>
        <v>0</v>
      </c>
      <c r="H33" s="50">
        <f t="shared" si="0"/>
        <v>84.422499999999857</v>
      </c>
      <c r="I33" s="53">
        <f>董志华!J21</f>
        <v>0</v>
      </c>
      <c r="J33" s="54">
        <f t="shared" si="1"/>
        <v>84.422499999999857</v>
      </c>
    </row>
    <row r="34" spans="1:10" x14ac:dyDescent="0.15">
      <c r="A34" s="51" t="s">
        <v>39</v>
      </c>
      <c r="B34" s="50">
        <f>姜文夫!K16</f>
        <v>34.935000000000045</v>
      </c>
      <c r="C34" s="50">
        <f>姜文夫!K17</f>
        <v>1.2063888888888972</v>
      </c>
      <c r="D34" s="50">
        <f>姜文夫!K19</f>
        <v>0</v>
      </c>
      <c r="E34" s="50">
        <f>姜文夫!L16</f>
        <v>24.109999999999918</v>
      </c>
      <c r="F34" s="50">
        <f>姜文夫!L17</f>
        <v>4.0844444444444408</v>
      </c>
      <c r="G34" s="50">
        <f>姜文夫!L19</f>
        <v>0</v>
      </c>
      <c r="H34" s="50">
        <f t="shared" si="0"/>
        <v>64.335833333333298</v>
      </c>
      <c r="I34" s="53">
        <f>姜文夫!J21</f>
        <v>0</v>
      </c>
      <c r="J34" s="54">
        <f t="shared" si="1"/>
        <v>64.335833333333298</v>
      </c>
    </row>
    <row r="35" spans="1:10" x14ac:dyDescent="0.15">
      <c r="A35" s="51" t="s">
        <v>40</v>
      </c>
      <c r="B35" s="50">
        <f>郭永杰!K16</f>
        <v>38.112222222222236</v>
      </c>
      <c r="C35" s="50">
        <f>郭永杰!K17</f>
        <v>5.8505555555555757</v>
      </c>
      <c r="D35" s="50">
        <f>郭永杰!K19</f>
        <v>0</v>
      </c>
      <c r="E35" s="50">
        <f>郭永杰!L16</f>
        <v>33.362222222222179</v>
      </c>
      <c r="F35" s="50">
        <f>郭永杰!L17</f>
        <v>10.714166666666685</v>
      </c>
      <c r="G35" s="50">
        <f>郭永杰!L19</f>
        <v>0</v>
      </c>
      <c r="H35" s="50">
        <f t="shared" si="0"/>
        <v>88.039166666666674</v>
      </c>
      <c r="I35" s="53">
        <f>郭永杰!J21</f>
        <v>0</v>
      </c>
      <c r="J35" s="54">
        <f t="shared" si="1"/>
        <v>88.039166666666674</v>
      </c>
    </row>
    <row r="36" spans="1:10" x14ac:dyDescent="0.15">
      <c r="A36" s="51" t="s">
        <v>41</v>
      </c>
      <c r="B36" s="50">
        <f>朱永春!K16</f>
        <v>49.036111111111154</v>
      </c>
      <c r="C36" s="50">
        <f>朱永春!K17</f>
        <v>6.9972222222222467</v>
      </c>
      <c r="D36" s="50">
        <f>朱永春!K19</f>
        <v>0</v>
      </c>
      <c r="E36" s="50">
        <f>朱永春!L16</f>
        <v>21.413333333333302</v>
      </c>
      <c r="F36" s="50">
        <f>朱永春!L17</f>
        <v>11.472777777777791</v>
      </c>
      <c r="G36" s="50">
        <f>朱永春!L19</f>
        <v>0</v>
      </c>
      <c r="H36" s="50">
        <f t="shared" si="0"/>
        <v>88.919444444444494</v>
      </c>
      <c r="I36" s="53">
        <f>朱永春!J21</f>
        <v>0</v>
      </c>
      <c r="J36" s="54">
        <f t="shared" si="1"/>
        <v>88.919444444444494</v>
      </c>
    </row>
    <row r="37" spans="1:10" x14ac:dyDescent="0.15">
      <c r="A37" s="51" t="s">
        <v>42</v>
      </c>
      <c r="B37" s="50">
        <f>刘琦!K16</f>
        <v>6.1102777777777693</v>
      </c>
      <c r="C37" s="50">
        <f>刘琦!K17</f>
        <v>22.255277777777756</v>
      </c>
      <c r="D37" s="50">
        <f>刘琦!K19</f>
        <v>0</v>
      </c>
      <c r="E37" s="50">
        <f>刘琦!L16</f>
        <v>0</v>
      </c>
      <c r="F37" s="50">
        <f>刘琦!L17</f>
        <v>1.6316666666666666</v>
      </c>
      <c r="G37" s="50">
        <f>刘琦!L19</f>
        <v>0</v>
      </c>
      <c r="H37" s="50">
        <f t="shared" si="0"/>
        <v>29.997222222222192</v>
      </c>
      <c r="I37" s="53">
        <f>刘琦!J21</f>
        <v>0</v>
      </c>
      <c r="J37" s="54">
        <f t="shared" si="1"/>
        <v>29.997222222222192</v>
      </c>
    </row>
    <row r="38" spans="1:10" x14ac:dyDescent="0.15">
      <c r="A38" s="48" t="s">
        <v>43</v>
      </c>
      <c r="B38" s="50">
        <f>吴疆!K16</f>
        <v>78.206666666666678</v>
      </c>
      <c r="C38" s="50">
        <f>吴疆!K17</f>
        <v>1.153888888888897</v>
      </c>
      <c r="D38" s="50">
        <f>吴疆!K19</f>
        <v>0</v>
      </c>
      <c r="E38" s="50">
        <f>吴疆!L16</f>
        <v>33.734722222222167</v>
      </c>
      <c r="F38" s="50">
        <f>吴疆!L17</f>
        <v>2.2502777777777783</v>
      </c>
      <c r="G38" s="50">
        <f>吴疆!L19</f>
        <v>0</v>
      </c>
      <c r="H38" s="50">
        <f t="shared" si="0"/>
        <v>115.34555555555552</v>
      </c>
      <c r="I38" s="53">
        <f>吴疆!J21</f>
        <v>0</v>
      </c>
      <c r="J38" s="54">
        <f t="shared" si="1"/>
        <v>115.34555555555552</v>
      </c>
    </row>
    <row r="39" spans="1:10" x14ac:dyDescent="0.15">
      <c r="A39" s="48" t="s">
        <v>44</v>
      </c>
      <c r="B39" s="50">
        <f>巴富毅!K16</f>
        <v>0</v>
      </c>
      <c r="C39" s="50">
        <f>巴富毅!K17</f>
        <v>30.570555555555508</v>
      </c>
      <c r="D39" s="50">
        <f>巴富毅!K19</f>
        <v>0</v>
      </c>
      <c r="E39" s="50">
        <f>巴富毅!L16</f>
        <v>0</v>
      </c>
      <c r="F39" s="50">
        <f>巴富毅!L17</f>
        <v>0</v>
      </c>
      <c r="G39" s="50">
        <f>巴富毅!L19</f>
        <v>0</v>
      </c>
      <c r="H39" s="50">
        <f t="shared" si="0"/>
        <v>30.570555555555508</v>
      </c>
      <c r="I39" s="53">
        <f>巴富毅!J21</f>
        <v>0</v>
      </c>
      <c r="J39" s="54">
        <f t="shared" si="1"/>
        <v>30.570555555555508</v>
      </c>
    </row>
    <row r="40" spans="1:10" x14ac:dyDescent="0.15">
      <c r="A40" s="48" t="s">
        <v>45</v>
      </c>
      <c r="B40" s="50">
        <f>陈宏伟!K16</f>
        <v>0</v>
      </c>
      <c r="C40" s="50">
        <f>陈宏伟!K17</f>
        <v>19.935277777777777</v>
      </c>
      <c r="D40" s="50">
        <f>陈宏伟!K19</f>
        <v>0</v>
      </c>
      <c r="E40" s="50">
        <f>陈宏伟!L16</f>
        <v>0</v>
      </c>
      <c r="F40" s="50">
        <f>陈宏伟!L17</f>
        <v>22.676666666666581</v>
      </c>
      <c r="G40" s="50">
        <f>陈宏伟!L19</f>
        <v>0</v>
      </c>
      <c r="H40" s="50">
        <f>SUM(B40:G40)</f>
        <v>42.611944444444362</v>
      </c>
      <c r="I40" s="53">
        <f>陈宏伟!J21</f>
        <v>0</v>
      </c>
      <c r="J40" s="54">
        <f>SUM(H40:I40)</f>
        <v>42.611944444444362</v>
      </c>
    </row>
    <row r="41" spans="1:10" x14ac:dyDescent="0.15">
      <c r="A41" s="48" t="s">
        <v>46</v>
      </c>
      <c r="B41" s="50">
        <f>蒋露裕!K16</f>
        <v>0</v>
      </c>
      <c r="C41" s="50">
        <f>蒋露裕!K17</f>
        <v>0</v>
      </c>
      <c r="D41" s="50">
        <f>蒋露裕!K19</f>
        <v>0</v>
      </c>
      <c r="E41" s="50">
        <f>蒋露裕!L16</f>
        <v>0</v>
      </c>
      <c r="F41" s="50">
        <f>蒋露裕!L17</f>
        <v>0</v>
      </c>
      <c r="G41" s="50">
        <f>蒋露裕!L19</f>
        <v>0</v>
      </c>
      <c r="H41" s="50">
        <f t="shared" ref="H41:H42" si="2">SUM(B41:G41)</f>
        <v>0</v>
      </c>
      <c r="I41" s="53">
        <f>蒋露裕!J21</f>
        <v>1.1658333333333344</v>
      </c>
      <c r="J41" s="54">
        <f>SUM(H41:I41)</f>
        <v>1.1658333333333344</v>
      </c>
    </row>
    <row r="42" spans="1:10" x14ac:dyDescent="0.15">
      <c r="A42" s="48" t="s">
        <v>47</v>
      </c>
      <c r="B42" s="50">
        <f>蓝宇航!K16</f>
        <v>0</v>
      </c>
      <c r="C42" s="50">
        <f>蓝宇航!K17</f>
        <v>31.63555555555558</v>
      </c>
      <c r="D42" s="50">
        <f>蓝宇航!K19</f>
        <v>0</v>
      </c>
      <c r="E42" s="50">
        <f>蓝宇航!L16</f>
        <v>0</v>
      </c>
      <c r="F42" s="50">
        <f>蓝宇航!L17</f>
        <v>21.513611111111068</v>
      </c>
      <c r="G42" s="50">
        <f>蓝宇航!L19</f>
        <v>0</v>
      </c>
      <c r="H42" s="50">
        <f t="shared" si="2"/>
        <v>53.149166666666645</v>
      </c>
      <c r="I42" s="53">
        <f>蓝宇航!J21</f>
        <v>1.0558333333333438</v>
      </c>
      <c r="J42" s="54">
        <f>SUM(H42:I42)</f>
        <v>54.204999999999991</v>
      </c>
    </row>
  </sheetData>
  <mergeCells count="5">
    <mergeCell ref="B3:D3"/>
    <mergeCell ref="E3:G3"/>
    <mergeCell ref="H3:H4"/>
    <mergeCell ref="I3:I4"/>
    <mergeCell ref="B1:G2"/>
  </mergeCells>
  <phoneticPr fontId="17" type="noConversion"/>
  <hyperlinks>
    <hyperlink ref="A5" location="'温若春'!A1" display="温若春"/>
    <hyperlink ref="A6" location="'明嘉'!A1" display="明嘉"/>
    <hyperlink ref="A7" location="'徐万友'!A1" display="徐万友"/>
    <hyperlink ref="A8" location="耿若岩!A1" display="耿若岩"/>
    <hyperlink ref="A9" location="'李明'!A1" display="李明"/>
    <hyperlink ref="A10" location="'张虎'!A1" display="张虎"/>
    <hyperlink ref="A11" location="'马莲花'!A1" display="马莲花"/>
    <hyperlink ref="A12" location="'刘国莲'!A1" display="刘国莲"/>
    <hyperlink ref="A13" location="'杜涛'!A1" display="杜涛"/>
    <hyperlink ref="A14" location="'张文中'!A1" display="张文中"/>
    <hyperlink ref="A15" location="'李秋实'!A1" display="李秋实"/>
    <hyperlink ref="A16" location="'周岸'!A1" display="周岸"/>
    <hyperlink ref="A17" location="'詹泽彬'!A1" display="詹泽彬"/>
    <hyperlink ref="A18" location="'张笑延'!A1" display="张笑延"/>
    <hyperlink ref="A19" location="'沈宁'!A1" display="沈宁"/>
    <hyperlink ref="A20" location="'胡鑫'!A1" display="胡鑫"/>
    <hyperlink ref="A21" location="'邓心豪'!A1" display="邓心豪"/>
    <hyperlink ref="A22" location="'黄恩'!A1" display="黄恩"/>
    <hyperlink ref="A23" location="'严亮'!A1" display="严亮"/>
    <hyperlink ref="A24" location="'边昊'!A1" display="边昊"/>
    <hyperlink ref="A25" location="'张宗根'!A1" display="张宗根"/>
    <hyperlink ref="A26" location="'宋天霖'!A1" display="宋天霖"/>
    <hyperlink ref="A27" location="'蔡昊霖'!A1" display="蔡昊霖"/>
    <hyperlink ref="A28" location="'叶大鹏'!A1" display="叶大鹏"/>
    <hyperlink ref="A29" location="'王建超'!A1" display="王建超"/>
    <hyperlink ref="A30" location="'潘伟生'!A1" display="潘伟生"/>
    <hyperlink ref="A31" location="'王风瑞'!A1" display="王风瑞"/>
    <hyperlink ref="A32" location="'金鼎'!A1" display="金鼎"/>
    <hyperlink ref="A33" location="'董志华'!A1" display="董志华"/>
    <hyperlink ref="A34" location="'姜文夫'!A1" display="姜文夫"/>
    <hyperlink ref="A35" location="'郭永杰'!A1" display="郭永杰"/>
    <hyperlink ref="A36" location="'朱永春'!A1" display="朱永春"/>
    <hyperlink ref="A37" location="'刘琦'!A1" display="刘琦"/>
    <hyperlink ref="A38" location="'吴疆'!A1" display="吴疆"/>
    <hyperlink ref="A39" location="'巴富毅'!A1" display="巴富毅"/>
    <hyperlink ref="A40" location="'陈宏伟'!A1" display="陈宏伟"/>
    <hyperlink ref="A41" location="'蒋露裕'!A1" display="蒋露裕"/>
    <hyperlink ref="A42" location="'蓝宇航'!A1" display="蓝宇航"/>
  </hyperlinks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42"/>
  <sheetViews>
    <sheetView topLeftCell="A13" zoomScale="85" zoomScaleNormal="85" workbookViewId="0">
      <selection activeCell="E34" sqref="E3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46113.294710995397</v>
      </c>
      <c r="B3" s="5" t="s">
        <v>61</v>
      </c>
      <c r="C3" s="11">
        <v>0.29471064814814801</v>
      </c>
      <c r="D3" s="11" t="s">
        <v>62</v>
      </c>
      <c r="E3" s="11">
        <v>0.37401620370370398</v>
      </c>
      <c r="F3" s="12">
        <f t="shared" ref="F3:F42" si="1">(IF(E3-C3&lt;0,"24:00"-C3+E3,E3-C3))*24</f>
        <v>1.9033333333333431</v>
      </c>
      <c r="G3" s="13">
        <f t="shared" ref="G3:G42" si="2">F3-H3</f>
        <v>0.97638888888890385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0.92694444444443924</v>
      </c>
      <c r="I3" s="16" t="s">
        <v>63</v>
      </c>
      <c r="J3" s="17">
        <f>SUMIF(B:B,"带班主任",F:F)</f>
        <v>87.844722222222231</v>
      </c>
      <c r="K3" s="18">
        <f>SUMIF(B:B,"带班主任",G:G)</f>
        <v>52.269166666666706</v>
      </c>
      <c r="L3" s="18">
        <f>SUMIF(B:B,"带班主任",H:H)</f>
        <v>35.575555555555525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46113.938563657401</v>
      </c>
      <c r="B4" s="5" t="s">
        <v>61</v>
      </c>
      <c r="C4" s="11">
        <v>0.93855324074074098</v>
      </c>
      <c r="D4" s="11" t="s">
        <v>62</v>
      </c>
      <c r="E4" s="11">
        <v>0.138703703703704</v>
      </c>
      <c r="F4" s="12">
        <f t="shared" si="1"/>
        <v>4.8036111111111124</v>
      </c>
      <c r="G4" s="13">
        <f t="shared" si="2"/>
        <v>1.4747222222222165</v>
      </c>
      <c r="H4" s="13">
        <f t="shared" si="3"/>
        <v>3.3288888888888959</v>
      </c>
      <c r="I4" s="21" t="s">
        <v>64</v>
      </c>
      <c r="J4" s="22">
        <f>SUMIF(B:B,"西塔台管制席",F:F)+SUMIF(B:B,"东塔台管制席",F:F)</f>
        <v>7.1091666666666598</v>
      </c>
      <c r="K4" s="23">
        <f>SUMIF(B:B,"西塔台管制席",G:G)+SUMIF(B:B,"东塔台管制席",G:G)</f>
        <v>2.0780555555555509</v>
      </c>
      <c r="L4" s="23">
        <f>SUMIF(B:B,"西塔台管制席",H:H)+SUMIF(B:B,"东塔台管制席",H:H)</f>
        <v>5.0311111111111089</v>
      </c>
      <c r="M4" s="19"/>
    </row>
    <row r="5" spans="1:16" ht="18.75" x14ac:dyDescent="0.25">
      <c r="A5" s="10">
        <f t="shared" ca="1" si="0"/>
        <v>46116.543687731501</v>
      </c>
      <c r="B5" s="5" t="s">
        <v>61</v>
      </c>
      <c r="C5" s="11">
        <v>0.54368055555555606</v>
      </c>
      <c r="D5" s="11" t="s">
        <v>62</v>
      </c>
      <c r="E5" s="11">
        <v>0.79888888888888898</v>
      </c>
      <c r="F5" s="12">
        <f t="shared" si="1"/>
        <v>6.1249999999999902</v>
      </c>
      <c r="G5" s="13">
        <f t="shared" si="2"/>
        <v>6.1249999999999902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6.5269444444444327</v>
      </c>
      <c r="K5" s="23">
        <f>SUMIF(B:B,"西塔台协调席",G:G)+SUMIF(B:B,"东塔台协调席",G:G)</f>
        <v>3.5380555555555446</v>
      </c>
      <c r="L5" s="23">
        <f>SUMIF(B:B,"西塔台协调席",H:H)+SUMIF(B:B,"东塔台协调席",H:H)</f>
        <v>2.988888888888888</v>
      </c>
      <c r="M5" s="19"/>
    </row>
    <row r="6" spans="1:16" ht="18.75" x14ac:dyDescent="0.25">
      <c r="A6" s="10">
        <f t="shared" ca="1" si="0"/>
        <v>46117.131943634296</v>
      </c>
      <c r="B6" s="5" t="s">
        <v>61</v>
      </c>
      <c r="C6" s="11">
        <v>0.13193287037036999</v>
      </c>
      <c r="D6" s="11" t="s">
        <v>62</v>
      </c>
      <c r="E6" s="11">
        <v>0.299259259259259</v>
      </c>
      <c r="F6" s="12">
        <f t="shared" si="1"/>
        <v>4.0158333333333367</v>
      </c>
      <c r="G6" s="13">
        <f t="shared" si="2"/>
        <v>0</v>
      </c>
      <c r="H6" s="13">
        <f t="shared" si="3"/>
        <v>4.0158333333333367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46117.792936921302</v>
      </c>
      <c r="B7" s="5" t="s">
        <v>61</v>
      </c>
      <c r="C7" s="11">
        <v>0.79292824074074097</v>
      </c>
      <c r="D7" s="11" t="s">
        <v>62</v>
      </c>
      <c r="E7" s="11">
        <v>0.944618055555556</v>
      </c>
      <c r="F7" s="12">
        <f t="shared" si="1"/>
        <v>3.6405555555555607</v>
      </c>
      <c r="G7" s="13">
        <f t="shared" si="2"/>
        <v>3.6405555555555607</v>
      </c>
      <c r="H7" s="13">
        <f t="shared" si="3"/>
        <v>0</v>
      </c>
      <c r="I7" s="21" t="s">
        <v>67</v>
      </c>
      <c r="J7" s="22">
        <f>SUMIF(B:B,"地面席",F:F)</f>
        <v>2.0394444444444479</v>
      </c>
      <c r="K7" s="23">
        <f>SUMIF(B:B,"地面席",G:G)</f>
        <v>0</v>
      </c>
      <c r="L7" s="23">
        <f>SUMIF(B:B,"地面席",H:H)</f>
        <v>2.0394444444444479</v>
      </c>
      <c r="M7" s="19"/>
    </row>
    <row r="8" spans="1:16" ht="18.75" x14ac:dyDescent="0.25">
      <c r="A8" s="10">
        <f t="shared" ca="1" si="0"/>
        <v>46118.2919944444</v>
      </c>
      <c r="B8" s="5" t="s">
        <v>61</v>
      </c>
      <c r="C8" s="11">
        <v>0.29199074074074099</v>
      </c>
      <c r="D8" s="11" t="s">
        <v>62</v>
      </c>
      <c r="E8" s="11">
        <v>0.35423611111111097</v>
      </c>
      <c r="F8" s="12">
        <f t="shared" si="1"/>
        <v>1.4938888888888795</v>
      </c>
      <c r="G8" s="13">
        <f t="shared" si="2"/>
        <v>0.50166666666667181</v>
      </c>
      <c r="H8" s="13">
        <f t="shared" si="3"/>
        <v>0.99222222222220768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46120.939248148097</v>
      </c>
      <c r="B9" s="5" t="s">
        <v>61</v>
      </c>
      <c r="C9" s="11">
        <v>0.93924768518518498</v>
      </c>
      <c r="D9" s="11" t="s">
        <v>62</v>
      </c>
      <c r="E9" s="11">
        <v>0.14031250000000001</v>
      </c>
      <c r="F9" s="12">
        <f t="shared" si="1"/>
        <v>4.8255555555555603</v>
      </c>
      <c r="G9" s="13">
        <f t="shared" si="2"/>
        <v>1.4580555555555601</v>
      </c>
      <c r="H9" s="13">
        <f t="shared" si="3"/>
        <v>3.3675000000000002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46121.544289236102</v>
      </c>
      <c r="B10" s="5" t="s">
        <v>61</v>
      </c>
      <c r="C10" s="11">
        <v>0.54428240740740697</v>
      </c>
      <c r="D10" s="11" t="s">
        <v>62</v>
      </c>
      <c r="E10" s="11">
        <v>0.74109953703703701</v>
      </c>
      <c r="F10" s="12">
        <f t="shared" si="1"/>
        <v>4.7236111111111212</v>
      </c>
      <c r="G10" s="13">
        <f t="shared" si="2"/>
        <v>4.7236111111111212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46121.754379050901</v>
      </c>
      <c r="B11" s="5" t="s">
        <v>61</v>
      </c>
      <c r="C11" s="11">
        <v>0.75437500000000002</v>
      </c>
      <c r="D11" s="11" t="s">
        <v>62</v>
      </c>
      <c r="E11" s="11">
        <v>0.79862268518518498</v>
      </c>
      <c r="F11" s="12">
        <f t="shared" si="1"/>
        <v>1.061944444444439</v>
      </c>
      <c r="G11" s="13">
        <f t="shared" si="2"/>
        <v>1.061944444444439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46122.131965509303</v>
      </c>
      <c r="B12" s="5" t="s">
        <v>61</v>
      </c>
      <c r="C12" s="11">
        <v>0.13195601851851901</v>
      </c>
      <c r="D12" s="11" t="s">
        <v>62</v>
      </c>
      <c r="E12" s="11">
        <v>0.29895833333333299</v>
      </c>
      <c r="F12" s="12">
        <f t="shared" si="1"/>
        <v>4.0080555555555355</v>
      </c>
      <c r="G12" s="13">
        <f t="shared" si="2"/>
        <v>0</v>
      </c>
      <c r="H12" s="13">
        <f t="shared" si="3"/>
        <v>4.0080555555555355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46125.014424768502</v>
      </c>
      <c r="B13" s="5" t="s">
        <v>73</v>
      </c>
      <c r="C13" s="11">
        <v>1.44212962962963E-2</v>
      </c>
      <c r="D13" s="11" t="s">
        <v>62</v>
      </c>
      <c r="E13" s="11">
        <v>9.9884259259259298E-2</v>
      </c>
      <c r="F13" s="12">
        <f t="shared" si="1"/>
        <v>2.051111111111112</v>
      </c>
      <c r="G13" s="13">
        <f t="shared" si="2"/>
        <v>0</v>
      </c>
      <c r="H13" s="13">
        <f t="shared" si="3"/>
        <v>2.051111111111112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46125.0999248843</v>
      </c>
      <c r="B14" s="5" t="s">
        <v>75</v>
      </c>
      <c r="C14" s="11">
        <v>9.9918981481481497E-2</v>
      </c>
      <c r="D14" s="11" t="s">
        <v>62</v>
      </c>
      <c r="E14" s="11">
        <v>0.14456018518518499</v>
      </c>
      <c r="F14" s="12">
        <f t="shared" si="1"/>
        <v>1.0713888888888836</v>
      </c>
      <c r="G14" s="13">
        <f t="shared" si="2"/>
        <v>0</v>
      </c>
      <c r="H14" s="13">
        <f t="shared" si="3"/>
        <v>1.0713888888888836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46125.960434143497</v>
      </c>
      <c r="B15" s="5" t="s">
        <v>76</v>
      </c>
      <c r="C15" s="11">
        <v>0.96042824074074096</v>
      </c>
      <c r="D15" s="11" t="s">
        <v>62</v>
      </c>
      <c r="E15" s="11">
        <v>0.124537037037037</v>
      </c>
      <c r="F15" s="12">
        <f t="shared" si="1"/>
        <v>3.9386111111111051</v>
      </c>
      <c r="G15" s="13">
        <f t="shared" si="2"/>
        <v>0.94972222222221703</v>
      </c>
      <c r="H15" s="13">
        <f t="shared" si="3"/>
        <v>2.988888888888888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46128.353886111101</v>
      </c>
      <c r="B16" s="5" t="s">
        <v>61</v>
      </c>
      <c r="C16" s="11">
        <v>0.35387731481481499</v>
      </c>
      <c r="D16" s="11" t="s">
        <v>62</v>
      </c>
      <c r="E16" s="11">
        <v>0.54898148148148196</v>
      </c>
      <c r="F16" s="12">
        <f t="shared" si="1"/>
        <v>4.6825000000000072</v>
      </c>
      <c r="G16" s="13">
        <f t="shared" si="2"/>
        <v>4.6825000000000072</v>
      </c>
      <c r="H16" s="13">
        <f t="shared" si="3"/>
        <v>0</v>
      </c>
      <c r="I16" s="35" t="s">
        <v>63</v>
      </c>
      <c r="J16" s="36">
        <f t="shared" ref="J16:L16" si="4">J3</f>
        <v>87.844722222222231</v>
      </c>
      <c r="K16" s="37">
        <f t="shared" si="4"/>
        <v>52.269166666666706</v>
      </c>
      <c r="L16" s="38">
        <f t="shared" si="4"/>
        <v>35.575555555555525</v>
      </c>
      <c r="M16" s="39"/>
    </row>
    <row r="17" spans="1:13" ht="20.25" x14ac:dyDescent="0.25">
      <c r="A17" s="10">
        <f t="shared" ca="1" si="0"/>
        <v>46128.792077430597</v>
      </c>
      <c r="B17" s="5" t="s">
        <v>61</v>
      </c>
      <c r="C17" s="11">
        <v>0.79207175925925899</v>
      </c>
      <c r="D17" s="11" t="s">
        <v>62</v>
      </c>
      <c r="E17" s="11">
        <v>0.94704861111111105</v>
      </c>
      <c r="F17" s="12">
        <f t="shared" si="1"/>
        <v>3.7194444444444494</v>
      </c>
      <c r="G17" s="13">
        <f t="shared" si="2"/>
        <v>3.7194444444444494</v>
      </c>
      <c r="H17" s="13">
        <f t="shared" si="3"/>
        <v>0</v>
      </c>
      <c r="I17" s="35" t="s">
        <v>78</v>
      </c>
      <c r="J17" s="36">
        <f>J4+J5+J6+J7+J10</f>
        <v>15.67555555555554</v>
      </c>
      <c r="K17" s="37">
        <f>K4+K5+K6+K7+K10</f>
        <v>5.6161111111110955</v>
      </c>
      <c r="L17" s="38">
        <f>L4+L5+L6+L7+L10</f>
        <v>10.059444444444445</v>
      </c>
      <c r="M17" s="39"/>
    </row>
    <row r="18" spans="1:13" ht="20.25" x14ac:dyDescent="0.25">
      <c r="A18" s="10">
        <f t="shared" ca="1" si="0"/>
        <v>46129.294251504602</v>
      </c>
      <c r="B18" s="5" t="s">
        <v>61</v>
      </c>
      <c r="C18" s="11">
        <v>0.29424768518518502</v>
      </c>
      <c r="D18" s="11" t="s">
        <v>62</v>
      </c>
      <c r="E18" s="11">
        <v>0.49186342592592602</v>
      </c>
      <c r="F18" s="12">
        <f t="shared" si="1"/>
        <v>4.7427777777777838</v>
      </c>
      <c r="G18" s="13">
        <f t="shared" si="2"/>
        <v>3.8047222222222326</v>
      </c>
      <c r="H18" s="13">
        <f t="shared" si="3"/>
        <v>0.9380555555555512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46129.497048842597</v>
      </c>
      <c r="B19" s="5" t="s">
        <v>61</v>
      </c>
      <c r="C19" s="11">
        <v>0.49704861111111098</v>
      </c>
      <c r="D19" s="11" t="s">
        <v>62</v>
      </c>
      <c r="E19" s="11">
        <v>0.54861111111111105</v>
      </c>
      <c r="F19" s="12">
        <f t="shared" si="1"/>
        <v>1.2375000000000016</v>
      </c>
      <c r="G19" s="13">
        <f t="shared" si="2"/>
        <v>1.2375000000000016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46129.938009375001</v>
      </c>
      <c r="B20" s="5" t="s">
        <v>61</v>
      </c>
      <c r="C20" s="11">
        <v>0.93800925925925904</v>
      </c>
      <c r="D20" s="11" t="s">
        <v>62</v>
      </c>
      <c r="E20" s="11">
        <v>0.13953703703703699</v>
      </c>
      <c r="F20" s="12">
        <f t="shared" si="1"/>
        <v>4.8366666666666704</v>
      </c>
      <c r="G20" s="13">
        <f t="shared" si="2"/>
        <v>1.487777777777783</v>
      </c>
      <c r="H20" s="13">
        <f t="shared" si="3"/>
        <v>3.3488888888888875</v>
      </c>
      <c r="I20" s="40" t="s">
        <v>80</v>
      </c>
      <c r="J20" s="65">
        <f>J16+J17+J18+J19</f>
        <v>103.52027777777778</v>
      </c>
      <c r="K20" s="66"/>
      <c r="L20" s="67"/>
      <c r="M20" s="41"/>
    </row>
    <row r="21" spans="1:13" ht="20.25" x14ac:dyDescent="0.25">
      <c r="A21" s="10">
        <f t="shared" ca="1" si="0"/>
        <v>46132.5405614583</v>
      </c>
      <c r="B21" s="5" t="s">
        <v>61</v>
      </c>
      <c r="C21" s="11">
        <v>0.54055555555555601</v>
      </c>
      <c r="D21" s="11" t="s">
        <v>62</v>
      </c>
      <c r="E21" s="11">
        <v>0.79839120370370398</v>
      </c>
      <c r="F21" s="12">
        <f t="shared" si="1"/>
        <v>6.1880555555555512</v>
      </c>
      <c r="G21" s="13">
        <f t="shared" si="2"/>
        <v>6.1880555555555512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46133.131896412</v>
      </c>
      <c r="B22" s="5" t="s">
        <v>61</v>
      </c>
      <c r="C22" s="11">
        <v>0.131886574074074</v>
      </c>
      <c r="D22" s="11" t="s">
        <v>62</v>
      </c>
      <c r="E22" s="11">
        <v>0.29928240740740703</v>
      </c>
      <c r="F22" s="12">
        <f t="shared" si="1"/>
        <v>4.017499999999993</v>
      </c>
      <c r="G22" s="13">
        <f t="shared" si="2"/>
        <v>0</v>
      </c>
      <c r="H22" s="13">
        <f t="shared" si="3"/>
        <v>4.017499999999993</v>
      </c>
      <c r="I22"/>
      <c r="J22"/>
    </row>
    <row r="23" spans="1:13" ht="18.75" x14ac:dyDescent="0.15">
      <c r="A23" s="10">
        <f t="shared" ca="1" si="0"/>
        <v>46136.939004166699</v>
      </c>
      <c r="B23" s="5" t="s">
        <v>61</v>
      </c>
      <c r="C23" s="11">
        <v>0.93900462962963005</v>
      </c>
      <c r="D23" s="11" t="s">
        <v>62</v>
      </c>
      <c r="E23" s="11">
        <v>0.139351851851852</v>
      </c>
      <c r="F23" s="12">
        <f t="shared" si="1"/>
        <v>4.8083333333333265</v>
      </c>
      <c r="G23" s="13">
        <f t="shared" si="2"/>
        <v>1.4638888888888784</v>
      </c>
      <c r="H23" s="13">
        <f t="shared" si="3"/>
        <v>3.3444444444444481</v>
      </c>
      <c r="I23"/>
      <c r="J23"/>
    </row>
    <row r="24" spans="1:13" ht="18.75" x14ac:dyDescent="0.15">
      <c r="A24" s="10">
        <f t="shared" ca="1" si="0"/>
        <v>46137.548800578697</v>
      </c>
      <c r="B24" s="5" t="s">
        <v>61</v>
      </c>
      <c r="C24" s="11">
        <v>0.548796296296296</v>
      </c>
      <c r="D24" s="11" t="s">
        <v>62</v>
      </c>
      <c r="E24" s="11">
        <v>0.80271990740740795</v>
      </c>
      <c r="F24" s="12">
        <f t="shared" si="1"/>
        <v>6.0941666666666867</v>
      </c>
      <c r="G24" s="13">
        <f t="shared" si="2"/>
        <v>6.0941666666666867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46138.132566898203</v>
      </c>
      <c r="B25" s="5" t="s">
        <v>61</v>
      </c>
      <c r="C25" s="11">
        <v>0.13255787037037001</v>
      </c>
      <c r="D25" s="11" t="s">
        <v>62</v>
      </c>
      <c r="E25" s="11">
        <v>0.29182870370370401</v>
      </c>
      <c r="F25" s="12">
        <f t="shared" si="1"/>
        <v>3.8225000000000158</v>
      </c>
      <c r="G25" s="13">
        <f t="shared" si="2"/>
        <v>0</v>
      </c>
      <c r="H25" s="13">
        <f t="shared" si="3"/>
        <v>3.8225000000000158</v>
      </c>
      <c r="I25"/>
      <c r="J25"/>
    </row>
    <row r="26" spans="1:13" ht="18.75" x14ac:dyDescent="0.15">
      <c r="A26" s="10">
        <f t="shared" ca="1" si="0"/>
        <v>46140.548239004602</v>
      </c>
      <c r="B26" s="5" t="s">
        <v>61</v>
      </c>
      <c r="C26" s="11">
        <v>0.54059027777777802</v>
      </c>
      <c r="D26" s="11" t="s">
        <v>62</v>
      </c>
      <c r="E26" s="11">
        <v>0.64974537037036995</v>
      </c>
      <c r="F26" s="12">
        <f t="shared" si="1"/>
        <v>2.6197222222222063</v>
      </c>
      <c r="G26" s="13">
        <f t="shared" si="2"/>
        <v>2.6197222222222063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46140.649826967601</v>
      </c>
      <c r="B27" s="5" t="s">
        <v>81</v>
      </c>
      <c r="C27" s="11">
        <v>0.64982638888888899</v>
      </c>
      <c r="D27" s="11" t="s">
        <v>62</v>
      </c>
      <c r="E27" s="11">
        <v>0.75767361111111098</v>
      </c>
      <c r="F27" s="12">
        <f t="shared" si="1"/>
        <v>2.5883333333333276</v>
      </c>
      <c r="G27" s="13">
        <f t="shared" si="2"/>
        <v>2.5883333333333276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46140.957942708301</v>
      </c>
      <c r="B28" s="5" t="s">
        <v>61</v>
      </c>
      <c r="C28" s="11">
        <v>0.95793981481481505</v>
      </c>
      <c r="D28" s="11" t="s">
        <v>62</v>
      </c>
      <c r="E28" s="11">
        <v>0.14436342592592599</v>
      </c>
      <c r="F28" s="12">
        <f t="shared" si="1"/>
        <v>4.4741666666666626</v>
      </c>
      <c r="G28" s="13">
        <f t="shared" si="2"/>
        <v>1.0094444444444388</v>
      </c>
      <c r="H28" s="13">
        <f t="shared" si="3"/>
        <v>3.4647222222222238</v>
      </c>
      <c r="I28"/>
      <c r="J28"/>
    </row>
    <row r="29" spans="1:13" ht="18.75" x14ac:dyDescent="0.15">
      <c r="A29" s="10">
        <f t="shared" ca="1" si="0"/>
        <v>46141.54311875</v>
      </c>
      <c r="B29" s="5" t="s">
        <v>75</v>
      </c>
      <c r="C29" s="11">
        <v>0.54317129629629601</v>
      </c>
      <c r="D29" s="11" t="s">
        <v>62</v>
      </c>
      <c r="E29" s="11">
        <v>0.62975694444444397</v>
      </c>
      <c r="F29" s="12">
        <f t="shared" si="1"/>
        <v>2.0780555555555509</v>
      </c>
      <c r="G29" s="13">
        <f t="shared" si="2"/>
        <v>2.0780555555555509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46142.139600810202</v>
      </c>
      <c r="B30" s="5" t="s">
        <v>82</v>
      </c>
      <c r="C30" s="11">
        <v>0.13979166666666701</v>
      </c>
      <c r="D30" s="11" t="s">
        <v>62</v>
      </c>
      <c r="E30" s="11">
        <v>0.22476851851851901</v>
      </c>
      <c r="F30" s="12">
        <f t="shared" si="1"/>
        <v>2.0394444444444479</v>
      </c>
      <c r="G30" s="13">
        <f t="shared" si="2"/>
        <v>0</v>
      </c>
      <c r="H30" s="13">
        <f t="shared" si="3"/>
        <v>2.0394444444444479</v>
      </c>
      <c r="I30"/>
      <c r="J30"/>
    </row>
    <row r="31" spans="1:13" ht="18.75" x14ac:dyDescent="0.15">
      <c r="A31" s="10">
        <f t="shared" ca="1" si="0"/>
        <v>46142.2248400463</v>
      </c>
      <c r="B31" s="5" t="s">
        <v>73</v>
      </c>
      <c r="C31" s="11">
        <v>0.22483796296296299</v>
      </c>
      <c r="D31" s="11" t="s">
        <v>62</v>
      </c>
      <c r="E31" s="11">
        <v>0.30436342592592602</v>
      </c>
      <c r="F31" s="12">
        <f t="shared" si="1"/>
        <v>1.9086111111111128</v>
      </c>
      <c r="G31" s="13">
        <f t="shared" si="2"/>
        <v>0</v>
      </c>
      <c r="H31" s="13">
        <f t="shared" si="3"/>
        <v>1.9086111111111128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46113.074207754602</v>
      </c>
      <c r="B3" s="5" t="s">
        <v>75</v>
      </c>
      <c r="C3" s="11">
        <v>5.6712962962962999E-4</v>
      </c>
      <c r="D3" s="11" t="s">
        <v>62</v>
      </c>
      <c r="E3" s="11">
        <v>0.103506944444444</v>
      </c>
      <c r="F3" s="12">
        <f t="shared" ref="F3:F42" si="1">(IF(E3-C3&lt;0,"24:00"-C3+E3,E3-C3))*24</f>
        <v>2.4705555555555447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2.4705555555555447</v>
      </c>
      <c r="I3" s="16" t="s">
        <v>63</v>
      </c>
      <c r="J3" s="17">
        <f>SUMIF(B:B,"带班主任",F:F)</f>
        <v>10.478888888888878</v>
      </c>
      <c r="K3" s="18">
        <f>SUMIF(B:B,"带班主任",G:G)</f>
        <v>6.3672222222222219</v>
      </c>
      <c r="L3" s="18">
        <f>SUMIF(B:B,"带班主任",H:H)</f>
        <v>4.1116666666666566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46114.014192824099</v>
      </c>
      <c r="B4" s="5" t="s">
        <v>81</v>
      </c>
      <c r="C4" s="11">
        <v>1.4189814814814799E-2</v>
      </c>
      <c r="D4" s="11" t="s">
        <v>62</v>
      </c>
      <c r="E4" s="11">
        <v>0.101747685185185</v>
      </c>
      <c r="F4" s="12">
        <f t="shared" si="1"/>
        <v>2.1013888888888848</v>
      </c>
      <c r="G4" s="13">
        <f t="shared" si="2"/>
        <v>0</v>
      </c>
      <c r="H4" s="13">
        <f t="shared" si="3"/>
        <v>2.1013888888888848</v>
      </c>
      <c r="I4" s="21" t="s">
        <v>64</v>
      </c>
      <c r="J4" s="22">
        <f>SUMIF(B:B,"西塔台管制席",F:F)+SUMIF(B:B,"东塔台管制席",F:F)</f>
        <v>32.120555555555534</v>
      </c>
      <c r="K4" s="23">
        <f>SUMIF(B:B,"西塔台管制席",G:G)+SUMIF(B:B,"东塔台管制席",G:G)</f>
        <v>15.497222222222209</v>
      </c>
      <c r="L4" s="23">
        <f>SUMIF(B:B,"西塔台管制席",H:H)+SUMIF(B:B,"东塔台管制席",H:H)</f>
        <v>16.623333333333324</v>
      </c>
      <c r="M4" s="19"/>
    </row>
    <row r="5" spans="1:16" ht="18.75" x14ac:dyDescent="0.25">
      <c r="A5" s="10">
        <f t="shared" ca="1" si="0"/>
        <v>46114.101809606502</v>
      </c>
      <c r="B5" s="5" t="s">
        <v>75</v>
      </c>
      <c r="C5" s="11">
        <v>0.101805555555556</v>
      </c>
      <c r="D5" s="11" t="s">
        <v>62</v>
      </c>
      <c r="E5" s="11">
        <v>0.14453703703703699</v>
      </c>
      <c r="F5" s="12">
        <f t="shared" si="1"/>
        <v>1.025555555555544</v>
      </c>
      <c r="G5" s="13">
        <f t="shared" si="2"/>
        <v>0</v>
      </c>
      <c r="H5" s="13">
        <f t="shared" si="3"/>
        <v>1.025555555555544</v>
      </c>
      <c r="I5" s="21" t="s">
        <v>65</v>
      </c>
      <c r="J5" s="22">
        <f>SUMIF(B:B,"西塔台协调席",F:F)+SUMIF(B:B,"东塔台协调席",F:F)</f>
        <v>31.10277777777776</v>
      </c>
      <c r="K5" s="23">
        <f>SUMIF(B:B,"西塔台协调席",G:G)+SUMIF(B:B,"东塔台协调席",G:G)</f>
        <v>16.966666666666676</v>
      </c>
      <c r="L5" s="23">
        <f>SUMIF(B:B,"西塔台协调席",H:H)+SUMIF(B:B,"东塔台协调席",H:H)</f>
        <v>14.136111111111077</v>
      </c>
      <c r="M5" s="19"/>
    </row>
    <row r="6" spans="1:16" ht="18.75" x14ac:dyDescent="0.25">
      <c r="A6" s="10">
        <f t="shared" ca="1" si="0"/>
        <v>46118.141506365697</v>
      </c>
      <c r="B6" s="5" t="s">
        <v>75</v>
      </c>
      <c r="C6" s="11">
        <v>0.14150462962963001</v>
      </c>
      <c r="D6" s="11" t="s">
        <v>62</v>
      </c>
      <c r="E6" s="11">
        <v>0.30378472222222203</v>
      </c>
      <c r="F6" s="12">
        <f t="shared" si="1"/>
        <v>3.8947222222222084</v>
      </c>
      <c r="G6" s="13">
        <f t="shared" si="2"/>
        <v>0</v>
      </c>
      <c r="H6" s="13">
        <f t="shared" si="3"/>
        <v>3.8947222222222084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46120.501439699103</v>
      </c>
      <c r="B7" s="5" t="s">
        <v>76</v>
      </c>
      <c r="C7" s="11">
        <v>0.50143518518518504</v>
      </c>
      <c r="D7" s="11" t="s">
        <v>62</v>
      </c>
      <c r="E7" s="11">
        <v>0.62833333333333297</v>
      </c>
      <c r="F7" s="12">
        <f t="shared" si="1"/>
        <v>3.0455555555555502</v>
      </c>
      <c r="G7" s="13">
        <f t="shared" si="2"/>
        <v>3.0455555555555502</v>
      </c>
      <c r="H7" s="13">
        <f t="shared" si="3"/>
        <v>0</v>
      </c>
      <c r="I7" s="21" t="s">
        <v>67</v>
      </c>
      <c r="J7" s="22">
        <f>SUMIF(B:B,"地面席",F:F)</f>
        <v>3.0630555555555596</v>
      </c>
      <c r="K7" s="23">
        <f>SUMIF(B:B,"地面席",G:G)</f>
        <v>0.13305555555556792</v>
      </c>
      <c r="L7" s="23">
        <f>SUMIF(B:B,"地面席",H:H)</f>
        <v>2.9299999999999917</v>
      </c>
      <c r="M7" s="19"/>
    </row>
    <row r="8" spans="1:16" ht="18.75" x14ac:dyDescent="0.25">
      <c r="A8" s="10">
        <f t="shared" ca="1" si="0"/>
        <v>46120.750970138899</v>
      </c>
      <c r="B8" s="5" t="s">
        <v>75</v>
      </c>
      <c r="C8" s="11">
        <v>0.750960648148148</v>
      </c>
      <c r="D8" s="11" t="s">
        <v>62</v>
      </c>
      <c r="E8" s="11">
        <v>0.88196759259259305</v>
      </c>
      <c r="F8" s="12">
        <f t="shared" si="1"/>
        <v>3.1441666666666812</v>
      </c>
      <c r="G8" s="13">
        <f t="shared" si="2"/>
        <v>3.1441666666666812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46121.4213997685</v>
      </c>
      <c r="B9" s="5" t="s">
        <v>76</v>
      </c>
      <c r="C9" s="11">
        <v>0.42138888888888898</v>
      </c>
      <c r="D9" s="11" t="s">
        <v>62</v>
      </c>
      <c r="E9" s="11">
        <v>0.50937500000000002</v>
      </c>
      <c r="F9" s="12">
        <f t="shared" si="1"/>
        <v>2.111666666666665</v>
      </c>
      <c r="G9" s="13">
        <f t="shared" si="2"/>
        <v>2.111666666666665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46121.625724537</v>
      </c>
      <c r="B10" s="5" t="s">
        <v>75</v>
      </c>
      <c r="C10" s="11">
        <v>0.62571759259259296</v>
      </c>
      <c r="D10" s="11" t="s">
        <v>62</v>
      </c>
      <c r="E10" s="11">
        <v>0.75677083333333295</v>
      </c>
      <c r="F10" s="12">
        <f t="shared" si="1"/>
        <v>3.1452777777777596</v>
      </c>
      <c r="G10" s="13">
        <f t="shared" si="2"/>
        <v>3.1452777777777596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46121.834676967599</v>
      </c>
      <c r="B11" s="5" t="s">
        <v>75</v>
      </c>
      <c r="C11" s="11">
        <v>0.83467592592592599</v>
      </c>
      <c r="D11" s="11" t="s">
        <v>62</v>
      </c>
      <c r="E11" s="11">
        <v>0.96601851851851805</v>
      </c>
      <c r="F11" s="12">
        <f t="shared" si="1"/>
        <v>3.1522222222222096</v>
      </c>
      <c r="G11" s="13">
        <f t="shared" si="2"/>
        <v>3.1522222222222096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46122.301581134299</v>
      </c>
      <c r="B12" s="5" t="s">
        <v>82</v>
      </c>
      <c r="C12" s="11">
        <v>0.30157407407407399</v>
      </c>
      <c r="D12" s="11" t="s">
        <v>62</v>
      </c>
      <c r="E12" s="11">
        <v>0.33887731481481498</v>
      </c>
      <c r="F12" s="12">
        <f t="shared" si="1"/>
        <v>0.89527777777778361</v>
      </c>
      <c r="G12" s="13">
        <f t="shared" si="2"/>
        <v>0.13305555555556792</v>
      </c>
      <c r="H12" s="13">
        <f t="shared" si="3"/>
        <v>0.7622222222222157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46122.338913425898</v>
      </c>
      <c r="B13" s="5" t="s">
        <v>76</v>
      </c>
      <c r="C13" s="11">
        <v>0.33891203703703698</v>
      </c>
      <c r="D13" s="11" t="s">
        <v>62</v>
      </c>
      <c r="E13" s="11">
        <v>0.368263888888889</v>
      </c>
      <c r="F13" s="12">
        <f t="shared" si="1"/>
        <v>0.70444444444444843</v>
      </c>
      <c r="G13" s="13">
        <f t="shared" si="2"/>
        <v>0.70444444444444843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46124.958524421301</v>
      </c>
      <c r="B14" s="5" t="s">
        <v>76</v>
      </c>
      <c r="C14" s="11">
        <v>0.95851851851851899</v>
      </c>
      <c r="D14" s="11" t="s">
        <v>62</v>
      </c>
      <c r="E14" s="11">
        <v>0.105902777777778</v>
      </c>
      <c r="F14" s="12">
        <f t="shared" si="1"/>
        <v>3.5372222222222165</v>
      </c>
      <c r="G14" s="13">
        <f t="shared" si="2"/>
        <v>0.99555555555554465</v>
      </c>
      <c r="H14" s="13">
        <f t="shared" si="3"/>
        <v>2.5416666666666718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46126.013981134303</v>
      </c>
      <c r="B15" s="5" t="s">
        <v>81</v>
      </c>
      <c r="C15" s="11">
        <v>1.3981481481481499E-2</v>
      </c>
      <c r="D15" s="11" t="s">
        <v>62</v>
      </c>
      <c r="E15" s="11">
        <v>0.119675925925926</v>
      </c>
      <c r="F15" s="12">
        <f t="shared" si="1"/>
        <v>2.536666666666668</v>
      </c>
      <c r="G15" s="13">
        <f t="shared" si="2"/>
        <v>0</v>
      </c>
      <c r="H15" s="13">
        <f t="shared" si="3"/>
        <v>2.536666666666668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46126.119723726799</v>
      </c>
      <c r="B16" s="5" t="s">
        <v>75</v>
      </c>
      <c r="C16" s="11">
        <v>0.11972222222222199</v>
      </c>
      <c r="D16" s="11" t="s">
        <v>62</v>
      </c>
      <c r="E16" s="11">
        <v>0.14983796296296301</v>
      </c>
      <c r="F16" s="12">
        <f t="shared" si="1"/>
        <v>0.72277777777778429</v>
      </c>
      <c r="G16" s="13">
        <f t="shared" si="2"/>
        <v>0</v>
      </c>
      <c r="H16" s="13">
        <f t="shared" si="3"/>
        <v>0.72277777777778429</v>
      </c>
      <c r="I16" s="35" t="s">
        <v>63</v>
      </c>
      <c r="J16" s="36">
        <f t="shared" ref="J16:L16" si="4">J3</f>
        <v>10.478888888888878</v>
      </c>
      <c r="K16" s="37">
        <f t="shared" si="4"/>
        <v>6.3672222222222219</v>
      </c>
      <c r="L16" s="38">
        <f t="shared" si="4"/>
        <v>4.1116666666666566</v>
      </c>
      <c r="M16" s="39"/>
    </row>
    <row r="17" spans="1:13" ht="20.25" x14ac:dyDescent="0.25">
      <c r="A17" s="10">
        <f t="shared" ca="1" si="0"/>
        <v>46129.138098726798</v>
      </c>
      <c r="B17" s="5" t="s">
        <v>73</v>
      </c>
      <c r="C17" s="11">
        <v>0.13809027777777799</v>
      </c>
      <c r="D17" s="11" t="s">
        <v>62</v>
      </c>
      <c r="E17" s="11">
        <v>0.240856481481482</v>
      </c>
      <c r="F17" s="12">
        <f t="shared" si="1"/>
        <v>2.4663888888888961</v>
      </c>
      <c r="G17" s="13">
        <f t="shared" si="2"/>
        <v>0</v>
      </c>
      <c r="H17" s="13">
        <f t="shared" si="3"/>
        <v>2.4663888888888961</v>
      </c>
      <c r="I17" s="35" t="s">
        <v>78</v>
      </c>
      <c r="J17" s="36">
        <f>J4+J5+J6+J7+J10</f>
        <v>66.286388888888851</v>
      </c>
      <c r="K17" s="37">
        <f>K4+K5+K6+K7+K10</f>
        <v>32.596944444444453</v>
      </c>
      <c r="L17" s="38">
        <f>L4+L5+L6+L7+L10</f>
        <v>33.689444444444391</v>
      </c>
      <c r="M17" s="39"/>
    </row>
    <row r="18" spans="1:13" ht="20.25" x14ac:dyDescent="0.25">
      <c r="A18" s="10">
        <f t="shared" ca="1" si="0"/>
        <v>46129.240899536999</v>
      </c>
      <c r="B18" s="5" t="s">
        <v>76</v>
      </c>
      <c r="C18" s="11">
        <v>0.24089120370370401</v>
      </c>
      <c r="D18" s="11" t="s">
        <v>62</v>
      </c>
      <c r="E18" s="11">
        <v>0.30334490740740699</v>
      </c>
      <c r="F18" s="12">
        <f t="shared" si="1"/>
        <v>1.4988888888888716</v>
      </c>
      <c r="G18" s="13">
        <f t="shared" si="2"/>
        <v>0</v>
      </c>
      <c r="H18" s="13">
        <f t="shared" si="3"/>
        <v>1.4988888888888716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46130.138210300902</v>
      </c>
      <c r="B19" s="5" t="s">
        <v>82</v>
      </c>
      <c r="C19" s="11">
        <v>0.13820601851851899</v>
      </c>
      <c r="D19" s="11" t="s">
        <v>62</v>
      </c>
      <c r="E19" s="11">
        <v>0.22853009259259299</v>
      </c>
      <c r="F19" s="12">
        <f t="shared" si="1"/>
        <v>2.167777777777776</v>
      </c>
      <c r="G19" s="13">
        <f t="shared" si="2"/>
        <v>0</v>
      </c>
      <c r="H19" s="13">
        <f t="shared" si="3"/>
        <v>2.167777777777776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46130.2285694444</v>
      </c>
      <c r="B20" s="5" t="s">
        <v>81</v>
      </c>
      <c r="C20" s="11">
        <v>0.228564814814815</v>
      </c>
      <c r="D20" s="11" t="s">
        <v>62</v>
      </c>
      <c r="E20" s="11">
        <v>0.30428240740740697</v>
      </c>
      <c r="F20" s="12">
        <f t="shared" si="1"/>
        <v>1.8172222222222074</v>
      </c>
      <c r="G20" s="13">
        <f t="shared" si="2"/>
        <v>0</v>
      </c>
      <c r="H20" s="13">
        <f t="shared" si="3"/>
        <v>1.8172222222222074</v>
      </c>
      <c r="I20" s="40" t="s">
        <v>80</v>
      </c>
      <c r="J20" s="65">
        <f>J16+J17+J18+J19</f>
        <v>76.765277777777726</v>
      </c>
      <c r="K20" s="66"/>
      <c r="L20" s="67"/>
      <c r="M20" s="41"/>
    </row>
    <row r="21" spans="1:13" ht="20.25" x14ac:dyDescent="0.25">
      <c r="A21" s="10">
        <f t="shared" ca="1" si="0"/>
        <v>46132.360117013901</v>
      </c>
      <c r="B21" s="5" t="s">
        <v>76</v>
      </c>
      <c r="C21" s="11">
        <v>0.36011574074074099</v>
      </c>
      <c r="D21" s="11" t="s">
        <v>62</v>
      </c>
      <c r="E21" s="11">
        <v>0.51351851851851804</v>
      </c>
      <c r="F21" s="12">
        <f t="shared" si="1"/>
        <v>3.6816666666666493</v>
      </c>
      <c r="G21" s="13">
        <f t="shared" si="2"/>
        <v>3.6816666666666493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46132.626900463001</v>
      </c>
      <c r="B22" s="5" t="s">
        <v>75</v>
      </c>
      <c r="C22" s="11">
        <v>0.62689814814814804</v>
      </c>
      <c r="D22" s="11" t="s">
        <v>62</v>
      </c>
      <c r="E22" s="11">
        <v>0.76207175925925896</v>
      </c>
      <c r="F22" s="12">
        <f t="shared" si="1"/>
        <v>3.2441666666666622</v>
      </c>
      <c r="G22" s="13">
        <f t="shared" si="2"/>
        <v>3.2441666666666622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46132.874583564801</v>
      </c>
      <c r="B23" s="5" t="s">
        <v>76</v>
      </c>
      <c r="C23" s="11">
        <v>0.87458333333333305</v>
      </c>
      <c r="D23" s="11" t="s">
        <v>62</v>
      </c>
      <c r="E23" s="11">
        <v>0.96837962962962998</v>
      </c>
      <c r="F23" s="12">
        <f t="shared" si="1"/>
        <v>2.2511111111111264</v>
      </c>
      <c r="G23" s="13">
        <f t="shared" si="2"/>
        <v>2.2511111111111264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46133.301157986098</v>
      </c>
      <c r="B24" s="5" t="s">
        <v>76</v>
      </c>
      <c r="C24" s="11">
        <v>0.30115740740740699</v>
      </c>
      <c r="D24" s="11" t="s">
        <v>62</v>
      </c>
      <c r="E24" s="11">
        <v>0.42430555555555599</v>
      </c>
      <c r="F24" s="12">
        <f t="shared" si="1"/>
        <v>2.9555555555555761</v>
      </c>
      <c r="G24" s="13">
        <f t="shared" si="2"/>
        <v>2.1833333333333522</v>
      </c>
      <c r="H24" s="13">
        <f t="shared" si="3"/>
        <v>0.77222222222222392</v>
      </c>
      <c r="I24"/>
      <c r="J24"/>
    </row>
    <row r="25" spans="1:13" ht="18.75" x14ac:dyDescent="0.15">
      <c r="A25" s="10">
        <f t="shared" ca="1" si="0"/>
        <v>46133.503756365702</v>
      </c>
      <c r="B25" s="5" t="s">
        <v>75</v>
      </c>
      <c r="C25" s="11">
        <v>0.50375000000000003</v>
      </c>
      <c r="D25" s="11" t="s">
        <v>62</v>
      </c>
      <c r="E25" s="11">
        <v>0.58108796296296295</v>
      </c>
      <c r="F25" s="12">
        <f t="shared" si="1"/>
        <v>1.8561111111111099</v>
      </c>
      <c r="G25" s="13">
        <f t="shared" si="2"/>
        <v>1.8561111111111099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46133.757044213002</v>
      </c>
      <c r="B26" s="5" t="s">
        <v>76</v>
      </c>
      <c r="C26" s="11">
        <v>0.75703703703703695</v>
      </c>
      <c r="D26" s="11" t="s">
        <v>62</v>
      </c>
      <c r="E26" s="11">
        <v>0.84009259259259295</v>
      </c>
      <c r="F26" s="12">
        <f t="shared" si="1"/>
        <v>1.9933333333333438</v>
      </c>
      <c r="G26" s="13">
        <f t="shared" si="2"/>
        <v>1.9933333333333438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46137.012881018498</v>
      </c>
      <c r="B27" s="5" t="s">
        <v>81</v>
      </c>
      <c r="C27" s="11">
        <v>1.28703703703704E-2</v>
      </c>
      <c r="D27" s="11" t="s">
        <v>62</v>
      </c>
      <c r="E27" s="11">
        <v>0.132372685185185</v>
      </c>
      <c r="F27" s="12">
        <f t="shared" si="1"/>
        <v>2.8680555555555505</v>
      </c>
      <c r="G27" s="13">
        <f t="shared" si="2"/>
        <v>0</v>
      </c>
      <c r="H27" s="13">
        <f t="shared" si="3"/>
        <v>2.8680555555555505</v>
      </c>
      <c r="I27"/>
      <c r="J27"/>
    </row>
    <row r="28" spans="1:13" ht="18.75" x14ac:dyDescent="0.15">
      <c r="A28" s="10">
        <f t="shared" ca="1" si="0"/>
        <v>46137.960197569402</v>
      </c>
      <c r="B28" s="5" t="s">
        <v>75</v>
      </c>
      <c r="C28" s="11">
        <v>0.96019675925925896</v>
      </c>
      <c r="D28" s="11" t="s">
        <v>62</v>
      </c>
      <c r="E28" s="11">
        <v>0.14548611111111101</v>
      </c>
      <c r="F28" s="12">
        <f t="shared" si="1"/>
        <v>4.4469444444444495</v>
      </c>
      <c r="G28" s="13">
        <f t="shared" si="2"/>
        <v>0.955277777777785</v>
      </c>
      <c r="H28" s="13">
        <f t="shared" si="3"/>
        <v>3.4916666666666645</v>
      </c>
      <c r="I28"/>
      <c r="J28"/>
    </row>
    <row r="29" spans="1:13" ht="18.75" x14ac:dyDescent="0.15">
      <c r="A29" s="10">
        <f t="shared" ca="1" si="0"/>
        <v>46140.798704513902</v>
      </c>
      <c r="B29" s="5" t="s">
        <v>61</v>
      </c>
      <c r="C29" s="11">
        <v>0.79870370370370403</v>
      </c>
      <c r="D29" s="11" t="s">
        <v>62</v>
      </c>
      <c r="E29" s="11">
        <v>0.93202546296296296</v>
      </c>
      <c r="F29" s="12">
        <f t="shared" si="1"/>
        <v>3.1997222222222144</v>
      </c>
      <c r="G29" s="13">
        <f t="shared" si="2"/>
        <v>3.1997222222222144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46141.140365972198</v>
      </c>
      <c r="B30" s="5" t="s">
        <v>73</v>
      </c>
      <c r="C30" s="11">
        <v>0.140358796296296</v>
      </c>
      <c r="D30" s="11" t="s">
        <v>62</v>
      </c>
      <c r="E30" s="11">
        <v>0.24667824074074099</v>
      </c>
      <c r="F30" s="12">
        <f t="shared" si="1"/>
        <v>2.5516666666666801</v>
      </c>
      <c r="G30" s="13">
        <f t="shared" si="2"/>
        <v>0</v>
      </c>
      <c r="H30" s="13">
        <f t="shared" si="3"/>
        <v>2.5516666666666801</v>
      </c>
      <c r="I30"/>
      <c r="J30"/>
    </row>
    <row r="31" spans="1:13" ht="18.75" x14ac:dyDescent="0.15">
      <c r="A31" s="10">
        <f t="shared" ca="1" si="0"/>
        <v>46141.627640046303</v>
      </c>
      <c r="B31" s="5" t="s">
        <v>61</v>
      </c>
      <c r="C31" s="11">
        <v>0.62763888888888897</v>
      </c>
      <c r="D31" s="11" t="s">
        <v>62</v>
      </c>
      <c r="E31" s="11">
        <v>0.75961805555555595</v>
      </c>
      <c r="F31" s="12">
        <f t="shared" si="1"/>
        <v>3.1675000000000075</v>
      </c>
      <c r="G31" s="13">
        <f t="shared" si="2"/>
        <v>3.1675000000000075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46142.132934838002</v>
      </c>
      <c r="B32" s="5" t="s">
        <v>61</v>
      </c>
      <c r="C32" s="11">
        <v>0.132928240740741</v>
      </c>
      <c r="D32" s="11" t="s">
        <v>62</v>
      </c>
      <c r="E32" s="11">
        <v>0.30424768518518502</v>
      </c>
      <c r="F32" s="12">
        <f t="shared" si="1"/>
        <v>4.1116666666666566</v>
      </c>
      <c r="G32" s="13">
        <f t="shared" si="2"/>
        <v>0</v>
      </c>
      <c r="H32" s="13">
        <f t="shared" si="3"/>
        <v>4.1116666666666566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2"/>
  <sheetViews>
    <sheetView zoomScale="85" zoomScaleNormal="85" workbookViewId="0">
      <selection activeCell="D20" sqref="D2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46120.502854745399</v>
      </c>
      <c r="B3" s="5" t="s">
        <v>75</v>
      </c>
      <c r="C3" s="11">
        <v>0.502847222222222</v>
      </c>
      <c r="D3" s="11" t="s">
        <v>62</v>
      </c>
      <c r="E3" s="11">
        <v>0.63502314814814798</v>
      </c>
      <c r="F3" s="12">
        <f t="shared" ref="F3:F42" si="1">(IF(E3-C3&lt;0,"24:00"-C3+E3,E3-C3))*24</f>
        <v>3.1722222222222234</v>
      </c>
      <c r="G3" s="13">
        <f t="shared" ref="G3:G42" si="2">F3-H3</f>
        <v>3.1722222222222234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46120.753298032403</v>
      </c>
      <c r="B4" s="5" t="s">
        <v>76</v>
      </c>
      <c r="C4" s="11">
        <v>0.75329861111111096</v>
      </c>
      <c r="D4" s="11" t="s">
        <v>62</v>
      </c>
      <c r="E4" s="11">
        <v>0.87984953703703705</v>
      </c>
      <c r="F4" s="12">
        <f t="shared" si="1"/>
        <v>3.0372222222222263</v>
      </c>
      <c r="G4" s="13">
        <f t="shared" si="2"/>
        <v>3.0372222222222263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32.434999999999974</v>
      </c>
      <c r="K4" s="23">
        <f>SUMIF(B:B,"西塔台管制席",G:G)+SUMIF(B:B,"东塔台管制席",G:G)</f>
        <v>15.009166666666683</v>
      </c>
      <c r="L4" s="23">
        <f>SUMIF(B:B,"西塔台管制席",H:H)+SUMIF(B:B,"东塔台管制席",H:H)</f>
        <v>17.425833333333294</v>
      </c>
      <c r="M4" s="19"/>
    </row>
    <row r="5" spans="1:16" ht="18.75" x14ac:dyDescent="0.25">
      <c r="A5" s="10">
        <f t="shared" ca="1" si="0"/>
        <v>46121.418246527799</v>
      </c>
      <c r="B5" s="5" t="s">
        <v>75</v>
      </c>
      <c r="C5" s="11">
        <v>0.41824074074074102</v>
      </c>
      <c r="D5" s="11" t="s">
        <v>62</v>
      </c>
      <c r="E5" s="11">
        <v>0.50591435185185196</v>
      </c>
      <c r="F5" s="12">
        <f t="shared" si="1"/>
        <v>2.1041666666666625</v>
      </c>
      <c r="G5" s="13">
        <f t="shared" si="2"/>
        <v>2.1041666666666625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14.245277777777783</v>
      </c>
      <c r="K5" s="23">
        <f>SUMIF(B:B,"西塔台协调席",G:G)+SUMIF(B:B,"东塔台协调席",G:G)</f>
        <v>14.245277777777783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46121.627389236099</v>
      </c>
      <c r="B6" s="5" t="s">
        <v>76</v>
      </c>
      <c r="C6" s="11">
        <v>0.627384259259259</v>
      </c>
      <c r="D6" s="11" t="s">
        <v>62</v>
      </c>
      <c r="E6" s="11">
        <v>0.75622685185185201</v>
      </c>
      <c r="F6" s="12">
        <f t="shared" si="1"/>
        <v>3.0922222222222322</v>
      </c>
      <c r="G6" s="13">
        <f t="shared" si="2"/>
        <v>3.0922222222222322</v>
      </c>
      <c r="H6" s="13">
        <f t="shared" si="3"/>
        <v>0</v>
      </c>
      <c r="I6" s="21" t="s">
        <v>66</v>
      </c>
      <c r="J6" s="22">
        <f>SUMIF(B:B,"放行席",F:F)</f>
        <v>4.704444444444456</v>
      </c>
      <c r="K6" s="23">
        <f>SUMIF(B:B,"放行席",G:G)</f>
        <v>0</v>
      </c>
      <c r="L6" s="23">
        <f>SUMIF(B:B,"放行席",H:H)</f>
        <v>4.704444444444456</v>
      </c>
      <c r="M6" s="19"/>
    </row>
    <row r="7" spans="1:16" ht="18.75" x14ac:dyDescent="0.25">
      <c r="A7" s="10">
        <f t="shared" ca="1" si="0"/>
        <v>46121.836450810202</v>
      </c>
      <c r="B7" s="5" t="s">
        <v>76</v>
      </c>
      <c r="C7" s="11">
        <v>0.83644675925925904</v>
      </c>
      <c r="D7" s="11" t="s">
        <v>62</v>
      </c>
      <c r="E7" s="11">
        <v>0.96526620370370397</v>
      </c>
      <c r="F7" s="12">
        <f t="shared" si="1"/>
        <v>3.0916666666666783</v>
      </c>
      <c r="G7" s="13">
        <f t="shared" si="2"/>
        <v>3.0916666666666783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46122.301430787003</v>
      </c>
      <c r="B8" s="5" t="s">
        <v>75</v>
      </c>
      <c r="C8" s="11">
        <v>0.30142361111111099</v>
      </c>
      <c r="D8" s="11" t="s">
        <v>62</v>
      </c>
      <c r="E8" s="11">
        <v>0.36857638888888899</v>
      </c>
      <c r="F8" s="12">
        <f t="shared" si="1"/>
        <v>1.6116666666666721</v>
      </c>
      <c r="G8" s="13">
        <f t="shared" si="2"/>
        <v>0.84583333333334432</v>
      </c>
      <c r="H8" s="13">
        <f t="shared" si="3"/>
        <v>0.76583333333332781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46124.9591232639</v>
      </c>
      <c r="B9" s="5" t="s">
        <v>75</v>
      </c>
      <c r="C9" s="11">
        <v>0.95912037037037001</v>
      </c>
      <c r="D9" s="11" t="s">
        <v>62</v>
      </c>
      <c r="E9" s="11">
        <v>0.105219907407407</v>
      </c>
      <c r="F9" s="12">
        <f t="shared" si="1"/>
        <v>3.5063888888888877</v>
      </c>
      <c r="G9" s="13">
        <f t="shared" si="2"/>
        <v>0.9811111111111197</v>
      </c>
      <c r="H9" s="13">
        <f t="shared" si="3"/>
        <v>2.525277777777768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46126.013688078703</v>
      </c>
      <c r="B10" s="5" t="s">
        <v>73</v>
      </c>
      <c r="C10" s="11">
        <v>1.36805555555556E-2</v>
      </c>
      <c r="D10" s="11" t="s">
        <v>62</v>
      </c>
      <c r="E10" s="11">
        <v>0.14641203703703701</v>
      </c>
      <c r="F10" s="12">
        <f t="shared" si="1"/>
        <v>3.1855555555555535</v>
      </c>
      <c r="G10" s="13">
        <f t="shared" si="2"/>
        <v>0</v>
      </c>
      <c r="H10" s="13">
        <f t="shared" si="3"/>
        <v>3.1855555555555535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46129.140156944399</v>
      </c>
      <c r="B11" s="5" t="s">
        <v>75</v>
      </c>
      <c r="C11" s="11">
        <v>0.14015046296296299</v>
      </c>
      <c r="D11" s="11" t="s">
        <v>62</v>
      </c>
      <c r="E11" s="11">
        <v>0.30412037037036999</v>
      </c>
      <c r="F11" s="12">
        <f t="shared" si="1"/>
        <v>3.9352777777777677</v>
      </c>
      <c r="G11" s="13">
        <f t="shared" si="2"/>
        <v>0</v>
      </c>
      <c r="H11" s="13">
        <f t="shared" si="3"/>
        <v>3.9352777777777677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46130.1322596065</v>
      </c>
      <c r="B12" s="5" t="s">
        <v>83</v>
      </c>
      <c r="C12" s="11">
        <v>0.132256944444444</v>
      </c>
      <c r="D12" s="11" t="s">
        <v>62</v>
      </c>
      <c r="E12" s="11">
        <v>0.22982638888888901</v>
      </c>
      <c r="F12" s="12">
        <f t="shared" si="1"/>
        <v>2.3416666666666801</v>
      </c>
      <c r="G12" s="13">
        <f t="shared" si="2"/>
        <v>0</v>
      </c>
      <c r="H12" s="13">
        <f t="shared" si="3"/>
        <v>2.3416666666666801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46132.359528935202</v>
      </c>
      <c r="B13" s="5" t="s">
        <v>75</v>
      </c>
      <c r="C13" s="11">
        <v>0.359525462962963</v>
      </c>
      <c r="D13" s="11" t="s">
        <v>62</v>
      </c>
      <c r="E13" s="11">
        <v>0.51070601851851805</v>
      </c>
      <c r="F13" s="12">
        <f t="shared" si="1"/>
        <v>3.628333333333321</v>
      </c>
      <c r="G13" s="13">
        <f t="shared" si="2"/>
        <v>3.628333333333321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46132.630409953701</v>
      </c>
      <c r="B14" s="5" t="s">
        <v>76</v>
      </c>
      <c r="C14" s="11">
        <v>0.63040509259259303</v>
      </c>
      <c r="D14" s="11" t="s">
        <v>62</v>
      </c>
      <c r="E14" s="11">
        <v>0.75925925925925897</v>
      </c>
      <c r="F14" s="12">
        <f t="shared" si="1"/>
        <v>3.0924999999999825</v>
      </c>
      <c r="G14" s="13">
        <f t="shared" si="2"/>
        <v>3.0924999999999825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46132.875523379596</v>
      </c>
      <c r="B15" s="5" t="s">
        <v>75</v>
      </c>
      <c r="C15" s="11">
        <v>0.87552083333333297</v>
      </c>
      <c r="D15" s="11" t="s">
        <v>62</v>
      </c>
      <c r="E15" s="11">
        <v>0.96472222222222204</v>
      </c>
      <c r="F15" s="12">
        <f t="shared" si="1"/>
        <v>2.1408333333333376</v>
      </c>
      <c r="G15" s="13">
        <f t="shared" si="2"/>
        <v>2.1408333333333376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46133.295149305603</v>
      </c>
      <c r="B16" s="5" t="s">
        <v>75</v>
      </c>
      <c r="C16" s="11">
        <v>0.29810185185185201</v>
      </c>
      <c r="D16" s="11" t="s">
        <v>62</v>
      </c>
      <c r="E16" s="11">
        <v>0.42236111111111102</v>
      </c>
      <c r="F16" s="12">
        <f t="shared" si="1"/>
        <v>2.9822222222222163</v>
      </c>
      <c r="G16" s="13">
        <f t="shared" si="2"/>
        <v>2.1366666666666729</v>
      </c>
      <c r="H16" s="13">
        <f t="shared" si="3"/>
        <v>0.8455555555555434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46133.502179976902</v>
      </c>
      <c r="B17" s="5" t="s">
        <v>76</v>
      </c>
      <c r="C17" s="11">
        <v>0.50217592592592597</v>
      </c>
      <c r="D17" s="11" t="s">
        <v>62</v>
      </c>
      <c r="E17" s="11">
        <v>0.58266203703703701</v>
      </c>
      <c r="F17" s="12">
        <f t="shared" si="1"/>
        <v>1.9316666666666649</v>
      </c>
      <c r="G17" s="13">
        <f t="shared" si="2"/>
        <v>1.9316666666666649</v>
      </c>
      <c r="H17" s="13">
        <f t="shared" si="3"/>
        <v>0</v>
      </c>
      <c r="I17" s="35" t="s">
        <v>78</v>
      </c>
      <c r="J17" s="36">
        <f>J4+J5+J6+J7+J10</f>
        <v>51.384722222222216</v>
      </c>
      <c r="K17" s="37">
        <f>K4+K5+K6+K7+K10</f>
        <v>29.254444444444466</v>
      </c>
      <c r="L17" s="38">
        <f>L4+L5+L6+L7+L10</f>
        <v>22.130277777777749</v>
      </c>
      <c r="M17" s="39"/>
    </row>
    <row r="18" spans="1:13" ht="20.25" x14ac:dyDescent="0.25">
      <c r="A18" s="10">
        <f t="shared" ca="1" si="0"/>
        <v>46137.133577893503</v>
      </c>
      <c r="B18" s="5" t="s">
        <v>83</v>
      </c>
      <c r="C18" s="11">
        <v>0.13357638888888901</v>
      </c>
      <c r="D18" s="11" t="s">
        <v>62</v>
      </c>
      <c r="E18" s="11">
        <v>0.232025462962963</v>
      </c>
      <c r="F18" s="12">
        <f t="shared" si="1"/>
        <v>2.3627777777777759</v>
      </c>
      <c r="G18" s="13">
        <f t="shared" si="2"/>
        <v>0</v>
      </c>
      <c r="H18" s="13">
        <f t="shared" si="3"/>
        <v>2.3627777777777759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46141.140645138898</v>
      </c>
      <c r="B19" s="5" t="s">
        <v>75</v>
      </c>
      <c r="C19" s="11">
        <v>0.14063657407407401</v>
      </c>
      <c r="D19" s="11" t="s">
        <v>62</v>
      </c>
      <c r="E19" s="11">
        <v>0.30810185185185202</v>
      </c>
      <c r="F19" s="12">
        <f t="shared" si="1"/>
        <v>4.0191666666666723</v>
      </c>
      <c r="G19" s="13">
        <f t="shared" si="2"/>
        <v>0</v>
      </c>
      <c r="H19" s="13">
        <f t="shared" si="3"/>
        <v>4.0191666666666723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46142.1404364583</v>
      </c>
      <c r="B20" s="5" t="s">
        <v>73</v>
      </c>
      <c r="C20" s="11">
        <v>0.14042824074074101</v>
      </c>
      <c r="D20" s="11" t="s">
        <v>62</v>
      </c>
      <c r="E20" s="11">
        <v>0.22997685185185199</v>
      </c>
      <c r="F20" s="12">
        <f t="shared" si="1"/>
        <v>2.1491666666666633</v>
      </c>
      <c r="G20" s="13">
        <f t="shared" si="2"/>
        <v>0</v>
      </c>
      <c r="H20" s="13">
        <f t="shared" si="3"/>
        <v>2.1491666666666633</v>
      </c>
      <c r="I20" s="40" t="s">
        <v>80</v>
      </c>
      <c r="J20" s="65">
        <f>J16+J17+J18+J19</f>
        <v>51.384722222222216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46115.140938773096</v>
      </c>
      <c r="B3" s="5" t="s">
        <v>75</v>
      </c>
      <c r="C3" s="11">
        <v>0.14093749999999999</v>
      </c>
      <c r="D3" s="11" t="s">
        <v>62</v>
      </c>
      <c r="E3" s="11">
        <v>0.30032407407407402</v>
      </c>
      <c r="F3" s="12">
        <f t="shared" ref="F3:F42" si="1">(IF(E3-C3&lt;0,"24:00"-C3+E3,E3-C3))*24</f>
        <v>3.8252777777777767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3.8252777777777767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46116.140307060203</v>
      </c>
      <c r="B4" s="5" t="s">
        <v>82</v>
      </c>
      <c r="C4" s="11">
        <v>0.140300925925926</v>
      </c>
      <c r="D4" s="11" t="s">
        <v>62</v>
      </c>
      <c r="E4" s="11">
        <v>0.21821759259259299</v>
      </c>
      <c r="F4" s="12">
        <f t="shared" si="1"/>
        <v>1.8700000000000079</v>
      </c>
      <c r="G4" s="13">
        <f t="shared" si="2"/>
        <v>0</v>
      </c>
      <c r="H4" s="13">
        <f t="shared" si="3"/>
        <v>1.8700000000000079</v>
      </c>
      <c r="I4" s="21" t="s">
        <v>64</v>
      </c>
      <c r="J4" s="22">
        <f>SUMIF(B:B,"西塔台管制席",F:F)+SUMIF(B:B,"东塔台管制席",F:F)</f>
        <v>36.1944444444444</v>
      </c>
      <c r="K4" s="23">
        <f>SUMIF(B:B,"西塔台管制席",G:G)+SUMIF(B:B,"东塔台管制席",G:G)</f>
        <v>27.81638888888887</v>
      </c>
      <c r="L4" s="23">
        <f>SUMIF(B:B,"西塔台管制席",H:H)+SUMIF(B:B,"东塔台管制席",H:H)</f>
        <v>8.3780555555555267</v>
      </c>
      <c r="M4" s="19"/>
    </row>
    <row r="5" spans="1:16" ht="18.75" x14ac:dyDescent="0.25">
      <c r="A5" s="10">
        <f t="shared" ca="1" si="0"/>
        <v>46118.375012268501</v>
      </c>
      <c r="B5" s="5" t="s">
        <v>84</v>
      </c>
      <c r="C5" s="11">
        <v>0.37501157407407398</v>
      </c>
      <c r="D5" s="11" t="s">
        <v>62</v>
      </c>
      <c r="E5" s="11">
        <v>0.493148148148148</v>
      </c>
      <c r="F5" s="12">
        <f t="shared" si="1"/>
        <v>2.8352777777777765</v>
      </c>
      <c r="G5" s="13">
        <f t="shared" si="2"/>
        <v>2.8352777777777765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20.605277777777786</v>
      </c>
      <c r="K5" s="23">
        <f>SUMIF(B:B,"西塔台协调席",G:G)+SUMIF(B:B,"东塔台协调席",G:G)</f>
        <v>12.412500000000005</v>
      </c>
      <c r="L5" s="23">
        <f>SUMIF(B:B,"西塔台协调席",H:H)+SUMIF(B:B,"东塔台协调席",H:H)</f>
        <v>8.1927777777777848</v>
      </c>
      <c r="M5" s="19"/>
    </row>
    <row r="6" spans="1:16" ht="18.75" x14ac:dyDescent="0.25">
      <c r="A6" s="10">
        <f t="shared" ca="1" si="0"/>
        <v>46118.627487963</v>
      </c>
      <c r="B6" s="5" t="s">
        <v>75</v>
      </c>
      <c r="C6" s="11">
        <v>0.62748842592592602</v>
      </c>
      <c r="D6" s="11" t="s">
        <v>62</v>
      </c>
      <c r="E6" s="11">
        <v>0.73545138888888895</v>
      </c>
      <c r="F6" s="12">
        <f t="shared" si="1"/>
        <v>2.5911111111111103</v>
      </c>
      <c r="G6" s="13">
        <f t="shared" si="2"/>
        <v>2.5911111111111103</v>
      </c>
      <c r="H6" s="13">
        <f t="shared" si="3"/>
        <v>0</v>
      </c>
      <c r="I6" s="21" t="s">
        <v>66</v>
      </c>
      <c r="J6" s="22">
        <f>SUMIF(B:B,"放行席",F:F)</f>
        <v>4.8155555555555516</v>
      </c>
      <c r="K6" s="23">
        <f>SUMIF(B:B,"放行席",G:G)</f>
        <v>0</v>
      </c>
      <c r="L6" s="23">
        <f>SUMIF(B:B,"放行席",H:H)</f>
        <v>4.8155555555555516</v>
      </c>
      <c r="M6" s="19"/>
    </row>
    <row r="7" spans="1:16" ht="18.75" x14ac:dyDescent="0.25">
      <c r="A7" s="10">
        <f t="shared" ca="1" si="0"/>
        <v>46118.875712847199</v>
      </c>
      <c r="B7" s="5" t="s">
        <v>76</v>
      </c>
      <c r="C7" s="11">
        <v>0.87570601851851804</v>
      </c>
      <c r="D7" s="11" t="s">
        <v>62</v>
      </c>
      <c r="E7" s="11">
        <v>0.95621527777777804</v>
      </c>
      <c r="F7" s="12">
        <f t="shared" si="1"/>
        <v>1.93222222222224</v>
      </c>
      <c r="G7" s="13">
        <f t="shared" si="2"/>
        <v>1.93222222222224</v>
      </c>
      <c r="H7" s="13">
        <f t="shared" si="3"/>
        <v>0</v>
      </c>
      <c r="I7" s="21" t="s">
        <v>67</v>
      </c>
      <c r="J7" s="22">
        <f>SUMIF(B:B,"地面席",F:F)</f>
        <v>3.7769444444444638</v>
      </c>
      <c r="K7" s="23">
        <f>SUMIF(B:B,"地面席",G:G)</f>
        <v>0</v>
      </c>
      <c r="L7" s="23">
        <f>SUMIF(B:B,"地面席",H:H)</f>
        <v>3.7769444444444638</v>
      </c>
      <c r="M7" s="19"/>
    </row>
    <row r="8" spans="1:16" ht="18.75" x14ac:dyDescent="0.25">
      <c r="A8" s="10">
        <f t="shared" ca="1" si="0"/>
        <v>46119.397899536998</v>
      </c>
      <c r="B8" s="5" t="s">
        <v>75</v>
      </c>
      <c r="C8" s="11">
        <v>0.39789351851851901</v>
      </c>
      <c r="D8" s="11" t="s">
        <v>62</v>
      </c>
      <c r="E8" s="11">
        <v>0.54859953703703701</v>
      </c>
      <c r="F8" s="12">
        <f t="shared" si="1"/>
        <v>3.6169444444444321</v>
      </c>
      <c r="G8" s="13">
        <f t="shared" si="2"/>
        <v>3.6169444444444321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46119.710405555597</v>
      </c>
      <c r="B9" s="5" t="s">
        <v>75</v>
      </c>
      <c r="C9" s="11">
        <v>0.71040509259259299</v>
      </c>
      <c r="D9" s="11" t="s">
        <v>62</v>
      </c>
      <c r="E9" s="11">
        <v>0.83974537037037</v>
      </c>
      <c r="F9" s="12">
        <f t="shared" si="1"/>
        <v>3.1041666666666483</v>
      </c>
      <c r="G9" s="13">
        <f t="shared" si="2"/>
        <v>3.1041666666666483</v>
      </c>
      <c r="H9" s="13">
        <f t="shared" si="3"/>
        <v>0</v>
      </c>
      <c r="I9" s="21" t="s">
        <v>69</v>
      </c>
      <c r="J9" s="22">
        <f>SUMIF(B:B,"航班调度席",F:F)</f>
        <v>3.9519444444444245</v>
      </c>
      <c r="K9" s="23">
        <f>SUMIF(B:B,"航班调度席",G:G)</f>
        <v>3.9519444444444245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46120.293945833298</v>
      </c>
      <c r="B10" s="5" t="s">
        <v>75</v>
      </c>
      <c r="C10" s="11">
        <v>0.29393518518518502</v>
      </c>
      <c r="D10" s="11" t="s">
        <v>62</v>
      </c>
      <c r="E10" s="11">
        <v>0.36782407407407403</v>
      </c>
      <c r="F10" s="12">
        <f t="shared" si="1"/>
        <v>1.7733333333333361</v>
      </c>
      <c r="G10" s="13">
        <f t="shared" si="2"/>
        <v>0.82777777777778505</v>
      </c>
      <c r="H10" s="13">
        <f t="shared" si="3"/>
        <v>0.94555555555555104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46122.953047916701</v>
      </c>
      <c r="B11" s="5" t="s">
        <v>76</v>
      </c>
      <c r="C11" s="11">
        <v>0.95304398148148195</v>
      </c>
      <c r="D11" s="11" t="s">
        <v>62</v>
      </c>
      <c r="E11" s="11">
        <v>0.115763888888889</v>
      </c>
      <c r="F11" s="12">
        <f t="shared" si="1"/>
        <v>3.9052777777777692</v>
      </c>
      <c r="G11" s="13">
        <f t="shared" si="2"/>
        <v>1.1269444444444332</v>
      </c>
      <c r="H11" s="13">
        <f t="shared" si="3"/>
        <v>2.778333333333336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46124.1409585648</v>
      </c>
      <c r="B12" s="5" t="s">
        <v>82</v>
      </c>
      <c r="C12" s="11">
        <v>0.140949074074074</v>
      </c>
      <c r="D12" s="11" t="s">
        <v>62</v>
      </c>
      <c r="E12" s="11">
        <v>0.220405092592593</v>
      </c>
      <c r="F12" s="12">
        <f t="shared" si="1"/>
        <v>1.9069444444444559</v>
      </c>
      <c r="G12" s="13">
        <f t="shared" si="2"/>
        <v>0</v>
      </c>
      <c r="H12" s="13">
        <f t="shared" si="3"/>
        <v>1.9069444444444559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46127.140596296304</v>
      </c>
      <c r="B13" s="5" t="s">
        <v>73</v>
      </c>
      <c r="C13" s="11">
        <v>0.14059027777777799</v>
      </c>
      <c r="D13" s="11" t="s">
        <v>62</v>
      </c>
      <c r="E13" s="11">
        <v>0.25140046296296298</v>
      </c>
      <c r="F13" s="12">
        <f t="shared" si="1"/>
        <v>2.6594444444444396</v>
      </c>
      <c r="G13" s="13">
        <f t="shared" si="2"/>
        <v>0</v>
      </c>
      <c r="H13" s="13">
        <f t="shared" si="3"/>
        <v>2.6594444444444396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46127.2514337963</v>
      </c>
      <c r="B14" s="5" t="s">
        <v>76</v>
      </c>
      <c r="C14" s="11">
        <v>0.251423611111111</v>
      </c>
      <c r="D14" s="11" t="s">
        <v>62</v>
      </c>
      <c r="E14" s="11">
        <v>0.29956018518518501</v>
      </c>
      <c r="F14" s="12">
        <f t="shared" si="1"/>
        <v>1.1552777777777763</v>
      </c>
      <c r="G14" s="13">
        <f t="shared" si="2"/>
        <v>0</v>
      </c>
      <c r="H14" s="13">
        <f t="shared" si="3"/>
        <v>1.1552777777777763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46128.134006713</v>
      </c>
      <c r="B15" s="5" t="s">
        <v>83</v>
      </c>
      <c r="C15" s="11">
        <v>0.13400462962963</v>
      </c>
      <c r="D15" s="11" t="s">
        <v>62</v>
      </c>
      <c r="E15" s="11">
        <v>0.22601851851851901</v>
      </c>
      <c r="F15" s="12">
        <f t="shared" si="1"/>
        <v>2.2083333333333361</v>
      </c>
      <c r="G15" s="13">
        <f t="shared" si="2"/>
        <v>0</v>
      </c>
      <c r="H15" s="13">
        <f t="shared" si="3"/>
        <v>2.2083333333333361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46130.358148032399</v>
      </c>
      <c r="B16" s="5" t="s">
        <v>73</v>
      </c>
      <c r="C16" s="11">
        <v>0.35814814814814799</v>
      </c>
      <c r="D16" s="11" t="s">
        <v>62</v>
      </c>
      <c r="E16" s="11">
        <v>0.50829861111111097</v>
      </c>
      <c r="F16" s="12">
        <f t="shared" si="1"/>
        <v>3.6036111111111113</v>
      </c>
      <c r="G16" s="13">
        <f t="shared" si="2"/>
        <v>3.6036111111111113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46130.6274050926</v>
      </c>
      <c r="B17" s="5" t="s">
        <v>73</v>
      </c>
      <c r="C17" s="11">
        <v>0.62739583333333304</v>
      </c>
      <c r="D17" s="11" t="s">
        <v>62</v>
      </c>
      <c r="E17" s="11">
        <v>0.75768518518518502</v>
      </c>
      <c r="F17" s="12">
        <f t="shared" si="1"/>
        <v>3.1269444444444474</v>
      </c>
      <c r="G17" s="13">
        <f t="shared" si="2"/>
        <v>3.1269444444444474</v>
      </c>
      <c r="H17" s="13">
        <f t="shared" si="3"/>
        <v>0</v>
      </c>
      <c r="I17" s="35" t="s">
        <v>78</v>
      </c>
      <c r="J17" s="36">
        <f>J4+J5+J6+J7+J10</f>
        <v>65.392222222222202</v>
      </c>
      <c r="K17" s="37">
        <f>K4+K5+K6+K7+K10</f>
        <v>40.228888888888875</v>
      </c>
      <c r="L17" s="38">
        <f>L4+L5+L6+L7+L10</f>
        <v>25.163333333333327</v>
      </c>
      <c r="M17" s="39"/>
    </row>
    <row r="18" spans="1:13" ht="20.25" x14ac:dyDescent="0.25">
      <c r="A18" s="10">
        <f t="shared" ca="1" si="0"/>
        <v>46130.875790509301</v>
      </c>
      <c r="B18" s="5" t="s">
        <v>81</v>
      </c>
      <c r="C18" s="11">
        <v>0.87584490740740695</v>
      </c>
      <c r="D18" s="11" t="s">
        <v>62</v>
      </c>
      <c r="E18" s="11">
        <v>0.95935185185185201</v>
      </c>
      <c r="F18" s="12">
        <f t="shared" si="1"/>
        <v>2.0041666666666815</v>
      </c>
      <c r="G18" s="13">
        <f t="shared" si="2"/>
        <v>2.0041666666666815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46131.433075000001</v>
      </c>
      <c r="B19" s="5" t="s">
        <v>84</v>
      </c>
      <c r="C19" s="11">
        <v>0.43306712962963001</v>
      </c>
      <c r="D19" s="11" t="s">
        <v>62</v>
      </c>
      <c r="E19" s="11">
        <v>0.47959490740740701</v>
      </c>
      <c r="F19" s="12">
        <f t="shared" si="1"/>
        <v>1.116666666666648</v>
      </c>
      <c r="G19" s="13">
        <f t="shared" si="2"/>
        <v>1.116666666666648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46131.502307754599</v>
      </c>
      <c r="B20" s="5" t="s">
        <v>76</v>
      </c>
      <c r="C20" s="11">
        <v>0.50230324074074095</v>
      </c>
      <c r="D20" s="11" t="s">
        <v>62</v>
      </c>
      <c r="E20" s="11">
        <v>0.59162037037036996</v>
      </c>
      <c r="F20" s="12">
        <f t="shared" si="1"/>
        <v>2.1436111111110963</v>
      </c>
      <c r="G20" s="13">
        <f t="shared" si="2"/>
        <v>2.1436111111110963</v>
      </c>
      <c r="H20" s="13">
        <f t="shared" si="3"/>
        <v>0</v>
      </c>
      <c r="I20" s="40" t="s">
        <v>80</v>
      </c>
      <c r="J20" s="65">
        <f>J16+J17+J18+J19</f>
        <v>65.392222222222202</v>
      </c>
      <c r="K20" s="66"/>
      <c r="L20" s="67"/>
      <c r="M20" s="41"/>
    </row>
    <row r="21" spans="1:13" ht="20.25" x14ac:dyDescent="0.25">
      <c r="A21" s="10">
        <f t="shared" ca="1" si="0"/>
        <v>46131.710254166697</v>
      </c>
      <c r="B21" s="5" t="s">
        <v>75</v>
      </c>
      <c r="C21" s="11">
        <v>0.710243055555556</v>
      </c>
      <c r="D21" s="11" t="s">
        <v>62</v>
      </c>
      <c r="E21" s="11">
        <v>0.83918981481481503</v>
      </c>
      <c r="F21" s="12">
        <f t="shared" si="1"/>
        <v>3.0947222222222166</v>
      </c>
      <c r="G21" s="13">
        <f t="shared" si="2"/>
        <v>3.0947222222222166</v>
      </c>
      <c r="H21" s="13">
        <f t="shared" si="3"/>
        <v>0</v>
      </c>
      <c r="I21" s="42" t="s">
        <v>4</v>
      </c>
      <c r="J21" s="43">
        <f>SUM(J8:J9)</f>
        <v>3.9519444444444245</v>
      </c>
      <c r="K21" s="37">
        <f>SUM(K8:K9)</f>
        <v>3.9519444444444245</v>
      </c>
      <c r="L21" s="38">
        <f>SUM(L8:L9)</f>
        <v>0</v>
      </c>
      <c r="M21" s="44"/>
    </row>
    <row r="22" spans="1:13" ht="18.75" x14ac:dyDescent="0.15">
      <c r="A22" s="10">
        <f t="shared" ca="1" si="0"/>
        <v>46134.9533016204</v>
      </c>
      <c r="B22" s="5" t="s">
        <v>76</v>
      </c>
      <c r="C22" s="11">
        <v>0.95329861111111103</v>
      </c>
      <c r="D22" s="11" t="s">
        <v>62</v>
      </c>
      <c r="E22" s="11">
        <v>0.11778935185185201</v>
      </c>
      <c r="F22" s="12">
        <f t="shared" si="1"/>
        <v>3.9477777777777838</v>
      </c>
      <c r="G22" s="13">
        <f t="shared" si="2"/>
        <v>1.1208333333333358</v>
      </c>
      <c r="H22" s="13">
        <f t="shared" si="3"/>
        <v>2.826944444444448</v>
      </c>
      <c r="I22"/>
      <c r="J22"/>
    </row>
    <row r="23" spans="1:13" ht="18.75" x14ac:dyDescent="0.15">
      <c r="A23" s="10">
        <f t="shared" ca="1" si="0"/>
        <v>46136.134020023099</v>
      </c>
      <c r="B23" s="5" t="s">
        <v>83</v>
      </c>
      <c r="C23" s="11">
        <v>0.13401620370370401</v>
      </c>
      <c r="D23" s="11" t="s">
        <v>62</v>
      </c>
      <c r="E23" s="11">
        <v>0.242650462962963</v>
      </c>
      <c r="F23" s="12">
        <f t="shared" si="1"/>
        <v>2.6072222222222159</v>
      </c>
      <c r="G23" s="13">
        <f t="shared" si="2"/>
        <v>0</v>
      </c>
      <c r="H23" s="13">
        <f t="shared" si="3"/>
        <v>2.6072222222222159</v>
      </c>
      <c r="I23"/>
      <c r="J23"/>
    </row>
    <row r="24" spans="1:13" ht="18.75" x14ac:dyDescent="0.15">
      <c r="A24" s="10">
        <f t="shared" ca="1" si="0"/>
        <v>46136.242692939799</v>
      </c>
      <c r="B24" s="5" t="s">
        <v>76</v>
      </c>
      <c r="C24" s="11">
        <v>0.242685185185185</v>
      </c>
      <c r="D24" s="11" t="s">
        <v>62</v>
      </c>
      <c r="E24" s="11">
        <v>0.30236111111111103</v>
      </c>
      <c r="F24" s="12">
        <f t="shared" si="1"/>
        <v>1.4322222222222245</v>
      </c>
      <c r="G24" s="13">
        <f t="shared" si="2"/>
        <v>0</v>
      </c>
      <c r="H24" s="13">
        <f t="shared" si="3"/>
        <v>1.4322222222222245</v>
      </c>
      <c r="I24"/>
      <c r="J24"/>
    </row>
    <row r="25" spans="1:13" ht="18.75" x14ac:dyDescent="0.15">
      <c r="A25" s="10">
        <f t="shared" ca="1" si="0"/>
        <v>46139.293850347203</v>
      </c>
      <c r="B25" s="5" t="s">
        <v>75</v>
      </c>
      <c r="C25" s="11">
        <v>0.29384259259259299</v>
      </c>
      <c r="D25" s="11" t="s">
        <v>62</v>
      </c>
      <c r="E25" s="11">
        <v>0.42393518518518503</v>
      </c>
      <c r="F25" s="12">
        <f t="shared" si="1"/>
        <v>3.1222222222222089</v>
      </c>
      <c r="G25" s="13">
        <f t="shared" si="2"/>
        <v>2.1744444444444491</v>
      </c>
      <c r="H25" s="13">
        <f t="shared" si="3"/>
        <v>0.94777777777775984</v>
      </c>
      <c r="I25"/>
      <c r="J25"/>
    </row>
    <row r="26" spans="1:13" ht="18.75" x14ac:dyDescent="0.15">
      <c r="A26" s="10">
        <f t="shared" ca="1" si="0"/>
        <v>46139.522821296297</v>
      </c>
      <c r="B26" s="5" t="s">
        <v>75</v>
      </c>
      <c r="C26" s="11">
        <v>0.52281250000000001</v>
      </c>
      <c r="D26" s="11" t="s">
        <v>62</v>
      </c>
      <c r="E26" s="11">
        <v>0.62822916666666695</v>
      </c>
      <c r="F26" s="12">
        <f t="shared" si="1"/>
        <v>2.5300000000000065</v>
      </c>
      <c r="G26" s="13">
        <f t="shared" si="2"/>
        <v>2.5300000000000065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46139.773382060201</v>
      </c>
      <c r="B27" s="5" t="s">
        <v>76</v>
      </c>
      <c r="C27" s="11">
        <v>0.77337962962963003</v>
      </c>
      <c r="D27" s="11" t="s">
        <v>62</v>
      </c>
      <c r="E27" s="11">
        <v>0.86109953703703701</v>
      </c>
      <c r="F27" s="12">
        <f t="shared" si="1"/>
        <v>2.1052777777777676</v>
      </c>
      <c r="G27" s="13">
        <f t="shared" si="2"/>
        <v>2.1052777777777676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46142.626729629599</v>
      </c>
      <c r="B28" s="5" t="s">
        <v>73</v>
      </c>
      <c r="C28" s="11">
        <v>0.62672453703703701</v>
      </c>
      <c r="D28" s="11" t="s">
        <v>62</v>
      </c>
      <c r="E28" s="11">
        <v>0.75783564814814797</v>
      </c>
      <c r="F28" s="12">
        <f t="shared" si="1"/>
        <v>3.1466666666666629</v>
      </c>
      <c r="G28" s="13">
        <f t="shared" si="2"/>
        <v>3.1466666666666629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46142.876377083303</v>
      </c>
      <c r="B29" s="5" t="s">
        <v>81</v>
      </c>
      <c r="C29" s="11">
        <v>0.87637731481481496</v>
      </c>
      <c r="D29" s="11" t="s">
        <v>62</v>
      </c>
      <c r="E29" s="11">
        <v>0.95885416666666701</v>
      </c>
      <c r="F29" s="12">
        <f t="shared" si="1"/>
        <v>1.9794444444444492</v>
      </c>
      <c r="G29" s="13">
        <f t="shared" si="2"/>
        <v>1.9794444444444492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2"/>
  <sheetViews>
    <sheetView zoomScale="85" zoomScaleNormal="85" workbookViewId="0">
      <selection activeCell="D26" sqref="D2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46113.459681713</v>
      </c>
      <c r="B3" s="5" t="s">
        <v>75</v>
      </c>
      <c r="C3" s="11">
        <v>0.45967592592592599</v>
      </c>
      <c r="D3" s="11" t="s">
        <v>62</v>
      </c>
      <c r="E3" s="11">
        <v>0.54994212962962996</v>
      </c>
      <c r="F3" s="12">
        <f t="shared" ref="F3:F42" si="1">(IF(E3-C3&lt;0,"24:00"-C3+E3,E3-C3))*24</f>
        <v>2.1663888888888954</v>
      </c>
      <c r="G3" s="13">
        <f t="shared" ref="G3:G42" si="2">F3-H3</f>
        <v>2.1663888888888954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46113.6258087963</v>
      </c>
      <c r="B4" s="5" t="s">
        <v>76</v>
      </c>
      <c r="C4" s="11">
        <v>0.62582175925925898</v>
      </c>
      <c r="D4" s="11" t="s">
        <v>62</v>
      </c>
      <c r="E4" s="11">
        <v>0.77766203703703696</v>
      </c>
      <c r="F4" s="12">
        <f t="shared" si="1"/>
        <v>3.6441666666666714</v>
      </c>
      <c r="G4" s="13">
        <f t="shared" si="2"/>
        <v>3.6441666666666714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23.236666666666679</v>
      </c>
      <c r="K4" s="23">
        <f>SUMIF(B:B,"西塔台管制席",G:G)+SUMIF(B:B,"东塔台管制席",G:G)</f>
        <v>14.829722222222232</v>
      </c>
      <c r="L4" s="23">
        <f>SUMIF(B:B,"西塔台管制席",H:H)+SUMIF(B:B,"东塔台管制席",H:H)</f>
        <v>8.4069444444444485</v>
      </c>
      <c r="M4" s="19"/>
    </row>
    <row r="5" spans="1:16" ht="18.75" x14ac:dyDescent="0.25">
      <c r="A5" s="10">
        <f t="shared" ca="1" si="0"/>
        <v>46113.875846180599</v>
      </c>
      <c r="B5" s="5" t="s">
        <v>76</v>
      </c>
      <c r="C5" s="11">
        <v>0.87584490740740695</v>
      </c>
      <c r="D5" s="11" t="s">
        <v>62</v>
      </c>
      <c r="E5" s="11">
        <v>0.96331018518518496</v>
      </c>
      <c r="F5" s="12">
        <f t="shared" si="1"/>
        <v>2.0991666666666724</v>
      </c>
      <c r="G5" s="13">
        <f t="shared" si="2"/>
        <v>2.0991666666666724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35.081666666666671</v>
      </c>
      <c r="K5" s="23">
        <f>SUMIF(B:B,"西塔台协调席",G:G)+SUMIF(B:B,"东塔台协调席",G:G)</f>
        <v>20.603055555555535</v>
      </c>
      <c r="L5" s="23">
        <f>SUMIF(B:B,"西塔台协调席",H:H)+SUMIF(B:B,"东塔台协调席",H:H)</f>
        <v>14.478611111111132</v>
      </c>
      <c r="M5" s="19"/>
    </row>
    <row r="6" spans="1:16" ht="18.75" x14ac:dyDescent="0.25">
      <c r="A6" s="10">
        <f t="shared" ca="1" si="0"/>
        <v>46114.300699537001</v>
      </c>
      <c r="B6" s="5" t="s">
        <v>75</v>
      </c>
      <c r="C6" s="11">
        <v>0.30069444444444399</v>
      </c>
      <c r="D6" s="11" t="s">
        <v>62</v>
      </c>
      <c r="E6" s="11">
        <v>0.363298611111111</v>
      </c>
      <c r="F6" s="12">
        <f t="shared" si="1"/>
        <v>1.5025000000000084</v>
      </c>
      <c r="G6" s="13">
        <f t="shared" si="2"/>
        <v>0.7191666666666725</v>
      </c>
      <c r="H6" s="13">
        <f t="shared" si="3"/>
        <v>0.78333333333333588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46117.015192361097</v>
      </c>
      <c r="B7" s="5" t="s">
        <v>81</v>
      </c>
      <c r="C7" s="11">
        <v>1.5185185185185201E-2</v>
      </c>
      <c r="D7" s="11" t="s">
        <v>62</v>
      </c>
      <c r="E7" s="11">
        <v>0.153842592592593</v>
      </c>
      <c r="F7" s="12">
        <f t="shared" si="1"/>
        <v>3.3277777777777873</v>
      </c>
      <c r="G7" s="13">
        <f t="shared" si="2"/>
        <v>0</v>
      </c>
      <c r="H7" s="13">
        <f t="shared" si="3"/>
        <v>3.3277777777777873</v>
      </c>
      <c r="I7" s="21" t="s">
        <v>67</v>
      </c>
      <c r="J7" s="22">
        <f>SUMIF(B:B,"地面席",F:F)</f>
        <v>1.8369444444444476</v>
      </c>
      <c r="K7" s="23">
        <f>SUMIF(B:B,"地面席",G:G)</f>
        <v>0</v>
      </c>
      <c r="L7" s="23">
        <f>SUMIF(B:B,"地面席",H:H)</f>
        <v>1.8369444444444476</v>
      </c>
      <c r="M7" s="19"/>
    </row>
    <row r="8" spans="1:16" ht="18.75" x14ac:dyDescent="0.25">
      <c r="A8" s="10">
        <f t="shared" ca="1" si="0"/>
        <v>46118.101006481498</v>
      </c>
      <c r="B8" s="5" t="s">
        <v>73</v>
      </c>
      <c r="C8" s="11">
        <v>8.6342592592592599E-3</v>
      </c>
      <c r="D8" s="11" t="s">
        <v>62</v>
      </c>
      <c r="E8" s="11">
        <v>0.101053240740741</v>
      </c>
      <c r="F8" s="12">
        <f t="shared" si="1"/>
        <v>2.2180555555555617</v>
      </c>
      <c r="G8" s="13">
        <f t="shared" si="2"/>
        <v>0</v>
      </c>
      <c r="H8" s="13">
        <f t="shared" si="3"/>
        <v>2.2180555555555617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46118.101249768501</v>
      </c>
      <c r="B9" s="5" t="s">
        <v>76</v>
      </c>
      <c r="C9" s="11">
        <v>0.101296296296296</v>
      </c>
      <c r="D9" s="11" t="s">
        <v>62</v>
      </c>
      <c r="E9" s="11">
        <v>0.13991898148148099</v>
      </c>
      <c r="F9" s="12">
        <f t="shared" si="1"/>
        <v>0.92694444444443991</v>
      </c>
      <c r="G9" s="13">
        <f t="shared" si="2"/>
        <v>0</v>
      </c>
      <c r="H9" s="13">
        <f t="shared" si="3"/>
        <v>0.92694444444443991</v>
      </c>
      <c r="I9" s="21" t="s">
        <v>69</v>
      </c>
      <c r="J9" s="22">
        <f>SUMIF(B:B,"航班调度席",F:F)</f>
        <v>2.0958333333333359</v>
      </c>
      <c r="K9" s="23">
        <f>SUMIF(B:B,"航班调度席",G:G)</f>
        <v>0</v>
      </c>
      <c r="L9" s="23">
        <f>SUMIF(B:B,"航班调度席",H:H)</f>
        <v>2.0958333333333359</v>
      </c>
      <c r="M9" s="19"/>
    </row>
    <row r="10" spans="1:16" ht="18.75" x14ac:dyDescent="0.25">
      <c r="A10" s="10">
        <f t="shared" ca="1" si="0"/>
        <v>46124.355952199097</v>
      </c>
      <c r="B10" s="5" t="s">
        <v>75</v>
      </c>
      <c r="C10" s="11">
        <v>0.355949074074074</v>
      </c>
      <c r="D10" s="11" t="s">
        <v>62</v>
      </c>
      <c r="E10" s="11">
        <v>0.50912037037036995</v>
      </c>
      <c r="F10" s="12">
        <f t="shared" si="1"/>
        <v>3.6761111111111027</v>
      </c>
      <c r="G10" s="13">
        <f t="shared" si="2"/>
        <v>3.6761111111111027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46124.627003819398</v>
      </c>
      <c r="B11" s="5" t="s">
        <v>76</v>
      </c>
      <c r="C11" s="11">
        <v>0.62700231481481505</v>
      </c>
      <c r="D11" s="11" t="s">
        <v>62</v>
      </c>
      <c r="E11" s="11">
        <v>0.75797453703703699</v>
      </c>
      <c r="F11" s="12">
        <f t="shared" si="1"/>
        <v>3.1433333333333264</v>
      </c>
      <c r="G11" s="13">
        <f t="shared" si="2"/>
        <v>3.1433333333333264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46124.875570486103</v>
      </c>
      <c r="B12" s="5" t="s">
        <v>75</v>
      </c>
      <c r="C12" s="11">
        <v>0.87556712962963001</v>
      </c>
      <c r="D12" s="11" t="s">
        <v>62</v>
      </c>
      <c r="E12" s="11">
        <v>0.96621527777777805</v>
      </c>
      <c r="F12" s="12">
        <f t="shared" si="1"/>
        <v>2.1755555555555528</v>
      </c>
      <c r="G12" s="13">
        <f t="shared" si="2"/>
        <v>2.1755555555555528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46125.300406365699</v>
      </c>
      <c r="B13" s="5" t="s">
        <v>76</v>
      </c>
      <c r="C13" s="11">
        <v>0.30040509259259301</v>
      </c>
      <c r="D13" s="11" t="s">
        <v>62</v>
      </c>
      <c r="E13" s="11">
        <v>0.42347222222222197</v>
      </c>
      <c r="F13" s="12">
        <f t="shared" si="1"/>
        <v>2.953611111111095</v>
      </c>
      <c r="G13" s="13">
        <f t="shared" si="2"/>
        <v>2.1633333333333358</v>
      </c>
      <c r="H13" s="13">
        <f t="shared" si="3"/>
        <v>0.7902777777777592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46125.511787847201</v>
      </c>
      <c r="B14" s="5" t="s">
        <v>75</v>
      </c>
      <c r="C14" s="11">
        <v>0.51178240740740699</v>
      </c>
      <c r="D14" s="11" t="s">
        <v>62</v>
      </c>
      <c r="E14" s="11">
        <v>0.63259259259259304</v>
      </c>
      <c r="F14" s="12">
        <f t="shared" si="1"/>
        <v>2.8994444444444651</v>
      </c>
      <c r="G14" s="13">
        <f t="shared" si="2"/>
        <v>2.8994444444444651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46125.751309606501</v>
      </c>
      <c r="B15" s="5" t="s">
        <v>76</v>
      </c>
      <c r="C15" s="11">
        <v>0.75130787037036995</v>
      </c>
      <c r="D15" s="11" t="s">
        <v>62</v>
      </c>
      <c r="E15" s="11">
        <v>0.84079861111111098</v>
      </c>
      <c r="F15" s="12">
        <f t="shared" si="1"/>
        <v>2.1477777777777849</v>
      </c>
      <c r="G15" s="13">
        <f t="shared" si="2"/>
        <v>2.1477777777777849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46129.960077199103</v>
      </c>
      <c r="B16" s="5" t="s">
        <v>76</v>
      </c>
      <c r="C16" s="11">
        <v>0.96006944444444497</v>
      </c>
      <c r="D16" s="11" t="s">
        <v>62</v>
      </c>
      <c r="E16" s="11">
        <v>0.11356481481481499</v>
      </c>
      <c r="F16" s="12">
        <f t="shared" si="1"/>
        <v>3.6838888888888808</v>
      </c>
      <c r="G16" s="13">
        <f t="shared" si="2"/>
        <v>0.95833333333332105</v>
      </c>
      <c r="H16" s="13">
        <f t="shared" si="3"/>
        <v>2.7255555555555597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46133.139756481498</v>
      </c>
      <c r="B17" s="5" t="s">
        <v>84</v>
      </c>
      <c r="C17" s="11">
        <v>0.139756944444444</v>
      </c>
      <c r="D17" s="11" t="s">
        <v>62</v>
      </c>
      <c r="E17" s="11">
        <v>0.227083333333333</v>
      </c>
      <c r="F17" s="12">
        <f t="shared" si="1"/>
        <v>2.0958333333333359</v>
      </c>
      <c r="G17" s="13">
        <f t="shared" si="2"/>
        <v>0</v>
      </c>
      <c r="H17" s="13">
        <f t="shared" si="3"/>
        <v>2.0958333333333359</v>
      </c>
      <c r="I17" s="35" t="s">
        <v>78</v>
      </c>
      <c r="J17" s="36">
        <f>J4+J5+J6+J7+J10</f>
        <v>60.155277777777798</v>
      </c>
      <c r="K17" s="37">
        <f>K4+K5+K6+K7+K10</f>
        <v>35.432777777777765</v>
      </c>
      <c r="L17" s="38">
        <f>L4+L5+L6+L7+L10</f>
        <v>24.722500000000029</v>
      </c>
      <c r="M17" s="39"/>
    </row>
    <row r="18" spans="1:13" ht="20.25" x14ac:dyDescent="0.25">
      <c r="A18" s="10">
        <f t="shared" ca="1" si="0"/>
        <v>46134.139645138901</v>
      </c>
      <c r="B18" s="5" t="s">
        <v>73</v>
      </c>
      <c r="C18" s="11">
        <v>0.139641203703704</v>
      </c>
      <c r="D18" s="11" t="s">
        <v>62</v>
      </c>
      <c r="E18" s="11">
        <v>0.22924768518518501</v>
      </c>
      <c r="F18" s="12">
        <f t="shared" si="1"/>
        <v>2.1505555555555445</v>
      </c>
      <c r="G18" s="13">
        <f t="shared" si="2"/>
        <v>0</v>
      </c>
      <c r="H18" s="13">
        <f t="shared" si="3"/>
        <v>2.1505555555555445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46134.229282523098</v>
      </c>
      <c r="B19" s="5" t="s">
        <v>76</v>
      </c>
      <c r="C19" s="11">
        <v>0.22928240740740699</v>
      </c>
      <c r="D19" s="11" t="s">
        <v>62</v>
      </c>
      <c r="E19" s="11">
        <v>0.301956018518519</v>
      </c>
      <c r="F19" s="12">
        <f t="shared" si="1"/>
        <v>1.7441666666666882</v>
      </c>
      <c r="G19" s="13">
        <f t="shared" si="2"/>
        <v>0</v>
      </c>
      <c r="H19" s="13">
        <f t="shared" si="3"/>
        <v>1.7441666666666882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46136.501983912</v>
      </c>
      <c r="B20" s="5" t="s">
        <v>76</v>
      </c>
      <c r="C20" s="11">
        <v>0.50197916666666698</v>
      </c>
      <c r="D20" s="11" t="s">
        <v>62</v>
      </c>
      <c r="E20" s="11">
        <v>0.63289351851851805</v>
      </c>
      <c r="F20" s="12">
        <f t="shared" si="1"/>
        <v>3.1419444444444258</v>
      </c>
      <c r="G20" s="13">
        <f t="shared" si="2"/>
        <v>3.1419444444444258</v>
      </c>
      <c r="H20" s="13">
        <f t="shared" si="3"/>
        <v>0</v>
      </c>
      <c r="I20" s="40" t="s">
        <v>80</v>
      </c>
      <c r="J20" s="65">
        <f>J16+J17+J18+J19</f>
        <v>60.155277777777798</v>
      </c>
      <c r="K20" s="66"/>
      <c r="L20" s="67"/>
      <c r="M20" s="41"/>
    </row>
    <row r="21" spans="1:13" ht="20.25" x14ac:dyDescent="0.25">
      <c r="A21" s="10">
        <f t="shared" ca="1" si="0"/>
        <v>46136.750145717597</v>
      </c>
      <c r="B21" s="5" t="s">
        <v>75</v>
      </c>
      <c r="C21" s="11">
        <v>0.75013888888888902</v>
      </c>
      <c r="D21" s="11" t="s">
        <v>62</v>
      </c>
      <c r="E21" s="11">
        <v>0.88318287037037002</v>
      </c>
      <c r="F21" s="12">
        <f t="shared" si="1"/>
        <v>3.193055555555544</v>
      </c>
      <c r="G21" s="13">
        <f t="shared" si="2"/>
        <v>3.193055555555544</v>
      </c>
      <c r="H21" s="13">
        <f t="shared" si="3"/>
        <v>0</v>
      </c>
      <c r="I21" s="42" t="s">
        <v>4</v>
      </c>
      <c r="J21" s="43">
        <f>SUM(J8:J9)</f>
        <v>2.0958333333333359</v>
      </c>
      <c r="K21" s="37">
        <f>SUM(K8:K9)</f>
        <v>0</v>
      </c>
      <c r="L21" s="38">
        <f>SUM(L8:L9)</f>
        <v>2.0958333333333359</v>
      </c>
      <c r="M21" s="44"/>
    </row>
    <row r="22" spans="1:13" ht="18.75" x14ac:dyDescent="0.15">
      <c r="A22" s="10">
        <f t="shared" ca="1" si="0"/>
        <v>46137.417465161998</v>
      </c>
      <c r="B22" s="5" t="s">
        <v>76</v>
      </c>
      <c r="C22" s="11">
        <v>0.41746527777777798</v>
      </c>
      <c r="D22" s="11" t="s">
        <v>62</v>
      </c>
      <c r="E22" s="11">
        <v>0.51460648148148103</v>
      </c>
      <c r="F22" s="12">
        <f t="shared" si="1"/>
        <v>2.3313888888888732</v>
      </c>
      <c r="G22" s="13">
        <f t="shared" si="2"/>
        <v>2.3313888888888732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46138.139678472202</v>
      </c>
      <c r="B23" s="5" t="s">
        <v>82</v>
      </c>
      <c r="C23" s="11">
        <v>0.13967592592592601</v>
      </c>
      <c r="D23" s="11" t="s">
        <v>62</v>
      </c>
      <c r="E23" s="11">
        <v>0.21621527777777799</v>
      </c>
      <c r="F23" s="12">
        <f t="shared" si="1"/>
        <v>1.8369444444444476</v>
      </c>
      <c r="G23" s="13">
        <f t="shared" si="2"/>
        <v>0</v>
      </c>
      <c r="H23" s="13">
        <f t="shared" si="3"/>
        <v>1.8369444444444476</v>
      </c>
      <c r="I23"/>
      <c r="J23"/>
    </row>
    <row r="24" spans="1:13" ht="18.75" x14ac:dyDescent="0.15">
      <c r="A24" s="10">
        <f t="shared" ca="1" si="0"/>
        <v>46138.216251388898</v>
      </c>
      <c r="B24" s="5" t="s">
        <v>76</v>
      </c>
      <c r="C24" s="11">
        <v>0.21625</v>
      </c>
      <c r="D24" s="11" t="s">
        <v>62</v>
      </c>
      <c r="E24" s="11">
        <v>0.30633101851851902</v>
      </c>
      <c r="F24" s="12">
        <f t="shared" si="1"/>
        <v>2.1619444444444564</v>
      </c>
      <c r="G24" s="13">
        <f t="shared" si="2"/>
        <v>0</v>
      </c>
      <c r="H24" s="13">
        <f t="shared" si="3"/>
        <v>2.1619444444444564</v>
      </c>
      <c r="I24"/>
      <c r="J24"/>
    </row>
    <row r="25" spans="1:13" ht="18.75" x14ac:dyDescent="0.15">
      <c r="A25" s="10">
        <f t="shared" ca="1" si="0"/>
        <v>46141.014472685201</v>
      </c>
      <c r="B25" s="5" t="s">
        <v>75</v>
      </c>
      <c r="C25" s="11">
        <v>1.44907407407407E-2</v>
      </c>
      <c r="D25" s="11" t="s">
        <v>62</v>
      </c>
      <c r="E25" s="11">
        <v>0.15011574074074099</v>
      </c>
      <c r="F25" s="12">
        <f t="shared" si="1"/>
        <v>3.255000000000007</v>
      </c>
      <c r="G25" s="13">
        <f t="shared" si="2"/>
        <v>0</v>
      </c>
      <c r="H25" s="13">
        <f t="shared" si="3"/>
        <v>3.255000000000007</v>
      </c>
      <c r="I25"/>
      <c r="J25"/>
    </row>
    <row r="26" spans="1:13" ht="18.75" x14ac:dyDescent="0.15">
      <c r="A26" s="10">
        <f t="shared" ca="1" si="0"/>
        <v>46141.959432523101</v>
      </c>
      <c r="B26" s="5" t="s">
        <v>76</v>
      </c>
      <c r="C26" s="11">
        <v>0.95943287037036995</v>
      </c>
      <c r="D26" s="11" t="s">
        <v>62</v>
      </c>
      <c r="E26" s="11">
        <v>0.116747685185185</v>
      </c>
      <c r="F26" s="12">
        <f t="shared" si="1"/>
        <v>3.7755555555555613</v>
      </c>
      <c r="G26" s="13">
        <f t="shared" si="2"/>
        <v>0.9736111111111212</v>
      </c>
      <c r="H26" s="13">
        <f t="shared" si="3"/>
        <v>2.8019444444444401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42"/>
  <sheetViews>
    <sheetView zoomScale="85" zoomScaleNormal="85" workbookViewId="0">
      <selection activeCell="C9" sqref="C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46113.300016203699</v>
      </c>
      <c r="B3" s="5" t="s">
        <v>76</v>
      </c>
      <c r="C3" s="11">
        <v>0.30017361111111102</v>
      </c>
      <c r="D3" s="11" t="s">
        <v>62</v>
      </c>
      <c r="E3" s="11">
        <v>0.30121527777777801</v>
      </c>
      <c r="F3" s="12">
        <f t="shared" ref="F3:F42" si="1">(IF(E3-C3&lt;0,"24:00"-C3+E3,E3-C3))*24</f>
        <v>2.5000000000007905E-2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2.5000000000007905E-2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46113.301258449101</v>
      </c>
      <c r="B4" s="5" t="s">
        <v>73</v>
      </c>
      <c r="C4" s="11">
        <v>0.30125000000000002</v>
      </c>
      <c r="D4" s="11" t="s">
        <v>62</v>
      </c>
      <c r="E4" s="11">
        <v>0.34881944444444402</v>
      </c>
      <c r="F4" s="12">
        <f t="shared" si="1"/>
        <v>1.1416666666666559</v>
      </c>
      <c r="G4" s="13">
        <f t="shared" si="2"/>
        <v>0.37166666666666481</v>
      </c>
      <c r="H4" s="13">
        <f t="shared" si="3"/>
        <v>0.76999999999999114</v>
      </c>
      <c r="I4" s="21" t="s">
        <v>64</v>
      </c>
      <c r="J4" s="22">
        <f>SUMIF(B:B,"西塔台管制席",F:F)+SUMIF(B:B,"东塔台管制席",F:F)</f>
        <v>31.298333333333346</v>
      </c>
      <c r="K4" s="23">
        <f>SUMIF(B:B,"西塔台管制席",G:G)+SUMIF(B:B,"东塔台管制席",G:G)</f>
        <v>18.030555555555605</v>
      </c>
      <c r="L4" s="23">
        <f>SUMIF(B:B,"西塔台管制席",H:H)+SUMIF(B:B,"东塔台管制席",H:H)</f>
        <v>13.267777777777738</v>
      </c>
      <c r="M4" s="19"/>
    </row>
    <row r="5" spans="1:16" ht="18.75" x14ac:dyDescent="0.25">
      <c r="A5" s="10">
        <f t="shared" ca="1" si="0"/>
        <v>46113.348844907399</v>
      </c>
      <c r="B5" s="5" t="s">
        <v>76</v>
      </c>
      <c r="C5" s="11">
        <v>0.34884259259259298</v>
      </c>
      <c r="D5" s="11" t="s">
        <v>62</v>
      </c>
      <c r="E5" s="11">
        <v>0.46495370370370398</v>
      </c>
      <c r="F5" s="12">
        <f t="shared" si="1"/>
        <v>2.786666666666664</v>
      </c>
      <c r="G5" s="13">
        <f t="shared" si="2"/>
        <v>2.786666666666664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32.426388888888916</v>
      </c>
      <c r="K5" s="23">
        <f>SUMIF(B:B,"西塔台协调席",G:G)+SUMIF(B:B,"东塔台协调席",G:G)</f>
        <v>21.907500000000024</v>
      </c>
      <c r="L5" s="23">
        <f>SUMIF(B:B,"西塔台协调席",H:H)+SUMIF(B:B,"东塔台协调席",H:H)</f>
        <v>10.518888888888899</v>
      </c>
      <c r="M5" s="19"/>
    </row>
    <row r="6" spans="1:16" ht="18.75" x14ac:dyDescent="0.25">
      <c r="A6" s="10">
        <f t="shared" ca="1" si="0"/>
        <v>46113.544868981502</v>
      </c>
      <c r="B6" s="5" t="s">
        <v>75</v>
      </c>
      <c r="C6" s="11">
        <v>0.54486111111111102</v>
      </c>
      <c r="D6" s="11" t="s">
        <v>62</v>
      </c>
      <c r="E6" s="11">
        <v>0.63178240740740699</v>
      </c>
      <c r="F6" s="12">
        <f t="shared" si="1"/>
        <v>2.0861111111111033</v>
      </c>
      <c r="G6" s="13">
        <f t="shared" si="2"/>
        <v>2.0861111111111033</v>
      </c>
      <c r="H6" s="13">
        <f t="shared" si="3"/>
        <v>0</v>
      </c>
      <c r="I6" s="21" t="s">
        <v>66</v>
      </c>
      <c r="J6" s="22">
        <f>SUMIF(B:B,"放行席",F:F)</f>
        <v>4.3783333333333196</v>
      </c>
      <c r="K6" s="23">
        <f>SUMIF(B:B,"放行席",G:G)</f>
        <v>0</v>
      </c>
      <c r="L6" s="23">
        <f>SUMIF(B:B,"放行席",H:H)</f>
        <v>4.3783333333333196</v>
      </c>
      <c r="M6" s="19"/>
    </row>
    <row r="7" spans="1:16" ht="18.75" x14ac:dyDescent="0.25">
      <c r="A7" s="10">
        <f t="shared" ca="1" si="0"/>
        <v>46117.134190856501</v>
      </c>
      <c r="B7" s="5" t="s">
        <v>83</v>
      </c>
      <c r="C7" s="11">
        <v>0.13418981481481501</v>
      </c>
      <c r="D7" s="11" t="s">
        <v>62</v>
      </c>
      <c r="E7" s="11">
        <v>0.22491898148148101</v>
      </c>
      <c r="F7" s="12">
        <f t="shared" si="1"/>
        <v>2.1774999999999842</v>
      </c>
      <c r="G7" s="13">
        <f t="shared" si="2"/>
        <v>0</v>
      </c>
      <c r="H7" s="13">
        <f t="shared" si="3"/>
        <v>2.1774999999999842</v>
      </c>
      <c r="I7" s="21" t="s">
        <v>67</v>
      </c>
      <c r="J7" s="22">
        <f>SUMIF(B:B,"地面席",F:F)</f>
        <v>4.8869444444444401</v>
      </c>
      <c r="K7" s="23">
        <f>SUMIF(B:B,"地面席",G:G)</f>
        <v>0</v>
      </c>
      <c r="L7" s="23">
        <f>SUMIF(B:B,"地面席",H:H)</f>
        <v>4.8869444444444401</v>
      </c>
      <c r="M7" s="19"/>
    </row>
    <row r="8" spans="1:16" ht="18.75" x14ac:dyDescent="0.25">
      <c r="A8" s="10">
        <f t="shared" ca="1" si="0"/>
        <v>46117.959576157402</v>
      </c>
      <c r="B8" s="5" t="s">
        <v>76</v>
      </c>
      <c r="C8" s="11">
        <v>0.95957175925925897</v>
      </c>
      <c r="D8" s="11" t="s">
        <v>62</v>
      </c>
      <c r="E8" s="11">
        <v>0.10631944444444399</v>
      </c>
      <c r="F8" s="12">
        <f t="shared" si="1"/>
        <v>3.5219444444444408</v>
      </c>
      <c r="G8" s="13">
        <f t="shared" si="2"/>
        <v>0.97027777777778468</v>
      </c>
      <c r="H8" s="13">
        <f t="shared" si="3"/>
        <v>2.5516666666666561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46121.141907060199</v>
      </c>
      <c r="B9" s="5" t="s">
        <v>82</v>
      </c>
      <c r="C9" s="11">
        <v>0.141898148148148</v>
      </c>
      <c r="D9" s="11" t="s">
        <v>62</v>
      </c>
      <c r="E9" s="11">
        <v>0.29861111111111099</v>
      </c>
      <c r="F9" s="12">
        <f t="shared" si="1"/>
        <v>3.761111111111112</v>
      </c>
      <c r="G9" s="13">
        <f t="shared" si="2"/>
        <v>0</v>
      </c>
      <c r="H9" s="13">
        <f t="shared" si="3"/>
        <v>3.761111111111112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46122.141271180597</v>
      </c>
      <c r="B10" s="5" t="s">
        <v>76</v>
      </c>
      <c r="C10" s="11">
        <v>0.14142361111111099</v>
      </c>
      <c r="D10" s="11" t="s">
        <v>62</v>
      </c>
      <c r="E10" s="11">
        <v>0.26151620370370399</v>
      </c>
      <c r="F10" s="12">
        <f t="shared" si="1"/>
        <v>2.8822222222222322</v>
      </c>
      <c r="G10" s="13">
        <f t="shared" si="2"/>
        <v>0</v>
      </c>
      <c r="H10" s="13">
        <f t="shared" si="3"/>
        <v>2.8822222222222322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46122.261578703699</v>
      </c>
      <c r="B11" s="5" t="s">
        <v>82</v>
      </c>
      <c r="C11" s="11">
        <v>0.26157407407407401</v>
      </c>
      <c r="D11" s="11" t="s">
        <v>62</v>
      </c>
      <c r="E11" s="11">
        <v>0.30848379629629602</v>
      </c>
      <c r="F11" s="12">
        <f t="shared" si="1"/>
        <v>1.1258333333333281</v>
      </c>
      <c r="G11" s="13">
        <f t="shared" si="2"/>
        <v>0</v>
      </c>
      <c r="H11" s="13">
        <f t="shared" si="3"/>
        <v>1.1258333333333281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46124.502306018498</v>
      </c>
      <c r="B12" s="5" t="s">
        <v>75</v>
      </c>
      <c r="C12" s="11">
        <v>0.50230324074074095</v>
      </c>
      <c r="D12" s="11" t="s">
        <v>62</v>
      </c>
      <c r="E12" s="11">
        <v>0.635196759259259</v>
      </c>
      <c r="F12" s="12">
        <f t="shared" si="1"/>
        <v>3.1894444444444332</v>
      </c>
      <c r="G12" s="13">
        <f t="shared" si="2"/>
        <v>3.1894444444444332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46124.7524297454</v>
      </c>
      <c r="B13" s="5" t="s">
        <v>76</v>
      </c>
      <c r="C13" s="11">
        <v>0.75243055555555605</v>
      </c>
      <c r="D13" s="11" t="s">
        <v>62</v>
      </c>
      <c r="E13" s="11">
        <v>0.88104166666666694</v>
      </c>
      <c r="F13" s="12">
        <f t="shared" si="1"/>
        <v>3.0866666666666616</v>
      </c>
      <c r="G13" s="13">
        <f t="shared" si="2"/>
        <v>3.0866666666666616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46125.418809837996</v>
      </c>
      <c r="B14" s="5" t="s">
        <v>76</v>
      </c>
      <c r="C14" s="11">
        <v>0.41880787037036998</v>
      </c>
      <c r="D14" s="11" t="s">
        <v>62</v>
      </c>
      <c r="E14" s="11">
        <v>0.51582175925925899</v>
      </c>
      <c r="F14" s="12">
        <f t="shared" si="1"/>
        <v>2.3283333333333363</v>
      </c>
      <c r="G14" s="13">
        <f t="shared" si="2"/>
        <v>2.3283333333333363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46125.626941666698</v>
      </c>
      <c r="B15" s="5" t="s">
        <v>75</v>
      </c>
      <c r="C15" s="11">
        <v>0.62693287037037004</v>
      </c>
      <c r="D15" s="11" t="s">
        <v>62</v>
      </c>
      <c r="E15" s="11">
        <v>0.76807870370370401</v>
      </c>
      <c r="F15" s="12">
        <f t="shared" si="1"/>
        <v>3.3875000000000153</v>
      </c>
      <c r="G15" s="13">
        <f t="shared" si="2"/>
        <v>3.3875000000000153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46125.836938310204</v>
      </c>
      <c r="B16" s="5" t="s">
        <v>76</v>
      </c>
      <c r="C16" s="11">
        <v>0.83693287037037001</v>
      </c>
      <c r="D16" s="11" t="s">
        <v>62</v>
      </c>
      <c r="E16" s="11">
        <v>0.96488425925925903</v>
      </c>
      <c r="F16" s="12">
        <f t="shared" si="1"/>
        <v>3.0708333333333364</v>
      </c>
      <c r="G16" s="13">
        <f t="shared" si="2"/>
        <v>3.0708333333333364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46126.299377661999</v>
      </c>
      <c r="B17" s="5" t="s">
        <v>75</v>
      </c>
      <c r="C17" s="11">
        <v>0.299375</v>
      </c>
      <c r="D17" s="11" t="s">
        <v>62</v>
      </c>
      <c r="E17" s="11">
        <v>0.36589120370370398</v>
      </c>
      <c r="F17" s="12">
        <f t="shared" si="1"/>
        <v>1.5963888888888955</v>
      </c>
      <c r="G17" s="13">
        <f t="shared" si="2"/>
        <v>0.78138888888890401</v>
      </c>
      <c r="H17" s="13">
        <f t="shared" si="3"/>
        <v>0.81499999999999151</v>
      </c>
      <c r="I17" s="35" t="s">
        <v>78</v>
      </c>
      <c r="J17" s="36">
        <f>J4+J5+J6+J7+J10</f>
        <v>72.990000000000023</v>
      </c>
      <c r="K17" s="37">
        <f>K4+K5+K6+K7+K10</f>
        <v>39.938055555555628</v>
      </c>
      <c r="L17" s="38">
        <f>L4+L5+L6+L7+L10</f>
        <v>33.051944444444395</v>
      </c>
      <c r="M17" s="39"/>
    </row>
    <row r="18" spans="1:13" ht="20.25" x14ac:dyDescent="0.25">
      <c r="A18" s="10">
        <f t="shared" ca="1" si="0"/>
        <v>46128.9598469907</v>
      </c>
      <c r="B18" s="5" t="s">
        <v>73</v>
      </c>
      <c r="C18" s="11">
        <v>0.95983796296296298</v>
      </c>
      <c r="D18" s="11" t="s">
        <v>62</v>
      </c>
      <c r="E18" s="11">
        <v>0.118680555555556</v>
      </c>
      <c r="F18" s="12">
        <f t="shared" si="1"/>
        <v>3.8122222222222328</v>
      </c>
      <c r="G18" s="13">
        <f t="shared" si="2"/>
        <v>0.96388888888888902</v>
      </c>
      <c r="H18" s="13">
        <f t="shared" si="3"/>
        <v>2.8483333333333438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46130.016193055599</v>
      </c>
      <c r="B19" s="5" t="s">
        <v>81</v>
      </c>
      <c r="C19" s="11">
        <v>1.6192129629629601E-2</v>
      </c>
      <c r="D19" s="11" t="s">
        <v>62</v>
      </c>
      <c r="E19" s="11">
        <v>0.107847222222222</v>
      </c>
      <c r="F19" s="12">
        <f t="shared" si="1"/>
        <v>2.1997222222222175</v>
      </c>
      <c r="G19" s="13">
        <f t="shared" si="2"/>
        <v>0</v>
      </c>
      <c r="H19" s="13">
        <f t="shared" si="3"/>
        <v>2.1997222222222175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46130.107922222203</v>
      </c>
      <c r="B20" s="5" t="s">
        <v>75</v>
      </c>
      <c r="C20" s="11">
        <v>0.10791666666666699</v>
      </c>
      <c r="D20" s="11" t="s">
        <v>62</v>
      </c>
      <c r="E20" s="11">
        <v>0.14921296296296299</v>
      </c>
      <c r="F20" s="12">
        <f t="shared" si="1"/>
        <v>0.99111111111110395</v>
      </c>
      <c r="G20" s="13">
        <f t="shared" si="2"/>
        <v>0</v>
      </c>
      <c r="H20" s="13">
        <f t="shared" si="3"/>
        <v>0.99111111111110395</v>
      </c>
      <c r="I20" s="40" t="s">
        <v>80</v>
      </c>
      <c r="J20" s="65">
        <f>J16+J17+J18+J19</f>
        <v>72.990000000000023</v>
      </c>
      <c r="K20" s="66"/>
      <c r="L20" s="67"/>
      <c r="M20" s="41"/>
    </row>
    <row r="21" spans="1:13" ht="20.25" x14ac:dyDescent="0.25">
      <c r="A21" s="10">
        <f t="shared" ca="1" si="0"/>
        <v>46133.140867824099</v>
      </c>
      <c r="B21" s="5" t="s">
        <v>75</v>
      </c>
      <c r="C21" s="11">
        <v>0.14086805555555601</v>
      </c>
      <c r="D21" s="11" t="s">
        <v>62</v>
      </c>
      <c r="E21" s="11">
        <v>0.30334490740740699</v>
      </c>
      <c r="F21" s="12">
        <f t="shared" si="1"/>
        <v>3.8994444444444234</v>
      </c>
      <c r="G21" s="13">
        <f t="shared" si="2"/>
        <v>0</v>
      </c>
      <c r="H21" s="13">
        <f t="shared" si="3"/>
        <v>3.8994444444444234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46134.131540856499</v>
      </c>
      <c r="B22" s="5" t="s">
        <v>83</v>
      </c>
      <c r="C22" s="11">
        <v>0.131539351851852</v>
      </c>
      <c r="D22" s="11" t="s">
        <v>62</v>
      </c>
      <c r="E22" s="11">
        <v>0.22324074074074099</v>
      </c>
      <c r="F22" s="12">
        <f t="shared" si="1"/>
        <v>2.2008333333333354</v>
      </c>
      <c r="G22" s="13">
        <f t="shared" si="2"/>
        <v>0</v>
      </c>
      <c r="H22" s="13">
        <f t="shared" si="3"/>
        <v>2.2008333333333354</v>
      </c>
      <c r="I22"/>
      <c r="J22"/>
    </row>
    <row r="23" spans="1:13" ht="18.75" x14ac:dyDescent="0.15">
      <c r="A23" s="10">
        <f t="shared" ca="1" si="0"/>
        <v>46136.354297800899</v>
      </c>
      <c r="B23" s="5" t="s">
        <v>76</v>
      </c>
      <c r="C23" s="11">
        <v>0.354293981481481</v>
      </c>
      <c r="D23" s="11" t="s">
        <v>62</v>
      </c>
      <c r="E23" s="11">
        <v>0.509699074074074</v>
      </c>
      <c r="F23" s="12">
        <f t="shared" si="1"/>
        <v>3.7297222222222319</v>
      </c>
      <c r="G23" s="13">
        <f t="shared" si="2"/>
        <v>3.7297222222222319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46136.626641087998</v>
      </c>
      <c r="B24" s="5" t="s">
        <v>75</v>
      </c>
      <c r="C24" s="11">
        <v>0.62663194444444403</v>
      </c>
      <c r="D24" s="11" t="s">
        <v>62</v>
      </c>
      <c r="E24" s="11">
        <v>0.75478009259259304</v>
      </c>
      <c r="F24" s="12">
        <f t="shared" si="1"/>
        <v>3.0755555555555762</v>
      </c>
      <c r="G24" s="13">
        <f t="shared" si="2"/>
        <v>3.0755555555555762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46136.876409837998</v>
      </c>
      <c r="B25" s="5" t="s">
        <v>76</v>
      </c>
      <c r="C25" s="11">
        <v>0.87640046296296303</v>
      </c>
      <c r="D25" s="11" t="s">
        <v>62</v>
      </c>
      <c r="E25" s="11">
        <v>0.96079861111111098</v>
      </c>
      <c r="F25" s="12">
        <f t="shared" si="1"/>
        <v>2.0255555555555507</v>
      </c>
      <c r="G25" s="13">
        <f t="shared" si="2"/>
        <v>2.0255555555555507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46137.300179050901</v>
      </c>
      <c r="B26" s="5" t="s">
        <v>75</v>
      </c>
      <c r="C26" s="11">
        <v>0.30017361111111102</v>
      </c>
      <c r="D26" s="11" t="s">
        <v>62</v>
      </c>
      <c r="E26" s="11">
        <v>0.42570601851851803</v>
      </c>
      <c r="F26" s="12">
        <f t="shared" si="1"/>
        <v>3.0127777777777682</v>
      </c>
      <c r="G26" s="13">
        <f t="shared" si="2"/>
        <v>2.2169444444444411</v>
      </c>
      <c r="H26" s="13">
        <f t="shared" si="3"/>
        <v>0.79583333333332718</v>
      </c>
      <c r="I26"/>
      <c r="J26"/>
    </row>
    <row r="27" spans="1:13" ht="18.75" x14ac:dyDescent="0.15">
      <c r="A27" s="10">
        <f t="shared" ca="1" si="0"/>
        <v>46137.509283333296</v>
      </c>
      <c r="B27" s="5" t="s">
        <v>76</v>
      </c>
      <c r="C27" s="11">
        <v>0.50928240740740705</v>
      </c>
      <c r="D27" s="11" t="s">
        <v>62</v>
      </c>
      <c r="E27" s="11">
        <v>0.63206018518518503</v>
      </c>
      <c r="F27" s="12">
        <f t="shared" si="1"/>
        <v>2.9466666666666717</v>
      </c>
      <c r="G27" s="13">
        <f t="shared" si="2"/>
        <v>2.9466666666666717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46137.760684838002</v>
      </c>
      <c r="B28" s="5" t="s">
        <v>75</v>
      </c>
      <c r="C28" s="11">
        <v>0.76068287037036997</v>
      </c>
      <c r="D28" s="11" t="s">
        <v>62</v>
      </c>
      <c r="E28" s="11">
        <v>0.84226851851851903</v>
      </c>
      <c r="F28" s="12">
        <f t="shared" si="1"/>
        <v>1.9580555555555774</v>
      </c>
      <c r="G28" s="13">
        <f t="shared" si="2"/>
        <v>1.9580555555555774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46140.959893518499</v>
      </c>
      <c r="B29" s="5" t="s">
        <v>81</v>
      </c>
      <c r="C29" s="11">
        <v>0.95988425925925902</v>
      </c>
      <c r="D29" s="11" t="s">
        <v>62</v>
      </c>
      <c r="E29" s="11">
        <v>0.119178240740741</v>
      </c>
      <c r="F29" s="12">
        <f t="shared" si="1"/>
        <v>3.8230555555555679</v>
      </c>
      <c r="G29" s="13">
        <f t="shared" si="2"/>
        <v>0.96277777777778395</v>
      </c>
      <c r="H29" s="13">
        <f t="shared" si="3"/>
        <v>2.8602777777777839</v>
      </c>
      <c r="I29"/>
      <c r="J29"/>
    </row>
    <row r="30" spans="1:13" ht="18.75" x14ac:dyDescent="0.15">
      <c r="A30" s="10">
        <f t="shared" ca="1" si="0"/>
        <v>46142.015392824098</v>
      </c>
      <c r="B30" s="5" t="s">
        <v>73</v>
      </c>
      <c r="C30" s="11">
        <v>1.53819444444444E-2</v>
      </c>
      <c r="D30" s="11" t="s">
        <v>62</v>
      </c>
      <c r="E30" s="11">
        <v>0.146550925925926</v>
      </c>
      <c r="F30" s="12">
        <f t="shared" si="1"/>
        <v>3.1480555555555583</v>
      </c>
      <c r="G30" s="13">
        <f t="shared" si="2"/>
        <v>0</v>
      </c>
      <c r="H30" s="13">
        <f t="shared" si="3"/>
        <v>3.1480555555555583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46113.133141435203</v>
      </c>
      <c r="B3" s="5" t="s">
        <v>61</v>
      </c>
      <c r="C3" s="11">
        <v>0.133136574074074</v>
      </c>
      <c r="D3" s="11" t="s">
        <v>62</v>
      </c>
      <c r="E3" s="11">
        <v>0.30086805555555601</v>
      </c>
      <c r="F3" s="12">
        <f t="shared" ref="F3:F42" si="1">(IF(E3-C3&lt;0,"24:00"-C3+E3,E3-C3))*24</f>
        <v>4.0255555555555684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4.0255555555555684</v>
      </c>
      <c r="I3" s="16" t="s">
        <v>63</v>
      </c>
      <c r="J3" s="17">
        <f>SUMIF(B:B,"带班主任",F:F)</f>
        <v>80.15638888888887</v>
      </c>
      <c r="K3" s="18">
        <f>SUMIF(B:B,"带班主任",G:G)</f>
        <v>48.603611111111157</v>
      </c>
      <c r="L3" s="18">
        <f>SUMIF(B:B,"带班主任",H:H)</f>
        <v>31.552777777777724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46113.793371296299</v>
      </c>
      <c r="B4" s="5" t="s">
        <v>61</v>
      </c>
      <c r="C4" s="11">
        <v>0.79336805555555501</v>
      </c>
      <c r="D4" s="11" t="s">
        <v>62</v>
      </c>
      <c r="E4" s="11">
        <v>0.94543981481481498</v>
      </c>
      <c r="F4" s="12">
        <f t="shared" si="1"/>
        <v>3.6497222222222394</v>
      </c>
      <c r="G4" s="13">
        <f t="shared" si="2"/>
        <v>3.6497222222222394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10.285555555555582</v>
      </c>
      <c r="K4" s="23">
        <f>SUMIF(B:B,"西塔台管制席",G:G)+SUMIF(B:B,"东塔台管制席",G:G)</f>
        <v>6.6961111111111435</v>
      </c>
      <c r="L4" s="23">
        <f>SUMIF(B:B,"西塔台管制席",H:H)+SUMIF(B:B,"东塔台管制席",H:H)</f>
        <v>3.5894444444444398</v>
      </c>
      <c r="M4" s="19"/>
    </row>
    <row r="5" spans="1:16" ht="18.75" x14ac:dyDescent="0.25">
      <c r="A5" s="10">
        <f t="shared" ca="1" si="0"/>
        <v>46114.293260185201</v>
      </c>
      <c r="B5" s="5" t="s">
        <v>61</v>
      </c>
      <c r="C5" s="11">
        <v>0.29325231481481501</v>
      </c>
      <c r="D5" s="11" t="s">
        <v>62</v>
      </c>
      <c r="E5" s="11">
        <v>0.36258101851851898</v>
      </c>
      <c r="F5" s="12">
        <f t="shared" si="1"/>
        <v>1.6638888888888954</v>
      </c>
      <c r="G5" s="13">
        <f t="shared" si="2"/>
        <v>0.70194444444446402</v>
      </c>
      <c r="H5" s="13">
        <f t="shared" si="3"/>
        <v>0.96194444444443139</v>
      </c>
      <c r="I5" s="21" t="s">
        <v>65</v>
      </c>
      <c r="J5" s="22">
        <f>SUMIF(B:B,"西塔台协调席",F:F)+SUMIF(B:B,"东塔台协调席",F:F)</f>
        <v>5.0088888888888867</v>
      </c>
      <c r="K5" s="23">
        <f>SUMIF(B:B,"西塔台协调席",G:G)+SUMIF(B:B,"东塔台协调席",G:G)</f>
        <v>1.9416666666666731</v>
      </c>
      <c r="L5" s="23">
        <f>SUMIF(B:B,"西塔台协调席",H:H)+SUMIF(B:B,"东塔台协调席",H:H)</f>
        <v>3.0672222222222141</v>
      </c>
      <c r="M5" s="19"/>
    </row>
    <row r="6" spans="1:16" ht="18.75" x14ac:dyDescent="0.25">
      <c r="A6" s="10">
        <f t="shared" ca="1" si="0"/>
        <v>46116.939598842597</v>
      </c>
      <c r="B6" s="5" t="s">
        <v>61</v>
      </c>
      <c r="C6" s="11">
        <v>0.93959490740740703</v>
      </c>
      <c r="D6" s="11" t="s">
        <v>62</v>
      </c>
      <c r="E6" s="11">
        <v>0.13788194444444399</v>
      </c>
      <c r="F6" s="12">
        <f t="shared" si="1"/>
        <v>4.7588888888888867</v>
      </c>
      <c r="G6" s="13">
        <f t="shared" si="2"/>
        <v>1.4497222222222312</v>
      </c>
      <c r="H6" s="13">
        <f t="shared" si="3"/>
        <v>3.3091666666666555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46117.5429657407</v>
      </c>
      <c r="B7" s="5" t="s">
        <v>61</v>
      </c>
      <c r="C7" s="11">
        <v>0.54296296296296298</v>
      </c>
      <c r="D7" s="11" t="s">
        <v>62</v>
      </c>
      <c r="E7" s="11">
        <v>0.79901620370370396</v>
      </c>
      <c r="F7" s="12">
        <f t="shared" si="1"/>
        <v>6.1452777777777836</v>
      </c>
      <c r="G7" s="13">
        <f t="shared" si="2"/>
        <v>6.1452777777777836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46118.1338420139</v>
      </c>
      <c r="B8" s="5" t="s">
        <v>61</v>
      </c>
      <c r="C8" s="11">
        <v>0.133831018518519</v>
      </c>
      <c r="D8" s="11" t="s">
        <v>62</v>
      </c>
      <c r="E8" s="11">
        <v>0.29909722222222201</v>
      </c>
      <c r="F8" s="12">
        <f t="shared" si="1"/>
        <v>3.9663888888888721</v>
      </c>
      <c r="G8" s="13">
        <f t="shared" si="2"/>
        <v>0</v>
      </c>
      <c r="H8" s="13">
        <f t="shared" si="3"/>
        <v>3.9663888888888721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46124.355809953697</v>
      </c>
      <c r="B9" s="5" t="s">
        <v>61</v>
      </c>
      <c r="C9" s="11">
        <v>0.35581018518518498</v>
      </c>
      <c r="D9" s="11" t="s">
        <v>62</v>
      </c>
      <c r="E9" s="11">
        <v>0.55134259259259299</v>
      </c>
      <c r="F9" s="12">
        <f t="shared" si="1"/>
        <v>4.6927777777777919</v>
      </c>
      <c r="G9" s="13">
        <f t="shared" si="2"/>
        <v>4.6927777777777919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46124.785194907403</v>
      </c>
      <c r="B10" s="5" t="s">
        <v>61</v>
      </c>
      <c r="C10" s="11">
        <v>0.78518518518518499</v>
      </c>
      <c r="D10" s="11" t="s">
        <v>62</v>
      </c>
      <c r="E10" s="11">
        <v>0.946736111111111</v>
      </c>
      <c r="F10" s="12">
        <f t="shared" si="1"/>
        <v>3.8772222222222243</v>
      </c>
      <c r="G10" s="13">
        <f t="shared" si="2"/>
        <v>3.8772222222222243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46125.293266666697</v>
      </c>
      <c r="B11" s="5" t="s">
        <v>61</v>
      </c>
      <c r="C11" s="11">
        <v>0.29326388888888899</v>
      </c>
      <c r="D11" s="11" t="s">
        <v>62</v>
      </c>
      <c r="E11" s="11">
        <v>0.55247685185185202</v>
      </c>
      <c r="F11" s="12">
        <f t="shared" si="1"/>
        <v>6.2211111111111128</v>
      </c>
      <c r="G11" s="13">
        <f t="shared" si="2"/>
        <v>5.2594444444444566</v>
      </c>
      <c r="H11" s="13">
        <f t="shared" si="3"/>
        <v>0.96166666666665579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46125.938563773103</v>
      </c>
      <c r="B12" s="5" t="s">
        <v>61</v>
      </c>
      <c r="C12" s="11">
        <v>0.93716435185185198</v>
      </c>
      <c r="D12" s="11" t="s">
        <v>62</v>
      </c>
      <c r="E12" s="11">
        <v>0.144201388888889</v>
      </c>
      <c r="F12" s="12">
        <f t="shared" si="1"/>
        <v>4.9688888888888885</v>
      </c>
      <c r="G12" s="13">
        <f t="shared" si="2"/>
        <v>1.5080555555555524</v>
      </c>
      <c r="H12" s="13">
        <f t="shared" si="3"/>
        <v>3.4608333333333361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46128.543250347197</v>
      </c>
      <c r="B13" s="5" t="s">
        <v>61</v>
      </c>
      <c r="C13" s="11">
        <v>0.54324074074074102</v>
      </c>
      <c r="D13" s="11" t="s">
        <v>62</v>
      </c>
      <c r="E13" s="11">
        <v>0.67023148148148104</v>
      </c>
      <c r="F13" s="12">
        <f t="shared" si="1"/>
        <v>3.0477777777777604</v>
      </c>
      <c r="G13" s="13">
        <f t="shared" si="2"/>
        <v>3.0477777777777604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46128.681703125003</v>
      </c>
      <c r="B14" s="5" t="s">
        <v>61</v>
      </c>
      <c r="C14" s="11">
        <v>0.68170138888888898</v>
      </c>
      <c r="D14" s="11" t="s">
        <v>62</v>
      </c>
      <c r="E14" s="11">
        <v>0.79982638888888902</v>
      </c>
      <c r="F14" s="12">
        <f t="shared" si="1"/>
        <v>2.8350000000000009</v>
      </c>
      <c r="G14" s="13">
        <f t="shared" si="2"/>
        <v>2.8350000000000009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46129.133790972199</v>
      </c>
      <c r="B15" s="5" t="s">
        <v>61</v>
      </c>
      <c r="C15" s="11">
        <v>0.13378472222222201</v>
      </c>
      <c r="D15" s="11" t="s">
        <v>62</v>
      </c>
      <c r="E15" s="11">
        <v>0.30113425925925902</v>
      </c>
      <c r="F15" s="12">
        <f t="shared" si="1"/>
        <v>4.0163888888888879</v>
      </c>
      <c r="G15" s="13">
        <f t="shared" si="2"/>
        <v>0</v>
      </c>
      <c r="H15" s="13">
        <f t="shared" si="3"/>
        <v>4.0163888888888879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46129.792719097197</v>
      </c>
      <c r="B16" s="5" t="s">
        <v>61</v>
      </c>
      <c r="C16" s="11">
        <v>0.79270833333333302</v>
      </c>
      <c r="D16" s="11" t="s">
        <v>62</v>
      </c>
      <c r="E16" s="11">
        <v>0.94725694444444397</v>
      </c>
      <c r="F16" s="12">
        <f t="shared" si="1"/>
        <v>3.7091666666666629</v>
      </c>
      <c r="G16" s="13">
        <f t="shared" si="2"/>
        <v>3.7091666666666629</v>
      </c>
      <c r="H16" s="13">
        <f t="shared" si="3"/>
        <v>0</v>
      </c>
      <c r="I16" s="35" t="s">
        <v>63</v>
      </c>
      <c r="J16" s="36">
        <f t="shared" ref="J16:L16" si="4">J3</f>
        <v>80.15638888888887</v>
      </c>
      <c r="K16" s="37">
        <f t="shared" si="4"/>
        <v>48.603611111111157</v>
      </c>
      <c r="L16" s="38">
        <f t="shared" si="4"/>
        <v>31.552777777777724</v>
      </c>
      <c r="M16" s="39"/>
    </row>
    <row r="17" spans="1:13" ht="20.25" x14ac:dyDescent="0.25">
      <c r="A17" s="10">
        <f t="shared" ca="1" si="0"/>
        <v>46132.939931713001</v>
      </c>
      <c r="B17" s="5" t="s">
        <v>61</v>
      </c>
      <c r="C17" s="11">
        <v>0.93993055555555605</v>
      </c>
      <c r="D17" s="11" t="s">
        <v>62</v>
      </c>
      <c r="E17" s="11">
        <v>0.14068287037037</v>
      </c>
      <c r="F17" s="12">
        <f t="shared" si="1"/>
        <v>4.8180555555555351</v>
      </c>
      <c r="G17" s="13">
        <f t="shared" si="2"/>
        <v>1.4416666666666549</v>
      </c>
      <c r="H17" s="13">
        <f t="shared" si="3"/>
        <v>3.3763888888888802</v>
      </c>
      <c r="I17" s="35" t="s">
        <v>78</v>
      </c>
      <c r="J17" s="36">
        <f>J4+J5+J6+J7+J10</f>
        <v>15.294444444444469</v>
      </c>
      <c r="K17" s="37">
        <f>K4+K5+K6+K7+K10</f>
        <v>8.6377777777778171</v>
      </c>
      <c r="L17" s="38">
        <f>L4+L5+L6+L7+L10</f>
        <v>6.6566666666666539</v>
      </c>
      <c r="M17" s="39"/>
    </row>
    <row r="18" spans="1:13" ht="20.25" x14ac:dyDescent="0.25">
      <c r="A18" s="10">
        <f t="shared" ca="1" si="0"/>
        <v>46133.511533333301</v>
      </c>
      <c r="B18" s="5" t="s">
        <v>61</v>
      </c>
      <c r="C18" s="11">
        <v>0.51152777777777803</v>
      </c>
      <c r="D18" s="11" t="s">
        <v>62</v>
      </c>
      <c r="E18" s="11">
        <v>0.58098379629629604</v>
      </c>
      <c r="F18" s="12">
        <f t="shared" si="1"/>
        <v>1.6669444444444323</v>
      </c>
      <c r="G18" s="13">
        <f t="shared" si="2"/>
        <v>1.6669444444444323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46133.637842129603</v>
      </c>
      <c r="B19" s="5" t="s">
        <v>61</v>
      </c>
      <c r="C19" s="11">
        <v>0.63783564814814797</v>
      </c>
      <c r="D19" s="11" t="s">
        <v>62</v>
      </c>
      <c r="E19" s="11">
        <v>0.66111111111111098</v>
      </c>
      <c r="F19" s="12">
        <f t="shared" si="1"/>
        <v>0.55861111111111228</v>
      </c>
      <c r="G19" s="13">
        <f t="shared" si="2"/>
        <v>0.55861111111111228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46133.666822453699</v>
      </c>
      <c r="B20" s="5" t="s">
        <v>61</v>
      </c>
      <c r="C20" s="11">
        <v>0.66681712962963002</v>
      </c>
      <c r="D20" s="11" t="s">
        <v>62</v>
      </c>
      <c r="E20" s="11">
        <v>0.74342592592592605</v>
      </c>
      <c r="F20" s="12">
        <f t="shared" si="1"/>
        <v>1.8386111111111045</v>
      </c>
      <c r="G20" s="13">
        <f t="shared" si="2"/>
        <v>1.8386111111111045</v>
      </c>
      <c r="H20" s="13">
        <f t="shared" si="3"/>
        <v>0</v>
      </c>
      <c r="I20" s="40" t="s">
        <v>80</v>
      </c>
      <c r="J20" s="65">
        <f>J16+J17+J18+J19</f>
        <v>95.450833333333335</v>
      </c>
      <c r="K20" s="66"/>
      <c r="L20" s="67"/>
      <c r="M20" s="41"/>
    </row>
    <row r="21" spans="1:13" ht="20.25" x14ac:dyDescent="0.25">
      <c r="A21" s="10">
        <f t="shared" ca="1" si="0"/>
        <v>46133.760778935197</v>
      </c>
      <c r="B21" s="5" t="s">
        <v>61</v>
      </c>
      <c r="C21" s="11">
        <v>0.76077546296296295</v>
      </c>
      <c r="D21" s="11" t="s">
        <v>62</v>
      </c>
      <c r="E21" s="11">
        <v>0.80886574074074102</v>
      </c>
      <c r="F21" s="12">
        <f t="shared" si="1"/>
        <v>1.1541666666666739</v>
      </c>
      <c r="G21" s="13">
        <f t="shared" si="2"/>
        <v>1.1541666666666739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46134.134506597198</v>
      </c>
      <c r="B22" s="5" t="s">
        <v>61</v>
      </c>
      <c r="C22" s="11">
        <v>0.134502314814815</v>
      </c>
      <c r="D22" s="11" t="s">
        <v>62</v>
      </c>
      <c r="E22" s="11">
        <v>0.30001157407407397</v>
      </c>
      <c r="F22" s="12">
        <f t="shared" si="1"/>
        <v>3.9722222222222152</v>
      </c>
      <c r="G22" s="13">
        <f t="shared" si="2"/>
        <v>0</v>
      </c>
      <c r="H22" s="13">
        <f t="shared" si="3"/>
        <v>3.9722222222222152</v>
      </c>
      <c r="I22"/>
      <c r="J22"/>
    </row>
    <row r="23" spans="1:13" ht="18.75" x14ac:dyDescent="0.15">
      <c r="A23" s="10">
        <f t="shared" ca="1" si="0"/>
        <v>46136.960328472203</v>
      </c>
      <c r="B23" s="5" t="s">
        <v>75</v>
      </c>
      <c r="C23" s="11">
        <v>0.96032407407407405</v>
      </c>
      <c r="D23" s="11" t="s">
        <v>62</v>
      </c>
      <c r="E23" s="11">
        <v>0.14956018518518499</v>
      </c>
      <c r="F23" s="12">
        <f t="shared" si="1"/>
        <v>4.5416666666666625</v>
      </c>
      <c r="G23" s="13">
        <f t="shared" si="2"/>
        <v>0.95222222222222275</v>
      </c>
      <c r="H23" s="13">
        <f t="shared" si="3"/>
        <v>3.5894444444444398</v>
      </c>
      <c r="I23"/>
      <c r="J23"/>
    </row>
    <row r="24" spans="1:13" ht="18.75" x14ac:dyDescent="0.15">
      <c r="A24" s="10">
        <f t="shared" ca="1" si="0"/>
        <v>46138.015851620403</v>
      </c>
      <c r="B24" s="5" t="s">
        <v>81</v>
      </c>
      <c r="C24" s="11">
        <v>1.5844907407407401E-2</v>
      </c>
      <c r="D24" s="11" t="s">
        <v>62</v>
      </c>
      <c r="E24" s="11">
        <v>0.11162037037037</v>
      </c>
      <c r="F24" s="12">
        <f t="shared" si="1"/>
        <v>2.2986111111111023</v>
      </c>
      <c r="G24" s="13">
        <f t="shared" si="2"/>
        <v>0</v>
      </c>
      <c r="H24" s="13">
        <f t="shared" si="3"/>
        <v>2.2986111111111023</v>
      </c>
      <c r="I24"/>
      <c r="J24"/>
    </row>
    <row r="25" spans="1:13" ht="18.75" x14ac:dyDescent="0.15">
      <c r="A25" s="10">
        <f t="shared" ca="1" si="0"/>
        <v>46140.358203588003</v>
      </c>
      <c r="B25" s="5" t="s">
        <v>73</v>
      </c>
      <c r="C25" s="11">
        <v>0.35819444444444398</v>
      </c>
      <c r="D25" s="11" t="s">
        <v>62</v>
      </c>
      <c r="E25" s="11">
        <v>0.51013888888888903</v>
      </c>
      <c r="F25" s="12">
        <f t="shared" si="1"/>
        <v>3.6466666666666812</v>
      </c>
      <c r="G25" s="13">
        <f t="shared" si="2"/>
        <v>3.6466666666666812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46140.753177893501</v>
      </c>
      <c r="B26" s="5" t="s">
        <v>61</v>
      </c>
      <c r="C26" s="11">
        <v>0.75317129629629598</v>
      </c>
      <c r="D26" s="11" t="s">
        <v>62</v>
      </c>
      <c r="E26" s="11">
        <v>0.80578703703703702</v>
      </c>
      <c r="F26" s="12">
        <f t="shared" si="1"/>
        <v>1.2627777777777851</v>
      </c>
      <c r="G26" s="13">
        <f t="shared" si="2"/>
        <v>1.2627777777777851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46140.919896527797</v>
      </c>
      <c r="B27" s="5" t="s">
        <v>73</v>
      </c>
      <c r="C27" s="11">
        <v>0.91989583333333302</v>
      </c>
      <c r="D27" s="11" t="s">
        <v>62</v>
      </c>
      <c r="E27" s="11">
        <v>0.967326388888889</v>
      </c>
      <c r="F27" s="12">
        <f t="shared" si="1"/>
        <v>1.1383333333333434</v>
      </c>
      <c r="G27" s="13">
        <f t="shared" si="2"/>
        <v>1.1383333333333434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46141.3013094907</v>
      </c>
      <c r="B28" s="5" t="s">
        <v>76</v>
      </c>
      <c r="C28" s="11">
        <v>0.30130787037036999</v>
      </c>
      <c r="D28" s="11" t="s">
        <v>62</v>
      </c>
      <c r="E28" s="11">
        <v>0.41423611111111103</v>
      </c>
      <c r="F28" s="12">
        <f t="shared" si="1"/>
        <v>2.7102777777777849</v>
      </c>
      <c r="G28" s="13">
        <f t="shared" si="2"/>
        <v>1.9416666666666731</v>
      </c>
      <c r="H28" s="13">
        <f t="shared" si="3"/>
        <v>0.7686111111111118</v>
      </c>
      <c r="I28"/>
      <c r="J28"/>
    </row>
    <row r="29" spans="1:13" ht="18.75" x14ac:dyDescent="0.15">
      <c r="A29" s="10">
        <f t="shared" ca="1" si="0"/>
        <v>46141.414276041702</v>
      </c>
      <c r="B29" s="5" t="s">
        <v>61</v>
      </c>
      <c r="C29" s="11">
        <v>0.41427083333333298</v>
      </c>
      <c r="D29" s="11" t="s">
        <v>62</v>
      </c>
      <c r="E29" s="11">
        <v>0.51087962962962996</v>
      </c>
      <c r="F29" s="12">
        <f t="shared" si="1"/>
        <v>2.3186111111111276</v>
      </c>
      <c r="G29" s="13">
        <f t="shared" si="2"/>
        <v>2.3186111111111276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46141.510939467596</v>
      </c>
      <c r="B30" s="5" t="s">
        <v>75</v>
      </c>
      <c r="C30" s="11">
        <v>0.51093750000000004</v>
      </c>
      <c r="D30" s="11" t="s">
        <v>62</v>
      </c>
      <c r="E30" s="11">
        <v>0.55089120370370404</v>
      </c>
      <c r="F30" s="12">
        <f t="shared" si="1"/>
        <v>0.95888888888889579</v>
      </c>
      <c r="G30" s="13">
        <f t="shared" si="2"/>
        <v>0.95888888888889579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46141.938082754597</v>
      </c>
      <c r="B31" s="5" t="s">
        <v>61</v>
      </c>
      <c r="C31" s="11">
        <v>0.93807870370370405</v>
      </c>
      <c r="D31" s="11" t="s">
        <v>62</v>
      </c>
      <c r="E31" s="11">
        <v>0.14592592592592599</v>
      </c>
      <c r="F31" s="12">
        <f t="shared" si="1"/>
        <v>4.9883333333333262</v>
      </c>
      <c r="G31" s="13">
        <f t="shared" si="2"/>
        <v>1.4861111111111027</v>
      </c>
      <c r="H31" s="13">
        <f t="shared" si="3"/>
        <v>3.5022222222222235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85" zoomScaleNormal="85" workbookViewId="0">
      <selection activeCell="M24" sqref="M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46113.074319328698</v>
      </c>
      <c r="B3" s="5" t="s">
        <v>76</v>
      </c>
      <c r="C3" s="11">
        <v>1.1574074074074101E-5</v>
      </c>
      <c r="D3" s="11" t="s">
        <v>62</v>
      </c>
      <c r="E3" s="11">
        <v>0.107152777777778</v>
      </c>
      <c r="F3" s="12">
        <f t="shared" ref="F3:F42" si="1">(IF(E3-C3&lt;0,"24:00"-C3+E3,E3-C3))*24</f>
        <v>2.5713888888888938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2.5713888888888938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46114.015737847199</v>
      </c>
      <c r="B4" s="5" t="s">
        <v>73</v>
      </c>
      <c r="C4" s="11">
        <v>1.57291666666667E-2</v>
      </c>
      <c r="D4" s="11" t="s">
        <v>62</v>
      </c>
      <c r="E4" s="11">
        <v>0.14542824074074101</v>
      </c>
      <c r="F4" s="12">
        <f t="shared" si="1"/>
        <v>3.112777777777783</v>
      </c>
      <c r="G4" s="13">
        <f t="shared" si="2"/>
        <v>0</v>
      </c>
      <c r="H4" s="13">
        <f t="shared" si="3"/>
        <v>3.112777777777783</v>
      </c>
      <c r="I4" s="21" t="s">
        <v>64</v>
      </c>
      <c r="J4" s="22">
        <f>SUMIF(B:B,"西塔台管制席",F:F)+SUMIF(B:B,"东塔台管制席",F:F)</f>
        <v>31.739444444444402</v>
      </c>
      <c r="K4" s="23">
        <f>SUMIF(B:B,"西塔台管制席",G:G)+SUMIF(B:B,"东塔台管制席",G:G)</f>
        <v>13.809444444444431</v>
      </c>
      <c r="L4" s="23">
        <f>SUMIF(B:B,"西塔台管制席",H:H)+SUMIF(B:B,"东塔台管制席",H:H)</f>
        <v>17.929999999999971</v>
      </c>
      <c r="M4" s="19"/>
    </row>
    <row r="5" spans="1:16" ht="18.75" x14ac:dyDescent="0.25">
      <c r="A5" s="10">
        <f t="shared" ca="1" si="0"/>
        <v>46117.145231828697</v>
      </c>
      <c r="B5" s="5" t="s">
        <v>73</v>
      </c>
      <c r="C5" s="11">
        <v>0.13898148148148101</v>
      </c>
      <c r="D5" s="11" t="s">
        <v>62</v>
      </c>
      <c r="E5" s="11">
        <v>0.30525462962963001</v>
      </c>
      <c r="F5" s="12">
        <f t="shared" si="1"/>
        <v>3.9905555555555763</v>
      </c>
      <c r="G5" s="13">
        <f t="shared" si="2"/>
        <v>0</v>
      </c>
      <c r="H5" s="13">
        <f t="shared" si="3"/>
        <v>3.9905555555555763</v>
      </c>
      <c r="I5" s="21" t="s">
        <v>65</v>
      </c>
      <c r="J5" s="22">
        <f>SUMIF(B:B,"西塔台协调席",F:F)+SUMIF(B:B,"东塔台协调席",F:F)</f>
        <v>24.295277777777805</v>
      </c>
      <c r="K5" s="23">
        <f>SUMIF(B:B,"西塔台协调席",G:G)+SUMIF(B:B,"东塔台协调席",G:G)</f>
        <v>18.9516666666667</v>
      </c>
      <c r="L5" s="23">
        <f>SUMIF(B:B,"西塔台协调席",H:H)+SUMIF(B:B,"东塔台协调席",H:H)</f>
        <v>5.3436111111111098</v>
      </c>
      <c r="M5" s="19"/>
    </row>
    <row r="6" spans="1:16" ht="18.75" x14ac:dyDescent="0.25">
      <c r="A6" s="10">
        <f t="shared" ca="1" si="0"/>
        <v>46118.134386805599</v>
      </c>
      <c r="B6" s="5" t="s">
        <v>85</v>
      </c>
      <c r="C6" s="11">
        <v>0.134699074074074</v>
      </c>
      <c r="D6" s="11" t="s">
        <v>62</v>
      </c>
      <c r="E6" s="11">
        <v>0.21527777777777801</v>
      </c>
      <c r="F6" s="12">
        <f t="shared" si="1"/>
        <v>1.9338888888888963</v>
      </c>
      <c r="G6" s="13">
        <f t="shared" si="2"/>
        <v>0</v>
      </c>
      <c r="H6" s="13">
        <f t="shared" si="3"/>
        <v>1.9338888888888963</v>
      </c>
      <c r="I6" s="21" t="s">
        <v>66</v>
      </c>
      <c r="J6" s="22">
        <f>SUMIF(B:B,"放行席",F:F)</f>
        <v>2.17055555555556</v>
      </c>
      <c r="K6" s="23">
        <f>SUMIF(B:B,"放行席",G:G)</f>
        <v>0</v>
      </c>
      <c r="L6" s="23">
        <f>SUMIF(B:B,"放行席",H:H)</f>
        <v>2.17055555555556</v>
      </c>
      <c r="M6" s="19"/>
    </row>
    <row r="7" spans="1:16" ht="18.75" x14ac:dyDescent="0.25">
      <c r="A7" s="10">
        <f t="shared" ca="1" si="0"/>
        <v>46120.3589832176</v>
      </c>
      <c r="B7" s="5" t="s">
        <v>76</v>
      </c>
      <c r="C7" s="11">
        <v>0.35898148148148201</v>
      </c>
      <c r="D7" s="11" t="s">
        <v>62</v>
      </c>
      <c r="E7" s="11">
        <v>0.50788194444444401</v>
      </c>
      <c r="F7" s="12">
        <f t="shared" si="1"/>
        <v>3.573611111111088</v>
      </c>
      <c r="G7" s="13">
        <f t="shared" si="2"/>
        <v>3.573611111111088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46120.6307445602</v>
      </c>
      <c r="B8" s="5" t="s">
        <v>75</v>
      </c>
      <c r="C8" s="11">
        <v>0.63074074074074105</v>
      </c>
      <c r="D8" s="11" t="s">
        <v>62</v>
      </c>
      <c r="E8" s="11">
        <v>0.75627314814814794</v>
      </c>
      <c r="F8" s="12">
        <f t="shared" si="1"/>
        <v>3.0127777777777656</v>
      </c>
      <c r="G8" s="13">
        <f t="shared" si="2"/>
        <v>3.0127777777777656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46120.875625115703</v>
      </c>
      <c r="B9" s="5" t="s">
        <v>76</v>
      </c>
      <c r="C9" s="11">
        <v>0.87562499999999999</v>
      </c>
      <c r="D9" s="11" t="s">
        <v>62</v>
      </c>
      <c r="E9" s="11">
        <v>0.96354166666666696</v>
      </c>
      <c r="F9" s="12">
        <f t="shared" si="1"/>
        <v>2.1100000000000074</v>
      </c>
      <c r="G9" s="13">
        <f t="shared" si="2"/>
        <v>2.1100000000000074</v>
      </c>
      <c r="H9" s="13">
        <f t="shared" si="3"/>
        <v>0</v>
      </c>
      <c r="I9" s="21" t="s">
        <v>69</v>
      </c>
      <c r="J9" s="22">
        <f>SUMIF(B:B,"航班调度席",F:F)</f>
        <v>12.71916666666665</v>
      </c>
      <c r="K9" s="23">
        <f>SUMIF(B:B,"航班调度席",G:G)</f>
        <v>12.71916666666665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46121.300745370398</v>
      </c>
      <c r="B10" s="5" t="s">
        <v>73</v>
      </c>
      <c r="C10" s="11">
        <v>0.30074074074074097</v>
      </c>
      <c r="D10" s="11" t="s">
        <v>62</v>
      </c>
      <c r="E10" s="11">
        <v>0.35170138888888902</v>
      </c>
      <c r="F10" s="12">
        <f t="shared" si="1"/>
        <v>1.2230555555555531</v>
      </c>
      <c r="G10" s="13">
        <f t="shared" si="2"/>
        <v>0.44083333333334496</v>
      </c>
      <c r="H10" s="13">
        <f t="shared" si="3"/>
        <v>0.78222222222220816</v>
      </c>
      <c r="I10" s="21" t="s">
        <v>70</v>
      </c>
      <c r="J10" s="22">
        <f>SUMIF(B:B,"综合协调席",F:F)</f>
        <v>1.9338888888888963</v>
      </c>
      <c r="K10" s="23">
        <f>SUMIF(B:B,"综合协调席",G:G)</f>
        <v>0</v>
      </c>
      <c r="L10" s="23">
        <f>SUMIF(B:B,"综合协调席",H:H)</f>
        <v>1.9338888888888963</v>
      </c>
      <c r="M10" s="19"/>
    </row>
    <row r="11" spans="1:16" ht="18.75" x14ac:dyDescent="0.25">
      <c r="A11" s="10">
        <f t="shared" ca="1" si="0"/>
        <v>46121.351754745403</v>
      </c>
      <c r="B11" s="5" t="s">
        <v>76</v>
      </c>
      <c r="C11" s="11">
        <v>0.35174768518518501</v>
      </c>
      <c r="D11" s="11" t="s">
        <v>62</v>
      </c>
      <c r="E11" s="11">
        <v>0.42734953703703699</v>
      </c>
      <c r="F11" s="12">
        <f t="shared" si="1"/>
        <v>1.8144444444444474</v>
      </c>
      <c r="G11" s="13">
        <f t="shared" si="2"/>
        <v>1.8144444444444474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46121.501498611098</v>
      </c>
      <c r="B12" s="5" t="s">
        <v>75</v>
      </c>
      <c r="C12" s="11">
        <v>0.50149305555555601</v>
      </c>
      <c r="D12" s="11" t="s">
        <v>62</v>
      </c>
      <c r="E12" s="11">
        <v>0.63067129629629604</v>
      </c>
      <c r="F12" s="12">
        <f t="shared" si="1"/>
        <v>3.1002777777777606</v>
      </c>
      <c r="G12" s="13">
        <f t="shared" si="2"/>
        <v>3.1002777777777606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46121.7522217593</v>
      </c>
      <c r="B13" s="5" t="s">
        <v>76</v>
      </c>
      <c r="C13" s="11">
        <v>0.75222222222222201</v>
      </c>
      <c r="D13" s="11" t="s">
        <v>62</v>
      </c>
      <c r="E13" s="11">
        <v>0.841365740740741</v>
      </c>
      <c r="F13" s="12">
        <f t="shared" si="1"/>
        <v>2.1394444444444556</v>
      </c>
      <c r="G13" s="13">
        <f t="shared" si="2"/>
        <v>2.1394444444444556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46122.249685648101</v>
      </c>
      <c r="B14" s="5" t="s">
        <v>73</v>
      </c>
      <c r="C14" s="11">
        <v>0.249675925925926</v>
      </c>
      <c r="D14" s="11" t="s">
        <v>62</v>
      </c>
      <c r="E14" s="11">
        <v>0.34649305555555598</v>
      </c>
      <c r="F14" s="12">
        <f t="shared" si="1"/>
        <v>2.32361111111112</v>
      </c>
      <c r="G14" s="13">
        <f t="shared" si="2"/>
        <v>0.31583333333335251</v>
      </c>
      <c r="H14" s="13">
        <f t="shared" si="3"/>
        <v>2.0077777777777674</v>
      </c>
      <c r="I14" s="69"/>
      <c r="J14" s="69"/>
      <c r="K14" s="69"/>
      <c r="L14" s="69"/>
      <c r="M14" s="69"/>
    </row>
    <row r="15" spans="1:16" ht="20.25" x14ac:dyDescent="0.25">
      <c r="A15" s="10">
        <f t="shared" ca="1" si="0"/>
        <v>46124.377598495397</v>
      </c>
      <c r="B15" s="5" t="s">
        <v>84</v>
      </c>
      <c r="C15" s="11">
        <v>0.37759259259259298</v>
      </c>
      <c r="D15" s="11" t="s">
        <v>62</v>
      </c>
      <c r="E15" s="11">
        <v>0.51328703703703704</v>
      </c>
      <c r="F15" s="12">
        <f t="shared" si="1"/>
        <v>3.2566666666666575</v>
      </c>
      <c r="G15" s="13">
        <f t="shared" si="2"/>
        <v>3.2566666666666575</v>
      </c>
      <c r="H15" s="13">
        <f t="shared" si="3"/>
        <v>0</v>
      </c>
      <c r="I15" s="35" t="s">
        <v>63</v>
      </c>
      <c r="J15" s="36">
        <f>J3</f>
        <v>0</v>
      </c>
      <c r="K15" s="37">
        <f>K3</f>
        <v>0</v>
      </c>
      <c r="L15" s="38">
        <f>L3</f>
        <v>0</v>
      </c>
      <c r="M15" s="39"/>
    </row>
    <row r="16" spans="1:16" ht="20.25" x14ac:dyDescent="0.25">
      <c r="A16" s="10">
        <f t="shared" ca="1" si="0"/>
        <v>46124.5306524306</v>
      </c>
      <c r="B16" s="5" t="s">
        <v>84</v>
      </c>
      <c r="C16" s="11">
        <v>0.53064814814814798</v>
      </c>
      <c r="D16" s="11" t="s">
        <v>62</v>
      </c>
      <c r="E16" s="11">
        <v>0.54987268518518495</v>
      </c>
      <c r="F16" s="12">
        <f t="shared" si="1"/>
        <v>0.46138888888888729</v>
      </c>
      <c r="G16" s="13">
        <f t="shared" si="2"/>
        <v>0.46138888888888729</v>
      </c>
      <c r="H16" s="13">
        <f t="shared" si="3"/>
        <v>0</v>
      </c>
      <c r="I16" s="35" t="s">
        <v>78</v>
      </c>
      <c r="J16" s="36">
        <f>J4+J5+J6+J7+J10</f>
        <v>60.139166666666661</v>
      </c>
      <c r="K16" s="37">
        <f>K4+K5+K6+K7+K10</f>
        <v>32.761111111111134</v>
      </c>
      <c r="L16" s="38">
        <f>L4+L5+L6+L7+L10</f>
        <v>27.378055555555534</v>
      </c>
      <c r="M16" s="39"/>
    </row>
    <row r="17" spans="1:13" ht="20.25" x14ac:dyDescent="0.25">
      <c r="A17" s="10">
        <f t="shared" ca="1" si="0"/>
        <v>46124.625965740699</v>
      </c>
      <c r="B17" s="5" t="s">
        <v>84</v>
      </c>
      <c r="C17" s="11">
        <v>0.625960648148148</v>
      </c>
      <c r="D17" s="11" t="s">
        <v>62</v>
      </c>
      <c r="E17" s="11">
        <v>0.74785879629629604</v>
      </c>
      <c r="F17" s="12">
        <f t="shared" si="1"/>
        <v>2.9255555555555528</v>
      </c>
      <c r="G17" s="13">
        <f t="shared" si="2"/>
        <v>2.9255555555555528</v>
      </c>
      <c r="H17" s="13">
        <f t="shared" si="3"/>
        <v>0</v>
      </c>
      <c r="I17" s="35" t="s">
        <v>71</v>
      </c>
      <c r="J17" s="36">
        <f t="shared" ref="J17:L18" si="4">J11</f>
        <v>0</v>
      </c>
      <c r="K17" s="37">
        <f t="shared" si="4"/>
        <v>0</v>
      </c>
      <c r="L17" s="38">
        <f t="shared" si="4"/>
        <v>0</v>
      </c>
      <c r="M17" s="39"/>
    </row>
    <row r="18" spans="1:13" ht="20.25" x14ac:dyDescent="0.25">
      <c r="A18" s="10">
        <f t="shared" ca="1" si="0"/>
        <v>46125.377097453696</v>
      </c>
      <c r="B18" s="5" t="s">
        <v>84</v>
      </c>
      <c r="C18" s="11">
        <v>0.37709490740740698</v>
      </c>
      <c r="D18" s="11" t="s">
        <v>62</v>
      </c>
      <c r="E18" s="11">
        <v>0.51069444444444401</v>
      </c>
      <c r="F18" s="12">
        <f t="shared" si="1"/>
        <v>3.2063888888888887</v>
      </c>
      <c r="G18" s="13">
        <f t="shared" si="2"/>
        <v>3.2063888888888887</v>
      </c>
      <c r="H18" s="13">
        <f t="shared" si="3"/>
        <v>0</v>
      </c>
      <c r="I18" s="35" t="s">
        <v>79</v>
      </c>
      <c r="J18" s="36">
        <f t="shared" si="4"/>
        <v>0</v>
      </c>
      <c r="K18" s="37">
        <f t="shared" si="4"/>
        <v>0</v>
      </c>
      <c r="L18" s="38">
        <f t="shared" si="4"/>
        <v>0</v>
      </c>
      <c r="M18" s="39"/>
    </row>
    <row r="19" spans="1:13" ht="20.25" x14ac:dyDescent="0.15">
      <c r="A19" s="10">
        <f t="shared" ca="1" si="0"/>
        <v>46125.6124494213</v>
      </c>
      <c r="B19" s="5" t="s">
        <v>84</v>
      </c>
      <c r="C19" s="11">
        <v>0.61244212962962996</v>
      </c>
      <c r="D19" s="11" t="s">
        <v>62</v>
      </c>
      <c r="E19" s="11">
        <v>0.731990740740741</v>
      </c>
      <c r="F19" s="12">
        <f t="shared" si="1"/>
        <v>2.8691666666666649</v>
      </c>
      <c r="G19" s="13">
        <f t="shared" si="2"/>
        <v>2.8691666666666649</v>
      </c>
      <c r="H19" s="13">
        <f t="shared" si="3"/>
        <v>0</v>
      </c>
      <c r="I19" s="40" t="s">
        <v>80</v>
      </c>
      <c r="J19" s="65">
        <f>J15+J16+J17+J18</f>
        <v>60.139166666666661</v>
      </c>
      <c r="K19" s="66"/>
      <c r="L19" s="67"/>
      <c r="M19" s="41"/>
    </row>
    <row r="20" spans="1:13" ht="20.25" x14ac:dyDescent="0.25">
      <c r="A20" s="10">
        <f t="shared" ca="1" si="0"/>
        <v>46129.133734374998</v>
      </c>
      <c r="B20" s="5" t="s">
        <v>83</v>
      </c>
      <c r="C20" s="11">
        <v>0.13372685185185201</v>
      </c>
      <c r="D20" s="11" t="s">
        <v>62</v>
      </c>
      <c r="E20" s="11">
        <v>0.22416666666666701</v>
      </c>
      <c r="F20" s="12">
        <f t="shared" si="1"/>
        <v>2.17055555555556</v>
      </c>
      <c r="G20" s="13">
        <f t="shared" si="2"/>
        <v>0</v>
      </c>
      <c r="H20" s="13">
        <f t="shared" si="3"/>
        <v>2.17055555555556</v>
      </c>
      <c r="I20" s="42" t="s">
        <v>4</v>
      </c>
      <c r="J20" s="43">
        <f>SUM(J8:J9)</f>
        <v>12.71916666666665</v>
      </c>
      <c r="K20" s="37">
        <f>SUM(K8:K9)</f>
        <v>12.71916666666665</v>
      </c>
      <c r="L20" s="38">
        <f>SUM(L8:L9)</f>
        <v>0</v>
      </c>
      <c r="M20" s="44"/>
    </row>
    <row r="21" spans="1:13" ht="18.75" x14ac:dyDescent="0.15">
      <c r="A21" s="10">
        <f t="shared" ca="1" si="0"/>
        <v>46130.140106134299</v>
      </c>
      <c r="B21" s="5" t="s">
        <v>73</v>
      </c>
      <c r="C21" s="11">
        <v>0.140104166666667</v>
      </c>
      <c r="D21" s="11" t="s">
        <v>62</v>
      </c>
      <c r="E21" s="11">
        <v>0.30629629629629601</v>
      </c>
      <c r="F21" s="12">
        <f t="shared" si="1"/>
        <v>3.988611111111096</v>
      </c>
      <c r="G21" s="13">
        <f t="shared" si="2"/>
        <v>0</v>
      </c>
      <c r="H21" s="13">
        <f t="shared" si="3"/>
        <v>3.988611111111096</v>
      </c>
      <c r="I21"/>
      <c r="J21"/>
    </row>
    <row r="22" spans="1:13" ht="18.75" x14ac:dyDescent="0.15">
      <c r="A22" s="10">
        <f t="shared" ca="1" si="0"/>
        <v>46132.504990509296</v>
      </c>
      <c r="B22" s="5" t="s">
        <v>76</v>
      </c>
      <c r="C22" s="11">
        <v>0.50498842592592597</v>
      </c>
      <c r="D22" s="11" t="s">
        <v>62</v>
      </c>
      <c r="E22" s="11">
        <v>0.63605324074074099</v>
      </c>
      <c r="F22" s="12">
        <f t="shared" si="1"/>
        <v>3.1455555555555605</v>
      </c>
      <c r="G22" s="13">
        <f t="shared" si="2"/>
        <v>3.1455555555555605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46132.755895717601</v>
      </c>
      <c r="B23" s="5" t="s">
        <v>75</v>
      </c>
      <c r="C23" s="11">
        <v>0.755891203703704</v>
      </c>
      <c r="D23" s="11" t="s">
        <v>62</v>
      </c>
      <c r="E23" s="11">
        <v>0.88098379629629597</v>
      </c>
      <c r="F23" s="12">
        <f t="shared" si="1"/>
        <v>3.0022222222222075</v>
      </c>
      <c r="G23" s="13">
        <f t="shared" si="2"/>
        <v>3.0022222222222075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46133.418028125001</v>
      </c>
      <c r="B24" s="5" t="s">
        <v>76</v>
      </c>
      <c r="C24" s="11">
        <v>0.41802083333333301</v>
      </c>
      <c r="D24" s="11" t="s">
        <v>62</v>
      </c>
      <c r="E24" s="11">
        <v>0.50696759259259305</v>
      </c>
      <c r="F24" s="12">
        <f t="shared" si="1"/>
        <v>2.1347222222222411</v>
      </c>
      <c r="G24" s="13">
        <f t="shared" si="2"/>
        <v>2.1347222222222411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46133.625783912001</v>
      </c>
      <c r="B25" s="5" t="s">
        <v>75</v>
      </c>
      <c r="C25" s="11">
        <v>0.62577546296296305</v>
      </c>
      <c r="D25" s="11" t="s">
        <v>62</v>
      </c>
      <c r="E25" s="11">
        <v>0.75829861111111097</v>
      </c>
      <c r="F25" s="12">
        <f t="shared" si="1"/>
        <v>3.18055555555555</v>
      </c>
      <c r="G25" s="13">
        <f t="shared" si="2"/>
        <v>3.18055555555555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46133.835672222202</v>
      </c>
      <c r="B26" s="5" t="s">
        <v>76</v>
      </c>
      <c r="C26" s="11">
        <v>0.835671296296296</v>
      </c>
      <c r="D26" s="11" t="s">
        <v>62</v>
      </c>
      <c r="E26" s="11">
        <v>0.96318287037036998</v>
      </c>
      <c r="F26" s="12">
        <f t="shared" si="1"/>
        <v>3.0602777777777757</v>
      </c>
      <c r="G26" s="13">
        <f t="shared" si="2"/>
        <v>3.0602777777777757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46134.299868518501</v>
      </c>
      <c r="B27" s="5" t="s">
        <v>75</v>
      </c>
      <c r="C27" s="11">
        <v>0.29986111111111102</v>
      </c>
      <c r="D27" s="11" t="s">
        <v>62</v>
      </c>
      <c r="E27" s="11">
        <v>0.36487268518518501</v>
      </c>
      <c r="F27" s="12">
        <f t="shared" si="1"/>
        <v>1.5602777777777757</v>
      </c>
      <c r="G27" s="13">
        <f t="shared" si="2"/>
        <v>0.75694444444444864</v>
      </c>
      <c r="H27" s="13">
        <f t="shared" si="3"/>
        <v>0.80333333333332702</v>
      </c>
      <c r="I27"/>
      <c r="J27"/>
    </row>
    <row r="28" spans="1:13" ht="18.75" x14ac:dyDescent="0.15">
      <c r="A28" s="10">
        <f t="shared" ca="1" si="0"/>
        <v>46137.014410300901</v>
      </c>
      <c r="B28" s="5" t="s">
        <v>73</v>
      </c>
      <c r="C28" s="11">
        <v>1.4409722222222201E-2</v>
      </c>
      <c r="D28" s="11" t="s">
        <v>62</v>
      </c>
      <c r="E28" s="11">
        <v>0.14960648148148101</v>
      </c>
      <c r="F28" s="12">
        <f t="shared" si="1"/>
        <v>3.2447222222222116</v>
      </c>
      <c r="G28" s="13">
        <f t="shared" si="2"/>
        <v>0</v>
      </c>
      <c r="H28" s="13">
        <f t="shared" si="3"/>
        <v>3.2447222222222116</v>
      </c>
      <c r="I28"/>
      <c r="J28"/>
    </row>
    <row r="29" spans="1:13" ht="18.75" x14ac:dyDescent="0.15">
      <c r="A29" s="10">
        <f t="shared" ca="1" si="0"/>
        <v>46137.959441666702</v>
      </c>
      <c r="B29" s="5" t="s">
        <v>76</v>
      </c>
      <c r="C29" s="11">
        <v>0.95943287037036995</v>
      </c>
      <c r="D29" s="11" t="s">
        <v>62</v>
      </c>
      <c r="E29" s="11">
        <v>0.11550925925925901</v>
      </c>
      <c r="F29" s="12">
        <f t="shared" si="1"/>
        <v>3.7458333333333371</v>
      </c>
      <c r="G29" s="13">
        <f t="shared" si="2"/>
        <v>0.9736111111111212</v>
      </c>
      <c r="H29" s="13">
        <f t="shared" si="3"/>
        <v>2.7722222222222159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 s="45"/>
      <c r="J37" s="46"/>
      <c r="K37" s="11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19:L19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7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2"/>
  <sheetViews>
    <sheetView zoomScale="85" zoomScaleNormal="85" workbookViewId="0">
      <selection activeCell="E33" sqref="E3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46113.298596527799</v>
      </c>
      <c r="B3" s="5" t="s">
        <v>75</v>
      </c>
      <c r="C3" s="11">
        <v>0.29858796296296303</v>
      </c>
      <c r="D3" s="11" t="s">
        <v>62</v>
      </c>
      <c r="E3" s="11">
        <v>0.46629629629629599</v>
      </c>
      <c r="F3" s="12">
        <f t="shared" ref="F3:F42" si="1">(IF(E3-C3&lt;0,"24:00"-C3+E3,E3-C3))*24</f>
        <v>4.0249999999999915</v>
      </c>
      <c r="G3" s="13">
        <f t="shared" ref="G3:G42" si="2">F3-H3</f>
        <v>3.1911111111111126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0.83388888888887891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46113.543039930599</v>
      </c>
      <c r="B4" s="5" t="s">
        <v>76</v>
      </c>
      <c r="C4" s="11">
        <v>0.54303240740740699</v>
      </c>
      <c r="D4" s="11" t="s">
        <v>62</v>
      </c>
      <c r="E4" s="11">
        <v>0.63113425925925903</v>
      </c>
      <c r="F4" s="12">
        <f t="shared" si="1"/>
        <v>2.114444444444449</v>
      </c>
      <c r="G4" s="13">
        <f t="shared" si="2"/>
        <v>2.114444444444449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40.286388888888837</v>
      </c>
      <c r="K4" s="23">
        <f>SUMIF(B:B,"西塔台管制席",G:G)+SUMIF(B:B,"东塔台管制席",G:G)</f>
        <v>25.408055555555517</v>
      </c>
      <c r="L4" s="23">
        <f>SUMIF(B:B,"西塔台管制席",H:H)+SUMIF(B:B,"东塔台管制席",H:H)</f>
        <v>14.878333333333313</v>
      </c>
      <c r="M4" s="19"/>
    </row>
    <row r="5" spans="1:16" ht="18.75" x14ac:dyDescent="0.25">
      <c r="A5" s="10">
        <f t="shared" ca="1" si="0"/>
        <v>46113.753781134299</v>
      </c>
      <c r="B5" s="5" t="s">
        <v>75</v>
      </c>
      <c r="C5" s="11">
        <v>0.753773148148148</v>
      </c>
      <c r="D5" s="11" t="s">
        <v>62</v>
      </c>
      <c r="E5" s="11">
        <v>0.83939814814814795</v>
      </c>
      <c r="F5" s="12">
        <f t="shared" si="1"/>
        <v>2.0549999999999988</v>
      </c>
      <c r="G5" s="13">
        <f t="shared" si="2"/>
        <v>2.0549999999999988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28.66222222222223</v>
      </c>
      <c r="K5" s="23">
        <f>SUMIF(B:B,"西塔台协调席",G:G)+SUMIF(B:B,"东塔台协调席",G:G)</f>
        <v>16.499444444444478</v>
      </c>
      <c r="L5" s="23">
        <f>SUMIF(B:B,"西塔台协调席",H:H)+SUMIF(B:B,"东塔台协调席",H:H)</f>
        <v>12.162777777777755</v>
      </c>
      <c r="M5" s="19"/>
    </row>
    <row r="6" spans="1:16" ht="18.75" x14ac:dyDescent="0.25">
      <c r="A6" s="10">
        <f t="shared" ca="1" si="0"/>
        <v>46116.958954745402</v>
      </c>
      <c r="B6" s="5" t="s">
        <v>75</v>
      </c>
      <c r="C6" s="11">
        <v>0.95894675925925899</v>
      </c>
      <c r="D6" s="11" t="s">
        <v>62</v>
      </c>
      <c r="E6" s="11">
        <v>0.103449074074074</v>
      </c>
      <c r="F6" s="12">
        <f t="shared" si="1"/>
        <v>3.4680555555555603</v>
      </c>
      <c r="G6" s="13">
        <f t="shared" si="2"/>
        <v>0.98527777777778436</v>
      </c>
      <c r="H6" s="13">
        <f t="shared" si="3"/>
        <v>2.482777777777776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46117.957574652799</v>
      </c>
      <c r="B7" s="5" t="s">
        <v>75</v>
      </c>
      <c r="C7" s="11">
        <v>0.95756944444444403</v>
      </c>
      <c r="D7" s="11" t="s">
        <v>62</v>
      </c>
      <c r="E7" s="11">
        <v>0.107569444444444</v>
      </c>
      <c r="F7" s="12">
        <f t="shared" si="1"/>
        <v>3.5999999999999992</v>
      </c>
      <c r="G7" s="13">
        <f t="shared" si="2"/>
        <v>1.0183333333333433</v>
      </c>
      <c r="H7" s="13">
        <f t="shared" si="3"/>
        <v>2.5816666666666559</v>
      </c>
      <c r="I7" s="21" t="s">
        <v>67</v>
      </c>
      <c r="J7" s="22">
        <f>SUMIF(B:B,"地面席",F:F)</f>
        <v>2.1925000000000079</v>
      </c>
      <c r="K7" s="23">
        <f>SUMIF(B:B,"地面席",G:G)</f>
        <v>0</v>
      </c>
      <c r="L7" s="23">
        <f>SUMIF(B:B,"地面席",H:H)</f>
        <v>2.1925000000000079</v>
      </c>
      <c r="M7" s="19"/>
    </row>
    <row r="8" spans="1:16" ht="18.75" x14ac:dyDescent="0.25">
      <c r="A8" s="10">
        <f t="shared" ca="1" si="0"/>
        <v>46120.375252546299</v>
      </c>
      <c r="B8" s="5" t="s">
        <v>84</v>
      </c>
      <c r="C8" s="11">
        <v>0.37524305555555598</v>
      </c>
      <c r="D8" s="11" t="s">
        <v>62</v>
      </c>
      <c r="E8" s="11">
        <v>0.528668981481481</v>
      </c>
      <c r="F8" s="12">
        <f t="shared" si="1"/>
        <v>3.6822222222222005</v>
      </c>
      <c r="G8" s="13">
        <f t="shared" si="2"/>
        <v>3.6822222222222005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46120.605970601799</v>
      </c>
      <c r="B9" s="5" t="s">
        <v>84</v>
      </c>
      <c r="C9" s="11">
        <v>0.60596064814814798</v>
      </c>
      <c r="D9" s="11" t="s">
        <v>62</v>
      </c>
      <c r="E9" s="11">
        <v>0.69156249999999997</v>
      </c>
      <c r="F9" s="12">
        <f t="shared" si="1"/>
        <v>2.0544444444444476</v>
      </c>
      <c r="G9" s="13">
        <f t="shared" si="2"/>
        <v>2.0544444444444476</v>
      </c>
      <c r="H9" s="13">
        <f t="shared" si="3"/>
        <v>0</v>
      </c>
      <c r="I9" s="21" t="s">
        <v>69</v>
      </c>
      <c r="J9" s="22">
        <f>SUMIF(B:B,"航班调度席",F:F)</f>
        <v>10.576944444444409</v>
      </c>
      <c r="K9" s="23">
        <f>SUMIF(B:B,"航班调度席",G:G)</f>
        <v>10.576944444444409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46121.3740390046</v>
      </c>
      <c r="B10" s="5" t="s">
        <v>84</v>
      </c>
      <c r="C10" s="11">
        <v>0.374039351851852</v>
      </c>
      <c r="D10" s="11" t="s">
        <v>62</v>
      </c>
      <c r="E10" s="11">
        <v>0.50549768518518501</v>
      </c>
      <c r="F10" s="12">
        <f t="shared" si="1"/>
        <v>3.1549999999999923</v>
      </c>
      <c r="G10" s="13">
        <f t="shared" si="2"/>
        <v>3.1549999999999923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46121.608133564798</v>
      </c>
      <c r="B11" s="5" t="s">
        <v>84</v>
      </c>
      <c r="C11" s="11">
        <v>0.60812500000000003</v>
      </c>
      <c r="D11" s="11" t="s">
        <v>62</v>
      </c>
      <c r="E11" s="11">
        <v>0.67834490740740705</v>
      </c>
      <c r="F11" s="12">
        <f t="shared" si="1"/>
        <v>1.6852777777777685</v>
      </c>
      <c r="G11" s="13">
        <f t="shared" si="2"/>
        <v>1.6852777777777685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46121.958090624998</v>
      </c>
      <c r="B12" s="5" t="s">
        <v>76</v>
      </c>
      <c r="C12" s="11">
        <v>0.958090277777778</v>
      </c>
      <c r="D12" s="11" t="s">
        <v>62</v>
      </c>
      <c r="E12" s="11">
        <v>0.146319444444444</v>
      </c>
      <c r="F12" s="12">
        <f t="shared" si="1"/>
        <v>4.5174999999999841</v>
      </c>
      <c r="G12" s="13">
        <f t="shared" si="2"/>
        <v>1.005833333333328</v>
      </c>
      <c r="H12" s="13">
        <f t="shared" si="3"/>
        <v>3.5116666666666561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46124.502417708303</v>
      </c>
      <c r="B13" s="5" t="s">
        <v>76</v>
      </c>
      <c r="C13" s="11">
        <v>0.50240740740740697</v>
      </c>
      <c r="D13" s="11" t="s">
        <v>62</v>
      </c>
      <c r="E13" s="11">
        <v>0.63329861111111097</v>
      </c>
      <c r="F13" s="12">
        <f t="shared" si="1"/>
        <v>3.1413888888888959</v>
      </c>
      <c r="G13" s="13">
        <f t="shared" si="2"/>
        <v>3.1413888888888959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46124.759332870402</v>
      </c>
      <c r="B14" s="5" t="s">
        <v>75</v>
      </c>
      <c r="C14" s="11">
        <v>0.75932870370370398</v>
      </c>
      <c r="D14" s="11" t="s">
        <v>62</v>
      </c>
      <c r="E14" s="11">
        <v>0.88054398148148105</v>
      </c>
      <c r="F14" s="12">
        <f t="shared" si="1"/>
        <v>2.9091666666666498</v>
      </c>
      <c r="G14" s="13">
        <f t="shared" si="2"/>
        <v>2.9091666666666498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46125.418375115703</v>
      </c>
      <c r="B15" s="5" t="s">
        <v>75</v>
      </c>
      <c r="C15" s="11">
        <v>0.41836805555555601</v>
      </c>
      <c r="D15" s="11" t="s">
        <v>62</v>
      </c>
      <c r="E15" s="11">
        <v>0.51724537037036999</v>
      </c>
      <c r="F15" s="12">
        <f t="shared" si="1"/>
        <v>2.3730555555555357</v>
      </c>
      <c r="G15" s="13">
        <f t="shared" si="2"/>
        <v>2.3730555555555357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46125.6258556713</v>
      </c>
      <c r="B16" s="5" t="s">
        <v>76</v>
      </c>
      <c r="C16" s="11">
        <v>0.62584490740740695</v>
      </c>
      <c r="D16" s="11" t="s">
        <v>62</v>
      </c>
      <c r="E16" s="11">
        <v>0.75601851851851898</v>
      </c>
      <c r="F16" s="12">
        <f t="shared" si="1"/>
        <v>3.1241666666666887</v>
      </c>
      <c r="G16" s="13">
        <f t="shared" si="2"/>
        <v>3.1241666666666887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46125.834267939797</v>
      </c>
      <c r="B17" s="5" t="s">
        <v>75</v>
      </c>
      <c r="C17" s="11">
        <v>0.83425925925925903</v>
      </c>
      <c r="D17" s="11" t="s">
        <v>62</v>
      </c>
      <c r="E17" s="11">
        <v>0.96291666666666698</v>
      </c>
      <c r="F17" s="12">
        <f t="shared" si="1"/>
        <v>3.0877777777777906</v>
      </c>
      <c r="G17" s="13">
        <f t="shared" si="2"/>
        <v>3.0877777777777906</v>
      </c>
      <c r="H17" s="13">
        <f t="shared" si="3"/>
        <v>0</v>
      </c>
      <c r="I17" s="35" t="s">
        <v>78</v>
      </c>
      <c r="J17" s="36">
        <f>J4+J5+J6+J7+J10</f>
        <v>71.141111111111073</v>
      </c>
      <c r="K17" s="37">
        <f>K4+K5+K6+K7+K10</f>
        <v>41.907499999999999</v>
      </c>
      <c r="L17" s="38">
        <f>L4+L5+L6+L7+L10</f>
        <v>29.233611111111074</v>
      </c>
      <c r="M17" s="39"/>
    </row>
    <row r="18" spans="1:13" ht="20.25" x14ac:dyDescent="0.25">
      <c r="A18" s="10">
        <f t="shared" ca="1" si="0"/>
        <v>46126.299312615702</v>
      </c>
      <c r="B18" s="5" t="s">
        <v>76</v>
      </c>
      <c r="C18" s="11">
        <v>0.29930555555555599</v>
      </c>
      <c r="D18" s="11" t="s">
        <v>62</v>
      </c>
      <c r="E18" s="11">
        <v>0.36568287037037001</v>
      </c>
      <c r="F18" s="12">
        <f t="shared" si="1"/>
        <v>1.5930555555555364</v>
      </c>
      <c r="G18" s="13">
        <f t="shared" si="2"/>
        <v>0.77638888888888857</v>
      </c>
      <c r="H18" s="13">
        <f t="shared" si="3"/>
        <v>0.81666666666664778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46128.958580787003</v>
      </c>
      <c r="B19" s="5" t="s">
        <v>81</v>
      </c>
      <c r="C19" s="11">
        <v>0.95857638888888896</v>
      </c>
      <c r="D19" s="11" t="s">
        <v>62</v>
      </c>
      <c r="E19" s="11">
        <v>0.11880787037036999</v>
      </c>
      <c r="F19" s="12">
        <f t="shared" si="1"/>
        <v>3.8455555555555447</v>
      </c>
      <c r="G19" s="13">
        <f t="shared" si="2"/>
        <v>0.99416666666666487</v>
      </c>
      <c r="H19" s="13">
        <f t="shared" si="3"/>
        <v>2.8513888888888799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46130.013907870401</v>
      </c>
      <c r="B20" s="5" t="s">
        <v>73</v>
      </c>
      <c r="C20" s="11">
        <v>1.3946759259259299E-2</v>
      </c>
      <c r="D20" s="11" t="s">
        <v>62</v>
      </c>
      <c r="E20" s="11">
        <v>0.145648148148148</v>
      </c>
      <c r="F20" s="12">
        <f t="shared" si="1"/>
        <v>3.1608333333333283</v>
      </c>
      <c r="G20" s="13">
        <f t="shared" si="2"/>
        <v>0</v>
      </c>
      <c r="H20" s="13">
        <f t="shared" si="3"/>
        <v>3.1608333333333283</v>
      </c>
      <c r="I20" s="40" t="s">
        <v>80</v>
      </c>
      <c r="J20" s="65">
        <f>J16+J17+J18+J19</f>
        <v>71.141111111111073</v>
      </c>
      <c r="K20" s="66"/>
      <c r="L20" s="67"/>
      <c r="M20" s="41"/>
    </row>
    <row r="21" spans="1:13" ht="20.25" x14ac:dyDescent="0.25">
      <c r="A21" s="10">
        <f t="shared" ca="1" si="0"/>
        <v>46133.140966898201</v>
      </c>
      <c r="B21" s="5" t="s">
        <v>73</v>
      </c>
      <c r="C21" s="11">
        <v>0.14096064814814799</v>
      </c>
      <c r="D21" s="11" t="s">
        <v>62</v>
      </c>
      <c r="E21" s="11">
        <v>0.22930555555555601</v>
      </c>
      <c r="F21" s="12">
        <f t="shared" si="1"/>
        <v>2.1202777777777926</v>
      </c>
      <c r="G21" s="13">
        <f t="shared" si="2"/>
        <v>0</v>
      </c>
      <c r="H21" s="13">
        <f t="shared" si="3"/>
        <v>2.1202777777777926</v>
      </c>
      <c r="I21" s="42" t="s">
        <v>4</v>
      </c>
      <c r="J21" s="43">
        <f>SUM(J8:J9)</f>
        <v>10.576944444444409</v>
      </c>
      <c r="K21" s="37">
        <f>SUM(K8:K9)</f>
        <v>10.576944444444409</v>
      </c>
      <c r="L21" s="38">
        <f>SUM(L8:L9)</f>
        <v>0</v>
      </c>
      <c r="M21" s="44"/>
    </row>
    <row r="22" spans="1:13" ht="18.75" x14ac:dyDescent="0.15">
      <c r="A22" s="10">
        <f t="shared" ca="1" si="0"/>
        <v>46133.229346527798</v>
      </c>
      <c r="B22" s="5" t="s">
        <v>76</v>
      </c>
      <c r="C22" s="11">
        <v>0.22934027777777799</v>
      </c>
      <c r="D22" s="11" t="s">
        <v>62</v>
      </c>
      <c r="E22" s="11">
        <v>0.30556712962963001</v>
      </c>
      <c r="F22" s="12">
        <f t="shared" si="1"/>
        <v>1.8294444444444484</v>
      </c>
      <c r="G22" s="13">
        <f t="shared" si="2"/>
        <v>0</v>
      </c>
      <c r="H22" s="13">
        <f t="shared" si="3"/>
        <v>1.8294444444444484</v>
      </c>
      <c r="I22"/>
      <c r="J22"/>
    </row>
    <row r="23" spans="1:13" ht="18.75" x14ac:dyDescent="0.15">
      <c r="A23" s="10">
        <f t="shared" ca="1" si="0"/>
        <v>46134.139152430602</v>
      </c>
      <c r="B23" s="5" t="s">
        <v>82</v>
      </c>
      <c r="C23" s="11">
        <v>0.139143518518518</v>
      </c>
      <c r="D23" s="11" t="s">
        <v>62</v>
      </c>
      <c r="E23" s="11">
        <v>0.23049768518518499</v>
      </c>
      <c r="F23" s="12">
        <f t="shared" si="1"/>
        <v>2.1925000000000079</v>
      </c>
      <c r="G23" s="13">
        <f t="shared" si="2"/>
        <v>0</v>
      </c>
      <c r="H23" s="13">
        <f t="shared" si="3"/>
        <v>2.1925000000000079</v>
      </c>
      <c r="I23"/>
      <c r="J23"/>
    </row>
    <row r="24" spans="1:13" ht="18.75" x14ac:dyDescent="0.15">
      <c r="A24" s="10">
        <f t="shared" ca="1" si="0"/>
        <v>46136.3544988426</v>
      </c>
      <c r="B24" s="5" t="s">
        <v>75</v>
      </c>
      <c r="C24" s="11">
        <v>0.35449074074074099</v>
      </c>
      <c r="D24" s="11" t="s">
        <v>62</v>
      </c>
      <c r="E24" s="11">
        <v>0.50912037037036995</v>
      </c>
      <c r="F24" s="12">
        <f t="shared" si="1"/>
        <v>3.7111111111110948</v>
      </c>
      <c r="G24" s="13">
        <f t="shared" si="2"/>
        <v>3.7111111111110948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46136.626045486097</v>
      </c>
      <c r="B25" s="5" t="s">
        <v>76</v>
      </c>
      <c r="C25" s="11">
        <v>0.62604166666666705</v>
      </c>
      <c r="D25" s="11" t="s">
        <v>62</v>
      </c>
      <c r="E25" s="11">
        <v>0.75910879629629602</v>
      </c>
      <c r="F25" s="12">
        <f t="shared" si="1"/>
        <v>3.1936111111110952</v>
      </c>
      <c r="G25" s="13">
        <f t="shared" si="2"/>
        <v>3.1936111111110952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46136.876486921297</v>
      </c>
      <c r="B26" s="5" t="s">
        <v>75</v>
      </c>
      <c r="C26" s="11">
        <v>0.87648148148148097</v>
      </c>
      <c r="D26" s="11" t="s">
        <v>62</v>
      </c>
      <c r="E26" s="11">
        <v>0.96491898148148103</v>
      </c>
      <c r="F26" s="12">
        <f t="shared" si="1"/>
        <v>2.1225000000000014</v>
      </c>
      <c r="G26" s="13">
        <f t="shared" si="2"/>
        <v>2.1225000000000014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46137.299586458299</v>
      </c>
      <c r="B27" s="5" t="s">
        <v>76</v>
      </c>
      <c r="C27" s="11">
        <v>0.29958333333333298</v>
      </c>
      <c r="D27" s="11" t="s">
        <v>62</v>
      </c>
      <c r="E27" s="11">
        <v>0.42289351851851897</v>
      </c>
      <c r="F27" s="12">
        <f t="shared" si="1"/>
        <v>2.9594444444444639</v>
      </c>
      <c r="G27" s="13">
        <f t="shared" si="2"/>
        <v>2.1494444444444638</v>
      </c>
      <c r="H27" s="13">
        <f t="shared" si="3"/>
        <v>0.81</v>
      </c>
      <c r="I27"/>
      <c r="J27"/>
    </row>
    <row r="28" spans="1:13" ht="18.75" x14ac:dyDescent="0.15">
      <c r="A28" s="10">
        <f t="shared" ca="1" si="0"/>
        <v>46137.510268171303</v>
      </c>
      <c r="B28" s="5" t="s">
        <v>75</v>
      </c>
      <c r="C28" s="11">
        <v>0.51026620370370401</v>
      </c>
      <c r="D28" s="11" t="s">
        <v>62</v>
      </c>
      <c r="E28" s="11">
        <v>0.63333333333333297</v>
      </c>
      <c r="F28" s="12">
        <f t="shared" si="1"/>
        <v>2.953611111111095</v>
      </c>
      <c r="G28" s="13">
        <f t="shared" si="2"/>
        <v>2.953611111111095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46140.9582912037</v>
      </c>
      <c r="B29" s="5" t="s">
        <v>73</v>
      </c>
      <c r="C29" s="11">
        <v>0.95828703703703699</v>
      </c>
      <c r="D29" s="11" t="s">
        <v>62</v>
      </c>
      <c r="E29" s="11">
        <v>0.119293981481481</v>
      </c>
      <c r="F29" s="12">
        <f t="shared" si="1"/>
        <v>3.8641666666666565</v>
      </c>
      <c r="G29" s="13">
        <f t="shared" si="2"/>
        <v>1.0011111111111126</v>
      </c>
      <c r="H29" s="13">
        <f t="shared" si="3"/>
        <v>2.8630555555555439</v>
      </c>
      <c r="I29"/>
      <c r="J29"/>
    </row>
    <row r="30" spans="1:13" ht="18.75" x14ac:dyDescent="0.15">
      <c r="A30" s="10">
        <f t="shared" ca="1" si="0"/>
        <v>46142.0143157407</v>
      </c>
      <c r="B30" s="5" t="s">
        <v>81</v>
      </c>
      <c r="C30" s="11">
        <v>1.4305555555555601E-2</v>
      </c>
      <c r="D30" s="11" t="s">
        <v>62</v>
      </c>
      <c r="E30" s="11">
        <v>0.111956018518519</v>
      </c>
      <c r="F30" s="12">
        <f t="shared" si="1"/>
        <v>2.3436111111111213</v>
      </c>
      <c r="G30" s="13">
        <f t="shared" si="2"/>
        <v>0</v>
      </c>
      <c r="H30" s="13">
        <f t="shared" si="3"/>
        <v>2.3436111111111213</v>
      </c>
      <c r="I30"/>
      <c r="J30"/>
    </row>
    <row r="31" spans="1:13" ht="18.75" x14ac:dyDescent="0.15">
      <c r="A31" s="10">
        <f t="shared" ca="1" si="0"/>
        <v>46142.111987037002</v>
      </c>
      <c r="B31" s="5" t="s">
        <v>75</v>
      </c>
      <c r="C31" s="11">
        <v>0.111979166666667</v>
      </c>
      <c r="D31" s="11" t="s">
        <v>62</v>
      </c>
      <c r="E31" s="11">
        <v>0.14680555555555599</v>
      </c>
      <c r="F31" s="12">
        <f t="shared" si="1"/>
        <v>0.83583333333333576</v>
      </c>
      <c r="G31" s="13">
        <f t="shared" si="2"/>
        <v>0</v>
      </c>
      <c r="H31" s="13">
        <f t="shared" si="3"/>
        <v>0.83583333333333576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42"/>
  <sheetViews>
    <sheetView topLeftCell="A10" zoomScale="85" zoomScaleNormal="85" workbookViewId="0">
      <selection activeCell="E36" sqref="E3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46113.074423379599</v>
      </c>
      <c r="B3" s="5" t="s">
        <v>73</v>
      </c>
      <c r="C3" s="11">
        <v>1.1574074074074101E-5</v>
      </c>
      <c r="D3" s="11" t="s">
        <v>62</v>
      </c>
      <c r="E3" s="11">
        <v>0.1459375</v>
      </c>
      <c r="F3" s="12">
        <f t="shared" ref="F3:F42" si="1">(IF(E3-C3&lt;0,"24:00"-C3+E3,E3-C3))*24</f>
        <v>3.5022222222222226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3.5022222222222226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46113.772386111101</v>
      </c>
      <c r="B4" s="5" t="s">
        <v>76</v>
      </c>
      <c r="C4" s="11">
        <v>0.77168981481481502</v>
      </c>
      <c r="D4" s="11" t="s">
        <v>62</v>
      </c>
      <c r="E4" s="11">
        <v>0.88124999999999998</v>
      </c>
      <c r="F4" s="12">
        <f t="shared" si="1"/>
        <v>2.6294444444444389</v>
      </c>
      <c r="G4" s="13">
        <f t="shared" si="2"/>
        <v>2.6294444444444389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44.000277777777768</v>
      </c>
      <c r="K4" s="23">
        <f>SUMIF(B:B,"西塔台管制席",G:G)+SUMIF(B:B,"东塔台管制席",G:G)</f>
        <v>22.449444444444463</v>
      </c>
      <c r="L4" s="23">
        <f>SUMIF(B:B,"西塔台管制席",H:H)+SUMIF(B:B,"东塔台管制席",H:H)</f>
        <v>21.550833333333308</v>
      </c>
      <c r="M4" s="19"/>
    </row>
    <row r="5" spans="1:16" ht="18.75" x14ac:dyDescent="0.25">
      <c r="A5" s="10">
        <f t="shared" ca="1" si="0"/>
        <v>46114.1369702546</v>
      </c>
      <c r="B5" s="5" t="s">
        <v>73</v>
      </c>
      <c r="C5" s="11">
        <v>0.136967592592593</v>
      </c>
      <c r="D5" s="11" t="s">
        <v>62</v>
      </c>
      <c r="E5" s="11">
        <v>0.30616898148148097</v>
      </c>
      <c r="F5" s="12">
        <f t="shared" si="1"/>
        <v>4.0608333333333118</v>
      </c>
      <c r="G5" s="13">
        <f t="shared" si="2"/>
        <v>0</v>
      </c>
      <c r="H5" s="13">
        <f t="shared" si="3"/>
        <v>4.0608333333333118</v>
      </c>
      <c r="I5" s="21" t="s">
        <v>65</v>
      </c>
      <c r="J5" s="22">
        <f>SUMIF(B:B,"西塔台协调席",F:F)+SUMIF(B:B,"东塔台协调席",F:F)</f>
        <v>32.699444444444453</v>
      </c>
      <c r="K5" s="23">
        <f>SUMIF(B:B,"西塔台协调席",G:G)+SUMIF(B:B,"东塔台协调席",G:G)</f>
        <v>29.057222222222229</v>
      </c>
      <c r="L5" s="23">
        <f>SUMIF(B:B,"西塔台协调席",H:H)+SUMIF(B:B,"东塔台协调席",H:H)</f>
        <v>3.6422222222222227</v>
      </c>
      <c r="M5" s="19"/>
    </row>
    <row r="6" spans="1:16" ht="18.75" x14ac:dyDescent="0.25">
      <c r="A6" s="10">
        <f t="shared" ca="1" si="0"/>
        <v>46116.352231134297</v>
      </c>
      <c r="B6" s="5" t="s">
        <v>76</v>
      </c>
      <c r="C6" s="11">
        <v>0.35222222222222199</v>
      </c>
      <c r="D6" s="11" t="s">
        <v>62</v>
      </c>
      <c r="E6" s="11">
        <v>0.50765046296296301</v>
      </c>
      <c r="F6" s="12">
        <f t="shared" si="1"/>
        <v>3.7302777777777845</v>
      </c>
      <c r="G6" s="13">
        <f t="shared" si="2"/>
        <v>3.7302777777777845</v>
      </c>
      <c r="H6" s="13">
        <f t="shared" si="3"/>
        <v>0</v>
      </c>
      <c r="I6" s="21" t="s">
        <v>66</v>
      </c>
      <c r="J6" s="22">
        <f>SUMIF(B:B,"放行席",F:F)</f>
        <v>6.2463888888888723</v>
      </c>
      <c r="K6" s="23">
        <f>SUMIF(B:B,"放行席",G:G)</f>
        <v>0</v>
      </c>
      <c r="L6" s="23">
        <f>SUMIF(B:B,"放行席",H:H)</f>
        <v>6.2463888888888723</v>
      </c>
      <c r="M6" s="19"/>
    </row>
    <row r="7" spans="1:16" ht="18.75" x14ac:dyDescent="0.25">
      <c r="A7" s="10">
        <f t="shared" ca="1" si="0"/>
        <v>46116.646383333296</v>
      </c>
      <c r="B7" s="5" t="s">
        <v>75</v>
      </c>
      <c r="C7" s="11">
        <v>0.64637731481481497</v>
      </c>
      <c r="D7" s="11" t="s">
        <v>62</v>
      </c>
      <c r="E7" s="11">
        <v>0.75534722222222195</v>
      </c>
      <c r="F7" s="12">
        <f t="shared" si="1"/>
        <v>2.6152777777777674</v>
      </c>
      <c r="G7" s="13">
        <f t="shared" si="2"/>
        <v>2.6152777777777674</v>
      </c>
      <c r="H7" s="13">
        <f t="shared" si="3"/>
        <v>0</v>
      </c>
      <c r="I7" s="21" t="s">
        <v>67</v>
      </c>
      <c r="J7" s="22">
        <f>SUMIF(B:B,"地面席",F:F)</f>
        <v>2.4241666666666557</v>
      </c>
      <c r="K7" s="23">
        <f>SUMIF(B:B,"地面席",G:G)</f>
        <v>0</v>
      </c>
      <c r="L7" s="23">
        <f>SUMIF(B:B,"地面席",H:H)</f>
        <v>2.4241666666666557</v>
      </c>
      <c r="M7" s="19"/>
    </row>
    <row r="8" spans="1:16" ht="18.75" x14ac:dyDescent="0.25">
      <c r="A8" s="10">
        <f t="shared" ca="1" si="0"/>
        <v>46116.875949074099</v>
      </c>
      <c r="B8" s="5" t="s">
        <v>76</v>
      </c>
      <c r="C8" s="11">
        <v>0.87594907407407396</v>
      </c>
      <c r="D8" s="11" t="s">
        <v>62</v>
      </c>
      <c r="E8" s="11">
        <v>0.96278935185185199</v>
      </c>
      <c r="F8" s="12">
        <f t="shared" si="1"/>
        <v>2.0841666666666727</v>
      </c>
      <c r="G8" s="13">
        <f t="shared" si="2"/>
        <v>2.0841666666666727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46117.298802199097</v>
      </c>
      <c r="B9" s="5" t="s">
        <v>73</v>
      </c>
      <c r="C9" s="11">
        <v>0.298796296296296</v>
      </c>
      <c r="D9" s="11" t="s">
        <v>62</v>
      </c>
      <c r="E9" s="11">
        <v>0.42207175925925899</v>
      </c>
      <c r="F9" s="12">
        <f t="shared" si="1"/>
        <v>2.9586111111111117</v>
      </c>
      <c r="G9" s="13">
        <f t="shared" si="2"/>
        <v>2.1297222222222243</v>
      </c>
      <c r="H9" s="13">
        <f t="shared" si="3"/>
        <v>0.82888888888888745</v>
      </c>
      <c r="I9" s="21" t="s">
        <v>69</v>
      </c>
      <c r="J9" s="22">
        <f>SUMIF(B:B,"航班调度席",F:F)</f>
        <v>2.0294444444444637</v>
      </c>
      <c r="K9" s="23">
        <f>SUMIF(B:B,"航班调度席",G:G)</f>
        <v>2.0294444444444637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46117.508354513899</v>
      </c>
      <c r="B10" s="5" t="s">
        <v>81</v>
      </c>
      <c r="C10" s="11">
        <v>0.50834490740740701</v>
      </c>
      <c r="D10" s="11" t="s">
        <v>62</v>
      </c>
      <c r="E10" s="11">
        <v>0.631122685185185</v>
      </c>
      <c r="F10" s="12">
        <f t="shared" si="1"/>
        <v>2.9466666666666717</v>
      </c>
      <c r="G10" s="13">
        <f t="shared" si="2"/>
        <v>2.9466666666666717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46121.132948495397</v>
      </c>
      <c r="B11" s="5" t="s">
        <v>83</v>
      </c>
      <c r="C11" s="11">
        <v>0.13293981481481501</v>
      </c>
      <c r="D11" s="11" t="s">
        <v>62</v>
      </c>
      <c r="E11" s="11">
        <v>0.29878472222222202</v>
      </c>
      <c r="F11" s="12">
        <f t="shared" si="1"/>
        <v>3.9802777777777685</v>
      </c>
      <c r="G11" s="13">
        <f t="shared" si="2"/>
        <v>0</v>
      </c>
      <c r="H11" s="13">
        <f t="shared" si="3"/>
        <v>3.9802777777777685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46121.983006365699</v>
      </c>
      <c r="B12" s="5" t="s">
        <v>75</v>
      </c>
      <c r="C12" s="11">
        <v>0.95834490740740697</v>
      </c>
      <c r="D12" s="11" t="s">
        <v>62</v>
      </c>
      <c r="E12" s="11">
        <v>0.13888888888888901</v>
      </c>
      <c r="F12" s="12">
        <f t="shared" si="1"/>
        <v>4.3330555555555694</v>
      </c>
      <c r="G12" s="13">
        <f t="shared" si="2"/>
        <v>0.99972222222223328</v>
      </c>
      <c r="H12" s="13">
        <f t="shared" si="3"/>
        <v>3.3333333333333361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46125.135747800901</v>
      </c>
      <c r="B13" s="5" t="s">
        <v>82</v>
      </c>
      <c r="C13" s="11">
        <v>0.135775462962963</v>
      </c>
      <c r="D13" s="11" t="s">
        <v>62</v>
      </c>
      <c r="E13" s="11">
        <v>0.236782407407407</v>
      </c>
      <c r="F13" s="12">
        <f t="shared" si="1"/>
        <v>2.4241666666666557</v>
      </c>
      <c r="G13" s="13">
        <f t="shared" si="2"/>
        <v>0</v>
      </c>
      <c r="H13" s="13">
        <f t="shared" si="3"/>
        <v>2.4241666666666557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46125.236760416701</v>
      </c>
      <c r="B14" s="5" t="s">
        <v>75</v>
      </c>
      <c r="C14" s="11">
        <v>0.23679398148148101</v>
      </c>
      <c r="D14" s="11" t="s">
        <v>62</v>
      </c>
      <c r="E14" s="11">
        <v>0.30533564814814801</v>
      </c>
      <c r="F14" s="12">
        <f t="shared" si="1"/>
        <v>1.645000000000008</v>
      </c>
      <c r="G14" s="13">
        <f t="shared" si="2"/>
        <v>0</v>
      </c>
      <c r="H14" s="13">
        <f t="shared" si="3"/>
        <v>1.645000000000008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46126.134067129598</v>
      </c>
      <c r="B15" s="5" t="s">
        <v>83</v>
      </c>
      <c r="C15" s="11">
        <v>0.13267361111111101</v>
      </c>
      <c r="D15" s="11" t="s">
        <v>62</v>
      </c>
      <c r="E15" s="11">
        <v>0.22709490740740701</v>
      </c>
      <c r="F15" s="12">
        <f t="shared" si="1"/>
        <v>2.2661111111111039</v>
      </c>
      <c r="G15" s="13">
        <f t="shared" si="2"/>
        <v>0</v>
      </c>
      <c r="H15" s="13">
        <f t="shared" si="3"/>
        <v>2.2661111111111039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46128.506433564798</v>
      </c>
      <c r="B16" s="5" t="s">
        <v>81</v>
      </c>
      <c r="C16" s="11">
        <v>0.50642361111111101</v>
      </c>
      <c r="D16" s="11" t="s">
        <v>62</v>
      </c>
      <c r="E16" s="11">
        <v>0.651481481481481</v>
      </c>
      <c r="F16" s="12">
        <f t="shared" si="1"/>
        <v>3.4813888888888798</v>
      </c>
      <c r="G16" s="13">
        <f t="shared" si="2"/>
        <v>3.4813888888888798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46128.754024768503</v>
      </c>
      <c r="B17" s="5" t="s">
        <v>73</v>
      </c>
      <c r="C17" s="11">
        <v>0.75401620370370404</v>
      </c>
      <c r="D17" s="11" t="s">
        <v>62</v>
      </c>
      <c r="E17" s="11">
        <v>0.882118055555556</v>
      </c>
      <c r="F17" s="12">
        <f t="shared" si="1"/>
        <v>3.0744444444444472</v>
      </c>
      <c r="G17" s="13">
        <f t="shared" si="2"/>
        <v>3.0744444444444472</v>
      </c>
      <c r="H17" s="13">
        <f t="shared" si="3"/>
        <v>0</v>
      </c>
      <c r="I17" s="35" t="s">
        <v>78</v>
      </c>
      <c r="J17" s="36">
        <f>J4+J5+J6+J7+J10</f>
        <v>85.370277777777744</v>
      </c>
      <c r="K17" s="37">
        <f>K4+K5+K6+K7+K10</f>
        <v>51.506666666666689</v>
      </c>
      <c r="L17" s="38">
        <f>L4+L5+L6+L7+L10</f>
        <v>33.863611111111062</v>
      </c>
      <c r="M17" s="39"/>
    </row>
    <row r="18" spans="1:13" ht="20.25" x14ac:dyDescent="0.25">
      <c r="A18" s="10">
        <f t="shared" ca="1" si="0"/>
        <v>46129.417100462997</v>
      </c>
      <c r="B18" s="5" t="s">
        <v>76</v>
      </c>
      <c r="C18" s="11">
        <v>0.41709490740740701</v>
      </c>
      <c r="D18" s="11" t="s">
        <v>62</v>
      </c>
      <c r="E18" s="11">
        <v>0.50607638888888895</v>
      </c>
      <c r="F18" s="12">
        <f t="shared" si="1"/>
        <v>2.1355555555555665</v>
      </c>
      <c r="G18" s="13">
        <f t="shared" si="2"/>
        <v>2.1355555555555665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46129.624028240702</v>
      </c>
      <c r="B19" s="5" t="s">
        <v>75</v>
      </c>
      <c r="C19" s="11">
        <v>0.62402777777777796</v>
      </c>
      <c r="D19" s="11" t="s">
        <v>62</v>
      </c>
      <c r="E19" s="11">
        <v>0.75528935185185198</v>
      </c>
      <c r="F19" s="12">
        <f t="shared" si="1"/>
        <v>3.1502777777777764</v>
      </c>
      <c r="G19" s="13">
        <f t="shared" si="2"/>
        <v>3.1502777777777764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46129.8333824074</v>
      </c>
      <c r="B20" s="5" t="s">
        <v>76</v>
      </c>
      <c r="C20" s="11">
        <v>0.83337962962962997</v>
      </c>
      <c r="D20" s="11" t="s">
        <v>62</v>
      </c>
      <c r="E20" s="11">
        <v>0.96579861111111098</v>
      </c>
      <c r="F20" s="12">
        <f t="shared" si="1"/>
        <v>3.1780555555555443</v>
      </c>
      <c r="G20" s="13">
        <f t="shared" si="2"/>
        <v>3.1780555555555443</v>
      </c>
      <c r="H20" s="13">
        <f t="shared" si="3"/>
        <v>0</v>
      </c>
      <c r="I20" s="40" t="s">
        <v>80</v>
      </c>
      <c r="J20" s="65">
        <f>J16+J17+J18+J19</f>
        <v>85.370277777777744</v>
      </c>
      <c r="K20" s="66"/>
      <c r="L20" s="67"/>
      <c r="M20" s="41"/>
    </row>
    <row r="21" spans="1:13" ht="20.25" x14ac:dyDescent="0.25">
      <c r="A21" s="10">
        <f t="shared" ca="1" si="0"/>
        <v>46130.298882986099</v>
      </c>
      <c r="B21" s="5" t="s">
        <v>73</v>
      </c>
      <c r="C21" s="11">
        <v>0.298877314814815</v>
      </c>
      <c r="D21" s="11" t="s">
        <v>62</v>
      </c>
      <c r="E21" s="11">
        <v>0.36736111111111103</v>
      </c>
      <c r="F21" s="12">
        <f t="shared" si="1"/>
        <v>1.6436111111111047</v>
      </c>
      <c r="G21" s="13">
        <f t="shared" si="2"/>
        <v>0.81666666666667309</v>
      </c>
      <c r="H21" s="13">
        <f t="shared" si="3"/>
        <v>0.8269444444444316</v>
      </c>
      <c r="I21" s="42" t="s">
        <v>4</v>
      </c>
      <c r="J21" s="43">
        <f>SUM(J8:J9)</f>
        <v>2.0294444444444637</v>
      </c>
      <c r="K21" s="37">
        <f>SUM(K8:K9)</f>
        <v>2.0294444444444637</v>
      </c>
      <c r="L21" s="38">
        <f>SUM(L8:L9)</f>
        <v>0</v>
      </c>
      <c r="M21" s="44"/>
    </row>
    <row r="22" spans="1:13" ht="18.75" x14ac:dyDescent="0.15">
      <c r="A22" s="10">
        <f t="shared" ca="1" si="0"/>
        <v>46130.376006365703</v>
      </c>
      <c r="B22" s="5" t="s">
        <v>84</v>
      </c>
      <c r="C22" s="11">
        <v>0.37599537037037001</v>
      </c>
      <c r="D22" s="11" t="s">
        <v>62</v>
      </c>
      <c r="E22" s="11">
        <v>0.460555555555556</v>
      </c>
      <c r="F22" s="12">
        <f t="shared" si="1"/>
        <v>2.0294444444444637</v>
      </c>
      <c r="G22" s="13">
        <f t="shared" si="2"/>
        <v>2.0294444444444637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46132.958707175902</v>
      </c>
      <c r="B23" s="5" t="s">
        <v>75</v>
      </c>
      <c r="C23" s="11">
        <v>0.95870370370370395</v>
      </c>
      <c r="D23" s="11" t="s">
        <v>62</v>
      </c>
      <c r="E23" s="11">
        <v>0.126215277777778</v>
      </c>
      <c r="F23" s="12">
        <f t="shared" si="1"/>
        <v>4.0202777777777774</v>
      </c>
      <c r="G23" s="13">
        <f t="shared" si="2"/>
        <v>0.99111111111110528</v>
      </c>
      <c r="H23" s="13">
        <f t="shared" si="3"/>
        <v>3.0291666666666721</v>
      </c>
      <c r="I23"/>
      <c r="J23"/>
    </row>
    <row r="24" spans="1:13" ht="18.75" x14ac:dyDescent="0.15">
      <c r="A24" s="10">
        <f t="shared" ca="1" si="0"/>
        <v>46133.753602430603</v>
      </c>
      <c r="B24" s="5" t="s">
        <v>75</v>
      </c>
      <c r="C24" s="11">
        <v>0.75359953703703697</v>
      </c>
      <c r="D24" s="11" t="s">
        <v>62</v>
      </c>
      <c r="E24" s="11">
        <v>0.83922453703703703</v>
      </c>
      <c r="F24" s="12">
        <f t="shared" si="1"/>
        <v>2.0550000000000015</v>
      </c>
      <c r="G24" s="13">
        <f t="shared" si="2"/>
        <v>2.0550000000000015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46134.013856018501</v>
      </c>
      <c r="B25" s="5" t="s">
        <v>81</v>
      </c>
      <c r="C25" s="11">
        <v>1.38541666666667E-2</v>
      </c>
      <c r="D25" s="11" t="s">
        <v>62</v>
      </c>
      <c r="E25" s="11">
        <v>0.112638888888889</v>
      </c>
      <c r="F25" s="12">
        <f t="shared" si="1"/>
        <v>2.3708333333333353</v>
      </c>
      <c r="G25" s="13">
        <f t="shared" si="2"/>
        <v>0</v>
      </c>
      <c r="H25" s="13">
        <f t="shared" si="3"/>
        <v>2.3708333333333353</v>
      </c>
      <c r="I25"/>
      <c r="J25"/>
    </row>
    <row r="26" spans="1:13" ht="18.75" x14ac:dyDescent="0.15">
      <c r="A26" s="10">
        <f t="shared" ca="1" si="0"/>
        <v>46134.112804050899</v>
      </c>
      <c r="B26" s="5" t="s">
        <v>75</v>
      </c>
      <c r="C26" s="11">
        <v>0.112685185185185</v>
      </c>
      <c r="D26" s="11" t="s">
        <v>62</v>
      </c>
      <c r="E26" s="11">
        <v>0.14638888888888901</v>
      </c>
      <c r="F26" s="12">
        <f t="shared" si="1"/>
        <v>0.80888888888889632</v>
      </c>
      <c r="G26" s="13">
        <f t="shared" si="2"/>
        <v>0</v>
      </c>
      <c r="H26" s="13">
        <f t="shared" si="3"/>
        <v>0.80888888888889632</v>
      </c>
      <c r="I26"/>
      <c r="J26"/>
    </row>
    <row r="27" spans="1:13" ht="18.75" x14ac:dyDescent="0.15">
      <c r="A27" s="10">
        <f t="shared" ca="1" si="0"/>
        <v>46137.138175</v>
      </c>
      <c r="B27" s="5" t="s">
        <v>73</v>
      </c>
      <c r="C27" s="11">
        <v>0.13817129629629599</v>
      </c>
      <c r="D27" s="11" t="s">
        <v>62</v>
      </c>
      <c r="E27" s="11">
        <v>0.25190972222222202</v>
      </c>
      <c r="F27" s="12">
        <f t="shared" si="1"/>
        <v>2.7297222222222248</v>
      </c>
      <c r="G27" s="13">
        <f t="shared" si="2"/>
        <v>0</v>
      </c>
      <c r="H27" s="13">
        <f t="shared" si="3"/>
        <v>2.7297222222222248</v>
      </c>
      <c r="I27"/>
      <c r="J27"/>
    </row>
    <row r="28" spans="1:13" ht="18.75" x14ac:dyDescent="0.15">
      <c r="A28" s="10">
        <f t="shared" ca="1" si="0"/>
        <v>46137.251952893501</v>
      </c>
      <c r="B28" s="5" t="s">
        <v>76</v>
      </c>
      <c r="C28" s="11">
        <v>0.25194444444444403</v>
      </c>
      <c r="D28" s="11" t="s">
        <v>62</v>
      </c>
      <c r="E28" s="11">
        <v>0.304918981481481</v>
      </c>
      <c r="F28" s="12">
        <f t="shared" si="1"/>
        <v>1.2713888888888873</v>
      </c>
      <c r="G28" s="13">
        <f t="shared" si="2"/>
        <v>0</v>
      </c>
      <c r="H28" s="13">
        <f t="shared" si="3"/>
        <v>1.2713888888888873</v>
      </c>
      <c r="I28"/>
      <c r="J28"/>
    </row>
    <row r="29" spans="1:13" ht="18.75" x14ac:dyDescent="0.15">
      <c r="A29" s="10">
        <f t="shared" ca="1" si="0"/>
        <v>46140.356098958298</v>
      </c>
      <c r="B29" s="5" t="s">
        <v>81</v>
      </c>
      <c r="C29" s="11">
        <v>0.35608796296296302</v>
      </c>
      <c r="D29" s="11" t="s">
        <v>62</v>
      </c>
      <c r="E29" s="11">
        <v>0.50493055555555599</v>
      </c>
      <c r="F29" s="12">
        <f t="shared" si="1"/>
        <v>3.5722222222222313</v>
      </c>
      <c r="G29" s="13">
        <f t="shared" si="2"/>
        <v>3.5722222222222313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46140.648571296297</v>
      </c>
      <c r="B30" s="5" t="s">
        <v>73</v>
      </c>
      <c r="C30" s="11">
        <v>0.64856481481481498</v>
      </c>
      <c r="D30" s="11" t="s">
        <v>62</v>
      </c>
      <c r="E30" s="11">
        <v>0.75456018518518497</v>
      </c>
      <c r="F30" s="12">
        <f t="shared" si="1"/>
        <v>2.5438888888888798</v>
      </c>
      <c r="G30" s="13">
        <f t="shared" si="2"/>
        <v>2.5438888888888798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46140.8754738426</v>
      </c>
      <c r="B31" s="5" t="s">
        <v>81</v>
      </c>
      <c r="C31" s="11">
        <v>0.875462962962963</v>
      </c>
      <c r="D31" s="11" t="s">
        <v>62</v>
      </c>
      <c r="E31" s="11">
        <v>0.96710648148148104</v>
      </c>
      <c r="F31" s="12">
        <f t="shared" si="1"/>
        <v>2.199444444444433</v>
      </c>
      <c r="G31" s="13">
        <f t="shared" si="2"/>
        <v>2.199444444444433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46141.300600578703</v>
      </c>
      <c r="B32" s="5" t="s">
        <v>75</v>
      </c>
      <c r="C32" s="11">
        <v>0.30059027777777803</v>
      </c>
      <c r="D32" s="11" t="s">
        <v>62</v>
      </c>
      <c r="E32" s="11">
        <v>0.41472222222222199</v>
      </c>
      <c r="F32" s="12">
        <f t="shared" si="1"/>
        <v>2.7391666666666552</v>
      </c>
      <c r="G32" s="13">
        <f t="shared" si="2"/>
        <v>1.9533333333333363</v>
      </c>
      <c r="H32" s="13">
        <f t="shared" si="3"/>
        <v>0.78583333333331895</v>
      </c>
      <c r="I32"/>
      <c r="J32"/>
    </row>
    <row r="33" spans="1:11" ht="18.75" x14ac:dyDescent="0.15">
      <c r="A33" s="10">
        <f t="shared" ca="1" si="0"/>
        <v>46141.507645138903</v>
      </c>
      <c r="B33" s="5" t="s">
        <v>76</v>
      </c>
      <c r="C33" s="11">
        <v>0.50763888888888897</v>
      </c>
      <c r="D33" s="11" t="s">
        <v>62</v>
      </c>
      <c r="E33" s="11">
        <v>0.63680555555555596</v>
      </c>
      <c r="F33" s="12">
        <f t="shared" si="1"/>
        <v>3.1000000000000076</v>
      </c>
      <c r="G33" s="13">
        <f t="shared" si="2"/>
        <v>3.1000000000000076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46141.753317476898</v>
      </c>
      <c r="B34" s="5" t="s">
        <v>75</v>
      </c>
      <c r="C34" s="11">
        <v>0.753310185185185</v>
      </c>
      <c r="D34" s="11" t="s">
        <v>62</v>
      </c>
      <c r="E34" s="11">
        <v>0.84164351851851904</v>
      </c>
      <c r="F34" s="12">
        <f t="shared" si="1"/>
        <v>2.120000000000017</v>
      </c>
      <c r="G34" s="13">
        <f t="shared" si="2"/>
        <v>2.120000000000017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42"/>
  <sheetViews>
    <sheetView topLeftCell="A10" zoomScale="85" zoomScaleNormal="85" workbookViewId="0">
      <selection activeCell="E32" sqref="E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46113.376902083299</v>
      </c>
      <c r="B3" s="5" t="s">
        <v>84</v>
      </c>
      <c r="C3" s="11">
        <v>0.37689814814814798</v>
      </c>
      <c r="D3" s="11" t="s">
        <v>62</v>
      </c>
      <c r="E3" s="11">
        <v>0.47976851851851898</v>
      </c>
      <c r="F3" s="12">
        <f t="shared" ref="F3:F42" si="1">(IF(E3-C3&lt;0,"24:00"-C3+E3,E3-C3))*24</f>
        <v>2.468888888888904</v>
      </c>
      <c r="G3" s="13">
        <f t="shared" ref="G3:G42" si="2">F3-H3</f>
        <v>2.468888888888904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46113.5245618056</v>
      </c>
      <c r="B4" s="5" t="s">
        <v>84</v>
      </c>
      <c r="C4" s="11">
        <v>0.52456018518518499</v>
      </c>
      <c r="D4" s="11" t="s">
        <v>62</v>
      </c>
      <c r="E4" s="11">
        <v>0.67812499999999998</v>
      </c>
      <c r="F4" s="12">
        <f t="shared" si="1"/>
        <v>3.6855555555555597</v>
      </c>
      <c r="G4" s="13">
        <f t="shared" si="2"/>
        <v>3.6855555555555597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34.37222222222222</v>
      </c>
      <c r="K4" s="23">
        <f>SUMIF(B:B,"西塔台管制席",G:G)+SUMIF(B:B,"东塔台管制席",G:G)</f>
        <v>15.437500000000004</v>
      </c>
      <c r="L4" s="23">
        <f>SUMIF(B:B,"西塔台管制席",H:H)+SUMIF(B:B,"东塔台管制席",H:H)</f>
        <v>18.934722222222216</v>
      </c>
      <c r="M4" s="19"/>
    </row>
    <row r="5" spans="1:16" ht="18.75" x14ac:dyDescent="0.25">
      <c r="A5" s="10">
        <f t="shared" ca="1" si="0"/>
        <v>46117.015615162003</v>
      </c>
      <c r="B5" s="5" t="s">
        <v>73</v>
      </c>
      <c r="C5" s="11">
        <v>1.56134259259259E-2</v>
      </c>
      <c r="D5" s="11" t="s">
        <v>62</v>
      </c>
      <c r="E5" s="11">
        <v>0.144224537037037</v>
      </c>
      <c r="F5" s="12">
        <f t="shared" si="1"/>
        <v>3.086666666666666</v>
      </c>
      <c r="G5" s="13">
        <f t="shared" si="2"/>
        <v>0</v>
      </c>
      <c r="H5" s="13">
        <f t="shared" si="3"/>
        <v>3.086666666666666</v>
      </c>
      <c r="I5" s="21" t="s">
        <v>65</v>
      </c>
      <c r="J5" s="22">
        <f>SUMIF(B:B,"西塔台协调席",F:F)+SUMIF(B:B,"东塔台协调席",F:F)</f>
        <v>23.925277777777787</v>
      </c>
      <c r="K5" s="23">
        <f>SUMIF(B:B,"西塔台协调席",G:G)+SUMIF(B:B,"东塔台协调席",G:G)</f>
        <v>18.627777777777794</v>
      </c>
      <c r="L5" s="23">
        <f>SUMIF(B:B,"西塔台协调席",H:H)+SUMIF(B:B,"东塔台协调席",H:H)</f>
        <v>5.2974999999999905</v>
      </c>
      <c r="M5" s="19"/>
    </row>
    <row r="6" spans="1:16" ht="18.75" x14ac:dyDescent="0.25">
      <c r="A6" s="10">
        <f t="shared" ca="1" si="0"/>
        <v>46118.015042939798</v>
      </c>
      <c r="B6" s="5" t="s">
        <v>81</v>
      </c>
      <c r="C6" s="11">
        <v>1.5034722222222199E-2</v>
      </c>
      <c r="D6" s="11" t="s">
        <v>62</v>
      </c>
      <c r="E6" s="11">
        <v>0.101400462962963</v>
      </c>
      <c r="F6" s="12">
        <f t="shared" si="1"/>
        <v>2.0727777777777794</v>
      </c>
      <c r="G6" s="13">
        <f t="shared" si="2"/>
        <v>0</v>
      </c>
      <c r="H6" s="13">
        <f t="shared" si="3"/>
        <v>2.0727777777777794</v>
      </c>
      <c r="I6" s="21" t="s">
        <v>66</v>
      </c>
      <c r="J6" s="22">
        <f>SUMIF(B:B,"放行席",F:F)</f>
        <v>2.1936111111111121</v>
      </c>
      <c r="K6" s="23">
        <f>SUMIF(B:B,"放行席",G:G)</f>
        <v>0</v>
      </c>
      <c r="L6" s="23">
        <f>SUMIF(B:B,"放行席",H:H)</f>
        <v>2.1936111111111121</v>
      </c>
      <c r="M6" s="19"/>
    </row>
    <row r="7" spans="1:16" ht="18.75" x14ac:dyDescent="0.25">
      <c r="A7" s="10">
        <f t="shared" ca="1" si="0"/>
        <v>46118.101431828698</v>
      </c>
      <c r="B7" s="5" t="s">
        <v>75</v>
      </c>
      <c r="C7" s="11">
        <v>0.10142361111111101</v>
      </c>
      <c r="D7" s="11" t="s">
        <v>62</v>
      </c>
      <c r="E7" s="11">
        <v>0.14450231481481501</v>
      </c>
      <c r="F7" s="12">
        <f t="shared" si="1"/>
        <v>1.0338888888888962</v>
      </c>
      <c r="G7" s="13">
        <f t="shared" si="2"/>
        <v>0</v>
      </c>
      <c r="H7" s="13">
        <f t="shared" si="3"/>
        <v>1.0338888888888962</v>
      </c>
      <c r="I7" s="21" t="s">
        <v>67</v>
      </c>
      <c r="J7" s="22">
        <f>SUMIF(B:B,"地面席",F:F)</f>
        <v>2.1613888888888799</v>
      </c>
      <c r="K7" s="23">
        <f>SUMIF(B:B,"地面席",G:G)</f>
        <v>0</v>
      </c>
      <c r="L7" s="23">
        <f>SUMIF(B:B,"地面席",H:H)</f>
        <v>2.1613888888888799</v>
      </c>
      <c r="M7" s="19"/>
    </row>
    <row r="8" spans="1:16" ht="18.75" x14ac:dyDescent="0.25">
      <c r="A8" s="10">
        <f t="shared" ca="1" si="0"/>
        <v>46121.302636111097</v>
      </c>
      <c r="B8" s="5" t="s">
        <v>75</v>
      </c>
      <c r="C8" s="11">
        <v>0.13943287037037</v>
      </c>
      <c r="D8" s="11" t="s">
        <v>62</v>
      </c>
      <c r="E8" s="11">
        <v>0.30258101851851898</v>
      </c>
      <c r="F8" s="12">
        <f t="shared" si="1"/>
        <v>3.9155555555555757</v>
      </c>
      <c r="G8" s="13">
        <f t="shared" si="2"/>
        <v>0</v>
      </c>
      <c r="H8" s="13">
        <f t="shared" si="3"/>
        <v>3.9155555555555757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46124.355901157403</v>
      </c>
      <c r="B9" s="5" t="s">
        <v>76</v>
      </c>
      <c r="C9" s="11">
        <v>0.35589120370370397</v>
      </c>
      <c r="D9" s="11" t="s">
        <v>62</v>
      </c>
      <c r="E9" s="11">
        <v>0.50908564814814805</v>
      </c>
      <c r="F9" s="12">
        <f t="shared" si="1"/>
        <v>3.6766666666666579</v>
      </c>
      <c r="G9" s="13">
        <f t="shared" si="2"/>
        <v>3.6766666666666579</v>
      </c>
      <c r="H9" s="13">
        <f t="shared" si="3"/>
        <v>0</v>
      </c>
      <c r="I9" s="21" t="s">
        <v>69</v>
      </c>
      <c r="J9" s="22">
        <f>SUMIF(B:B,"航班调度席",F:F)</f>
        <v>6.1544444444444633</v>
      </c>
      <c r="K9" s="23">
        <f>SUMIF(B:B,"航班调度席",G:G)</f>
        <v>6.1544444444444633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46124.625908217597</v>
      </c>
      <c r="B10" s="5" t="s">
        <v>75</v>
      </c>
      <c r="C10" s="11">
        <v>0.62590277777777803</v>
      </c>
      <c r="D10" s="11" t="s">
        <v>62</v>
      </c>
      <c r="E10" s="11">
        <v>0.76387731481481502</v>
      </c>
      <c r="F10" s="12">
        <f t="shared" si="1"/>
        <v>3.3113888888888878</v>
      </c>
      <c r="G10" s="13">
        <f t="shared" si="2"/>
        <v>3.3113888888888878</v>
      </c>
      <c r="H10" s="13">
        <f t="shared" si="3"/>
        <v>0</v>
      </c>
      <c r="I10" s="21" t="s">
        <v>70</v>
      </c>
      <c r="J10" s="22">
        <f>SUMIF(B:B,"综合协调席",F:F)</f>
        <v>0.55722222222220763</v>
      </c>
      <c r="K10" s="23">
        <f>SUMIF(B:B,"综合协调席",G:G)</f>
        <v>0</v>
      </c>
      <c r="L10" s="23">
        <f>SUMIF(B:B,"综合协调席",H:H)</f>
        <v>0.55722222222220763</v>
      </c>
      <c r="M10" s="19"/>
    </row>
    <row r="11" spans="1:16" ht="18.75" x14ac:dyDescent="0.25">
      <c r="A11" s="10">
        <f t="shared" ca="1" si="0"/>
        <v>46124.8767673611</v>
      </c>
      <c r="B11" s="5" t="s">
        <v>76</v>
      </c>
      <c r="C11" s="11">
        <v>0.87675925925925902</v>
      </c>
      <c r="D11" s="11" t="s">
        <v>62</v>
      </c>
      <c r="E11" s="11">
        <v>0.96402777777777804</v>
      </c>
      <c r="F11" s="12">
        <f t="shared" si="1"/>
        <v>2.0944444444444565</v>
      </c>
      <c r="G11" s="13">
        <f t="shared" si="2"/>
        <v>2.0944444444444565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46125.300479166697</v>
      </c>
      <c r="B12" s="5" t="s">
        <v>75</v>
      </c>
      <c r="C12" s="11">
        <v>0.30047453703703703</v>
      </c>
      <c r="D12" s="11" t="s">
        <v>62</v>
      </c>
      <c r="E12" s="11">
        <v>0.42386574074074101</v>
      </c>
      <c r="F12" s="12">
        <f t="shared" si="1"/>
        <v>2.9613888888888957</v>
      </c>
      <c r="G12" s="13">
        <f t="shared" si="2"/>
        <v>2.1727777777777928</v>
      </c>
      <c r="H12" s="13">
        <f t="shared" si="3"/>
        <v>0.78861111111110294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46125.510950810203</v>
      </c>
      <c r="B13" s="5" t="s">
        <v>76</v>
      </c>
      <c r="C13" s="11">
        <v>0.51094907407407397</v>
      </c>
      <c r="D13" s="11" t="s">
        <v>62</v>
      </c>
      <c r="E13" s="11">
        <v>0.63054398148148105</v>
      </c>
      <c r="F13" s="12">
        <f t="shared" si="1"/>
        <v>2.8702777777777699</v>
      </c>
      <c r="G13" s="13">
        <f t="shared" si="2"/>
        <v>2.8702777777777699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46125.764050347199</v>
      </c>
      <c r="B14" s="5" t="s">
        <v>75</v>
      </c>
      <c r="C14" s="11">
        <v>0.76405092592592605</v>
      </c>
      <c r="D14" s="11" t="s">
        <v>62</v>
      </c>
      <c r="E14" s="11">
        <v>0.83902777777777804</v>
      </c>
      <c r="F14" s="12">
        <f t="shared" si="1"/>
        <v>1.7994444444444477</v>
      </c>
      <c r="G14" s="13">
        <f t="shared" si="2"/>
        <v>1.7994444444444477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46129.015554398102</v>
      </c>
      <c r="B15" s="5" t="s">
        <v>76</v>
      </c>
      <c r="C15" s="11">
        <v>1.5543981481481501E-2</v>
      </c>
      <c r="D15" s="11" t="s">
        <v>62</v>
      </c>
      <c r="E15" s="11">
        <v>0.11697916666666699</v>
      </c>
      <c r="F15" s="12">
        <f t="shared" si="1"/>
        <v>2.434444444444452</v>
      </c>
      <c r="G15" s="13">
        <f t="shared" si="2"/>
        <v>0</v>
      </c>
      <c r="H15" s="13">
        <f t="shared" si="3"/>
        <v>2.434444444444452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46129.117008101799</v>
      </c>
      <c r="B16" s="5" t="s">
        <v>73</v>
      </c>
      <c r="C16" s="11">
        <v>0.117002314814815</v>
      </c>
      <c r="D16" s="11" t="s">
        <v>62</v>
      </c>
      <c r="E16" s="11">
        <v>0.144918981481481</v>
      </c>
      <c r="F16" s="12">
        <f t="shared" si="1"/>
        <v>0.66999999999998383</v>
      </c>
      <c r="G16" s="13">
        <f t="shared" si="2"/>
        <v>0</v>
      </c>
      <c r="H16" s="13">
        <f t="shared" si="3"/>
        <v>0.66999999999998383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46129.145054629596</v>
      </c>
      <c r="B17" s="5" t="s">
        <v>85</v>
      </c>
      <c r="C17" s="11">
        <v>0.14527777777777801</v>
      </c>
      <c r="D17" s="11" t="s">
        <v>62</v>
      </c>
      <c r="E17" s="11">
        <v>0.16849537037036999</v>
      </c>
      <c r="F17" s="12">
        <f t="shared" si="1"/>
        <v>0.55722222222220763</v>
      </c>
      <c r="G17" s="13">
        <f t="shared" si="2"/>
        <v>0</v>
      </c>
      <c r="H17" s="13">
        <f t="shared" si="3"/>
        <v>0.55722222222220763</v>
      </c>
      <c r="I17" s="35" t="s">
        <v>78</v>
      </c>
      <c r="J17" s="36">
        <f>J4+J5+J6+J7+J10</f>
        <v>63.209722222222204</v>
      </c>
      <c r="K17" s="37">
        <f>K4+K5+K6+K7+K10</f>
        <v>34.065277777777794</v>
      </c>
      <c r="L17" s="38">
        <f>L4+L5+L6+L7+L10</f>
        <v>29.144444444444403</v>
      </c>
      <c r="M17" s="39"/>
    </row>
    <row r="18" spans="1:13" ht="20.25" x14ac:dyDescent="0.25">
      <c r="A18" s="10">
        <f t="shared" ca="1" si="0"/>
        <v>46129.960189699101</v>
      </c>
      <c r="B18" s="5" t="s">
        <v>75</v>
      </c>
      <c r="C18" s="11">
        <v>0.96018518518518503</v>
      </c>
      <c r="D18" s="11" t="s">
        <v>62</v>
      </c>
      <c r="E18" s="11">
        <v>0.113414351851852</v>
      </c>
      <c r="F18" s="12">
        <f t="shared" si="1"/>
        <v>3.6775000000000073</v>
      </c>
      <c r="G18" s="13">
        <f t="shared" si="2"/>
        <v>0.95555555555555927</v>
      </c>
      <c r="H18" s="13">
        <f t="shared" si="3"/>
        <v>2.7219444444444481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46133.132725115698</v>
      </c>
      <c r="B19" s="5" t="s">
        <v>83</v>
      </c>
      <c r="C19" s="11">
        <v>0.132719907407407</v>
      </c>
      <c r="D19" s="11" t="s">
        <v>62</v>
      </c>
      <c r="E19" s="11">
        <v>0.22412037037037</v>
      </c>
      <c r="F19" s="12">
        <f t="shared" si="1"/>
        <v>2.1936111111111121</v>
      </c>
      <c r="G19" s="13">
        <f t="shared" si="2"/>
        <v>0</v>
      </c>
      <c r="H19" s="13">
        <f t="shared" si="3"/>
        <v>2.1936111111111121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46133.598649652798</v>
      </c>
      <c r="B20" s="5" t="s">
        <v>75</v>
      </c>
      <c r="C20" s="11">
        <v>0.59864583333333299</v>
      </c>
      <c r="D20" s="11" t="s">
        <v>62</v>
      </c>
      <c r="E20" s="11">
        <v>0.631122685185185</v>
      </c>
      <c r="F20" s="12">
        <f t="shared" si="1"/>
        <v>0.77944444444444816</v>
      </c>
      <c r="G20" s="13">
        <f t="shared" si="2"/>
        <v>0.77944444444444816</v>
      </c>
      <c r="H20" s="13">
        <f t="shared" si="3"/>
        <v>0</v>
      </c>
      <c r="I20" s="40" t="s">
        <v>80</v>
      </c>
      <c r="J20" s="65">
        <f>J16+J17+J18+J19</f>
        <v>63.209722222222204</v>
      </c>
      <c r="K20" s="66"/>
      <c r="L20" s="67"/>
      <c r="M20" s="41"/>
    </row>
    <row r="21" spans="1:13" ht="20.25" x14ac:dyDescent="0.25">
      <c r="A21" s="10">
        <f t="shared" ca="1" si="0"/>
        <v>46134.140745949102</v>
      </c>
      <c r="B21" s="5" t="s">
        <v>75</v>
      </c>
      <c r="C21" s="11">
        <v>0.140740740740741</v>
      </c>
      <c r="D21" s="11" t="s">
        <v>62</v>
      </c>
      <c r="E21" s="11">
        <v>0.304340277777778</v>
      </c>
      <c r="F21" s="12">
        <f t="shared" si="1"/>
        <v>3.926388888888888</v>
      </c>
      <c r="G21" s="13">
        <f t="shared" si="2"/>
        <v>0</v>
      </c>
      <c r="H21" s="13">
        <f t="shared" si="3"/>
        <v>3.926388888888888</v>
      </c>
      <c r="I21" s="42" t="s">
        <v>4</v>
      </c>
      <c r="J21" s="43">
        <f>SUM(J8:J9)</f>
        <v>6.1544444444444633</v>
      </c>
      <c r="K21" s="37">
        <f>SUM(K8:K9)</f>
        <v>6.1544444444444633</v>
      </c>
      <c r="L21" s="38">
        <f>SUM(L8:L9)</f>
        <v>0</v>
      </c>
      <c r="M21" s="44"/>
    </row>
    <row r="22" spans="1:13" ht="18.75" x14ac:dyDescent="0.15">
      <c r="A22" s="10">
        <f t="shared" ca="1" si="0"/>
        <v>46136.503864236103</v>
      </c>
      <c r="B22" s="5" t="s">
        <v>75</v>
      </c>
      <c r="C22" s="11">
        <v>0.50385416666666705</v>
      </c>
      <c r="D22" s="11" t="s">
        <v>62</v>
      </c>
      <c r="E22" s="11">
        <v>0.63296296296296295</v>
      </c>
      <c r="F22" s="12">
        <f t="shared" si="1"/>
        <v>3.0986111111111017</v>
      </c>
      <c r="G22" s="13">
        <f t="shared" si="2"/>
        <v>3.0986111111111017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46136.753435185201</v>
      </c>
      <c r="B23" s="5" t="s">
        <v>76</v>
      </c>
      <c r="C23" s="11">
        <v>0.75342592592592605</v>
      </c>
      <c r="D23" s="11" t="s">
        <v>62</v>
      </c>
      <c r="E23" s="11">
        <v>0.882118055555556</v>
      </c>
      <c r="F23" s="12">
        <f t="shared" si="1"/>
        <v>3.0886111111111187</v>
      </c>
      <c r="G23" s="13">
        <f t="shared" si="2"/>
        <v>3.0886111111111187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46137.418135879598</v>
      </c>
      <c r="B24" s="5" t="s">
        <v>75</v>
      </c>
      <c r="C24" s="11">
        <v>0.41813657407407401</v>
      </c>
      <c r="D24" s="11" t="s">
        <v>62</v>
      </c>
      <c r="E24" s="11">
        <v>0.514699074074074</v>
      </c>
      <c r="F24" s="12">
        <f t="shared" si="1"/>
        <v>2.3174999999999999</v>
      </c>
      <c r="G24" s="13">
        <f t="shared" si="2"/>
        <v>2.3174999999999999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46137.627194328699</v>
      </c>
      <c r="B25" s="5" t="s">
        <v>76</v>
      </c>
      <c r="C25" s="11">
        <v>0.62718750000000001</v>
      </c>
      <c r="D25" s="11" t="s">
        <v>62</v>
      </c>
      <c r="E25" s="11">
        <v>0.75525462962962997</v>
      </c>
      <c r="F25" s="12">
        <f t="shared" si="1"/>
        <v>3.0736111111111191</v>
      </c>
      <c r="G25" s="13">
        <f t="shared" si="2"/>
        <v>3.0736111111111191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46137.834162963001</v>
      </c>
      <c r="B26" s="5" t="s">
        <v>75</v>
      </c>
      <c r="C26" s="11">
        <v>0.83415509259259302</v>
      </c>
      <c r="D26" s="11" t="s">
        <v>62</v>
      </c>
      <c r="E26" s="11">
        <v>0.83456018518518504</v>
      </c>
      <c r="F26" s="12">
        <f t="shared" si="1"/>
        <v>9.722222222208643E-3</v>
      </c>
      <c r="G26" s="13">
        <f t="shared" si="2"/>
        <v>9.722222222208643E-3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46137.834592013904</v>
      </c>
      <c r="B27" s="5" t="s">
        <v>76</v>
      </c>
      <c r="C27" s="11">
        <v>0.83458333333333301</v>
      </c>
      <c r="D27" s="11" t="s">
        <v>62</v>
      </c>
      <c r="E27" s="11">
        <v>0.96472222222222204</v>
      </c>
      <c r="F27" s="12">
        <f t="shared" si="1"/>
        <v>3.1233333333333366</v>
      </c>
      <c r="G27" s="13">
        <f t="shared" si="2"/>
        <v>3.1233333333333366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46138.3004155093</v>
      </c>
      <c r="B28" s="5" t="s">
        <v>76</v>
      </c>
      <c r="C28" s="11">
        <v>0.30040509259259301</v>
      </c>
      <c r="D28" s="11" t="s">
        <v>62</v>
      </c>
      <c r="E28" s="11">
        <v>0.36253472222222199</v>
      </c>
      <c r="F28" s="12">
        <f t="shared" si="1"/>
        <v>1.4911111111110955</v>
      </c>
      <c r="G28" s="13">
        <f t="shared" si="2"/>
        <v>0.70083333333333631</v>
      </c>
      <c r="H28" s="13">
        <f t="shared" si="3"/>
        <v>0.7902777777777592</v>
      </c>
      <c r="I28"/>
      <c r="J28"/>
    </row>
    <row r="29" spans="1:13" ht="18.75" x14ac:dyDescent="0.15">
      <c r="A29" s="10">
        <f t="shared" ca="1" si="0"/>
        <v>46141.139786111104</v>
      </c>
      <c r="B29" s="5" t="s">
        <v>82</v>
      </c>
      <c r="C29" s="11">
        <v>0.139780092592593</v>
      </c>
      <c r="D29" s="11" t="s">
        <v>62</v>
      </c>
      <c r="E29" s="11">
        <v>0.22983796296296299</v>
      </c>
      <c r="F29" s="12">
        <f t="shared" si="1"/>
        <v>2.1613888888888799</v>
      </c>
      <c r="G29" s="13">
        <f t="shared" si="2"/>
        <v>0</v>
      </c>
      <c r="H29" s="13">
        <f t="shared" si="3"/>
        <v>2.1613888888888799</v>
      </c>
      <c r="I29"/>
      <c r="J29"/>
    </row>
    <row r="30" spans="1:13" ht="18.75" x14ac:dyDescent="0.15">
      <c r="A30" s="10">
        <f t="shared" ca="1" si="0"/>
        <v>46141.958632986098</v>
      </c>
      <c r="B30" s="5" t="s">
        <v>75</v>
      </c>
      <c r="C30" s="11">
        <v>0.95862268518518501</v>
      </c>
      <c r="D30" s="11" t="s">
        <v>62</v>
      </c>
      <c r="E30" s="11">
        <v>0.116319444444444</v>
      </c>
      <c r="F30" s="12">
        <f t="shared" si="1"/>
        <v>3.7847222222222161</v>
      </c>
      <c r="G30" s="13">
        <f t="shared" si="2"/>
        <v>0.9930555555555598</v>
      </c>
      <c r="H30" s="13">
        <f t="shared" si="3"/>
        <v>2.7916666666666563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42"/>
  <sheetViews>
    <sheetView topLeftCell="A7" zoomScale="85" zoomScaleNormal="85" workbookViewId="0">
      <selection activeCell="E29" sqref="E2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46113.139675694401</v>
      </c>
      <c r="B3" s="5" t="s">
        <v>85</v>
      </c>
      <c r="C3" s="11">
        <v>0.13967592592592601</v>
      </c>
      <c r="D3" s="11" t="s">
        <v>62</v>
      </c>
      <c r="E3" s="11">
        <v>0.30189814814814803</v>
      </c>
      <c r="F3" s="12">
        <f t="shared" ref="F3:F42" si="1">(IF(E3-C3&lt;0,"24:00"-C3+E3,E3-C3))*24</f>
        <v>3.8933333333333282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3.8933333333333282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46114.139083217597</v>
      </c>
      <c r="B4" s="5" t="s">
        <v>85</v>
      </c>
      <c r="C4" s="11">
        <v>0.13907407407407399</v>
      </c>
      <c r="D4" s="11" t="s">
        <v>62</v>
      </c>
      <c r="E4" s="11">
        <v>0.22813657407407401</v>
      </c>
      <c r="F4" s="12">
        <f t="shared" si="1"/>
        <v>2.1375000000000002</v>
      </c>
      <c r="G4" s="13">
        <f t="shared" si="2"/>
        <v>0</v>
      </c>
      <c r="H4" s="13">
        <f t="shared" si="3"/>
        <v>2.1375000000000002</v>
      </c>
      <c r="I4" s="21" t="s">
        <v>64</v>
      </c>
      <c r="J4" s="22">
        <f>SUMIF(B:B,"西塔台管制席",F:F)+SUMIF(B:B,"东塔台管制席",F:F)</f>
        <v>29.786111111111119</v>
      </c>
      <c r="K4" s="23">
        <f>SUMIF(B:B,"西塔台管制席",G:G)+SUMIF(B:B,"东塔台管制席",G:G)</f>
        <v>14.551666666666685</v>
      </c>
      <c r="L4" s="23">
        <f>SUMIF(B:B,"西塔台管制席",H:H)+SUMIF(B:B,"东塔台管制席",H:H)</f>
        <v>15.234444444444438</v>
      </c>
      <c r="M4" s="19"/>
    </row>
    <row r="5" spans="1:16" ht="18.75" x14ac:dyDescent="0.25">
      <c r="A5" s="10">
        <f t="shared" ca="1" si="0"/>
        <v>46116.372430208299</v>
      </c>
      <c r="B5" s="5" t="s">
        <v>84</v>
      </c>
      <c r="C5" s="11">
        <v>0.37243055555555599</v>
      </c>
      <c r="D5" s="11" t="s">
        <v>62</v>
      </c>
      <c r="E5" s="11">
        <v>0.50314814814814801</v>
      </c>
      <c r="F5" s="12">
        <f t="shared" si="1"/>
        <v>3.1372222222222086</v>
      </c>
      <c r="G5" s="13">
        <f t="shared" si="2"/>
        <v>3.1372222222222086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29.006944444444461</v>
      </c>
      <c r="K5" s="23">
        <f>SUMIF(B:B,"西塔台协调席",G:G)+SUMIF(B:B,"东塔台协调席",G:G)</f>
        <v>20.30916666666667</v>
      </c>
      <c r="L5" s="23">
        <f>SUMIF(B:B,"西塔台协调席",H:H)+SUMIF(B:B,"东塔台协调席",H:H)</f>
        <v>8.6977777777777909</v>
      </c>
      <c r="M5" s="19"/>
    </row>
    <row r="6" spans="1:16" ht="18.75" x14ac:dyDescent="0.25">
      <c r="A6" s="10">
        <f t="shared" ca="1" si="0"/>
        <v>46116.5898212963</v>
      </c>
      <c r="B6" s="5" t="s">
        <v>84</v>
      </c>
      <c r="C6" s="11">
        <v>0.58981481481481501</v>
      </c>
      <c r="D6" s="11" t="s">
        <v>62</v>
      </c>
      <c r="E6" s="11">
        <v>0.731064814814815</v>
      </c>
      <c r="F6" s="12">
        <f t="shared" si="1"/>
        <v>3.3899999999999997</v>
      </c>
      <c r="G6" s="13">
        <f t="shared" si="2"/>
        <v>3.3899999999999997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46116.957761805599</v>
      </c>
      <c r="B7" s="5" t="s">
        <v>76</v>
      </c>
      <c r="C7" s="11">
        <v>0.95775462962962998</v>
      </c>
      <c r="D7" s="11" t="s">
        <v>62</v>
      </c>
      <c r="E7" s="11">
        <v>0.103217592592593</v>
      </c>
      <c r="F7" s="12">
        <f t="shared" si="1"/>
        <v>3.4911111111111124</v>
      </c>
      <c r="G7" s="13">
        <f t="shared" si="2"/>
        <v>1.0138888888888804</v>
      </c>
      <c r="H7" s="13">
        <f t="shared" si="3"/>
        <v>2.477222222222232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46117.438090393502</v>
      </c>
      <c r="B8" s="5" t="s">
        <v>84</v>
      </c>
      <c r="C8" s="11">
        <v>0.43809027777777798</v>
      </c>
      <c r="D8" s="11" t="s">
        <v>62</v>
      </c>
      <c r="E8" s="11">
        <v>0.50420138888888899</v>
      </c>
      <c r="F8" s="12">
        <f t="shared" si="1"/>
        <v>1.5866666666666642</v>
      </c>
      <c r="G8" s="13">
        <f t="shared" si="2"/>
        <v>1.5866666666666642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46117.562773148202</v>
      </c>
      <c r="B9" s="5" t="s">
        <v>84</v>
      </c>
      <c r="C9" s="11">
        <v>0.562766203703704</v>
      </c>
      <c r="D9" s="11" t="s">
        <v>62</v>
      </c>
      <c r="E9" s="11">
        <v>0.73124999999999996</v>
      </c>
      <c r="F9" s="12">
        <f t="shared" si="1"/>
        <v>4.0436111111111028</v>
      </c>
      <c r="G9" s="13">
        <f t="shared" si="2"/>
        <v>4.0436111111111028</v>
      </c>
      <c r="H9" s="13">
        <f t="shared" si="3"/>
        <v>0</v>
      </c>
      <c r="I9" s="21" t="s">
        <v>69</v>
      </c>
      <c r="J9" s="22">
        <f>SUMIF(B:B,"航班调度席",F:F)</f>
        <v>12.157499999999976</v>
      </c>
      <c r="K9" s="23">
        <f>SUMIF(B:B,"航班调度席",G:G)</f>
        <v>12.157499999999976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46120.958884722197</v>
      </c>
      <c r="B10" s="5" t="s">
        <v>76</v>
      </c>
      <c r="C10" s="11">
        <v>0.95887731481481497</v>
      </c>
      <c r="D10" s="11" t="s">
        <v>62</v>
      </c>
      <c r="E10" s="11">
        <v>0.13326388888888899</v>
      </c>
      <c r="F10" s="12">
        <f t="shared" si="1"/>
        <v>4.1852777777777765</v>
      </c>
      <c r="G10" s="13">
        <f t="shared" si="2"/>
        <v>0.98694444444444063</v>
      </c>
      <c r="H10" s="13">
        <f t="shared" si="3"/>
        <v>3.1983333333333359</v>
      </c>
      <c r="I10" s="21" t="s">
        <v>70</v>
      </c>
      <c r="J10" s="22">
        <f>SUMIF(B:B,"综合协调席",F:F)</f>
        <v>6.0308333333333284</v>
      </c>
      <c r="K10" s="23">
        <f>SUMIF(B:B,"综合协调席",G:G)</f>
        <v>0</v>
      </c>
      <c r="L10" s="23">
        <f>SUMIF(B:B,"综合协调席",H:H)</f>
        <v>6.0308333333333284</v>
      </c>
      <c r="M10" s="19"/>
    </row>
    <row r="11" spans="1:16" ht="18.75" x14ac:dyDescent="0.25">
      <c r="A11" s="10">
        <f t="shared" ca="1" si="0"/>
        <v>46125.140293981502</v>
      </c>
      <c r="B11" s="5" t="s">
        <v>75</v>
      </c>
      <c r="C11" s="11">
        <v>0.14028935185185201</v>
      </c>
      <c r="D11" s="11" t="s">
        <v>62</v>
      </c>
      <c r="E11" s="11">
        <v>0.24077546296296301</v>
      </c>
      <c r="F11" s="12">
        <f t="shared" si="1"/>
        <v>2.411666666666664</v>
      </c>
      <c r="G11" s="13">
        <f t="shared" si="2"/>
        <v>0</v>
      </c>
      <c r="H11" s="13">
        <f t="shared" si="3"/>
        <v>2.411666666666664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46126.139481365703</v>
      </c>
      <c r="B12" s="5" t="s">
        <v>75</v>
      </c>
      <c r="C12" s="11">
        <v>0.13947916666666699</v>
      </c>
      <c r="D12" s="11" t="s">
        <v>62</v>
      </c>
      <c r="E12" s="11">
        <v>0.30469907407407398</v>
      </c>
      <c r="F12" s="12">
        <f t="shared" si="1"/>
        <v>3.9652777777777679</v>
      </c>
      <c r="G12" s="13">
        <f t="shared" si="2"/>
        <v>0</v>
      </c>
      <c r="H12" s="13">
        <f t="shared" si="3"/>
        <v>3.9652777777777679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46128.357378240697</v>
      </c>
      <c r="B13" s="5" t="s">
        <v>81</v>
      </c>
      <c r="C13" s="11">
        <v>0.35740740740740701</v>
      </c>
      <c r="D13" s="11" t="s">
        <v>62</v>
      </c>
      <c r="E13" s="11">
        <v>0.51031249999999995</v>
      </c>
      <c r="F13" s="12">
        <f t="shared" si="1"/>
        <v>3.6697222222222305</v>
      </c>
      <c r="G13" s="13">
        <f t="shared" si="2"/>
        <v>3.6697222222222305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46128.647208449103</v>
      </c>
      <c r="B14" s="5" t="s">
        <v>73</v>
      </c>
      <c r="C14" s="11">
        <v>0.64719907407407395</v>
      </c>
      <c r="D14" s="11" t="s">
        <v>62</v>
      </c>
      <c r="E14" s="11">
        <v>0.75905092592592605</v>
      </c>
      <c r="F14" s="12">
        <f t="shared" si="1"/>
        <v>2.6844444444444502</v>
      </c>
      <c r="G14" s="13">
        <f t="shared" si="2"/>
        <v>2.6844444444444502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46128.875764120399</v>
      </c>
      <c r="B15" s="5" t="s">
        <v>81</v>
      </c>
      <c r="C15" s="11">
        <v>0.87576388888888901</v>
      </c>
      <c r="D15" s="11" t="s">
        <v>62</v>
      </c>
      <c r="E15" s="11">
        <v>0.962824074074074</v>
      </c>
      <c r="F15" s="12">
        <f t="shared" si="1"/>
        <v>2.0894444444444398</v>
      </c>
      <c r="G15" s="13">
        <f t="shared" si="2"/>
        <v>2.0894444444444398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46129.298648148098</v>
      </c>
      <c r="B16" s="5" t="s">
        <v>75</v>
      </c>
      <c r="C16" s="11">
        <v>0.298645833333333</v>
      </c>
      <c r="D16" s="11" t="s">
        <v>62</v>
      </c>
      <c r="E16" s="11">
        <v>0.42136574074074101</v>
      </c>
      <c r="F16" s="12">
        <f t="shared" si="1"/>
        <v>2.9452777777777923</v>
      </c>
      <c r="G16" s="13">
        <f t="shared" si="2"/>
        <v>2.1127777777777927</v>
      </c>
      <c r="H16" s="13">
        <f t="shared" si="3"/>
        <v>0.83249999999999957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46129.500226388896</v>
      </c>
      <c r="B17" s="5" t="s">
        <v>76</v>
      </c>
      <c r="C17" s="11">
        <v>0.50021990740740696</v>
      </c>
      <c r="D17" s="11" t="s">
        <v>62</v>
      </c>
      <c r="E17" s="11">
        <v>0.52457175925925903</v>
      </c>
      <c r="F17" s="12">
        <f t="shared" si="1"/>
        <v>0.58444444444444965</v>
      </c>
      <c r="G17" s="13">
        <f t="shared" si="2"/>
        <v>0.58444444444444965</v>
      </c>
      <c r="H17" s="13">
        <f t="shared" si="3"/>
        <v>0</v>
      </c>
      <c r="I17" s="35" t="s">
        <v>78</v>
      </c>
      <c r="J17" s="36">
        <f>J4+J5+J6+J7+J10</f>
        <v>64.823888888888916</v>
      </c>
      <c r="K17" s="37">
        <f>K4+K5+K6+K7+K10</f>
        <v>34.860833333333353</v>
      </c>
      <c r="L17" s="38">
        <f>L4+L5+L6+L7+L10</f>
        <v>29.963055555555556</v>
      </c>
      <c r="M17" s="39"/>
    </row>
    <row r="18" spans="1:13" ht="20.25" x14ac:dyDescent="0.25">
      <c r="A18" s="10">
        <f t="shared" ca="1" si="0"/>
        <v>46129.538320486099</v>
      </c>
      <c r="B18" s="5" t="s">
        <v>76</v>
      </c>
      <c r="C18" s="11">
        <v>0.53692129629629604</v>
      </c>
      <c r="D18" s="11" t="s">
        <v>62</v>
      </c>
      <c r="E18" s="11">
        <v>0.62834490740740701</v>
      </c>
      <c r="F18" s="12">
        <f t="shared" si="1"/>
        <v>2.1941666666666633</v>
      </c>
      <c r="G18" s="13">
        <f t="shared" si="2"/>
        <v>2.1941666666666633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46129.7494443287</v>
      </c>
      <c r="B19" s="5" t="s">
        <v>75</v>
      </c>
      <c r="C19" s="11">
        <v>0.74944444444444402</v>
      </c>
      <c r="D19" s="11" t="s">
        <v>62</v>
      </c>
      <c r="E19" s="11">
        <v>0.84104166666666702</v>
      </c>
      <c r="F19" s="12">
        <f t="shared" si="1"/>
        <v>2.1983333333333519</v>
      </c>
      <c r="G19" s="13">
        <f t="shared" si="2"/>
        <v>2.1983333333333519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46132.957262615702</v>
      </c>
      <c r="B20" s="5" t="s">
        <v>76</v>
      </c>
      <c r="C20" s="11">
        <v>0.95725694444444398</v>
      </c>
      <c r="D20" s="11" t="s">
        <v>62</v>
      </c>
      <c r="E20" s="11">
        <v>0.125925925925926</v>
      </c>
      <c r="F20" s="12">
        <f t="shared" si="1"/>
        <v>4.0480555555555684</v>
      </c>
      <c r="G20" s="13">
        <f t="shared" si="2"/>
        <v>1.0258333333333445</v>
      </c>
      <c r="H20" s="13">
        <f t="shared" si="3"/>
        <v>3.0222222222222239</v>
      </c>
      <c r="I20" s="40" t="s">
        <v>80</v>
      </c>
      <c r="J20" s="65">
        <f>J16+J17+J18+J19</f>
        <v>64.823888888888916</v>
      </c>
      <c r="K20" s="66"/>
      <c r="L20" s="67"/>
      <c r="M20" s="41"/>
    </row>
    <row r="21" spans="1:13" ht="20.25" x14ac:dyDescent="0.25">
      <c r="A21" s="10">
        <f t="shared" ca="1" si="0"/>
        <v>46134.013708912003</v>
      </c>
      <c r="B21" s="5" t="s">
        <v>73</v>
      </c>
      <c r="C21" s="11">
        <v>1.29166666666667E-2</v>
      </c>
      <c r="D21" s="11" t="s">
        <v>62</v>
      </c>
      <c r="E21" s="11">
        <v>0.14513888888888901</v>
      </c>
      <c r="F21" s="12">
        <f t="shared" si="1"/>
        <v>3.1733333333333356</v>
      </c>
      <c r="G21" s="13">
        <f t="shared" si="2"/>
        <v>0</v>
      </c>
      <c r="H21" s="13">
        <f t="shared" si="3"/>
        <v>3.1733333333333356</v>
      </c>
      <c r="I21" s="42" t="s">
        <v>4</v>
      </c>
      <c r="J21" s="43">
        <f>SUM(J8:J9)</f>
        <v>12.157499999999976</v>
      </c>
      <c r="K21" s="37">
        <f>SUM(K8:K9)</f>
        <v>12.157499999999976</v>
      </c>
      <c r="L21" s="38">
        <f>SUM(L8:L9)</f>
        <v>0</v>
      </c>
      <c r="M21" s="44"/>
    </row>
    <row r="22" spans="1:13" ht="18.75" x14ac:dyDescent="0.15">
      <c r="A22" s="10">
        <f t="shared" ca="1" si="0"/>
        <v>46138.139544213001</v>
      </c>
      <c r="B22" s="5" t="s">
        <v>75</v>
      </c>
      <c r="C22" s="11">
        <v>0.13953703703703699</v>
      </c>
      <c r="D22" s="11" t="s">
        <v>62</v>
      </c>
      <c r="E22" s="11">
        <v>0.30747685185185197</v>
      </c>
      <c r="F22" s="12">
        <f t="shared" si="1"/>
        <v>4.0305555555555594</v>
      </c>
      <c r="G22" s="13">
        <f t="shared" si="2"/>
        <v>0</v>
      </c>
      <c r="H22" s="13">
        <f t="shared" si="3"/>
        <v>4.0305555555555594</v>
      </c>
      <c r="I22"/>
      <c r="J22"/>
    </row>
    <row r="23" spans="1:13" ht="18.75" x14ac:dyDescent="0.15">
      <c r="A23" s="10">
        <f t="shared" ca="1" si="0"/>
        <v>46140.5006818287</v>
      </c>
      <c r="B23" s="5" t="s">
        <v>73</v>
      </c>
      <c r="C23" s="11">
        <v>0.50067129629629603</v>
      </c>
      <c r="D23" s="11" t="s">
        <v>62</v>
      </c>
      <c r="E23" s="11">
        <v>0.65225694444444404</v>
      </c>
      <c r="F23" s="12">
        <f t="shared" si="1"/>
        <v>3.6380555555555523</v>
      </c>
      <c r="G23" s="13">
        <f t="shared" si="2"/>
        <v>3.6380555555555523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46140.751125115698</v>
      </c>
      <c r="B24" s="5" t="s">
        <v>81</v>
      </c>
      <c r="C24" s="11">
        <v>0.75112268518518499</v>
      </c>
      <c r="D24" s="11" t="s">
        <v>62</v>
      </c>
      <c r="E24" s="11">
        <v>0.88011574074074095</v>
      </c>
      <c r="F24" s="12">
        <f t="shared" si="1"/>
        <v>3.095833333333343</v>
      </c>
      <c r="G24" s="13">
        <f t="shared" si="2"/>
        <v>3.095833333333343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46141.406541087999</v>
      </c>
      <c r="B25" s="5" t="s">
        <v>76</v>
      </c>
      <c r="C25" s="11">
        <v>0.40653935185185203</v>
      </c>
      <c r="D25" s="11" t="s">
        <v>62</v>
      </c>
      <c r="E25" s="11">
        <v>0.51203703703703696</v>
      </c>
      <c r="F25" s="12">
        <f t="shared" si="1"/>
        <v>2.5319444444444383</v>
      </c>
      <c r="G25" s="13">
        <f t="shared" si="2"/>
        <v>2.5319444444444383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46141.625422453697</v>
      </c>
      <c r="B26" s="5" t="s">
        <v>75</v>
      </c>
      <c r="C26" s="11">
        <v>0.62541666666666695</v>
      </c>
      <c r="D26" s="11" t="s">
        <v>62</v>
      </c>
      <c r="E26" s="11">
        <v>0.75868055555555503</v>
      </c>
      <c r="F26" s="12">
        <f t="shared" si="1"/>
        <v>3.1983333333333137</v>
      </c>
      <c r="G26" s="13">
        <f t="shared" si="2"/>
        <v>3.1983333333333137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46141.8340686343</v>
      </c>
      <c r="B27" s="5" t="s">
        <v>76</v>
      </c>
      <c r="C27" s="11">
        <v>0.83406250000000004</v>
      </c>
      <c r="D27" s="11" t="s">
        <v>62</v>
      </c>
      <c r="E27" s="11">
        <v>0.96393518518518495</v>
      </c>
      <c r="F27" s="12">
        <f t="shared" si="1"/>
        <v>3.1169444444444379</v>
      </c>
      <c r="G27" s="13">
        <f t="shared" si="2"/>
        <v>3.1169444444444379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46142.299120138901</v>
      </c>
      <c r="B28" s="5" t="s">
        <v>73</v>
      </c>
      <c r="C28" s="11">
        <v>0.29912037037036998</v>
      </c>
      <c r="D28" s="11" t="s">
        <v>62</v>
      </c>
      <c r="E28" s="11">
        <v>0.36332175925925903</v>
      </c>
      <c r="F28" s="12">
        <f t="shared" si="1"/>
        <v>1.5408333333333371</v>
      </c>
      <c r="G28" s="13">
        <f t="shared" si="2"/>
        <v>0.71972222222222504</v>
      </c>
      <c r="H28" s="13">
        <f t="shared" si="3"/>
        <v>0.82111111111111201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2"/>
  <sheetViews>
    <sheetView topLeftCell="A13" zoomScale="85" zoomScaleNormal="85" workbookViewId="0">
      <selection activeCell="K21" sqref="K2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46113.133021990703</v>
      </c>
      <c r="B3" s="5" t="s">
        <v>83</v>
      </c>
      <c r="C3" s="11">
        <v>0.13302083333333301</v>
      </c>
      <c r="D3" s="11" t="s">
        <v>62</v>
      </c>
      <c r="E3" s="11">
        <v>0.23342592592592601</v>
      </c>
      <c r="F3" s="12">
        <f t="shared" ref="F3:F42" si="1">(IF(E3-C3&lt;0,"24:00"-C3+E3,E3-C3))*24</f>
        <v>2.4097222222222321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2.4097222222222321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46114.138990393498</v>
      </c>
      <c r="B4" s="5" t="s">
        <v>75</v>
      </c>
      <c r="C4" s="11">
        <v>0.13898148148148101</v>
      </c>
      <c r="D4" s="11" t="s">
        <v>62</v>
      </c>
      <c r="E4" s="11">
        <v>0.30608796296296298</v>
      </c>
      <c r="F4" s="12">
        <f t="shared" si="1"/>
        <v>4.010555555555567</v>
      </c>
      <c r="G4" s="13">
        <f t="shared" si="2"/>
        <v>0</v>
      </c>
      <c r="H4" s="13">
        <f t="shared" si="3"/>
        <v>4.010555555555567</v>
      </c>
      <c r="I4" s="21" t="s">
        <v>64</v>
      </c>
      <c r="J4" s="22">
        <f>SUMIF(B:B,"西塔台管制席",F:F)+SUMIF(B:B,"东塔台管制席",F:F)</f>
        <v>36.123888888888921</v>
      </c>
      <c r="K4" s="23">
        <f>SUMIF(B:B,"西塔台管制席",G:G)+SUMIF(B:B,"东塔台管制席",G:G)</f>
        <v>17.306666666666665</v>
      </c>
      <c r="L4" s="23">
        <f>SUMIF(B:B,"西塔台管制席",H:H)+SUMIF(B:B,"东塔台管制席",H:H)</f>
        <v>18.817222222222249</v>
      </c>
      <c r="M4" s="19"/>
    </row>
    <row r="5" spans="1:16" ht="18.75" x14ac:dyDescent="0.25">
      <c r="A5" s="10">
        <f t="shared" ca="1" si="0"/>
        <v>46116.352158796297</v>
      </c>
      <c r="B5" s="5" t="s">
        <v>75</v>
      </c>
      <c r="C5" s="11">
        <v>0.35215277777777798</v>
      </c>
      <c r="D5" s="11" t="s">
        <v>62</v>
      </c>
      <c r="E5" s="11">
        <v>0.50770833333333298</v>
      </c>
      <c r="F5" s="12">
        <f t="shared" si="1"/>
        <v>3.7333333333333201</v>
      </c>
      <c r="G5" s="13">
        <f t="shared" si="2"/>
        <v>3.7333333333333201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18.716388888888872</v>
      </c>
      <c r="K5" s="23">
        <f>SUMIF(B:B,"西塔台协调席",G:G)+SUMIF(B:B,"东塔台协调席",G:G)</f>
        <v>14.35833333333334</v>
      </c>
      <c r="L5" s="23">
        <f>SUMIF(B:B,"西塔台协调席",H:H)+SUMIF(B:B,"东塔台协调席",H:H)</f>
        <v>4.3580555555555343</v>
      </c>
      <c r="M5" s="19"/>
    </row>
    <row r="6" spans="1:16" ht="18.75" x14ac:dyDescent="0.25">
      <c r="A6" s="10">
        <f t="shared" ca="1" si="0"/>
        <v>46116.646023379602</v>
      </c>
      <c r="B6" s="5" t="s">
        <v>76</v>
      </c>
      <c r="C6" s="11">
        <v>0.64601851851851899</v>
      </c>
      <c r="D6" s="11" t="s">
        <v>62</v>
      </c>
      <c r="E6" s="11">
        <v>0.75520833333333304</v>
      </c>
      <c r="F6" s="12">
        <f t="shared" si="1"/>
        <v>2.6205555555555371</v>
      </c>
      <c r="G6" s="13">
        <f t="shared" si="2"/>
        <v>2.6205555555555371</v>
      </c>
      <c r="H6" s="13">
        <f t="shared" si="3"/>
        <v>0</v>
      </c>
      <c r="I6" s="21" t="s">
        <v>66</v>
      </c>
      <c r="J6" s="22">
        <f>SUMIF(B:B,"放行席",F:F)</f>
        <v>4.4613888888888962</v>
      </c>
      <c r="K6" s="23">
        <f>SUMIF(B:B,"放行席",G:G)</f>
        <v>0</v>
      </c>
      <c r="L6" s="23">
        <f>SUMIF(B:B,"放行席",H:H)</f>
        <v>4.4613888888888962</v>
      </c>
      <c r="M6" s="19"/>
    </row>
    <row r="7" spans="1:16" ht="18.75" x14ac:dyDescent="0.25">
      <c r="A7" s="10">
        <f t="shared" ca="1" si="0"/>
        <v>46116.8751297454</v>
      </c>
      <c r="B7" s="5" t="s">
        <v>75</v>
      </c>
      <c r="C7" s="11">
        <v>0.87512731481481498</v>
      </c>
      <c r="D7" s="11" t="s">
        <v>62</v>
      </c>
      <c r="E7" s="11">
        <v>0.962824074074074</v>
      </c>
      <c r="F7" s="12">
        <f t="shared" si="1"/>
        <v>2.1047222222222164</v>
      </c>
      <c r="G7" s="13">
        <f t="shared" si="2"/>
        <v>2.1047222222222164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46117.310780902801</v>
      </c>
      <c r="B8" s="5" t="s">
        <v>81</v>
      </c>
      <c r="C8" s="11">
        <v>0.31077546296296299</v>
      </c>
      <c r="D8" s="11" t="s">
        <v>62</v>
      </c>
      <c r="E8" s="11">
        <v>0.34011574074074102</v>
      </c>
      <c r="F8" s="12">
        <f t="shared" si="1"/>
        <v>0.70416666666667282</v>
      </c>
      <c r="G8" s="13">
        <f t="shared" si="2"/>
        <v>0.16277777777779301</v>
      </c>
      <c r="H8" s="13">
        <f t="shared" si="3"/>
        <v>0.54138888888887982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46117.356976736097</v>
      </c>
      <c r="B9" s="5" t="s">
        <v>81</v>
      </c>
      <c r="C9" s="11">
        <v>0.35696759259259297</v>
      </c>
      <c r="D9" s="11" t="s">
        <v>62</v>
      </c>
      <c r="E9" s="11">
        <v>0.42162037037036998</v>
      </c>
      <c r="F9" s="12">
        <f t="shared" si="1"/>
        <v>1.5516666666666481</v>
      </c>
      <c r="G9" s="13">
        <f t="shared" si="2"/>
        <v>1.5516666666666481</v>
      </c>
      <c r="H9" s="13">
        <f t="shared" si="3"/>
        <v>0</v>
      </c>
      <c r="I9" s="21" t="s">
        <v>69</v>
      </c>
      <c r="J9" s="22">
        <f>SUMIF(B:B,"航班调度席",F:F)</f>
        <v>19.848055555555518</v>
      </c>
      <c r="K9" s="23">
        <f>SUMIF(B:B,"航班调度席",G:G)</f>
        <v>19.848055555555518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46117.499405902803</v>
      </c>
      <c r="B10" s="5" t="s">
        <v>73</v>
      </c>
      <c r="C10" s="11">
        <v>0.49939814814814798</v>
      </c>
      <c r="D10" s="11" t="s">
        <v>62</v>
      </c>
      <c r="E10" s="11">
        <v>0.59864583333333299</v>
      </c>
      <c r="F10" s="12">
        <f t="shared" si="1"/>
        <v>2.3819444444444402</v>
      </c>
      <c r="G10" s="13">
        <f t="shared" si="2"/>
        <v>2.3819444444444402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46117.614663541703</v>
      </c>
      <c r="B11" s="5" t="s">
        <v>73</v>
      </c>
      <c r="C11" s="11">
        <v>0.61465277777777805</v>
      </c>
      <c r="D11" s="11" t="s">
        <v>62</v>
      </c>
      <c r="E11" s="11">
        <v>0.63236111111111104</v>
      </c>
      <c r="F11" s="12">
        <f t="shared" si="1"/>
        <v>0.42499999999999183</v>
      </c>
      <c r="G11" s="13">
        <f t="shared" si="2"/>
        <v>0.42499999999999183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46117.7502290509</v>
      </c>
      <c r="B12" s="5" t="s">
        <v>76</v>
      </c>
      <c r="C12" s="11">
        <v>0.75021990740740696</v>
      </c>
      <c r="D12" s="11" t="s">
        <v>62</v>
      </c>
      <c r="E12" s="11">
        <v>0.83875</v>
      </c>
      <c r="F12" s="12">
        <f t="shared" si="1"/>
        <v>2.1247222222222328</v>
      </c>
      <c r="G12" s="13">
        <f t="shared" si="2"/>
        <v>2.1247222222222328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46121.139604861099</v>
      </c>
      <c r="B13" s="5" t="s">
        <v>73</v>
      </c>
      <c r="C13" s="11">
        <v>0.13959490740740699</v>
      </c>
      <c r="D13" s="11" t="s">
        <v>62</v>
      </c>
      <c r="E13" s="11">
        <v>0.306458333333333</v>
      </c>
      <c r="F13" s="12">
        <f t="shared" si="1"/>
        <v>4.0047222222222238</v>
      </c>
      <c r="G13" s="13">
        <f t="shared" si="2"/>
        <v>0</v>
      </c>
      <c r="H13" s="13">
        <f t="shared" si="3"/>
        <v>4.0047222222222238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46122.133567708297</v>
      </c>
      <c r="B14" s="5" t="s">
        <v>75</v>
      </c>
      <c r="C14" s="11">
        <v>0.133564814814815</v>
      </c>
      <c r="D14" s="11" t="s">
        <v>62</v>
      </c>
      <c r="E14" s="11">
        <v>0.30922453703703701</v>
      </c>
      <c r="F14" s="12">
        <f t="shared" si="1"/>
        <v>4.215833333333328</v>
      </c>
      <c r="G14" s="13">
        <f t="shared" si="2"/>
        <v>0</v>
      </c>
      <c r="H14" s="13">
        <f t="shared" si="3"/>
        <v>4.215833333333328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46125.0145059028</v>
      </c>
      <c r="B15" s="5" t="s">
        <v>76</v>
      </c>
      <c r="C15" s="11">
        <v>1.4502314814814799E-2</v>
      </c>
      <c r="D15" s="11" t="s">
        <v>62</v>
      </c>
      <c r="E15" s="11">
        <v>9.9837962962962906E-2</v>
      </c>
      <c r="F15" s="12">
        <f t="shared" si="1"/>
        <v>2.0480555555555546</v>
      </c>
      <c r="G15" s="13">
        <f t="shared" si="2"/>
        <v>0</v>
      </c>
      <c r="H15" s="13">
        <f t="shared" si="3"/>
        <v>2.0480555555555546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46125.099985069399</v>
      </c>
      <c r="B16" s="5" t="s">
        <v>76</v>
      </c>
      <c r="C16" s="11">
        <v>9.9976851851851803E-2</v>
      </c>
      <c r="D16" s="11" t="s">
        <v>62</v>
      </c>
      <c r="E16" s="11">
        <v>0.13959490740740699</v>
      </c>
      <c r="F16" s="12">
        <f t="shared" si="1"/>
        <v>0.95083333333332443</v>
      </c>
      <c r="G16" s="13">
        <f t="shared" si="2"/>
        <v>0</v>
      </c>
      <c r="H16" s="13">
        <f t="shared" si="3"/>
        <v>0.95083333333332443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46126.137867361103</v>
      </c>
      <c r="B17" s="5" t="s">
        <v>73</v>
      </c>
      <c r="C17" s="11">
        <v>0.13785879629629599</v>
      </c>
      <c r="D17" s="11" t="s">
        <v>62</v>
      </c>
      <c r="E17" s="11">
        <v>0.24675925925925901</v>
      </c>
      <c r="F17" s="12">
        <f t="shared" si="1"/>
        <v>2.6136111111111124</v>
      </c>
      <c r="G17" s="13">
        <f t="shared" si="2"/>
        <v>0</v>
      </c>
      <c r="H17" s="13">
        <f t="shared" si="3"/>
        <v>2.6136111111111124</v>
      </c>
      <c r="I17" s="35" t="s">
        <v>78</v>
      </c>
      <c r="J17" s="36">
        <f>J4+J5+J6+J7+J10</f>
        <v>59.301666666666691</v>
      </c>
      <c r="K17" s="37">
        <f>K4+K5+K6+K7+K10</f>
        <v>31.665000000000006</v>
      </c>
      <c r="L17" s="38">
        <f>L4+L5+L6+L7+L10</f>
        <v>27.636666666666677</v>
      </c>
      <c r="M17" s="39"/>
    </row>
    <row r="18" spans="1:13" ht="20.25" x14ac:dyDescent="0.25">
      <c r="A18" s="10">
        <f t="shared" ca="1" si="0"/>
        <v>46128.500650578702</v>
      </c>
      <c r="B18" s="5" t="s">
        <v>73</v>
      </c>
      <c r="C18" s="11">
        <v>0.50064814814814795</v>
      </c>
      <c r="D18" s="11" t="s">
        <v>62</v>
      </c>
      <c r="E18" s="11">
        <v>0.54030092592592605</v>
      </c>
      <c r="F18" s="12">
        <f t="shared" si="1"/>
        <v>0.95166666666667421</v>
      </c>
      <c r="G18" s="13">
        <f t="shared" si="2"/>
        <v>0.95166666666667421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46128.559564583302</v>
      </c>
      <c r="B19" s="5" t="s">
        <v>73</v>
      </c>
      <c r="C19" s="11">
        <v>0.55956018518518502</v>
      </c>
      <c r="D19" s="11" t="s">
        <v>62</v>
      </c>
      <c r="E19" s="11">
        <v>0.65275462962963005</v>
      </c>
      <c r="F19" s="12">
        <f t="shared" si="1"/>
        <v>2.2366666666666806</v>
      </c>
      <c r="G19" s="13">
        <f t="shared" si="2"/>
        <v>2.2366666666666806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46128.749221527803</v>
      </c>
      <c r="B20" s="5" t="s">
        <v>81</v>
      </c>
      <c r="C20" s="11">
        <v>0.74921296296296302</v>
      </c>
      <c r="D20" s="11" t="s">
        <v>62</v>
      </c>
      <c r="E20" s="11">
        <v>0.80365740740740699</v>
      </c>
      <c r="F20" s="12">
        <f t="shared" si="1"/>
        <v>1.3066666666666551</v>
      </c>
      <c r="G20" s="13">
        <f t="shared" si="2"/>
        <v>1.3066666666666551</v>
      </c>
      <c r="H20" s="13">
        <f t="shared" si="3"/>
        <v>0</v>
      </c>
      <c r="I20" s="40" t="s">
        <v>80</v>
      </c>
      <c r="J20" s="65">
        <f>J16+J17+J18+J19</f>
        <v>59.301666666666691</v>
      </c>
      <c r="K20" s="66"/>
      <c r="L20" s="67"/>
      <c r="M20" s="41"/>
    </row>
    <row r="21" spans="1:13" ht="20.25" x14ac:dyDescent="0.25">
      <c r="A21" s="10">
        <f t="shared" ca="1" si="0"/>
        <v>46128.8237135417</v>
      </c>
      <c r="B21" s="5" t="s">
        <v>81</v>
      </c>
      <c r="C21" s="11">
        <v>0.82370370370370405</v>
      </c>
      <c r="D21" s="11" t="s">
        <v>62</v>
      </c>
      <c r="E21" s="11">
        <v>0.88199074074074102</v>
      </c>
      <c r="F21" s="12">
        <f t="shared" si="1"/>
        <v>1.3988888888888873</v>
      </c>
      <c r="G21" s="13">
        <f t="shared" si="2"/>
        <v>1.3988888888888873</v>
      </c>
      <c r="H21" s="13">
        <f t="shared" si="3"/>
        <v>0</v>
      </c>
      <c r="I21" s="42" t="s">
        <v>4</v>
      </c>
      <c r="J21" s="43">
        <f>SUM(J8:J9)</f>
        <v>19.848055555555518</v>
      </c>
      <c r="K21" s="37">
        <f>SUM(K8:K9)</f>
        <v>19.848055555555518</v>
      </c>
      <c r="L21" s="38">
        <f>SUM(L8:L9)</f>
        <v>0</v>
      </c>
      <c r="M21" s="44"/>
    </row>
    <row r="22" spans="1:13" ht="18.75" x14ac:dyDescent="0.15">
      <c r="A22" s="10">
        <f t="shared" ca="1" si="0"/>
        <v>46129.416383680596</v>
      </c>
      <c r="B22" s="5" t="s">
        <v>75</v>
      </c>
      <c r="C22" s="11">
        <v>0.41637731481481499</v>
      </c>
      <c r="D22" s="11" t="s">
        <v>62</v>
      </c>
      <c r="E22" s="11">
        <v>0.51104166666666695</v>
      </c>
      <c r="F22" s="12">
        <f t="shared" si="1"/>
        <v>2.271944444444447</v>
      </c>
      <c r="G22" s="13">
        <f t="shared" si="2"/>
        <v>2.271944444444447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46129.623965161998</v>
      </c>
      <c r="B23" s="5" t="s">
        <v>76</v>
      </c>
      <c r="C23" s="11">
        <v>0.62395833333333295</v>
      </c>
      <c r="D23" s="11" t="s">
        <v>62</v>
      </c>
      <c r="E23" s="11">
        <v>0.755196759259259</v>
      </c>
      <c r="F23" s="12">
        <f t="shared" si="1"/>
        <v>3.1497222222222252</v>
      </c>
      <c r="G23" s="13">
        <f t="shared" si="2"/>
        <v>3.1497222222222252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46129.832647916701</v>
      </c>
      <c r="B24" s="5" t="s">
        <v>75</v>
      </c>
      <c r="C24" s="11">
        <v>0.83263888888888904</v>
      </c>
      <c r="D24" s="11" t="s">
        <v>62</v>
      </c>
      <c r="E24" s="11">
        <v>0.96603009259259298</v>
      </c>
      <c r="F24" s="12">
        <f t="shared" si="1"/>
        <v>3.2013888888888946</v>
      </c>
      <c r="G24" s="13">
        <f t="shared" si="2"/>
        <v>3.2013888888888946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46130.299260185202</v>
      </c>
      <c r="B25" s="5" t="s">
        <v>76</v>
      </c>
      <c r="C25" s="11">
        <v>0.299259259259259</v>
      </c>
      <c r="D25" s="11" t="s">
        <v>62</v>
      </c>
      <c r="E25" s="11">
        <v>0.365266203703704</v>
      </c>
      <c r="F25" s="12">
        <f t="shared" si="1"/>
        <v>1.5841666666666798</v>
      </c>
      <c r="G25" s="13">
        <f t="shared" si="2"/>
        <v>0.76638888888890433</v>
      </c>
      <c r="H25" s="13">
        <f t="shared" si="3"/>
        <v>0.81777777777777549</v>
      </c>
      <c r="I25"/>
      <c r="J25"/>
    </row>
    <row r="26" spans="1:13" ht="18.75" x14ac:dyDescent="0.15">
      <c r="A26" s="10">
        <f t="shared" ca="1" si="0"/>
        <v>46132.3784467593</v>
      </c>
      <c r="B26" s="5" t="s">
        <v>84</v>
      </c>
      <c r="C26" s="11">
        <v>0.37843749999999998</v>
      </c>
      <c r="D26" s="11" t="s">
        <v>62</v>
      </c>
      <c r="E26" s="11">
        <v>0.50568287037036996</v>
      </c>
      <c r="F26" s="12">
        <f t="shared" si="1"/>
        <v>3.0538888888888795</v>
      </c>
      <c r="G26" s="13">
        <f t="shared" si="2"/>
        <v>3.0538888888888795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46132.608944328698</v>
      </c>
      <c r="B27" s="5" t="s">
        <v>84</v>
      </c>
      <c r="C27" s="11">
        <v>0.60893518518518497</v>
      </c>
      <c r="D27" s="11" t="s">
        <v>62</v>
      </c>
      <c r="E27" s="11">
        <v>0.75100694444444405</v>
      </c>
      <c r="F27" s="12">
        <f t="shared" si="1"/>
        <v>3.4097222222222179</v>
      </c>
      <c r="G27" s="13">
        <f t="shared" si="2"/>
        <v>3.4097222222222179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46133.4507645833</v>
      </c>
      <c r="B28" s="5" t="s">
        <v>84</v>
      </c>
      <c r="C28" s="11">
        <v>0.45076388888888902</v>
      </c>
      <c r="D28" s="11" t="s">
        <v>62</v>
      </c>
      <c r="E28" s="11">
        <v>0.51381944444444405</v>
      </c>
      <c r="F28" s="12">
        <f t="shared" si="1"/>
        <v>1.5133333333333208</v>
      </c>
      <c r="G28" s="13">
        <f t="shared" si="2"/>
        <v>1.5133333333333208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46133.578321064801</v>
      </c>
      <c r="B29" s="5" t="s">
        <v>76</v>
      </c>
      <c r="C29" s="11">
        <v>0.57831018518518496</v>
      </c>
      <c r="D29" s="11" t="s">
        <v>62</v>
      </c>
      <c r="E29" s="11">
        <v>0.63151620370370398</v>
      </c>
      <c r="F29" s="12">
        <f t="shared" si="1"/>
        <v>1.2769444444444566</v>
      </c>
      <c r="G29" s="13">
        <f t="shared" si="2"/>
        <v>1.2769444444444566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46133.632010300898</v>
      </c>
      <c r="B30" s="5" t="s">
        <v>84</v>
      </c>
      <c r="C30" s="11">
        <v>0.63200231481481495</v>
      </c>
      <c r="D30" s="11" t="s">
        <v>62</v>
      </c>
      <c r="E30" s="11">
        <v>0.73531250000000004</v>
      </c>
      <c r="F30" s="12">
        <f t="shared" si="1"/>
        <v>2.4794444444444421</v>
      </c>
      <c r="G30" s="13">
        <f t="shared" si="2"/>
        <v>2.4794444444444421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46137.1399290509</v>
      </c>
      <c r="B31" s="5" t="s">
        <v>75</v>
      </c>
      <c r="C31" s="11">
        <v>0.13991898148148099</v>
      </c>
      <c r="D31" s="11" t="s">
        <v>62</v>
      </c>
      <c r="E31" s="11">
        <v>0.30543981481481502</v>
      </c>
      <c r="F31" s="12">
        <f t="shared" si="1"/>
        <v>3.972500000000017</v>
      </c>
      <c r="G31" s="13">
        <f t="shared" si="2"/>
        <v>0</v>
      </c>
      <c r="H31" s="13">
        <f t="shared" si="3"/>
        <v>3.972500000000017</v>
      </c>
      <c r="I31"/>
      <c r="J31"/>
    </row>
    <row r="32" spans="1:13" ht="18.75" x14ac:dyDescent="0.15">
      <c r="A32" s="10">
        <f t="shared" ca="1" si="0"/>
        <v>46138.132761458299</v>
      </c>
      <c r="B32" s="5" t="s">
        <v>83</v>
      </c>
      <c r="C32" s="11">
        <v>0.13275462962963</v>
      </c>
      <c r="D32" s="11" t="s">
        <v>62</v>
      </c>
      <c r="E32" s="11">
        <v>0.21824074074074101</v>
      </c>
      <c r="F32" s="12">
        <f t="shared" si="1"/>
        <v>2.0516666666666641</v>
      </c>
      <c r="G32" s="13">
        <f t="shared" si="2"/>
        <v>0</v>
      </c>
      <c r="H32" s="13">
        <f t="shared" si="3"/>
        <v>2.0516666666666641</v>
      </c>
      <c r="I32"/>
      <c r="J32"/>
    </row>
    <row r="33" spans="1:11" ht="18.75" x14ac:dyDescent="0.15">
      <c r="A33" s="10">
        <f t="shared" ca="1" si="0"/>
        <v>46140.507643402801</v>
      </c>
      <c r="B33" s="5" t="s">
        <v>84</v>
      </c>
      <c r="C33" s="11">
        <v>0.375694444444444</v>
      </c>
      <c r="D33" s="11" t="s">
        <v>62</v>
      </c>
      <c r="E33" s="11">
        <v>0.50782407407407404</v>
      </c>
      <c r="F33" s="12">
        <f t="shared" si="1"/>
        <v>3.171111111111121</v>
      </c>
      <c r="G33" s="13">
        <f t="shared" si="2"/>
        <v>3.171111111111121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46140.635007523102</v>
      </c>
      <c r="B34" s="5" t="s">
        <v>84</v>
      </c>
      <c r="C34" s="11">
        <v>0.63500000000000001</v>
      </c>
      <c r="D34" s="11" t="s">
        <v>62</v>
      </c>
      <c r="E34" s="11">
        <v>0.70568287037037003</v>
      </c>
      <c r="F34" s="12">
        <f t="shared" si="1"/>
        <v>1.6963888888888805</v>
      </c>
      <c r="G34" s="13">
        <f t="shared" si="2"/>
        <v>1.6963888888888805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46141.374551388901</v>
      </c>
      <c r="B35" s="5" t="s">
        <v>84</v>
      </c>
      <c r="C35" s="11">
        <v>0.37454861111111099</v>
      </c>
      <c r="D35" s="11" t="s">
        <v>62</v>
      </c>
      <c r="E35" s="11">
        <v>0.41658564814814802</v>
      </c>
      <c r="F35" s="12">
        <f t="shared" si="1"/>
        <v>1.0088888888888889</v>
      </c>
      <c r="G35" s="13">
        <f t="shared" si="2"/>
        <v>1.0088888888888889</v>
      </c>
      <c r="H35" s="13">
        <f t="shared" si="3"/>
        <v>0</v>
      </c>
      <c r="I35"/>
      <c r="J35"/>
    </row>
    <row r="36" spans="1:11" ht="18.75" x14ac:dyDescent="0.15">
      <c r="A36" s="10">
        <f t="shared" ca="1" si="0"/>
        <v>46141.600744328702</v>
      </c>
      <c r="B36" s="5" t="s">
        <v>84</v>
      </c>
      <c r="C36" s="11">
        <v>0.60074074074074102</v>
      </c>
      <c r="D36" s="11" t="s">
        <v>62</v>
      </c>
      <c r="E36" s="11">
        <v>0.74721064814814797</v>
      </c>
      <c r="F36" s="12">
        <f t="shared" si="1"/>
        <v>3.5152777777777668</v>
      </c>
      <c r="G36" s="13">
        <f t="shared" si="2"/>
        <v>3.5152777777777668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42"/>
  <sheetViews>
    <sheetView topLeftCell="A13" zoomScale="85" zoomScaleNormal="85" workbookViewId="0">
      <selection activeCell="D29" sqref="D2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46113.074506712997</v>
      </c>
      <c r="B3" s="5" t="s">
        <v>81</v>
      </c>
      <c r="C3" s="11">
        <v>0</v>
      </c>
      <c r="D3" s="11" t="s">
        <v>62</v>
      </c>
      <c r="E3" s="11">
        <v>9.9050925925925903E-2</v>
      </c>
      <c r="F3" s="12">
        <f t="shared" ref="F3:F42" si="1">(IF(E3-C3&lt;0,"24:00"-C3+E3,E3-C3))*24</f>
        <v>2.3772222222222217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2.3772222222222217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46113.099079976899</v>
      </c>
      <c r="B4" s="5" t="s">
        <v>75</v>
      </c>
      <c r="C4" s="11">
        <v>9.9062499999999998E-2</v>
      </c>
      <c r="D4" s="11" t="s">
        <v>62</v>
      </c>
      <c r="E4" s="11">
        <v>0.14543981481481499</v>
      </c>
      <c r="F4" s="12">
        <f t="shared" si="1"/>
        <v>1.1130555555555599</v>
      </c>
      <c r="G4" s="13">
        <f t="shared" si="2"/>
        <v>0</v>
      </c>
      <c r="H4" s="13">
        <f t="shared" si="3"/>
        <v>1.1130555555555599</v>
      </c>
      <c r="I4" s="21" t="s">
        <v>64</v>
      </c>
      <c r="J4" s="22">
        <f>SUMIF(B:B,"西塔台管制席",F:F)+SUMIF(B:B,"东塔台管制席",F:F)</f>
        <v>26.927499999999995</v>
      </c>
      <c r="K4" s="23">
        <f>SUMIF(B:B,"西塔台管制席",G:G)+SUMIF(B:B,"东塔台管制席",G:G)</f>
        <v>20.521111111111104</v>
      </c>
      <c r="L4" s="23">
        <f>SUMIF(B:B,"西塔台管制席",H:H)+SUMIF(B:B,"东塔台管制席",H:H)</f>
        <v>6.4063888888888929</v>
      </c>
      <c r="M4" s="19"/>
    </row>
    <row r="5" spans="1:16" ht="18.75" x14ac:dyDescent="0.25">
      <c r="A5" s="10">
        <f t="shared" ca="1" si="0"/>
        <v>46113.958390393498</v>
      </c>
      <c r="B5" s="5" t="s">
        <v>76</v>
      </c>
      <c r="C5" s="11">
        <v>0.95837962962962997</v>
      </c>
      <c r="D5" s="11" t="s">
        <v>62</v>
      </c>
      <c r="E5" s="11">
        <v>0.112222222222222</v>
      </c>
      <c r="F5" s="12">
        <f t="shared" si="1"/>
        <v>3.6922222222222087</v>
      </c>
      <c r="G5" s="13">
        <f t="shared" si="2"/>
        <v>0.99888888888888072</v>
      </c>
      <c r="H5" s="13">
        <f t="shared" si="3"/>
        <v>2.693333333333328</v>
      </c>
      <c r="I5" s="21" t="s">
        <v>65</v>
      </c>
      <c r="J5" s="22">
        <f>SUMIF(B:B,"西塔台协调席",F:F)+SUMIF(B:B,"东塔台协调席",F:F)</f>
        <v>31.274444444444413</v>
      </c>
      <c r="K5" s="23">
        <f>SUMIF(B:B,"西塔台协调席",G:G)+SUMIF(B:B,"东塔台协调席",G:G)</f>
        <v>17.358333333333331</v>
      </c>
      <c r="L5" s="23">
        <f>SUMIF(B:B,"西塔台协调席",H:H)+SUMIF(B:B,"东塔台协调席",H:H)</f>
        <v>13.916111111111082</v>
      </c>
      <c r="M5" s="19"/>
    </row>
    <row r="6" spans="1:16" ht="18.75" x14ac:dyDescent="0.25">
      <c r="A6" s="10">
        <f t="shared" ca="1" si="0"/>
        <v>46117.139235763898</v>
      </c>
      <c r="B6" s="5" t="s">
        <v>82</v>
      </c>
      <c r="C6" s="11">
        <v>0.13923611111111101</v>
      </c>
      <c r="D6" s="11" t="s">
        <v>62</v>
      </c>
      <c r="E6" s="11">
        <v>0.22203703703703701</v>
      </c>
      <c r="F6" s="12">
        <f t="shared" si="1"/>
        <v>1.987222222222224</v>
      </c>
      <c r="G6" s="13">
        <f t="shared" si="2"/>
        <v>0</v>
      </c>
      <c r="H6" s="13">
        <f t="shared" si="3"/>
        <v>1.987222222222224</v>
      </c>
      <c r="I6" s="21" t="s">
        <v>66</v>
      </c>
      <c r="J6" s="22">
        <f>SUMIF(B:B,"放行席",F:F)</f>
        <v>4.3638888888888729</v>
      </c>
      <c r="K6" s="23">
        <f>SUMIF(B:B,"放行席",G:G)</f>
        <v>0</v>
      </c>
      <c r="L6" s="23">
        <f>SUMIF(B:B,"放行席",H:H)</f>
        <v>4.3638888888888729</v>
      </c>
      <c r="M6" s="19"/>
    </row>
    <row r="7" spans="1:16" ht="18.75" x14ac:dyDescent="0.25">
      <c r="A7" s="10">
        <f t="shared" ca="1" si="0"/>
        <v>46117.2220670139</v>
      </c>
      <c r="B7" s="5" t="s">
        <v>81</v>
      </c>
      <c r="C7" s="11">
        <v>0.22203703703703701</v>
      </c>
      <c r="D7" s="11" t="s">
        <v>62</v>
      </c>
      <c r="E7" s="11">
        <v>0.31509259259259298</v>
      </c>
      <c r="F7" s="12">
        <f t="shared" si="1"/>
        <v>2.2333333333333432</v>
      </c>
      <c r="G7" s="13">
        <f t="shared" si="2"/>
        <v>0</v>
      </c>
      <c r="H7" s="13">
        <f t="shared" si="3"/>
        <v>2.2333333333333432</v>
      </c>
      <c r="I7" s="21" t="s">
        <v>67</v>
      </c>
      <c r="J7" s="22">
        <f>SUMIF(B:B,"地面席",F:F)</f>
        <v>3.914722222222224</v>
      </c>
      <c r="K7" s="23">
        <f>SUMIF(B:B,"地面席",G:G)</f>
        <v>0</v>
      </c>
      <c r="L7" s="23">
        <f>SUMIF(B:B,"地面席",H:H)</f>
        <v>3.914722222222224</v>
      </c>
      <c r="M7" s="19"/>
    </row>
    <row r="8" spans="1:16" ht="18.75" x14ac:dyDescent="0.25">
      <c r="A8" s="10">
        <f t="shared" ca="1" si="0"/>
        <v>46117.750173611101</v>
      </c>
      <c r="B8" s="5" t="s">
        <v>75</v>
      </c>
      <c r="C8" s="11">
        <v>0.75017361111111103</v>
      </c>
      <c r="D8" s="11" t="s">
        <v>62</v>
      </c>
      <c r="E8" s="11">
        <v>0.83871527777777799</v>
      </c>
      <c r="F8" s="12">
        <f t="shared" si="1"/>
        <v>2.1250000000000071</v>
      </c>
      <c r="G8" s="13">
        <f t="shared" si="2"/>
        <v>2.1250000000000071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46118.139184143503</v>
      </c>
      <c r="B9" s="5" t="s">
        <v>82</v>
      </c>
      <c r="C9" s="11">
        <v>0.139178240740741</v>
      </c>
      <c r="D9" s="11" t="s">
        <v>62</v>
      </c>
      <c r="E9" s="11">
        <v>0.21949074074074101</v>
      </c>
      <c r="F9" s="12">
        <f t="shared" si="1"/>
        <v>1.9275000000000002</v>
      </c>
      <c r="G9" s="13">
        <f t="shared" si="2"/>
        <v>0</v>
      </c>
      <c r="H9" s="13">
        <f t="shared" si="3"/>
        <v>1.9275000000000002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46120.359035185204</v>
      </c>
      <c r="B10" s="5" t="s">
        <v>75</v>
      </c>
      <c r="C10" s="11">
        <v>0.359027777777778</v>
      </c>
      <c r="D10" s="11" t="s">
        <v>62</v>
      </c>
      <c r="E10" s="11">
        <v>0.50810185185185197</v>
      </c>
      <c r="F10" s="12">
        <f t="shared" si="1"/>
        <v>3.5777777777777753</v>
      </c>
      <c r="G10" s="13">
        <f t="shared" si="2"/>
        <v>3.5777777777777753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46120.624515162002</v>
      </c>
      <c r="B11" s="5" t="s">
        <v>76</v>
      </c>
      <c r="C11" s="11">
        <v>0.62451388888888903</v>
      </c>
      <c r="D11" s="11" t="s">
        <v>62</v>
      </c>
      <c r="E11" s="11">
        <v>0.75682870370370403</v>
      </c>
      <c r="F11" s="12">
        <f t="shared" si="1"/>
        <v>3.1755555555555599</v>
      </c>
      <c r="G11" s="13">
        <f t="shared" si="2"/>
        <v>3.1755555555555599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46120.875406250001</v>
      </c>
      <c r="B12" s="5" t="s">
        <v>75</v>
      </c>
      <c r="C12" s="11">
        <v>0.87540509259259303</v>
      </c>
      <c r="D12" s="11" t="s">
        <v>62</v>
      </c>
      <c r="E12" s="11">
        <v>0.96203703703703702</v>
      </c>
      <c r="F12" s="12">
        <f t="shared" si="1"/>
        <v>2.0791666666666559</v>
      </c>
      <c r="G12" s="13">
        <f t="shared" si="2"/>
        <v>2.0791666666666559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46121.298100115702</v>
      </c>
      <c r="B13" s="5" t="s">
        <v>75</v>
      </c>
      <c r="C13" s="11">
        <v>0.29809027777777802</v>
      </c>
      <c r="D13" s="11" t="s">
        <v>62</v>
      </c>
      <c r="E13" s="11">
        <v>0.42304398148148098</v>
      </c>
      <c r="F13" s="12">
        <f t="shared" si="1"/>
        <v>2.998888888888871</v>
      </c>
      <c r="G13" s="13">
        <f t="shared" si="2"/>
        <v>2.1530555555555519</v>
      </c>
      <c r="H13" s="13">
        <f t="shared" si="3"/>
        <v>0.845833333333319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46121.501244328698</v>
      </c>
      <c r="B14" s="5" t="s">
        <v>76</v>
      </c>
      <c r="C14" s="11">
        <v>0.50123842592592605</v>
      </c>
      <c r="D14" s="11" t="s">
        <v>62</v>
      </c>
      <c r="E14" s="11">
        <v>0.63107638888888895</v>
      </c>
      <c r="F14" s="12">
        <f t="shared" si="1"/>
        <v>3.1161111111111097</v>
      </c>
      <c r="G14" s="13">
        <f t="shared" si="2"/>
        <v>3.1161111111111097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46121.752068865702</v>
      </c>
      <c r="B15" s="5" t="s">
        <v>75</v>
      </c>
      <c r="C15" s="11">
        <v>0.75206018518518503</v>
      </c>
      <c r="D15" s="11" t="s">
        <v>62</v>
      </c>
      <c r="E15" s="11">
        <v>0.84075231481481505</v>
      </c>
      <c r="F15" s="12">
        <f t="shared" si="1"/>
        <v>2.1286111111111206</v>
      </c>
      <c r="G15" s="13">
        <f t="shared" si="2"/>
        <v>2.1286111111111206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46122.245881481504</v>
      </c>
      <c r="B16" s="5" t="s">
        <v>83</v>
      </c>
      <c r="C16" s="11">
        <v>0.24587962962963</v>
      </c>
      <c r="D16" s="11" t="s">
        <v>62</v>
      </c>
      <c r="E16" s="11">
        <v>0.32877314814814801</v>
      </c>
      <c r="F16" s="12">
        <f t="shared" si="1"/>
        <v>1.9894444444444321</v>
      </c>
      <c r="G16" s="13">
        <f t="shared" si="2"/>
        <v>0</v>
      </c>
      <c r="H16" s="13">
        <f t="shared" si="3"/>
        <v>1.9894444444444321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46132.500885300899</v>
      </c>
      <c r="B17" s="5" t="s">
        <v>75</v>
      </c>
      <c r="C17" s="11">
        <v>0.50087962962962995</v>
      </c>
      <c r="D17" s="11" t="s">
        <v>62</v>
      </c>
      <c r="E17" s="11">
        <v>0.63295138888888902</v>
      </c>
      <c r="F17" s="12">
        <f t="shared" si="1"/>
        <v>3.1697222222222177</v>
      </c>
      <c r="G17" s="13">
        <f t="shared" si="2"/>
        <v>3.1697222222222177</v>
      </c>
      <c r="H17" s="13">
        <f t="shared" si="3"/>
        <v>0</v>
      </c>
      <c r="I17" s="35" t="s">
        <v>78</v>
      </c>
      <c r="J17" s="36">
        <f>J4+J5+J6+J7+J10</f>
        <v>66.480555555555497</v>
      </c>
      <c r="K17" s="37">
        <f>K4+K5+K6+K7+K10</f>
        <v>37.879444444444431</v>
      </c>
      <c r="L17" s="38">
        <f>L4+L5+L6+L7+L10</f>
        <v>28.601111111111074</v>
      </c>
      <c r="M17" s="39"/>
    </row>
    <row r="18" spans="1:13" ht="20.25" x14ac:dyDescent="0.25">
      <c r="A18" s="10">
        <f t="shared" ca="1" si="0"/>
        <v>46132.755448148098</v>
      </c>
      <c r="B18" s="5" t="s">
        <v>76</v>
      </c>
      <c r="C18" s="11">
        <v>0.75543981481481504</v>
      </c>
      <c r="D18" s="11" t="s">
        <v>62</v>
      </c>
      <c r="E18" s="11">
        <v>0.87891203703703702</v>
      </c>
      <c r="F18" s="12">
        <f t="shared" si="1"/>
        <v>2.9633333333333276</v>
      </c>
      <c r="G18" s="13">
        <f t="shared" si="2"/>
        <v>2.9633333333333276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46133.4166072917</v>
      </c>
      <c r="B19" s="5" t="s">
        <v>75</v>
      </c>
      <c r="C19" s="11">
        <v>0.41659722222222201</v>
      </c>
      <c r="D19" s="11" t="s">
        <v>62</v>
      </c>
      <c r="E19" s="11">
        <v>0.50746527777777795</v>
      </c>
      <c r="F19" s="12">
        <f t="shared" si="1"/>
        <v>2.1808333333333425</v>
      </c>
      <c r="G19" s="13">
        <f t="shared" si="2"/>
        <v>2.1808333333333425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46133.625917013902</v>
      </c>
      <c r="B20" s="5" t="s">
        <v>76</v>
      </c>
      <c r="C20" s="11">
        <v>0.62591435185185196</v>
      </c>
      <c r="D20" s="11" t="s">
        <v>62</v>
      </c>
      <c r="E20" s="11">
        <v>0.76127314814814795</v>
      </c>
      <c r="F20" s="12">
        <f t="shared" si="1"/>
        <v>3.2486111111111038</v>
      </c>
      <c r="G20" s="13">
        <f t="shared" si="2"/>
        <v>3.2486111111111038</v>
      </c>
      <c r="H20" s="13">
        <f t="shared" si="3"/>
        <v>0</v>
      </c>
      <c r="I20" s="40" t="s">
        <v>80</v>
      </c>
      <c r="J20" s="65">
        <f>J16+J17+J18+J19</f>
        <v>66.480555555555497</v>
      </c>
      <c r="K20" s="66"/>
      <c r="L20" s="67"/>
      <c r="M20" s="41"/>
    </row>
    <row r="21" spans="1:13" ht="20.25" x14ac:dyDescent="0.25">
      <c r="A21" s="10">
        <f t="shared" ca="1" si="0"/>
        <v>46133.833876967597</v>
      </c>
      <c r="B21" s="5" t="s">
        <v>75</v>
      </c>
      <c r="C21" s="11">
        <v>0.83387731481481497</v>
      </c>
      <c r="D21" s="11" t="s">
        <v>62</v>
      </c>
      <c r="E21" s="11">
        <v>0.96333333333333304</v>
      </c>
      <c r="F21" s="12">
        <f t="shared" si="1"/>
        <v>3.1069444444444336</v>
      </c>
      <c r="G21" s="13">
        <f t="shared" si="2"/>
        <v>3.1069444444444336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46134.297637962998</v>
      </c>
      <c r="B22" s="5" t="s">
        <v>76</v>
      </c>
      <c r="C22" s="11">
        <v>0.29762731481481502</v>
      </c>
      <c r="D22" s="11" t="s">
        <v>62</v>
      </c>
      <c r="E22" s="11">
        <v>0.36168981481481499</v>
      </c>
      <c r="F22" s="12">
        <f t="shared" si="1"/>
        <v>1.5374999999999992</v>
      </c>
      <c r="G22" s="13">
        <f t="shared" si="2"/>
        <v>0.68055555555556824</v>
      </c>
      <c r="H22" s="13">
        <f t="shared" si="3"/>
        <v>0.85694444444443096</v>
      </c>
      <c r="I22"/>
      <c r="J22"/>
    </row>
    <row r="23" spans="1:13" ht="18.75" x14ac:dyDescent="0.15">
      <c r="A23" s="10">
        <f t="shared" ca="1" si="0"/>
        <v>46136.958404398101</v>
      </c>
      <c r="B23" s="5" t="s">
        <v>76</v>
      </c>
      <c r="C23" s="11">
        <v>0.95840277777777805</v>
      </c>
      <c r="D23" s="11" t="s">
        <v>62</v>
      </c>
      <c r="E23" s="11">
        <v>0.129444444444444</v>
      </c>
      <c r="F23" s="12">
        <f t="shared" si="1"/>
        <v>4.1049999999999827</v>
      </c>
      <c r="G23" s="13">
        <f t="shared" si="2"/>
        <v>0.99833333333332686</v>
      </c>
      <c r="H23" s="13">
        <f t="shared" si="3"/>
        <v>3.1066666666666558</v>
      </c>
      <c r="I23"/>
      <c r="J23"/>
    </row>
    <row r="24" spans="1:13" ht="18.75" x14ac:dyDescent="0.15">
      <c r="A24" s="10">
        <f t="shared" ca="1" si="0"/>
        <v>46137.749907291698</v>
      </c>
      <c r="B24" s="5" t="s">
        <v>76</v>
      </c>
      <c r="C24" s="11">
        <v>0.74990740740740702</v>
      </c>
      <c r="D24" s="11" t="s">
        <v>62</v>
      </c>
      <c r="E24" s="11">
        <v>0.84061342592592603</v>
      </c>
      <c r="F24" s="12">
        <f t="shared" si="1"/>
        <v>2.1769444444444561</v>
      </c>
      <c r="G24" s="13">
        <f t="shared" si="2"/>
        <v>2.1769444444444561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46138.0135024306</v>
      </c>
      <c r="B25" s="5" t="s">
        <v>73</v>
      </c>
      <c r="C25" s="11">
        <v>1.3495370370370401E-2</v>
      </c>
      <c r="D25" s="11" t="s">
        <v>62</v>
      </c>
      <c r="E25" s="11">
        <v>0.111273148148148</v>
      </c>
      <c r="F25" s="12">
        <f t="shared" si="1"/>
        <v>2.3466666666666622</v>
      </c>
      <c r="G25" s="13">
        <f t="shared" si="2"/>
        <v>0</v>
      </c>
      <c r="H25" s="13">
        <f t="shared" si="3"/>
        <v>2.3466666666666622</v>
      </c>
      <c r="I25"/>
      <c r="J25"/>
    </row>
    <row r="26" spans="1:13" ht="18.75" x14ac:dyDescent="0.15">
      <c r="A26" s="10">
        <f t="shared" ca="1" si="0"/>
        <v>46138.111306250001</v>
      </c>
      <c r="B26" s="5" t="s">
        <v>76</v>
      </c>
      <c r="C26" s="11">
        <v>0.111296296296296</v>
      </c>
      <c r="D26" s="11" t="s">
        <v>62</v>
      </c>
      <c r="E26" s="11">
        <v>0.14532407407407399</v>
      </c>
      <c r="F26" s="12">
        <f t="shared" si="1"/>
        <v>0.81666666666667176</v>
      </c>
      <c r="G26" s="13">
        <f t="shared" si="2"/>
        <v>0</v>
      </c>
      <c r="H26" s="13">
        <f t="shared" si="3"/>
        <v>0.81666666666667176</v>
      </c>
      <c r="I26"/>
      <c r="J26"/>
    </row>
    <row r="27" spans="1:13" ht="18.75" x14ac:dyDescent="0.15">
      <c r="A27" s="10">
        <f t="shared" ca="1" si="0"/>
        <v>46141.131500347197</v>
      </c>
      <c r="B27" s="5" t="s">
        <v>83</v>
      </c>
      <c r="C27" s="11">
        <v>0.13149305555555599</v>
      </c>
      <c r="D27" s="11" t="s">
        <v>62</v>
      </c>
      <c r="E27" s="11">
        <v>0.230428240740741</v>
      </c>
      <c r="F27" s="12">
        <f t="shared" si="1"/>
        <v>2.3744444444444404</v>
      </c>
      <c r="G27" s="13">
        <f t="shared" si="2"/>
        <v>0</v>
      </c>
      <c r="H27" s="13">
        <f t="shared" si="3"/>
        <v>2.3744444444444404</v>
      </c>
      <c r="I27"/>
      <c r="J27"/>
    </row>
    <row r="28" spans="1:13" ht="18.75" x14ac:dyDescent="0.15">
      <c r="A28" s="10">
        <f t="shared" ca="1" si="0"/>
        <v>46141.230486111097</v>
      </c>
      <c r="B28" s="5" t="s">
        <v>76</v>
      </c>
      <c r="C28" s="11">
        <v>0.23043981481481501</v>
      </c>
      <c r="D28" s="11" t="s">
        <v>62</v>
      </c>
      <c r="E28" s="11">
        <v>0.30677083333333299</v>
      </c>
      <c r="F28" s="12">
        <f t="shared" si="1"/>
        <v>1.8319444444444315</v>
      </c>
      <c r="G28" s="13">
        <f t="shared" si="2"/>
        <v>0</v>
      </c>
      <c r="H28" s="13">
        <f t="shared" si="3"/>
        <v>1.8319444444444315</v>
      </c>
      <c r="I28"/>
      <c r="J28"/>
    </row>
    <row r="29" spans="1:13" ht="18.75" x14ac:dyDescent="0.15">
      <c r="A29" s="10">
        <f t="shared" ca="1" si="0"/>
        <v>46142.139304398203</v>
      </c>
      <c r="B29" s="5" t="s">
        <v>75</v>
      </c>
      <c r="C29" s="11">
        <v>0.13929398148148101</v>
      </c>
      <c r="D29" s="11" t="s">
        <v>62</v>
      </c>
      <c r="E29" s="11">
        <v>0.226828703703704</v>
      </c>
      <c r="F29" s="12">
        <f t="shared" si="1"/>
        <v>2.1008333333333518</v>
      </c>
      <c r="G29" s="13">
        <f t="shared" si="2"/>
        <v>0</v>
      </c>
      <c r="H29" s="13">
        <f t="shared" si="3"/>
        <v>2.1008333333333518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46114.767353356503</v>
      </c>
      <c r="B3" s="5" t="s">
        <v>81</v>
      </c>
      <c r="C3" s="11">
        <v>0.76734953703703701</v>
      </c>
      <c r="D3" s="11" t="s">
        <v>62</v>
      </c>
      <c r="E3" s="11">
        <v>0.86252314814814801</v>
      </c>
      <c r="F3" s="12">
        <f t="shared" ref="F3:F42" si="1">(IF(E3-C3&lt;0,"24:00"-C3+E3,E3-C3))*24</f>
        <v>2.284166666666664</v>
      </c>
      <c r="G3" s="13">
        <f t="shared" ref="G3:G42" si="2">F3-H3</f>
        <v>2.284166666666664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46115.417552893501</v>
      </c>
      <c r="B4" s="5" t="s">
        <v>75</v>
      </c>
      <c r="C4" s="11">
        <v>0.41754629629629603</v>
      </c>
      <c r="D4" s="11" t="s">
        <v>62</v>
      </c>
      <c r="E4" s="11">
        <v>0.528865740740741</v>
      </c>
      <c r="F4" s="12">
        <f t="shared" si="1"/>
        <v>2.6716666666666793</v>
      </c>
      <c r="G4" s="13">
        <f t="shared" si="2"/>
        <v>2.6716666666666793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38.631666666666717</v>
      </c>
      <c r="K4" s="23">
        <f>SUMIF(B:B,"西塔台管制席",G:G)+SUMIF(B:B,"东塔台管制席",G:G)</f>
        <v>24.494166666666697</v>
      </c>
      <c r="L4" s="23">
        <f>SUMIF(B:B,"西塔台管制席",H:H)+SUMIF(B:B,"东塔台管制席",H:H)</f>
        <v>14.137500000000022</v>
      </c>
      <c r="M4" s="19"/>
    </row>
    <row r="5" spans="1:16" ht="18.75" x14ac:dyDescent="0.25">
      <c r="A5" s="10">
        <f t="shared" ca="1" si="0"/>
        <v>46115.624832986097</v>
      </c>
      <c r="B5" s="5" t="s">
        <v>75</v>
      </c>
      <c r="C5" s="11">
        <v>0.62482638888888897</v>
      </c>
      <c r="D5" s="11" t="s">
        <v>62</v>
      </c>
      <c r="E5" s="11">
        <v>0.77958333333333296</v>
      </c>
      <c r="F5" s="12">
        <f t="shared" si="1"/>
        <v>3.7141666666666557</v>
      </c>
      <c r="G5" s="13">
        <f t="shared" si="2"/>
        <v>3.7141666666666557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25.285277777777743</v>
      </c>
      <c r="K5" s="23">
        <f>SUMIF(B:B,"西塔台协调席",G:G)+SUMIF(B:B,"东塔台协调席",G:G)</f>
        <v>17.044722222222195</v>
      </c>
      <c r="L5" s="23">
        <f>SUMIF(B:B,"西塔台协调席",H:H)+SUMIF(B:B,"东塔台协调席",H:H)</f>
        <v>8.2405555555555488</v>
      </c>
      <c r="M5" s="19"/>
    </row>
    <row r="6" spans="1:16" ht="18.75" x14ac:dyDescent="0.25">
      <c r="A6" s="10">
        <f t="shared" ca="1" si="0"/>
        <v>46115.855245370403</v>
      </c>
      <c r="B6" s="5" t="s">
        <v>75</v>
      </c>
      <c r="C6" s="11">
        <v>0.85524305555555602</v>
      </c>
      <c r="D6" s="11" t="s">
        <v>62</v>
      </c>
      <c r="E6" s="11">
        <v>0.957893518518519</v>
      </c>
      <c r="F6" s="12">
        <f t="shared" si="1"/>
        <v>2.4636111111111116</v>
      </c>
      <c r="G6" s="13">
        <f t="shared" si="2"/>
        <v>2.4636111111111116</v>
      </c>
      <c r="H6" s="13">
        <f t="shared" si="3"/>
        <v>0</v>
      </c>
      <c r="I6" s="21" t="s">
        <v>66</v>
      </c>
      <c r="J6" s="22">
        <f>SUMIF(B:B,"放行席",F:F)</f>
        <v>2.3333333333333517</v>
      </c>
      <c r="K6" s="23">
        <f>SUMIF(B:B,"放行席",G:G)</f>
        <v>0</v>
      </c>
      <c r="L6" s="23">
        <f>SUMIF(B:B,"放行席",H:H)</f>
        <v>2.3333333333333517</v>
      </c>
      <c r="M6" s="19"/>
    </row>
    <row r="7" spans="1:16" ht="18.75" x14ac:dyDescent="0.25">
      <c r="A7" s="10">
        <f t="shared" ca="1" si="0"/>
        <v>46116.293864814797</v>
      </c>
      <c r="B7" s="5" t="s">
        <v>75</v>
      </c>
      <c r="C7" s="11">
        <v>0.29385416666666703</v>
      </c>
      <c r="D7" s="11" t="s">
        <v>62</v>
      </c>
      <c r="E7" s="11">
        <v>0.36408564814814798</v>
      </c>
      <c r="F7" s="12">
        <f t="shared" si="1"/>
        <v>1.6855555555555428</v>
      </c>
      <c r="G7" s="13">
        <f t="shared" si="2"/>
        <v>0.73805555555555991</v>
      </c>
      <c r="H7" s="13">
        <f t="shared" si="3"/>
        <v>0.94749999999998291</v>
      </c>
      <c r="I7" s="21" t="s">
        <v>67</v>
      </c>
      <c r="J7" s="22">
        <f>SUMIF(B:B,"地面席",F:F)</f>
        <v>2.0205555555555605</v>
      </c>
      <c r="K7" s="23">
        <f>SUMIF(B:B,"地面席",G:G)</f>
        <v>0</v>
      </c>
      <c r="L7" s="23">
        <f>SUMIF(B:B,"地面席",H:H)</f>
        <v>2.0205555555555605</v>
      </c>
      <c r="M7" s="19"/>
    </row>
    <row r="8" spans="1:16" ht="18.75" x14ac:dyDescent="0.25">
      <c r="A8" s="10">
        <f t="shared" ca="1" si="0"/>
        <v>46118.951968055597</v>
      </c>
      <c r="B8" s="5" t="s">
        <v>76</v>
      </c>
      <c r="C8" s="11">
        <v>0.951967592592593</v>
      </c>
      <c r="D8" s="11" t="s">
        <v>62</v>
      </c>
      <c r="E8" s="11">
        <v>0.106944444444444</v>
      </c>
      <c r="F8" s="12">
        <f t="shared" si="1"/>
        <v>3.7194444444444241</v>
      </c>
      <c r="G8" s="13">
        <f t="shared" si="2"/>
        <v>1.1527777777777684</v>
      </c>
      <c r="H8" s="13">
        <f t="shared" si="3"/>
        <v>2.5666666666666558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46120.1325679398</v>
      </c>
      <c r="B9" s="5" t="s">
        <v>73</v>
      </c>
      <c r="C9" s="11">
        <v>0.13255787037037001</v>
      </c>
      <c r="D9" s="11" t="s">
        <v>62</v>
      </c>
      <c r="E9" s="11">
        <v>0.23981481481481501</v>
      </c>
      <c r="F9" s="12">
        <f t="shared" si="1"/>
        <v>2.57416666666668</v>
      </c>
      <c r="G9" s="13">
        <f t="shared" si="2"/>
        <v>0</v>
      </c>
      <c r="H9" s="13">
        <f t="shared" si="3"/>
        <v>2.57416666666668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46120.242828703696</v>
      </c>
      <c r="B10" s="5" t="s">
        <v>76</v>
      </c>
      <c r="C10" s="11">
        <v>0.242824074074074</v>
      </c>
      <c r="D10" s="11" t="s">
        <v>62</v>
      </c>
      <c r="E10" s="11">
        <v>0.29938657407407399</v>
      </c>
      <c r="F10" s="12">
        <f t="shared" si="1"/>
        <v>1.3574999999999997</v>
      </c>
      <c r="G10" s="13">
        <f t="shared" si="2"/>
        <v>0</v>
      </c>
      <c r="H10" s="13">
        <f t="shared" si="3"/>
        <v>1.3574999999999997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46123.138670138898</v>
      </c>
      <c r="B11" s="5" t="s">
        <v>82</v>
      </c>
      <c r="C11" s="11">
        <v>0.13866898148148099</v>
      </c>
      <c r="D11" s="11" t="s">
        <v>62</v>
      </c>
      <c r="E11" s="11">
        <v>0.22285879629629601</v>
      </c>
      <c r="F11" s="12">
        <f t="shared" si="1"/>
        <v>2.0205555555555605</v>
      </c>
      <c r="G11" s="13">
        <f t="shared" si="2"/>
        <v>0</v>
      </c>
      <c r="H11" s="13">
        <f t="shared" si="3"/>
        <v>2.0205555555555605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46123.952230208299</v>
      </c>
      <c r="B12" s="5" t="s">
        <v>75</v>
      </c>
      <c r="C12" s="11">
        <v>0.95222222222222197</v>
      </c>
      <c r="D12" s="11" t="s">
        <v>62</v>
      </c>
      <c r="E12" s="11">
        <v>0.98690972222222195</v>
      </c>
      <c r="F12" s="12">
        <f t="shared" si="1"/>
        <v>0.83249999999999957</v>
      </c>
      <c r="G12" s="13">
        <f t="shared" si="2"/>
        <v>0.83249999999999957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46123.995731018498</v>
      </c>
      <c r="B13" s="5" t="s">
        <v>75</v>
      </c>
      <c r="C13" s="11">
        <v>0.995729166666667</v>
      </c>
      <c r="D13" s="11" t="s">
        <v>62</v>
      </c>
      <c r="E13" s="11">
        <v>0.105555555555556</v>
      </c>
      <c r="F13" s="12">
        <f t="shared" si="1"/>
        <v>2.6358333333333359</v>
      </c>
      <c r="G13" s="13">
        <f t="shared" si="2"/>
        <v>0.10249999999999204</v>
      </c>
      <c r="H13" s="13">
        <f t="shared" si="3"/>
        <v>2.5333333333333439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46126.3555486111</v>
      </c>
      <c r="B14" s="5" t="s">
        <v>76</v>
      </c>
      <c r="C14" s="11">
        <v>0.35554398148148197</v>
      </c>
      <c r="D14" s="11" t="s">
        <v>62</v>
      </c>
      <c r="E14" s="11">
        <v>0.52950231481481502</v>
      </c>
      <c r="F14" s="12">
        <f t="shared" si="1"/>
        <v>4.1749999999999936</v>
      </c>
      <c r="G14" s="13">
        <f t="shared" si="2"/>
        <v>4.1749999999999936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46126.6882289352</v>
      </c>
      <c r="B15" s="5" t="s">
        <v>76</v>
      </c>
      <c r="C15" s="11">
        <v>0.688229166666667</v>
      </c>
      <c r="D15" s="11" t="s">
        <v>62</v>
      </c>
      <c r="E15" s="11">
        <v>0.77978009259259295</v>
      </c>
      <c r="F15" s="12">
        <f t="shared" si="1"/>
        <v>2.1972222222222229</v>
      </c>
      <c r="G15" s="13">
        <f t="shared" si="2"/>
        <v>2.1972222222222229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46126.854650462999</v>
      </c>
      <c r="B16" s="5" t="s">
        <v>76</v>
      </c>
      <c r="C16" s="11">
        <v>0.854641203703704</v>
      </c>
      <c r="D16" s="11" t="s">
        <v>62</v>
      </c>
      <c r="E16" s="11">
        <v>0.90303240740740698</v>
      </c>
      <c r="F16" s="12">
        <f t="shared" si="1"/>
        <v>1.1613888888888715</v>
      </c>
      <c r="G16" s="13">
        <f t="shared" si="2"/>
        <v>1.1613888888888715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46126.917437037002</v>
      </c>
      <c r="B17" s="5" t="s">
        <v>76</v>
      </c>
      <c r="C17" s="11">
        <v>0.91743055555555597</v>
      </c>
      <c r="D17" s="11" t="s">
        <v>62</v>
      </c>
      <c r="E17" s="11">
        <v>0.95760416666666703</v>
      </c>
      <c r="F17" s="12">
        <f t="shared" si="1"/>
        <v>0.96416666666666551</v>
      </c>
      <c r="G17" s="13">
        <f t="shared" si="2"/>
        <v>0.96416666666666551</v>
      </c>
      <c r="H17" s="13">
        <f t="shared" si="3"/>
        <v>0</v>
      </c>
      <c r="I17" s="35" t="s">
        <v>78</v>
      </c>
      <c r="J17" s="36">
        <f>J4+J5+J6+J7+J10</f>
        <v>68.270833333333371</v>
      </c>
      <c r="K17" s="37">
        <f>K4+K5+K6+K7+K10</f>
        <v>41.538888888888891</v>
      </c>
      <c r="L17" s="38">
        <f>L4+L5+L6+L7+L10</f>
        <v>26.73194444444448</v>
      </c>
      <c r="M17" s="39"/>
    </row>
    <row r="18" spans="1:13" ht="20.25" x14ac:dyDescent="0.25">
      <c r="A18" s="10">
        <f t="shared" ca="1" si="0"/>
        <v>46127.294442592603</v>
      </c>
      <c r="B18" s="5" t="s">
        <v>75</v>
      </c>
      <c r="C18" s="11">
        <v>0.29443287037037003</v>
      </c>
      <c r="D18" s="11" t="s">
        <v>62</v>
      </c>
      <c r="E18" s="11">
        <v>0.42427083333333299</v>
      </c>
      <c r="F18" s="12">
        <f t="shared" si="1"/>
        <v>3.1161111111111111</v>
      </c>
      <c r="G18" s="13">
        <f t="shared" si="2"/>
        <v>2.1825000000000001</v>
      </c>
      <c r="H18" s="13">
        <f t="shared" si="3"/>
        <v>0.93361111111111095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46127.520658333298</v>
      </c>
      <c r="B19" s="5" t="s">
        <v>75</v>
      </c>
      <c r="C19" s="11">
        <v>0.52064814814814797</v>
      </c>
      <c r="D19" s="11" t="s">
        <v>62</v>
      </c>
      <c r="E19" s="11">
        <v>0.63387731481481502</v>
      </c>
      <c r="F19" s="12">
        <f t="shared" si="1"/>
        <v>2.7175000000000091</v>
      </c>
      <c r="G19" s="13">
        <f t="shared" si="2"/>
        <v>2.7175000000000091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46127.772056018497</v>
      </c>
      <c r="B20" s="5" t="s">
        <v>75</v>
      </c>
      <c r="C20" s="11">
        <v>0.77204861111111101</v>
      </c>
      <c r="D20" s="11" t="s">
        <v>62</v>
      </c>
      <c r="E20" s="11">
        <v>0.85428240740740702</v>
      </c>
      <c r="F20" s="12">
        <f t="shared" si="1"/>
        <v>1.9736111111111043</v>
      </c>
      <c r="G20" s="13">
        <f t="shared" si="2"/>
        <v>1.9736111111111043</v>
      </c>
      <c r="H20" s="13">
        <f t="shared" si="3"/>
        <v>0</v>
      </c>
      <c r="I20" s="40" t="s">
        <v>80</v>
      </c>
      <c r="J20" s="65">
        <f>J16+J17+J18+J19</f>
        <v>68.270833333333371</v>
      </c>
      <c r="K20" s="66"/>
      <c r="L20" s="67"/>
      <c r="M20" s="41"/>
    </row>
    <row r="21" spans="1:13" ht="20.25" x14ac:dyDescent="0.25">
      <c r="A21" s="10">
        <f t="shared" ca="1" si="0"/>
        <v>46131.0134436343</v>
      </c>
      <c r="B21" s="5" t="s">
        <v>76</v>
      </c>
      <c r="C21" s="11">
        <v>1.34375E-2</v>
      </c>
      <c r="D21" s="11" t="s">
        <v>62</v>
      </c>
      <c r="E21" s="11">
        <v>9.6678240740740704E-2</v>
      </c>
      <c r="F21" s="12">
        <f t="shared" si="1"/>
        <v>1.9977777777777768</v>
      </c>
      <c r="G21" s="13">
        <f t="shared" si="2"/>
        <v>0</v>
      </c>
      <c r="H21" s="13">
        <f t="shared" si="3"/>
        <v>1.9977777777777768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46131.0967221065</v>
      </c>
      <c r="B22" s="5" t="s">
        <v>73</v>
      </c>
      <c r="C22" s="11">
        <v>9.6712962962963001E-2</v>
      </c>
      <c r="D22" s="11" t="s">
        <v>62</v>
      </c>
      <c r="E22" s="11">
        <v>0.14652777777777801</v>
      </c>
      <c r="F22" s="12">
        <f t="shared" si="1"/>
        <v>1.1955555555555601</v>
      </c>
      <c r="G22" s="13">
        <f t="shared" si="2"/>
        <v>0</v>
      </c>
      <c r="H22" s="13">
        <f t="shared" si="3"/>
        <v>1.1955555555555601</v>
      </c>
      <c r="I22"/>
      <c r="J22"/>
    </row>
    <row r="23" spans="1:13" ht="18.75" x14ac:dyDescent="0.15">
      <c r="A23" s="10">
        <f t="shared" ca="1" si="0"/>
        <v>46132.132449884302</v>
      </c>
      <c r="B23" s="5" t="s">
        <v>73</v>
      </c>
      <c r="C23" s="11">
        <v>0.13244212962963001</v>
      </c>
      <c r="D23" s="11" t="s">
        <v>62</v>
      </c>
      <c r="E23" s="11">
        <v>0.24925925925925899</v>
      </c>
      <c r="F23" s="12">
        <f t="shared" si="1"/>
        <v>2.8036111111110955</v>
      </c>
      <c r="G23" s="13">
        <f t="shared" si="2"/>
        <v>0</v>
      </c>
      <c r="H23" s="13">
        <f t="shared" si="3"/>
        <v>2.8036111111110955</v>
      </c>
      <c r="I23"/>
      <c r="J23"/>
    </row>
    <row r="24" spans="1:13" ht="18.75" x14ac:dyDescent="0.15">
      <c r="A24" s="10">
        <f t="shared" ca="1" si="0"/>
        <v>46132.249284490703</v>
      </c>
      <c r="B24" s="5" t="s">
        <v>75</v>
      </c>
      <c r="C24" s="11">
        <v>0.24928240740740701</v>
      </c>
      <c r="D24" s="11" t="s">
        <v>62</v>
      </c>
      <c r="E24" s="11">
        <v>0.29962962962963002</v>
      </c>
      <c r="F24" s="12">
        <f t="shared" si="1"/>
        <v>1.2083333333333524</v>
      </c>
      <c r="G24" s="13">
        <f t="shared" si="2"/>
        <v>0</v>
      </c>
      <c r="H24" s="13">
        <f t="shared" si="3"/>
        <v>1.2083333333333524</v>
      </c>
      <c r="I24"/>
      <c r="J24"/>
    </row>
    <row r="25" spans="1:13" ht="18.75" x14ac:dyDescent="0.15">
      <c r="A25" s="10">
        <f t="shared" ca="1" si="0"/>
        <v>46135.126324884302</v>
      </c>
      <c r="B25" s="5" t="s">
        <v>83</v>
      </c>
      <c r="C25" s="11">
        <v>0.12631944444444401</v>
      </c>
      <c r="D25" s="11" t="s">
        <v>62</v>
      </c>
      <c r="E25" s="11">
        <v>0.223541666666667</v>
      </c>
      <c r="F25" s="12">
        <f t="shared" si="1"/>
        <v>2.3333333333333517</v>
      </c>
      <c r="G25" s="13">
        <f t="shared" si="2"/>
        <v>0</v>
      </c>
      <c r="H25" s="13">
        <f t="shared" si="3"/>
        <v>2.3333333333333517</v>
      </c>
      <c r="I25"/>
      <c r="J25"/>
    </row>
    <row r="26" spans="1:13" ht="18.75" x14ac:dyDescent="0.15">
      <c r="A26" s="10">
        <f t="shared" ca="1" si="0"/>
        <v>46136.012588078702</v>
      </c>
      <c r="B26" s="5" t="s">
        <v>81</v>
      </c>
      <c r="C26" s="11">
        <v>1.25810185185185E-2</v>
      </c>
      <c r="D26" s="11" t="s">
        <v>62</v>
      </c>
      <c r="E26" s="11">
        <v>0.109189814814815</v>
      </c>
      <c r="F26" s="12">
        <f t="shared" si="1"/>
        <v>2.3186111111111161</v>
      </c>
      <c r="G26" s="13">
        <f t="shared" si="2"/>
        <v>0</v>
      </c>
      <c r="H26" s="13">
        <f t="shared" si="3"/>
        <v>2.3186111111111161</v>
      </c>
      <c r="I26"/>
      <c r="J26"/>
    </row>
    <row r="27" spans="1:13" ht="18.75" x14ac:dyDescent="0.15">
      <c r="A27" s="10">
        <f t="shared" ca="1" si="0"/>
        <v>46136.109243171297</v>
      </c>
      <c r="B27" s="5" t="s">
        <v>75</v>
      </c>
      <c r="C27" s="11">
        <v>0.10923611111111101</v>
      </c>
      <c r="D27" s="11" t="s">
        <v>62</v>
      </c>
      <c r="E27" s="11">
        <v>0.14789351851851901</v>
      </c>
      <c r="F27" s="12">
        <f t="shared" si="1"/>
        <v>0.92777777777779202</v>
      </c>
      <c r="G27" s="13">
        <f t="shared" si="2"/>
        <v>0</v>
      </c>
      <c r="H27" s="13">
        <f t="shared" si="3"/>
        <v>0.92777777777779202</v>
      </c>
      <c r="I27"/>
      <c r="J27"/>
    </row>
    <row r="28" spans="1:13" ht="18.75" x14ac:dyDescent="0.15">
      <c r="A28" s="10">
        <f t="shared" ca="1" si="0"/>
        <v>46138.522570949099</v>
      </c>
      <c r="B28" s="5" t="s">
        <v>75</v>
      </c>
      <c r="C28" s="11">
        <v>0.52256944444444398</v>
      </c>
      <c r="D28" s="11" t="s">
        <v>62</v>
      </c>
      <c r="E28" s="11">
        <v>0.69309027777777799</v>
      </c>
      <c r="F28" s="12">
        <f t="shared" si="1"/>
        <v>4.0925000000000162</v>
      </c>
      <c r="G28" s="13">
        <f t="shared" si="2"/>
        <v>4.0925000000000162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46138.772520601902</v>
      </c>
      <c r="B29" s="5" t="s">
        <v>75</v>
      </c>
      <c r="C29" s="11">
        <v>0.772511574074074</v>
      </c>
      <c r="D29" s="11" t="s">
        <v>62</v>
      </c>
      <c r="E29" s="11">
        <v>0.86513888888888901</v>
      </c>
      <c r="F29" s="12">
        <f t="shared" si="1"/>
        <v>2.2230555555555602</v>
      </c>
      <c r="G29" s="13">
        <f t="shared" si="2"/>
        <v>2.2230555555555602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46139.417879745401</v>
      </c>
      <c r="B30" s="5" t="s">
        <v>76</v>
      </c>
      <c r="C30" s="11">
        <v>0.41787037037037</v>
      </c>
      <c r="D30" s="11" t="s">
        <v>62</v>
      </c>
      <c r="E30" s="11">
        <v>0.52847222222222201</v>
      </c>
      <c r="F30" s="12">
        <f t="shared" si="1"/>
        <v>2.6544444444444482</v>
      </c>
      <c r="G30" s="13">
        <f t="shared" si="2"/>
        <v>2.6544444444444482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46139.856386342602</v>
      </c>
      <c r="B31" s="5" t="s">
        <v>76</v>
      </c>
      <c r="C31" s="11">
        <v>0.85637731481481505</v>
      </c>
      <c r="D31" s="11" t="s">
        <v>62</v>
      </c>
      <c r="E31" s="11">
        <v>0.95869212962963002</v>
      </c>
      <c r="F31" s="12">
        <f t="shared" si="1"/>
        <v>2.4555555555555593</v>
      </c>
      <c r="G31" s="13">
        <f t="shared" si="2"/>
        <v>2.4555555555555593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46140.2910998843</v>
      </c>
      <c r="B32" s="5" t="s">
        <v>75</v>
      </c>
      <c r="C32" s="11">
        <v>0.291099537037037</v>
      </c>
      <c r="D32" s="11" t="s">
        <v>62</v>
      </c>
      <c r="E32" s="11">
        <v>0.36593750000000003</v>
      </c>
      <c r="F32" s="12">
        <f t="shared" si="1"/>
        <v>1.7961111111111125</v>
      </c>
      <c r="G32" s="13">
        <f t="shared" si="2"/>
        <v>0.78250000000000908</v>
      </c>
      <c r="H32" s="13">
        <f t="shared" si="3"/>
        <v>1.0136111111111035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46114.353715393503</v>
      </c>
      <c r="B3" s="5" t="s">
        <v>86</v>
      </c>
      <c r="C3" s="11">
        <v>0.353715277777778</v>
      </c>
      <c r="D3" s="11" t="s">
        <v>62</v>
      </c>
      <c r="E3" s="11">
        <v>0.52981481481481496</v>
      </c>
      <c r="F3" s="12">
        <f t="shared" ref="F3:F42" si="1">(IF(E3-C3&lt;0,"24:00"-C3+E3,E3-C3))*24</f>
        <v>4.226388888888887</v>
      </c>
      <c r="G3" s="13">
        <f t="shared" ref="G3:G42" si="2">F3-H3</f>
        <v>4.226388888888887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34.593333333333362</v>
      </c>
      <c r="K3" s="18">
        <f>SUMIF(B:B,"带班主任",G:G)</f>
        <v>22.932777777777815</v>
      </c>
      <c r="L3" s="18">
        <f>SUMIF(B:B,"带班主任",H:H)</f>
        <v>11.660555555555543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46114.703056134298</v>
      </c>
      <c r="B4" s="5" t="s">
        <v>86</v>
      </c>
      <c r="C4" s="11">
        <v>0.70305555555555599</v>
      </c>
      <c r="D4" s="11" t="s">
        <v>62</v>
      </c>
      <c r="E4" s="11">
        <v>0.77238425925925902</v>
      </c>
      <c r="F4" s="12">
        <f t="shared" si="1"/>
        <v>1.6638888888888728</v>
      </c>
      <c r="G4" s="13">
        <f t="shared" si="2"/>
        <v>1.6638888888888728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4.8911111111111234</v>
      </c>
      <c r="K4" s="23">
        <f>SUMIF(B:B,"西塔台管制席",G:G)+SUMIF(B:B,"东塔台管制席",G:G)</f>
        <v>1.7597222222222184</v>
      </c>
      <c r="L4" s="23">
        <f>SUMIF(B:B,"西塔台管制席",H:H)+SUMIF(B:B,"东塔台管制席",H:H)</f>
        <v>3.131388888888905</v>
      </c>
      <c r="M4" s="19"/>
    </row>
    <row r="5" spans="1:16" ht="18.75" x14ac:dyDescent="0.25">
      <c r="A5" s="10">
        <f t="shared" ca="1" si="0"/>
        <v>46114.857145023103</v>
      </c>
      <c r="B5" s="5" t="s">
        <v>86</v>
      </c>
      <c r="C5" s="11">
        <v>0.85714120370370395</v>
      </c>
      <c r="D5" s="11" t="s">
        <v>62</v>
      </c>
      <c r="E5" s="11">
        <v>0.95599537037036997</v>
      </c>
      <c r="F5" s="12">
        <f t="shared" si="1"/>
        <v>2.3724999999999845</v>
      </c>
      <c r="G5" s="13">
        <f t="shared" si="2"/>
        <v>2.3724999999999845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2.2163888888888996</v>
      </c>
      <c r="K5" s="23">
        <f>SUMIF(B:B,"西塔台协调席",G:G)+SUMIF(B:B,"东塔台协调席",G:G)</f>
        <v>0</v>
      </c>
      <c r="L5" s="23">
        <f>SUMIF(B:B,"西塔台协调席",H:H)+SUMIF(B:B,"东塔台协调席",H:H)</f>
        <v>2.2163888888888996</v>
      </c>
      <c r="M5" s="19"/>
    </row>
    <row r="6" spans="1:16" ht="18.75" x14ac:dyDescent="0.25">
      <c r="A6" s="10">
        <f t="shared" ca="1" si="0"/>
        <v>46115.2939378472</v>
      </c>
      <c r="B6" s="5" t="s">
        <v>86</v>
      </c>
      <c r="C6" s="11">
        <v>0.29393518518518502</v>
      </c>
      <c r="D6" s="11" t="s">
        <v>62</v>
      </c>
      <c r="E6" s="11">
        <v>0.422141203703704</v>
      </c>
      <c r="F6" s="12">
        <f t="shared" si="1"/>
        <v>3.0769444444444556</v>
      </c>
      <c r="G6" s="13">
        <f t="shared" si="2"/>
        <v>2.1313888888889045</v>
      </c>
      <c r="H6" s="13">
        <f t="shared" si="3"/>
        <v>0.94555555555555104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46115.522052083303</v>
      </c>
      <c r="B7" s="5" t="s">
        <v>86</v>
      </c>
      <c r="C7" s="11">
        <v>0.52204861111111101</v>
      </c>
      <c r="D7" s="11" t="s">
        <v>62</v>
      </c>
      <c r="E7" s="11">
        <v>0.62984953703703705</v>
      </c>
      <c r="F7" s="12">
        <f t="shared" si="1"/>
        <v>2.5872222222222252</v>
      </c>
      <c r="G7" s="13">
        <f t="shared" si="2"/>
        <v>2.5872222222222252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46115.749469097202</v>
      </c>
      <c r="B8" s="5" t="s">
        <v>86</v>
      </c>
      <c r="C8" s="11">
        <v>0.74946759259259299</v>
      </c>
      <c r="D8" s="11" t="s">
        <v>62</v>
      </c>
      <c r="E8" s="11">
        <v>0.83928240740740701</v>
      </c>
      <c r="F8" s="12">
        <f t="shared" si="1"/>
        <v>2.1555555555555364</v>
      </c>
      <c r="G8" s="13">
        <f t="shared" si="2"/>
        <v>2.1555555555555364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46123.0142813657</v>
      </c>
      <c r="B9" s="5" t="s">
        <v>73</v>
      </c>
      <c r="C9" s="11">
        <v>1.42708333333333E-2</v>
      </c>
      <c r="D9" s="11" t="s">
        <v>62</v>
      </c>
      <c r="E9" s="11">
        <v>0.110960648148148</v>
      </c>
      <c r="F9" s="12">
        <f t="shared" si="1"/>
        <v>2.3205555555555528</v>
      </c>
      <c r="G9" s="13">
        <f t="shared" si="2"/>
        <v>0</v>
      </c>
      <c r="H9" s="13">
        <f t="shared" si="3"/>
        <v>2.3205555555555528</v>
      </c>
      <c r="I9" s="21" t="s">
        <v>69</v>
      </c>
      <c r="J9" s="22">
        <f>SUMIF(B:B,"航班调度席",F:F)</f>
        <v>0.52499999999999947</v>
      </c>
      <c r="K9" s="23">
        <f>SUMIF(B:B,"航班调度席",G:G)</f>
        <v>0.52499999999999947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46123.110995023097</v>
      </c>
      <c r="B10" s="5" t="s">
        <v>75</v>
      </c>
      <c r="C10" s="11">
        <v>0.11099537037036999</v>
      </c>
      <c r="D10" s="11" t="s">
        <v>62</v>
      </c>
      <c r="E10" s="11">
        <v>0.144780092592593</v>
      </c>
      <c r="F10" s="12">
        <f t="shared" si="1"/>
        <v>0.81083333333335217</v>
      </c>
      <c r="G10" s="13">
        <f t="shared" si="2"/>
        <v>0</v>
      </c>
      <c r="H10" s="13">
        <f t="shared" si="3"/>
        <v>0.81083333333335217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46126.523581250003</v>
      </c>
      <c r="B11" s="5" t="s">
        <v>86</v>
      </c>
      <c r="C11" s="11">
        <v>0.52357638888888902</v>
      </c>
      <c r="D11" s="11" t="s">
        <v>62</v>
      </c>
      <c r="E11" s="11">
        <v>0.58687500000000004</v>
      </c>
      <c r="F11" s="12">
        <f t="shared" si="1"/>
        <v>1.5191666666666643</v>
      </c>
      <c r="G11" s="13">
        <f t="shared" si="2"/>
        <v>1.5191666666666643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46126.648802777803</v>
      </c>
      <c r="B12" s="5" t="s">
        <v>75</v>
      </c>
      <c r="C12" s="11">
        <v>0.58699074074074098</v>
      </c>
      <c r="D12" s="11" t="s">
        <v>62</v>
      </c>
      <c r="E12" s="11">
        <v>0.65473379629629602</v>
      </c>
      <c r="F12" s="12">
        <f t="shared" si="1"/>
        <v>1.625833333333321</v>
      </c>
      <c r="G12" s="13">
        <f t="shared" si="2"/>
        <v>1.625833333333321</v>
      </c>
      <c r="H12" s="13">
        <f t="shared" si="3"/>
        <v>0</v>
      </c>
      <c r="I12" s="27" t="s">
        <v>72</v>
      </c>
      <c r="J12" s="28">
        <f>SUMIF(B:B,"管制教员席",F:F)</f>
        <v>32.318055555555524</v>
      </c>
      <c r="K12" s="29">
        <f>SUMIF(B:B,"管制教员席",G:G)</f>
        <v>31.372499999999974</v>
      </c>
      <c r="L12" s="29">
        <f>SUMIF(B:B,"管制教员席",H:H)</f>
        <v>0.94555555555555104</v>
      </c>
      <c r="M12" s="19"/>
    </row>
    <row r="13" spans="1:16" ht="18.75" x14ac:dyDescent="0.15">
      <c r="A13" s="10">
        <f t="shared" ca="1" si="0"/>
        <v>46126.654847106503</v>
      </c>
      <c r="B13" s="5" t="s">
        <v>84</v>
      </c>
      <c r="C13" s="11">
        <v>0.65483796296296304</v>
      </c>
      <c r="D13" s="11" t="s">
        <v>62</v>
      </c>
      <c r="E13" s="11">
        <v>0.67671296296296302</v>
      </c>
      <c r="F13" s="12">
        <f t="shared" si="1"/>
        <v>0.52499999999999947</v>
      </c>
      <c r="G13" s="13">
        <f t="shared" si="2"/>
        <v>0.52499999999999947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46126.773112962997</v>
      </c>
      <c r="B14" s="5" t="s">
        <v>86</v>
      </c>
      <c r="C14" s="11">
        <v>0.77311342592592602</v>
      </c>
      <c r="D14" s="11" t="s">
        <v>62</v>
      </c>
      <c r="E14" s="11">
        <v>0.86277777777777798</v>
      </c>
      <c r="F14" s="12">
        <f t="shared" si="1"/>
        <v>2.1519444444444469</v>
      </c>
      <c r="G14" s="13">
        <f t="shared" si="2"/>
        <v>2.1519444444444469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46127.013211805599</v>
      </c>
      <c r="B15" s="5" t="s">
        <v>81</v>
      </c>
      <c r="C15" s="11">
        <v>1.3206018518518501E-2</v>
      </c>
      <c r="D15" s="11" t="s">
        <v>62</v>
      </c>
      <c r="E15" s="11">
        <v>0.105555555555556</v>
      </c>
      <c r="F15" s="12">
        <f t="shared" si="1"/>
        <v>2.2163888888888996</v>
      </c>
      <c r="G15" s="13">
        <f t="shared" si="2"/>
        <v>0</v>
      </c>
      <c r="H15" s="13">
        <f t="shared" si="3"/>
        <v>2.2163888888888996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46127.4192555556</v>
      </c>
      <c r="B16" s="5" t="s">
        <v>86</v>
      </c>
      <c r="C16" s="11">
        <v>0.41924768518518502</v>
      </c>
      <c r="D16" s="11" t="s">
        <v>62</v>
      </c>
      <c r="E16" s="11">
        <v>0.52719907407407396</v>
      </c>
      <c r="F16" s="12">
        <f t="shared" si="1"/>
        <v>2.5908333333333347</v>
      </c>
      <c r="G16" s="13">
        <f t="shared" si="2"/>
        <v>2.5908333333333347</v>
      </c>
      <c r="H16" s="13">
        <f t="shared" si="3"/>
        <v>0</v>
      </c>
      <c r="I16" s="35" t="s">
        <v>63</v>
      </c>
      <c r="J16" s="36">
        <f t="shared" ref="J16:L16" si="4">J3</f>
        <v>34.593333333333362</v>
      </c>
      <c r="K16" s="37">
        <f t="shared" si="4"/>
        <v>22.932777777777815</v>
      </c>
      <c r="L16" s="38">
        <f t="shared" si="4"/>
        <v>11.660555555555543</v>
      </c>
      <c r="M16" s="39"/>
    </row>
    <row r="17" spans="1:13" ht="20.25" x14ac:dyDescent="0.25">
      <c r="A17" s="10">
        <f t="shared" ca="1" si="0"/>
        <v>46127.714308101902</v>
      </c>
      <c r="B17" s="5" t="s">
        <v>86</v>
      </c>
      <c r="C17" s="11">
        <v>0.71430555555555597</v>
      </c>
      <c r="D17" s="11" t="s">
        <v>62</v>
      </c>
      <c r="E17" s="11">
        <v>0.77531249999999996</v>
      </c>
      <c r="F17" s="12">
        <f t="shared" si="1"/>
        <v>1.4641666666666557</v>
      </c>
      <c r="G17" s="13">
        <f t="shared" si="2"/>
        <v>1.4641666666666557</v>
      </c>
      <c r="H17" s="13">
        <f t="shared" si="3"/>
        <v>0</v>
      </c>
      <c r="I17" s="35" t="s">
        <v>78</v>
      </c>
      <c r="J17" s="36">
        <f>J4+J5+J6+J7+J10</f>
        <v>7.107500000000023</v>
      </c>
      <c r="K17" s="37">
        <f>K4+K5+K6+K7+K10</f>
        <v>1.7597222222222184</v>
      </c>
      <c r="L17" s="38">
        <f>L4+L5+L6+L7+L10</f>
        <v>5.3477777777778046</v>
      </c>
      <c r="M17" s="39"/>
    </row>
    <row r="18" spans="1:13" ht="20.25" x14ac:dyDescent="0.25">
      <c r="A18" s="10">
        <f t="shared" ca="1" si="0"/>
        <v>46127.814559606501</v>
      </c>
      <c r="B18" s="5" t="s">
        <v>86</v>
      </c>
      <c r="C18" s="11">
        <v>0.81456018518518503</v>
      </c>
      <c r="D18" s="11" t="s">
        <v>62</v>
      </c>
      <c r="E18" s="11">
        <v>0.95543981481481499</v>
      </c>
      <c r="F18" s="12">
        <f t="shared" si="1"/>
        <v>3.3811111111111192</v>
      </c>
      <c r="G18" s="13">
        <f t="shared" si="2"/>
        <v>3.3811111111111192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46131.502046875001</v>
      </c>
      <c r="B19" s="5" t="s">
        <v>86</v>
      </c>
      <c r="C19" s="11">
        <v>0.50203703703703695</v>
      </c>
      <c r="D19" s="11" t="s">
        <v>62</v>
      </c>
      <c r="E19" s="11">
        <v>0.59150462962963002</v>
      </c>
      <c r="F19" s="12">
        <f t="shared" si="1"/>
        <v>2.1472222222222337</v>
      </c>
      <c r="G19" s="13">
        <f t="shared" si="2"/>
        <v>2.1472222222222337</v>
      </c>
      <c r="H19" s="13">
        <f t="shared" si="3"/>
        <v>0</v>
      </c>
      <c r="I19" s="35" t="s">
        <v>79</v>
      </c>
      <c r="J19" s="36">
        <f t="shared" ref="J19:L19" si="6">J12</f>
        <v>32.318055555555524</v>
      </c>
      <c r="K19" s="37">
        <f t="shared" si="6"/>
        <v>31.372499999999974</v>
      </c>
      <c r="L19" s="38">
        <f t="shared" si="6"/>
        <v>0.94555555555555104</v>
      </c>
      <c r="M19" s="39"/>
    </row>
    <row r="20" spans="1:13" ht="20.25" x14ac:dyDescent="0.15">
      <c r="A20" s="10">
        <f t="shared" ca="1" si="0"/>
        <v>46131.709276851798</v>
      </c>
      <c r="B20" s="5" t="s">
        <v>75</v>
      </c>
      <c r="C20" s="11">
        <v>0.70927083333333296</v>
      </c>
      <c r="D20" s="11" t="s">
        <v>62</v>
      </c>
      <c r="E20" s="11">
        <v>0.71484953703703702</v>
      </c>
      <c r="F20" s="12">
        <f t="shared" si="1"/>
        <v>0.13388888888889738</v>
      </c>
      <c r="G20" s="13">
        <f t="shared" si="2"/>
        <v>0.13388888888889738</v>
      </c>
      <c r="H20" s="13">
        <f t="shared" si="3"/>
        <v>0</v>
      </c>
      <c r="I20" s="40" t="s">
        <v>80</v>
      </c>
      <c r="J20" s="65">
        <f>J16+J17+J18+J19</f>
        <v>74.01888888888891</v>
      </c>
      <c r="K20" s="66"/>
      <c r="L20" s="67"/>
      <c r="M20" s="41"/>
    </row>
    <row r="21" spans="1:13" ht="20.25" x14ac:dyDescent="0.25">
      <c r="A21" s="10">
        <f t="shared" ca="1" si="0"/>
        <v>46131.714897916703</v>
      </c>
      <c r="B21" s="5" t="s">
        <v>86</v>
      </c>
      <c r="C21" s="11">
        <v>0.71489583333333295</v>
      </c>
      <c r="D21" s="11" t="s">
        <v>62</v>
      </c>
      <c r="E21" s="11">
        <v>0.83910879629629598</v>
      </c>
      <c r="F21" s="12">
        <f t="shared" si="1"/>
        <v>2.9811111111111126</v>
      </c>
      <c r="G21" s="13">
        <f t="shared" si="2"/>
        <v>2.9811111111111126</v>
      </c>
      <c r="H21" s="13">
        <f t="shared" si="3"/>
        <v>0</v>
      </c>
      <c r="I21" s="42" t="s">
        <v>4</v>
      </c>
      <c r="J21" s="43">
        <f>SUM(J8:J9)</f>
        <v>0.52499999999999947</v>
      </c>
      <c r="K21" s="37">
        <f>SUM(K8:K9)</f>
        <v>0.52499999999999947</v>
      </c>
      <c r="L21" s="38">
        <f>SUM(L8:L9)</f>
        <v>0</v>
      </c>
      <c r="M21" s="44"/>
    </row>
    <row r="22" spans="1:13" ht="18.75" x14ac:dyDescent="0.15">
      <c r="A22" s="10">
        <f t="shared" ca="1" si="0"/>
        <v>46135.129080787003</v>
      </c>
      <c r="B22" s="5" t="s">
        <v>61</v>
      </c>
      <c r="C22" s="11">
        <v>0.12907407407407401</v>
      </c>
      <c r="D22" s="11" t="s">
        <v>62</v>
      </c>
      <c r="E22" s="11">
        <v>0.2996875</v>
      </c>
      <c r="F22" s="12">
        <f t="shared" si="1"/>
        <v>4.0947222222222237</v>
      </c>
      <c r="G22" s="13">
        <f t="shared" si="2"/>
        <v>0</v>
      </c>
      <c r="H22" s="13">
        <f t="shared" si="3"/>
        <v>4.0947222222222237</v>
      </c>
      <c r="I22"/>
      <c r="J22"/>
    </row>
    <row r="23" spans="1:13" ht="18.75" x14ac:dyDescent="0.15">
      <c r="A23" s="10">
        <f t="shared" ca="1" si="0"/>
        <v>46135.936092708303</v>
      </c>
      <c r="B23" s="5" t="s">
        <v>61</v>
      </c>
      <c r="C23" s="11">
        <v>0.93608796296296304</v>
      </c>
      <c r="D23" s="11" t="s">
        <v>62</v>
      </c>
      <c r="E23" s="11">
        <v>0.13813657407407401</v>
      </c>
      <c r="F23" s="12">
        <f t="shared" si="1"/>
        <v>4.8491666666666635</v>
      </c>
      <c r="G23" s="13">
        <f t="shared" si="2"/>
        <v>1.5338888888888871</v>
      </c>
      <c r="H23" s="13">
        <f t="shared" si="3"/>
        <v>3.3152777777777764</v>
      </c>
      <c r="I23"/>
      <c r="J23"/>
    </row>
    <row r="24" spans="1:13" ht="18.75" x14ac:dyDescent="0.15">
      <c r="A24" s="10">
        <f t="shared" ca="1" si="0"/>
        <v>46138.354301851898</v>
      </c>
      <c r="B24" s="5" t="s">
        <v>61</v>
      </c>
      <c r="C24" s="11">
        <v>0.354293981481481</v>
      </c>
      <c r="D24" s="11" t="s">
        <v>62</v>
      </c>
      <c r="E24" s="11">
        <v>0.54996527777777804</v>
      </c>
      <c r="F24" s="12">
        <f t="shared" si="1"/>
        <v>4.6961111111111293</v>
      </c>
      <c r="G24" s="13">
        <f t="shared" si="2"/>
        <v>4.6961111111111293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46138.792501157397</v>
      </c>
      <c r="B25" s="5" t="s">
        <v>61</v>
      </c>
      <c r="C25" s="11">
        <v>0.79249999999999998</v>
      </c>
      <c r="D25" s="11" t="s">
        <v>62</v>
      </c>
      <c r="E25" s="11">
        <v>0.945578703703704</v>
      </c>
      <c r="F25" s="12">
        <f t="shared" si="1"/>
        <v>3.6738888888888965</v>
      </c>
      <c r="G25" s="13">
        <f t="shared" si="2"/>
        <v>3.6738888888888965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46139.292364467598</v>
      </c>
      <c r="B26" s="5" t="s">
        <v>61</v>
      </c>
      <c r="C26" s="11">
        <v>0.29236111111111102</v>
      </c>
      <c r="D26" s="11" t="s">
        <v>62</v>
      </c>
      <c r="E26" s="11">
        <v>0.55062500000000003</v>
      </c>
      <c r="F26" s="12">
        <f t="shared" si="1"/>
        <v>6.1983333333333359</v>
      </c>
      <c r="G26" s="13">
        <f t="shared" si="2"/>
        <v>5.2150000000000087</v>
      </c>
      <c r="H26" s="13">
        <f t="shared" si="3"/>
        <v>0.98333333333332718</v>
      </c>
      <c r="I26"/>
      <c r="J26"/>
    </row>
    <row r="27" spans="1:13" ht="18.75" x14ac:dyDescent="0.15">
      <c r="A27" s="10">
        <f t="shared" ca="1" si="0"/>
        <v>46139.937864120402</v>
      </c>
      <c r="B27" s="5" t="s">
        <v>61</v>
      </c>
      <c r="C27" s="11">
        <v>0.93785879629629598</v>
      </c>
      <c r="D27" s="11" t="s">
        <v>62</v>
      </c>
      <c r="E27" s="11">
        <v>0.13613425925925901</v>
      </c>
      <c r="F27" s="12">
        <f t="shared" si="1"/>
        <v>4.7586111111111125</v>
      </c>
      <c r="G27" s="13">
        <f t="shared" si="2"/>
        <v>1.4913888888888964</v>
      </c>
      <c r="H27" s="13">
        <f t="shared" si="3"/>
        <v>3.267222222222216</v>
      </c>
      <c r="I27"/>
      <c r="J27"/>
    </row>
    <row r="28" spans="1:13" ht="18.75" x14ac:dyDescent="0.15">
      <c r="A28" s="10">
        <f t="shared" ca="1" si="0"/>
        <v>46142.5421699074</v>
      </c>
      <c r="B28" s="5" t="s">
        <v>61</v>
      </c>
      <c r="C28" s="11">
        <v>0.54216435185185197</v>
      </c>
      <c r="D28" s="11" t="s">
        <v>62</v>
      </c>
      <c r="E28" s="11">
        <v>0.80560185185185196</v>
      </c>
      <c r="F28" s="12">
        <f t="shared" si="1"/>
        <v>6.3224999999999998</v>
      </c>
      <c r="G28" s="13">
        <f t="shared" si="2"/>
        <v>6.3224999999999998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42"/>
  <sheetViews>
    <sheetView topLeftCell="A10" zoomScale="85" zoomScaleNormal="85" workbookViewId="0">
      <selection activeCell="I32" sqref="I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46114.522100694398</v>
      </c>
      <c r="B3" s="5" t="s">
        <v>73</v>
      </c>
      <c r="C3" s="11">
        <v>0.52219907407407395</v>
      </c>
      <c r="D3" s="11" t="s">
        <v>62</v>
      </c>
      <c r="E3" s="11">
        <v>0.71394675925925899</v>
      </c>
      <c r="F3" s="12">
        <f t="shared" ref="F3:F42" si="1">(IF(E3-C3&lt;0,"24:00"-C3+E3,E3-C3))*24</f>
        <v>4.6019444444444408</v>
      </c>
      <c r="G3" s="13">
        <f t="shared" ref="G3:G42" si="2">F3-H3</f>
        <v>4.6019444444444408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46115.415119097197</v>
      </c>
      <c r="B4" s="5" t="s">
        <v>76</v>
      </c>
      <c r="C4" s="11">
        <v>0.41511574074074098</v>
      </c>
      <c r="D4" s="11" t="s">
        <v>62</v>
      </c>
      <c r="E4" s="11">
        <v>0.52741898148148103</v>
      </c>
      <c r="F4" s="12">
        <f t="shared" si="1"/>
        <v>2.6952777777777612</v>
      </c>
      <c r="G4" s="13">
        <f t="shared" si="2"/>
        <v>2.6952777777777612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28.556666666666665</v>
      </c>
      <c r="K4" s="23">
        <f>SUMIF(B:B,"西塔台管制席",G:G)+SUMIF(B:B,"东塔台管制席",G:G)</f>
        <v>19.249722222222214</v>
      </c>
      <c r="L4" s="23">
        <f>SUMIF(B:B,"西塔台管制席",H:H)+SUMIF(B:B,"东塔台管制席",H:H)</f>
        <v>9.3069444444444507</v>
      </c>
      <c r="M4" s="19"/>
    </row>
    <row r="5" spans="1:16" ht="18.75" x14ac:dyDescent="0.25">
      <c r="A5" s="10">
        <f t="shared" ca="1" si="0"/>
        <v>46115.624713425903</v>
      </c>
      <c r="B5" s="5" t="s">
        <v>76</v>
      </c>
      <c r="C5" s="11">
        <v>0.62471064814814803</v>
      </c>
      <c r="D5" s="11" t="s">
        <v>62</v>
      </c>
      <c r="E5" s="11">
        <v>0.75386574074074097</v>
      </c>
      <c r="F5" s="12">
        <f t="shared" si="1"/>
        <v>3.0997222222222307</v>
      </c>
      <c r="G5" s="13">
        <f t="shared" si="2"/>
        <v>3.0997222222222307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29.744999999999987</v>
      </c>
      <c r="K5" s="23">
        <f>SUMIF(B:B,"西塔台协调席",G:G)+SUMIF(B:B,"东塔台协调席",G:G)</f>
        <v>21.908611111111131</v>
      </c>
      <c r="L5" s="23">
        <f>SUMIF(B:B,"西塔台协调席",H:H)+SUMIF(B:B,"东塔台协调席",H:H)</f>
        <v>7.8363888888888571</v>
      </c>
      <c r="M5" s="19"/>
    </row>
    <row r="6" spans="1:16" ht="18.75" x14ac:dyDescent="0.25">
      <c r="A6" s="10">
        <f t="shared" ca="1" si="0"/>
        <v>46115.8342521991</v>
      </c>
      <c r="B6" s="5" t="s">
        <v>76</v>
      </c>
      <c r="C6" s="11">
        <v>0.834247685185185</v>
      </c>
      <c r="D6" s="11" t="s">
        <v>62</v>
      </c>
      <c r="E6" s="11">
        <v>0.95783564814814803</v>
      </c>
      <c r="F6" s="12">
        <f t="shared" si="1"/>
        <v>2.9661111111111129</v>
      </c>
      <c r="G6" s="13">
        <f t="shared" si="2"/>
        <v>2.9661111111111129</v>
      </c>
      <c r="H6" s="13">
        <f t="shared" si="3"/>
        <v>0</v>
      </c>
      <c r="I6" s="21" t="s">
        <v>66</v>
      </c>
      <c r="J6" s="22">
        <f>SUMIF(B:B,"放行席",F:F)</f>
        <v>4.6758333333333368</v>
      </c>
      <c r="K6" s="23">
        <f>SUMIF(B:B,"放行席",G:G)</f>
        <v>0</v>
      </c>
      <c r="L6" s="23">
        <f>SUMIF(B:B,"放行席",H:H)</f>
        <v>4.6758333333333368</v>
      </c>
      <c r="M6" s="19"/>
    </row>
    <row r="7" spans="1:16" ht="18.75" x14ac:dyDescent="0.25">
      <c r="A7" s="10">
        <f t="shared" ca="1" si="0"/>
        <v>46116.293812962998</v>
      </c>
      <c r="B7" s="5" t="s">
        <v>76</v>
      </c>
      <c r="C7" s="11">
        <v>0.29380787037036998</v>
      </c>
      <c r="D7" s="11" t="s">
        <v>62</v>
      </c>
      <c r="E7" s="11">
        <v>0.36403935185185199</v>
      </c>
      <c r="F7" s="12">
        <f t="shared" si="1"/>
        <v>1.6855555555555681</v>
      </c>
      <c r="G7" s="13">
        <f t="shared" si="2"/>
        <v>0.73694444444445617</v>
      </c>
      <c r="H7" s="13">
        <f t="shared" si="3"/>
        <v>0.94861111111111196</v>
      </c>
      <c r="I7" s="21" t="s">
        <v>67</v>
      </c>
      <c r="J7" s="22">
        <f>SUMIF(B:B,"地面席",F:F)</f>
        <v>2.1180555555555607</v>
      </c>
      <c r="K7" s="23">
        <f>SUMIF(B:B,"地面席",G:G)</f>
        <v>0</v>
      </c>
      <c r="L7" s="23">
        <f>SUMIF(B:B,"地面席",H:H)</f>
        <v>2.1180555555555607</v>
      </c>
      <c r="M7" s="19"/>
    </row>
    <row r="8" spans="1:16" ht="18.75" x14ac:dyDescent="0.25">
      <c r="A8" s="10">
        <f t="shared" ca="1" si="0"/>
        <v>46118.951916550897</v>
      </c>
      <c r="B8" s="5" t="s">
        <v>75</v>
      </c>
      <c r="C8" s="11">
        <v>0.95190972222222203</v>
      </c>
      <c r="D8" s="11" t="s">
        <v>62</v>
      </c>
      <c r="E8" s="11">
        <v>0.105173611111111</v>
      </c>
      <c r="F8" s="12">
        <f t="shared" si="1"/>
        <v>3.6783333333333355</v>
      </c>
      <c r="G8" s="13">
        <f t="shared" si="2"/>
        <v>1.1541666666666717</v>
      </c>
      <c r="H8" s="13">
        <f t="shared" si="3"/>
        <v>2.5241666666666638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46120.139887384299</v>
      </c>
      <c r="B9" s="5" t="s">
        <v>75</v>
      </c>
      <c r="C9" s="11">
        <v>0.13988425925925899</v>
      </c>
      <c r="D9" s="11" t="s">
        <v>62</v>
      </c>
      <c r="E9" s="11">
        <v>0.241840277777778</v>
      </c>
      <c r="F9" s="12">
        <f t="shared" si="1"/>
        <v>2.4469444444444566</v>
      </c>
      <c r="G9" s="13">
        <f t="shared" si="2"/>
        <v>0</v>
      </c>
      <c r="H9" s="13">
        <f t="shared" si="3"/>
        <v>2.4469444444444566</v>
      </c>
      <c r="I9" s="21" t="s">
        <v>69</v>
      </c>
      <c r="J9" s="22">
        <f>SUMIF(B:B,"航班调度席",F:F)</f>
        <v>2.0052777777777839</v>
      </c>
      <c r="K9" s="23">
        <f>SUMIF(B:B,"航班调度席",G:G)</f>
        <v>2.0052777777777839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46123.135308680598</v>
      </c>
      <c r="B10" s="5" t="s">
        <v>83</v>
      </c>
      <c r="C10" s="11">
        <v>0.13530092592592599</v>
      </c>
      <c r="D10" s="11" t="s">
        <v>62</v>
      </c>
      <c r="E10" s="11">
        <v>0.22224537037037001</v>
      </c>
      <c r="F10" s="12">
        <f t="shared" si="1"/>
        <v>2.0866666666666562</v>
      </c>
      <c r="G10" s="13">
        <f t="shared" si="2"/>
        <v>0</v>
      </c>
      <c r="H10" s="13">
        <f t="shared" si="3"/>
        <v>2.0866666666666562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46126.355470254603</v>
      </c>
      <c r="B11" s="5" t="s">
        <v>75</v>
      </c>
      <c r="C11" s="11">
        <v>0.35546296296296298</v>
      </c>
      <c r="D11" s="11" t="s">
        <v>62</v>
      </c>
      <c r="E11" s="11">
        <v>0.53126157407407404</v>
      </c>
      <c r="F11" s="12">
        <f t="shared" si="1"/>
        <v>4.2191666666666654</v>
      </c>
      <c r="G11" s="13">
        <f t="shared" si="2"/>
        <v>4.2191666666666654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46126.649007523098</v>
      </c>
      <c r="B12" s="5" t="s">
        <v>75</v>
      </c>
      <c r="C12" s="11">
        <v>0.64900462962963001</v>
      </c>
      <c r="D12" s="11" t="s">
        <v>62</v>
      </c>
      <c r="E12" s="11">
        <v>0.77983796296296304</v>
      </c>
      <c r="F12" s="12">
        <f t="shared" si="1"/>
        <v>3.1399999999999926</v>
      </c>
      <c r="G12" s="13">
        <f t="shared" si="2"/>
        <v>3.1399999999999926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46126.856698263902</v>
      </c>
      <c r="B13" s="5" t="s">
        <v>75</v>
      </c>
      <c r="C13" s="11">
        <v>0.85668981481481499</v>
      </c>
      <c r="D13" s="11" t="s">
        <v>62</v>
      </c>
      <c r="E13" s="11">
        <v>0.95814814814814797</v>
      </c>
      <c r="F13" s="12">
        <f t="shared" si="1"/>
        <v>2.4349999999999916</v>
      </c>
      <c r="G13" s="13">
        <f t="shared" si="2"/>
        <v>2.4349999999999916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46127.294359722197</v>
      </c>
      <c r="B14" s="5" t="s">
        <v>76</v>
      </c>
      <c r="C14" s="11">
        <v>0.29435185185185198</v>
      </c>
      <c r="D14" s="11" t="s">
        <v>62</v>
      </c>
      <c r="E14" s="11">
        <v>0.42516203703703698</v>
      </c>
      <c r="F14" s="12">
        <f t="shared" si="1"/>
        <v>3.13944444444444</v>
      </c>
      <c r="G14" s="13">
        <f t="shared" si="2"/>
        <v>2.2038888888888959</v>
      </c>
      <c r="H14" s="13">
        <f t="shared" si="3"/>
        <v>0.93555555555554415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46127.5224109954</v>
      </c>
      <c r="B15" s="5" t="s">
        <v>76</v>
      </c>
      <c r="C15" s="11">
        <v>0.52240740740740699</v>
      </c>
      <c r="D15" s="11" t="s">
        <v>62</v>
      </c>
      <c r="E15" s="11">
        <v>0.63298611111111103</v>
      </c>
      <c r="F15" s="12">
        <f t="shared" si="1"/>
        <v>2.653888888888897</v>
      </c>
      <c r="G15" s="13">
        <f t="shared" si="2"/>
        <v>2.653888888888897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46127.771384490698</v>
      </c>
      <c r="B16" s="5" t="s">
        <v>76</v>
      </c>
      <c r="C16" s="11">
        <v>0.77137731481481497</v>
      </c>
      <c r="D16" s="11" t="s">
        <v>62</v>
      </c>
      <c r="E16" s="11">
        <v>0.81988425925925901</v>
      </c>
      <c r="F16" s="12">
        <f t="shared" si="1"/>
        <v>1.1641666666666568</v>
      </c>
      <c r="G16" s="13">
        <f t="shared" si="2"/>
        <v>1.1641666666666568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46128.013085879596</v>
      </c>
      <c r="B17" s="5" t="s">
        <v>81</v>
      </c>
      <c r="C17" s="11">
        <v>1.30787037037037E-2</v>
      </c>
      <c r="D17" s="11" t="s">
        <v>62</v>
      </c>
      <c r="E17" s="11">
        <v>0.120787037037037</v>
      </c>
      <c r="F17" s="12">
        <f t="shared" si="1"/>
        <v>2.5849999999999991</v>
      </c>
      <c r="G17" s="13">
        <f t="shared" si="2"/>
        <v>0</v>
      </c>
      <c r="H17" s="13">
        <f t="shared" si="3"/>
        <v>2.5849999999999991</v>
      </c>
      <c r="I17" s="35" t="s">
        <v>78</v>
      </c>
      <c r="J17" s="36">
        <f>J4+J5+J6+J7+J10</f>
        <v>65.095555555555549</v>
      </c>
      <c r="K17" s="37">
        <f>K4+K5+K6+K7+K10</f>
        <v>41.158333333333346</v>
      </c>
      <c r="L17" s="38">
        <f>L4+L5+L6+L7+L10</f>
        <v>23.937222222222207</v>
      </c>
      <c r="M17" s="39"/>
    </row>
    <row r="18" spans="1:13" ht="20.25" x14ac:dyDescent="0.25">
      <c r="A18" s="10">
        <f t="shared" ca="1" si="0"/>
        <v>46131.013119907402</v>
      </c>
      <c r="B18" s="5" t="s">
        <v>75</v>
      </c>
      <c r="C18" s="11">
        <v>1.31134259259259E-2</v>
      </c>
      <c r="D18" s="11" t="s">
        <v>62</v>
      </c>
      <c r="E18" s="11">
        <v>9.6759259259259295E-2</v>
      </c>
      <c r="F18" s="12">
        <f t="shared" si="1"/>
        <v>2.0075000000000012</v>
      </c>
      <c r="G18" s="13">
        <f t="shared" si="2"/>
        <v>0</v>
      </c>
      <c r="H18" s="13">
        <f t="shared" si="3"/>
        <v>2.0075000000000012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46131.096807175898</v>
      </c>
      <c r="B19" s="5" t="s">
        <v>81</v>
      </c>
      <c r="C19" s="11">
        <v>9.6863425925925895E-2</v>
      </c>
      <c r="D19" s="11" t="s">
        <v>62</v>
      </c>
      <c r="E19" s="11">
        <v>0.14238425925925899</v>
      </c>
      <c r="F19" s="12">
        <f t="shared" si="1"/>
        <v>1.0924999999999943</v>
      </c>
      <c r="G19" s="13">
        <f t="shared" si="2"/>
        <v>0</v>
      </c>
      <c r="H19" s="13">
        <f t="shared" si="3"/>
        <v>1.0924999999999943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46132.134438078698</v>
      </c>
      <c r="B20" s="5" t="s">
        <v>83</v>
      </c>
      <c r="C20" s="11">
        <v>0.13443287037036999</v>
      </c>
      <c r="D20" s="11" t="s">
        <v>62</v>
      </c>
      <c r="E20" s="11">
        <v>0.24231481481481501</v>
      </c>
      <c r="F20" s="12">
        <f t="shared" si="1"/>
        <v>2.5891666666666806</v>
      </c>
      <c r="G20" s="13">
        <f t="shared" si="2"/>
        <v>0</v>
      </c>
      <c r="H20" s="13">
        <f t="shared" si="3"/>
        <v>2.5891666666666806</v>
      </c>
      <c r="I20" s="40" t="s">
        <v>80</v>
      </c>
      <c r="J20" s="65">
        <f>J16+J17+J18+J19</f>
        <v>65.095555555555549</v>
      </c>
      <c r="K20" s="66"/>
      <c r="L20" s="67"/>
      <c r="M20" s="41"/>
    </row>
    <row r="21" spans="1:13" ht="20.25" x14ac:dyDescent="0.25">
      <c r="A21" s="10">
        <f t="shared" ca="1" si="0"/>
        <v>46132.242398263901</v>
      </c>
      <c r="B21" s="5" t="s">
        <v>81</v>
      </c>
      <c r="C21" s="11">
        <v>0.24239583333333301</v>
      </c>
      <c r="D21" s="11" t="s">
        <v>62</v>
      </c>
      <c r="E21" s="11">
        <v>0.249189814814815</v>
      </c>
      <c r="F21" s="12">
        <f t="shared" si="1"/>
        <v>0.16305555555556794</v>
      </c>
      <c r="G21" s="13">
        <f t="shared" si="2"/>
        <v>0</v>
      </c>
      <c r="H21" s="13">
        <f t="shared" si="3"/>
        <v>0.16305555555556794</v>
      </c>
      <c r="I21" s="42" t="s">
        <v>4</v>
      </c>
      <c r="J21" s="43">
        <f>SUM(J8:J9)</f>
        <v>2.0052777777777839</v>
      </c>
      <c r="K21" s="37">
        <f>SUM(K8:K9)</f>
        <v>2.0052777777777839</v>
      </c>
      <c r="L21" s="38">
        <f>SUM(L8:L9)</f>
        <v>0</v>
      </c>
      <c r="M21" s="44"/>
    </row>
    <row r="22" spans="1:13" ht="18.75" x14ac:dyDescent="0.15">
      <c r="A22" s="10">
        <f t="shared" ca="1" si="0"/>
        <v>46132.249232870403</v>
      </c>
      <c r="B22" s="5" t="s">
        <v>76</v>
      </c>
      <c r="C22" s="11">
        <v>0.24922453703703701</v>
      </c>
      <c r="D22" s="11" t="s">
        <v>62</v>
      </c>
      <c r="E22" s="11">
        <v>0.29849537037036999</v>
      </c>
      <c r="F22" s="12">
        <f t="shared" si="1"/>
        <v>1.1824999999999917</v>
      </c>
      <c r="G22" s="13">
        <f t="shared" si="2"/>
        <v>0</v>
      </c>
      <c r="H22" s="13">
        <f t="shared" si="3"/>
        <v>1.1824999999999917</v>
      </c>
      <c r="I22"/>
      <c r="J22"/>
    </row>
    <row r="23" spans="1:13" ht="18.75" x14ac:dyDescent="0.15">
      <c r="A23" s="10">
        <f t="shared" ca="1" si="0"/>
        <v>46135.140670833302</v>
      </c>
      <c r="B23" s="5" t="s">
        <v>82</v>
      </c>
      <c r="C23" s="11">
        <v>0.14067129629629599</v>
      </c>
      <c r="D23" s="11" t="s">
        <v>62</v>
      </c>
      <c r="E23" s="11">
        <v>0.22892361111111101</v>
      </c>
      <c r="F23" s="12">
        <f t="shared" si="1"/>
        <v>2.1180555555555607</v>
      </c>
      <c r="G23" s="13">
        <f t="shared" si="2"/>
        <v>0</v>
      </c>
      <c r="H23" s="13">
        <f t="shared" si="3"/>
        <v>2.1180555555555607</v>
      </c>
      <c r="I23"/>
      <c r="J23"/>
    </row>
    <row r="24" spans="1:13" ht="18.75" x14ac:dyDescent="0.15">
      <c r="A24" s="10">
        <f t="shared" ca="1" si="0"/>
        <v>46136.012088310199</v>
      </c>
      <c r="B24" s="5" t="s">
        <v>73</v>
      </c>
      <c r="C24" s="11">
        <v>1.20833333333333E-2</v>
      </c>
      <c r="D24" s="11" t="s">
        <v>62</v>
      </c>
      <c r="E24" s="11">
        <v>0.109097222222222</v>
      </c>
      <c r="F24" s="12">
        <f t="shared" si="1"/>
        <v>2.3283333333333287</v>
      </c>
      <c r="G24" s="13">
        <f t="shared" si="2"/>
        <v>0</v>
      </c>
      <c r="H24" s="13">
        <f t="shared" si="3"/>
        <v>2.3283333333333287</v>
      </c>
      <c r="I24"/>
      <c r="J24"/>
    </row>
    <row r="25" spans="1:13" ht="18.75" x14ac:dyDescent="0.15">
      <c r="A25" s="10">
        <f t="shared" ca="1" si="0"/>
        <v>46136.109153009304</v>
      </c>
      <c r="B25" s="5" t="s">
        <v>76</v>
      </c>
      <c r="C25" s="11">
        <v>0.109143518518519</v>
      </c>
      <c r="D25" s="11" t="s">
        <v>62</v>
      </c>
      <c r="E25" s="11">
        <v>0.147858796296296</v>
      </c>
      <c r="F25" s="12">
        <f t="shared" si="1"/>
        <v>0.92916666666664804</v>
      </c>
      <c r="G25" s="13">
        <f t="shared" si="2"/>
        <v>0</v>
      </c>
      <c r="H25" s="13">
        <f t="shared" si="3"/>
        <v>0.92916666666664804</v>
      </c>
      <c r="I25"/>
      <c r="J25"/>
    </row>
    <row r="26" spans="1:13" ht="18.75" x14ac:dyDescent="0.15">
      <c r="A26" s="10">
        <f t="shared" ca="1" si="0"/>
        <v>46138.375306481503</v>
      </c>
      <c r="B26" s="5" t="s">
        <v>84</v>
      </c>
      <c r="C26" s="11">
        <v>0.37530092592592601</v>
      </c>
      <c r="D26" s="11" t="s">
        <v>62</v>
      </c>
      <c r="E26" s="11">
        <v>0.431805555555556</v>
      </c>
      <c r="F26" s="12">
        <f t="shared" si="1"/>
        <v>1.3561111111111197</v>
      </c>
      <c r="G26" s="13">
        <f t="shared" si="2"/>
        <v>1.3561111111111197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46138.5206905093</v>
      </c>
      <c r="B27" s="5" t="s">
        <v>76</v>
      </c>
      <c r="C27" s="11">
        <v>0.52068287037036998</v>
      </c>
      <c r="D27" s="11" t="s">
        <v>62</v>
      </c>
      <c r="E27" s="11">
        <v>0.69534722222222201</v>
      </c>
      <c r="F27" s="12">
        <f t="shared" si="1"/>
        <v>4.1919444444444487</v>
      </c>
      <c r="G27" s="13">
        <f t="shared" si="2"/>
        <v>4.1919444444444487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46138.695447222199</v>
      </c>
      <c r="B28" s="5" t="s">
        <v>84</v>
      </c>
      <c r="C28" s="11">
        <v>0.69543981481481498</v>
      </c>
      <c r="D28" s="11" t="s">
        <v>62</v>
      </c>
      <c r="E28" s="11">
        <v>0.72248842592592599</v>
      </c>
      <c r="F28" s="12">
        <f t="shared" si="1"/>
        <v>0.64916666666666423</v>
      </c>
      <c r="G28" s="13">
        <f t="shared" si="2"/>
        <v>0.64916666666666423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46138.769084143503</v>
      </c>
      <c r="B29" s="5" t="s">
        <v>76</v>
      </c>
      <c r="C29" s="11">
        <v>0.76907407407407402</v>
      </c>
      <c r="D29" s="11" t="s">
        <v>62</v>
      </c>
      <c r="E29" s="11">
        <v>0.86060185185185201</v>
      </c>
      <c r="F29" s="12">
        <f t="shared" si="1"/>
        <v>2.1966666666666717</v>
      </c>
      <c r="G29" s="13">
        <f t="shared" si="2"/>
        <v>2.1966666666666717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46139.623521990703</v>
      </c>
      <c r="B30" s="5" t="s">
        <v>75</v>
      </c>
      <c r="C30" s="11">
        <v>0.62351851851851803</v>
      </c>
      <c r="D30" s="11" t="s">
        <v>62</v>
      </c>
      <c r="E30" s="11">
        <v>0.77766203703703696</v>
      </c>
      <c r="F30" s="12">
        <f t="shared" si="1"/>
        <v>3.6994444444444543</v>
      </c>
      <c r="G30" s="13">
        <f t="shared" si="2"/>
        <v>3.6994444444444543</v>
      </c>
      <c r="H30" s="13">
        <f t="shared" si="3"/>
        <v>0</v>
      </c>
      <c r="I30"/>
      <c r="J30"/>
    </row>
    <row r="31" spans="1:13" ht="18.75" x14ac:dyDescent="0.15">
      <c r="A31" s="10"/>
      <c r="B31" s="5"/>
      <c r="C31" s="11"/>
      <c r="D31" s="11"/>
      <c r="E31" s="11"/>
      <c r="F31" s="12"/>
      <c r="G31" s="13"/>
      <c r="H31" s="13"/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2"/>
  <sheetViews>
    <sheetView topLeftCell="A10" zoomScale="85" zoomScaleNormal="85" workbookViewId="0">
      <selection activeCell="F33" sqref="F3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46114.357403819398</v>
      </c>
      <c r="B3" s="5" t="s">
        <v>84</v>
      </c>
      <c r="C3" s="11">
        <v>0.35531249999999998</v>
      </c>
      <c r="D3" s="11" t="s">
        <v>62</v>
      </c>
      <c r="E3" s="11">
        <v>0.47271990740740699</v>
      </c>
      <c r="F3" s="12">
        <f t="shared" ref="F3:F42" si="1">(IF(E3-C3&lt;0,"24:00"-C3+E3,E3-C3))*24</f>
        <v>2.8177777777777684</v>
      </c>
      <c r="G3" s="13">
        <f t="shared" ref="G3:G42" si="2">F3-H3</f>
        <v>2.8177777777777684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46114.522161921297</v>
      </c>
      <c r="B4" s="5" t="s">
        <v>81</v>
      </c>
      <c r="C4" s="11">
        <v>0.52215277777777802</v>
      </c>
      <c r="D4" s="11" t="s">
        <v>62</v>
      </c>
      <c r="E4" s="11">
        <v>0.71230324074074103</v>
      </c>
      <c r="F4" s="12">
        <f t="shared" si="1"/>
        <v>4.5636111111111122</v>
      </c>
      <c r="G4" s="13">
        <f t="shared" si="2"/>
        <v>4.5636111111111122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26.773333333333255</v>
      </c>
      <c r="K4" s="23">
        <f>SUMIF(B:B,"西塔台管制席",G:G)+SUMIF(B:B,"东塔台管制席",G:G)</f>
        <v>20.57944444444438</v>
      </c>
      <c r="L4" s="23">
        <f>SUMIF(B:B,"西塔台管制席",H:H)+SUMIF(B:B,"东塔台管制席",H:H)</f>
        <v>6.1938888888888801</v>
      </c>
      <c r="M4" s="19"/>
    </row>
    <row r="5" spans="1:16" ht="18.75" x14ac:dyDescent="0.25">
      <c r="A5" s="10">
        <f t="shared" ca="1" si="0"/>
        <v>46114.791518634302</v>
      </c>
      <c r="B5" s="5" t="s">
        <v>73</v>
      </c>
      <c r="C5" s="11">
        <v>0.79151620370370401</v>
      </c>
      <c r="D5" s="11" t="s">
        <v>62</v>
      </c>
      <c r="E5" s="11">
        <v>0.86193287037037003</v>
      </c>
      <c r="F5" s="12">
        <f t="shared" si="1"/>
        <v>1.6899999999999844</v>
      </c>
      <c r="G5" s="13">
        <f t="shared" si="2"/>
        <v>1.6899999999999844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32.776388888888945</v>
      </c>
      <c r="K5" s="23">
        <f>SUMIF(B:B,"西塔台协调席",G:G)+SUMIF(B:B,"东塔台协调席",G:G)</f>
        <v>19.256666666666735</v>
      </c>
      <c r="L5" s="23">
        <f>SUMIF(B:B,"西塔台协调席",H:H)+SUMIF(B:B,"东塔台协调席",H:H)</f>
        <v>13.519722222222208</v>
      </c>
      <c r="M5" s="19"/>
    </row>
    <row r="6" spans="1:16" ht="18.75" x14ac:dyDescent="0.25">
      <c r="A6" s="10">
        <f t="shared" ca="1" si="0"/>
        <v>46115.294096759302</v>
      </c>
      <c r="B6" s="5" t="s">
        <v>76</v>
      </c>
      <c r="C6" s="11">
        <v>0.29408564814814803</v>
      </c>
      <c r="D6" s="11" t="s">
        <v>62</v>
      </c>
      <c r="E6" s="11">
        <v>0.42339120370370398</v>
      </c>
      <c r="F6" s="12">
        <f t="shared" si="1"/>
        <v>3.1033333333333428</v>
      </c>
      <c r="G6" s="13">
        <f t="shared" si="2"/>
        <v>2.1613888888889039</v>
      </c>
      <c r="H6" s="13">
        <f t="shared" si="3"/>
        <v>0.94194444444443892</v>
      </c>
      <c r="I6" s="21" t="s">
        <v>66</v>
      </c>
      <c r="J6" s="22">
        <f>SUMIF(B:B,"放行席",F:F)</f>
        <v>1.8663888888888718</v>
      </c>
      <c r="K6" s="23">
        <f>SUMIF(B:B,"放行席",G:G)</f>
        <v>0</v>
      </c>
      <c r="L6" s="23">
        <f>SUMIF(B:B,"放行席",H:H)</f>
        <v>1.8663888888888718</v>
      </c>
      <c r="M6" s="19"/>
    </row>
    <row r="7" spans="1:16" ht="18.75" x14ac:dyDescent="0.25">
      <c r="A7" s="10">
        <f t="shared" ca="1" si="0"/>
        <v>46119.132452430596</v>
      </c>
      <c r="B7" s="5" t="s">
        <v>83</v>
      </c>
      <c r="C7" s="11">
        <v>0.13244212962963001</v>
      </c>
      <c r="D7" s="11" t="s">
        <v>62</v>
      </c>
      <c r="E7" s="11">
        <v>0.210208333333333</v>
      </c>
      <c r="F7" s="12">
        <f t="shared" si="1"/>
        <v>1.8663888888888718</v>
      </c>
      <c r="G7" s="13">
        <f t="shared" si="2"/>
        <v>0</v>
      </c>
      <c r="H7" s="13">
        <f t="shared" si="3"/>
        <v>1.8663888888888718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46119.210278009297</v>
      </c>
      <c r="B8" s="5" t="s">
        <v>76</v>
      </c>
      <c r="C8" s="11">
        <v>0.21027777777777801</v>
      </c>
      <c r="D8" s="11" t="s">
        <v>62</v>
      </c>
      <c r="E8" s="11">
        <v>0.30008101851851798</v>
      </c>
      <c r="F8" s="12">
        <f t="shared" si="1"/>
        <v>2.1552777777777594</v>
      </c>
      <c r="G8" s="13">
        <f t="shared" si="2"/>
        <v>0</v>
      </c>
      <c r="H8" s="13">
        <f t="shared" si="3"/>
        <v>2.1552777777777594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46120.014808796303</v>
      </c>
      <c r="B9" s="5" t="s">
        <v>73</v>
      </c>
      <c r="C9" s="11">
        <v>1.48032407407407E-2</v>
      </c>
      <c r="D9" s="11" t="s">
        <v>62</v>
      </c>
      <c r="E9" s="11">
        <v>0.14719907407407401</v>
      </c>
      <c r="F9" s="12">
        <f t="shared" si="1"/>
        <v>3.1774999999999998</v>
      </c>
      <c r="G9" s="13">
        <f t="shared" si="2"/>
        <v>0</v>
      </c>
      <c r="H9" s="13">
        <f t="shared" si="3"/>
        <v>3.1774999999999998</v>
      </c>
      <c r="I9" s="21" t="s">
        <v>69</v>
      </c>
      <c r="J9" s="22">
        <f>SUMIF(B:B,"航班调度席",F:F)</f>
        <v>4.3311111111111114</v>
      </c>
      <c r="K9" s="23">
        <f>SUMIF(B:B,"航班调度席",G:G)</f>
        <v>4.3311111111111114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46122.3548135417</v>
      </c>
      <c r="B10" s="5" t="s">
        <v>76</v>
      </c>
      <c r="C10" s="11">
        <v>0.35480324074074099</v>
      </c>
      <c r="D10" s="11" t="s">
        <v>62</v>
      </c>
      <c r="E10" s="11">
        <v>0.52821759259259304</v>
      </c>
      <c r="F10" s="12">
        <f t="shared" si="1"/>
        <v>4.1619444444444493</v>
      </c>
      <c r="G10" s="13">
        <f t="shared" si="2"/>
        <v>4.1619444444444493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46122.647431481499</v>
      </c>
      <c r="B11" s="5" t="s">
        <v>75</v>
      </c>
      <c r="C11" s="11">
        <v>0.64743055555555595</v>
      </c>
      <c r="D11" s="11" t="s">
        <v>62</v>
      </c>
      <c r="E11" s="11">
        <v>0.77718750000000003</v>
      </c>
      <c r="F11" s="12">
        <f t="shared" si="1"/>
        <v>3.1141666666666579</v>
      </c>
      <c r="G11" s="13">
        <f t="shared" si="2"/>
        <v>3.1141666666666579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46123.294385300898</v>
      </c>
      <c r="B12" s="5" t="s">
        <v>75</v>
      </c>
      <c r="C12" s="11">
        <v>0.294375</v>
      </c>
      <c r="D12" s="11" t="s">
        <v>62</v>
      </c>
      <c r="E12" s="11">
        <v>0.35846064814814799</v>
      </c>
      <c r="F12" s="12">
        <f t="shared" si="1"/>
        <v>1.5380555555555517</v>
      </c>
      <c r="G12" s="13">
        <f t="shared" si="2"/>
        <v>0.60305555555556012</v>
      </c>
      <c r="H12" s="13">
        <f t="shared" si="3"/>
        <v>0.93499999999999162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46123.647440856497</v>
      </c>
      <c r="B13" s="5" t="s">
        <v>75</v>
      </c>
      <c r="C13" s="11">
        <v>0.52104166666666696</v>
      </c>
      <c r="D13" s="11" t="s">
        <v>62</v>
      </c>
      <c r="E13" s="11">
        <v>0.70817129629629605</v>
      </c>
      <c r="F13" s="12">
        <f t="shared" si="1"/>
        <v>4.4911111111110982</v>
      </c>
      <c r="G13" s="13">
        <f t="shared" si="2"/>
        <v>4.4911111111110982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46123.772594675902</v>
      </c>
      <c r="B14" s="5" t="s">
        <v>75</v>
      </c>
      <c r="C14" s="11">
        <v>0.77259259259259305</v>
      </c>
      <c r="D14" s="11" t="s">
        <v>62</v>
      </c>
      <c r="E14" s="11">
        <v>0.81967592592592597</v>
      </c>
      <c r="F14" s="12">
        <f t="shared" si="1"/>
        <v>1.1299999999999901</v>
      </c>
      <c r="G14" s="13">
        <f t="shared" si="2"/>
        <v>1.1299999999999901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46126.953477314797</v>
      </c>
      <c r="B15" s="5" t="s">
        <v>76</v>
      </c>
      <c r="C15" s="11">
        <v>0.95347222222222205</v>
      </c>
      <c r="D15" s="11" t="s">
        <v>62</v>
      </c>
      <c r="E15" s="11">
        <v>0.111087962962963</v>
      </c>
      <c r="F15" s="12">
        <f t="shared" si="1"/>
        <v>3.7827777777777829</v>
      </c>
      <c r="G15" s="13">
        <f t="shared" si="2"/>
        <v>1.1166666666666707</v>
      </c>
      <c r="H15" s="13">
        <f t="shared" si="3"/>
        <v>2.6661111111111122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46128.140513194397</v>
      </c>
      <c r="B16" s="5" t="s">
        <v>75</v>
      </c>
      <c r="C16" s="11">
        <v>0.140914351851852</v>
      </c>
      <c r="D16" s="11" t="s">
        <v>62</v>
      </c>
      <c r="E16" s="11">
        <v>0.227638888888889</v>
      </c>
      <c r="F16" s="12">
        <f t="shared" si="1"/>
        <v>2.0813888888888883</v>
      </c>
      <c r="G16" s="13">
        <f t="shared" si="2"/>
        <v>0</v>
      </c>
      <c r="H16" s="13">
        <f t="shared" si="3"/>
        <v>2.0813888888888883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46128.2276732639</v>
      </c>
      <c r="B17" s="5" t="s">
        <v>81</v>
      </c>
      <c r="C17" s="11">
        <v>0.22767361111111101</v>
      </c>
      <c r="D17" s="11" t="s">
        <v>62</v>
      </c>
      <c r="E17" s="11">
        <v>0.301840277777778</v>
      </c>
      <c r="F17" s="12">
        <f t="shared" si="1"/>
        <v>1.7800000000000078</v>
      </c>
      <c r="G17" s="13">
        <f t="shared" si="2"/>
        <v>0</v>
      </c>
      <c r="H17" s="13">
        <f t="shared" si="3"/>
        <v>1.7800000000000078</v>
      </c>
      <c r="I17" s="35" t="s">
        <v>78</v>
      </c>
      <c r="J17" s="36">
        <f>J4+J5+J6+J7+J10</f>
        <v>61.416111111111071</v>
      </c>
      <c r="K17" s="37">
        <f>K4+K5+K6+K7+K10</f>
        <v>39.836111111111116</v>
      </c>
      <c r="L17" s="38">
        <f>L4+L5+L6+L7+L10</f>
        <v>21.579999999999959</v>
      </c>
      <c r="M17" s="39"/>
    </row>
    <row r="18" spans="1:13" ht="20.25" x14ac:dyDescent="0.25">
      <c r="A18" s="10">
        <f t="shared" ca="1" si="0"/>
        <v>46131.4182947917</v>
      </c>
      <c r="B18" s="5" t="s">
        <v>75</v>
      </c>
      <c r="C18" s="11">
        <v>0.41828703703703701</v>
      </c>
      <c r="D18" s="11" t="s">
        <v>62</v>
      </c>
      <c r="E18" s="11">
        <v>0.50871527777777803</v>
      </c>
      <c r="F18" s="12">
        <f t="shared" si="1"/>
        <v>2.1702777777777844</v>
      </c>
      <c r="G18" s="13">
        <f t="shared" si="2"/>
        <v>2.1702777777777844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46131.5852243056</v>
      </c>
      <c r="B19" s="5" t="s">
        <v>76</v>
      </c>
      <c r="C19" s="11">
        <v>0.58521990740740704</v>
      </c>
      <c r="D19" s="11" t="s">
        <v>62</v>
      </c>
      <c r="E19" s="11">
        <v>0.71603009259259298</v>
      </c>
      <c r="F19" s="12">
        <f t="shared" si="1"/>
        <v>3.1394444444444627</v>
      </c>
      <c r="G19" s="13">
        <f t="shared" si="2"/>
        <v>3.1394444444444627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46134.357410879602</v>
      </c>
      <c r="B20" s="5" t="s">
        <v>75</v>
      </c>
      <c r="C20" s="11">
        <v>0.35740740740740701</v>
      </c>
      <c r="D20" s="11" t="s">
        <v>62</v>
      </c>
      <c r="E20" s="11">
        <v>0.46193287037037001</v>
      </c>
      <c r="F20" s="12">
        <f t="shared" si="1"/>
        <v>2.508611111111112</v>
      </c>
      <c r="G20" s="13">
        <f t="shared" si="2"/>
        <v>2.508611111111112</v>
      </c>
      <c r="H20" s="13">
        <f t="shared" si="3"/>
        <v>0</v>
      </c>
      <c r="I20" s="40" t="s">
        <v>80</v>
      </c>
      <c r="J20" s="65">
        <f>J16+J17+J18+J19</f>
        <v>61.416111111111071</v>
      </c>
      <c r="K20" s="66"/>
      <c r="L20" s="67"/>
      <c r="M20" s="41"/>
    </row>
    <row r="21" spans="1:13" ht="20.25" x14ac:dyDescent="0.25">
      <c r="A21" s="10">
        <f t="shared" ca="1" si="0"/>
        <v>46134.472991898103</v>
      </c>
      <c r="B21" s="5" t="s">
        <v>75</v>
      </c>
      <c r="C21" s="11">
        <v>0.472986111111111</v>
      </c>
      <c r="D21" s="11" t="s">
        <v>62</v>
      </c>
      <c r="E21" s="11">
        <v>0.52631944444444401</v>
      </c>
      <c r="F21" s="12">
        <f t="shared" si="1"/>
        <v>1.2799999999999923</v>
      </c>
      <c r="G21" s="13">
        <f t="shared" si="2"/>
        <v>1.2799999999999923</v>
      </c>
      <c r="H21" s="13">
        <f t="shared" si="3"/>
        <v>0</v>
      </c>
      <c r="I21" s="42" t="s">
        <v>4</v>
      </c>
      <c r="J21" s="43">
        <f>SUM(J8:J9)</f>
        <v>4.3311111111111114</v>
      </c>
      <c r="K21" s="37">
        <f>SUM(K8:K9)</f>
        <v>4.3311111111111114</v>
      </c>
      <c r="L21" s="38">
        <f>SUM(L8:L9)</f>
        <v>0</v>
      </c>
      <c r="M21" s="44"/>
    </row>
    <row r="22" spans="1:13" ht="18.75" x14ac:dyDescent="0.15">
      <c r="A22" s="10">
        <f t="shared" ca="1" si="0"/>
        <v>46134.628815162003</v>
      </c>
      <c r="B22" s="5" t="s">
        <v>76</v>
      </c>
      <c r="C22" s="11">
        <v>0.62880787037037</v>
      </c>
      <c r="D22" s="11" t="s">
        <v>62</v>
      </c>
      <c r="E22" s="11">
        <v>0.75400462962963</v>
      </c>
      <c r="F22" s="12">
        <f t="shared" si="1"/>
        <v>3.0047222222222398</v>
      </c>
      <c r="G22" s="13">
        <f t="shared" si="2"/>
        <v>3.0047222222222398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46135.631272222199</v>
      </c>
      <c r="B23" s="5" t="s">
        <v>84</v>
      </c>
      <c r="C23" s="11">
        <v>0.63126157407407402</v>
      </c>
      <c r="D23" s="11" t="s">
        <v>62</v>
      </c>
      <c r="E23" s="11">
        <v>0.69431712962962999</v>
      </c>
      <c r="F23" s="12">
        <f t="shared" si="1"/>
        <v>1.5133333333333434</v>
      </c>
      <c r="G23" s="13">
        <f t="shared" si="2"/>
        <v>1.5133333333333434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46135.694361921298</v>
      </c>
      <c r="B24" s="5" t="s">
        <v>75</v>
      </c>
      <c r="C24" s="11">
        <v>0.694351851851852</v>
      </c>
      <c r="D24" s="11" t="s">
        <v>62</v>
      </c>
      <c r="E24" s="11">
        <v>0.78914351851851805</v>
      </c>
      <c r="F24" s="12">
        <f t="shared" si="1"/>
        <v>2.2749999999999853</v>
      </c>
      <c r="G24" s="13">
        <f t="shared" si="2"/>
        <v>2.2749999999999853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46135.806707523101</v>
      </c>
      <c r="B25" s="5" t="s">
        <v>75</v>
      </c>
      <c r="C25" s="11">
        <v>0.80670138888888898</v>
      </c>
      <c r="D25" s="11" t="s">
        <v>62</v>
      </c>
      <c r="E25" s="11">
        <v>0.86158564814814798</v>
      </c>
      <c r="F25" s="12">
        <f t="shared" si="1"/>
        <v>1.3172222222222159</v>
      </c>
      <c r="G25" s="13">
        <f t="shared" si="2"/>
        <v>1.3172222222222159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46139.013916782402</v>
      </c>
      <c r="B26" s="5" t="s">
        <v>81</v>
      </c>
      <c r="C26" s="11">
        <v>1.40625E-2</v>
      </c>
      <c r="D26" s="11" t="s">
        <v>62</v>
      </c>
      <c r="E26" s="11">
        <v>9.7442129629629601E-2</v>
      </c>
      <c r="F26" s="12">
        <f t="shared" si="1"/>
        <v>2.0011111111111104</v>
      </c>
      <c r="G26" s="13">
        <f t="shared" si="2"/>
        <v>0</v>
      </c>
      <c r="H26" s="13">
        <f t="shared" si="3"/>
        <v>2.0011111111111104</v>
      </c>
      <c r="I26"/>
      <c r="J26"/>
    </row>
    <row r="27" spans="1:13" ht="18.75" x14ac:dyDescent="0.15">
      <c r="A27" s="10">
        <f t="shared" ca="1" si="0"/>
        <v>46139.097487384301</v>
      </c>
      <c r="B27" s="5" t="s">
        <v>76</v>
      </c>
      <c r="C27" s="11">
        <v>9.7476851851851801E-2</v>
      </c>
      <c r="D27" s="11" t="s">
        <v>62</v>
      </c>
      <c r="E27" s="11">
        <v>0.14359953703703701</v>
      </c>
      <c r="F27" s="12">
        <f t="shared" si="1"/>
        <v>1.1069444444444452</v>
      </c>
      <c r="G27" s="13">
        <f t="shared" si="2"/>
        <v>0</v>
      </c>
      <c r="H27" s="13">
        <f t="shared" si="3"/>
        <v>1.1069444444444452</v>
      </c>
      <c r="I27"/>
      <c r="J27"/>
    </row>
    <row r="28" spans="1:13" ht="18.75" x14ac:dyDescent="0.15">
      <c r="A28" s="10">
        <f t="shared" ca="1" si="0"/>
        <v>46139.953803356497</v>
      </c>
      <c r="B28" s="5" t="s">
        <v>76</v>
      </c>
      <c r="C28" s="11">
        <v>0.95379629629629603</v>
      </c>
      <c r="D28" s="11" t="s">
        <v>62</v>
      </c>
      <c r="E28" s="11">
        <v>0.119513888888889</v>
      </c>
      <c r="F28" s="12">
        <f t="shared" si="1"/>
        <v>3.9772222222222311</v>
      </c>
      <c r="G28" s="13">
        <f t="shared" si="2"/>
        <v>1.1088888888888953</v>
      </c>
      <c r="H28" s="13">
        <f t="shared" si="3"/>
        <v>2.8683333333333358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42"/>
  <sheetViews>
    <sheetView zoomScale="85" zoomScaleNormal="85" workbookViewId="0">
      <selection activeCell="D22" sqref="D2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46114.952916087997</v>
      </c>
      <c r="B3" s="5" t="s">
        <v>81</v>
      </c>
      <c r="C3" s="11">
        <v>0.95293981481481504</v>
      </c>
      <c r="D3" s="11" t="s">
        <v>62</v>
      </c>
      <c r="E3" s="11">
        <v>0.125092592592593</v>
      </c>
      <c r="F3" s="12">
        <f t="shared" ref="F3:F42" si="1">(IF(E3-C3&lt;0,"24:00"-C3+E3,E3-C3))*24</f>
        <v>4.1316666666666713</v>
      </c>
      <c r="G3" s="13">
        <f t="shared" ref="G3:G42" si="2">F3-H3</f>
        <v>1.1294444444444389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3.0022222222222323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46119.1404020833</v>
      </c>
      <c r="B4" s="5" t="s">
        <v>75</v>
      </c>
      <c r="C4" s="11">
        <v>0.140393518518519</v>
      </c>
      <c r="D4" s="11" t="s">
        <v>62</v>
      </c>
      <c r="E4" s="11">
        <v>0.300335648148148</v>
      </c>
      <c r="F4" s="12">
        <f t="shared" si="1"/>
        <v>3.8386111111110961</v>
      </c>
      <c r="G4" s="13">
        <f t="shared" si="2"/>
        <v>0</v>
      </c>
      <c r="H4" s="13">
        <f t="shared" si="3"/>
        <v>3.8386111111110961</v>
      </c>
      <c r="I4" s="21" t="s">
        <v>64</v>
      </c>
      <c r="J4" s="22">
        <f>SUMIF(B:B,"西塔台管制席",F:F)+SUMIF(B:B,"东塔台管制席",F:F)</f>
        <v>19.503611111111105</v>
      </c>
      <c r="K4" s="23">
        <f>SUMIF(B:B,"西塔台管制席",G:G)+SUMIF(B:B,"东塔台管制席",G:G)</f>
        <v>7.876388888888898</v>
      </c>
      <c r="L4" s="23">
        <f>SUMIF(B:B,"西塔台管制席",H:H)+SUMIF(B:B,"东塔台管制席",H:H)</f>
        <v>11.627222222222203</v>
      </c>
      <c r="M4" s="19"/>
    </row>
    <row r="5" spans="1:16" ht="18.75" x14ac:dyDescent="0.25">
      <c r="A5" s="10">
        <f t="shared" ca="1" si="0"/>
        <v>46120.133110532399</v>
      </c>
      <c r="B5" s="5" t="s">
        <v>83</v>
      </c>
      <c r="C5" s="11">
        <v>0.133101851851852</v>
      </c>
      <c r="D5" s="11" t="s">
        <v>62</v>
      </c>
      <c r="E5" s="11">
        <v>0.21760416666666699</v>
      </c>
      <c r="F5" s="12">
        <f t="shared" si="1"/>
        <v>2.0280555555555599</v>
      </c>
      <c r="G5" s="13">
        <f t="shared" si="2"/>
        <v>0</v>
      </c>
      <c r="H5" s="13">
        <f t="shared" si="3"/>
        <v>2.0280555555555599</v>
      </c>
      <c r="I5" s="21" t="s">
        <v>65</v>
      </c>
      <c r="J5" s="22">
        <f>SUMIF(B:B,"西塔台协调席",F:F)+SUMIF(B:B,"东塔台协调席",F:F)</f>
        <v>25.031388888888888</v>
      </c>
      <c r="K5" s="23">
        <f>SUMIF(B:B,"西塔台协调席",G:G)+SUMIF(B:B,"东塔台协调席",G:G)</f>
        <v>19.559999999999999</v>
      </c>
      <c r="L5" s="23">
        <f>SUMIF(B:B,"西塔台协调席",H:H)+SUMIF(B:B,"东塔台协调席",H:H)</f>
        <v>5.4713888888888889</v>
      </c>
      <c r="M5" s="19"/>
    </row>
    <row r="6" spans="1:16" ht="18.75" x14ac:dyDescent="0.25">
      <c r="A6" s="10">
        <f t="shared" ca="1" si="0"/>
        <v>46122.520483564796</v>
      </c>
      <c r="B6" s="5" t="s">
        <v>76</v>
      </c>
      <c r="C6" s="11">
        <v>0.52047453703703705</v>
      </c>
      <c r="D6" s="11" t="s">
        <v>62</v>
      </c>
      <c r="E6" s="11">
        <v>0.65271990740740704</v>
      </c>
      <c r="F6" s="12">
        <f t="shared" si="1"/>
        <v>3.1738888888888797</v>
      </c>
      <c r="G6" s="13">
        <f t="shared" si="2"/>
        <v>3.1738888888888797</v>
      </c>
      <c r="H6" s="13">
        <f t="shared" si="3"/>
        <v>0</v>
      </c>
      <c r="I6" s="21" t="s">
        <v>66</v>
      </c>
      <c r="J6" s="22">
        <f>SUMIF(B:B,"放行席",F:F)</f>
        <v>2.0280555555555599</v>
      </c>
      <c r="K6" s="23">
        <f>SUMIF(B:B,"放行席",G:G)</f>
        <v>0</v>
      </c>
      <c r="L6" s="23">
        <f>SUMIF(B:B,"放行席",H:H)</f>
        <v>2.0280555555555599</v>
      </c>
      <c r="M6" s="19"/>
    </row>
    <row r="7" spans="1:16" ht="18.75" x14ac:dyDescent="0.25">
      <c r="A7" s="10">
        <f t="shared" ca="1" si="0"/>
        <v>46122.772695370397</v>
      </c>
      <c r="B7" s="5" t="s">
        <v>75</v>
      </c>
      <c r="C7" s="11">
        <v>0.77268518518518503</v>
      </c>
      <c r="D7" s="11" t="s">
        <v>62</v>
      </c>
      <c r="E7" s="11">
        <v>0.86518518518518495</v>
      </c>
      <c r="F7" s="12">
        <f t="shared" si="1"/>
        <v>2.219999999999998</v>
      </c>
      <c r="G7" s="13">
        <f t="shared" si="2"/>
        <v>2.219999999999998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46123.354073726798</v>
      </c>
      <c r="B8" s="5" t="s">
        <v>76</v>
      </c>
      <c r="C8" s="11">
        <v>0.35407407407407399</v>
      </c>
      <c r="D8" s="11" t="s">
        <v>62</v>
      </c>
      <c r="E8" s="11">
        <v>0.52638888888888902</v>
      </c>
      <c r="F8" s="12">
        <f t="shared" si="1"/>
        <v>4.1355555555555608</v>
      </c>
      <c r="G8" s="13">
        <f t="shared" si="2"/>
        <v>4.1355555555555608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46123.773130092603</v>
      </c>
      <c r="B9" s="5" t="s">
        <v>76</v>
      </c>
      <c r="C9" s="11">
        <v>0.77312499999999995</v>
      </c>
      <c r="D9" s="11" t="s">
        <v>62</v>
      </c>
      <c r="E9" s="11">
        <v>0.86013888888888901</v>
      </c>
      <c r="F9" s="12">
        <f t="shared" si="1"/>
        <v>2.0883333333333374</v>
      </c>
      <c r="G9" s="13">
        <f t="shared" si="2"/>
        <v>2.0883333333333374</v>
      </c>
      <c r="H9" s="13">
        <f t="shared" si="3"/>
        <v>0</v>
      </c>
      <c r="I9" s="21" t="s">
        <v>69</v>
      </c>
      <c r="J9" s="22">
        <f>SUMIF(B:B,"航班调度席",F:F)</f>
        <v>2.5719444444444486</v>
      </c>
      <c r="K9" s="23">
        <f>SUMIF(B:B,"航班调度席",G:G)</f>
        <v>2.5719444444444486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46132.013094097201</v>
      </c>
      <c r="B10" s="5" t="s">
        <v>73</v>
      </c>
      <c r="C10" s="11">
        <v>1.31481481481481E-2</v>
      </c>
      <c r="D10" s="11" t="s">
        <v>62</v>
      </c>
      <c r="E10" s="11">
        <v>0.138564814814815</v>
      </c>
      <c r="F10" s="12">
        <f t="shared" si="1"/>
        <v>3.0100000000000056</v>
      </c>
      <c r="G10" s="13">
        <f t="shared" si="2"/>
        <v>0</v>
      </c>
      <c r="H10" s="13">
        <f t="shared" si="3"/>
        <v>3.0100000000000056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46134.375930902803</v>
      </c>
      <c r="B11" s="5" t="s">
        <v>84</v>
      </c>
      <c r="C11" s="11">
        <v>0.375925925925926</v>
      </c>
      <c r="D11" s="11" t="s">
        <v>62</v>
      </c>
      <c r="E11" s="11">
        <v>0.48309027777777802</v>
      </c>
      <c r="F11" s="12">
        <f t="shared" si="1"/>
        <v>2.5719444444444486</v>
      </c>
      <c r="G11" s="13">
        <f t="shared" si="2"/>
        <v>2.5719444444444486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46134.519734722198</v>
      </c>
      <c r="B12" s="5" t="s">
        <v>76</v>
      </c>
      <c r="C12" s="11">
        <v>0.51973379629629601</v>
      </c>
      <c r="D12" s="11" t="s">
        <v>62</v>
      </c>
      <c r="E12" s="11">
        <v>0.63586805555555603</v>
      </c>
      <c r="F12" s="12">
        <f t="shared" si="1"/>
        <v>2.7872222222222405</v>
      </c>
      <c r="G12" s="13">
        <f t="shared" si="2"/>
        <v>2.7872222222222405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46134.747828240703</v>
      </c>
      <c r="B13" s="5" t="s">
        <v>75</v>
      </c>
      <c r="C13" s="11">
        <v>0.74782407407407403</v>
      </c>
      <c r="D13" s="11" t="s">
        <v>62</v>
      </c>
      <c r="E13" s="11">
        <v>0.86075231481481496</v>
      </c>
      <c r="F13" s="12">
        <f t="shared" si="1"/>
        <v>2.7102777777777822</v>
      </c>
      <c r="G13" s="13">
        <f t="shared" si="2"/>
        <v>2.7102777777777822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46135.417754513903</v>
      </c>
      <c r="B14" s="5" t="s">
        <v>76</v>
      </c>
      <c r="C14" s="11">
        <v>0.41775462962963</v>
      </c>
      <c r="D14" s="11" t="s">
        <v>62</v>
      </c>
      <c r="E14" s="11">
        <v>0.52745370370370404</v>
      </c>
      <c r="F14" s="12">
        <f t="shared" si="1"/>
        <v>2.6327777777777768</v>
      </c>
      <c r="G14" s="13">
        <f t="shared" si="2"/>
        <v>2.6327777777777768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46135.6049277778</v>
      </c>
      <c r="B15" s="5" t="s">
        <v>75</v>
      </c>
      <c r="C15" s="11">
        <v>0.60491898148148104</v>
      </c>
      <c r="D15" s="11" t="s">
        <v>62</v>
      </c>
      <c r="E15" s="11">
        <v>0.69569444444444395</v>
      </c>
      <c r="F15" s="12">
        <f t="shared" si="1"/>
        <v>2.1786111111111097</v>
      </c>
      <c r="G15" s="13">
        <f t="shared" si="2"/>
        <v>2.1786111111111097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46135.856169560197</v>
      </c>
      <c r="B16" s="5" t="s">
        <v>76</v>
      </c>
      <c r="C16" s="11">
        <v>0.85616898148148202</v>
      </c>
      <c r="D16" s="11" t="s">
        <v>62</v>
      </c>
      <c r="E16" s="11">
        <v>0.95636574074074099</v>
      </c>
      <c r="F16" s="12">
        <f t="shared" si="1"/>
        <v>2.4047222222222153</v>
      </c>
      <c r="G16" s="13">
        <f t="shared" si="2"/>
        <v>2.4047222222222153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46136.293360995398</v>
      </c>
      <c r="B17" s="5" t="s">
        <v>75</v>
      </c>
      <c r="C17" s="11">
        <v>0.29335648148148102</v>
      </c>
      <c r="D17" s="11" t="s">
        <v>62</v>
      </c>
      <c r="E17" s="11">
        <v>0.36531249999999998</v>
      </c>
      <c r="F17" s="12">
        <f t="shared" si="1"/>
        <v>1.7269444444444551</v>
      </c>
      <c r="G17" s="13">
        <f t="shared" si="2"/>
        <v>0.76750000000000806</v>
      </c>
      <c r="H17" s="13">
        <f t="shared" si="3"/>
        <v>0.95944444444444699</v>
      </c>
      <c r="I17" s="35" t="s">
        <v>78</v>
      </c>
      <c r="J17" s="36">
        <f>J4+J5+J6+J7+J10</f>
        <v>46.563055555555557</v>
      </c>
      <c r="K17" s="37">
        <f>K4+K5+K6+K7+K10</f>
        <v>27.436388888888896</v>
      </c>
      <c r="L17" s="38">
        <f>L4+L5+L6+L7+L10</f>
        <v>19.126666666666651</v>
      </c>
      <c r="M17" s="39"/>
    </row>
    <row r="18" spans="1:13" ht="20.25" x14ac:dyDescent="0.25">
      <c r="A18" s="10">
        <f t="shared" ca="1" si="0"/>
        <v>46138.949665161999</v>
      </c>
      <c r="B18" s="5" t="s">
        <v>76</v>
      </c>
      <c r="C18" s="11">
        <v>0.94966435185185205</v>
      </c>
      <c r="D18" s="11" t="s">
        <v>62</v>
      </c>
      <c r="E18" s="11">
        <v>0.102881944444444</v>
      </c>
      <c r="F18" s="12">
        <f t="shared" si="1"/>
        <v>3.6772222222222064</v>
      </c>
      <c r="G18" s="13">
        <f t="shared" si="2"/>
        <v>1.2080555555555503</v>
      </c>
      <c r="H18" s="13">
        <f t="shared" si="3"/>
        <v>2.4691666666666561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46140.138751504601</v>
      </c>
      <c r="B19" s="5" t="s">
        <v>73</v>
      </c>
      <c r="C19" s="11">
        <v>0.13875000000000001</v>
      </c>
      <c r="D19" s="11" t="s">
        <v>62</v>
      </c>
      <c r="E19" s="11">
        <v>0.29788194444444399</v>
      </c>
      <c r="F19" s="12">
        <f t="shared" si="1"/>
        <v>3.8191666666666553</v>
      </c>
      <c r="G19" s="13">
        <f t="shared" si="2"/>
        <v>0</v>
      </c>
      <c r="H19" s="13">
        <f t="shared" si="3"/>
        <v>3.8191666666666553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46.563055555555557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2.5719444444444486</v>
      </c>
      <c r="K21" s="37">
        <f>SUM(K8:K9)</f>
        <v>2.5719444444444486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46114.950756134298</v>
      </c>
      <c r="B3" s="5" t="s">
        <v>73</v>
      </c>
      <c r="C3" s="11">
        <v>0.95075231481481504</v>
      </c>
      <c r="D3" s="11" t="s">
        <v>62</v>
      </c>
      <c r="E3" s="11">
        <v>0.12512731481481501</v>
      </c>
      <c r="F3" s="12">
        <f t="shared" ref="F3:F42" si="1">(IF(E3-C3&lt;0,"24:00"-C3+E3,E3-C3))*24</f>
        <v>4.1849999999999996</v>
      </c>
      <c r="G3" s="13">
        <f t="shared" ref="G3:G42" si="2">F3-H3</f>
        <v>1.1819444444444391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3.0030555555555605</v>
      </c>
      <c r="I3" s="16" t="s">
        <v>63</v>
      </c>
      <c r="J3" s="17">
        <f>SUMIF(B:B,"带班主任",F:F)</f>
        <v>88.70777777777775</v>
      </c>
      <c r="K3" s="18">
        <f>SUMIF(B:B,"带班主任",G:G)</f>
        <v>62.939166666666644</v>
      </c>
      <c r="L3" s="18">
        <f>SUMIF(B:B,"带班主任",H:H)</f>
        <v>25.768611111111092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46115.542163773098</v>
      </c>
      <c r="B4" s="5" t="s">
        <v>61</v>
      </c>
      <c r="C4" s="11">
        <v>0.54215277777777804</v>
      </c>
      <c r="D4" s="11" t="s">
        <v>62</v>
      </c>
      <c r="E4" s="11">
        <v>0.79694444444444401</v>
      </c>
      <c r="F4" s="12">
        <f t="shared" si="1"/>
        <v>6.1149999999999833</v>
      </c>
      <c r="G4" s="13">
        <f t="shared" si="2"/>
        <v>6.1149999999999833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4.1849999999999996</v>
      </c>
      <c r="K4" s="23">
        <f>SUMIF(B:B,"西塔台管制席",G:G)+SUMIF(B:B,"东塔台管制席",G:G)</f>
        <v>1.1819444444444391</v>
      </c>
      <c r="L4" s="23">
        <f>SUMIF(B:B,"西塔台管制席",H:H)+SUMIF(B:B,"东塔台管制席",H:H)</f>
        <v>3.0030555555555605</v>
      </c>
      <c r="M4" s="19"/>
    </row>
    <row r="5" spans="1:16" ht="18.75" x14ac:dyDescent="0.25">
      <c r="A5" s="10">
        <f t="shared" ca="1" si="0"/>
        <v>46116.129278125001</v>
      </c>
      <c r="B5" s="5" t="s">
        <v>61</v>
      </c>
      <c r="C5" s="11">
        <v>0.129270833333333</v>
      </c>
      <c r="D5" s="11" t="s">
        <v>62</v>
      </c>
      <c r="E5" s="11">
        <v>0.29988425925925899</v>
      </c>
      <c r="F5" s="12">
        <f t="shared" si="1"/>
        <v>4.0947222222222237</v>
      </c>
      <c r="G5" s="13">
        <f t="shared" si="2"/>
        <v>0</v>
      </c>
      <c r="H5" s="13">
        <f t="shared" si="3"/>
        <v>4.0947222222222237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46118.346159838002</v>
      </c>
      <c r="B6" s="5" t="s">
        <v>61</v>
      </c>
      <c r="C6" s="11">
        <v>0.34615740740740703</v>
      </c>
      <c r="D6" s="11" t="s">
        <v>62</v>
      </c>
      <c r="E6" s="11">
        <v>0.54748842592592595</v>
      </c>
      <c r="F6" s="12">
        <f t="shared" si="1"/>
        <v>4.8319444444444546</v>
      </c>
      <c r="G6" s="13">
        <f t="shared" si="2"/>
        <v>4.8319444444444546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46118.793451041704</v>
      </c>
      <c r="B7" s="5" t="s">
        <v>61</v>
      </c>
      <c r="C7" s="11">
        <v>0.79344907407407395</v>
      </c>
      <c r="D7" s="11" t="s">
        <v>62</v>
      </c>
      <c r="E7" s="11">
        <v>0.94392361111111101</v>
      </c>
      <c r="F7" s="12">
        <f t="shared" si="1"/>
        <v>3.6113888888888894</v>
      </c>
      <c r="G7" s="13">
        <f t="shared" si="2"/>
        <v>3.6113888888888894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46119.292955902798</v>
      </c>
      <c r="B8" s="5" t="s">
        <v>61</v>
      </c>
      <c r="C8" s="11">
        <v>0.292951388888889</v>
      </c>
      <c r="D8" s="11" t="s">
        <v>62</v>
      </c>
      <c r="E8" s="11">
        <v>0.54828703703703696</v>
      </c>
      <c r="F8" s="12">
        <f t="shared" si="1"/>
        <v>6.1280555555555516</v>
      </c>
      <c r="G8" s="13">
        <f t="shared" si="2"/>
        <v>5.158888888888896</v>
      </c>
      <c r="H8" s="13">
        <f t="shared" si="3"/>
        <v>0.96916666666665563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46119.9369695602</v>
      </c>
      <c r="B9" s="5" t="s">
        <v>61</v>
      </c>
      <c r="C9" s="11">
        <v>0.93696759259259299</v>
      </c>
      <c r="D9" s="11" t="s">
        <v>62</v>
      </c>
      <c r="E9" s="11">
        <v>0.138009259259259</v>
      </c>
      <c r="F9" s="12">
        <f t="shared" si="1"/>
        <v>4.8249999999999842</v>
      </c>
      <c r="G9" s="13">
        <f t="shared" si="2"/>
        <v>1.5127777777777682</v>
      </c>
      <c r="H9" s="13">
        <f t="shared" si="3"/>
        <v>3.312222222222216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46122.938291550898</v>
      </c>
      <c r="B10" s="5" t="s">
        <v>61</v>
      </c>
      <c r="C10" s="11">
        <v>0.93828703703703698</v>
      </c>
      <c r="D10" s="11" t="s">
        <v>62</v>
      </c>
      <c r="E10" s="11">
        <v>0.13883101851851901</v>
      </c>
      <c r="F10" s="12">
        <f t="shared" si="1"/>
        <v>4.813055555555569</v>
      </c>
      <c r="G10" s="13">
        <f t="shared" si="2"/>
        <v>1.4811111111111126</v>
      </c>
      <c r="H10" s="13">
        <f t="shared" si="3"/>
        <v>3.3319444444444564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46123.1355162037</v>
      </c>
      <c r="B11" s="5" t="s">
        <v>61</v>
      </c>
      <c r="C11" s="11">
        <v>0.54005787037037001</v>
      </c>
      <c r="D11" s="11" t="s">
        <v>62</v>
      </c>
      <c r="E11" s="11">
        <v>0.79974537037036997</v>
      </c>
      <c r="F11" s="12">
        <f t="shared" si="1"/>
        <v>6.232499999999999</v>
      </c>
      <c r="G11" s="13">
        <f t="shared" si="2"/>
        <v>6.232499999999999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46124.129596064799</v>
      </c>
      <c r="B12" s="5" t="s">
        <v>61</v>
      </c>
      <c r="C12" s="11">
        <v>0.12959490740740701</v>
      </c>
      <c r="D12" s="11" t="s">
        <v>62</v>
      </c>
      <c r="E12" s="11">
        <v>0.299722222222222</v>
      </c>
      <c r="F12" s="12">
        <f t="shared" si="1"/>
        <v>4.0830555555555597</v>
      </c>
      <c r="G12" s="13">
        <f t="shared" si="2"/>
        <v>0</v>
      </c>
      <c r="H12" s="13">
        <f t="shared" si="3"/>
        <v>4.0830555555555597</v>
      </c>
      <c r="I12" s="27" t="s">
        <v>72</v>
      </c>
      <c r="J12" s="28">
        <f>SUMIF(B:B,"管制教员席",F:F)</f>
        <v>9.8974999999999902</v>
      </c>
      <c r="K12" s="29">
        <f>SUMIF(B:B,"管制教员席",G:G)</f>
        <v>7.4269444444444312</v>
      </c>
      <c r="L12" s="29">
        <f>SUMIF(B:B,"管制教员席",H:H)</f>
        <v>2.4705555555555598</v>
      </c>
      <c r="M12" s="19"/>
    </row>
    <row r="13" spans="1:16" ht="18.75" x14ac:dyDescent="0.15">
      <c r="A13" s="10">
        <f t="shared" ca="1" si="0"/>
        <v>46126.545286458299</v>
      </c>
      <c r="B13" s="5" t="s">
        <v>61</v>
      </c>
      <c r="C13" s="11">
        <v>0.54527777777777797</v>
      </c>
      <c r="D13" s="11" t="s">
        <v>62</v>
      </c>
      <c r="E13" s="11">
        <v>0.80019675925925904</v>
      </c>
      <c r="F13" s="12">
        <f t="shared" si="1"/>
        <v>6.1180555555555456</v>
      </c>
      <c r="G13" s="13">
        <f t="shared" si="2"/>
        <v>6.1180555555555456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46127.133177777803</v>
      </c>
      <c r="B14" s="5" t="s">
        <v>61</v>
      </c>
      <c r="C14" s="11">
        <v>0.13317129629629601</v>
      </c>
      <c r="D14" s="11" t="s">
        <v>62</v>
      </c>
      <c r="E14" s="11">
        <v>0.30024305555555603</v>
      </c>
      <c r="F14" s="12">
        <f t="shared" si="1"/>
        <v>4.0097222222222406</v>
      </c>
      <c r="G14" s="13">
        <f t="shared" si="2"/>
        <v>0</v>
      </c>
      <c r="H14" s="13">
        <f t="shared" si="3"/>
        <v>4.0097222222222406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46127.8043189815</v>
      </c>
      <c r="B15" s="5" t="s">
        <v>61</v>
      </c>
      <c r="C15" s="11">
        <v>0.80431712962962998</v>
      </c>
      <c r="D15" s="11" t="s">
        <v>62</v>
      </c>
      <c r="E15" s="11">
        <v>0.94378472222222198</v>
      </c>
      <c r="F15" s="12">
        <f t="shared" si="1"/>
        <v>3.3472222222222081</v>
      </c>
      <c r="G15" s="13">
        <f t="shared" si="2"/>
        <v>3.3472222222222081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46128.294630787001</v>
      </c>
      <c r="B16" s="5" t="s">
        <v>61</v>
      </c>
      <c r="C16" s="11">
        <v>0.29462962962963002</v>
      </c>
      <c r="D16" s="11" t="s">
        <v>62</v>
      </c>
      <c r="E16" s="11">
        <v>0.36546296296296299</v>
      </c>
      <c r="F16" s="12">
        <f t="shared" si="1"/>
        <v>1.6999999999999913</v>
      </c>
      <c r="G16" s="13">
        <f t="shared" si="2"/>
        <v>0.77111111111112018</v>
      </c>
      <c r="H16" s="13">
        <f t="shared" si="3"/>
        <v>0.92888888888887111</v>
      </c>
      <c r="I16" s="35" t="s">
        <v>63</v>
      </c>
      <c r="J16" s="36">
        <f t="shared" ref="J16:L16" si="4">J3</f>
        <v>88.70777777777775</v>
      </c>
      <c r="K16" s="37">
        <f t="shared" si="4"/>
        <v>62.939166666666644</v>
      </c>
      <c r="L16" s="38">
        <f t="shared" si="4"/>
        <v>25.768611111111092</v>
      </c>
      <c r="M16" s="39"/>
    </row>
    <row r="17" spans="1:13" ht="20.25" x14ac:dyDescent="0.25">
      <c r="A17" s="10">
        <f t="shared" ca="1" si="0"/>
        <v>46131.543359837997</v>
      </c>
      <c r="B17" s="5" t="s">
        <v>61</v>
      </c>
      <c r="C17" s="11">
        <v>0.54335648148148097</v>
      </c>
      <c r="D17" s="11" t="s">
        <v>62</v>
      </c>
      <c r="E17" s="11">
        <v>0.80008101851851798</v>
      </c>
      <c r="F17" s="12">
        <f t="shared" si="1"/>
        <v>6.1613888888888884</v>
      </c>
      <c r="G17" s="13">
        <f t="shared" si="2"/>
        <v>6.1613888888888884</v>
      </c>
      <c r="H17" s="13">
        <f t="shared" si="3"/>
        <v>0</v>
      </c>
      <c r="I17" s="35" t="s">
        <v>78</v>
      </c>
      <c r="J17" s="36">
        <f>J4+J5+J6+J7+J10</f>
        <v>4.1849999999999996</v>
      </c>
      <c r="K17" s="37">
        <f>K4+K5+K6+K7+K10</f>
        <v>1.1819444444444391</v>
      </c>
      <c r="L17" s="38">
        <f>L4+L5+L6+L7+L10</f>
        <v>3.0030555555555605</v>
      </c>
      <c r="M17" s="39"/>
    </row>
    <row r="18" spans="1:13" ht="20.25" x14ac:dyDescent="0.25">
      <c r="A18" s="10">
        <f t="shared" ca="1" si="0"/>
        <v>46132.128754976897</v>
      </c>
      <c r="B18" s="5" t="s">
        <v>61</v>
      </c>
      <c r="C18" s="11">
        <v>0.12875</v>
      </c>
      <c r="D18" s="11" t="s">
        <v>62</v>
      </c>
      <c r="E18" s="11">
        <v>0.29866898148148102</v>
      </c>
      <c r="F18" s="12">
        <f t="shared" si="1"/>
        <v>4.0780555555555447</v>
      </c>
      <c r="G18" s="13">
        <f t="shared" si="2"/>
        <v>0</v>
      </c>
      <c r="H18" s="13">
        <f t="shared" si="3"/>
        <v>4.0780555555555447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46134.404046990698</v>
      </c>
      <c r="B19" s="5" t="s">
        <v>61</v>
      </c>
      <c r="C19" s="11">
        <v>0.40403935185185202</v>
      </c>
      <c r="D19" s="11" t="s">
        <v>62</v>
      </c>
      <c r="E19" s="11">
        <v>0.55135416666666703</v>
      </c>
      <c r="F19" s="12">
        <f t="shared" si="1"/>
        <v>3.5355555555555602</v>
      </c>
      <c r="G19" s="13">
        <f t="shared" si="2"/>
        <v>3.5355555555555602</v>
      </c>
      <c r="H19" s="13">
        <f t="shared" si="3"/>
        <v>0</v>
      </c>
      <c r="I19" s="35" t="s">
        <v>79</v>
      </c>
      <c r="J19" s="36">
        <f t="shared" ref="J19:L19" si="6">J12</f>
        <v>9.8974999999999902</v>
      </c>
      <c r="K19" s="37">
        <f t="shared" si="6"/>
        <v>7.4269444444444312</v>
      </c>
      <c r="L19" s="38">
        <f t="shared" si="6"/>
        <v>2.4705555555555598</v>
      </c>
      <c r="M19" s="39"/>
    </row>
    <row r="20" spans="1:13" ht="20.25" x14ac:dyDescent="0.15">
      <c r="A20" s="10">
        <f t="shared" ca="1" si="0"/>
        <v>46134.7923532407</v>
      </c>
      <c r="B20" s="5" t="s">
        <v>61</v>
      </c>
      <c r="C20" s="11">
        <v>0.79234953703703703</v>
      </c>
      <c r="D20" s="11" t="s">
        <v>62</v>
      </c>
      <c r="E20" s="11">
        <v>0.946469907407407</v>
      </c>
      <c r="F20" s="12">
        <f t="shared" si="1"/>
        <v>3.6988888888888791</v>
      </c>
      <c r="G20" s="13">
        <f t="shared" si="2"/>
        <v>3.6988888888888791</v>
      </c>
      <c r="H20" s="13">
        <f t="shared" si="3"/>
        <v>0</v>
      </c>
      <c r="I20" s="40" t="s">
        <v>80</v>
      </c>
      <c r="J20" s="65">
        <f>J16+J17+J18+J19</f>
        <v>102.79027777777775</v>
      </c>
      <c r="K20" s="66"/>
      <c r="L20" s="67"/>
      <c r="M20" s="41"/>
    </row>
    <row r="21" spans="1:13" ht="20.25" x14ac:dyDescent="0.25">
      <c r="A21" s="10">
        <f t="shared" ca="1" si="0"/>
        <v>46135.2933015046</v>
      </c>
      <c r="B21" s="5" t="s">
        <v>61</v>
      </c>
      <c r="C21" s="11">
        <v>0.293298611111111</v>
      </c>
      <c r="D21" s="11" t="s">
        <v>62</v>
      </c>
      <c r="E21" s="11">
        <v>0.548993055555556</v>
      </c>
      <c r="F21" s="12">
        <f t="shared" si="1"/>
        <v>6.13666666666668</v>
      </c>
      <c r="G21" s="13">
        <f t="shared" si="2"/>
        <v>5.1758333333333528</v>
      </c>
      <c r="H21" s="13">
        <f t="shared" si="3"/>
        <v>0.96083333333332765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46135.792087384303</v>
      </c>
      <c r="B22" s="5" t="s">
        <v>61</v>
      </c>
      <c r="C22" s="11">
        <v>0.79208333333333303</v>
      </c>
      <c r="D22" s="11" t="s">
        <v>62</v>
      </c>
      <c r="E22" s="11">
        <v>0.94475694444444402</v>
      </c>
      <c r="F22" s="12">
        <f t="shared" si="1"/>
        <v>3.6641666666666639</v>
      </c>
      <c r="G22" s="13">
        <f t="shared" si="2"/>
        <v>3.6641666666666639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46138.952742476897</v>
      </c>
      <c r="B23" s="5" t="s">
        <v>86</v>
      </c>
      <c r="C23" s="11">
        <v>0.95274305555555605</v>
      </c>
      <c r="D23" s="11" t="s">
        <v>62</v>
      </c>
      <c r="E23" s="11">
        <v>0.102939814814815</v>
      </c>
      <c r="F23" s="12">
        <f t="shared" si="1"/>
        <v>3.6047222222222151</v>
      </c>
      <c r="G23" s="13">
        <f t="shared" si="2"/>
        <v>1.1341666666666552</v>
      </c>
      <c r="H23" s="13">
        <f t="shared" si="3"/>
        <v>2.4705555555555598</v>
      </c>
      <c r="I23"/>
      <c r="J23"/>
    </row>
    <row r="24" spans="1:13" ht="18.75" x14ac:dyDescent="0.15">
      <c r="A24" s="10">
        <f t="shared" ca="1" si="0"/>
        <v>46139.4183172454</v>
      </c>
      <c r="B24" s="5" t="s">
        <v>86</v>
      </c>
      <c r="C24" s="11">
        <v>0.41831018518518498</v>
      </c>
      <c r="D24" s="11" t="s">
        <v>62</v>
      </c>
      <c r="E24" s="11">
        <v>0.52905092592592595</v>
      </c>
      <c r="F24" s="12">
        <f t="shared" si="1"/>
        <v>2.6577777777777833</v>
      </c>
      <c r="G24" s="13">
        <f t="shared" si="2"/>
        <v>2.6577777777777833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46139.626848958302</v>
      </c>
      <c r="B25" s="5" t="s">
        <v>86</v>
      </c>
      <c r="C25" s="11">
        <v>0.62684027777777795</v>
      </c>
      <c r="D25" s="11" t="s">
        <v>62</v>
      </c>
      <c r="E25" s="11">
        <v>0.77829861111111098</v>
      </c>
      <c r="F25" s="12">
        <f t="shared" si="1"/>
        <v>3.6349999999999927</v>
      </c>
      <c r="G25" s="13">
        <f t="shared" si="2"/>
        <v>3.6349999999999927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46142.936505902799</v>
      </c>
      <c r="B26" s="5" t="s">
        <v>61</v>
      </c>
      <c r="C26" s="11">
        <v>0.93650462962962999</v>
      </c>
      <c r="D26" s="11" t="s">
        <v>62</v>
      </c>
      <c r="E26" s="11">
        <v>0.99997685185185203</v>
      </c>
      <c r="F26" s="12">
        <f t="shared" si="1"/>
        <v>1.523333333333329</v>
      </c>
      <c r="G26" s="13">
        <f t="shared" si="2"/>
        <v>1.523333333333329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42"/>
  <sheetViews>
    <sheetView zoomScale="85" zoomScaleNormal="85" workbookViewId="0">
      <selection activeCell="A27" sqref="A27:E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46115.1401633102</v>
      </c>
      <c r="B3" s="5" t="s">
        <v>73</v>
      </c>
      <c r="C3" s="11">
        <v>0.140162037037037</v>
      </c>
      <c r="D3" s="11" t="s">
        <v>62</v>
      </c>
      <c r="E3" s="11">
        <v>0.23965277777777799</v>
      </c>
      <c r="F3" s="12">
        <f t="shared" ref="F3:F42" si="1">(IF(E3-C3&lt;0,"24:00"-C3+E3,E3-C3))*24</f>
        <v>2.3877777777777838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2.3877777777777838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46115.952329513901</v>
      </c>
      <c r="B4" s="5" t="s">
        <v>76</v>
      </c>
      <c r="C4" s="11">
        <v>0.95232638888888899</v>
      </c>
      <c r="D4" s="11" t="s">
        <v>62</v>
      </c>
      <c r="E4" s="11">
        <v>0.14292824074074101</v>
      </c>
      <c r="F4" s="12">
        <f t="shared" si="1"/>
        <v>4.574444444444449</v>
      </c>
      <c r="G4" s="13">
        <f t="shared" si="2"/>
        <v>1.1441666666666648</v>
      </c>
      <c r="H4" s="13">
        <f t="shared" si="3"/>
        <v>3.4302777777777842</v>
      </c>
      <c r="I4" s="21" t="s">
        <v>64</v>
      </c>
      <c r="J4" s="22">
        <f>SUMIF(B:B,"西塔台管制席",F:F)+SUMIF(B:B,"东塔台管制席",F:F)</f>
        <v>25.938888888888886</v>
      </c>
      <c r="K4" s="23">
        <f>SUMIF(B:B,"西塔台管制席",G:G)+SUMIF(B:B,"东塔台管制席",G:G)</f>
        <v>13.327499999999999</v>
      </c>
      <c r="L4" s="23">
        <f>SUMIF(B:B,"西塔台管制席",H:H)+SUMIF(B:B,"东塔台管制席",H:H)</f>
        <v>12.611388888888886</v>
      </c>
      <c r="M4" s="19"/>
    </row>
    <row r="5" spans="1:16" ht="18.75" x14ac:dyDescent="0.25">
      <c r="A5" s="10">
        <f t="shared" ca="1" si="0"/>
        <v>46118.502203703698</v>
      </c>
      <c r="B5" s="5" t="s">
        <v>76</v>
      </c>
      <c r="C5" s="11">
        <v>0.50219907407407405</v>
      </c>
      <c r="D5" s="11" t="s">
        <v>62</v>
      </c>
      <c r="E5" s="11">
        <v>0.63136574074074103</v>
      </c>
      <c r="F5" s="12">
        <f t="shared" si="1"/>
        <v>3.1000000000000076</v>
      </c>
      <c r="G5" s="13">
        <f t="shared" si="2"/>
        <v>3.1000000000000076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29.726944444444463</v>
      </c>
      <c r="K5" s="23">
        <f>SUMIF(B:B,"西塔台协调席",G:G)+SUMIF(B:B,"东塔台协调席",G:G)</f>
        <v>19.827222222222289</v>
      </c>
      <c r="L5" s="23">
        <f>SUMIF(B:B,"西塔台协调席",H:H)+SUMIF(B:B,"东塔台协调席",H:H)</f>
        <v>9.8997222222221772</v>
      </c>
      <c r="M5" s="19"/>
    </row>
    <row r="6" spans="1:16" ht="18.75" x14ac:dyDescent="0.25">
      <c r="A6" s="10">
        <f t="shared" ca="1" si="0"/>
        <v>46118.7309104167</v>
      </c>
      <c r="B6" s="5" t="s">
        <v>75</v>
      </c>
      <c r="C6" s="11">
        <v>0.73090277777777801</v>
      </c>
      <c r="D6" s="11" t="s">
        <v>62</v>
      </c>
      <c r="E6" s="11">
        <v>0.88045138888888896</v>
      </c>
      <c r="F6" s="12">
        <f t="shared" si="1"/>
        <v>3.5891666666666628</v>
      </c>
      <c r="G6" s="13">
        <f t="shared" si="2"/>
        <v>3.5891666666666628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46119.293059606498</v>
      </c>
      <c r="B7" s="5" t="s">
        <v>76</v>
      </c>
      <c r="C7" s="11">
        <v>0.29305555555555601</v>
      </c>
      <c r="D7" s="11" t="s">
        <v>62</v>
      </c>
      <c r="E7" s="11">
        <v>0.42219907407407398</v>
      </c>
      <c r="F7" s="12">
        <f t="shared" si="1"/>
        <v>3.0994444444444311</v>
      </c>
      <c r="G7" s="13">
        <f t="shared" si="2"/>
        <v>2.1327777777777839</v>
      </c>
      <c r="H7" s="13">
        <f t="shared" si="3"/>
        <v>0.96666666666664725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46119.625375925898</v>
      </c>
      <c r="B8" s="5" t="s">
        <v>76</v>
      </c>
      <c r="C8" s="11">
        <v>0.62599537037037001</v>
      </c>
      <c r="D8" s="11" t="s">
        <v>62</v>
      </c>
      <c r="E8" s="11">
        <v>0.71474537037037</v>
      </c>
      <c r="F8" s="12">
        <f t="shared" si="1"/>
        <v>2.13</v>
      </c>
      <c r="G8" s="13">
        <f t="shared" si="2"/>
        <v>2.13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46119.859928124999</v>
      </c>
      <c r="B9" s="5" t="s">
        <v>76</v>
      </c>
      <c r="C9" s="11">
        <v>0.85991898148148105</v>
      </c>
      <c r="D9" s="11" t="s">
        <v>62</v>
      </c>
      <c r="E9" s="11">
        <v>0.91744212962963001</v>
      </c>
      <c r="F9" s="12">
        <f t="shared" si="1"/>
        <v>1.3805555555555751</v>
      </c>
      <c r="G9" s="13">
        <f t="shared" si="2"/>
        <v>1.3805555555555751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46119.9325434028</v>
      </c>
      <c r="B10" s="5" t="s">
        <v>76</v>
      </c>
      <c r="C10" s="11">
        <v>0.932534722222222</v>
      </c>
      <c r="D10" s="11" t="s">
        <v>62</v>
      </c>
      <c r="E10" s="11">
        <v>0.95572916666666696</v>
      </c>
      <c r="F10" s="12">
        <f t="shared" si="1"/>
        <v>0.55666666666667908</v>
      </c>
      <c r="G10" s="13">
        <f t="shared" si="2"/>
        <v>0.55666666666667908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46123.354379050899</v>
      </c>
      <c r="B11" s="5" t="s">
        <v>86</v>
      </c>
      <c r="C11" s="11">
        <v>0.354375</v>
      </c>
      <c r="D11" s="11" t="s">
        <v>62</v>
      </c>
      <c r="E11" s="11">
        <v>0.52763888888888899</v>
      </c>
      <c r="F11" s="12">
        <f t="shared" si="1"/>
        <v>4.1583333333333359</v>
      </c>
      <c r="G11" s="13">
        <f t="shared" si="2"/>
        <v>4.1583333333333359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46124.015298148202</v>
      </c>
      <c r="B12" s="5" t="s">
        <v>81</v>
      </c>
      <c r="C12" s="11">
        <v>1.5289351851851899E-2</v>
      </c>
      <c r="D12" s="11" t="s">
        <v>62</v>
      </c>
      <c r="E12" s="11">
        <v>0.100011574074074</v>
      </c>
      <c r="F12" s="12">
        <f t="shared" si="1"/>
        <v>2.0333333333333306</v>
      </c>
      <c r="G12" s="13">
        <f t="shared" si="2"/>
        <v>0</v>
      </c>
      <c r="H12" s="13">
        <f t="shared" si="3"/>
        <v>2.0333333333333306</v>
      </c>
      <c r="I12" s="27" t="s">
        <v>72</v>
      </c>
      <c r="J12" s="28">
        <f>SUMIF(B:B,"管制教员席",F:F)</f>
        <v>10.219722222222217</v>
      </c>
      <c r="K12" s="29">
        <f>SUMIF(B:B,"管制教员席",G:G)</f>
        <v>5.2772222222222176</v>
      </c>
      <c r="L12" s="29">
        <f>SUMIF(B:B,"管制教员席",H:H)</f>
        <v>4.9425000000000008</v>
      </c>
      <c r="M12" s="19"/>
    </row>
    <row r="13" spans="1:16" ht="18.75" x14ac:dyDescent="0.15">
      <c r="A13" s="10">
        <f t="shared" ca="1" si="0"/>
        <v>46124.100050810201</v>
      </c>
      <c r="B13" s="5" t="s">
        <v>75</v>
      </c>
      <c r="C13" s="11">
        <v>0.10004629629629599</v>
      </c>
      <c r="D13" s="11" t="s">
        <v>62</v>
      </c>
      <c r="E13" s="11">
        <v>0.143148148148148</v>
      </c>
      <c r="F13" s="12">
        <f t="shared" si="1"/>
        <v>1.0344444444444481</v>
      </c>
      <c r="G13" s="13">
        <f t="shared" si="2"/>
        <v>0</v>
      </c>
      <c r="H13" s="13">
        <f t="shared" si="3"/>
        <v>1.0344444444444481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46127.139968287003</v>
      </c>
      <c r="B14" s="5" t="s">
        <v>75</v>
      </c>
      <c r="C14" s="11">
        <v>0.13996527777777801</v>
      </c>
      <c r="D14" s="11" t="s">
        <v>62</v>
      </c>
      <c r="E14" s="11">
        <v>0.30070601851851902</v>
      </c>
      <c r="F14" s="12">
        <f t="shared" si="1"/>
        <v>3.8577777777777844</v>
      </c>
      <c r="G14" s="13">
        <f t="shared" si="2"/>
        <v>0</v>
      </c>
      <c r="H14" s="13">
        <f t="shared" si="3"/>
        <v>3.8577777777777844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46128.013153009299</v>
      </c>
      <c r="B15" s="5" t="s">
        <v>73</v>
      </c>
      <c r="C15" s="11">
        <v>1.31481481481481E-2</v>
      </c>
      <c r="D15" s="11" t="s">
        <v>62</v>
      </c>
      <c r="E15" s="11">
        <v>0.122881944444444</v>
      </c>
      <c r="F15" s="12">
        <f t="shared" si="1"/>
        <v>2.6336111111111018</v>
      </c>
      <c r="G15" s="13">
        <f t="shared" si="2"/>
        <v>0</v>
      </c>
      <c r="H15" s="13">
        <f t="shared" si="3"/>
        <v>2.6336111111111018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46128.128723611102</v>
      </c>
      <c r="B16" s="5" t="s">
        <v>75</v>
      </c>
      <c r="C16" s="11">
        <v>0.128715277777778</v>
      </c>
      <c r="D16" s="11" t="s">
        <v>62</v>
      </c>
      <c r="E16" s="11">
        <v>0.145821759259259</v>
      </c>
      <c r="F16" s="12">
        <f t="shared" si="1"/>
        <v>0.41055555555554402</v>
      </c>
      <c r="G16" s="13">
        <f t="shared" si="2"/>
        <v>0</v>
      </c>
      <c r="H16" s="13">
        <f t="shared" si="3"/>
        <v>0.41055555555554402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46130.501772453703</v>
      </c>
      <c r="B17" s="5" t="s">
        <v>81</v>
      </c>
      <c r="C17" s="11">
        <v>0.50177083333333306</v>
      </c>
      <c r="D17" s="11" t="s">
        <v>62</v>
      </c>
      <c r="E17" s="11">
        <v>0.63243055555555505</v>
      </c>
      <c r="F17" s="12">
        <f t="shared" si="1"/>
        <v>3.1358333333333279</v>
      </c>
      <c r="G17" s="13">
        <f t="shared" si="2"/>
        <v>3.1358333333333279</v>
      </c>
      <c r="H17" s="13">
        <f t="shared" si="3"/>
        <v>0</v>
      </c>
      <c r="I17" s="35" t="s">
        <v>78</v>
      </c>
      <c r="J17" s="36">
        <f>J4+J5+J6+J7+J10</f>
        <v>55.665833333333353</v>
      </c>
      <c r="K17" s="37">
        <f>K4+K5+K6+K7+K10</f>
        <v>33.15472222222229</v>
      </c>
      <c r="L17" s="38">
        <f>L4+L5+L6+L7+L10</f>
        <v>22.511111111111063</v>
      </c>
      <c r="M17" s="39"/>
    </row>
    <row r="18" spans="1:13" ht="20.25" x14ac:dyDescent="0.25">
      <c r="A18" s="10">
        <f t="shared" ca="1" si="0"/>
        <v>46130.751495949102</v>
      </c>
      <c r="B18" s="5" t="s">
        <v>73</v>
      </c>
      <c r="C18" s="11">
        <v>0.75152777777777802</v>
      </c>
      <c r="D18" s="11" t="s">
        <v>62</v>
      </c>
      <c r="E18" s="11">
        <v>0.88158564814814799</v>
      </c>
      <c r="F18" s="12">
        <f t="shared" si="1"/>
        <v>3.1213888888888794</v>
      </c>
      <c r="G18" s="13">
        <f t="shared" si="2"/>
        <v>3.1213888888888794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46131.2914318287</v>
      </c>
      <c r="B19" s="5" t="s">
        <v>76</v>
      </c>
      <c r="C19" s="11">
        <v>0.29142361111111098</v>
      </c>
      <c r="D19" s="11" t="s">
        <v>62</v>
      </c>
      <c r="E19" s="11">
        <v>0.42700231481481499</v>
      </c>
      <c r="F19" s="12">
        <f t="shared" si="1"/>
        <v>3.2538888888888962</v>
      </c>
      <c r="G19" s="13">
        <f t="shared" si="2"/>
        <v>2.2480555555555681</v>
      </c>
      <c r="H19" s="13">
        <f t="shared" si="3"/>
        <v>1.005833333333328</v>
      </c>
      <c r="I19" s="35" t="s">
        <v>79</v>
      </c>
      <c r="J19" s="36">
        <f t="shared" ref="J19:L19" si="6">J12</f>
        <v>10.219722222222217</v>
      </c>
      <c r="K19" s="37">
        <f t="shared" si="6"/>
        <v>5.2772222222222176</v>
      </c>
      <c r="L19" s="38">
        <f t="shared" si="6"/>
        <v>4.9425000000000008</v>
      </c>
      <c r="M19" s="39"/>
    </row>
    <row r="20" spans="1:13" ht="20.25" x14ac:dyDescent="0.15">
      <c r="A20" s="10">
        <f t="shared" ca="1" si="0"/>
        <v>46131.832724768501</v>
      </c>
      <c r="B20" s="5" t="s">
        <v>75</v>
      </c>
      <c r="C20" s="11">
        <v>0.83271990740740698</v>
      </c>
      <c r="D20" s="11" t="s">
        <v>62</v>
      </c>
      <c r="E20" s="11">
        <v>0.95571759259259303</v>
      </c>
      <c r="F20" s="12">
        <f t="shared" si="1"/>
        <v>2.9519444444444654</v>
      </c>
      <c r="G20" s="13">
        <f t="shared" si="2"/>
        <v>2.9519444444444654</v>
      </c>
      <c r="H20" s="13">
        <f t="shared" si="3"/>
        <v>0</v>
      </c>
      <c r="I20" s="40" t="s">
        <v>80</v>
      </c>
      <c r="J20" s="65">
        <f>J16+J17+J18+J19</f>
        <v>65.88555555555557</v>
      </c>
      <c r="K20" s="66"/>
      <c r="L20" s="67"/>
      <c r="M20" s="41"/>
    </row>
    <row r="21" spans="1:13" ht="20.25" x14ac:dyDescent="0.25">
      <c r="A21" s="10">
        <f t="shared" ca="1" si="0"/>
        <v>46132.371044907399</v>
      </c>
      <c r="B21" s="5" t="s">
        <v>76</v>
      </c>
      <c r="C21" s="11">
        <v>0.291875</v>
      </c>
      <c r="D21" s="11" t="s">
        <v>62</v>
      </c>
      <c r="E21" s="11">
        <v>0.37125000000000002</v>
      </c>
      <c r="F21" s="12">
        <f t="shared" si="1"/>
        <v>1.9050000000000007</v>
      </c>
      <c r="G21" s="13">
        <f t="shared" si="2"/>
        <v>0.91000000000000902</v>
      </c>
      <c r="H21" s="13">
        <f t="shared" si="3"/>
        <v>0.99499999999999167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46134.953386226902</v>
      </c>
      <c r="B22" s="5" t="s">
        <v>86</v>
      </c>
      <c r="C22" s="11">
        <v>0.95337962962962997</v>
      </c>
      <c r="D22" s="11" t="s">
        <v>62</v>
      </c>
      <c r="E22" s="11">
        <v>0.117488425925926</v>
      </c>
      <c r="F22" s="12">
        <f t="shared" si="1"/>
        <v>3.9386111111111051</v>
      </c>
      <c r="G22" s="13">
        <f t="shared" si="2"/>
        <v>1.1188888888888813</v>
      </c>
      <c r="H22" s="13">
        <f t="shared" si="3"/>
        <v>2.8197222222222238</v>
      </c>
      <c r="I22"/>
      <c r="J22"/>
    </row>
    <row r="23" spans="1:13" ht="18.75" x14ac:dyDescent="0.15">
      <c r="A23" s="10">
        <f t="shared" ca="1" si="0"/>
        <v>46136.141237847201</v>
      </c>
      <c r="B23" s="5" t="s">
        <v>86</v>
      </c>
      <c r="C23" s="11">
        <v>0.141261574074074</v>
      </c>
      <c r="D23" s="11" t="s">
        <v>62</v>
      </c>
      <c r="E23" s="11">
        <v>0.22971064814814801</v>
      </c>
      <c r="F23" s="12">
        <f t="shared" si="1"/>
        <v>2.1227777777777765</v>
      </c>
      <c r="G23" s="13">
        <f t="shared" si="2"/>
        <v>0</v>
      </c>
      <c r="H23" s="13">
        <f t="shared" si="3"/>
        <v>2.1227777777777765</v>
      </c>
      <c r="I23"/>
      <c r="J23"/>
    </row>
    <row r="24" spans="1:13" ht="18.75" x14ac:dyDescent="0.15">
      <c r="A24" s="10">
        <f t="shared" ca="1" si="0"/>
        <v>46140.141318287002</v>
      </c>
      <c r="B24" s="5" t="s">
        <v>75</v>
      </c>
      <c r="C24" s="11">
        <v>0.14130787037036999</v>
      </c>
      <c r="D24" s="11" t="s">
        <v>62</v>
      </c>
      <c r="E24" s="11">
        <v>0.236608796296296</v>
      </c>
      <c r="F24" s="12">
        <f t="shared" si="1"/>
        <v>2.2872222222222245</v>
      </c>
      <c r="G24" s="13">
        <f t="shared" si="2"/>
        <v>0</v>
      </c>
      <c r="H24" s="13">
        <f t="shared" si="3"/>
        <v>2.2872222222222245</v>
      </c>
      <c r="I24"/>
      <c r="J24"/>
    </row>
    <row r="25" spans="1:13" ht="18.75" x14ac:dyDescent="0.15">
      <c r="A25" s="10">
        <f t="shared" ca="1" si="0"/>
        <v>46140.236644444398</v>
      </c>
      <c r="B25" s="5" t="s">
        <v>81</v>
      </c>
      <c r="C25" s="11">
        <v>0.236643518518519</v>
      </c>
      <c r="D25" s="11" t="s">
        <v>62</v>
      </c>
      <c r="E25" s="11">
        <v>0.297835648148148</v>
      </c>
      <c r="F25" s="12">
        <f t="shared" si="1"/>
        <v>1.468611111111096</v>
      </c>
      <c r="G25" s="13">
        <f t="shared" si="2"/>
        <v>0</v>
      </c>
      <c r="H25" s="13">
        <f t="shared" si="3"/>
        <v>1.468611111111096</v>
      </c>
      <c r="I25"/>
      <c r="J25"/>
    </row>
    <row r="26" spans="1:13" ht="18.75" x14ac:dyDescent="0.15">
      <c r="A26" s="10">
        <f t="shared" ca="1" si="0"/>
        <v>46142.353858796298</v>
      </c>
      <c r="B26" s="5" t="s">
        <v>73</v>
      </c>
      <c r="C26" s="11">
        <v>0.35390046296296301</v>
      </c>
      <c r="D26" s="11" t="s">
        <v>62</v>
      </c>
      <c r="E26" s="11">
        <v>0.50660879629629596</v>
      </c>
      <c r="F26" s="12">
        <f t="shared" si="1"/>
        <v>3.6649999999999907</v>
      </c>
      <c r="G26" s="13">
        <f t="shared" si="2"/>
        <v>3.6649999999999907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46142.626610879597</v>
      </c>
      <c r="B27" s="5" t="s">
        <v>81</v>
      </c>
      <c r="C27" s="11">
        <v>0.62660879629629596</v>
      </c>
      <c r="D27" s="11" t="s">
        <v>62</v>
      </c>
      <c r="E27" s="11">
        <v>0.75532407407407398</v>
      </c>
      <c r="F27" s="12">
        <f t="shared" si="1"/>
        <v>3.0891666666666726</v>
      </c>
      <c r="G27" s="13">
        <f t="shared" si="2"/>
        <v>3.0891666666666726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42"/>
  <sheetViews>
    <sheetView topLeftCell="A7" zoomScale="85" zoomScaleNormal="85" workbookViewId="0">
      <selection activeCell="E33" sqref="E3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46114.3534806713</v>
      </c>
      <c r="B3" s="5" t="s">
        <v>81</v>
      </c>
      <c r="C3" s="11">
        <v>0.35347222222222202</v>
      </c>
      <c r="D3" s="11" t="s">
        <v>62</v>
      </c>
      <c r="E3" s="11">
        <v>0.52988425925925897</v>
      </c>
      <c r="F3" s="12">
        <f t="shared" ref="F3:F42" si="1">(IF(E3-C3&lt;0,"24:00"-C3+E3,E3-C3))*24</f>
        <v>4.2338888888888864</v>
      </c>
      <c r="G3" s="13">
        <f t="shared" ref="G3:G42" si="2">F3-H3</f>
        <v>4.2338888888888864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46114.705225231497</v>
      </c>
      <c r="B4" s="5" t="s">
        <v>73</v>
      </c>
      <c r="C4" s="11">
        <v>0.70521990740740703</v>
      </c>
      <c r="D4" s="11" t="s">
        <v>62</v>
      </c>
      <c r="E4" s="11">
        <v>0.79828703703703696</v>
      </c>
      <c r="F4" s="12">
        <f t="shared" si="1"/>
        <v>2.2336111111111183</v>
      </c>
      <c r="G4" s="13">
        <f t="shared" si="2"/>
        <v>2.2336111111111183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32.008055555555586</v>
      </c>
      <c r="K4" s="23">
        <f>SUMIF(B:B,"西塔台管制席",G:G)+SUMIF(B:B,"东塔台管制席",G:G)</f>
        <v>19.539444444444449</v>
      </c>
      <c r="L4" s="23">
        <f>SUMIF(B:B,"西塔台管制席",H:H)+SUMIF(B:B,"东塔台管制席",H:H)</f>
        <v>12.468611111111132</v>
      </c>
      <c r="M4" s="19"/>
    </row>
    <row r="5" spans="1:16" ht="18.75" x14ac:dyDescent="0.25">
      <c r="A5" s="10">
        <f t="shared" ca="1" si="0"/>
        <v>46114.856658333301</v>
      </c>
      <c r="B5" s="5" t="s">
        <v>81</v>
      </c>
      <c r="C5" s="11">
        <v>0.85665509259259298</v>
      </c>
      <c r="D5" s="11" t="s">
        <v>62</v>
      </c>
      <c r="E5" s="11">
        <v>0.95979166666666704</v>
      </c>
      <c r="F5" s="12">
        <f t="shared" si="1"/>
        <v>2.4752777777777775</v>
      </c>
      <c r="G5" s="13">
        <f t="shared" si="2"/>
        <v>2.4752777777777775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44.594166666666695</v>
      </c>
      <c r="K5" s="23">
        <f>SUMIF(B:B,"西塔台协调席",G:G)+SUMIF(B:B,"东塔台协调席",G:G)</f>
        <v>34.526666666666692</v>
      </c>
      <c r="L5" s="23">
        <f>SUMIF(B:B,"西塔台协调席",H:H)+SUMIF(B:B,"东塔台协调席",H:H)</f>
        <v>10.067500000000006</v>
      </c>
      <c r="M5" s="19"/>
    </row>
    <row r="6" spans="1:16" ht="18.75" x14ac:dyDescent="0.25">
      <c r="A6" s="10">
        <f t="shared" ca="1" si="0"/>
        <v>46115.521489120401</v>
      </c>
      <c r="B6" s="5" t="s">
        <v>75</v>
      </c>
      <c r="C6" s="11">
        <v>0.52148148148148199</v>
      </c>
      <c r="D6" s="11" t="s">
        <v>62</v>
      </c>
      <c r="E6" s="11">
        <v>0.63233796296296296</v>
      </c>
      <c r="F6" s="12">
        <f t="shared" si="1"/>
        <v>2.6605555555555434</v>
      </c>
      <c r="G6" s="13">
        <f t="shared" si="2"/>
        <v>2.6605555555555434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46115.772245601896</v>
      </c>
      <c r="B7" s="5" t="s">
        <v>75</v>
      </c>
      <c r="C7" s="11">
        <v>0.77224537037037</v>
      </c>
      <c r="D7" s="11" t="s">
        <v>62</v>
      </c>
      <c r="E7" s="11">
        <v>0.86026620370370399</v>
      </c>
      <c r="F7" s="12">
        <f t="shared" si="1"/>
        <v>2.1125000000000158</v>
      </c>
      <c r="G7" s="13">
        <f t="shared" si="2"/>
        <v>2.1125000000000158</v>
      </c>
      <c r="H7" s="13">
        <f t="shared" si="3"/>
        <v>0</v>
      </c>
      <c r="I7" s="21" t="s">
        <v>67</v>
      </c>
      <c r="J7" s="22">
        <f>SUMIF(B:B,"地面席",F:F)</f>
        <v>4.8061111111111199</v>
      </c>
      <c r="K7" s="23">
        <f>SUMIF(B:B,"地面席",G:G)</f>
        <v>0</v>
      </c>
      <c r="L7" s="23">
        <f>SUMIF(B:B,"地面席",H:H)</f>
        <v>4.8061111111111199</v>
      </c>
      <c r="M7" s="19"/>
    </row>
    <row r="8" spans="1:16" ht="18.75" x14ac:dyDescent="0.25">
      <c r="A8" s="10">
        <f t="shared" ca="1" si="0"/>
        <v>46116.014425115703</v>
      </c>
      <c r="B8" s="5" t="s">
        <v>81</v>
      </c>
      <c r="C8" s="11">
        <v>1.44212962962963E-2</v>
      </c>
      <c r="D8" s="11" t="s">
        <v>62</v>
      </c>
      <c r="E8" s="11">
        <v>0.14546296296296299</v>
      </c>
      <c r="F8" s="12">
        <f t="shared" si="1"/>
        <v>3.1450000000000005</v>
      </c>
      <c r="G8" s="13">
        <f t="shared" si="2"/>
        <v>0</v>
      </c>
      <c r="H8" s="13">
        <f t="shared" si="3"/>
        <v>3.1450000000000005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46118.350363078702</v>
      </c>
      <c r="B9" s="5" t="s">
        <v>76</v>
      </c>
      <c r="C9" s="11">
        <v>0.35035879629629602</v>
      </c>
      <c r="D9" s="11" t="s">
        <v>62</v>
      </c>
      <c r="E9" s="11">
        <v>0.50752314814814803</v>
      </c>
      <c r="F9" s="12">
        <f t="shared" si="1"/>
        <v>3.7719444444444483</v>
      </c>
      <c r="G9" s="13">
        <f t="shared" si="2"/>
        <v>3.7719444444444483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46118.626053819396</v>
      </c>
      <c r="B10" s="5" t="s">
        <v>76</v>
      </c>
      <c r="C10" s="11">
        <v>0.62605324074074098</v>
      </c>
      <c r="D10" s="11" t="s">
        <v>62</v>
      </c>
      <c r="E10" s="11">
        <v>0.75745370370370402</v>
      </c>
      <c r="F10" s="12">
        <f t="shared" si="1"/>
        <v>3.1536111111111129</v>
      </c>
      <c r="G10" s="13">
        <f t="shared" si="2"/>
        <v>3.1536111111111129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46120.140023263899</v>
      </c>
      <c r="B11" s="5" t="s">
        <v>82</v>
      </c>
      <c r="C11" s="11">
        <v>0.14002314814814801</v>
      </c>
      <c r="D11" s="11" t="s">
        <v>62</v>
      </c>
      <c r="E11" s="11">
        <v>0.243784722222222</v>
      </c>
      <c r="F11" s="12">
        <f t="shared" si="1"/>
        <v>2.4902777777777758</v>
      </c>
      <c r="G11" s="13">
        <f t="shared" si="2"/>
        <v>0</v>
      </c>
      <c r="H11" s="13">
        <f t="shared" si="3"/>
        <v>2.4902777777777758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46120.243821064803</v>
      </c>
      <c r="B12" s="5" t="s">
        <v>75</v>
      </c>
      <c r="C12" s="11">
        <v>0.24381944444444401</v>
      </c>
      <c r="D12" s="11" t="s">
        <v>62</v>
      </c>
      <c r="E12" s="11">
        <v>0.300104166666667</v>
      </c>
      <c r="F12" s="12">
        <f t="shared" si="1"/>
        <v>1.350833333333352</v>
      </c>
      <c r="G12" s="13">
        <f t="shared" si="2"/>
        <v>0</v>
      </c>
      <c r="H12" s="13">
        <f t="shared" si="3"/>
        <v>1.350833333333352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46123.144595949103</v>
      </c>
      <c r="B13" s="5" t="s">
        <v>75</v>
      </c>
      <c r="C13" s="11">
        <v>0.13903935185185201</v>
      </c>
      <c r="D13" s="11" t="s">
        <v>62</v>
      </c>
      <c r="E13" s="11">
        <v>0.29980324074074099</v>
      </c>
      <c r="F13" s="12">
        <f t="shared" si="1"/>
        <v>3.8583333333333356</v>
      </c>
      <c r="G13" s="13">
        <f t="shared" si="2"/>
        <v>0</v>
      </c>
      <c r="H13" s="13">
        <f t="shared" si="3"/>
        <v>3.8583333333333356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46124.014659143497</v>
      </c>
      <c r="B14" s="5" t="s">
        <v>73</v>
      </c>
      <c r="C14" s="11">
        <v>1.4652777777777799E-2</v>
      </c>
      <c r="D14" s="11" t="s">
        <v>62</v>
      </c>
      <c r="E14" s="11">
        <v>9.9930555555555606E-2</v>
      </c>
      <c r="F14" s="12">
        <f t="shared" si="1"/>
        <v>2.0466666666666677</v>
      </c>
      <c r="G14" s="13">
        <f t="shared" si="2"/>
        <v>0</v>
      </c>
      <c r="H14" s="13">
        <f t="shared" si="3"/>
        <v>2.0466666666666677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46124.099965624999</v>
      </c>
      <c r="B15" s="5" t="s">
        <v>76</v>
      </c>
      <c r="C15" s="11">
        <v>9.9965277777777806E-2</v>
      </c>
      <c r="D15" s="11" t="s">
        <v>62</v>
      </c>
      <c r="E15" s="11">
        <v>0.14508101851851901</v>
      </c>
      <c r="F15" s="12">
        <f t="shared" si="1"/>
        <v>1.0827777777777889</v>
      </c>
      <c r="G15" s="13">
        <f t="shared" si="2"/>
        <v>0</v>
      </c>
      <c r="H15" s="13">
        <f t="shared" si="3"/>
        <v>1.0827777777777889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46126.522559259298</v>
      </c>
      <c r="B16" s="5" t="s">
        <v>76</v>
      </c>
      <c r="C16" s="11">
        <v>0.52255787037037005</v>
      </c>
      <c r="D16" s="11" t="s">
        <v>62</v>
      </c>
      <c r="E16" s="11">
        <v>0.69694444444444403</v>
      </c>
      <c r="F16" s="12">
        <f t="shared" si="1"/>
        <v>4.1852777777777757</v>
      </c>
      <c r="G16" s="13">
        <f t="shared" si="2"/>
        <v>4.1852777777777757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46126.774530092604</v>
      </c>
      <c r="B17" s="5" t="s">
        <v>76</v>
      </c>
      <c r="C17" s="11">
        <v>0.77452546296296299</v>
      </c>
      <c r="D17" s="11" t="s">
        <v>62</v>
      </c>
      <c r="E17" s="11">
        <v>0.86290509259259296</v>
      </c>
      <c r="F17" s="12">
        <f t="shared" si="1"/>
        <v>2.1211111111111194</v>
      </c>
      <c r="G17" s="13">
        <f t="shared" si="2"/>
        <v>2.1211111111111194</v>
      </c>
      <c r="H17" s="13">
        <f t="shared" si="3"/>
        <v>0</v>
      </c>
      <c r="I17" s="35" t="s">
        <v>78</v>
      </c>
      <c r="J17" s="36">
        <f>J4+J5+J6+J7+J10</f>
        <v>81.408333333333402</v>
      </c>
      <c r="K17" s="37">
        <f>K4+K5+K6+K7+K10</f>
        <v>54.066111111111141</v>
      </c>
      <c r="L17" s="38">
        <f>L4+L5+L6+L7+L10</f>
        <v>27.342222222222262</v>
      </c>
      <c r="M17" s="39"/>
    </row>
    <row r="18" spans="1:13" ht="20.25" x14ac:dyDescent="0.25">
      <c r="A18" s="10">
        <f t="shared" ca="1" si="0"/>
        <v>46127.418090972198</v>
      </c>
      <c r="B18" s="5" t="s">
        <v>75</v>
      </c>
      <c r="C18" s="11">
        <v>0.41809027777777802</v>
      </c>
      <c r="D18" s="11" t="s">
        <v>62</v>
      </c>
      <c r="E18" s="11">
        <v>0.52709490740740705</v>
      </c>
      <c r="F18" s="12">
        <f t="shared" si="1"/>
        <v>2.6161111111110968</v>
      </c>
      <c r="G18" s="13">
        <f t="shared" si="2"/>
        <v>2.6161111111110968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46127.626459143503</v>
      </c>
      <c r="B19" s="5" t="s">
        <v>75</v>
      </c>
      <c r="C19" s="11">
        <v>0.62645833333333301</v>
      </c>
      <c r="D19" s="11" t="s">
        <v>62</v>
      </c>
      <c r="E19" s="11">
        <v>0.77916666666666701</v>
      </c>
      <c r="F19" s="12">
        <f t="shared" si="1"/>
        <v>3.665000000000016</v>
      </c>
      <c r="G19" s="13">
        <f t="shared" si="2"/>
        <v>3.665000000000016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46127.855986342598</v>
      </c>
      <c r="B20" s="5" t="s">
        <v>75</v>
      </c>
      <c r="C20" s="11">
        <v>0.85598379629629595</v>
      </c>
      <c r="D20" s="11" t="s">
        <v>62</v>
      </c>
      <c r="E20" s="11">
        <v>0.95796296296296302</v>
      </c>
      <c r="F20" s="12">
        <f t="shared" si="1"/>
        <v>2.4475000000000096</v>
      </c>
      <c r="G20" s="13">
        <f t="shared" si="2"/>
        <v>2.4475000000000096</v>
      </c>
      <c r="H20" s="13">
        <f t="shared" si="3"/>
        <v>0</v>
      </c>
      <c r="I20" s="40" t="s">
        <v>80</v>
      </c>
      <c r="J20" s="65">
        <f>J16+J17+J18+J19</f>
        <v>81.408333333333402</v>
      </c>
      <c r="K20" s="66"/>
      <c r="L20" s="67"/>
      <c r="M20" s="41"/>
    </row>
    <row r="21" spans="1:13" ht="20.25" x14ac:dyDescent="0.25">
      <c r="A21" s="10">
        <f t="shared" ca="1" si="0"/>
        <v>46128.293118518501</v>
      </c>
      <c r="B21" s="5" t="s">
        <v>81</v>
      </c>
      <c r="C21" s="11">
        <v>0.29311342592592599</v>
      </c>
      <c r="D21" s="11" t="s">
        <v>62</v>
      </c>
      <c r="E21" s="11">
        <v>0.36583333333333301</v>
      </c>
      <c r="F21" s="12">
        <f t="shared" si="1"/>
        <v>1.7452777777777686</v>
      </c>
      <c r="G21" s="13">
        <f t="shared" si="2"/>
        <v>0.78000000000000069</v>
      </c>
      <c r="H21" s="13">
        <f t="shared" si="3"/>
        <v>0.96527777777776791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46130.951900115702</v>
      </c>
      <c r="B22" s="5" t="s">
        <v>81</v>
      </c>
      <c r="C22" s="11">
        <v>0.95189814814814799</v>
      </c>
      <c r="D22" s="11" t="s">
        <v>62</v>
      </c>
      <c r="E22" s="11">
        <v>0.10431712962963</v>
      </c>
      <c r="F22" s="12">
        <f t="shared" si="1"/>
        <v>3.6580555555555678</v>
      </c>
      <c r="G22" s="13">
        <f t="shared" si="2"/>
        <v>1.1544444444444482</v>
      </c>
      <c r="H22" s="13">
        <f t="shared" si="3"/>
        <v>2.5036111111111197</v>
      </c>
      <c r="I22"/>
      <c r="J22"/>
    </row>
    <row r="23" spans="1:13" ht="18.75" x14ac:dyDescent="0.15">
      <c r="A23" s="10">
        <f t="shared" ca="1" si="0"/>
        <v>46132.140641782396</v>
      </c>
      <c r="B23" s="5" t="s">
        <v>82</v>
      </c>
      <c r="C23" s="11">
        <v>0.14063657407407401</v>
      </c>
      <c r="D23" s="11" t="s">
        <v>62</v>
      </c>
      <c r="E23" s="11">
        <v>0.23712962962963</v>
      </c>
      <c r="F23" s="12">
        <f t="shared" si="1"/>
        <v>2.3158333333333436</v>
      </c>
      <c r="G23" s="13">
        <f t="shared" si="2"/>
        <v>0</v>
      </c>
      <c r="H23" s="13">
        <f t="shared" si="3"/>
        <v>2.3158333333333436</v>
      </c>
      <c r="I23"/>
      <c r="J23"/>
    </row>
    <row r="24" spans="1:13" ht="18.75" x14ac:dyDescent="0.15">
      <c r="A24" s="10">
        <f t="shared" ca="1" si="0"/>
        <v>46135.141555439797</v>
      </c>
      <c r="B24" s="5" t="s">
        <v>73</v>
      </c>
      <c r="C24" s="11">
        <v>0.141550925925926</v>
      </c>
      <c r="D24" s="11" t="s">
        <v>62</v>
      </c>
      <c r="E24" s="11">
        <v>0.24177083333333299</v>
      </c>
      <c r="F24" s="12">
        <f t="shared" si="1"/>
        <v>2.4052777777777679</v>
      </c>
      <c r="G24" s="13">
        <f t="shared" si="2"/>
        <v>0</v>
      </c>
      <c r="H24" s="13">
        <f t="shared" si="3"/>
        <v>2.4052777777777679</v>
      </c>
      <c r="I24"/>
      <c r="J24"/>
    </row>
    <row r="25" spans="1:13" ht="18.75" x14ac:dyDescent="0.15">
      <c r="A25" s="10">
        <f t="shared" ca="1" si="0"/>
        <v>46135.241814814799</v>
      </c>
      <c r="B25" s="5" t="s">
        <v>76</v>
      </c>
      <c r="C25" s="11">
        <v>0.241805555555556</v>
      </c>
      <c r="D25" s="11" t="s">
        <v>62</v>
      </c>
      <c r="E25" s="11">
        <v>0.30024305555555603</v>
      </c>
      <c r="F25" s="12">
        <f t="shared" si="1"/>
        <v>1.4025000000000007</v>
      </c>
      <c r="G25" s="13">
        <f t="shared" si="2"/>
        <v>0</v>
      </c>
      <c r="H25" s="13">
        <f t="shared" si="3"/>
        <v>1.4025000000000007</v>
      </c>
      <c r="I25"/>
      <c r="J25"/>
    </row>
    <row r="26" spans="1:13" ht="18.75" x14ac:dyDescent="0.15">
      <c r="A26" s="10">
        <f t="shared" ca="1" si="0"/>
        <v>46135.952775347199</v>
      </c>
      <c r="B26" s="5" t="s">
        <v>75</v>
      </c>
      <c r="C26" s="11">
        <v>0.95276620370370402</v>
      </c>
      <c r="D26" s="11" t="s">
        <v>62</v>
      </c>
      <c r="E26" s="11">
        <v>0.11697916666666699</v>
      </c>
      <c r="F26" s="12">
        <f t="shared" si="1"/>
        <v>3.9411111111111117</v>
      </c>
      <c r="G26" s="13">
        <f t="shared" si="2"/>
        <v>1.1336111111111036</v>
      </c>
      <c r="H26" s="13">
        <f t="shared" si="3"/>
        <v>2.8075000000000081</v>
      </c>
      <c r="I26"/>
      <c r="J26"/>
    </row>
    <row r="27" spans="1:13" ht="18.75" x14ac:dyDescent="0.15">
      <c r="A27" s="10">
        <f t="shared" ca="1" si="0"/>
        <v>46138.354354861098</v>
      </c>
      <c r="B27" s="5" t="s">
        <v>76</v>
      </c>
      <c r="C27" s="11">
        <v>0.35435185185185197</v>
      </c>
      <c r="D27" s="11" t="s">
        <v>62</v>
      </c>
      <c r="E27" s="11">
        <v>0.52998842592592599</v>
      </c>
      <c r="F27" s="12">
        <f t="shared" si="1"/>
        <v>4.2152777777777768</v>
      </c>
      <c r="G27" s="13">
        <f t="shared" si="2"/>
        <v>4.2152777777777768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46138.854581597203</v>
      </c>
      <c r="B28" s="5" t="s">
        <v>76</v>
      </c>
      <c r="C28" s="11">
        <v>0.85457175925925899</v>
      </c>
      <c r="D28" s="11" t="s">
        <v>62</v>
      </c>
      <c r="E28" s="11">
        <v>0.95750000000000002</v>
      </c>
      <c r="F28" s="12">
        <f t="shared" si="1"/>
        <v>2.4702777777777847</v>
      </c>
      <c r="G28" s="13">
        <f t="shared" si="2"/>
        <v>2.4702777777777847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46139.292995486103</v>
      </c>
      <c r="B29" s="5" t="s">
        <v>76</v>
      </c>
      <c r="C29" s="11">
        <v>0.292986111111111</v>
      </c>
      <c r="D29" s="11" t="s">
        <v>62</v>
      </c>
      <c r="E29" s="11">
        <v>0.42405092592592603</v>
      </c>
      <c r="F29" s="12">
        <f t="shared" si="1"/>
        <v>3.1455555555555605</v>
      </c>
      <c r="G29" s="13">
        <f t="shared" si="2"/>
        <v>2.1772222222222331</v>
      </c>
      <c r="H29" s="13">
        <f t="shared" si="3"/>
        <v>0.9683333333333275</v>
      </c>
      <c r="I29"/>
      <c r="J29"/>
    </row>
    <row r="30" spans="1:13" ht="18.75" x14ac:dyDescent="0.15">
      <c r="A30" s="10">
        <f t="shared" ca="1" si="0"/>
        <v>46139.522145486102</v>
      </c>
      <c r="B30" s="5" t="s">
        <v>76</v>
      </c>
      <c r="C30" s="11">
        <v>0.52214120370370398</v>
      </c>
      <c r="D30" s="11" t="s">
        <v>62</v>
      </c>
      <c r="E30" s="11">
        <v>0.63253472222222196</v>
      </c>
      <c r="F30" s="12">
        <f t="shared" si="1"/>
        <v>2.6494444444444314</v>
      </c>
      <c r="G30" s="13">
        <f t="shared" si="2"/>
        <v>2.6494444444444314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46139.772026041697</v>
      </c>
      <c r="B31" s="5" t="s">
        <v>75</v>
      </c>
      <c r="C31" s="11">
        <v>0.77202546296296304</v>
      </c>
      <c r="D31" s="11" t="s">
        <v>62</v>
      </c>
      <c r="E31" s="11">
        <v>0.88329861111111097</v>
      </c>
      <c r="F31" s="12">
        <f t="shared" si="1"/>
        <v>2.6705555555555502</v>
      </c>
      <c r="G31" s="13">
        <f t="shared" si="2"/>
        <v>2.6705555555555502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46142.952532175899</v>
      </c>
      <c r="B32" s="5" t="s">
        <v>81</v>
      </c>
      <c r="C32" s="11">
        <v>0.95252314814814798</v>
      </c>
      <c r="D32" s="11" t="s">
        <v>62</v>
      </c>
      <c r="E32" s="11">
        <v>0.99997685185185203</v>
      </c>
      <c r="F32" s="12">
        <f t="shared" si="1"/>
        <v>1.1388888888888973</v>
      </c>
      <c r="G32" s="13">
        <f t="shared" si="2"/>
        <v>1.1388888888888973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46115.129851736099</v>
      </c>
      <c r="B3" s="5" t="s">
        <v>83</v>
      </c>
      <c r="C3" s="11">
        <v>0.129849537037037</v>
      </c>
      <c r="D3" s="11" t="s">
        <v>62</v>
      </c>
      <c r="E3" s="11">
        <v>0.235532407407407</v>
      </c>
      <c r="F3" s="12">
        <f t="shared" ref="F3:F42" si="1">(IF(E3-C3&lt;0,"24:00"-C3+E3,E3-C3))*24</f>
        <v>2.5363888888888799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2.5363888888888799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46115.235575694402</v>
      </c>
      <c r="B4" s="5" t="s">
        <v>76</v>
      </c>
      <c r="C4" s="11">
        <v>0.23556712962963</v>
      </c>
      <c r="D4" s="11" t="s">
        <v>62</v>
      </c>
      <c r="E4" s="11">
        <v>0.29827546296296298</v>
      </c>
      <c r="F4" s="12">
        <f t="shared" si="1"/>
        <v>1.5049999999999915</v>
      </c>
      <c r="G4" s="13">
        <f t="shared" si="2"/>
        <v>0</v>
      </c>
      <c r="H4" s="13">
        <f t="shared" si="3"/>
        <v>1.5049999999999915</v>
      </c>
      <c r="I4" s="21" t="s">
        <v>64</v>
      </c>
      <c r="J4" s="22">
        <f>SUMIF(B:B,"西塔台管制席",F:F)+SUMIF(B:B,"东塔台管制席",F:F)</f>
        <v>32.953611111111115</v>
      </c>
      <c r="K4" s="23">
        <f>SUMIF(B:B,"西塔台管制席",G:G)+SUMIF(B:B,"东塔台管制席",G:G)</f>
        <v>17.758055555555568</v>
      </c>
      <c r="L4" s="23">
        <f>SUMIF(B:B,"西塔台管制席",H:H)+SUMIF(B:B,"东塔台管制席",H:H)</f>
        <v>15.195555555555545</v>
      </c>
      <c r="M4" s="19"/>
    </row>
    <row r="5" spans="1:16" ht="18.75" x14ac:dyDescent="0.25">
      <c r="A5" s="10">
        <f t="shared" ca="1" si="0"/>
        <v>46116.015441782401</v>
      </c>
      <c r="B5" s="5" t="s">
        <v>73</v>
      </c>
      <c r="C5" s="11">
        <v>1.39351851851852E-2</v>
      </c>
      <c r="D5" s="11" t="s">
        <v>62</v>
      </c>
      <c r="E5" s="11">
        <v>0.14221064814814799</v>
      </c>
      <c r="F5" s="12">
        <f t="shared" si="1"/>
        <v>3.0786111111111074</v>
      </c>
      <c r="G5" s="13">
        <f t="shared" si="2"/>
        <v>0</v>
      </c>
      <c r="H5" s="13">
        <f t="shared" si="3"/>
        <v>3.0786111111111074</v>
      </c>
      <c r="I5" s="21" t="s">
        <v>65</v>
      </c>
      <c r="J5" s="22">
        <f>SUMIF(B:B,"西塔台协调席",F:F)+SUMIF(B:B,"东塔台协调席",F:F)</f>
        <v>21.966388888888858</v>
      </c>
      <c r="K5" s="23">
        <f>SUMIF(B:B,"西塔台协调席",G:G)+SUMIF(B:B,"东塔台协调席",G:G)</f>
        <v>14.009722222222223</v>
      </c>
      <c r="L5" s="23">
        <f>SUMIF(B:B,"西塔台协调席",H:H)+SUMIF(B:B,"东塔台协调席",H:H)</f>
        <v>7.9566666666666332</v>
      </c>
      <c r="M5" s="19"/>
    </row>
    <row r="6" spans="1:16" ht="18.75" x14ac:dyDescent="0.25">
      <c r="A6" s="10">
        <f t="shared" ca="1" si="0"/>
        <v>46118.351366782401</v>
      </c>
      <c r="B6" s="5" t="s">
        <v>75</v>
      </c>
      <c r="C6" s="11">
        <v>0.35136574074074101</v>
      </c>
      <c r="D6" s="11" t="s">
        <v>62</v>
      </c>
      <c r="E6" s="11">
        <v>0.50768518518518502</v>
      </c>
      <c r="F6" s="12">
        <f t="shared" si="1"/>
        <v>3.7516666666666563</v>
      </c>
      <c r="G6" s="13">
        <f t="shared" si="2"/>
        <v>3.7516666666666563</v>
      </c>
      <c r="H6" s="13">
        <f t="shared" si="3"/>
        <v>0</v>
      </c>
      <c r="I6" s="21" t="s">
        <v>66</v>
      </c>
      <c r="J6" s="22">
        <f>SUMIF(B:B,"放行席",F:F)</f>
        <v>4.9108333333333443</v>
      </c>
      <c r="K6" s="23">
        <f>SUMIF(B:B,"放行席",G:G)</f>
        <v>0</v>
      </c>
      <c r="L6" s="23">
        <f>SUMIF(B:B,"放行席",H:H)</f>
        <v>4.9108333333333443</v>
      </c>
      <c r="M6" s="19"/>
    </row>
    <row r="7" spans="1:16" ht="18.75" x14ac:dyDescent="0.25">
      <c r="A7" s="10">
        <f t="shared" ca="1" si="0"/>
        <v>46118.507723842602</v>
      </c>
      <c r="B7" s="5" t="s">
        <v>84</v>
      </c>
      <c r="C7" s="11">
        <v>0.50771990740740702</v>
      </c>
      <c r="D7" s="11" t="s">
        <v>62</v>
      </c>
      <c r="E7" s="11">
        <v>0.52870370370370401</v>
      </c>
      <c r="F7" s="12">
        <f t="shared" si="1"/>
        <v>0.50361111111112766</v>
      </c>
      <c r="G7" s="13">
        <f t="shared" si="2"/>
        <v>0.50361111111112766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46118.540016435203</v>
      </c>
      <c r="B8" s="5" t="s">
        <v>84</v>
      </c>
      <c r="C8" s="11">
        <v>0.54001157407407396</v>
      </c>
      <c r="D8" s="11" t="s">
        <v>62</v>
      </c>
      <c r="E8" s="11">
        <v>0.55699074074074095</v>
      </c>
      <c r="F8" s="12">
        <f t="shared" si="1"/>
        <v>0.40750000000000774</v>
      </c>
      <c r="G8" s="13">
        <f t="shared" si="2"/>
        <v>0.40750000000000774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46118.875851620403</v>
      </c>
      <c r="B9" s="5" t="s">
        <v>75</v>
      </c>
      <c r="C9" s="11">
        <v>0.87584490740740695</v>
      </c>
      <c r="D9" s="11" t="s">
        <v>62</v>
      </c>
      <c r="E9" s="11">
        <v>0.95709490740740699</v>
      </c>
      <c r="F9" s="12">
        <f t="shared" si="1"/>
        <v>1.9500000000000011</v>
      </c>
      <c r="G9" s="13">
        <f t="shared" si="2"/>
        <v>1.9500000000000011</v>
      </c>
      <c r="H9" s="13">
        <f t="shared" si="3"/>
        <v>0</v>
      </c>
      <c r="I9" s="21" t="s">
        <v>69</v>
      </c>
      <c r="J9" s="22">
        <f>SUMIF(B:B,"航班调度席",F:F)</f>
        <v>4.4952777777778055</v>
      </c>
      <c r="K9" s="23">
        <f>SUMIF(B:B,"航班调度席",G:G)</f>
        <v>4.4952777777778055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46119.417273148101</v>
      </c>
      <c r="B10" s="5" t="s">
        <v>76</v>
      </c>
      <c r="C10" s="11">
        <v>0.41726851851851898</v>
      </c>
      <c r="D10" s="11" t="s">
        <v>62</v>
      </c>
      <c r="E10" s="11">
        <v>0.54796296296296299</v>
      </c>
      <c r="F10" s="12">
        <f t="shared" si="1"/>
        <v>3.1366666666666561</v>
      </c>
      <c r="G10" s="13">
        <f t="shared" si="2"/>
        <v>3.1366666666666561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46119.625046527799</v>
      </c>
      <c r="B11" s="5" t="s">
        <v>84</v>
      </c>
      <c r="C11" s="11">
        <v>0.62504629629629604</v>
      </c>
      <c r="D11" s="11" t="s">
        <v>62</v>
      </c>
      <c r="E11" s="11">
        <v>0.69498842592592602</v>
      </c>
      <c r="F11" s="12">
        <f t="shared" si="1"/>
        <v>1.6786111111111195</v>
      </c>
      <c r="G11" s="13">
        <f t="shared" si="2"/>
        <v>1.6786111111111195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46119.835331134302</v>
      </c>
      <c r="B12" s="5" t="s">
        <v>75</v>
      </c>
      <c r="C12" s="11">
        <v>0.83532407407407405</v>
      </c>
      <c r="D12" s="11" t="s">
        <v>62</v>
      </c>
      <c r="E12" s="11">
        <v>0.932766203703704</v>
      </c>
      <c r="F12" s="12">
        <f t="shared" si="1"/>
        <v>2.3386111111111187</v>
      </c>
      <c r="G12" s="13">
        <f t="shared" si="2"/>
        <v>2.3386111111111187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46119.945866435199</v>
      </c>
      <c r="B13" s="5" t="s">
        <v>75</v>
      </c>
      <c r="C13" s="11">
        <v>0.94585648148148105</v>
      </c>
      <c r="D13" s="11" t="s">
        <v>62</v>
      </c>
      <c r="E13" s="11">
        <v>0.95652777777777798</v>
      </c>
      <c r="F13" s="12">
        <f t="shared" si="1"/>
        <v>0.25611111111112628</v>
      </c>
      <c r="G13" s="13">
        <f t="shared" si="2"/>
        <v>0.25611111111112628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46123.138789467601</v>
      </c>
      <c r="B14" s="5" t="s">
        <v>73</v>
      </c>
      <c r="C14" s="11">
        <v>0.13878472222222199</v>
      </c>
      <c r="D14" s="11" t="s">
        <v>62</v>
      </c>
      <c r="E14" s="11">
        <v>0.23366898148148099</v>
      </c>
      <c r="F14" s="12">
        <f t="shared" si="1"/>
        <v>2.2772222222222158</v>
      </c>
      <c r="G14" s="13">
        <f t="shared" si="2"/>
        <v>0</v>
      </c>
      <c r="H14" s="13">
        <f t="shared" si="3"/>
        <v>2.2772222222222158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46123.233701851903</v>
      </c>
      <c r="B15" s="5" t="s">
        <v>76</v>
      </c>
      <c r="C15" s="11">
        <v>0.23369212962963001</v>
      </c>
      <c r="D15" s="11" t="s">
        <v>62</v>
      </c>
      <c r="E15" s="11">
        <v>0.29817129629629602</v>
      </c>
      <c r="F15" s="12">
        <f t="shared" si="1"/>
        <v>1.5474999999999841</v>
      </c>
      <c r="G15" s="13">
        <f t="shared" si="2"/>
        <v>0</v>
      </c>
      <c r="H15" s="13">
        <f t="shared" si="3"/>
        <v>1.5474999999999841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46123.952281481499</v>
      </c>
      <c r="B16" s="5" t="s">
        <v>76</v>
      </c>
      <c r="C16" s="11">
        <v>0.95228009259259305</v>
      </c>
      <c r="D16" s="11" t="s">
        <v>62</v>
      </c>
      <c r="E16" s="11">
        <v>0.10443287037037</v>
      </c>
      <c r="F16" s="12">
        <f t="shared" si="1"/>
        <v>3.6516666666666469</v>
      </c>
      <c r="G16" s="13">
        <f t="shared" si="2"/>
        <v>1.1452777777777667</v>
      </c>
      <c r="H16" s="13">
        <f t="shared" si="3"/>
        <v>2.5063888888888801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46127.133290856502</v>
      </c>
      <c r="B17" s="5" t="s">
        <v>83</v>
      </c>
      <c r="C17" s="11">
        <v>0.13335648148148099</v>
      </c>
      <c r="D17" s="11" t="s">
        <v>62</v>
      </c>
      <c r="E17" s="11">
        <v>0.23229166666666701</v>
      </c>
      <c r="F17" s="12">
        <f t="shared" si="1"/>
        <v>2.3744444444444643</v>
      </c>
      <c r="G17" s="13">
        <f t="shared" si="2"/>
        <v>0</v>
      </c>
      <c r="H17" s="13">
        <f t="shared" si="3"/>
        <v>2.3744444444444643</v>
      </c>
      <c r="I17" s="35" t="s">
        <v>78</v>
      </c>
      <c r="J17" s="36">
        <f>J4+J5+J6+J7+J10</f>
        <v>59.830833333333317</v>
      </c>
      <c r="K17" s="37">
        <f>K4+K5+K6+K7+K10</f>
        <v>31.767777777777791</v>
      </c>
      <c r="L17" s="38">
        <f>L4+L5+L6+L7+L10</f>
        <v>28.063055555555522</v>
      </c>
      <c r="M17" s="39"/>
    </row>
    <row r="18" spans="1:13" ht="20.25" x14ac:dyDescent="0.25">
      <c r="A18" s="10">
        <f t="shared" ca="1" si="0"/>
        <v>46127.950057407397</v>
      </c>
      <c r="B18" s="5" t="s">
        <v>75</v>
      </c>
      <c r="C18" s="11">
        <v>0.950046296296296</v>
      </c>
      <c r="D18" s="11" t="s">
        <v>62</v>
      </c>
      <c r="E18" s="11">
        <v>0.13410879629629599</v>
      </c>
      <c r="F18" s="12">
        <f t="shared" si="1"/>
        <v>4.4174999999999995</v>
      </c>
      <c r="G18" s="13">
        <f t="shared" si="2"/>
        <v>1.198888888888896</v>
      </c>
      <c r="H18" s="13">
        <f t="shared" si="3"/>
        <v>3.2186111111111035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46130.501843634302</v>
      </c>
      <c r="B19" s="5" t="s">
        <v>73</v>
      </c>
      <c r="C19" s="11">
        <v>0.50184027777777795</v>
      </c>
      <c r="D19" s="11" t="s">
        <v>62</v>
      </c>
      <c r="E19" s="11">
        <v>0.63310185185185197</v>
      </c>
      <c r="F19" s="12">
        <f t="shared" si="1"/>
        <v>3.1502777777777764</v>
      </c>
      <c r="G19" s="13">
        <f t="shared" si="2"/>
        <v>3.1502777777777764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46130.642087615699</v>
      </c>
      <c r="B20" s="5" t="s">
        <v>84</v>
      </c>
      <c r="C20" s="11">
        <v>0.64208333333333301</v>
      </c>
      <c r="D20" s="11" t="s">
        <v>62</v>
      </c>
      <c r="E20" s="11">
        <v>0.70185185185185195</v>
      </c>
      <c r="F20" s="12">
        <f t="shared" si="1"/>
        <v>1.4344444444444546</v>
      </c>
      <c r="G20" s="13">
        <f t="shared" si="2"/>
        <v>1.4344444444444546</v>
      </c>
      <c r="H20" s="13">
        <f t="shared" si="3"/>
        <v>0</v>
      </c>
      <c r="I20" s="40" t="s">
        <v>80</v>
      </c>
      <c r="J20" s="65">
        <f>J16+J17+J18+J19</f>
        <v>59.830833333333317</v>
      </c>
      <c r="K20" s="66"/>
      <c r="L20" s="67"/>
      <c r="M20" s="41"/>
    </row>
    <row r="21" spans="1:13" ht="20.25" x14ac:dyDescent="0.25">
      <c r="A21" s="10">
        <f t="shared" ca="1" si="0"/>
        <v>46130.752067592599</v>
      </c>
      <c r="B21" s="5" t="s">
        <v>81</v>
      </c>
      <c r="C21" s="11">
        <v>0.75206018518518503</v>
      </c>
      <c r="D21" s="11" t="s">
        <v>62</v>
      </c>
      <c r="E21" s="11">
        <v>0.88153935185185195</v>
      </c>
      <c r="F21" s="12">
        <f t="shared" si="1"/>
        <v>3.1075000000000061</v>
      </c>
      <c r="G21" s="13">
        <f t="shared" si="2"/>
        <v>3.1075000000000061</v>
      </c>
      <c r="H21" s="13">
        <f t="shared" si="3"/>
        <v>0</v>
      </c>
      <c r="I21" s="42" t="s">
        <v>4</v>
      </c>
      <c r="J21" s="43">
        <f>SUM(J8:J9)</f>
        <v>4.4952777777778055</v>
      </c>
      <c r="K21" s="37">
        <f>SUM(K8:K9)</f>
        <v>4.4952777777778055</v>
      </c>
      <c r="L21" s="38">
        <f>SUM(L8:L9)</f>
        <v>0</v>
      </c>
      <c r="M21" s="44"/>
    </row>
    <row r="22" spans="1:13" ht="18.75" x14ac:dyDescent="0.15">
      <c r="A22" s="10">
        <f t="shared" ca="1" si="0"/>
        <v>46131.2913625</v>
      </c>
      <c r="B22" s="5" t="s">
        <v>75</v>
      </c>
      <c r="C22" s="11">
        <v>0.29135416666666702</v>
      </c>
      <c r="D22" s="11" t="s">
        <v>62</v>
      </c>
      <c r="E22" s="11">
        <v>0.427071759259259</v>
      </c>
      <c r="F22" s="12">
        <f t="shared" si="1"/>
        <v>3.2572222222222074</v>
      </c>
      <c r="G22" s="13">
        <f t="shared" si="2"/>
        <v>2.2497222222222244</v>
      </c>
      <c r="H22" s="13">
        <f t="shared" si="3"/>
        <v>1.007499999999983</v>
      </c>
      <c r="I22"/>
      <c r="J22"/>
    </row>
    <row r="23" spans="1:13" ht="18.75" x14ac:dyDescent="0.15">
      <c r="A23" s="10">
        <f t="shared" ca="1" si="0"/>
        <v>46131.8326675926</v>
      </c>
      <c r="B23" s="5" t="s">
        <v>76</v>
      </c>
      <c r="C23" s="11">
        <v>0.83266203703703701</v>
      </c>
      <c r="D23" s="11" t="s">
        <v>62</v>
      </c>
      <c r="E23" s="11">
        <v>0.95590277777777799</v>
      </c>
      <c r="F23" s="12">
        <f t="shared" si="1"/>
        <v>2.9577777777777836</v>
      </c>
      <c r="G23" s="13">
        <f t="shared" si="2"/>
        <v>2.9577777777777836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46132.3713621528</v>
      </c>
      <c r="B24" s="5" t="s">
        <v>75</v>
      </c>
      <c r="C24" s="11">
        <v>0.29218749999999999</v>
      </c>
      <c r="D24" s="11" t="s">
        <v>62</v>
      </c>
      <c r="E24" s="11">
        <v>0.37148148148148102</v>
      </c>
      <c r="F24" s="12">
        <f t="shared" si="1"/>
        <v>1.9030555555555448</v>
      </c>
      <c r="G24" s="13">
        <f t="shared" si="2"/>
        <v>0.91555555555555301</v>
      </c>
      <c r="H24" s="13">
        <f t="shared" si="3"/>
        <v>0.98749999999999183</v>
      </c>
      <c r="I24"/>
      <c r="J24"/>
    </row>
    <row r="25" spans="1:13" ht="18.75" x14ac:dyDescent="0.15">
      <c r="A25" s="10">
        <f t="shared" ca="1" si="0"/>
        <v>46135.012759490703</v>
      </c>
      <c r="B25" s="5" t="s">
        <v>81</v>
      </c>
      <c r="C25" s="11">
        <v>1.27546296296296E-2</v>
      </c>
      <c r="D25" s="11" t="s">
        <v>62</v>
      </c>
      <c r="E25" s="11">
        <v>0.11266203703703701</v>
      </c>
      <c r="F25" s="12">
        <f t="shared" si="1"/>
        <v>2.3977777777777778</v>
      </c>
      <c r="G25" s="13">
        <f t="shared" si="2"/>
        <v>0</v>
      </c>
      <c r="H25" s="13">
        <f t="shared" si="3"/>
        <v>2.3977777777777778</v>
      </c>
      <c r="I25"/>
      <c r="J25"/>
    </row>
    <row r="26" spans="1:13" ht="18.75" x14ac:dyDescent="0.15">
      <c r="A26" s="10">
        <f t="shared" ca="1" si="0"/>
        <v>46135.112717476899</v>
      </c>
      <c r="B26" s="5" t="s">
        <v>73</v>
      </c>
      <c r="C26" s="11">
        <v>0.11270833333333299</v>
      </c>
      <c r="D26" s="11" t="s">
        <v>62</v>
      </c>
      <c r="E26" s="11">
        <v>0.143240740740741</v>
      </c>
      <c r="F26" s="12">
        <f t="shared" si="1"/>
        <v>0.73277777777779218</v>
      </c>
      <c r="G26" s="13">
        <f t="shared" si="2"/>
        <v>0</v>
      </c>
      <c r="H26" s="13">
        <f t="shared" si="3"/>
        <v>0.73277777777779218</v>
      </c>
      <c r="I26"/>
      <c r="J26"/>
    </row>
    <row r="27" spans="1:13" ht="18.75" x14ac:dyDescent="0.15">
      <c r="A27" s="10">
        <f t="shared" ca="1" si="0"/>
        <v>46136.138501851798</v>
      </c>
      <c r="B27" s="5" t="s">
        <v>75</v>
      </c>
      <c r="C27" s="11">
        <v>0.13849537037036999</v>
      </c>
      <c r="D27" s="11" t="s">
        <v>62</v>
      </c>
      <c r="E27" s="11">
        <v>0.30071759259259301</v>
      </c>
      <c r="F27" s="12">
        <f t="shared" si="1"/>
        <v>3.8933333333333522</v>
      </c>
      <c r="G27" s="13">
        <f t="shared" si="2"/>
        <v>0</v>
      </c>
      <c r="H27" s="13">
        <f t="shared" si="3"/>
        <v>3.8933333333333522</v>
      </c>
      <c r="I27"/>
      <c r="J27"/>
    </row>
    <row r="28" spans="1:13" ht="18.75" x14ac:dyDescent="0.15">
      <c r="A28" s="10">
        <f t="shared" ca="1" si="0"/>
        <v>46142.353796527801</v>
      </c>
      <c r="B28" s="5" t="s">
        <v>81</v>
      </c>
      <c r="C28" s="11">
        <v>0.35395833333333299</v>
      </c>
      <c r="D28" s="11" t="s">
        <v>62</v>
      </c>
      <c r="E28" s="11">
        <v>0.50656250000000003</v>
      </c>
      <c r="F28" s="12">
        <f t="shared" si="1"/>
        <v>3.662500000000009</v>
      </c>
      <c r="G28" s="13">
        <f t="shared" si="2"/>
        <v>3.662500000000009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46142.533838541698</v>
      </c>
      <c r="B29" s="5" t="s">
        <v>84</v>
      </c>
      <c r="C29" s="11">
        <v>0.533831018518519</v>
      </c>
      <c r="D29" s="11" t="s">
        <v>62</v>
      </c>
      <c r="E29" s="11">
        <v>0.55346064814814799</v>
      </c>
      <c r="F29" s="12">
        <f t="shared" si="1"/>
        <v>0.47111111111109594</v>
      </c>
      <c r="G29" s="13">
        <f t="shared" si="2"/>
        <v>0.47111111111109594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46142.877137615702</v>
      </c>
      <c r="B30" s="5" t="s">
        <v>73</v>
      </c>
      <c r="C30" s="11">
        <v>0.87712962962963004</v>
      </c>
      <c r="D30" s="11" t="s">
        <v>62</v>
      </c>
      <c r="E30" s="11">
        <v>0.95826388888888903</v>
      </c>
      <c r="F30" s="12">
        <f t="shared" si="1"/>
        <v>1.9472222222222157</v>
      </c>
      <c r="G30" s="13">
        <f t="shared" si="2"/>
        <v>1.9472222222222157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42"/>
  <sheetViews>
    <sheetView zoomScale="85" zoomScaleNormal="85" workbookViewId="0">
      <selection activeCell="D24" sqref="D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46119.543057175899</v>
      </c>
      <c r="B3" s="5" t="s">
        <v>76</v>
      </c>
      <c r="C3" s="11">
        <v>0.54305555555555596</v>
      </c>
      <c r="D3" s="11" t="s">
        <v>62</v>
      </c>
      <c r="E3" s="11">
        <v>0.63127314814814794</v>
      </c>
      <c r="F3" s="12">
        <f t="shared" ref="F3:F42" si="1">(IF(E3-C3&lt;0,"24:00"-C3+E3,E3-C3))*24</f>
        <v>2.1172222222222077</v>
      </c>
      <c r="G3" s="13">
        <f t="shared" ref="G3:G42" si="2">F3-H3</f>
        <v>2.1172222222222077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46119.710331828697</v>
      </c>
      <c r="B4" s="5" t="s">
        <v>76</v>
      </c>
      <c r="C4" s="11">
        <v>0.71032407407407405</v>
      </c>
      <c r="D4" s="11" t="s">
        <v>62</v>
      </c>
      <c r="E4" s="11">
        <v>0.76679398148148203</v>
      </c>
      <c r="F4" s="12">
        <f t="shared" si="1"/>
        <v>1.3552777777777916</v>
      </c>
      <c r="G4" s="13">
        <f t="shared" si="2"/>
        <v>1.3552777777777916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16.956111111111074</v>
      </c>
      <c r="K4" s="23">
        <f>SUMIF(B:B,"西塔台管制席",G:G)+SUMIF(B:B,"东塔台管制席",G:G)</f>
        <v>9.4419444444444238</v>
      </c>
      <c r="L4" s="23">
        <f>SUMIF(B:B,"西塔台管制席",H:H)+SUMIF(B:B,"东塔台管制席",H:H)</f>
        <v>7.5141666666666502</v>
      </c>
      <c r="M4" s="19"/>
    </row>
    <row r="5" spans="1:16" ht="18.75" x14ac:dyDescent="0.25">
      <c r="A5" s="10">
        <f t="shared" ca="1" si="0"/>
        <v>46119.787727430601</v>
      </c>
      <c r="B5" s="5" t="s">
        <v>76</v>
      </c>
      <c r="C5" s="11">
        <v>0.78771990740740705</v>
      </c>
      <c r="D5" s="11" t="s">
        <v>62</v>
      </c>
      <c r="E5" s="11">
        <v>0.86407407407407399</v>
      </c>
      <c r="F5" s="12">
        <f t="shared" si="1"/>
        <v>1.8325000000000067</v>
      </c>
      <c r="G5" s="13">
        <f t="shared" si="2"/>
        <v>1.8325000000000067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25.678055555555495</v>
      </c>
      <c r="K5" s="23">
        <f>SUMIF(B:B,"西塔台协调席",G:G)+SUMIF(B:B,"东塔台协调席",G:G)</f>
        <v>19.22277777777775</v>
      </c>
      <c r="L5" s="23">
        <f>SUMIF(B:B,"西塔台协调席",H:H)+SUMIF(B:B,"东塔台协调席",H:H)</f>
        <v>6.4552777777777433</v>
      </c>
      <c r="M5" s="19"/>
    </row>
    <row r="6" spans="1:16" ht="18.75" x14ac:dyDescent="0.25">
      <c r="A6" s="10">
        <f t="shared" ca="1" si="0"/>
        <v>46120.293837963</v>
      </c>
      <c r="B6" s="5" t="s">
        <v>76</v>
      </c>
      <c r="C6" s="11">
        <v>0.293831018518519</v>
      </c>
      <c r="D6" s="11" t="s">
        <v>62</v>
      </c>
      <c r="E6" s="11">
        <v>0.36674768518518502</v>
      </c>
      <c r="F6" s="12">
        <f t="shared" si="1"/>
        <v>1.7499999999999845</v>
      </c>
      <c r="G6" s="13">
        <f t="shared" si="2"/>
        <v>0.80194444444444901</v>
      </c>
      <c r="H6" s="13">
        <f t="shared" si="3"/>
        <v>0.94805555555553545</v>
      </c>
      <c r="I6" s="21" t="s">
        <v>66</v>
      </c>
      <c r="J6" s="22">
        <f>SUMIF(B:B,"放行席",F:F)</f>
        <v>6.4577777777777996</v>
      </c>
      <c r="K6" s="23">
        <f>SUMIF(B:B,"放行席",G:G)</f>
        <v>0</v>
      </c>
      <c r="L6" s="23">
        <f>SUMIF(B:B,"放行席",H:H)</f>
        <v>6.4577777777777996</v>
      </c>
      <c r="M6" s="19"/>
    </row>
    <row r="7" spans="1:16" ht="18.75" x14ac:dyDescent="0.25">
      <c r="A7" s="10">
        <f t="shared" ca="1" si="0"/>
        <v>46122.949990856498</v>
      </c>
      <c r="B7" s="5" t="s">
        <v>75</v>
      </c>
      <c r="C7" s="11">
        <v>0.94998842592592603</v>
      </c>
      <c r="D7" s="11" t="s">
        <v>62</v>
      </c>
      <c r="E7" s="11">
        <v>0.116793981481481</v>
      </c>
      <c r="F7" s="12">
        <f t="shared" si="1"/>
        <v>4.0033333333333196</v>
      </c>
      <c r="G7" s="13">
        <f t="shared" si="2"/>
        <v>1.2002777777777758</v>
      </c>
      <c r="H7" s="13">
        <f t="shared" si="3"/>
        <v>2.8030555555555439</v>
      </c>
      <c r="I7" s="21" t="s">
        <v>67</v>
      </c>
      <c r="J7" s="22">
        <f>SUMIF(B:B,"地面席",F:F)</f>
        <v>2.3091666666666719</v>
      </c>
      <c r="K7" s="23">
        <f>SUMIF(B:B,"地面席",G:G)</f>
        <v>0</v>
      </c>
      <c r="L7" s="23">
        <f>SUMIF(B:B,"地面席",H:H)</f>
        <v>2.3091666666666719</v>
      </c>
      <c r="M7" s="19"/>
    </row>
    <row r="8" spans="1:16" ht="18.75" x14ac:dyDescent="0.25">
      <c r="A8" s="10">
        <f t="shared" ca="1" si="0"/>
        <v>46124.135327430602</v>
      </c>
      <c r="B8" s="5" t="s">
        <v>83</v>
      </c>
      <c r="C8" s="11">
        <v>0.13532407407407401</v>
      </c>
      <c r="D8" s="11" t="s">
        <v>62</v>
      </c>
      <c r="E8" s="11">
        <v>0.220231481481482</v>
      </c>
      <c r="F8" s="12">
        <f t="shared" si="1"/>
        <v>2.0377777777777917</v>
      </c>
      <c r="G8" s="13">
        <f t="shared" si="2"/>
        <v>0</v>
      </c>
      <c r="H8" s="13">
        <f t="shared" si="3"/>
        <v>2.0377777777777917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46124.2305597222</v>
      </c>
      <c r="B9" s="5" t="s">
        <v>76</v>
      </c>
      <c r="C9" s="11">
        <v>0.23055555555555601</v>
      </c>
      <c r="D9" s="11" t="s">
        <v>62</v>
      </c>
      <c r="E9" s="11">
        <v>0.29930555555555599</v>
      </c>
      <c r="F9" s="12">
        <f t="shared" si="1"/>
        <v>1.6499999999999995</v>
      </c>
      <c r="G9" s="13">
        <f t="shared" si="2"/>
        <v>0</v>
      </c>
      <c r="H9" s="13">
        <f t="shared" si="3"/>
        <v>1.6499999999999995</v>
      </c>
      <c r="I9" s="21" t="s">
        <v>69</v>
      </c>
      <c r="J9" s="22">
        <f>SUMIF(B:B,"航班调度席",F:F)</f>
        <v>1.022499999999984</v>
      </c>
      <c r="K9" s="23">
        <f>SUMIF(B:B,"航班调度席",G:G)</f>
        <v>1.022499999999984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46127.139880902803</v>
      </c>
      <c r="B10" s="5" t="s">
        <v>82</v>
      </c>
      <c r="C10" s="11">
        <v>0.139872685185185</v>
      </c>
      <c r="D10" s="11" t="s">
        <v>62</v>
      </c>
      <c r="E10" s="11">
        <v>0.236087962962963</v>
      </c>
      <c r="F10" s="12">
        <f t="shared" si="1"/>
        <v>2.3091666666666719</v>
      </c>
      <c r="G10" s="13">
        <f t="shared" si="2"/>
        <v>0</v>
      </c>
      <c r="H10" s="13">
        <f t="shared" si="3"/>
        <v>2.3091666666666719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46127.952006481501</v>
      </c>
      <c r="B11" s="5" t="s">
        <v>76</v>
      </c>
      <c r="C11" s="11">
        <v>0.95200231481481501</v>
      </c>
      <c r="D11" s="11" t="s">
        <v>62</v>
      </c>
      <c r="E11" s="11">
        <v>0.14225694444444401</v>
      </c>
      <c r="F11" s="12">
        <f t="shared" si="1"/>
        <v>4.5661111111110957</v>
      </c>
      <c r="G11" s="13">
        <f t="shared" si="2"/>
        <v>1.1519444444444398</v>
      </c>
      <c r="H11" s="13">
        <f t="shared" si="3"/>
        <v>3.4141666666666559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46130.3582501157</v>
      </c>
      <c r="B12" s="5" t="s">
        <v>81</v>
      </c>
      <c r="C12" s="11">
        <v>0.35824074074074103</v>
      </c>
      <c r="D12" s="11" t="s">
        <v>62</v>
      </c>
      <c r="E12" s="11">
        <v>0.50670138888888905</v>
      </c>
      <c r="F12" s="12">
        <f t="shared" si="1"/>
        <v>3.5630555555555525</v>
      </c>
      <c r="G12" s="13">
        <f t="shared" si="2"/>
        <v>3.5630555555555525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46130.626827314802</v>
      </c>
      <c r="B13" s="5" t="s">
        <v>81</v>
      </c>
      <c r="C13" s="11">
        <v>0.62681712962962999</v>
      </c>
      <c r="D13" s="11" t="s">
        <v>62</v>
      </c>
      <c r="E13" s="11">
        <v>0.757581018518518</v>
      </c>
      <c r="F13" s="12">
        <f t="shared" si="1"/>
        <v>3.1383333333333123</v>
      </c>
      <c r="G13" s="13">
        <f t="shared" si="2"/>
        <v>3.1383333333333123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46130.875923148102</v>
      </c>
      <c r="B14" s="5" t="s">
        <v>73</v>
      </c>
      <c r="C14" s="11">
        <v>0.87591435185185196</v>
      </c>
      <c r="D14" s="11" t="s">
        <v>62</v>
      </c>
      <c r="E14" s="11">
        <v>0.95940972222222198</v>
      </c>
      <c r="F14" s="12">
        <f t="shared" si="1"/>
        <v>2.0038888888888806</v>
      </c>
      <c r="G14" s="13">
        <f t="shared" si="2"/>
        <v>2.0038888888888806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46131.418397916699</v>
      </c>
      <c r="B15" s="5" t="s">
        <v>76</v>
      </c>
      <c r="C15" s="11">
        <v>0.41839120370370397</v>
      </c>
      <c r="D15" s="11" t="s">
        <v>62</v>
      </c>
      <c r="E15" s="11">
        <v>0.50723379629629595</v>
      </c>
      <c r="F15" s="12">
        <f t="shared" si="1"/>
        <v>2.1322222222222074</v>
      </c>
      <c r="G15" s="13">
        <f t="shared" si="2"/>
        <v>2.1322222222222074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46131.585042939798</v>
      </c>
      <c r="B16" s="5" t="s">
        <v>75</v>
      </c>
      <c r="C16" s="11">
        <v>0.58503472222222197</v>
      </c>
      <c r="D16" s="11" t="s">
        <v>62</v>
      </c>
      <c r="E16" s="11">
        <v>0.71535879629629595</v>
      </c>
      <c r="F16" s="12">
        <f t="shared" si="1"/>
        <v>3.1277777777777755</v>
      </c>
      <c r="G16" s="13">
        <f t="shared" si="2"/>
        <v>3.1277777777777755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46135.014997453698</v>
      </c>
      <c r="B17" s="5" t="s">
        <v>73</v>
      </c>
      <c r="C17" s="11">
        <v>1.49884259259259E-2</v>
      </c>
      <c r="D17" s="11" t="s">
        <v>62</v>
      </c>
      <c r="E17" s="11">
        <v>0.11190972222222199</v>
      </c>
      <c r="F17" s="12">
        <f t="shared" si="1"/>
        <v>2.3261111111111061</v>
      </c>
      <c r="G17" s="13">
        <f t="shared" si="2"/>
        <v>0</v>
      </c>
      <c r="H17" s="13">
        <f t="shared" si="3"/>
        <v>2.3261111111111061</v>
      </c>
      <c r="I17" s="35" t="s">
        <v>78</v>
      </c>
      <c r="J17" s="36">
        <f>J4+J5+J6+J7+J10</f>
        <v>51.401111111111042</v>
      </c>
      <c r="K17" s="37">
        <f>K4+K5+K6+K7+K10</f>
        <v>28.664722222222174</v>
      </c>
      <c r="L17" s="38">
        <f>L4+L5+L6+L7+L10</f>
        <v>22.736388888888865</v>
      </c>
      <c r="M17" s="39"/>
    </row>
    <row r="18" spans="1:13" ht="20.25" x14ac:dyDescent="0.25">
      <c r="A18" s="10">
        <f t="shared" ca="1" si="0"/>
        <v>46135.112132754599</v>
      </c>
      <c r="B18" s="5" t="s">
        <v>76</v>
      </c>
      <c r="C18" s="11">
        <v>0.11212962962963</v>
      </c>
      <c r="D18" s="11" t="s">
        <v>62</v>
      </c>
      <c r="E18" s="11">
        <v>0.13059027777777801</v>
      </c>
      <c r="F18" s="12">
        <f t="shared" si="1"/>
        <v>0.44305555555555243</v>
      </c>
      <c r="G18" s="13">
        <f t="shared" si="2"/>
        <v>0</v>
      </c>
      <c r="H18" s="13">
        <f t="shared" si="3"/>
        <v>0.44305555555555243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46136.139838310199</v>
      </c>
      <c r="B19" s="5" t="s">
        <v>73</v>
      </c>
      <c r="C19" s="11">
        <v>0.139837962962963</v>
      </c>
      <c r="D19" s="11" t="s">
        <v>62</v>
      </c>
      <c r="E19" s="11">
        <v>0.23921296296296299</v>
      </c>
      <c r="F19" s="12">
        <f t="shared" si="1"/>
        <v>2.3849999999999998</v>
      </c>
      <c r="G19" s="13">
        <f t="shared" si="2"/>
        <v>0</v>
      </c>
      <c r="H19" s="13">
        <f t="shared" si="3"/>
        <v>2.3849999999999998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46139.133301273097</v>
      </c>
      <c r="B20" s="5" t="s">
        <v>83</v>
      </c>
      <c r="C20" s="11">
        <v>0.13329861111111099</v>
      </c>
      <c r="D20" s="11" t="s">
        <v>62</v>
      </c>
      <c r="E20" s="11">
        <v>0.215706018518519</v>
      </c>
      <c r="F20" s="12">
        <f t="shared" si="1"/>
        <v>1.9777777777777923</v>
      </c>
      <c r="G20" s="13">
        <f t="shared" si="2"/>
        <v>0</v>
      </c>
      <c r="H20" s="13">
        <f t="shared" si="3"/>
        <v>1.9777777777777923</v>
      </c>
      <c r="I20" s="40" t="s">
        <v>80</v>
      </c>
      <c r="J20" s="65">
        <f>J16+J17+J18+J19</f>
        <v>51.401111111111042</v>
      </c>
      <c r="K20" s="66"/>
      <c r="L20" s="67"/>
      <c r="M20" s="41"/>
    </row>
    <row r="21" spans="1:13" ht="20.25" x14ac:dyDescent="0.25">
      <c r="A21" s="10">
        <f t="shared" ca="1" si="0"/>
        <v>46140.1334017361</v>
      </c>
      <c r="B21" s="5" t="s">
        <v>83</v>
      </c>
      <c r="C21" s="11">
        <v>0.133391203703704</v>
      </c>
      <c r="D21" s="11" t="s">
        <v>62</v>
      </c>
      <c r="E21" s="11">
        <v>0.23515046296296299</v>
      </c>
      <c r="F21" s="12">
        <f t="shared" si="1"/>
        <v>2.4422222222222159</v>
      </c>
      <c r="G21" s="13">
        <f t="shared" si="2"/>
        <v>0</v>
      </c>
      <c r="H21" s="13">
        <f t="shared" si="3"/>
        <v>2.4422222222222159</v>
      </c>
      <c r="I21" s="42" t="s">
        <v>4</v>
      </c>
      <c r="J21" s="43">
        <f>SUM(J8:J9)</f>
        <v>1.022499999999984</v>
      </c>
      <c r="K21" s="37">
        <f>SUM(K8:K9)</f>
        <v>1.022499999999984</v>
      </c>
      <c r="L21" s="38">
        <f>SUM(L8:L9)</f>
        <v>0</v>
      </c>
      <c r="M21" s="44"/>
    </row>
    <row r="22" spans="1:13" ht="18.75" x14ac:dyDescent="0.15">
      <c r="A22" s="10">
        <f t="shared" ca="1" si="0"/>
        <v>46142.418063078701</v>
      </c>
      <c r="B22" s="5" t="s">
        <v>84</v>
      </c>
      <c r="C22" s="11">
        <v>0.41805555555555601</v>
      </c>
      <c r="D22" s="11" t="s">
        <v>62</v>
      </c>
      <c r="E22" s="11">
        <v>0.46065972222222201</v>
      </c>
      <c r="F22" s="12">
        <f t="shared" si="1"/>
        <v>1.022499999999984</v>
      </c>
      <c r="G22" s="13">
        <f t="shared" si="2"/>
        <v>1.022499999999984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46142.502268865697</v>
      </c>
      <c r="B23" s="5" t="s">
        <v>73</v>
      </c>
      <c r="C23" s="11">
        <v>0.50226851851851895</v>
      </c>
      <c r="D23" s="11" t="s">
        <v>62</v>
      </c>
      <c r="E23" s="11">
        <v>0.631851851851852</v>
      </c>
      <c r="F23" s="12">
        <f t="shared" si="1"/>
        <v>3.1099999999999932</v>
      </c>
      <c r="G23" s="13">
        <f t="shared" si="2"/>
        <v>3.1099999999999932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46142.750659837999</v>
      </c>
      <c r="B24" s="5" t="s">
        <v>81</v>
      </c>
      <c r="C24" s="11">
        <v>0.75065972222222199</v>
      </c>
      <c r="D24" s="11" t="s">
        <v>62</v>
      </c>
      <c r="E24" s="11">
        <v>0.88108796296296299</v>
      </c>
      <c r="F24" s="12">
        <f t="shared" si="1"/>
        <v>3.1302777777777839</v>
      </c>
      <c r="G24" s="13">
        <f t="shared" si="2"/>
        <v>3.1302777777777839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42"/>
  <sheetViews>
    <sheetView topLeftCell="A7" zoomScale="85" zoomScaleNormal="85" workbookViewId="0">
      <selection activeCell="I29" sqref="I2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46115.014060532398</v>
      </c>
      <c r="B3" s="5" t="s">
        <v>75</v>
      </c>
      <c r="C3" s="11">
        <v>1.4050925925925901E-2</v>
      </c>
      <c r="D3" s="11" t="s">
        <v>62</v>
      </c>
      <c r="E3" s="11">
        <v>0.14696759259259301</v>
      </c>
      <c r="F3" s="12">
        <f t="shared" ref="F3:F42" si="1">(IF(E3-C3&lt;0,"24:00"-C3+E3,E3-C3))*24</f>
        <v>3.1900000000000102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3.1900000000000102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46116.136980787</v>
      </c>
      <c r="B4" s="5" t="s">
        <v>73</v>
      </c>
      <c r="C4" s="11">
        <v>0.13697916666666701</v>
      </c>
      <c r="D4" s="11" t="s">
        <v>62</v>
      </c>
      <c r="E4" s="11">
        <v>0.2228125</v>
      </c>
      <c r="F4" s="12">
        <f t="shared" si="1"/>
        <v>2.0599999999999916</v>
      </c>
      <c r="G4" s="13">
        <f t="shared" si="2"/>
        <v>0</v>
      </c>
      <c r="H4" s="13">
        <f t="shared" si="3"/>
        <v>2.0599999999999916</v>
      </c>
      <c r="I4" s="21" t="s">
        <v>64</v>
      </c>
      <c r="J4" s="22">
        <f>SUMIF(B:B,"西塔台管制席",F:F)+SUMIF(B:B,"东塔台管制席",F:F)</f>
        <v>29.025000000000016</v>
      </c>
      <c r="K4" s="23">
        <f>SUMIF(B:B,"西塔台管制席",G:G)+SUMIF(B:B,"东塔台管制席",G:G)</f>
        <v>13.736666666666689</v>
      </c>
      <c r="L4" s="23">
        <f>SUMIF(B:B,"西塔台管制席",H:H)+SUMIF(B:B,"东塔台管制席",H:H)</f>
        <v>15.288333333333327</v>
      </c>
      <c r="M4" s="19"/>
    </row>
    <row r="5" spans="1:16" ht="18.75" x14ac:dyDescent="0.25">
      <c r="A5" s="10">
        <f t="shared" ca="1" si="0"/>
        <v>46116.222848842597</v>
      </c>
      <c r="B5" s="5" t="s">
        <v>76</v>
      </c>
      <c r="C5" s="11">
        <v>0.222847222222222</v>
      </c>
      <c r="D5" s="11" t="s">
        <v>62</v>
      </c>
      <c r="E5" s="11">
        <v>0.30140046296296302</v>
      </c>
      <c r="F5" s="12">
        <f t="shared" si="1"/>
        <v>1.8852777777777845</v>
      </c>
      <c r="G5" s="13">
        <f t="shared" si="2"/>
        <v>0</v>
      </c>
      <c r="H5" s="13">
        <f t="shared" si="3"/>
        <v>1.8852777777777845</v>
      </c>
      <c r="I5" s="21" t="s">
        <v>65</v>
      </c>
      <c r="J5" s="22">
        <f>SUMIF(B:B,"西塔台协调席",F:F)+SUMIF(B:B,"东塔台协调席",F:F)</f>
        <v>14.796388888888888</v>
      </c>
      <c r="K5" s="23">
        <f>SUMIF(B:B,"西塔台协调席",G:G)+SUMIF(B:B,"东塔台协调席",G:G)</f>
        <v>8.7713888888888878</v>
      </c>
      <c r="L5" s="23">
        <f>SUMIF(B:B,"西塔台协调席",H:H)+SUMIF(B:B,"东塔台协调席",H:H)</f>
        <v>6.0250000000000004</v>
      </c>
      <c r="M5" s="19"/>
    </row>
    <row r="6" spans="1:16" ht="18.75" x14ac:dyDescent="0.25">
      <c r="A6" s="10">
        <f t="shared" ca="1" si="0"/>
        <v>46119.012236111099</v>
      </c>
      <c r="B6" s="5" t="s">
        <v>86</v>
      </c>
      <c r="C6" s="11">
        <v>1.22685185185185E-2</v>
      </c>
      <c r="D6" s="11" t="s">
        <v>62</v>
      </c>
      <c r="E6" s="11">
        <v>9.9756944444444398E-2</v>
      </c>
      <c r="F6" s="12">
        <f t="shared" si="1"/>
        <v>2.0997222222222218</v>
      </c>
      <c r="G6" s="13">
        <f t="shared" si="2"/>
        <v>0</v>
      </c>
      <c r="H6" s="13">
        <f t="shared" si="3"/>
        <v>2.0997222222222218</v>
      </c>
      <c r="I6" s="21" t="s">
        <v>66</v>
      </c>
      <c r="J6" s="22">
        <f>SUMIF(B:B,"放行席",F:F)</f>
        <v>2.0874999999999839</v>
      </c>
      <c r="K6" s="23">
        <f>SUMIF(B:B,"放行席",G:G)</f>
        <v>0</v>
      </c>
      <c r="L6" s="23">
        <f>SUMIF(B:B,"放行席",H:H)</f>
        <v>2.0874999999999839</v>
      </c>
      <c r="M6" s="19"/>
    </row>
    <row r="7" spans="1:16" ht="18.75" x14ac:dyDescent="0.25">
      <c r="A7" s="10">
        <f t="shared" ca="1" si="0"/>
        <v>46119.099806481499</v>
      </c>
      <c r="B7" s="5" t="s">
        <v>86</v>
      </c>
      <c r="C7" s="11">
        <v>9.9803240740740706E-2</v>
      </c>
      <c r="D7" s="11" t="s">
        <v>62</v>
      </c>
      <c r="E7" s="11">
        <v>0.14549768518518499</v>
      </c>
      <c r="F7" s="12">
        <f t="shared" si="1"/>
        <v>1.0966666666666629</v>
      </c>
      <c r="G7" s="13">
        <f t="shared" si="2"/>
        <v>0</v>
      </c>
      <c r="H7" s="13">
        <f t="shared" si="3"/>
        <v>1.0966666666666629</v>
      </c>
      <c r="I7" s="21" t="s">
        <v>67</v>
      </c>
      <c r="J7" s="22">
        <f>SUMIF(B:B,"地面席",F:F)</f>
        <v>2.1230555555555517</v>
      </c>
      <c r="K7" s="23">
        <f>SUMIF(B:B,"地面席",G:G)</f>
        <v>0</v>
      </c>
      <c r="L7" s="23">
        <f>SUMIF(B:B,"地面席",H:H)</f>
        <v>2.1230555555555517</v>
      </c>
      <c r="M7" s="19"/>
    </row>
    <row r="8" spans="1:16" ht="18.75" x14ac:dyDescent="0.25">
      <c r="A8" s="10">
        <f t="shared" ca="1" si="0"/>
        <v>46119.951465393497</v>
      </c>
      <c r="B8" s="5" t="s">
        <v>86</v>
      </c>
      <c r="C8" s="11">
        <v>0.95145833333333296</v>
      </c>
      <c r="D8" s="11" t="s">
        <v>62</v>
      </c>
      <c r="E8" s="11">
        <v>0.12285879629629599</v>
      </c>
      <c r="F8" s="12">
        <f t="shared" si="1"/>
        <v>4.113611111111112</v>
      </c>
      <c r="G8" s="13">
        <f t="shared" si="2"/>
        <v>1.165000000000008</v>
      </c>
      <c r="H8" s="13">
        <f t="shared" si="3"/>
        <v>2.948611111111104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46122.628337152797</v>
      </c>
      <c r="B9" s="5" t="s">
        <v>84</v>
      </c>
      <c r="C9" s="11">
        <v>0.62833333333333297</v>
      </c>
      <c r="D9" s="11" t="s">
        <v>62</v>
      </c>
      <c r="E9" s="11">
        <v>0.64799768518518497</v>
      </c>
      <c r="F9" s="12">
        <f t="shared" si="1"/>
        <v>0.47194444444444805</v>
      </c>
      <c r="G9" s="13">
        <f t="shared" si="2"/>
        <v>0.47194444444444805</v>
      </c>
      <c r="H9" s="13">
        <f t="shared" si="3"/>
        <v>0</v>
      </c>
      <c r="I9" s="21" t="s">
        <v>69</v>
      </c>
      <c r="J9" s="22">
        <f>SUMIF(B:B,"航班调度席",F:F)</f>
        <v>3.7455555555555611</v>
      </c>
      <c r="K9" s="23">
        <f>SUMIF(B:B,"航班调度席",G:G)</f>
        <v>3.7455555555555611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46122.647802314801</v>
      </c>
      <c r="B10" s="5" t="s">
        <v>75</v>
      </c>
      <c r="C10" s="11">
        <v>0.64780092592592597</v>
      </c>
      <c r="D10" s="11" t="s">
        <v>62</v>
      </c>
      <c r="E10" s="11">
        <v>0.77706018518518505</v>
      </c>
      <c r="F10" s="12">
        <f t="shared" si="1"/>
        <v>3.1022222222222178</v>
      </c>
      <c r="G10" s="13">
        <f t="shared" si="2"/>
        <v>3.1022222222222178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46122.855429861098</v>
      </c>
      <c r="B11" s="5" t="s">
        <v>76</v>
      </c>
      <c r="C11" s="11">
        <v>0.85542824074074097</v>
      </c>
      <c r="D11" s="11" t="s">
        <v>62</v>
      </c>
      <c r="E11" s="11">
        <v>0.95841435185185198</v>
      </c>
      <c r="F11" s="12">
        <f t="shared" si="1"/>
        <v>2.471666666666664</v>
      </c>
      <c r="G11" s="13">
        <f t="shared" si="2"/>
        <v>2.471666666666664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46123.666206134301</v>
      </c>
      <c r="B12" s="5" t="s">
        <v>84</v>
      </c>
      <c r="C12" s="11">
        <v>0.66620370370370396</v>
      </c>
      <c r="D12" s="11" t="s">
        <v>62</v>
      </c>
      <c r="E12" s="11">
        <v>0.69807870370370395</v>
      </c>
      <c r="F12" s="12">
        <f t="shared" si="1"/>
        <v>0.76499999999999968</v>
      </c>
      <c r="G12" s="13">
        <f t="shared" si="2"/>
        <v>0.76499999999999968</v>
      </c>
      <c r="H12" s="13">
        <f t="shared" si="3"/>
        <v>0</v>
      </c>
      <c r="I12" s="27" t="s">
        <v>72</v>
      </c>
      <c r="J12" s="28">
        <f>SUMIF(B:B,"管制教员席",F:F)</f>
        <v>9.5744444444444419</v>
      </c>
      <c r="K12" s="29">
        <f>SUMIF(B:B,"管制教员席",G:G)</f>
        <v>3.4294444444444538</v>
      </c>
      <c r="L12" s="29">
        <f>SUMIF(B:B,"管制教员席",H:H)</f>
        <v>6.1449999999999889</v>
      </c>
      <c r="M12" s="19"/>
    </row>
    <row r="13" spans="1:16" ht="18.75" x14ac:dyDescent="0.15">
      <c r="A13" s="10">
        <f t="shared" ca="1" si="0"/>
        <v>46123.703155671297</v>
      </c>
      <c r="B13" s="5" t="s">
        <v>75</v>
      </c>
      <c r="C13" s="11">
        <v>0.70314814814814797</v>
      </c>
      <c r="D13" s="11" t="s">
        <v>62</v>
      </c>
      <c r="E13" s="11">
        <v>0.77714120370370399</v>
      </c>
      <c r="F13" s="12">
        <f t="shared" si="1"/>
        <v>1.7758333333333445</v>
      </c>
      <c r="G13" s="13">
        <f t="shared" si="2"/>
        <v>1.7758333333333445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46123.8144278935</v>
      </c>
      <c r="B14" s="5" t="s">
        <v>75</v>
      </c>
      <c r="C14" s="11">
        <v>0.814421296296296</v>
      </c>
      <c r="D14" s="11" t="s">
        <v>62</v>
      </c>
      <c r="E14" s="11">
        <v>0.95896990740740795</v>
      </c>
      <c r="F14" s="12">
        <f t="shared" si="1"/>
        <v>3.4691666666666867</v>
      </c>
      <c r="G14" s="13">
        <f t="shared" si="2"/>
        <v>3.4691666666666867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46124.293910069398</v>
      </c>
      <c r="B15" s="5" t="s">
        <v>75</v>
      </c>
      <c r="C15" s="11">
        <v>0.29390046296296302</v>
      </c>
      <c r="D15" s="11" t="s">
        <v>62</v>
      </c>
      <c r="E15" s="11">
        <v>0.36671296296296302</v>
      </c>
      <c r="F15" s="12">
        <f t="shared" si="1"/>
        <v>1.7475000000000001</v>
      </c>
      <c r="G15" s="13">
        <f t="shared" si="2"/>
        <v>0.80111111111112088</v>
      </c>
      <c r="H15" s="13">
        <f t="shared" si="3"/>
        <v>0.94638888888887918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46127.013052083297</v>
      </c>
      <c r="B16" s="5" t="s">
        <v>73</v>
      </c>
      <c r="C16" s="11">
        <v>1.30439814814815E-2</v>
      </c>
      <c r="D16" s="11" t="s">
        <v>62</v>
      </c>
      <c r="E16" s="11">
        <v>0.14737268518518501</v>
      </c>
      <c r="F16" s="12">
        <f t="shared" si="1"/>
        <v>3.2238888888888839</v>
      </c>
      <c r="G16" s="13">
        <f t="shared" si="2"/>
        <v>0</v>
      </c>
      <c r="H16" s="13">
        <f t="shared" si="3"/>
        <v>3.2238888888888839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46127.626015046299</v>
      </c>
      <c r="B17" s="5" t="s">
        <v>86</v>
      </c>
      <c r="C17" s="11">
        <v>0.62600694444444405</v>
      </c>
      <c r="D17" s="11" t="s">
        <v>62</v>
      </c>
      <c r="E17" s="11">
        <v>0.72035879629629596</v>
      </c>
      <c r="F17" s="12">
        <f t="shared" si="1"/>
        <v>2.2644444444444458</v>
      </c>
      <c r="G17" s="13">
        <f t="shared" si="2"/>
        <v>2.2644444444444458</v>
      </c>
      <c r="H17" s="13">
        <f t="shared" si="3"/>
        <v>0</v>
      </c>
      <c r="I17" s="35" t="s">
        <v>78</v>
      </c>
      <c r="J17" s="36">
        <f>J4+J5+J6+J7+J10</f>
        <v>48.031944444444441</v>
      </c>
      <c r="K17" s="37">
        <f>K4+K5+K6+K7+K10</f>
        <v>22.508055555555579</v>
      </c>
      <c r="L17" s="38">
        <f>L4+L5+L6+L7+L10</f>
        <v>25.523888888888862</v>
      </c>
      <c r="M17" s="39"/>
    </row>
    <row r="18" spans="1:13" ht="20.25" x14ac:dyDescent="0.25">
      <c r="A18" s="10">
        <f t="shared" ca="1" si="0"/>
        <v>46128.138770717604</v>
      </c>
      <c r="B18" s="5" t="s">
        <v>82</v>
      </c>
      <c r="C18" s="11">
        <v>0.138761574074074</v>
      </c>
      <c r="D18" s="11" t="s">
        <v>62</v>
      </c>
      <c r="E18" s="11">
        <v>0.22722222222222199</v>
      </c>
      <c r="F18" s="12">
        <f t="shared" si="1"/>
        <v>2.1230555555555517</v>
      </c>
      <c r="G18" s="13">
        <f t="shared" si="2"/>
        <v>0</v>
      </c>
      <c r="H18" s="13">
        <f t="shared" si="3"/>
        <v>2.1230555555555517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46131.131699999998</v>
      </c>
      <c r="B19" s="5" t="s">
        <v>83</v>
      </c>
      <c r="C19" s="11">
        <v>0.13168981481481501</v>
      </c>
      <c r="D19" s="11" t="s">
        <v>62</v>
      </c>
      <c r="E19" s="11">
        <v>0.21866898148148101</v>
      </c>
      <c r="F19" s="12">
        <f t="shared" si="1"/>
        <v>2.0874999999999839</v>
      </c>
      <c r="G19" s="13">
        <f t="shared" si="2"/>
        <v>0</v>
      </c>
      <c r="H19" s="13">
        <f t="shared" si="3"/>
        <v>2.0874999999999839</v>
      </c>
      <c r="I19" s="35" t="s">
        <v>79</v>
      </c>
      <c r="J19" s="36">
        <f t="shared" ref="J19:L19" si="6">J12</f>
        <v>9.5744444444444419</v>
      </c>
      <c r="K19" s="37">
        <f t="shared" si="6"/>
        <v>3.4294444444444538</v>
      </c>
      <c r="L19" s="38">
        <f t="shared" si="6"/>
        <v>6.1449999999999889</v>
      </c>
      <c r="M19" s="39"/>
    </row>
    <row r="20" spans="1:13" ht="20.25" x14ac:dyDescent="0.15">
      <c r="A20" s="10">
        <f t="shared" ca="1" si="0"/>
        <v>46131.218738425901</v>
      </c>
      <c r="B20" s="5" t="s">
        <v>75</v>
      </c>
      <c r="C20" s="11">
        <v>0.21873842592592599</v>
      </c>
      <c r="D20" s="11" t="s">
        <v>62</v>
      </c>
      <c r="E20" s="11">
        <v>0.29994212962963002</v>
      </c>
      <c r="F20" s="12">
        <f t="shared" si="1"/>
        <v>1.9488888888888967</v>
      </c>
      <c r="G20" s="13">
        <f t="shared" si="2"/>
        <v>0</v>
      </c>
      <c r="H20" s="13">
        <f t="shared" si="3"/>
        <v>1.9488888888888967</v>
      </c>
      <c r="I20" s="40" t="s">
        <v>80</v>
      </c>
      <c r="J20" s="65">
        <f>J16+J17+J18+J19</f>
        <v>57.606388888888887</v>
      </c>
      <c r="K20" s="66"/>
      <c r="L20" s="67"/>
      <c r="M20" s="41"/>
    </row>
    <row r="21" spans="1:13" ht="20.25" x14ac:dyDescent="0.25">
      <c r="A21" s="10">
        <f t="shared" ca="1" si="0"/>
        <v>46134.627018518499</v>
      </c>
      <c r="B21" s="5" t="s">
        <v>84</v>
      </c>
      <c r="C21" s="11">
        <v>0.62701388888888898</v>
      </c>
      <c r="D21" s="11" t="s">
        <v>62</v>
      </c>
      <c r="E21" s="11">
        <v>0.73153935185185204</v>
      </c>
      <c r="F21" s="12">
        <f t="shared" si="1"/>
        <v>2.5086111111111133</v>
      </c>
      <c r="G21" s="13">
        <f t="shared" si="2"/>
        <v>2.5086111111111133</v>
      </c>
      <c r="H21" s="13">
        <f t="shared" si="3"/>
        <v>0</v>
      </c>
      <c r="I21" s="42" t="s">
        <v>4</v>
      </c>
      <c r="J21" s="43">
        <f>SUM(J8:J9)</f>
        <v>3.7455555555555611</v>
      </c>
      <c r="K21" s="37">
        <f>SUM(K8:K9)</f>
        <v>3.7455555555555611</v>
      </c>
      <c r="L21" s="38">
        <f>SUM(L8:L9)</f>
        <v>0</v>
      </c>
      <c r="M21" s="44"/>
    </row>
    <row r="22" spans="1:13" ht="18.75" x14ac:dyDescent="0.15">
      <c r="A22" s="10">
        <f t="shared" ca="1" si="0"/>
        <v>46134.856295833299</v>
      </c>
      <c r="B22" s="5" t="s">
        <v>75</v>
      </c>
      <c r="C22" s="11">
        <v>0.856296296296296</v>
      </c>
      <c r="D22" s="11" t="s">
        <v>62</v>
      </c>
      <c r="E22" s="11">
        <v>0.95864583333333298</v>
      </c>
      <c r="F22" s="12">
        <f t="shared" si="1"/>
        <v>2.4563888888888874</v>
      </c>
      <c r="G22" s="13">
        <f t="shared" si="2"/>
        <v>2.4563888888888874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46135.293096180598</v>
      </c>
      <c r="B23" s="5" t="s">
        <v>76</v>
      </c>
      <c r="C23" s="11">
        <v>0.29309027777777802</v>
      </c>
      <c r="D23" s="11" t="s">
        <v>62</v>
      </c>
      <c r="E23" s="11">
        <v>0.42362268518518498</v>
      </c>
      <c r="F23" s="12">
        <f t="shared" si="1"/>
        <v>3.132777777777767</v>
      </c>
      <c r="G23" s="13">
        <f t="shared" si="2"/>
        <v>2.1669444444444479</v>
      </c>
      <c r="H23" s="13">
        <f t="shared" si="3"/>
        <v>0.96583333333331911</v>
      </c>
      <c r="I23"/>
      <c r="J23"/>
    </row>
    <row r="24" spans="1:13" ht="18.75" x14ac:dyDescent="0.15">
      <c r="A24" s="10">
        <f t="shared" ca="1" si="0"/>
        <v>46135.522484374997</v>
      </c>
      <c r="B24" s="5" t="s">
        <v>75</v>
      </c>
      <c r="C24" s="11">
        <v>0.522476851851852</v>
      </c>
      <c r="D24" s="11" t="s">
        <v>62</v>
      </c>
      <c r="E24" s="11">
        <v>0.61130787037037004</v>
      </c>
      <c r="F24" s="12">
        <f t="shared" si="1"/>
        <v>2.1319444444444331</v>
      </c>
      <c r="G24" s="13">
        <f t="shared" si="2"/>
        <v>2.1319444444444331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46135.688970717601</v>
      </c>
      <c r="B25" s="5" t="s">
        <v>76</v>
      </c>
      <c r="C25" s="11">
        <v>0.68896990740740705</v>
      </c>
      <c r="D25" s="11" t="s">
        <v>62</v>
      </c>
      <c r="E25" s="11">
        <v>0.86116898148148102</v>
      </c>
      <c r="F25" s="12">
        <f t="shared" si="1"/>
        <v>4.1327777777777754</v>
      </c>
      <c r="G25" s="13">
        <f t="shared" si="2"/>
        <v>4.1327777777777754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46139.1366815972</v>
      </c>
      <c r="B26" s="5" t="s">
        <v>75</v>
      </c>
      <c r="C26" s="11">
        <v>0.136678240740741</v>
      </c>
      <c r="D26" s="11" t="s">
        <v>62</v>
      </c>
      <c r="E26" s="11">
        <v>0.29997685185185202</v>
      </c>
      <c r="F26" s="12">
        <f t="shared" si="1"/>
        <v>3.9191666666666647</v>
      </c>
      <c r="G26" s="13">
        <f t="shared" si="2"/>
        <v>0</v>
      </c>
      <c r="H26" s="13">
        <f t="shared" si="3"/>
        <v>3.9191666666666647</v>
      </c>
      <c r="I26"/>
      <c r="J26"/>
    </row>
    <row r="27" spans="1:13" ht="18.75" x14ac:dyDescent="0.15">
      <c r="A27" s="10">
        <f t="shared" ca="1" si="0"/>
        <v>46140.012858564798</v>
      </c>
      <c r="B27" s="5" t="s">
        <v>81</v>
      </c>
      <c r="C27" s="11">
        <v>1.28587962962963E-2</v>
      </c>
      <c r="D27" s="11" t="s">
        <v>62</v>
      </c>
      <c r="E27" s="11">
        <v>0.14510416666666701</v>
      </c>
      <c r="F27" s="12">
        <f t="shared" si="1"/>
        <v>3.173888888888897</v>
      </c>
      <c r="G27" s="13">
        <f t="shared" si="2"/>
        <v>0</v>
      </c>
      <c r="H27" s="13">
        <f t="shared" si="3"/>
        <v>3.173888888888897</v>
      </c>
      <c r="I27"/>
      <c r="J27"/>
    </row>
    <row r="28" spans="1:13" ht="18.75" x14ac:dyDescent="0.15">
      <c r="A28" s="10"/>
      <c r="B28" s="5"/>
      <c r="C28" s="11"/>
      <c r="D28" s="11"/>
      <c r="E28" s="11"/>
      <c r="F28" s="12"/>
      <c r="G28" s="13"/>
      <c r="H28" s="13"/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46115.140253009296</v>
      </c>
      <c r="B3" s="5" t="s">
        <v>82</v>
      </c>
      <c r="C3" s="11">
        <v>0.140243055555556</v>
      </c>
      <c r="D3" s="11" t="s">
        <v>62</v>
      </c>
      <c r="E3" s="11">
        <v>0.218055555555556</v>
      </c>
      <c r="F3" s="12">
        <f t="shared" ref="F3:F42" si="1">(IF(E3-C3&lt;0,"24:00"-C3+E3,E3-C3))*24</f>
        <v>1.8675000000000002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1.8675000000000002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46116.131361805601</v>
      </c>
      <c r="B4" s="5" t="s">
        <v>83</v>
      </c>
      <c r="C4" s="11">
        <v>0.13135416666666699</v>
      </c>
      <c r="D4" s="11" t="s">
        <v>62</v>
      </c>
      <c r="E4" s="11">
        <v>0.21693287037037001</v>
      </c>
      <c r="F4" s="12">
        <f t="shared" si="1"/>
        <v>2.0538888888888724</v>
      </c>
      <c r="G4" s="13">
        <f t="shared" si="2"/>
        <v>0</v>
      </c>
      <c r="H4" s="13">
        <f t="shared" si="3"/>
        <v>2.0538888888888724</v>
      </c>
      <c r="I4" s="21" t="s">
        <v>64</v>
      </c>
      <c r="J4" s="22">
        <f>SUMIF(B:B,"西塔台管制席",F:F)+SUMIF(B:B,"东塔台管制席",F:F)</f>
        <v>26.114166666666666</v>
      </c>
      <c r="K4" s="23">
        <f>SUMIF(B:B,"西塔台管制席",G:G)+SUMIF(B:B,"东塔台管制席",G:G)</f>
        <v>14.97333333333334</v>
      </c>
      <c r="L4" s="23">
        <f>SUMIF(B:B,"西塔台管制席",H:H)+SUMIF(B:B,"东塔台管制席",H:H)</f>
        <v>11.140833333333326</v>
      </c>
      <c r="M4" s="19"/>
    </row>
    <row r="5" spans="1:16" ht="18.75" x14ac:dyDescent="0.25">
      <c r="A5" s="10">
        <f t="shared" ca="1" si="0"/>
        <v>46119.137407060203</v>
      </c>
      <c r="B5" s="5" t="s">
        <v>82</v>
      </c>
      <c r="C5" s="11">
        <v>0.13740740740740701</v>
      </c>
      <c r="D5" s="11" t="s">
        <v>62</v>
      </c>
      <c r="E5" s="11">
        <v>0.20706018518518499</v>
      </c>
      <c r="F5" s="12">
        <f t="shared" si="1"/>
        <v>1.6716666666666715</v>
      </c>
      <c r="G5" s="13">
        <f t="shared" si="2"/>
        <v>0</v>
      </c>
      <c r="H5" s="13">
        <f t="shared" si="3"/>
        <v>1.6716666666666715</v>
      </c>
      <c r="I5" s="21" t="s">
        <v>65</v>
      </c>
      <c r="J5" s="22">
        <f>SUMIF(B:B,"西塔台协调席",F:F)+SUMIF(B:B,"东塔台协调席",F:F)</f>
        <v>24.834166666666604</v>
      </c>
      <c r="K5" s="23">
        <f>SUMIF(B:B,"西塔台协调席",G:G)+SUMIF(B:B,"东塔台协调席",G:G)</f>
        <v>16.015555555555533</v>
      </c>
      <c r="L5" s="23">
        <f>SUMIF(B:B,"西塔台协调席",H:H)+SUMIF(B:B,"东塔台协调席",H:H)</f>
        <v>8.8186111111110677</v>
      </c>
      <c r="M5" s="19"/>
    </row>
    <row r="6" spans="1:16" ht="18.75" x14ac:dyDescent="0.25">
      <c r="A6" s="10">
        <f t="shared" ca="1" si="0"/>
        <v>46119.951857870401</v>
      </c>
      <c r="B6" s="5" t="s">
        <v>76</v>
      </c>
      <c r="C6" s="11">
        <v>0.95185185185185195</v>
      </c>
      <c r="D6" s="11" t="s">
        <v>62</v>
      </c>
      <c r="E6" s="11">
        <v>0.12125</v>
      </c>
      <c r="F6" s="12">
        <f t="shared" si="1"/>
        <v>4.0655555555555534</v>
      </c>
      <c r="G6" s="13">
        <f t="shared" si="2"/>
        <v>1.1555555555555532</v>
      </c>
      <c r="H6" s="13">
        <f t="shared" si="3"/>
        <v>2.91</v>
      </c>
      <c r="I6" s="21" t="s">
        <v>66</v>
      </c>
      <c r="J6" s="22">
        <f>SUMIF(B:B,"放行席",F:F)</f>
        <v>2.0538888888888724</v>
      </c>
      <c r="K6" s="23">
        <f>SUMIF(B:B,"放行席",G:G)</f>
        <v>0</v>
      </c>
      <c r="L6" s="23">
        <f>SUMIF(B:B,"放行席",H:H)</f>
        <v>2.0538888888888724</v>
      </c>
      <c r="M6" s="19"/>
    </row>
    <row r="7" spans="1:16" ht="18.75" x14ac:dyDescent="0.25">
      <c r="A7" s="10"/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7.6886111111111273</v>
      </c>
      <c r="K7" s="23">
        <f>SUMIF(B:B,"地面席",G:G)</f>
        <v>0</v>
      </c>
      <c r="L7" s="23">
        <f>SUMIF(B:B,"地面席",H:H)</f>
        <v>7.6886111111111273</v>
      </c>
      <c r="M7" s="19"/>
    </row>
    <row r="8" spans="1:16" ht="18.75" x14ac:dyDescent="0.25">
      <c r="A8" s="10">
        <f t="shared" ca="1" si="0"/>
        <v>46122.375415162001</v>
      </c>
      <c r="B8" s="5" t="s">
        <v>84</v>
      </c>
      <c r="C8" s="11">
        <v>0.37554398148148099</v>
      </c>
      <c r="D8" s="11" t="s">
        <v>62</v>
      </c>
      <c r="E8" s="11">
        <v>0.48752314814814801</v>
      </c>
      <c r="F8" s="12">
        <f t="shared" si="1"/>
        <v>2.6875000000000084</v>
      </c>
      <c r="G8" s="13">
        <f t="shared" si="2"/>
        <v>2.6875000000000084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46122.521181944401</v>
      </c>
      <c r="B9" s="5" t="s">
        <v>75</v>
      </c>
      <c r="C9" s="11">
        <v>0.52118055555555598</v>
      </c>
      <c r="D9" s="11" t="s">
        <v>62</v>
      </c>
      <c r="E9" s="11">
        <v>0.65402777777777799</v>
      </c>
      <c r="F9" s="12">
        <f t="shared" si="1"/>
        <v>3.1883333333333281</v>
      </c>
      <c r="G9" s="13">
        <f t="shared" si="2"/>
        <v>3.1883333333333281</v>
      </c>
      <c r="H9" s="13">
        <f t="shared" si="3"/>
        <v>0</v>
      </c>
      <c r="I9" s="21" t="s">
        <v>69</v>
      </c>
      <c r="J9" s="22">
        <f>SUMIF(B:B,"航班调度席",F:F)</f>
        <v>4.0036111111111206</v>
      </c>
      <c r="K9" s="23">
        <f>SUMIF(B:B,"航班调度席",G:G)</f>
        <v>4.0036111111111206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46122.654076851897</v>
      </c>
      <c r="B10" s="5" t="s">
        <v>84</v>
      </c>
      <c r="C10" s="11">
        <v>0.65407407407407403</v>
      </c>
      <c r="D10" s="11" t="s">
        <v>62</v>
      </c>
      <c r="E10" s="11">
        <v>0.67011574074074098</v>
      </c>
      <c r="F10" s="12">
        <f t="shared" si="1"/>
        <v>0.38500000000000689</v>
      </c>
      <c r="G10" s="13">
        <f t="shared" si="2"/>
        <v>0.38500000000000689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46122.771567361102</v>
      </c>
      <c r="B11" s="5" t="s">
        <v>76</v>
      </c>
      <c r="C11" s="11">
        <v>0.77156250000000004</v>
      </c>
      <c r="D11" s="11" t="s">
        <v>62</v>
      </c>
      <c r="E11" s="11">
        <v>0.86045138888888895</v>
      </c>
      <c r="F11" s="12">
        <f t="shared" si="1"/>
        <v>2.1333333333333337</v>
      </c>
      <c r="G11" s="13">
        <f t="shared" si="2"/>
        <v>2.1333333333333337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46123.521353588003</v>
      </c>
      <c r="B12" s="5" t="s">
        <v>76</v>
      </c>
      <c r="C12" s="11">
        <v>0.52135416666666701</v>
      </c>
      <c r="D12" s="11" t="s">
        <v>62</v>
      </c>
      <c r="E12" s="11">
        <v>0.65234953703703702</v>
      </c>
      <c r="F12" s="12">
        <f t="shared" si="1"/>
        <v>3.1438888888888803</v>
      </c>
      <c r="G12" s="13">
        <f t="shared" si="2"/>
        <v>3.1438888888888803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46123.854993981498</v>
      </c>
      <c r="B13" s="5" t="s">
        <v>76</v>
      </c>
      <c r="C13" s="11">
        <v>0.85498842592592605</v>
      </c>
      <c r="D13" s="11" t="s">
        <v>62</v>
      </c>
      <c r="E13" s="11">
        <v>0.95824074074074095</v>
      </c>
      <c r="F13" s="12">
        <f t="shared" si="1"/>
        <v>2.4780555555555575</v>
      </c>
      <c r="G13" s="13">
        <f t="shared" si="2"/>
        <v>2.4780555555555575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46124.293862731502</v>
      </c>
      <c r="B14" s="5" t="s">
        <v>76</v>
      </c>
      <c r="C14" s="11">
        <v>0.29385416666666703</v>
      </c>
      <c r="D14" s="11" t="s">
        <v>62</v>
      </c>
      <c r="E14" s="11">
        <v>0.36523148148148099</v>
      </c>
      <c r="F14" s="12">
        <f t="shared" si="1"/>
        <v>1.7130555555555351</v>
      </c>
      <c r="G14" s="13">
        <f t="shared" si="2"/>
        <v>0.76555555555555221</v>
      </c>
      <c r="H14" s="13">
        <f t="shared" si="3"/>
        <v>0.94749999999998291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46126.953387499998</v>
      </c>
      <c r="B15" s="5" t="s">
        <v>75</v>
      </c>
      <c r="C15" s="11">
        <v>0.95337962962962997</v>
      </c>
      <c r="D15" s="11" t="s">
        <v>62</v>
      </c>
      <c r="E15" s="11">
        <v>0.14715277777777799</v>
      </c>
      <c r="F15" s="12">
        <f t="shared" si="1"/>
        <v>4.6505555555555524</v>
      </c>
      <c r="G15" s="13">
        <f t="shared" si="2"/>
        <v>1.1188888888888808</v>
      </c>
      <c r="H15" s="13">
        <f t="shared" si="3"/>
        <v>3.5316666666666716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46128.139812731497</v>
      </c>
      <c r="B16" s="5" t="s">
        <v>73</v>
      </c>
      <c r="C16" s="11">
        <v>0.13980324074074099</v>
      </c>
      <c r="D16" s="11" t="s">
        <v>62</v>
      </c>
      <c r="E16" s="11">
        <v>0.36593750000000003</v>
      </c>
      <c r="F16" s="12">
        <f t="shared" si="1"/>
        <v>5.4272222222222171</v>
      </c>
      <c r="G16" s="13">
        <f t="shared" si="2"/>
        <v>0.78250000000000952</v>
      </c>
      <c r="H16" s="13">
        <f t="shared" si="3"/>
        <v>4.6447222222222075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46131.136866666697</v>
      </c>
      <c r="B17" s="5" t="s">
        <v>82</v>
      </c>
      <c r="C17" s="11">
        <v>0.13686342592592601</v>
      </c>
      <c r="D17" s="11" t="s">
        <v>62</v>
      </c>
      <c r="E17" s="11">
        <v>0.21718750000000001</v>
      </c>
      <c r="F17" s="12">
        <f t="shared" si="1"/>
        <v>1.9277777777777758</v>
      </c>
      <c r="G17" s="13">
        <f t="shared" si="2"/>
        <v>0</v>
      </c>
      <c r="H17" s="13">
        <f t="shared" si="3"/>
        <v>1.9277777777777758</v>
      </c>
      <c r="I17" s="35" t="s">
        <v>78</v>
      </c>
      <c r="J17" s="36">
        <f>J4+J5+J6+J7+J10</f>
        <v>60.690833333333266</v>
      </c>
      <c r="K17" s="37">
        <f>K4+K5+K6+K7+K10</f>
        <v>30.988888888888873</v>
      </c>
      <c r="L17" s="38">
        <f>L4+L5+L6+L7+L10</f>
        <v>29.701944444444393</v>
      </c>
      <c r="M17" s="39"/>
    </row>
    <row r="18" spans="1:13" ht="20.25" x14ac:dyDescent="0.25">
      <c r="A18" s="10">
        <f t="shared" ca="1" si="0"/>
        <v>46132.014704050896</v>
      </c>
      <c r="B18" s="5" t="s">
        <v>81</v>
      </c>
      <c r="C18" s="11">
        <v>1.46990740740741E-2</v>
      </c>
      <c r="D18" s="11" t="s">
        <v>62</v>
      </c>
      <c r="E18" s="11">
        <v>0.13837962962962999</v>
      </c>
      <c r="F18" s="12">
        <f t="shared" si="1"/>
        <v>2.9683333333333413</v>
      </c>
      <c r="G18" s="13">
        <f t="shared" si="2"/>
        <v>0</v>
      </c>
      <c r="H18" s="13">
        <f t="shared" si="3"/>
        <v>2.9683333333333413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46134.520115161999</v>
      </c>
      <c r="B19" s="5" t="s">
        <v>75</v>
      </c>
      <c r="C19" s="11">
        <v>0.52011574074074096</v>
      </c>
      <c r="D19" s="11" t="s">
        <v>62</v>
      </c>
      <c r="E19" s="11">
        <v>0.63791666666666702</v>
      </c>
      <c r="F19" s="12">
        <f t="shared" si="1"/>
        <v>2.8272222222222254</v>
      </c>
      <c r="G19" s="13">
        <f t="shared" si="2"/>
        <v>2.8272222222222254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46134.747745601897</v>
      </c>
      <c r="B20" s="5" t="s">
        <v>76</v>
      </c>
      <c r="C20" s="11">
        <v>0.74774305555555598</v>
      </c>
      <c r="D20" s="11" t="s">
        <v>62</v>
      </c>
      <c r="E20" s="11">
        <v>0.85930555555555599</v>
      </c>
      <c r="F20" s="12">
        <f t="shared" si="1"/>
        <v>2.6775000000000002</v>
      </c>
      <c r="G20" s="13">
        <f t="shared" si="2"/>
        <v>2.6775000000000002</v>
      </c>
      <c r="H20" s="13">
        <f t="shared" si="3"/>
        <v>0</v>
      </c>
      <c r="I20" s="40" t="s">
        <v>80</v>
      </c>
      <c r="J20" s="65">
        <f>J16+J17+J18+J19</f>
        <v>60.690833333333266</v>
      </c>
      <c r="K20" s="66"/>
      <c r="L20" s="67"/>
      <c r="M20" s="41"/>
    </row>
    <row r="21" spans="1:13" ht="20.25" x14ac:dyDescent="0.25">
      <c r="A21" s="10">
        <f t="shared" ca="1" si="0"/>
        <v>46135.3773329861</v>
      </c>
      <c r="B21" s="5" t="s">
        <v>84</v>
      </c>
      <c r="C21" s="11">
        <v>0.37732638888888897</v>
      </c>
      <c r="D21" s="11" t="s">
        <v>62</v>
      </c>
      <c r="E21" s="11">
        <v>0.41612268518518503</v>
      </c>
      <c r="F21" s="12">
        <f t="shared" si="1"/>
        <v>0.93111111111110523</v>
      </c>
      <c r="G21" s="13">
        <f t="shared" si="2"/>
        <v>0.93111111111110523</v>
      </c>
      <c r="H21" s="13">
        <f t="shared" si="3"/>
        <v>0</v>
      </c>
      <c r="I21" s="42" t="s">
        <v>4</v>
      </c>
      <c r="J21" s="43">
        <f>SUM(J8:J9)</f>
        <v>4.0036111111111206</v>
      </c>
      <c r="K21" s="37">
        <f>SUM(K8:K9)</f>
        <v>4.0036111111111206</v>
      </c>
      <c r="L21" s="38">
        <f>SUM(L8:L9)</f>
        <v>0</v>
      </c>
      <c r="M21" s="44"/>
    </row>
    <row r="22" spans="1:13" ht="18.75" x14ac:dyDescent="0.15">
      <c r="A22" s="10">
        <f t="shared" ca="1" si="0"/>
        <v>46135.417695370401</v>
      </c>
      <c r="B22" s="5" t="s">
        <v>75</v>
      </c>
      <c r="C22" s="11">
        <v>0.41768518518518499</v>
      </c>
      <c r="D22" s="11" t="s">
        <v>62</v>
      </c>
      <c r="E22" s="11">
        <v>0.52734953703703702</v>
      </c>
      <c r="F22" s="12">
        <f t="shared" si="1"/>
        <v>2.6319444444444486</v>
      </c>
      <c r="G22" s="13">
        <f t="shared" si="2"/>
        <v>2.6319444444444486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46135.604992361099</v>
      </c>
      <c r="B23" s="5" t="s">
        <v>76</v>
      </c>
      <c r="C23" s="11">
        <v>0.60498842592592605</v>
      </c>
      <c r="D23" s="11" t="s">
        <v>62</v>
      </c>
      <c r="E23" s="11">
        <v>0.69424768518518498</v>
      </c>
      <c r="F23" s="12">
        <f t="shared" si="1"/>
        <v>2.1422222222222143</v>
      </c>
      <c r="G23" s="13">
        <f t="shared" si="2"/>
        <v>2.1422222222222143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46135.856218981498</v>
      </c>
      <c r="B24" s="5" t="s">
        <v>75</v>
      </c>
      <c r="C24" s="11">
        <v>0.85621527777777795</v>
      </c>
      <c r="D24" s="11" t="s">
        <v>62</v>
      </c>
      <c r="E24" s="11">
        <v>0.95703703703703702</v>
      </c>
      <c r="F24" s="12">
        <f t="shared" si="1"/>
        <v>2.4197222222222177</v>
      </c>
      <c r="G24" s="13">
        <f t="shared" si="2"/>
        <v>2.4197222222222177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46136.290864930597</v>
      </c>
      <c r="B25" s="5" t="s">
        <v>76</v>
      </c>
      <c r="C25" s="11">
        <v>0.29085648148148202</v>
      </c>
      <c r="D25" s="11" t="s">
        <v>62</v>
      </c>
      <c r="E25" s="11">
        <v>0.36523148148148099</v>
      </c>
      <c r="F25" s="12">
        <f t="shared" si="1"/>
        <v>1.7849999999999753</v>
      </c>
      <c r="G25" s="13">
        <f t="shared" si="2"/>
        <v>0.76555555555555221</v>
      </c>
      <c r="H25" s="13">
        <f t="shared" si="3"/>
        <v>1.0194444444444231</v>
      </c>
      <c r="I25"/>
      <c r="J25"/>
    </row>
    <row r="26" spans="1:13" ht="18.75" x14ac:dyDescent="0.15">
      <c r="A26" s="10">
        <f t="shared" ca="1" si="0"/>
        <v>46139.013990856503</v>
      </c>
      <c r="B26" s="5" t="s">
        <v>73</v>
      </c>
      <c r="C26" s="11">
        <v>1.3981481481481499E-2</v>
      </c>
      <c r="D26" s="11" t="s">
        <v>62</v>
      </c>
      <c r="E26" s="11">
        <v>9.7361111111111107E-2</v>
      </c>
      <c r="F26" s="12">
        <f t="shared" si="1"/>
        <v>2.0011111111111104</v>
      </c>
      <c r="G26" s="13">
        <f t="shared" si="2"/>
        <v>0</v>
      </c>
      <c r="H26" s="13">
        <f t="shared" si="3"/>
        <v>2.0011111111111104</v>
      </c>
      <c r="I26"/>
      <c r="J26"/>
    </row>
    <row r="27" spans="1:13" ht="18.75" x14ac:dyDescent="0.15">
      <c r="A27" s="10">
        <f t="shared" ca="1" si="0"/>
        <v>46139.0974011574</v>
      </c>
      <c r="B27" s="5" t="s">
        <v>75</v>
      </c>
      <c r="C27" s="11">
        <v>0.102824074074074</v>
      </c>
      <c r="D27" s="11" t="s">
        <v>62</v>
      </c>
      <c r="E27" s="11">
        <v>0.14296296296296301</v>
      </c>
      <c r="F27" s="12">
        <f t="shared" si="1"/>
        <v>0.96333333333333637</v>
      </c>
      <c r="G27" s="13">
        <f t="shared" si="2"/>
        <v>0</v>
      </c>
      <c r="H27" s="13">
        <f t="shared" si="3"/>
        <v>0.96333333333333637</v>
      </c>
      <c r="I27"/>
      <c r="J27"/>
    </row>
    <row r="28" spans="1:13" ht="18.75" x14ac:dyDescent="0.15">
      <c r="A28" s="10">
        <f t="shared" ca="1" si="0"/>
        <v>46139.875253009297</v>
      </c>
      <c r="B28" s="5" t="s">
        <v>75</v>
      </c>
      <c r="C28" s="11">
        <v>0.87524305555555504</v>
      </c>
      <c r="D28" s="11" t="s">
        <v>62</v>
      </c>
      <c r="E28" s="11">
        <v>0.95877314814814796</v>
      </c>
      <c r="F28" s="12">
        <f t="shared" si="1"/>
        <v>2.0047222222222301</v>
      </c>
      <c r="G28" s="13">
        <f t="shared" si="2"/>
        <v>2.0047222222222301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46140.1400707176</v>
      </c>
      <c r="B29" s="5" t="s">
        <v>82</v>
      </c>
      <c r="C29" s="11">
        <v>0.140069444444444</v>
      </c>
      <c r="D29" s="11" t="s">
        <v>62</v>
      </c>
      <c r="E29" s="11">
        <v>0.23263888888888901</v>
      </c>
      <c r="F29" s="12">
        <f t="shared" si="1"/>
        <v>2.22166666666668</v>
      </c>
      <c r="G29" s="13">
        <f t="shared" si="2"/>
        <v>0</v>
      </c>
      <c r="H29" s="13">
        <f t="shared" si="3"/>
        <v>2.22166666666668</v>
      </c>
      <c r="I29"/>
      <c r="J29"/>
    </row>
    <row r="30" spans="1:13" ht="18.75" x14ac:dyDescent="0.15">
      <c r="A30" s="10">
        <f t="shared" ca="1" si="0"/>
        <v>46140.2927829861</v>
      </c>
      <c r="B30" s="5" t="s">
        <v>81</v>
      </c>
      <c r="C30" s="11">
        <v>0.29277777777777803</v>
      </c>
      <c r="D30" s="11" t="s">
        <v>62</v>
      </c>
      <c r="E30" s="11">
        <v>0.36474537037037003</v>
      </c>
      <c r="F30" s="12">
        <f t="shared" si="1"/>
        <v>1.727222222222208</v>
      </c>
      <c r="G30" s="13">
        <f t="shared" si="2"/>
        <v>0.75388888888888905</v>
      </c>
      <c r="H30" s="13">
        <f t="shared" si="3"/>
        <v>0.97333333333331895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42"/>
  <sheetViews>
    <sheetView topLeftCell="A10" zoomScale="85" zoomScaleNormal="85" workbookViewId="0">
      <selection activeCell="O43" sqref="O4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46113.138587268499</v>
      </c>
      <c r="B3" s="5" t="s">
        <v>73</v>
      </c>
      <c r="C3" s="11">
        <v>0.13857638888888901</v>
      </c>
      <c r="D3" s="11" t="s">
        <v>62</v>
      </c>
      <c r="E3" s="11">
        <v>0.30552083333333302</v>
      </c>
      <c r="F3" s="12">
        <f t="shared" ref="F3:F42" si="1">(IF(E3-C3&lt;0,"24:00"-C3+E3,E3-C3))*24</f>
        <v>4.0066666666666562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4.0066666666666562</v>
      </c>
      <c r="I3" s="16" t="s">
        <v>63</v>
      </c>
      <c r="J3" s="17">
        <f>SUMIF(B:B,"带班主任",F:F)</f>
        <v>25.914166666666681</v>
      </c>
      <c r="K3" s="18">
        <f>SUMIF(B:B,"带班主任",G:G)</f>
        <v>22.83305555555561</v>
      </c>
      <c r="L3" s="18">
        <f>SUMIF(B:B,"带班主任",H:H)</f>
        <v>3.0811111111110696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46114.131375925899</v>
      </c>
      <c r="B4" s="5" t="s">
        <v>83</v>
      </c>
      <c r="C4" s="11">
        <v>0.131365740740741</v>
      </c>
      <c r="D4" s="11" t="s">
        <v>62</v>
      </c>
      <c r="E4" s="11">
        <v>0.23515046296296299</v>
      </c>
      <c r="F4" s="12">
        <f t="shared" si="1"/>
        <v>2.4908333333333275</v>
      </c>
      <c r="G4" s="13">
        <f t="shared" si="2"/>
        <v>0</v>
      </c>
      <c r="H4" s="13">
        <f t="shared" si="3"/>
        <v>2.4908333333333275</v>
      </c>
      <c r="I4" s="21" t="s">
        <v>64</v>
      </c>
      <c r="J4" s="22">
        <f>SUMIF(B:B,"西塔台管制席",F:F)+SUMIF(B:B,"东塔台管制席",F:F)</f>
        <v>31.038611111111067</v>
      </c>
      <c r="K4" s="23">
        <f>SUMIF(B:B,"西塔台管制席",G:G)+SUMIF(B:B,"东塔台管制席",G:G)</f>
        <v>23.200833333333264</v>
      </c>
      <c r="L4" s="23">
        <f>SUMIF(B:B,"西塔台管制席",H:H)+SUMIF(B:B,"东塔台管制席",H:H)</f>
        <v>7.837777777777803</v>
      </c>
      <c r="M4" s="19"/>
    </row>
    <row r="5" spans="1:16" ht="18.75" x14ac:dyDescent="0.25">
      <c r="A5" s="10">
        <f t="shared" ca="1" si="0"/>
        <v>46116.503522453699</v>
      </c>
      <c r="B5" s="5" t="s">
        <v>76</v>
      </c>
      <c r="C5" s="11">
        <v>0.50351851851851903</v>
      </c>
      <c r="D5" s="11" t="s">
        <v>62</v>
      </c>
      <c r="E5" s="11">
        <v>0.65019675925925902</v>
      </c>
      <c r="F5" s="12">
        <f t="shared" si="1"/>
        <v>3.5202777777777596</v>
      </c>
      <c r="G5" s="13">
        <f t="shared" si="2"/>
        <v>3.5202777777777596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20.471944444444361</v>
      </c>
      <c r="K5" s="23">
        <f>SUMIF(B:B,"西塔台协调席",G:G)+SUMIF(B:B,"东塔台协调席",G:G)</f>
        <v>11.578333333333298</v>
      </c>
      <c r="L5" s="23">
        <f>SUMIF(B:B,"西塔台协调席",H:H)+SUMIF(B:B,"东塔台协调席",H:H)</f>
        <v>8.8936111111110634</v>
      </c>
      <c r="M5" s="19"/>
    </row>
    <row r="6" spans="1:16" ht="18.75" x14ac:dyDescent="0.25">
      <c r="A6" s="10">
        <f t="shared" ca="1" si="0"/>
        <v>46116.750904050903</v>
      </c>
      <c r="B6" s="5" t="s">
        <v>75</v>
      </c>
      <c r="C6" s="11">
        <v>0.75090277777777803</v>
      </c>
      <c r="D6" s="11" t="s">
        <v>62</v>
      </c>
      <c r="E6" s="11">
        <v>0.88048611111111097</v>
      </c>
      <c r="F6" s="12">
        <f t="shared" si="1"/>
        <v>3.1099999999999905</v>
      </c>
      <c r="G6" s="13">
        <f t="shared" si="2"/>
        <v>3.1099999999999905</v>
      </c>
      <c r="H6" s="13">
        <f t="shared" si="3"/>
        <v>0</v>
      </c>
      <c r="I6" s="21" t="s">
        <v>66</v>
      </c>
      <c r="J6" s="22">
        <f>SUMIF(B:B,"放行席",F:F)</f>
        <v>2.4908333333333275</v>
      </c>
      <c r="K6" s="23">
        <f>SUMIF(B:B,"放行席",G:G)</f>
        <v>0</v>
      </c>
      <c r="L6" s="23">
        <f>SUMIF(B:B,"放行席",H:H)</f>
        <v>2.4908333333333275</v>
      </c>
      <c r="M6" s="19"/>
    </row>
    <row r="7" spans="1:16" ht="18.75" x14ac:dyDescent="0.25">
      <c r="A7" s="10">
        <f t="shared" ca="1" si="0"/>
        <v>46117.416169907403</v>
      </c>
      <c r="B7" s="5" t="s">
        <v>73</v>
      </c>
      <c r="C7" s="11">
        <v>0.41616898148148201</v>
      </c>
      <c r="D7" s="11" t="s">
        <v>62</v>
      </c>
      <c r="E7" s="11">
        <v>0.50407407407407401</v>
      </c>
      <c r="F7" s="12">
        <f t="shared" si="1"/>
        <v>2.1097222222222078</v>
      </c>
      <c r="G7" s="13">
        <f t="shared" si="2"/>
        <v>2.1097222222222078</v>
      </c>
      <c r="H7" s="13">
        <f t="shared" si="3"/>
        <v>0</v>
      </c>
      <c r="I7" s="21" t="s">
        <v>67</v>
      </c>
      <c r="J7" s="22">
        <f>SUMIF(B:B,"地面席",F:F)</f>
        <v>4.5069444444444251</v>
      </c>
      <c r="K7" s="23">
        <f>SUMIF(B:B,"地面席",G:G)</f>
        <v>0</v>
      </c>
      <c r="L7" s="23">
        <f>SUMIF(B:B,"地面席",H:H)</f>
        <v>4.5069444444444251</v>
      </c>
      <c r="M7" s="19"/>
    </row>
    <row r="8" spans="1:16" ht="18.75" x14ac:dyDescent="0.25">
      <c r="A8" s="10">
        <f t="shared" ca="1" si="0"/>
        <v>46117.625652661998</v>
      </c>
      <c r="B8" s="5" t="s">
        <v>81</v>
      </c>
      <c r="C8" s="11">
        <v>0.62564814814814795</v>
      </c>
      <c r="D8" s="11" t="s">
        <v>62</v>
      </c>
      <c r="E8" s="11">
        <v>0.71004629629629601</v>
      </c>
      <c r="F8" s="12">
        <f t="shared" si="1"/>
        <v>2.0255555555555533</v>
      </c>
      <c r="G8" s="13">
        <f t="shared" si="2"/>
        <v>2.0255555555555533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46117.725271411997</v>
      </c>
      <c r="B9" s="5" t="s">
        <v>81</v>
      </c>
      <c r="C9" s="11">
        <v>0.72526620370370398</v>
      </c>
      <c r="D9" s="11" t="s">
        <v>62</v>
      </c>
      <c r="E9" s="11">
        <v>0.74163194444444402</v>
      </c>
      <c r="F9" s="12">
        <f t="shared" si="1"/>
        <v>0.39277777777776102</v>
      </c>
      <c r="G9" s="13">
        <f t="shared" si="2"/>
        <v>0.39277777777776102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46117.741692361102</v>
      </c>
      <c r="B10" s="5" t="s">
        <v>76</v>
      </c>
      <c r="C10" s="11">
        <v>0.741689814814815</v>
      </c>
      <c r="D10" s="11" t="s">
        <v>62</v>
      </c>
      <c r="E10" s="11">
        <v>0.75590277777777803</v>
      </c>
      <c r="F10" s="12">
        <f t="shared" si="1"/>
        <v>0.34111111111111292</v>
      </c>
      <c r="G10" s="13">
        <f t="shared" si="2"/>
        <v>0.34111111111111292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46117.833884490698</v>
      </c>
      <c r="B11" s="5" t="s">
        <v>75</v>
      </c>
      <c r="C11" s="11">
        <v>0.83387731481481497</v>
      </c>
      <c r="D11" s="11" t="s">
        <v>62</v>
      </c>
      <c r="E11" s="11">
        <v>0.96362268518518501</v>
      </c>
      <c r="F11" s="12">
        <f t="shared" si="1"/>
        <v>3.1138888888888809</v>
      </c>
      <c r="G11" s="13">
        <f t="shared" si="2"/>
        <v>3.1138888888888809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46118.011199652799</v>
      </c>
      <c r="B12" s="5" t="s">
        <v>73</v>
      </c>
      <c r="C12" s="11">
        <v>1.1192129629629601E-2</v>
      </c>
      <c r="D12" s="11" t="s">
        <v>62</v>
      </c>
      <c r="E12" s="11">
        <v>1.12037037037037E-2</v>
      </c>
      <c r="F12" s="12">
        <f t="shared" si="1"/>
        <v>2.7777777777839019E-4</v>
      </c>
      <c r="G12" s="13">
        <f t="shared" si="2"/>
        <v>0</v>
      </c>
      <c r="H12" s="13">
        <f t="shared" si="3"/>
        <v>2.7777777777839019E-4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46118.298533449102</v>
      </c>
      <c r="B13" s="5" t="s">
        <v>76</v>
      </c>
      <c r="C13" s="11">
        <v>0.29870370370370403</v>
      </c>
      <c r="D13" s="11" t="s">
        <v>62</v>
      </c>
      <c r="E13" s="11">
        <v>0.357951388888889</v>
      </c>
      <c r="F13" s="12">
        <f t="shared" si="1"/>
        <v>1.4219444444444393</v>
      </c>
      <c r="G13" s="13">
        <f t="shared" si="2"/>
        <v>0.59083333333334442</v>
      </c>
      <c r="H13" s="13">
        <f t="shared" si="3"/>
        <v>0.83111111111109492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46121.013294907403</v>
      </c>
      <c r="B14" s="5" t="s">
        <v>81</v>
      </c>
      <c r="C14" s="11">
        <v>1.3287037037037E-2</v>
      </c>
      <c r="D14" s="11" t="s">
        <v>62</v>
      </c>
      <c r="E14" s="11">
        <v>0.126770833333333</v>
      </c>
      <c r="F14" s="12">
        <f t="shared" si="1"/>
        <v>2.7236111111111039</v>
      </c>
      <c r="G14" s="13">
        <f t="shared" si="2"/>
        <v>0</v>
      </c>
      <c r="H14" s="13">
        <f t="shared" si="3"/>
        <v>2.7236111111111039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46121.126798958299</v>
      </c>
      <c r="B15" s="5" t="s">
        <v>75</v>
      </c>
      <c r="C15" s="11">
        <v>0.12679398148148099</v>
      </c>
      <c r="D15" s="11" t="s">
        <v>62</v>
      </c>
      <c r="E15" s="11">
        <v>0.147800925925926</v>
      </c>
      <c r="F15" s="12">
        <f t="shared" si="1"/>
        <v>0.5041666666666802</v>
      </c>
      <c r="G15" s="13">
        <f t="shared" si="2"/>
        <v>0</v>
      </c>
      <c r="H15" s="13">
        <f t="shared" si="3"/>
        <v>0.5041666666666802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46126.138116087997</v>
      </c>
      <c r="B16" s="5" t="s">
        <v>82</v>
      </c>
      <c r="C16" s="11">
        <v>0.13811342592592599</v>
      </c>
      <c r="D16" s="11" t="s">
        <v>62</v>
      </c>
      <c r="E16" s="11">
        <v>0.22692129629629601</v>
      </c>
      <c r="F16" s="12">
        <f t="shared" si="1"/>
        <v>2.1313888888888806</v>
      </c>
      <c r="G16" s="13">
        <f t="shared" si="2"/>
        <v>0</v>
      </c>
      <c r="H16" s="13">
        <f t="shared" si="3"/>
        <v>2.1313888888888806</v>
      </c>
      <c r="I16" s="35" t="s">
        <v>63</v>
      </c>
      <c r="J16" s="36">
        <f t="shared" ref="J16:L16" si="4">J3</f>
        <v>25.914166666666681</v>
      </c>
      <c r="K16" s="37">
        <f t="shared" si="4"/>
        <v>22.83305555555561</v>
      </c>
      <c r="L16" s="38">
        <f t="shared" si="4"/>
        <v>3.0811111111110696</v>
      </c>
      <c r="M16" s="39"/>
    </row>
    <row r="17" spans="1:13" ht="20.25" x14ac:dyDescent="0.25">
      <c r="A17" s="10">
        <f t="shared" ca="1" si="0"/>
        <v>46126.226956597202</v>
      </c>
      <c r="B17" s="5" t="s">
        <v>76</v>
      </c>
      <c r="C17" s="11">
        <v>0.22695601851851899</v>
      </c>
      <c r="D17" s="11" t="s">
        <v>62</v>
      </c>
      <c r="E17" s="11">
        <v>0.304537037037037</v>
      </c>
      <c r="F17" s="12">
        <f t="shared" si="1"/>
        <v>1.8619444444444322</v>
      </c>
      <c r="G17" s="13">
        <f t="shared" si="2"/>
        <v>0</v>
      </c>
      <c r="H17" s="13">
        <f t="shared" si="3"/>
        <v>1.8619444444444322</v>
      </c>
      <c r="I17" s="35" t="s">
        <v>78</v>
      </c>
      <c r="J17" s="36">
        <f>J4+J5+J6+J7+J10</f>
        <v>58.508333333333184</v>
      </c>
      <c r="K17" s="37">
        <f>K4+K5+K6+K7+K10</f>
        <v>34.779166666666562</v>
      </c>
      <c r="L17" s="38">
        <f>L4+L5+L6+L7+L10</f>
        <v>23.729166666666618</v>
      </c>
      <c r="M17" s="39"/>
    </row>
    <row r="18" spans="1:13" ht="20.25" x14ac:dyDescent="0.25">
      <c r="A18" s="10">
        <f t="shared" ca="1" si="0"/>
        <v>46128.357572337998</v>
      </c>
      <c r="B18" s="5" t="s">
        <v>73</v>
      </c>
      <c r="C18" s="11">
        <v>0.35759259259259302</v>
      </c>
      <c r="D18" s="11" t="s">
        <v>62</v>
      </c>
      <c r="E18" s="11">
        <v>0.50657407407407395</v>
      </c>
      <c r="F18" s="12">
        <f t="shared" si="1"/>
        <v>3.5755555555555425</v>
      </c>
      <c r="G18" s="13">
        <f t="shared" si="2"/>
        <v>3.5755555555555425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46128.647123263901</v>
      </c>
      <c r="B19" s="5" t="s">
        <v>81</v>
      </c>
      <c r="C19" s="11">
        <v>0.64711805555555602</v>
      </c>
      <c r="D19" s="11" t="s">
        <v>62</v>
      </c>
      <c r="E19" s="11">
        <v>0.75356481481481496</v>
      </c>
      <c r="F19" s="12">
        <f t="shared" si="1"/>
        <v>2.5547222222222148</v>
      </c>
      <c r="G19" s="13">
        <f t="shared" si="2"/>
        <v>2.5547222222222148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46128.874618402799</v>
      </c>
      <c r="B20" s="5" t="s">
        <v>73</v>
      </c>
      <c r="C20" s="11">
        <v>0.87461805555555605</v>
      </c>
      <c r="D20" s="11" t="s">
        <v>62</v>
      </c>
      <c r="E20" s="11">
        <v>0.96445601851851803</v>
      </c>
      <c r="F20" s="12">
        <f t="shared" si="1"/>
        <v>2.1561111111110876</v>
      </c>
      <c r="G20" s="13">
        <f t="shared" si="2"/>
        <v>2.1561111111110876</v>
      </c>
      <c r="H20" s="13">
        <f t="shared" si="3"/>
        <v>0</v>
      </c>
      <c r="I20" s="40" t="s">
        <v>80</v>
      </c>
      <c r="J20" s="65">
        <f>J16+J17+J18+J19</f>
        <v>84.422499999999872</v>
      </c>
      <c r="K20" s="66"/>
      <c r="L20" s="67"/>
      <c r="M20" s="41"/>
    </row>
    <row r="21" spans="1:13" ht="20.25" x14ac:dyDescent="0.25">
      <c r="A21" s="10">
        <f t="shared" ca="1" si="0"/>
        <v>46129.298260185198</v>
      </c>
      <c r="B21" s="5" t="s">
        <v>76</v>
      </c>
      <c r="C21" s="11">
        <v>0.29825231481481501</v>
      </c>
      <c r="D21" s="11" t="s">
        <v>62</v>
      </c>
      <c r="E21" s="11">
        <v>0.42304398148148098</v>
      </c>
      <c r="F21" s="12">
        <f t="shared" si="1"/>
        <v>2.9949999999999832</v>
      </c>
      <c r="G21" s="13">
        <f t="shared" si="2"/>
        <v>2.1530555555555519</v>
      </c>
      <c r="H21" s="13">
        <f t="shared" si="3"/>
        <v>0.84194444444443128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46129.5070128472</v>
      </c>
      <c r="B22" s="5" t="s">
        <v>75</v>
      </c>
      <c r="C22" s="11">
        <v>0.50700231481481495</v>
      </c>
      <c r="D22" s="11" t="s">
        <v>62</v>
      </c>
      <c r="E22" s="11">
        <v>0.630891203703704</v>
      </c>
      <c r="F22" s="12">
        <f t="shared" si="1"/>
        <v>2.9733333333333372</v>
      </c>
      <c r="G22" s="13">
        <f t="shared" si="2"/>
        <v>2.9733333333333372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46133.012867708298</v>
      </c>
      <c r="B23" s="5" t="s">
        <v>81</v>
      </c>
      <c r="C23" s="11">
        <v>1.28587962962963E-2</v>
      </c>
      <c r="D23" s="11" t="s">
        <v>62</v>
      </c>
      <c r="E23" s="11">
        <v>0.122650462962963</v>
      </c>
      <c r="F23" s="12">
        <f t="shared" si="1"/>
        <v>2.6350000000000007</v>
      </c>
      <c r="G23" s="13">
        <f t="shared" si="2"/>
        <v>0</v>
      </c>
      <c r="H23" s="13">
        <f t="shared" si="3"/>
        <v>2.6350000000000007</v>
      </c>
      <c r="I23"/>
      <c r="J23"/>
    </row>
    <row r="24" spans="1:13" ht="18.75" x14ac:dyDescent="0.15">
      <c r="A24" s="10">
        <f t="shared" ca="1" si="0"/>
        <v>46133.1226908565</v>
      </c>
      <c r="B24" s="5" t="s">
        <v>75</v>
      </c>
      <c r="C24" s="11">
        <v>0.12268518518518499</v>
      </c>
      <c r="D24" s="11" t="s">
        <v>62</v>
      </c>
      <c r="E24" s="11">
        <v>0.144803240740741</v>
      </c>
      <c r="F24" s="12">
        <f t="shared" si="1"/>
        <v>0.53083333333334404</v>
      </c>
      <c r="G24" s="13">
        <f t="shared" si="2"/>
        <v>0</v>
      </c>
      <c r="H24" s="13">
        <f t="shared" si="3"/>
        <v>0.53083333333334404</v>
      </c>
      <c r="I24"/>
      <c r="J24"/>
    </row>
    <row r="25" spans="1:13" ht="18.75" x14ac:dyDescent="0.15">
      <c r="A25" s="10">
        <f t="shared" ca="1" si="0"/>
        <v>46133.575970254598</v>
      </c>
      <c r="B25" s="5" t="s">
        <v>75</v>
      </c>
      <c r="C25" s="11">
        <v>0.57596064814814796</v>
      </c>
      <c r="D25" s="11" t="s">
        <v>62</v>
      </c>
      <c r="E25" s="11">
        <v>0.60219907407407403</v>
      </c>
      <c r="F25" s="12">
        <f t="shared" si="1"/>
        <v>0.62972222222222562</v>
      </c>
      <c r="G25" s="13">
        <f t="shared" si="2"/>
        <v>0.62972222222222562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46133.957904166702</v>
      </c>
      <c r="B26" s="5" t="s">
        <v>75</v>
      </c>
      <c r="C26" s="11">
        <v>0.957893518518519</v>
      </c>
      <c r="D26" s="11" t="s">
        <v>62</v>
      </c>
      <c r="E26" s="11">
        <v>0.116493055555556</v>
      </c>
      <c r="F26" s="12">
        <f t="shared" si="1"/>
        <v>3.8063888888888879</v>
      </c>
      <c r="G26" s="13">
        <f t="shared" si="2"/>
        <v>1.0105555555555439</v>
      </c>
      <c r="H26" s="13">
        <f t="shared" si="3"/>
        <v>2.7958333333333441</v>
      </c>
      <c r="I26"/>
      <c r="J26"/>
    </row>
    <row r="27" spans="1:13" ht="18.75" x14ac:dyDescent="0.15">
      <c r="A27" s="10">
        <f t="shared" ca="1" si="0"/>
        <v>46136.702523726897</v>
      </c>
      <c r="B27" s="5" t="s">
        <v>61</v>
      </c>
      <c r="C27" s="11">
        <v>0.70252314814814798</v>
      </c>
      <c r="D27" s="11" t="s">
        <v>62</v>
      </c>
      <c r="E27" s="11">
        <v>0.85415509259259303</v>
      </c>
      <c r="F27" s="12">
        <f t="shared" si="1"/>
        <v>3.6391666666666813</v>
      </c>
      <c r="G27" s="13">
        <f t="shared" si="2"/>
        <v>3.6391666666666813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46137.139751157403</v>
      </c>
      <c r="B28" s="5" t="s">
        <v>82</v>
      </c>
      <c r="C28" s="11">
        <v>0.13980324074074099</v>
      </c>
      <c r="D28" s="11" t="s">
        <v>62</v>
      </c>
      <c r="E28" s="11">
        <v>0.238784722222222</v>
      </c>
      <c r="F28" s="12">
        <f t="shared" si="1"/>
        <v>2.3755555555555441</v>
      </c>
      <c r="G28" s="13">
        <f t="shared" si="2"/>
        <v>0</v>
      </c>
      <c r="H28" s="13">
        <f t="shared" si="3"/>
        <v>2.3755555555555441</v>
      </c>
      <c r="I28"/>
      <c r="J28"/>
    </row>
    <row r="29" spans="1:13" ht="18.75" x14ac:dyDescent="0.15">
      <c r="A29" s="10">
        <f t="shared" ca="1" si="0"/>
        <v>46137.626741088003</v>
      </c>
      <c r="B29" s="5" t="s">
        <v>75</v>
      </c>
      <c r="C29" s="11">
        <v>0.62673611111111105</v>
      </c>
      <c r="D29" s="11" t="s">
        <v>62</v>
      </c>
      <c r="E29" s="11">
        <v>0.76445601851851797</v>
      </c>
      <c r="F29" s="12">
        <f t="shared" si="1"/>
        <v>3.305277777777766</v>
      </c>
      <c r="G29" s="13">
        <f t="shared" si="2"/>
        <v>3.305277777777766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46137.837475231499</v>
      </c>
      <c r="B30" s="5" t="s">
        <v>61</v>
      </c>
      <c r="C30" s="11">
        <v>0.83329861111111103</v>
      </c>
      <c r="D30" s="11" t="s">
        <v>62</v>
      </c>
      <c r="E30" s="11">
        <v>0.94422453703703701</v>
      </c>
      <c r="F30" s="12">
        <f t="shared" si="1"/>
        <v>2.6622222222222236</v>
      </c>
      <c r="G30" s="13">
        <f t="shared" si="2"/>
        <v>2.6622222222222236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46138.286561921297</v>
      </c>
      <c r="B31" s="5" t="s">
        <v>61</v>
      </c>
      <c r="C31" s="11">
        <v>0.2865625</v>
      </c>
      <c r="D31" s="11" t="s">
        <v>62</v>
      </c>
      <c r="E31" s="11">
        <v>0.36321759259259301</v>
      </c>
      <c r="F31" s="12">
        <f t="shared" si="1"/>
        <v>1.8397222222222323</v>
      </c>
      <c r="G31" s="13">
        <f t="shared" si="2"/>
        <v>0.71722222222224064</v>
      </c>
      <c r="H31" s="13">
        <f t="shared" si="3"/>
        <v>1.1224999999999916</v>
      </c>
      <c r="I31"/>
      <c r="J31"/>
    </row>
    <row r="32" spans="1:13" ht="18.75" x14ac:dyDescent="0.15">
      <c r="A32" s="10">
        <f t="shared" ca="1" si="0"/>
        <v>46140.355955555598</v>
      </c>
      <c r="B32" s="5" t="s">
        <v>61</v>
      </c>
      <c r="C32" s="11">
        <v>0.355949074074074</v>
      </c>
      <c r="D32" s="11" t="s">
        <v>62</v>
      </c>
      <c r="E32" s="11">
        <v>0.54864583333333306</v>
      </c>
      <c r="F32" s="12">
        <f t="shared" si="1"/>
        <v>4.6247222222222177</v>
      </c>
      <c r="G32" s="13">
        <f t="shared" si="2"/>
        <v>4.6247222222222177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46140.646269097197</v>
      </c>
      <c r="B33" s="5" t="s">
        <v>61</v>
      </c>
      <c r="C33" s="11">
        <v>0.64626157407407403</v>
      </c>
      <c r="D33" s="11" t="s">
        <v>62</v>
      </c>
      <c r="E33" s="11">
        <v>0.75829861111111097</v>
      </c>
      <c r="F33" s="12">
        <f t="shared" si="1"/>
        <v>2.6888888888888864</v>
      </c>
      <c r="G33" s="13">
        <f t="shared" si="2"/>
        <v>2.6888888888888864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46140.875696643503</v>
      </c>
      <c r="B34" s="5" t="s">
        <v>73</v>
      </c>
      <c r="C34" s="11">
        <v>0.875694444444444</v>
      </c>
      <c r="D34" s="11" t="s">
        <v>62</v>
      </c>
      <c r="E34" s="11">
        <v>0.92638888888888904</v>
      </c>
      <c r="F34" s="12">
        <f t="shared" si="1"/>
        <v>1.216666666666681</v>
      </c>
      <c r="G34" s="13">
        <f t="shared" si="2"/>
        <v>1.216666666666681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46140.926730439802</v>
      </c>
      <c r="B35" s="5" t="s">
        <v>61</v>
      </c>
      <c r="C35" s="11">
        <v>0.92672453703703705</v>
      </c>
      <c r="D35" s="11" t="s">
        <v>62</v>
      </c>
      <c r="E35" s="11">
        <v>0.96515046296296303</v>
      </c>
      <c r="F35" s="12">
        <f t="shared" si="1"/>
        <v>0.92222222222222339</v>
      </c>
      <c r="G35" s="13">
        <f t="shared" si="2"/>
        <v>0.92222222222222339</v>
      </c>
      <c r="H35" s="13">
        <f t="shared" si="3"/>
        <v>0</v>
      </c>
      <c r="I35"/>
      <c r="J35"/>
    </row>
    <row r="36" spans="1:11" ht="18.75" x14ac:dyDescent="0.15">
      <c r="A36" s="10">
        <f t="shared" ca="1" si="0"/>
        <v>46141.2913541667</v>
      </c>
      <c r="B36" s="5" t="s">
        <v>61</v>
      </c>
      <c r="C36" s="11">
        <v>0.29135416666666702</v>
      </c>
      <c r="D36" s="11" t="s">
        <v>62</v>
      </c>
      <c r="E36" s="11">
        <v>0.366377314814815</v>
      </c>
      <c r="F36" s="12">
        <f t="shared" si="1"/>
        <v>1.8005555555555515</v>
      </c>
      <c r="G36" s="13">
        <f t="shared" si="2"/>
        <v>0.7930555555555685</v>
      </c>
      <c r="H36" s="13">
        <f t="shared" si="3"/>
        <v>1.007499999999983</v>
      </c>
      <c r="I36"/>
      <c r="J36"/>
    </row>
    <row r="37" spans="1:11" ht="18.75" x14ac:dyDescent="0.15">
      <c r="A37" s="10">
        <f t="shared" ca="1" si="0"/>
        <v>46141.381099189799</v>
      </c>
      <c r="B37" s="5" t="s">
        <v>61</v>
      </c>
      <c r="C37" s="11">
        <v>0.38109953703703697</v>
      </c>
      <c r="D37" s="11" t="s">
        <v>62</v>
      </c>
      <c r="E37" s="11">
        <v>0.417986111111111</v>
      </c>
      <c r="F37" s="12">
        <f t="shared" si="1"/>
        <v>0.88527777777777672</v>
      </c>
      <c r="G37" s="13">
        <f t="shared" si="2"/>
        <v>0.88527777777777672</v>
      </c>
      <c r="H37" s="13">
        <f t="shared" si="3"/>
        <v>0</v>
      </c>
      <c r="I37"/>
      <c r="J37"/>
    </row>
    <row r="38" spans="1:11" ht="18.75" x14ac:dyDescent="0.15">
      <c r="A38" s="10">
        <f t="shared" ca="1" si="0"/>
        <v>46141.507780555599</v>
      </c>
      <c r="B38" s="5" t="s">
        <v>61</v>
      </c>
      <c r="C38" s="11">
        <v>0.50777777777777799</v>
      </c>
      <c r="D38" s="11" t="s">
        <v>62</v>
      </c>
      <c r="E38" s="11">
        <v>0.63803240740740697</v>
      </c>
      <c r="F38" s="12">
        <f t="shared" si="1"/>
        <v>3.1261111111110953</v>
      </c>
      <c r="G38" s="13">
        <f t="shared" si="2"/>
        <v>3.1261111111110953</v>
      </c>
      <c r="H38" s="13">
        <f t="shared" si="3"/>
        <v>0</v>
      </c>
      <c r="I38" s="45"/>
      <c r="J38" s="46"/>
      <c r="K38" s="11"/>
    </row>
    <row r="39" spans="1:11" ht="18.75" x14ac:dyDescent="0.15">
      <c r="A39" s="10">
        <f t="shared" ca="1" si="0"/>
        <v>46141.753173495403</v>
      </c>
      <c r="B39" s="5" t="s">
        <v>61</v>
      </c>
      <c r="C39" s="11">
        <v>0.75317129629629598</v>
      </c>
      <c r="D39" s="11" t="s">
        <v>62</v>
      </c>
      <c r="E39" s="11">
        <v>0.84092592592592597</v>
      </c>
      <c r="F39" s="12">
        <f t="shared" si="1"/>
        <v>2.1061111111111197</v>
      </c>
      <c r="G39" s="13">
        <f t="shared" si="2"/>
        <v>2.1061111111111197</v>
      </c>
      <c r="H39" s="13">
        <f t="shared" si="3"/>
        <v>0</v>
      </c>
      <c r="I39" s="45"/>
      <c r="J39" s="46"/>
      <c r="K39" s="11"/>
    </row>
    <row r="40" spans="1:11" ht="18.75" x14ac:dyDescent="0.15">
      <c r="A40" s="10">
        <f t="shared" ca="1" si="0"/>
        <v>46142.293703935196</v>
      </c>
      <c r="B40" s="5" t="s">
        <v>61</v>
      </c>
      <c r="C40" s="11">
        <v>0.29370370370370402</v>
      </c>
      <c r="D40" s="11" t="s">
        <v>62</v>
      </c>
      <c r="E40" s="11">
        <v>0.36116898148148202</v>
      </c>
      <c r="F40" s="12">
        <f t="shared" si="1"/>
        <v>1.619166666666672</v>
      </c>
      <c r="G40" s="13">
        <f t="shared" si="2"/>
        <v>0.66805555555557694</v>
      </c>
      <c r="H40" s="13">
        <f t="shared" si="3"/>
        <v>0.95111111111109503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46113.0747603009</v>
      </c>
      <c r="B3" s="5" t="s">
        <v>61</v>
      </c>
      <c r="C3" s="11">
        <v>4.5138888888888898E-4</v>
      </c>
      <c r="D3" s="11" t="s">
        <v>62</v>
      </c>
      <c r="E3" s="11">
        <v>0.13597222222222199</v>
      </c>
      <c r="F3" s="12">
        <f t="shared" ref="F3:F42" si="1">(IF(E3-C3&lt;0,"24:00"-C3+E3,E3-C3))*24</f>
        <v>3.2524999999999951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3.2524999999999951</v>
      </c>
      <c r="I3" s="16" t="s">
        <v>63</v>
      </c>
      <c r="J3" s="17">
        <f>SUMIF(B:B,"带班主任",F:F)</f>
        <v>88.372499999999931</v>
      </c>
      <c r="K3" s="18">
        <f>SUMIF(B:B,"带班主任",G:G)</f>
        <v>63.630833333333307</v>
      </c>
      <c r="L3" s="18">
        <f>SUMIF(B:B,"带班主任",H:H)</f>
        <v>24.741666666666628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46113.5412840278</v>
      </c>
      <c r="B4" s="5" t="s">
        <v>61</v>
      </c>
      <c r="C4" s="11">
        <v>0.54127314814814798</v>
      </c>
      <c r="D4" s="11" t="s">
        <v>62</v>
      </c>
      <c r="E4" s="11">
        <v>0.65065972222222201</v>
      </c>
      <c r="F4" s="12">
        <f t="shared" si="1"/>
        <v>2.6252777777777769</v>
      </c>
      <c r="G4" s="13">
        <f t="shared" si="2"/>
        <v>2.6252777777777769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6.5977777777777913</v>
      </c>
      <c r="K4" s="23">
        <f>SUMIF(B:B,"西塔台管制席",G:G)+SUMIF(B:B,"东塔台管制席",G:G)</f>
        <v>0.96638888888889696</v>
      </c>
      <c r="L4" s="23">
        <f>SUMIF(B:B,"西塔台管制席",H:H)+SUMIF(B:B,"东塔台管制席",H:H)</f>
        <v>5.6313888888888943</v>
      </c>
      <c r="M4" s="19"/>
    </row>
    <row r="5" spans="1:16" ht="18.75" x14ac:dyDescent="0.25">
      <c r="A5" s="10">
        <f t="shared" ca="1" si="0"/>
        <v>46113.667123495397</v>
      </c>
      <c r="B5" s="5" t="s">
        <v>61</v>
      </c>
      <c r="C5" s="11">
        <v>0.66711805555555603</v>
      </c>
      <c r="D5" s="11" t="s">
        <v>62</v>
      </c>
      <c r="E5" s="11">
        <v>0.753078703703704</v>
      </c>
      <c r="F5" s="12">
        <f t="shared" si="1"/>
        <v>2.0630555555555512</v>
      </c>
      <c r="G5" s="13">
        <f t="shared" si="2"/>
        <v>2.0630555555555512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46113.760796875002</v>
      </c>
      <c r="B6" s="5" t="s">
        <v>61</v>
      </c>
      <c r="C6" s="11">
        <v>0.76078703703703698</v>
      </c>
      <c r="D6" s="11" t="s">
        <v>62</v>
      </c>
      <c r="E6" s="11">
        <v>0.79681712962963003</v>
      </c>
      <c r="F6" s="12">
        <f t="shared" si="1"/>
        <v>0.86472222222223305</v>
      </c>
      <c r="G6" s="13">
        <f t="shared" si="2"/>
        <v>0.86472222222223305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46113.959733217598</v>
      </c>
      <c r="B7" s="5" t="s">
        <v>75</v>
      </c>
      <c r="C7" s="11">
        <v>0.95973379629629596</v>
      </c>
      <c r="D7" s="11" t="s">
        <v>62</v>
      </c>
      <c r="E7" s="11">
        <v>0.105428240740741</v>
      </c>
      <c r="F7" s="12">
        <f t="shared" si="1"/>
        <v>3.4966666666666812</v>
      </c>
      <c r="G7" s="13">
        <f t="shared" si="2"/>
        <v>0.96638888888889696</v>
      </c>
      <c r="H7" s="13">
        <f t="shared" si="3"/>
        <v>2.5302777777777843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46116.352819560198</v>
      </c>
      <c r="B8" s="5" t="s">
        <v>61</v>
      </c>
      <c r="C8" s="11">
        <v>0.35281249999999997</v>
      </c>
      <c r="D8" s="11" t="s">
        <v>62</v>
      </c>
      <c r="E8" s="11">
        <v>0.45693287037037</v>
      </c>
      <c r="F8" s="12">
        <f t="shared" si="1"/>
        <v>2.4988888888888807</v>
      </c>
      <c r="G8" s="13">
        <f t="shared" si="2"/>
        <v>2.4988888888888807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46116.473204976799</v>
      </c>
      <c r="B9" s="5" t="s">
        <v>61</v>
      </c>
      <c r="C9" s="11">
        <v>0.47319444444444397</v>
      </c>
      <c r="D9" s="11" t="s">
        <v>62</v>
      </c>
      <c r="E9" s="11">
        <v>0.50756944444444396</v>
      </c>
      <c r="F9" s="12">
        <f t="shared" si="1"/>
        <v>0.82499999999999973</v>
      </c>
      <c r="G9" s="13">
        <f t="shared" si="2"/>
        <v>0.82499999999999973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46116.538156365699</v>
      </c>
      <c r="B10" s="5" t="s">
        <v>61</v>
      </c>
      <c r="C10" s="11">
        <v>0.53814814814814804</v>
      </c>
      <c r="D10" s="11" t="s">
        <v>62</v>
      </c>
      <c r="E10" s="11">
        <v>0.54674768518518502</v>
      </c>
      <c r="F10" s="12">
        <f t="shared" si="1"/>
        <v>0.2063888888888874</v>
      </c>
      <c r="G10" s="13">
        <f t="shared" si="2"/>
        <v>0.2063888888888874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46116.793345138904</v>
      </c>
      <c r="B11" s="5" t="s">
        <v>61</v>
      </c>
      <c r="C11" s="11">
        <v>0.79265046296296304</v>
      </c>
      <c r="D11" s="11" t="s">
        <v>62</v>
      </c>
      <c r="E11" s="11">
        <v>0.837627314814815</v>
      </c>
      <c r="F11" s="12">
        <f t="shared" si="1"/>
        <v>1.0794444444444471</v>
      </c>
      <c r="G11" s="13">
        <f t="shared" si="2"/>
        <v>1.0794444444444471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46116.895226736102</v>
      </c>
      <c r="B12" s="5" t="s">
        <v>61</v>
      </c>
      <c r="C12" s="11">
        <v>0.89521990740740698</v>
      </c>
      <c r="D12" s="11" t="s">
        <v>62</v>
      </c>
      <c r="E12" s="11">
        <v>0.94253472222222201</v>
      </c>
      <c r="F12" s="12">
        <f t="shared" si="1"/>
        <v>1.1355555555555608</v>
      </c>
      <c r="G12" s="13">
        <f t="shared" si="2"/>
        <v>1.1355555555555608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46117.294061921297</v>
      </c>
      <c r="B13" s="5" t="s">
        <v>61</v>
      </c>
      <c r="C13" s="11">
        <v>0.29196759259259297</v>
      </c>
      <c r="D13" s="11" t="s">
        <v>62</v>
      </c>
      <c r="E13" s="11">
        <v>0.35865740740740698</v>
      </c>
      <c r="F13" s="12">
        <f t="shared" si="1"/>
        <v>1.6005555555555362</v>
      </c>
      <c r="G13" s="13">
        <f t="shared" si="2"/>
        <v>0.60777777777777597</v>
      </c>
      <c r="H13" s="13">
        <f t="shared" si="3"/>
        <v>0.99277777777776022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46117.384764583301</v>
      </c>
      <c r="B14" s="5" t="s">
        <v>61</v>
      </c>
      <c r="C14" s="11">
        <v>0.38475694444444403</v>
      </c>
      <c r="D14" s="11" t="s">
        <v>62</v>
      </c>
      <c r="E14" s="11">
        <v>0.49005787037037002</v>
      </c>
      <c r="F14" s="12">
        <f t="shared" si="1"/>
        <v>2.5272222222222238</v>
      </c>
      <c r="G14" s="13">
        <f t="shared" si="2"/>
        <v>2.5272222222222238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46117.503449536998</v>
      </c>
      <c r="B15" s="5" t="s">
        <v>61</v>
      </c>
      <c r="C15" s="11">
        <v>0.50344907407407402</v>
      </c>
      <c r="D15" s="11" t="s">
        <v>62</v>
      </c>
      <c r="E15" s="11">
        <v>0.54768518518518505</v>
      </c>
      <c r="F15" s="12">
        <f t="shared" si="1"/>
        <v>1.0616666666666648</v>
      </c>
      <c r="G15" s="13">
        <f t="shared" si="2"/>
        <v>1.0616666666666648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46117.9381945602</v>
      </c>
      <c r="B16" s="5" t="s">
        <v>61</v>
      </c>
      <c r="C16" s="11">
        <v>0.938194444444444</v>
      </c>
      <c r="D16" s="11" t="s">
        <v>62</v>
      </c>
      <c r="E16" s="11">
        <v>0.13614583333333299</v>
      </c>
      <c r="F16" s="12">
        <f t="shared" si="1"/>
        <v>4.7508333333333361</v>
      </c>
      <c r="G16" s="13">
        <f t="shared" si="2"/>
        <v>1.4833333333333441</v>
      </c>
      <c r="H16" s="13">
        <f t="shared" si="3"/>
        <v>3.2674999999999921</v>
      </c>
      <c r="I16" s="35" t="s">
        <v>63</v>
      </c>
      <c r="J16" s="36">
        <f t="shared" ref="J16:L16" si="4">J3</f>
        <v>88.372499999999931</v>
      </c>
      <c r="K16" s="37">
        <f t="shared" si="4"/>
        <v>63.630833333333307</v>
      </c>
      <c r="L16" s="38">
        <f t="shared" si="4"/>
        <v>24.741666666666628</v>
      </c>
      <c r="M16" s="39"/>
    </row>
    <row r="17" spans="1:13" ht="20.25" x14ac:dyDescent="0.25">
      <c r="A17" s="10">
        <f t="shared" ca="1" si="0"/>
        <v>46120.356734490699</v>
      </c>
      <c r="B17" s="5" t="s">
        <v>61</v>
      </c>
      <c r="C17" s="11">
        <v>0.354641203703704</v>
      </c>
      <c r="D17" s="11" t="s">
        <v>62</v>
      </c>
      <c r="E17" s="11">
        <v>0.49525462962963002</v>
      </c>
      <c r="F17" s="12">
        <f t="shared" si="1"/>
        <v>3.3747222222222244</v>
      </c>
      <c r="G17" s="13">
        <f t="shared" si="2"/>
        <v>3.3747222222222244</v>
      </c>
      <c r="H17" s="13">
        <f t="shared" si="3"/>
        <v>0</v>
      </c>
      <c r="I17" s="35" t="s">
        <v>78</v>
      </c>
      <c r="J17" s="36">
        <f>J4+J5+J6+J7+J10</f>
        <v>6.5977777777777913</v>
      </c>
      <c r="K17" s="37">
        <f>K4+K5+K6+K7+K10</f>
        <v>0.96638888888889696</v>
      </c>
      <c r="L17" s="38">
        <f>L4+L5+L6+L7+L10</f>
        <v>5.6313888888888943</v>
      </c>
      <c r="M17" s="39"/>
    </row>
    <row r="18" spans="1:13" ht="20.25" x14ac:dyDescent="0.25">
      <c r="A18" s="10">
        <f t="shared" ca="1" si="0"/>
        <v>46120.525183564801</v>
      </c>
      <c r="B18" s="5" t="s">
        <v>61</v>
      </c>
      <c r="C18" s="11">
        <v>0.52517361111111105</v>
      </c>
      <c r="D18" s="11" t="s">
        <v>62</v>
      </c>
      <c r="E18" s="11">
        <v>0.56752314814814797</v>
      </c>
      <c r="F18" s="12">
        <f t="shared" si="1"/>
        <v>1.0163888888888861</v>
      </c>
      <c r="G18" s="13">
        <f t="shared" si="2"/>
        <v>1.0163888888888861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46120.772251736103</v>
      </c>
      <c r="B19" s="5" t="s">
        <v>61</v>
      </c>
      <c r="C19" s="11">
        <v>0.770856481481481</v>
      </c>
      <c r="D19" s="11" t="s">
        <v>62</v>
      </c>
      <c r="E19" s="11">
        <v>0.83958333333333302</v>
      </c>
      <c r="F19" s="12">
        <f t="shared" si="1"/>
        <v>1.6494444444444483</v>
      </c>
      <c r="G19" s="13">
        <f t="shared" si="2"/>
        <v>1.6494444444444483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46120.904662731497</v>
      </c>
      <c r="B20" s="5" t="s">
        <v>61</v>
      </c>
      <c r="C20" s="11">
        <v>0.90326388888888898</v>
      </c>
      <c r="D20" s="11" t="s">
        <v>62</v>
      </c>
      <c r="E20" s="11">
        <v>0.94188657407407395</v>
      </c>
      <c r="F20" s="12">
        <f t="shared" si="1"/>
        <v>0.92694444444443924</v>
      </c>
      <c r="G20" s="13">
        <f t="shared" si="2"/>
        <v>0.92694444444443924</v>
      </c>
      <c r="H20" s="13">
        <f t="shared" si="3"/>
        <v>0</v>
      </c>
      <c r="I20" s="40" t="s">
        <v>80</v>
      </c>
      <c r="J20" s="65">
        <f>J16+J17+J18+J19</f>
        <v>94.970277777777724</v>
      </c>
      <c r="K20" s="66"/>
      <c r="L20" s="67"/>
      <c r="M20" s="41"/>
    </row>
    <row r="21" spans="1:13" ht="20.25" x14ac:dyDescent="0.25">
      <c r="A21" s="10">
        <f t="shared" ca="1" si="0"/>
        <v>46121.3347790509</v>
      </c>
      <c r="B21" s="5" t="s">
        <v>61</v>
      </c>
      <c r="C21" s="11">
        <v>0.33337962962963003</v>
      </c>
      <c r="D21" s="11" t="s">
        <v>62</v>
      </c>
      <c r="E21" s="11">
        <v>0.54746527777777798</v>
      </c>
      <c r="F21" s="12">
        <f t="shared" si="1"/>
        <v>5.1380555555555514</v>
      </c>
      <c r="G21" s="13">
        <f t="shared" si="2"/>
        <v>5.1380555555555514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46121.939668518498</v>
      </c>
      <c r="B22" s="5" t="s">
        <v>61</v>
      </c>
      <c r="C22" s="11">
        <v>0.93758101851851805</v>
      </c>
      <c r="D22" s="11" t="s">
        <v>62</v>
      </c>
      <c r="E22" s="11">
        <v>0.13547453703703699</v>
      </c>
      <c r="F22" s="12">
        <f t="shared" si="1"/>
        <v>4.749444444444455</v>
      </c>
      <c r="G22" s="13">
        <f t="shared" si="2"/>
        <v>1.4980555555555672</v>
      </c>
      <c r="H22" s="13">
        <f t="shared" si="3"/>
        <v>3.2513888888888878</v>
      </c>
      <c r="I22"/>
      <c r="J22"/>
    </row>
    <row r="23" spans="1:13" ht="18.75" x14ac:dyDescent="0.15">
      <c r="A23" s="10">
        <f t="shared" ca="1" si="0"/>
        <v>46124.543932060202</v>
      </c>
      <c r="B23" s="5" t="s">
        <v>61</v>
      </c>
      <c r="C23" s="11">
        <v>0.54184027777777799</v>
      </c>
      <c r="D23" s="11" t="s">
        <v>62</v>
      </c>
      <c r="E23" s="11">
        <v>0.69818287037036997</v>
      </c>
      <c r="F23" s="12">
        <f t="shared" si="1"/>
        <v>3.7522222222222075</v>
      </c>
      <c r="G23" s="13">
        <f t="shared" si="2"/>
        <v>3.7522222222222075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46124.716603703702</v>
      </c>
      <c r="B24" s="5" t="s">
        <v>61</v>
      </c>
      <c r="C24" s="11">
        <v>0.716597222222222</v>
      </c>
      <c r="D24" s="11" t="s">
        <v>62</v>
      </c>
      <c r="E24" s="11">
        <v>0.78782407407407395</v>
      </c>
      <c r="F24" s="12">
        <f t="shared" si="1"/>
        <v>1.709444444444447</v>
      </c>
      <c r="G24" s="13">
        <f t="shared" si="2"/>
        <v>1.709444444444447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46125.133292939798</v>
      </c>
      <c r="B25" s="5" t="s">
        <v>61</v>
      </c>
      <c r="C25" s="11">
        <v>0.13328703703703701</v>
      </c>
      <c r="D25" s="11" t="s">
        <v>62</v>
      </c>
      <c r="E25" s="11">
        <v>0.296412037037037</v>
      </c>
      <c r="F25" s="12">
        <f t="shared" si="1"/>
        <v>3.915</v>
      </c>
      <c r="G25" s="13">
        <f t="shared" si="2"/>
        <v>0</v>
      </c>
      <c r="H25" s="13">
        <f t="shared" si="3"/>
        <v>3.915</v>
      </c>
      <c r="I25"/>
      <c r="J25"/>
    </row>
    <row r="26" spans="1:13" ht="18.75" x14ac:dyDescent="0.15">
      <c r="A26" s="10">
        <f t="shared" ca="1" si="0"/>
        <v>46125.804438425897</v>
      </c>
      <c r="B26" s="5" t="s">
        <v>61</v>
      </c>
      <c r="C26" s="11">
        <v>0.80234953703703704</v>
      </c>
      <c r="D26" s="11" t="s">
        <v>62</v>
      </c>
      <c r="E26" s="11">
        <v>0.84238425925925897</v>
      </c>
      <c r="F26" s="12">
        <f t="shared" si="1"/>
        <v>0.96083333333332632</v>
      </c>
      <c r="G26" s="13">
        <f t="shared" si="2"/>
        <v>0.96083333333332632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46125.8818733796</v>
      </c>
      <c r="B27" s="5" t="s">
        <v>61</v>
      </c>
      <c r="C27" s="11">
        <v>0.88186342592592604</v>
      </c>
      <c r="D27" s="11" t="s">
        <v>62</v>
      </c>
      <c r="E27" s="11">
        <v>0.94053240740740696</v>
      </c>
      <c r="F27" s="12">
        <f t="shared" si="1"/>
        <v>1.4080555555555421</v>
      </c>
      <c r="G27" s="13">
        <f t="shared" si="2"/>
        <v>1.4080555555555421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46128.939423958298</v>
      </c>
      <c r="B28" s="5" t="s">
        <v>61</v>
      </c>
      <c r="C28" s="11">
        <v>0.93803240740740701</v>
      </c>
      <c r="D28" s="11" t="s">
        <v>62</v>
      </c>
      <c r="E28" s="11">
        <v>0.137106481481481</v>
      </c>
      <c r="F28" s="12">
        <f t="shared" si="1"/>
        <v>4.7777777777777759</v>
      </c>
      <c r="G28" s="13">
        <f t="shared" si="2"/>
        <v>1.4872222222222318</v>
      </c>
      <c r="H28" s="13">
        <f t="shared" si="3"/>
        <v>3.2905555555555441</v>
      </c>
      <c r="I28"/>
      <c r="J28"/>
    </row>
    <row r="29" spans="1:13" ht="18.75" x14ac:dyDescent="0.15">
      <c r="A29" s="10">
        <f t="shared" ca="1" si="0"/>
        <v>46129.543157060201</v>
      </c>
      <c r="B29" s="5" t="s">
        <v>61</v>
      </c>
      <c r="C29" s="11">
        <v>0.54175925925925905</v>
      </c>
      <c r="D29" s="11" t="s">
        <v>62</v>
      </c>
      <c r="E29" s="11">
        <v>0.75608796296296299</v>
      </c>
      <c r="F29" s="12">
        <f t="shared" si="1"/>
        <v>5.1438888888888945</v>
      </c>
      <c r="G29" s="13">
        <f t="shared" si="2"/>
        <v>5.1438888888888945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46129.784347569403</v>
      </c>
      <c r="B30" s="5" t="s">
        <v>61</v>
      </c>
      <c r="C30" s="11">
        <v>0.78434027777777804</v>
      </c>
      <c r="D30" s="11" t="s">
        <v>62</v>
      </c>
      <c r="E30" s="11">
        <v>0.79633101851851895</v>
      </c>
      <c r="F30" s="12">
        <f t="shared" si="1"/>
        <v>0.28777777777778191</v>
      </c>
      <c r="G30" s="13">
        <f t="shared" si="2"/>
        <v>0.28777777777778191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46130.133579629597</v>
      </c>
      <c r="B31" s="5" t="s">
        <v>61</v>
      </c>
      <c r="C31" s="11">
        <v>0.13218750000000001</v>
      </c>
      <c r="D31" s="11" t="s">
        <v>62</v>
      </c>
      <c r="E31" s="11">
        <v>0.23883101851851901</v>
      </c>
      <c r="F31" s="12">
        <f t="shared" si="1"/>
        <v>2.559444444444456</v>
      </c>
      <c r="G31" s="13">
        <f t="shared" si="2"/>
        <v>0</v>
      </c>
      <c r="H31" s="13">
        <f t="shared" si="3"/>
        <v>2.559444444444456</v>
      </c>
      <c r="I31"/>
      <c r="J31"/>
    </row>
    <row r="32" spans="1:13" ht="18.75" x14ac:dyDescent="0.15">
      <c r="A32" s="10">
        <f t="shared" ca="1" si="0"/>
        <v>46133.0147005787</v>
      </c>
      <c r="B32" s="5" t="s">
        <v>73</v>
      </c>
      <c r="C32" s="11">
        <v>1.46990740740741E-2</v>
      </c>
      <c r="D32" s="11" t="s">
        <v>62</v>
      </c>
      <c r="E32" s="11">
        <v>0.14391203703703701</v>
      </c>
      <c r="F32" s="12">
        <f t="shared" si="1"/>
        <v>3.10111111111111</v>
      </c>
      <c r="G32" s="13">
        <f t="shared" si="2"/>
        <v>0</v>
      </c>
      <c r="H32" s="13">
        <f t="shared" si="3"/>
        <v>3.10111111111111</v>
      </c>
      <c r="I32"/>
      <c r="J32"/>
    </row>
    <row r="33" spans="1:11" ht="18.75" x14ac:dyDescent="0.15">
      <c r="A33" s="10">
        <f t="shared" ca="1" si="0"/>
        <v>46133.575894097201</v>
      </c>
      <c r="B33" s="5" t="s">
        <v>61</v>
      </c>
      <c r="C33" s="11">
        <v>0.57589120370370395</v>
      </c>
      <c r="D33" s="11" t="s">
        <v>62</v>
      </c>
      <c r="E33" s="11">
        <v>0.64137731481481497</v>
      </c>
      <c r="F33" s="12">
        <f t="shared" si="1"/>
        <v>1.5716666666666645</v>
      </c>
      <c r="G33" s="13">
        <f t="shared" si="2"/>
        <v>1.5716666666666645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46133.803252199097</v>
      </c>
      <c r="B34" s="5" t="s">
        <v>61</v>
      </c>
      <c r="C34" s="11">
        <v>0.80325231481481496</v>
      </c>
      <c r="D34" s="11" t="s">
        <v>62</v>
      </c>
      <c r="E34" s="11">
        <v>0.94635416666666705</v>
      </c>
      <c r="F34" s="12">
        <f t="shared" si="1"/>
        <v>3.4344444444444502</v>
      </c>
      <c r="G34" s="13">
        <f t="shared" si="2"/>
        <v>3.4344444444444502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46134.293305555599</v>
      </c>
      <c r="B35" s="5" t="s">
        <v>61</v>
      </c>
      <c r="C35" s="11">
        <v>0.293298611111111</v>
      </c>
      <c r="D35" s="11" t="s">
        <v>62</v>
      </c>
      <c r="E35" s="11">
        <v>0.35451388888888902</v>
      </c>
      <c r="F35" s="12">
        <f t="shared" si="1"/>
        <v>1.4691666666666725</v>
      </c>
      <c r="G35" s="13">
        <f t="shared" si="2"/>
        <v>0.50833333333334485</v>
      </c>
      <c r="H35" s="13">
        <f t="shared" si="3"/>
        <v>0.96083333333332765</v>
      </c>
      <c r="I35"/>
      <c r="J35"/>
    </row>
    <row r="36" spans="1:11" ht="18.75" x14ac:dyDescent="0.15">
      <c r="A36" s="10">
        <f t="shared" ca="1" si="0"/>
        <v>46136.353672338002</v>
      </c>
      <c r="B36" s="5" t="s">
        <v>61</v>
      </c>
      <c r="C36" s="11">
        <v>0.35158564814814802</v>
      </c>
      <c r="D36" s="11" t="s">
        <v>62</v>
      </c>
      <c r="E36" s="11">
        <v>0.48568287037037</v>
      </c>
      <c r="F36" s="12">
        <f t="shared" si="1"/>
        <v>3.2183333333333275</v>
      </c>
      <c r="G36" s="13">
        <f t="shared" si="2"/>
        <v>3.2183333333333275</v>
      </c>
      <c r="H36" s="13">
        <f t="shared" si="3"/>
        <v>0</v>
      </c>
      <c r="I36"/>
      <c r="J36"/>
    </row>
    <row r="37" spans="1:11" ht="18.75" x14ac:dyDescent="0.15">
      <c r="A37" s="10">
        <f t="shared" ca="1" si="0"/>
        <v>46136.504811111103</v>
      </c>
      <c r="B37" s="5" t="s">
        <v>61</v>
      </c>
      <c r="C37" s="11">
        <v>0.50480324074074101</v>
      </c>
      <c r="D37" s="11" t="s">
        <v>62</v>
      </c>
      <c r="E37" s="11">
        <v>0.543333333333333</v>
      </c>
      <c r="F37" s="12">
        <f t="shared" si="1"/>
        <v>0.92472222222220779</v>
      </c>
      <c r="G37" s="13">
        <f t="shared" si="2"/>
        <v>0.92472222222220779</v>
      </c>
      <c r="H37" s="13">
        <f t="shared" si="3"/>
        <v>0</v>
      </c>
      <c r="I37"/>
      <c r="J37"/>
    </row>
    <row r="38" spans="1:11" ht="18.75" x14ac:dyDescent="0.15">
      <c r="A38" s="10">
        <f t="shared" ca="1" si="0"/>
        <v>46136.834396759303</v>
      </c>
      <c r="B38" s="5" t="s">
        <v>61</v>
      </c>
      <c r="C38" s="11">
        <v>0.83438657407407402</v>
      </c>
      <c r="D38" s="11" t="s">
        <v>62</v>
      </c>
      <c r="E38" s="11">
        <v>0.83443287037036995</v>
      </c>
      <c r="F38" s="12">
        <f t="shared" si="1"/>
        <v>1.111111111102403E-3</v>
      </c>
      <c r="G38" s="13">
        <f t="shared" si="2"/>
        <v>1.111111111102403E-3</v>
      </c>
      <c r="H38" s="13">
        <f t="shared" si="3"/>
        <v>0</v>
      </c>
      <c r="I38" s="45"/>
      <c r="J38" s="46"/>
      <c r="K38" s="11"/>
    </row>
    <row r="39" spans="1:11" ht="18.75" x14ac:dyDescent="0.15">
      <c r="A39" s="10">
        <f t="shared" ca="1" si="0"/>
        <v>46136.844878009302</v>
      </c>
      <c r="B39" s="5" t="s">
        <v>61</v>
      </c>
      <c r="C39" s="11">
        <v>0.84487268518518499</v>
      </c>
      <c r="D39" s="11" t="s">
        <v>62</v>
      </c>
      <c r="E39" s="11">
        <v>0.94222222222222196</v>
      </c>
      <c r="F39" s="12">
        <f t="shared" si="1"/>
        <v>2.3363888888888873</v>
      </c>
      <c r="G39" s="13">
        <f t="shared" si="2"/>
        <v>2.3363888888888873</v>
      </c>
      <c r="H39" s="13">
        <f t="shared" si="3"/>
        <v>0</v>
      </c>
      <c r="I39" s="45"/>
      <c r="J39" s="46"/>
      <c r="K39" s="11"/>
    </row>
    <row r="40" spans="1:11" ht="18.75" x14ac:dyDescent="0.15">
      <c r="A40" s="10">
        <f t="shared" ca="1" si="0"/>
        <v>46137.334309375001</v>
      </c>
      <c r="B40" s="5" t="s">
        <v>61</v>
      </c>
      <c r="C40" s="11">
        <v>0.33430555555555602</v>
      </c>
      <c r="D40" s="11" t="s">
        <v>62</v>
      </c>
      <c r="E40" s="11">
        <v>0.52363425925925899</v>
      </c>
      <c r="F40" s="12">
        <f t="shared" si="1"/>
        <v>4.5438888888888709</v>
      </c>
      <c r="G40" s="13">
        <f t="shared" si="2"/>
        <v>4.5438888888888709</v>
      </c>
      <c r="H40" s="13">
        <f t="shared" si="3"/>
        <v>0</v>
      </c>
      <c r="I40" s="45"/>
      <c r="J40" s="46"/>
      <c r="K40" s="11"/>
    </row>
    <row r="41" spans="1:11" ht="18.75" x14ac:dyDescent="0.15">
      <c r="A41" s="10">
        <f t="shared" ca="1" si="0"/>
        <v>46137.538561805603</v>
      </c>
      <c r="B41" s="5" t="s">
        <v>61</v>
      </c>
      <c r="C41" s="11">
        <v>0.53855324074074096</v>
      </c>
      <c r="D41" s="11" t="s">
        <v>62</v>
      </c>
      <c r="E41" s="11">
        <v>0.55138888888888904</v>
      </c>
      <c r="F41" s="12">
        <f t="shared" si="1"/>
        <v>0.30805555555555397</v>
      </c>
      <c r="G41" s="13">
        <f t="shared" si="2"/>
        <v>0.30805555555555397</v>
      </c>
      <c r="H41" s="13">
        <f t="shared" si="3"/>
        <v>0</v>
      </c>
      <c r="I41" s="45"/>
      <c r="J41" s="46"/>
      <c r="K41" s="11"/>
    </row>
    <row r="42" spans="1:11" ht="18.75" x14ac:dyDescent="0.15">
      <c r="A42" s="10">
        <f t="shared" ca="1" si="0"/>
        <v>46137.939488194403</v>
      </c>
      <c r="B42" s="5" t="s">
        <v>61</v>
      </c>
      <c r="C42" s="11">
        <v>0.93947916666666698</v>
      </c>
      <c r="D42" s="11" t="s">
        <v>62</v>
      </c>
      <c r="E42" s="11">
        <v>0.135486111111111</v>
      </c>
      <c r="F42" s="12">
        <f t="shared" si="1"/>
        <v>4.7041666666666568</v>
      </c>
      <c r="G42" s="13">
        <f t="shared" si="2"/>
        <v>1.4524999999999926</v>
      </c>
      <c r="H42" s="13">
        <f t="shared" si="3"/>
        <v>3.2516666666666643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46114.9355146991</v>
      </c>
      <c r="B3" s="5" t="s">
        <v>61</v>
      </c>
      <c r="C3" s="11">
        <v>0.93550925925925899</v>
      </c>
      <c r="D3" s="11" t="s">
        <v>62</v>
      </c>
      <c r="E3" s="11">
        <v>0.138645833333333</v>
      </c>
      <c r="F3" s="12">
        <f t="shared" ref="F3:F42" si="1">(IF(E3-C3&lt;0,"24:00"-C3+E3,E3-C3))*24</f>
        <v>4.875277777777776</v>
      </c>
      <c r="G3" s="13">
        <f t="shared" ref="G3:G42" si="2">F3-H3</f>
        <v>1.5477777777777844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3.3274999999999917</v>
      </c>
      <c r="I3" s="16" t="s">
        <v>63</v>
      </c>
      <c r="J3" s="17">
        <f>SUMIF(B:B,"带班主任",F:F)</f>
        <v>59.044999999999973</v>
      </c>
      <c r="K3" s="18">
        <f>SUMIF(B:B,"带班主任",G:G)</f>
        <v>34.935000000000045</v>
      </c>
      <c r="L3" s="18">
        <f>SUMIF(B:B,"带班主任",H:H)</f>
        <v>24.109999999999918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46116.137718981503</v>
      </c>
      <c r="B4" s="5" t="s">
        <v>82</v>
      </c>
      <c r="C4" s="11">
        <v>0.13770833333333299</v>
      </c>
      <c r="D4" s="11" t="s">
        <v>62</v>
      </c>
      <c r="E4" s="11">
        <v>0.21675925925925901</v>
      </c>
      <c r="F4" s="12">
        <f t="shared" si="1"/>
        <v>1.8972222222222246</v>
      </c>
      <c r="G4" s="13">
        <f t="shared" si="2"/>
        <v>0</v>
      </c>
      <c r="H4" s="13">
        <f t="shared" si="3"/>
        <v>1.8972222222222246</v>
      </c>
      <c r="I4" s="21" t="s">
        <v>64</v>
      </c>
      <c r="J4" s="22">
        <f>SUMIF(B:B,"西塔台管制席",F:F)+SUMIF(B:B,"东塔台管制席",F:F)</f>
        <v>1.2063888888888972</v>
      </c>
      <c r="K4" s="23">
        <f>SUMIF(B:B,"西塔台管制席",G:G)+SUMIF(B:B,"东塔台管制席",G:G)</f>
        <v>1.2063888888888972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46120.139769675901</v>
      </c>
      <c r="B5" s="5" t="s">
        <v>82</v>
      </c>
      <c r="C5" s="11">
        <v>0.13768518518518499</v>
      </c>
      <c r="D5" s="11" t="s">
        <v>62</v>
      </c>
      <c r="E5" s="11">
        <v>0.22881944444444399</v>
      </c>
      <c r="F5" s="12">
        <f t="shared" si="1"/>
        <v>2.187222222222216</v>
      </c>
      <c r="G5" s="13">
        <f t="shared" si="2"/>
        <v>0</v>
      </c>
      <c r="H5" s="13">
        <f t="shared" si="3"/>
        <v>2.187222222222216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46122.353773842602</v>
      </c>
      <c r="B6" s="5" t="s">
        <v>61</v>
      </c>
      <c r="C6" s="11">
        <v>0.35377314814814798</v>
      </c>
      <c r="D6" s="11" t="s">
        <v>62</v>
      </c>
      <c r="E6" s="11">
        <v>0.54508101851851898</v>
      </c>
      <c r="F6" s="12">
        <f t="shared" si="1"/>
        <v>4.5913888888889041</v>
      </c>
      <c r="G6" s="13">
        <f t="shared" si="2"/>
        <v>4.5913888888889041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46122.785883680597</v>
      </c>
      <c r="B7" s="5" t="s">
        <v>61</v>
      </c>
      <c r="C7" s="11">
        <v>0.78587962962962998</v>
      </c>
      <c r="D7" s="11" t="s">
        <v>62</v>
      </c>
      <c r="E7" s="11">
        <v>0.94452546296296302</v>
      </c>
      <c r="F7" s="12">
        <f t="shared" si="1"/>
        <v>3.807499999999993</v>
      </c>
      <c r="G7" s="13">
        <f t="shared" si="2"/>
        <v>3.807499999999993</v>
      </c>
      <c r="H7" s="13">
        <f t="shared" si="3"/>
        <v>0</v>
      </c>
      <c r="I7" s="21" t="s">
        <v>67</v>
      </c>
      <c r="J7" s="22">
        <f>SUMIF(B:B,"地面席",F:F)</f>
        <v>4.0844444444444408</v>
      </c>
      <c r="K7" s="23">
        <f>SUMIF(B:B,"地面席",G:G)</f>
        <v>0</v>
      </c>
      <c r="L7" s="23">
        <f>SUMIF(B:B,"地面席",H:H)</f>
        <v>4.0844444444444408</v>
      </c>
      <c r="M7" s="19"/>
    </row>
    <row r="8" spans="1:16" ht="18.75" x14ac:dyDescent="0.25">
      <c r="A8" s="10">
        <f t="shared" ca="1" si="0"/>
        <v>46123.291022338002</v>
      </c>
      <c r="B8" s="5" t="s">
        <v>61</v>
      </c>
      <c r="C8" s="11">
        <v>0.29101851851851901</v>
      </c>
      <c r="D8" s="11" t="s">
        <v>62</v>
      </c>
      <c r="E8" s="11">
        <v>0.54663194444444396</v>
      </c>
      <c r="F8" s="12">
        <f t="shared" si="1"/>
        <v>6.1347222222221989</v>
      </c>
      <c r="G8" s="13">
        <f t="shared" si="2"/>
        <v>5.1191666666666631</v>
      </c>
      <c r="H8" s="13">
        <f t="shared" si="3"/>
        <v>1.0155555555555353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46123.935667592603</v>
      </c>
      <c r="B9" s="5" t="s">
        <v>61</v>
      </c>
      <c r="C9" s="11">
        <v>0.93565972222222205</v>
      </c>
      <c r="D9" s="11" t="s">
        <v>62</v>
      </c>
      <c r="E9" s="11">
        <v>0.13769675925925901</v>
      </c>
      <c r="F9" s="12">
        <f t="shared" si="1"/>
        <v>4.8488888888888866</v>
      </c>
      <c r="G9" s="13">
        <f t="shared" si="2"/>
        <v>1.5441666666666705</v>
      </c>
      <c r="H9" s="13">
        <f t="shared" si="3"/>
        <v>3.3047222222222161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46130.541151736099</v>
      </c>
      <c r="B10" s="5" t="s">
        <v>61</v>
      </c>
      <c r="C10" s="11">
        <v>0.54114583333333299</v>
      </c>
      <c r="D10" s="11" t="s">
        <v>62</v>
      </c>
      <c r="E10" s="11">
        <v>0.79738425925925904</v>
      </c>
      <c r="F10" s="12">
        <f t="shared" si="1"/>
        <v>6.1497222222222252</v>
      </c>
      <c r="G10" s="13">
        <f t="shared" si="2"/>
        <v>6.1497222222222252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46131.131364236098</v>
      </c>
      <c r="B11" s="5" t="s">
        <v>61</v>
      </c>
      <c r="C11" s="11">
        <v>0.13135416666666699</v>
      </c>
      <c r="D11" s="11" t="s">
        <v>62</v>
      </c>
      <c r="E11" s="11">
        <v>0.298796296296296</v>
      </c>
      <c r="F11" s="12">
        <f t="shared" si="1"/>
        <v>4.0186111111110963</v>
      </c>
      <c r="G11" s="13">
        <f t="shared" si="2"/>
        <v>0</v>
      </c>
      <c r="H11" s="13">
        <f t="shared" si="3"/>
        <v>4.0186111111110963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46131.790842361101</v>
      </c>
      <c r="B12" s="5" t="s">
        <v>61</v>
      </c>
      <c r="C12" s="11">
        <v>0.79083333333333306</v>
      </c>
      <c r="D12" s="11" t="s">
        <v>62</v>
      </c>
      <c r="E12" s="11">
        <v>0.94293981481481504</v>
      </c>
      <c r="F12" s="12">
        <f t="shared" si="1"/>
        <v>3.6505555555555675</v>
      </c>
      <c r="G12" s="13">
        <f t="shared" si="2"/>
        <v>3.6505555555555675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46132.290287152799</v>
      </c>
      <c r="B13" s="5" t="s">
        <v>61</v>
      </c>
      <c r="C13" s="11">
        <v>0.29027777777777802</v>
      </c>
      <c r="D13" s="11" t="s">
        <v>62</v>
      </c>
      <c r="E13" s="11">
        <v>0.36886574074074102</v>
      </c>
      <c r="F13" s="12">
        <f t="shared" si="1"/>
        <v>1.886111111111112</v>
      </c>
      <c r="G13" s="13">
        <f t="shared" si="2"/>
        <v>0.85277777777779296</v>
      </c>
      <c r="H13" s="13">
        <f t="shared" si="3"/>
        <v>1.033333333333319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46136.131579976798</v>
      </c>
      <c r="B14" s="5" t="s">
        <v>61</v>
      </c>
      <c r="C14" s="11">
        <v>0.13157407407407401</v>
      </c>
      <c r="D14" s="11" t="s">
        <v>62</v>
      </c>
      <c r="E14" s="11">
        <v>0.29740740740740701</v>
      </c>
      <c r="F14" s="12">
        <f t="shared" si="1"/>
        <v>3.979999999999992</v>
      </c>
      <c r="G14" s="13">
        <f t="shared" si="2"/>
        <v>0</v>
      </c>
      <c r="H14" s="13">
        <f t="shared" si="3"/>
        <v>3.979999999999992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46138.939489930599</v>
      </c>
      <c r="B15" s="5" t="s">
        <v>61</v>
      </c>
      <c r="C15" s="11">
        <v>0.93949074074074101</v>
      </c>
      <c r="D15" s="11" t="s">
        <v>62</v>
      </c>
      <c r="E15" s="11">
        <v>0.13846064814814801</v>
      </c>
      <c r="F15" s="12">
        <f t="shared" si="1"/>
        <v>4.7752777777777684</v>
      </c>
      <c r="G15" s="13">
        <f t="shared" si="2"/>
        <v>1.4522222222222161</v>
      </c>
      <c r="H15" s="13">
        <f t="shared" si="3"/>
        <v>3.3230555555555523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46139.5415734954</v>
      </c>
      <c r="B16" s="5" t="s">
        <v>61</v>
      </c>
      <c r="C16" s="11">
        <v>0.54156249999999995</v>
      </c>
      <c r="D16" s="11" t="s">
        <v>62</v>
      </c>
      <c r="E16" s="11">
        <v>0.80071759259259301</v>
      </c>
      <c r="F16" s="12">
        <f t="shared" si="1"/>
        <v>6.2197222222222335</v>
      </c>
      <c r="G16" s="13">
        <f t="shared" si="2"/>
        <v>6.2197222222222335</v>
      </c>
      <c r="H16" s="13">
        <f t="shared" si="3"/>
        <v>0</v>
      </c>
      <c r="I16" s="35" t="s">
        <v>63</v>
      </c>
      <c r="J16" s="36">
        <f t="shared" ref="J16:L16" si="4">J3</f>
        <v>59.044999999999973</v>
      </c>
      <c r="K16" s="37">
        <f t="shared" si="4"/>
        <v>34.935000000000045</v>
      </c>
      <c r="L16" s="38">
        <f t="shared" si="4"/>
        <v>24.109999999999918</v>
      </c>
      <c r="M16" s="39"/>
    </row>
    <row r="17" spans="1:13" ht="20.25" x14ac:dyDescent="0.25">
      <c r="A17" s="10">
        <f t="shared" ca="1" si="0"/>
        <v>46140.130004050901</v>
      </c>
      <c r="B17" s="5" t="s">
        <v>61</v>
      </c>
      <c r="C17" s="11">
        <v>0.13</v>
      </c>
      <c r="D17" s="11" t="s">
        <v>62</v>
      </c>
      <c r="E17" s="11">
        <v>0.30113425925925902</v>
      </c>
      <c r="F17" s="12">
        <f t="shared" si="1"/>
        <v>4.1072222222222159</v>
      </c>
      <c r="G17" s="13">
        <f t="shared" si="2"/>
        <v>0</v>
      </c>
      <c r="H17" s="13">
        <f t="shared" si="3"/>
        <v>4.1072222222222159</v>
      </c>
      <c r="I17" s="35" t="s">
        <v>78</v>
      </c>
      <c r="J17" s="36">
        <f>J4+J5+J6+J7+J10</f>
        <v>5.2908333333333379</v>
      </c>
      <c r="K17" s="37">
        <f>K4+K5+K6+K7+K10</f>
        <v>1.2063888888888972</v>
      </c>
      <c r="L17" s="38">
        <f>L4+L5+L6+L7+L10</f>
        <v>4.0844444444444408</v>
      </c>
      <c r="M17" s="39"/>
    </row>
    <row r="18" spans="1:13" ht="20.25" x14ac:dyDescent="0.25">
      <c r="A18" s="10">
        <f t="shared" ca="1" si="0"/>
        <v>46142.626610879597</v>
      </c>
      <c r="B18" s="5" t="s">
        <v>73</v>
      </c>
      <c r="C18" s="11">
        <v>0.94971064814814798</v>
      </c>
      <c r="D18" s="11" t="s">
        <v>62</v>
      </c>
      <c r="E18" s="11">
        <v>0.99997685185185203</v>
      </c>
      <c r="F18" s="12">
        <f t="shared" si="1"/>
        <v>1.2063888888888972</v>
      </c>
      <c r="G18" s="13">
        <f t="shared" si="2"/>
        <v>1.2063888888888972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64.335833333333312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42"/>
  <sheetViews>
    <sheetView zoomScale="85" zoomScaleNormal="85" workbookViewId="0">
      <selection activeCell="K25" sqref="K2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46113.139927662</v>
      </c>
      <c r="B3" s="5" t="s">
        <v>82</v>
      </c>
      <c r="C3" s="11">
        <v>0.13991898148148099</v>
      </c>
      <c r="D3" s="11" t="s">
        <v>62</v>
      </c>
      <c r="E3" s="11">
        <v>0.23403935185185201</v>
      </c>
      <c r="F3" s="12">
        <f t="shared" ref="F3:F42" si="1">(IF(E3-C3&lt;0,"24:00"-C3+E3,E3-C3))*24</f>
        <v>2.2588888888889045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2.2588888888889045</v>
      </c>
      <c r="I3" s="16" t="s">
        <v>63</v>
      </c>
      <c r="J3" s="17">
        <f>SUMIF(B:B,"带班主任",F:F)</f>
        <v>71.47444444444443</v>
      </c>
      <c r="K3" s="18">
        <f>SUMIF(B:B,"带班主任",G:G)</f>
        <v>38.112222222222236</v>
      </c>
      <c r="L3" s="18">
        <f>SUMIF(B:B,"带班主任",H:H)</f>
        <v>33.362222222222179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46114.1327415509</v>
      </c>
      <c r="B4" s="5" t="s">
        <v>61</v>
      </c>
      <c r="C4" s="11">
        <v>0.13273148148148101</v>
      </c>
      <c r="D4" s="11" t="s">
        <v>62</v>
      </c>
      <c r="E4" s="11">
        <v>0.30003472222222199</v>
      </c>
      <c r="F4" s="12">
        <f t="shared" si="1"/>
        <v>4.0152777777777837</v>
      </c>
      <c r="G4" s="13">
        <f t="shared" si="2"/>
        <v>0</v>
      </c>
      <c r="H4" s="13">
        <f t="shared" si="3"/>
        <v>4.0152777777777837</v>
      </c>
      <c r="I4" s="21" t="s">
        <v>64</v>
      </c>
      <c r="J4" s="22">
        <f>SUMIF(B:B,"西塔台管制席",F:F)+SUMIF(B:B,"东塔台管制席",F:F)</f>
        <v>6.8041666666667027</v>
      </c>
      <c r="K4" s="23">
        <f>SUMIF(B:B,"西塔台管制席",G:G)+SUMIF(B:B,"东塔台管制席",G:G)</f>
        <v>3.829166666666687</v>
      </c>
      <c r="L4" s="23">
        <f>SUMIF(B:B,"西塔台管制席",H:H)+SUMIF(B:B,"东塔台管制席",H:H)</f>
        <v>2.9750000000000156</v>
      </c>
      <c r="M4" s="19"/>
    </row>
    <row r="5" spans="1:16" ht="18.75" x14ac:dyDescent="0.25">
      <c r="A5" s="10">
        <f t="shared" ca="1" si="0"/>
        <v>46120.563289699101</v>
      </c>
      <c r="B5" s="5" t="s">
        <v>61</v>
      </c>
      <c r="C5" s="11">
        <v>0.56328703703703698</v>
      </c>
      <c r="D5" s="11" t="s">
        <v>62</v>
      </c>
      <c r="E5" s="11">
        <v>0.77812499999999996</v>
      </c>
      <c r="F5" s="12">
        <f t="shared" si="1"/>
        <v>5.1561111111111115</v>
      </c>
      <c r="G5" s="13">
        <f t="shared" si="2"/>
        <v>5.1561111111111115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3.5383333333333442</v>
      </c>
      <c r="K5" s="23">
        <f>SUMIF(B:B,"西塔台协调席",G:G)+SUMIF(B:B,"东塔台协调席",G:G)</f>
        <v>2.0213888888888887</v>
      </c>
      <c r="L5" s="23">
        <f>SUMIF(B:B,"西塔台协调席",H:H)+SUMIF(B:B,"东塔台协调席",H:H)</f>
        <v>1.5169444444444555</v>
      </c>
      <c r="M5" s="19"/>
    </row>
    <row r="6" spans="1:16" ht="18.75" x14ac:dyDescent="0.25">
      <c r="A6" s="10">
        <f t="shared" ca="1" si="0"/>
        <v>46121.132466782401</v>
      </c>
      <c r="B6" s="5" t="s">
        <v>61</v>
      </c>
      <c r="C6" s="11">
        <v>0.132465277777778</v>
      </c>
      <c r="D6" s="11" t="s">
        <v>62</v>
      </c>
      <c r="E6" s="11">
        <v>0.34087962962962998</v>
      </c>
      <c r="F6" s="12">
        <f t="shared" si="1"/>
        <v>5.0019444444444474</v>
      </c>
      <c r="G6" s="13">
        <f t="shared" si="2"/>
        <v>0.18111111111112788</v>
      </c>
      <c r="H6" s="13">
        <f t="shared" si="3"/>
        <v>4.8208333333333195</v>
      </c>
      <c r="I6" s="21" t="s">
        <v>66</v>
      </c>
      <c r="J6" s="22">
        <f>SUMIF(B:B,"放行席",F:F)</f>
        <v>1.9447222222222074</v>
      </c>
      <c r="K6" s="23">
        <f>SUMIF(B:B,"放行席",G:G)</f>
        <v>0</v>
      </c>
      <c r="L6" s="23">
        <f>SUMIF(B:B,"放行席",H:H)</f>
        <v>1.9447222222222074</v>
      </c>
      <c r="M6" s="19"/>
    </row>
    <row r="7" spans="1:16" ht="18.75" x14ac:dyDescent="0.25">
      <c r="A7" s="10">
        <f t="shared" ca="1" si="0"/>
        <v>46121.792304861097</v>
      </c>
      <c r="B7" s="5" t="s">
        <v>61</v>
      </c>
      <c r="C7" s="11">
        <v>0.79230324074074099</v>
      </c>
      <c r="D7" s="11" t="s">
        <v>62</v>
      </c>
      <c r="E7" s="11">
        <v>0.95001157407407399</v>
      </c>
      <c r="F7" s="12">
        <f t="shared" si="1"/>
        <v>3.7849999999999921</v>
      </c>
      <c r="G7" s="13">
        <f t="shared" si="2"/>
        <v>3.7849999999999921</v>
      </c>
      <c r="H7" s="13">
        <f t="shared" si="3"/>
        <v>0</v>
      </c>
      <c r="I7" s="21" t="s">
        <v>67</v>
      </c>
      <c r="J7" s="22">
        <f>SUMIF(B:B,"地面席",F:F)</f>
        <v>4.2775000000000079</v>
      </c>
      <c r="K7" s="23">
        <f>SUMIF(B:B,"地面席",G:G)</f>
        <v>0</v>
      </c>
      <c r="L7" s="23">
        <f>SUMIF(B:B,"地面席",H:H)</f>
        <v>4.2775000000000079</v>
      </c>
      <c r="M7" s="19"/>
    </row>
    <row r="8" spans="1:16" ht="18.75" x14ac:dyDescent="0.25">
      <c r="A8" s="10">
        <f t="shared" ca="1" si="0"/>
        <v>46122.291438194399</v>
      </c>
      <c r="B8" s="5" t="s">
        <v>61</v>
      </c>
      <c r="C8" s="11">
        <v>0.29143518518518502</v>
      </c>
      <c r="D8" s="11" t="s">
        <v>62</v>
      </c>
      <c r="E8" s="11">
        <v>0.36135416666666698</v>
      </c>
      <c r="F8" s="12">
        <f t="shared" si="1"/>
        <v>1.678055555555567</v>
      </c>
      <c r="G8" s="13">
        <f t="shared" si="2"/>
        <v>0.67250000000001586</v>
      </c>
      <c r="H8" s="13">
        <f t="shared" si="3"/>
        <v>1.0055555555555511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46124.939587152803</v>
      </c>
      <c r="B9" s="5" t="s">
        <v>61</v>
      </c>
      <c r="C9" s="11">
        <v>0.93958333333333299</v>
      </c>
      <c r="D9" s="11" t="s">
        <v>62</v>
      </c>
      <c r="E9" s="11">
        <v>0.13906250000000001</v>
      </c>
      <c r="F9" s="12">
        <f t="shared" si="1"/>
        <v>4.7875000000000085</v>
      </c>
      <c r="G9" s="13">
        <f t="shared" si="2"/>
        <v>1.4500000000000082</v>
      </c>
      <c r="H9" s="13">
        <f t="shared" si="3"/>
        <v>3.3375000000000004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46125.545491319397</v>
      </c>
      <c r="B10" s="5" t="s">
        <v>61</v>
      </c>
      <c r="C10" s="11">
        <v>0.54548611111111101</v>
      </c>
      <c r="D10" s="11" t="s">
        <v>62</v>
      </c>
      <c r="E10" s="11">
        <v>0.799259259259259</v>
      </c>
      <c r="F10" s="12">
        <f t="shared" si="1"/>
        <v>6.0905555555555519</v>
      </c>
      <c r="G10" s="13">
        <f t="shared" si="2"/>
        <v>6.0905555555555519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46126.134600463003</v>
      </c>
      <c r="B11" s="5" t="s">
        <v>61</v>
      </c>
      <c r="C11" s="11">
        <v>0.13459490740740701</v>
      </c>
      <c r="D11" s="11" t="s">
        <v>62</v>
      </c>
      <c r="E11" s="11">
        <v>0.36159722222222201</v>
      </c>
      <c r="F11" s="12">
        <f t="shared" si="1"/>
        <v>5.4480555555555599</v>
      </c>
      <c r="G11" s="13">
        <f t="shared" si="2"/>
        <v>0.67833333333333634</v>
      </c>
      <c r="H11" s="13">
        <f t="shared" si="3"/>
        <v>4.7697222222222235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46129.225266435198</v>
      </c>
      <c r="B12" s="5" t="s">
        <v>82</v>
      </c>
      <c r="C12" s="11">
        <v>0.13846064814814801</v>
      </c>
      <c r="D12" s="11" t="s">
        <v>62</v>
      </c>
      <c r="E12" s="11">
        <v>0.22256944444444399</v>
      </c>
      <c r="F12" s="12">
        <f t="shared" si="1"/>
        <v>2.0186111111111034</v>
      </c>
      <c r="G12" s="13">
        <f t="shared" si="2"/>
        <v>0</v>
      </c>
      <c r="H12" s="13">
        <f t="shared" si="3"/>
        <v>2.0186111111111034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46130.140662847203</v>
      </c>
      <c r="B13" s="5" t="s">
        <v>75</v>
      </c>
      <c r="C13" s="11">
        <v>0.14065972222222201</v>
      </c>
      <c r="D13" s="11" t="s">
        <v>62</v>
      </c>
      <c r="E13" s="11">
        <v>0.231354166666667</v>
      </c>
      <c r="F13" s="12">
        <f t="shared" si="1"/>
        <v>2.1766666666666801</v>
      </c>
      <c r="G13" s="13">
        <f t="shared" si="2"/>
        <v>0</v>
      </c>
      <c r="H13" s="13">
        <f t="shared" si="3"/>
        <v>2.1766666666666801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46130.235094213</v>
      </c>
      <c r="B14" s="5" t="s">
        <v>61</v>
      </c>
      <c r="C14" s="11">
        <v>0.23509259259259299</v>
      </c>
      <c r="D14" s="11" t="s">
        <v>62</v>
      </c>
      <c r="E14" s="11">
        <v>0.36616898148148103</v>
      </c>
      <c r="F14" s="12">
        <f t="shared" si="1"/>
        <v>3.1458333333333126</v>
      </c>
      <c r="G14" s="13">
        <f t="shared" si="2"/>
        <v>0.78805555555555262</v>
      </c>
      <c r="H14" s="13">
        <f t="shared" si="3"/>
        <v>2.35777777777776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46132.3597204861</v>
      </c>
      <c r="B15" s="5" t="s">
        <v>61</v>
      </c>
      <c r="C15" s="11">
        <v>0.35971064814814802</v>
      </c>
      <c r="D15" s="11" t="s">
        <v>62</v>
      </c>
      <c r="E15" s="11">
        <v>0.54878472222222197</v>
      </c>
      <c r="F15" s="12">
        <f t="shared" si="1"/>
        <v>4.5377777777777748</v>
      </c>
      <c r="G15" s="13">
        <f t="shared" si="2"/>
        <v>4.5377777777777748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46132.787450463002</v>
      </c>
      <c r="B16" s="5" t="s">
        <v>61</v>
      </c>
      <c r="C16" s="11">
        <v>0.78744212962963001</v>
      </c>
      <c r="D16" s="11" t="s">
        <v>62</v>
      </c>
      <c r="E16" s="11">
        <v>0.94499999999999995</v>
      </c>
      <c r="F16" s="12">
        <f t="shared" si="1"/>
        <v>3.7813888888888787</v>
      </c>
      <c r="G16" s="13">
        <f t="shared" si="2"/>
        <v>3.7813888888888787</v>
      </c>
      <c r="H16" s="13">
        <f t="shared" si="3"/>
        <v>0</v>
      </c>
      <c r="I16" s="35" t="s">
        <v>63</v>
      </c>
      <c r="J16" s="36">
        <f t="shared" ref="J16:L16" si="4">J3</f>
        <v>71.47444444444443</v>
      </c>
      <c r="K16" s="37">
        <f t="shared" si="4"/>
        <v>38.112222222222236</v>
      </c>
      <c r="L16" s="38">
        <f t="shared" si="4"/>
        <v>33.362222222222179</v>
      </c>
      <c r="M16" s="39"/>
    </row>
    <row r="17" spans="1:13" ht="20.25" x14ac:dyDescent="0.25">
      <c r="A17" s="10">
        <f t="shared" ca="1" si="0"/>
        <v>46133.2937342593</v>
      </c>
      <c r="B17" s="5" t="s">
        <v>61</v>
      </c>
      <c r="C17" s="11">
        <v>0.29372685185185199</v>
      </c>
      <c r="D17" s="11" t="s">
        <v>62</v>
      </c>
      <c r="E17" s="11">
        <v>0.514930555555556</v>
      </c>
      <c r="F17" s="12">
        <f t="shared" si="1"/>
        <v>5.3088888888888963</v>
      </c>
      <c r="G17" s="13">
        <f t="shared" si="2"/>
        <v>4.358333333333352</v>
      </c>
      <c r="H17" s="13">
        <f t="shared" si="3"/>
        <v>0.95055555555554383</v>
      </c>
      <c r="I17" s="35" t="s">
        <v>78</v>
      </c>
      <c r="J17" s="36">
        <f>J4+J5+J6+J7+J10</f>
        <v>16.564722222222262</v>
      </c>
      <c r="K17" s="37">
        <f>K4+K5+K6+K7+K10</f>
        <v>5.8505555555555757</v>
      </c>
      <c r="L17" s="38">
        <f>L4+L5+L6+L7+L10</f>
        <v>10.714166666666685</v>
      </c>
      <c r="M17" s="39"/>
    </row>
    <row r="18" spans="1:13" ht="20.25" x14ac:dyDescent="0.25">
      <c r="A18" s="10">
        <f t="shared" ca="1" si="0"/>
        <v>46133.943216435197</v>
      </c>
      <c r="B18" s="5" t="s">
        <v>61</v>
      </c>
      <c r="C18" s="11">
        <v>0.94320601851851904</v>
      </c>
      <c r="D18" s="11" t="s">
        <v>62</v>
      </c>
      <c r="E18" s="11">
        <v>0.140914351851852</v>
      </c>
      <c r="F18" s="12">
        <f t="shared" si="1"/>
        <v>4.7449999999999912</v>
      </c>
      <c r="G18" s="13">
        <f t="shared" si="2"/>
        <v>1.363055555555543</v>
      </c>
      <c r="H18" s="13">
        <f t="shared" si="3"/>
        <v>3.3819444444444482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46136.539076388901</v>
      </c>
      <c r="B19" s="5" t="s">
        <v>61</v>
      </c>
      <c r="C19" s="11">
        <v>0.53907407407407404</v>
      </c>
      <c r="D19" s="11" t="s">
        <v>62</v>
      </c>
      <c r="E19" s="11">
        <v>0.71266203703703701</v>
      </c>
      <c r="F19" s="12">
        <f t="shared" si="1"/>
        <v>4.1661111111111113</v>
      </c>
      <c r="G19" s="13">
        <f t="shared" si="2"/>
        <v>4.1661111111111113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46137.131415509299</v>
      </c>
      <c r="B20" s="5" t="s">
        <v>61</v>
      </c>
      <c r="C20" s="11">
        <v>0.13141203703703699</v>
      </c>
      <c r="D20" s="11" t="s">
        <v>62</v>
      </c>
      <c r="E20" s="11">
        <v>0.341597222222222</v>
      </c>
      <c r="F20" s="12">
        <f t="shared" si="1"/>
        <v>5.0444444444444398</v>
      </c>
      <c r="G20" s="13">
        <f t="shared" si="2"/>
        <v>0.19833333333333591</v>
      </c>
      <c r="H20" s="13">
        <f t="shared" si="3"/>
        <v>4.8461111111111039</v>
      </c>
      <c r="I20" s="40" t="s">
        <v>80</v>
      </c>
      <c r="J20" s="65">
        <f>J16+J17+J18+J19</f>
        <v>88.039166666666688</v>
      </c>
      <c r="K20" s="66"/>
      <c r="L20" s="67"/>
      <c r="M20" s="41"/>
    </row>
    <row r="21" spans="1:13" ht="20.25" x14ac:dyDescent="0.25">
      <c r="A21" s="10">
        <f t="shared" ca="1" si="0"/>
        <v>46137.799642824102</v>
      </c>
      <c r="B21" s="5" t="s">
        <v>61</v>
      </c>
      <c r="C21" s="11">
        <v>0.79964120370370395</v>
      </c>
      <c r="D21" s="11" t="s">
        <v>62</v>
      </c>
      <c r="E21" s="11">
        <v>0.83737268518518504</v>
      </c>
      <c r="F21" s="12">
        <f t="shared" si="1"/>
        <v>0.90555555555554612</v>
      </c>
      <c r="G21" s="13">
        <f t="shared" si="2"/>
        <v>0.90555555555554612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46137.837412152803</v>
      </c>
      <c r="B22" s="5" t="s">
        <v>75</v>
      </c>
      <c r="C22" s="11">
        <v>0.83740740740740705</v>
      </c>
      <c r="D22" s="11" t="s">
        <v>62</v>
      </c>
      <c r="E22" s="11">
        <v>0.96791666666666698</v>
      </c>
      <c r="F22" s="12">
        <f t="shared" si="1"/>
        <v>3.1322222222222385</v>
      </c>
      <c r="G22" s="13">
        <f t="shared" si="2"/>
        <v>3.1322222222222385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46138.300079976798</v>
      </c>
      <c r="B23" s="5" t="s">
        <v>75</v>
      </c>
      <c r="C23" s="11">
        <v>0.300069444444444</v>
      </c>
      <c r="D23" s="11" t="s">
        <v>62</v>
      </c>
      <c r="E23" s="11">
        <v>0.36237268518518501</v>
      </c>
      <c r="F23" s="12">
        <f t="shared" si="1"/>
        <v>1.4952777777777841</v>
      </c>
      <c r="G23" s="13">
        <f t="shared" si="2"/>
        <v>0.69694444444444859</v>
      </c>
      <c r="H23" s="13">
        <f t="shared" si="3"/>
        <v>0.79833333333333556</v>
      </c>
      <c r="I23"/>
      <c r="J23"/>
    </row>
    <row r="24" spans="1:13" ht="18.75" x14ac:dyDescent="0.15">
      <c r="A24" s="10">
        <f t="shared" ca="1" si="0"/>
        <v>46141.136985300902</v>
      </c>
      <c r="B24" s="5" t="s">
        <v>61</v>
      </c>
      <c r="C24" s="11">
        <v>0.13697916666666701</v>
      </c>
      <c r="D24" s="11" t="s">
        <v>62</v>
      </c>
      <c r="E24" s="11">
        <v>0.29851851851851902</v>
      </c>
      <c r="F24" s="12">
        <f t="shared" si="1"/>
        <v>3.8769444444444483</v>
      </c>
      <c r="G24" s="13">
        <f t="shared" si="2"/>
        <v>0</v>
      </c>
      <c r="H24" s="13">
        <f t="shared" si="3"/>
        <v>3.8769444444444483</v>
      </c>
      <c r="I24"/>
      <c r="J24"/>
    </row>
    <row r="25" spans="1:13" ht="18.75" x14ac:dyDescent="0.15">
      <c r="A25" s="10">
        <f t="shared" ca="1" si="0"/>
        <v>46141.758516898102</v>
      </c>
      <c r="B25" s="5" t="s">
        <v>76</v>
      </c>
      <c r="C25" s="11">
        <v>0.758506944444444</v>
      </c>
      <c r="D25" s="11" t="s">
        <v>62</v>
      </c>
      <c r="E25" s="11">
        <v>0.84273148148148103</v>
      </c>
      <c r="F25" s="12">
        <f t="shared" si="1"/>
        <v>2.0213888888888887</v>
      </c>
      <c r="G25" s="13">
        <f t="shared" si="2"/>
        <v>2.0213888888888887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46142.138521643501</v>
      </c>
      <c r="B26" s="5" t="s">
        <v>83</v>
      </c>
      <c r="C26" s="11">
        <v>0.13851851851851901</v>
      </c>
      <c r="D26" s="11" t="s">
        <v>62</v>
      </c>
      <c r="E26" s="11">
        <v>0.21954861111111099</v>
      </c>
      <c r="F26" s="12">
        <f t="shared" si="1"/>
        <v>1.9447222222222074</v>
      </c>
      <c r="G26" s="13">
        <f t="shared" si="2"/>
        <v>0</v>
      </c>
      <c r="H26" s="13">
        <f t="shared" si="3"/>
        <v>1.9447222222222074</v>
      </c>
      <c r="I26"/>
      <c r="J26"/>
    </row>
    <row r="27" spans="1:13" ht="18.75" x14ac:dyDescent="0.15">
      <c r="A27" s="10">
        <f t="shared" ca="1" si="0"/>
        <v>46142.240800347201</v>
      </c>
      <c r="B27" s="5" t="s">
        <v>81</v>
      </c>
      <c r="C27" s="11">
        <v>0.24079861111111101</v>
      </c>
      <c r="D27" s="11" t="s">
        <v>62</v>
      </c>
      <c r="E27" s="11">
        <v>0.30400462962962999</v>
      </c>
      <c r="F27" s="12">
        <f t="shared" si="1"/>
        <v>1.5169444444444555</v>
      </c>
      <c r="G27" s="13">
        <f t="shared" si="2"/>
        <v>0</v>
      </c>
      <c r="H27" s="13">
        <f t="shared" si="3"/>
        <v>1.5169444444444555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46114.353618634297</v>
      </c>
      <c r="B3" s="5" t="s">
        <v>61</v>
      </c>
      <c r="C3" s="11">
        <v>0.35361111111111099</v>
      </c>
      <c r="D3" s="11" t="s">
        <v>62</v>
      </c>
      <c r="E3" s="11">
        <v>0.54489583333333302</v>
      </c>
      <c r="F3" s="12">
        <f t="shared" ref="F3:F42" si="1">(IF(E3-C3&lt;0,"24:00"-C3+E3,E3-C3))*24</f>
        <v>4.5908333333333289</v>
      </c>
      <c r="G3" s="13">
        <f t="shared" ref="G3:G42" si="2">F3-H3</f>
        <v>4.5908333333333289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111.94138888888887</v>
      </c>
      <c r="K3" s="18">
        <f>SUMIF(B:B,"带班主任",G:G)</f>
        <v>78.206666666666678</v>
      </c>
      <c r="L3" s="18">
        <f>SUMIF(B:B,"带班主任",H:H)</f>
        <v>33.734722222222167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46114.585680092598</v>
      </c>
      <c r="B4" s="5" t="s">
        <v>61</v>
      </c>
      <c r="C4" s="11">
        <v>0.585671296296296</v>
      </c>
      <c r="D4" s="11" t="s">
        <v>62</v>
      </c>
      <c r="E4" s="11">
        <v>0.69464120370370397</v>
      </c>
      <c r="F4" s="12">
        <f t="shared" si="1"/>
        <v>2.6152777777777914</v>
      </c>
      <c r="G4" s="13">
        <f t="shared" si="2"/>
        <v>2.6152777777777914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3.4041666666666752</v>
      </c>
      <c r="K4" s="23">
        <f>SUMIF(B:B,"西塔台管制席",G:G)+SUMIF(B:B,"东塔台管制席",G:G)</f>
        <v>1.153888888888897</v>
      </c>
      <c r="L4" s="23">
        <f>SUMIF(B:B,"西塔台管制席",H:H)+SUMIF(B:B,"东塔台管制席",H:H)</f>
        <v>2.2502777777777783</v>
      </c>
      <c r="M4" s="19"/>
    </row>
    <row r="5" spans="1:16" ht="18.75" x14ac:dyDescent="0.25">
      <c r="A5" s="10">
        <f t="shared" ca="1" si="0"/>
        <v>46114.830236574096</v>
      </c>
      <c r="B5" s="5" t="s">
        <v>61</v>
      </c>
      <c r="C5" s="11">
        <v>0.83023148148148096</v>
      </c>
      <c r="D5" s="11" t="s">
        <v>62</v>
      </c>
      <c r="E5" s="11">
        <v>0.94254629629629605</v>
      </c>
      <c r="F5" s="12">
        <f t="shared" si="1"/>
        <v>2.6955555555555621</v>
      </c>
      <c r="G5" s="13">
        <f t="shared" si="2"/>
        <v>2.6955555555555621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46115.292008217599</v>
      </c>
      <c r="B6" s="5" t="s">
        <v>61</v>
      </c>
      <c r="C6" s="11">
        <v>0.29200231481481498</v>
      </c>
      <c r="D6" s="11" t="s">
        <v>62</v>
      </c>
      <c r="E6" s="11">
        <v>0.54912037037036998</v>
      </c>
      <c r="F6" s="12">
        <f t="shared" si="1"/>
        <v>6.1708333333333201</v>
      </c>
      <c r="G6" s="13">
        <f t="shared" si="2"/>
        <v>5.1788888888888884</v>
      </c>
      <c r="H6" s="13">
        <f t="shared" si="3"/>
        <v>0.99194444444443208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46115.937126851903</v>
      </c>
      <c r="B7" s="5" t="s">
        <v>61</v>
      </c>
      <c r="C7" s="11">
        <v>0.93711805555555605</v>
      </c>
      <c r="D7" s="11" t="s">
        <v>62</v>
      </c>
      <c r="E7" s="11">
        <v>0.13609953703703701</v>
      </c>
      <c r="F7" s="12">
        <f t="shared" si="1"/>
        <v>4.7755555555555427</v>
      </c>
      <c r="G7" s="13">
        <f t="shared" si="2"/>
        <v>1.5091666666666548</v>
      </c>
      <c r="H7" s="13">
        <f t="shared" si="3"/>
        <v>3.2663888888888879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46118.937052893503</v>
      </c>
      <c r="B8" s="5" t="s">
        <v>61</v>
      </c>
      <c r="C8" s="11">
        <v>0.93704861111111104</v>
      </c>
      <c r="D8" s="11" t="s">
        <v>62</v>
      </c>
      <c r="E8" s="11">
        <v>0.13913194444444399</v>
      </c>
      <c r="F8" s="12">
        <f t="shared" si="1"/>
        <v>4.8499999999999908</v>
      </c>
      <c r="G8" s="13">
        <f t="shared" si="2"/>
        <v>1.510833333333335</v>
      </c>
      <c r="H8" s="13">
        <f t="shared" si="3"/>
        <v>3.3391666666666557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46119.541172569399</v>
      </c>
      <c r="B9" s="5" t="s">
        <v>61</v>
      </c>
      <c r="C9" s="11">
        <v>0.54116898148148196</v>
      </c>
      <c r="D9" s="11" t="s">
        <v>62</v>
      </c>
      <c r="E9" s="11">
        <v>0.79675925925925895</v>
      </c>
      <c r="F9" s="12">
        <f t="shared" si="1"/>
        <v>6.1341666666666477</v>
      </c>
      <c r="G9" s="13">
        <f t="shared" si="2"/>
        <v>6.1341666666666477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46120.130887152802</v>
      </c>
      <c r="B10" s="5" t="s">
        <v>61</v>
      </c>
      <c r="C10" s="11">
        <v>0.13087962962963001</v>
      </c>
      <c r="D10" s="11" t="s">
        <v>62</v>
      </c>
      <c r="E10" s="11">
        <v>0.29996527777777798</v>
      </c>
      <c r="F10" s="12">
        <f t="shared" si="1"/>
        <v>4.0580555555555513</v>
      </c>
      <c r="G10" s="13">
        <f t="shared" si="2"/>
        <v>0</v>
      </c>
      <c r="H10" s="13">
        <f t="shared" si="3"/>
        <v>4.0580555555555513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46122.540299305598</v>
      </c>
      <c r="B11" s="5" t="s">
        <v>61</v>
      </c>
      <c r="C11" s="11">
        <v>0.54028935185185201</v>
      </c>
      <c r="D11" s="11" t="s">
        <v>62</v>
      </c>
      <c r="E11" s="11">
        <v>0.79278935185185195</v>
      </c>
      <c r="F11" s="12">
        <f t="shared" si="1"/>
        <v>6.0599999999999987</v>
      </c>
      <c r="G11" s="13">
        <f t="shared" si="2"/>
        <v>6.0599999999999987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46123.131074652803</v>
      </c>
      <c r="B12" s="5" t="s">
        <v>61</v>
      </c>
      <c r="C12" s="11">
        <v>0.13106481481481499</v>
      </c>
      <c r="D12" s="11" t="s">
        <v>62</v>
      </c>
      <c r="E12" s="11">
        <v>0.29836805555555601</v>
      </c>
      <c r="F12" s="12">
        <f t="shared" si="1"/>
        <v>4.0152777777777846</v>
      </c>
      <c r="G12" s="13">
        <f t="shared" si="2"/>
        <v>0</v>
      </c>
      <c r="H12" s="13">
        <f t="shared" si="3"/>
        <v>4.0152777777777846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46123.791922800898</v>
      </c>
      <c r="B13" s="5" t="s">
        <v>61</v>
      </c>
      <c r="C13" s="11">
        <v>0.79192129629629604</v>
      </c>
      <c r="D13" s="11" t="s">
        <v>62</v>
      </c>
      <c r="E13" s="11">
        <v>0.94231481481481505</v>
      </c>
      <c r="F13" s="12">
        <f t="shared" si="1"/>
        <v>3.6094444444444562</v>
      </c>
      <c r="G13" s="13">
        <f t="shared" si="2"/>
        <v>3.6094444444444562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46124.2929717593</v>
      </c>
      <c r="B14" s="5" t="s">
        <v>61</v>
      </c>
      <c r="C14" s="11">
        <v>0.29166666666666702</v>
      </c>
      <c r="D14" s="11" t="s">
        <v>62</v>
      </c>
      <c r="E14" s="11">
        <v>0.36297453703703703</v>
      </c>
      <c r="F14" s="12">
        <f t="shared" si="1"/>
        <v>1.7113888888888802</v>
      </c>
      <c r="G14" s="13">
        <f t="shared" si="2"/>
        <v>0.71138888888889706</v>
      </c>
      <c r="H14" s="13">
        <f t="shared" si="3"/>
        <v>0.99999999999998312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46126.355374074097</v>
      </c>
      <c r="B15" s="5" t="s">
        <v>61</v>
      </c>
      <c r="C15" s="11">
        <v>0.35537037037037</v>
      </c>
      <c r="D15" s="11" t="s">
        <v>62</v>
      </c>
      <c r="E15" s="11">
        <v>0.55219907407407398</v>
      </c>
      <c r="F15" s="12">
        <f t="shared" si="1"/>
        <v>4.7238888888888955</v>
      </c>
      <c r="G15" s="13">
        <f t="shared" si="2"/>
        <v>4.7238888888888955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46126.792016550899</v>
      </c>
      <c r="B16" s="5" t="s">
        <v>61</v>
      </c>
      <c r="C16" s="11">
        <v>0.79201388888888902</v>
      </c>
      <c r="D16" s="11" t="s">
        <v>62</v>
      </c>
      <c r="E16" s="11">
        <v>0.94210648148148202</v>
      </c>
      <c r="F16" s="12">
        <f t="shared" si="1"/>
        <v>3.602222222222232</v>
      </c>
      <c r="G16" s="13">
        <f t="shared" si="2"/>
        <v>3.602222222222232</v>
      </c>
      <c r="H16" s="13">
        <f t="shared" si="3"/>
        <v>0</v>
      </c>
      <c r="I16" s="35" t="s">
        <v>63</v>
      </c>
      <c r="J16" s="36">
        <f t="shared" ref="J16:L16" si="4">J3</f>
        <v>111.94138888888887</v>
      </c>
      <c r="K16" s="37">
        <f t="shared" si="4"/>
        <v>78.206666666666678</v>
      </c>
      <c r="L16" s="38">
        <f t="shared" si="4"/>
        <v>33.734722222222167</v>
      </c>
      <c r="M16" s="39"/>
    </row>
    <row r="17" spans="1:13" ht="20.25" x14ac:dyDescent="0.25">
      <c r="A17" s="10">
        <f t="shared" ca="1" si="0"/>
        <v>46127.292709143498</v>
      </c>
      <c r="B17" s="5" t="s">
        <v>61</v>
      </c>
      <c r="C17" s="11">
        <v>0.29270833333333302</v>
      </c>
      <c r="D17" s="11" t="s">
        <v>62</v>
      </c>
      <c r="E17" s="11">
        <v>0.54554398148148098</v>
      </c>
      <c r="F17" s="12">
        <f t="shared" si="1"/>
        <v>6.0680555555555511</v>
      </c>
      <c r="G17" s="13">
        <f t="shared" si="2"/>
        <v>5.0930555555555515</v>
      </c>
      <c r="H17" s="13">
        <f t="shared" si="3"/>
        <v>0.9749999999999992</v>
      </c>
      <c r="I17" s="35" t="s">
        <v>78</v>
      </c>
      <c r="J17" s="36">
        <f>J4+J5+J6+J7+J10</f>
        <v>3.4041666666666752</v>
      </c>
      <c r="K17" s="37">
        <f>K4+K5+K6+K7+K10</f>
        <v>1.153888888888897</v>
      </c>
      <c r="L17" s="38">
        <f>L4+L5+L6+L7+L10</f>
        <v>2.2502777777777783</v>
      </c>
      <c r="M17" s="39"/>
    </row>
    <row r="18" spans="1:13" ht="20.25" x14ac:dyDescent="0.25">
      <c r="A18" s="10">
        <f t="shared" ca="1" si="0"/>
        <v>46127.937101273099</v>
      </c>
      <c r="B18" s="5" t="s">
        <v>61</v>
      </c>
      <c r="C18" s="11">
        <v>0.93709490740740697</v>
      </c>
      <c r="D18" s="11" t="s">
        <v>62</v>
      </c>
      <c r="E18" s="11">
        <v>0.14282407407407399</v>
      </c>
      <c r="F18" s="12">
        <f t="shared" si="1"/>
        <v>4.9375000000000089</v>
      </c>
      <c r="G18" s="13">
        <f t="shared" si="2"/>
        <v>1.5097222222222331</v>
      </c>
      <c r="H18" s="13">
        <f t="shared" si="3"/>
        <v>3.4277777777777758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46130.937740856498</v>
      </c>
      <c r="B19" s="5" t="s">
        <v>61</v>
      </c>
      <c r="C19" s="11">
        <v>0.937731481481482</v>
      </c>
      <c r="D19" s="11" t="s">
        <v>62</v>
      </c>
      <c r="E19" s="11">
        <v>0.13805555555555599</v>
      </c>
      <c r="F19" s="12">
        <f t="shared" si="1"/>
        <v>4.8077777777777762</v>
      </c>
      <c r="G19" s="13">
        <f t="shared" si="2"/>
        <v>1.4944444444444325</v>
      </c>
      <c r="H19" s="13">
        <f t="shared" si="3"/>
        <v>3.3133333333333437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46131.951929282397</v>
      </c>
      <c r="B20" s="5" t="s">
        <v>75</v>
      </c>
      <c r="C20" s="11">
        <v>0.95192129629629596</v>
      </c>
      <c r="D20" s="11" t="s">
        <v>62</v>
      </c>
      <c r="E20" s="11">
        <v>9.3761574074074094E-2</v>
      </c>
      <c r="F20" s="12">
        <f t="shared" si="1"/>
        <v>3.4041666666666752</v>
      </c>
      <c r="G20" s="13">
        <f t="shared" si="2"/>
        <v>1.153888888888897</v>
      </c>
      <c r="H20" s="13">
        <f t="shared" si="3"/>
        <v>2.2502777777777783</v>
      </c>
      <c r="I20" s="40" t="s">
        <v>80</v>
      </c>
      <c r="J20" s="65">
        <f>J16+J17+J18+J19</f>
        <v>115.34555555555553</v>
      </c>
      <c r="K20" s="66"/>
      <c r="L20" s="67"/>
      <c r="M20" s="41"/>
    </row>
    <row r="21" spans="1:13" ht="20.25" x14ac:dyDescent="0.25">
      <c r="A21" s="10">
        <f t="shared" ca="1" si="0"/>
        <v>46134.938021180598</v>
      </c>
      <c r="B21" s="5" t="s">
        <v>61</v>
      </c>
      <c r="C21" s="11">
        <v>0.93802083333333297</v>
      </c>
      <c r="D21" s="11" t="s">
        <v>62</v>
      </c>
      <c r="E21" s="11">
        <v>0.13878472222222199</v>
      </c>
      <c r="F21" s="12">
        <f t="shared" si="1"/>
        <v>4.8183333333333369</v>
      </c>
      <c r="G21" s="13">
        <f t="shared" si="2"/>
        <v>1.4875000000000091</v>
      </c>
      <c r="H21" s="13">
        <f t="shared" si="3"/>
        <v>3.3308333333333278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46135.541875463001</v>
      </c>
      <c r="B22" s="5" t="s">
        <v>61</v>
      </c>
      <c r="C22" s="11">
        <v>0.541875</v>
      </c>
      <c r="D22" s="11" t="s">
        <v>62</v>
      </c>
      <c r="E22" s="11">
        <v>0.79905092592592597</v>
      </c>
      <c r="F22" s="12">
        <f t="shared" si="1"/>
        <v>6.1722222222222234</v>
      </c>
      <c r="G22" s="13">
        <f t="shared" si="2"/>
        <v>6.1722222222222234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46136.291204629597</v>
      </c>
      <c r="B23" s="5" t="s">
        <v>61</v>
      </c>
      <c r="C23" s="11">
        <v>0.29120370370370402</v>
      </c>
      <c r="D23" s="11" t="s">
        <v>62</v>
      </c>
      <c r="E23" s="11">
        <v>0.36097222222222197</v>
      </c>
      <c r="F23" s="12">
        <f t="shared" si="1"/>
        <v>1.6744444444444309</v>
      </c>
      <c r="G23" s="13">
        <f t="shared" si="2"/>
        <v>0.66333333333333577</v>
      </c>
      <c r="H23" s="13">
        <f t="shared" si="3"/>
        <v>1.0111111111110951</v>
      </c>
      <c r="I23"/>
      <c r="J23"/>
    </row>
    <row r="24" spans="1:13" ht="18.75" x14ac:dyDescent="0.15">
      <c r="A24" s="10">
        <f t="shared" ca="1" si="0"/>
        <v>46138.541533680604</v>
      </c>
      <c r="B24" s="5" t="s">
        <v>61</v>
      </c>
      <c r="C24" s="11">
        <v>0.54152777777777805</v>
      </c>
      <c r="D24" s="11" t="s">
        <v>62</v>
      </c>
      <c r="E24" s="11">
        <v>0.79950231481481504</v>
      </c>
      <c r="F24" s="12">
        <f t="shared" si="1"/>
        <v>6.1913888888888877</v>
      </c>
      <c r="G24" s="13">
        <f t="shared" si="2"/>
        <v>6.1913888888888877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46139.131761689801</v>
      </c>
      <c r="B25" s="5" t="s">
        <v>61</v>
      </c>
      <c r="C25" s="11">
        <v>0.13175925925925899</v>
      </c>
      <c r="D25" s="11" t="s">
        <v>62</v>
      </c>
      <c r="E25" s="11">
        <v>0.29947916666666702</v>
      </c>
      <c r="F25" s="12">
        <f t="shared" si="1"/>
        <v>4.0252777777777924</v>
      </c>
      <c r="G25" s="13">
        <f t="shared" si="2"/>
        <v>0</v>
      </c>
      <c r="H25" s="13">
        <f t="shared" si="3"/>
        <v>4.0252777777777924</v>
      </c>
      <c r="I25"/>
      <c r="J25"/>
    </row>
    <row r="26" spans="1:13" ht="18.75" x14ac:dyDescent="0.15">
      <c r="A26" s="10">
        <f t="shared" ca="1" si="0"/>
        <v>46139.793278819401</v>
      </c>
      <c r="B26" s="5" t="s">
        <v>61</v>
      </c>
      <c r="C26" s="11">
        <v>0.79327546296296303</v>
      </c>
      <c r="D26" s="11" t="s">
        <v>62</v>
      </c>
      <c r="E26" s="11">
        <v>0.94474537037036999</v>
      </c>
      <c r="F26" s="12">
        <f t="shared" si="1"/>
        <v>3.6352777777777669</v>
      </c>
      <c r="G26" s="13">
        <f t="shared" si="2"/>
        <v>3.6352777777777669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46140.292487152801</v>
      </c>
      <c r="B27" s="5" t="s">
        <v>61</v>
      </c>
      <c r="C27" s="11">
        <v>0.29247685185185202</v>
      </c>
      <c r="D27" s="11" t="s">
        <v>62</v>
      </c>
      <c r="E27" s="11">
        <v>0.36340277777777802</v>
      </c>
      <c r="F27" s="12">
        <f t="shared" si="1"/>
        <v>1.7022222222222241</v>
      </c>
      <c r="G27" s="13">
        <f t="shared" si="2"/>
        <v>0.72166666666668089</v>
      </c>
      <c r="H27" s="13">
        <f t="shared" si="3"/>
        <v>0.98055555555554319</v>
      </c>
      <c r="I27"/>
      <c r="J27"/>
    </row>
    <row r="28" spans="1:13" ht="18.75" x14ac:dyDescent="0.15">
      <c r="A28" s="10">
        <f t="shared" ca="1" si="0"/>
        <v>46142.354246643503</v>
      </c>
      <c r="B28" s="5" t="s">
        <v>61</v>
      </c>
      <c r="C28" s="11">
        <v>0.35423611111111097</v>
      </c>
      <c r="D28" s="11" t="s">
        <v>62</v>
      </c>
      <c r="E28" s="11">
        <v>0.54906250000000001</v>
      </c>
      <c r="F28" s="12">
        <f t="shared" si="1"/>
        <v>4.6758333333333368</v>
      </c>
      <c r="G28" s="13">
        <f t="shared" si="2"/>
        <v>4.6758333333333368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46142.791664236101</v>
      </c>
      <c r="B29" s="5" t="s">
        <v>61</v>
      </c>
      <c r="C29" s="11">
        <v>0.79165509259259303</v>
      </c>
      <c r="D29" s="11" t="s">
        <v>62</v>
      </c>
      <c r="E29" s="11">
        <v>0.94251157407407404</v>
      </c>
      <c r="F29" s="12">
        <f t="shared" si="1"/>
        <v>3.6205555555555442</v>
      </c>
      <c r="G29" s="13">
        <f t="shared" si="2"/>
        <v>3.6205555555555442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42"/>
  <sheetViews>
    <sheetView zoomScale="85" zoomScaleNormal="85" workbookViewId="0">
      <selection activeCell="I25" sqref="I2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46114.538039467603</v>
      </c>
      <c r="B3" s="5" t="s">
        <v>61</v>
      </c>
      <c r="C3" s="11">
        <v>0.53803240740740699</v>
      </c>
      <c r="D3" s="11" t="s">
        <v>62</v>
      </c>
      <c r="E3" s="11">
        <v>0.591863425925926</v>
      </c>
      <c r="F3" s="12">
        <f t="shared" ref="F3:F42" si="1">(IF(E3-C3&lt;0,"24:00"-C3+E3,E3-C3))*24</f>
        <v>1.2919444444444563</v>
      </c>
      <c r="G3" s="13">
        <f t="shared" ref="G3:G42" si="2">F3-H3</f>
        <v>1.2919444444444563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70.449444444444453</v>
      </c>
      <c r="K3" s="18">
        <f>SUMIF(B:B,"带班主任",G:G)</f>
        <v>49.036111111111154</v>
      </c>
      <c r="L3" s="18">
        <f>SUMIF(B:B,"带班主任",H:H)</f>
        <v>21.413333333333302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46114.687750810197</v>
      </c>
      <c r="B4" s="5" t="s">
        <v>61</v>
      </c>
      <c r="C4" s="11">
        <v>0.68774305555555604</v>
      </c>
      <c r="D4" s="11" t="s">
        <v>62</v>
      </c>
      <c r="E4" s="11">
        <v>0.83472222222222203</v>
      </c>
      <c r="F4" s="12">
        <f t="shared" si="1"/>
        <v>3.5274999999999839</v>
      </c>
      <c r="G4" s="13">
        <f t="shared" si="2"/>
        <v>3.5274999999999839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12.535555555555581</v>
      </c>
      <c r="K4" s="23">
        <f>SUMIF(B:B,"西塔台管制席",G:G)+SUMIF(B:B,"东塔台管制席",G:G)</f>
        <v>5.8363888888889015</v>
      </c>
      <c r="L4" s="23">
        <f>SUMIF(B:B,"西塔台管制席",H:H)+SUMIF(B:B,"东塔台管制席",H:H)</f>
        <v>6.6991666666666791</v>
      </c>
      <c r="M4" s="19"/>
    </row>
    <row r="5" spans="1:16" ht="18.75" x14ac:dyDescent="0.25">
      <c r="A5" s="10">
        <f t="shared" ca="1" si="0"/>
        <v>46115.131989699097</v>
      </c>
      <c r="B5" s="5" t="s">
        <v>61</v>
      </c>
      <c r="C5" s="11">
        <v>0.13197916666666701</v>
      </c>
      <c r="D5" s="11" t="s">
        <v>62</v>
      </c>
      <c r="E5" s="11">
        <v>0.29848379629629601</v>
      </c>
      <c r="F5" s="12">
        <f t="shared" si="1"/>
        <v>3.9961111111110963</v>
      </c>
      <c r="G5" s="13">
        <f t="shared" si="2"/>
        <v>0</v>
      </c>
      <c r="H5" s="13">
        <f t="shared" si="3"/>
        <v>3.9961111111110963</v>
      </c>
      <c r="I5" s="21" t="s">
        <v>65</v>
      </c>
      <c r="J5" s="22">
        <f>SUMIF(B:B,"西塔台协调席",F:F)+SUMIF(B:B,"东塔台协调席",F:F)</f>
        <v>3.9702777777777847</v>
      </c>
      <c r="K5" s="23">
        <f>SUMIF(B:B,"西塔台协调席",G:G)+SUMIF(B:B,"东塔台协调席",G:G)</f>
        <v>1.1608333333333447</v>
      </c>
      <c r="L5" s="23">
        <f>SUMIF(B:B,"西塔台协调席",H:H)+SUMIF(B:B,"东塔台协调席",H:H)</f>
        <v>2.80944444444444</v>
      </c>
      <c r="M5" s="19"/>
    </row>
    <row r="6" spans="1:16" ht="18.75" x14ac:dyDescent="0.25">
      <c r="A6" s="10">
        <f t="shared" ca="1" si="0"/>
        <v>46115.790523842603</v>
      </c>
      <c r="B6" s="5" t="s">
        <v>61</v>
      </c>
      <c r="C6" s="11">
        <v>0.79052083333333301</v>
      </c>
      <c r="D6" s="11" t="s">
        <v>62</v>
      </c>
      <c r="E6" s="11">
        <v>0.94434027777777796</v>
      </c>
      <c r="F6" s="12">
        <f t="shared" si="1"/>
        <v>3.6916666666666789</v>
      </c>
      <c r="G6" s="13">
        <f t="shared" si="2"/>
        <v>3.6916666666666789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46116.291670138897</v>
      </c>
      <c r="B7" s="5" t="s">
        <v>61</v>
      </c>
      <c r="C7" s="11">
        <v>0.29166666666666702</v>
      </c>
      <c r="D7" s="11" t="s">
        <v>62</v>
      </c>
      <c r="E7" s="11">
        <v>0.361412037037037</v>
      </c>
      <c r="F7" s="12">
        <f t="shared" si="1"/>
        <v>1.6738888888888797</v>
      </c>
      <c r="G7" s="13">
        <f t="shared" si="2"/>
        <v>0.67388888888889653</v>
      </c>
      <c r="H7" s="13">
        <f t="shared" si="3"/>
        <v>0.99999999999998312</v>
      </c>
      <c r="I7" s="21" t="s">
        <v>67</v>
      </c>
      <c r="J7" s="22">
        <f>SUMIF(B:B,"地面席",F:F)</f>
        <v>1.9641666666666719</v>
      </c>
      <c r="K7" s="23">
        <f>SUMIF(B:B,"地面席",G:G)</f>
        <v>0</v>
      </c>
      <c r="L7" s="23">
        <f>SUMIF(B:B,"地面席",H:H)</f>
        <v>1.9641666666666719</v>
      </c>
      <c r="M7" s="19"/>
    </row>
    <row r="8" spans="1:16" ht="18.75" x14ac:dyDescent="0.25">
      <c r="A8" s="10">
        <f t="shared" ca="1" si="0"/>
        <v>46118.5407619213</v>
      </c>
      <c r="B8" s="5" t="s">
        <v>61</v>
      </c>
      <c r="C8" s="11">
        <v>0.540752314814815</v>
      </c>
      <c r="D8" s="11" t="s">
        <v>62</v>
      </c>
      <c r="E8" s="11">
        <v>0.79982638888888902</v>
      </c>
      <c r="F8" s="12">
        <f t="shared" si="1"/>
        <v>6.2177777777777763</v>
      </c>
      <c r="G8" s="13">
        <f t="shared" si="2"/>
        <v>6.2177777777777763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46119.132178009299</v>
      </c>
      <c r="B9" s="5" t="s">
        <v>61</v>
      </c>
      <c r="C9" s="11">
        <v>0.132175925925926</v>
      </c>
      <c r="D9" s="11" t="s">
        <v>62</v>
      </c>
      <c r="E9" s="11">
        <v>0.29931712962962997</v>
      </c>
      <c r="F9" s="12">
        <f t="shared" si="1"/>
        <v>4.0113888888888951</v>
      </c>
      <c r="G9" s="13">
        <f t="shared" si="2"/>
        <v>0</v>
      </c>
      <c r="H9" s="13">
        <f t="shared" si="3"/>
        <v>4.0113888888888951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46119.790248263897</v>
      </c>
      <c r="B10" s="5" t="s">
        <v>61</v>
      </c>
      <c r="C10" s="11">
        <v>0.79024305555555596</v>
      </c>
      <c r="D10" s="11" t="s">
        <v>62</v>
      </c>
      <c r="E10" s="11">
        <v>0.94302083333333298</v>
      </c>
      <c r="F10" s="12">
        <f t="shared" si="1"/>
        <v>3.6666666666666483</v>
      </c>
      <c r="G10" s="13">
        <f t="shared" si="2"/>
        <v>3.6666666666666483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46120.292877430598</v>
      </c>
      <c r="B11" s="5" t="s">
        <v>61</v>
      </c>
      <c r="C11" s="11">
        <v>0.29287037037037</v>
      </c>
      <c r="D11" s="11" t="s">
        <v>62</v>
      </c>
      <c r="E11" s="11">
        <v>0.36546296296296299</v>
      </c>
      <c r="F11" s="12">
        <f t="shared" si="1"/>
        <v>1.7422222222222317</v>
      </c>
      <c r="G11" s="13">
        <f t="shared" si="2"/>
        <v>0.77111111111112018</v>
      </c>
      <c r="H11" s="13">
        <f t="shared" si="3"/>
        <v>0.97111111111111148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46123.138447453697</v>
      </c>
      <c r="B12" s="5" t="s">
        <v>82</v>
      </c>
      <c r="C12" s="11">
        <v>0.13843749999999999</v>
      </c>
      <c r="D12" s="11" t="s">
        <v>62</v>
      </c>
      <c r="E12" s="11">
        <v>0.22027777777777799</v>
      </c>
      <c r="F12" s="12">
        <f t="shared" si="1"/>
        <v>1.9641666666666719</v>
      </c>
      <c r="G12" s="13">
        <f t="shared" si="2"/>
        <v>0</v>
      </c>
      <c r="H12" s="13">
        <f t="shared" si="3"/>
        <v>1.9641666666666719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46126.935249305599</v>
      </c>
      <c r="B13" s="5" t="s">
        <v>61</v>
      </c>
      <c r="C13" s="11">
        <v>0.93524305555555598</v>
      </c>
      <c r="D13" s="11" t="s">
        <v>62</v>
      </c>
      <c r="E13" s="11">
        <v>0.14203703703703699</v>
      </c>
      <c r="F13" s="12">
        <f t="shared" si="1"/>
        <v>4.9630555555555445</v>
      </c>
      <c r="G13" s="13">
        <f t="shared" si="2"/>
        <v>1.5541666666666565</v>
      </c>
      <c r="H13" s="13">
        <f t="shared" si="3"/>
        <v>3.408888888888888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46127.538613194403</v>
      </c>
      <c r="B14" s="5" t="s">
        <v>61</v>
      </c>
      <c r="C14" s="11">
        <v>0.53861111111111104</v>
      </c>
      <c r="D14" s="11" t="s">
        <v>62</v>
      </c>
      <c r="E14" s="11">
        <v>0.81031249999999999</v>
      </c>
      <c r="F14" s="12">
        <f t="shared" si="1"/>
        <v>6.5208333333333348</v>
      </c>
      <c r="G14" s="13">
        <f t="shared" si="2"/>
        <v>6.5208333333333348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46128.142095601797</v>
      </c>
      <c r="B16" s="5" t="s">
        <v>61</v>
      </c>
      <c r="C16" s="11">
        <v>0.14209490740740699</v>
      </c>
      <c r="D16" s="11" t="s">
        <v>62</v>
      </c>
      <c r="E16" s="11">
        <v>0.302222222222222</v>
      </c>
      <c r="F16" s="12">
        <f t="shared" si="1"/>
        <v>3.8430555555555603</v>
      </c>
      <c r="G16" s="13">
        <f t="shared" si="2"/>
        <v>0</v>
      </c>
      <c r="H16" s="13">
        <f t="shared" si="3"/>
        <v>3.8430555555555603</v>
      </c>
      <c r="I16" s="35" t="s">
        <v>63</v>
      </c>
      <c r="J16" s="36">
        <f t="shared" ref="J16:L16" si="4">J3</f>
        <v>70.449444444444453</v>
      </c>
      <c r="K16" s="37">
        <f t="shared" si="4"/>
        <v>49.036111111111154</v>
      </c>
      <c r="L16" s="38">
        <f t="shared" si="4"/>
        <v>21.413333333333302</v>
      </c>
      <c r="M16" s="39"/>
    </row>
    <row r="17" spans="1:13" ht="20.25" x14ac:dyDescent="0.25">
      <c r="A17" s="10">
        <f t="shared" ca="1" si="0"/>
        <v>46130.357585648097</v>
      </c>
      <c r="B17" s="5" t="s">
        <v>61</v>
      </c>
      <c r="C17" s="11">
        <v>0.35758101851851798</v>
      </c>
      <c r="D17" s="11" t="s">
        <v>62</v>
      </c>
      <c r="E17" s="11">
        <v>0.54869212962962999</v>
      </c>
      <c r="F17" s="12">
        <f t="shared" si="1"/>
        <v>4.5866666666666882</v>
      </c>
      <c r="G17" s="13">
        <f t="shared" si="2"/>
        <v>4.5866666666666882</v>
      </c>
      <c r="H17" s="13">
        <f t="shared" si="3"/>
        <v>0</v>
      </c>
      <c r="I17" s="35" t="s">
        <v>78</v>
      </c>
      <c r="J17" s="36">
        <f>J4+J5+J6+J7+J10</f>
        <v>18.470000000000034</v>
      </c>
      <c r="K17" s="37">
        <f>K4+K5+K6+K7+K10</f>
        <v>6.9972222222222467</v>
      </c>
      <c r="L17" s="38">
        <f>L4+L5+L6+L7+L10</f>
        <v>11.472777777777791</v>
      </c>
      <c r="M17" s="39"/>
    </row>
    <row r="18" spans="1:13" ht="20.25" x14ac:dyDescent="0.25">
      <c r="A18" s="10">
        <f t="shared" ca="1" si="0"/>
        <v>46130.791777546299</v>
      </c>
      <c r="B18" s="5" t="s">
        <v>61</v>
      </c>
      <c r="C18" s="11">
        <v>0.79177083333333298</v>
      </c>
      <c r="D18" s="11" t="s">
        <v>62</v>
      </c>
      <c r="E18" s="11">
        <v>0.94510416666666697</v>
      </c>
      <c r="F18" s="12">
        <f t="shared" si="1"/>
        <v>3.6800000000000157</v>
      </c>
      <c r="G18" s="13">
        <f t="shared" si="2"/>
        <v>3.6800000000000157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46131.292281828697</v>
      </c>
      <c r="B19" s="5" t="s">
        <v>61</v>
      </c>
      <c r="C19" s="11">
        <v>0.29228009259259302</v>
      </c>
      <c r="D19" s="11" t="s">
        <v>62</v>
      </c>
      <c r="E19" s="11">
        <v>0.550416666666667</v>
      </c>
      <c r="F19" s="12">
        <f t="shared" si="1"/>
        <v>6.1952777777777754</v>
      </c>
      <c r="G19" s="13">
        <f t="shared" si="2"/>
        <v>5.2100000000000168</v>
      </c>
      <c r="H19" s="13">
        <f t="shared" si="3"/>
        <v>0.98527777777775905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46131.938541550902</v>
      </c>
      <c r="B20" s="5" t="s">
        <v>61</v>
      </c>
      <c r="C20" s="11">
        <v>0.93854166666666705</v>
      </c>
      <c r="D20" s="11" t="s">
        <v>62</v>
      </c>
      <c r="E20" s="11">
        <v>0.13322916666666701</v>
      </c>
      <c r="F20" s="12">
        <f t="shared" si="1"/>
        <v>4.6724999999999994</v>
      </c>
      <c r="G20" s="13">
        <f t="shared" si="2"/>
        <v>1.4749999999999912</v>
      </c>
      <c r="H20" s="13">
        <f t="shared" si="3"/>
        <v>3.1975000000000082</v>
      </c>
      <c r="I20" s="40" t="s">
        <v>80</v>
      </c>
      <c r="J20" s="65">
        <f>J16+J17+J18+J19</f>
        <v>88.91944444444448</v>
      </c>
      <c r="K20" s="66"/>
      <c r="L20" s="67"/>
      <c r="M20" s="41"/>
    </row>
    <row r="21" spans="1:13" ht="20.25" x14ac:dyDescent="0.25">
      <c r="A21" s="10">
        <f t="shared" ca="1" si="0"/>
        <v>46134.542043634297</v>
      </c>
      <c r="B21" s="5" t="s">
        <v>61</v>
      </c>
      <c r="C21" s="11">
        <v>0.54203703703703698</v>
      </c>
      <c r="D21" s="11" t="s">
        <v>62</v>
      </c>
      <c r="E21" s="11">
        <v>0.79907407407407405</v>
      </c>
      <c r="F21" s="12">
        <f t="shared" si="1"/>
        <v>6.1688888888888895</v>
      </c>
      <c r="G21" s="13">
        <f t="shared" si="2"/>
        <v>6.1688888888888895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46135.139154166704</v>
      </c>
      <c r="B22" s="5" t="s">
        <v>75</v>
      </c>
      <c r="C22" s="11">
        <v>0.139143518518518</v>
      </c>
      <c r="D22" s="11" t="s">
        <v>62</v>
      </c>
      <c r="E22" s="11">
        <v>0.30065972222222198</v>
      </c>
      <c r="F22" s="12">
        <f t="shared" si="1"/>
        <v>3.8763888888888953</v>
      </c>
      <c r="G22" s="13">
        <f t="shared" si="2"/>
        <v>0</v>
      </c>
      <c r="H22" s="13">
        <f t="shared" si="3"/>
        <v>3.8763888888888953</v>
      </c>
      <c r="I22"/>
      <c r="J22"/>
    </row>
    <row r="23" spans="1:13" ht="18.75" x14ac:dyDescent="0.15">
      <c r="A23" s="10">
        <f t="shared" ca="1" si="0"/>
        <v>46135.951640740699</v>
      </c>
      <c r="B23" s="5" t="s">
        <v>76</v>
      </c>
      <c r="C23" s="11">
        <v>0.95163194444444399</v>
      </c>
      <c r="D23" s="11" t="s">
        <v>62</v>
      </c>
      <c r="E23" s="11">
        <v>0.117060185185185</v>
      </c>
      <c r="F23" s="12">
        <f t="shared" si="1"/>
        <v>3.9702777777777847</v>
      </c>
      <c r="G23" s="13">
        <f t="shared" si="2"/>
        <v>1.1608333333333447</v>
      </c>
      <c r="H23" s="13">
        <f t="shared" si="3"/>
        <v>2.80944444444444</v>
      </c>
      <c r="I23"/>
      <c r="J23"/>
    </row>
    <row r="24" spans="1:13" ht="18.75" x14ac:dyDescent="0.15">
      <c r="A24" s="10">
        <f t="shared" ca="1" si="0"/>
        <v>46138.687885069397</v>
      </c>
      <c r="B24" s="5" t="s">
        <v>75</v>
      </c>
      <c r="C24" s="11">
        <v>0.68788194444444395</v>
      </c>
      <c r="D24" s="11" t="s">
        <v>62</v>
      </c>
      <c r="E24" s="11">
        <v>0.77901620370370395</v>
      </c>
      <c r="F24" s="12">
        <f t="shared" si="1"/>
        <v>2.1872222222222399</v>
      </c>
      <c r="G24" s="13">
        <f t="shared" si="2"/>
        <v>2.1872222222222399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46138.8546915509</v>
      </c>
      <c r="B25" s="5" t="s">
        <v>75</v>
      </c>
      <c r="C25" s="11">
        <v>0.85468750000000004</v>
      </c>
      <c r="D25" s="11" t="s">
        <v>62</v>
      </c>
      <c r="E25" s="11">
        <v>0.95784722222222196</v>
      </c>
      <c r="F25" s="12">
        <f t="shared" si="1"/>
        <v>2.475833333333326</v>
      </c>
      <c r="G25" s="13">
        <f t="shared" si="2"/>
        <v>2.475833333333326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46139.951121527803</v>
      </c>
      <c r="B26" s="5" t="s">
        <v>75</v>
      </c>
      <c r="C26" s="11">
        <v>0.95111111111111102</v>
      </c>
      <c r="D26" s="11" t="s">
        <v>62</v>
      </c>
      <c r="E26" s="11">
        <v>0.11761574074074101</v>
      </c>
      <c r="F26" s="12">
        <f t="shared" si="1"/>
        <v>3.9961111111111194</v>
      </c>
      <c r="G26" s="13">
        <f t="shared" si="2"/>
        <v>1.1733333333333351</v>
      </c>
      <c r="H26" s="13">
        <f t="shared" si="3"/>
        <v>2.8227777777777843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42"/>
  <sheetViews>
    <sheetView tabSelected="1" topLeftCell="D7" zoomScale="85" zoomScaleNormal="85" workbookViewId="0">
      <selection activeCell="Q49" sqref="Q4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46113.3679170139</v>
      </c>
      <c r="B3" s="5" t="s">
        <v>61</v>
      </c>
      <c r="C3" s="11">
        <v>0.367916666666667</v>
      </c>
      <c r="D3" s="11" t="s">
        <v>62</v>
      </c>
      <c r="E3" s="11">
        <v>0.55797453703703703</v>
      </c>
      <c r="F3" s="12">
        <f t="shared" ref="F3:F42" si="1">(IF(E3-C3&lt;0,"24:00"-C3+E3,E3-C3))*24</f>
        <v>4.5613888888888807</v>
      </c>
      <c r="G3" s="13">
        <f t="shared" ref="G3:G42" si="2">F3-H3</f>
        <v>4.5613888888888807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6.1102777777777693</v>
      </c>
      <c r="K3" s="18">
        <f>SUMIF(B:B,"带班主任",G:G)</f>
        <v>6.1102777777777693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46113.689504398099</v>
      </c>
      <c r="B4" s="5" t="s">
        <v>85</v>
      </c>
      <c r="C4" s="11">
        <v>0.68950231481481505</v>
      </c>
      <c r="D4" s="11" t="s">
        <v>62</v>
      </c>
      <c r="E4" s="11">
        <v>0.72648148148148195</v>
      </c>
      <c r="F4" s="12">
        <f t="shared" si="1"/>
        <v>0.88750000000000551</v>
      </c>
      <c r="G4" s="13">
        <f t="shared" si="2"/>
        <v>0.88750000000000551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46115.899533101903</v>
      </c>
      <c r="B5" s="5" t="s">
        <v>85</v>
      </c>
      <c r="C5" s="11">
        <v>0.89952546296296299</v>
      </c>
      <c r="D5" s="11" t="s">
        <v>62</v>
      </c>
      <c r="E5" s="11">
        <v>0.92927083333333305</v>
      </c>
      <c r="F5" s="12">
        <f t="shared" si="1"/>
        <v>0.71388888888888147</v>
      </c>
      <c r="G5" s="13">
        <f t="shared" si="2"/>
        <v>0.71388888888888147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46117.871992245397</v>
      </c>
      <c r="B6" s="5" t="s">
        <v>85</v>
      </c>
      <c r="C6" s="11">
        <v>0.87199074074074101</v>
      </c>
      <c r="D6" s="11" t="s">
        <v>62</v>
      </c>
      <c r="E6" s="11">
        <v>0.90050925925925895</v>
      </c>
      <c r="F6" s="12">
        <f t="shared" si="1"/>
        <v>0.68444444444443064</v>
      </c>
      <c r="G6" s="13">
        <f t="shared" si="2"/>
        <v>0.68444444444443064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46118.7916153935</v>
      </c>
      <c r="B7" s="5" t="s">
        <v>85</v>
      </c>
      <c r="C7" s="11">
        <v>0.79160879629629599</v>
      </c>
      <c r="D7" s="11" t="s">
        <v>62</v>
      </c>
      <c r="E7" s="11">
        <v>0.83623842592592601</v>
      </c>
      <c r="F7" s="12">
        <f t="shared" si="1"/>
        <v>1.0711111111111205</v>
      </c>
      <c r="G7" s="13">
        <f t="shared" si="2"/>
        <v>1.0711111111111205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46119.4045034722</v>
      </c>
      <c r="B8" s="5" t="s">
        <v>85</v>
      </c>
      <c r="C8" s="11">
        <v>0.40450231481481502</v>
      </c>
      <c r="D8" s="11" t="s">
        <v>62</v>
      </c>
      <c r="E8" s="11">
        <v>0.48489583333333303</v>
      </c>
      <c r="F8" s="12">
        <f t="shared" si="1"/>
        <v>1.9294444444444321</v>
      </c>
      <c r="G8" s="13">
        <f t="shared" si="2"/>
        <v>1.9294444444444321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46120.362670370399</v>
      </c>
      <c r="B9" s="5" t="s">
        <v>85</v>
      </c>
      <c r="C9" s="11">
        <v>0.36266203703703698</v>
      </c>
      <c r="D9" s="11" t="s">
        <v>62</v>
      </c>
      <c r="E9" s="11">
        <v>0.526747685185185</v>
      </c>
      <c r="F9" s="12">
        <f t="shared" si="1"/>
        <v>3.9380555555555525</v>
      </c>
      <c r="G9" s="13">
        <f t="shared" si="2"/>
        <v>3.9380555555555525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46121.363328240703</v>
      </c>
      <c r="B10" s="5" t="s">
        <v>85</v>
      </c>
      <c r="C10" s="11">
        <v>0.36332175925925903</v>
      </c>
      <c r="D10" s="11" t="s">
        <v>62</v>
      </c>
      <c r="E10" s="11">
        <v>0.50196759259259305</v>
      </c>
      <c r="F10" s="12">
        <f t="shared" si="1"/>
        <v>3.3275000000000166</v>
      </c>
      <c r="G10" s="13">
        <f t="shared" si="2"/>
        <v>3.3275000000000166</v>
      </c>
      <c r="H10" s="13">
        <f t="shared" si="3"/>
        <v>0</v>
      </c>
      <c r="I10" s="21" t="s">
        <v>70</v>
      </c>
      <c r="J10" s="22">
        <f>SUMIF(B:B,"综合协调席",F:F)</f>
        <v>23.886944444444424</v>
      </c>
      <c r="K10" s="23">
        <f>SUMIF(B:B,"综合协调席",G:G)</f>
        <v>22.255277777777756</v>
      </c>
      <c r="L10" s="23">
        <f>SUMIF(B:B,"综合协调席",H:H)</f>
        <v>1.6316666666666666</v>
      </c>
      <c r="M10" s="19"/>
    </row>
    <row r="11" spans="1:16" ht="18.75" x14ac:dyDescent="0.25">
      <c r="A11" s="10">
        <f t="shared" ca="1" si="0"/>
        <v>46121.520967592602</v>
      </c>
      <c r="B11" s="5" t="s">
        <v>85</v>
      </c>
      <c r="C11" s="11">
        <v>0.52096064814814802</v>
      </c>
      <c r="D11" s="11" t="s">
        <v>62</v>
      </c>
      <c r="E11" s="11">
        <v>0.56199074074074096</v>
      </c>
      <c r="F11" s="12">
        <f t="shared" si="1"/>
        <v>0.98472222222223049</v>
      </c>
      <c r="G11" s="13">
        <f t="shared" si="2"/>
        <v>0.98472222222223049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46121.6554650463</v>
      </c>
      <c r="B12" s="5" t="s">
        <v>85</v>
      </c>
      <c r="C12" s="11">
        <v>0.65546296296296302</v>
      </c>
      <c r="D12" s="11" t="s">
        <v>62</v>
      </c>
      <c r="E12" s="11">
        <v>0.72261574074074097</v>
      </c>
      <c r="F12" s="12">
        <f t="shared" si="1"/>
        <v>1.6116666666666708</v>
      </c>
      <c r="G12" s="13">
        <f t="shared" si="2"/>
        <v>1.6116666666666708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46122.0226547454</v>
      </c>
      <c r="B13" s="5" t="s">
        <v>85</v>
      </c>
      <c r="C13" s="11">
        <v>2.2650462962963001E-2</v>
      </c>
      <c r="D13" s="11" t="s">
        <v>62</v>
      </c>
      <c r="E13" s="11">
        <v>9.0636574074074105E-2</v>
      </c>
      <c r="F13" s="12">
        <f t="shared" si="1"/>
        <v>1.6316666666666666</v>
      </c>
      <c r="G13" s="13">
        <f t="shared" si="2"/>
        <v>0</v>
      </c>
      <c r="H13" s="13">
        <f t="shared" si="3"/>
        <v>1.6316666666666666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46133.377460763899</v>
      </c>
      <c r="B14" s="5" t="s">
        <v>85</v>
      </c>
      <c r="C14" s="11">
        <v>0.37745370370370401</v>
      </c>
      <c r="D14" s="11" t="s">
        <v>62</v>
      </c>
      <c r="E14" s="11">
        <v>0.515162037037037</v>
      </c>
      <c r="F14" s="12">
        <f t="shared" si="1"/>
        <v>3.3049999999999917</v>
      </c>
      <c r="G14" s="13">
        <f t="shared" si="2"/>
        <v>3.3049999999999917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46134.348192708298</v>
      </c>
      <c r="B15" s="5" t="s">
        <v>61</v>
      </c>
      <c r="C15" s="11">
        <v>0.34818287037036999</v>
      </c>
      <c r="D15" s="11" t="s">
        <v>62</v>
      </c>
      <c r="E15" s="11">
        <v>0.41271990740740699</v>
      </c>
      <c r="F15" s="12">
        <f t="shared" si="1"/>
        <v>1.5488888888888881</v>
      </c>
      <c r="G15" s="13">
        <f t="shared" si="2"/>
        <v>1.5488888888888881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46134.412762847198</v>
      </c>
      <c r="B16" s="5" t="s">
        <v>85</v>
      </c>
      <c r="C16" s="11">
        <v>0.41275462962963</v>
      </c>
      <c r="D16" s="11" t="s">
        <v>62</v>
      </c>
      <c r="E16" s="11">
        <v>0.44521990740740702</v>
      </c>
      <c r="F16" s="12">
        <f t="shared" si="1"/>
        <v>0.77916666666664858</v>
      </c>
      <c r="G16" s="13">
        <f t="shared" si="2"/>
        <v>0.77916666666664858</v>
      </c>
      <c r="H16" s="13">
        <f t="shared" si="3"/>
        <v>0</v>
      </c>
      <c r="I16" s="35" t="s">
        <v>63</v>
      </c>
      <c r="J16" s="36">
        <f t="shared" ref="J16:L16" si="4">J3</f>
        <v>6.1102777777777693</v>
      </c>
      <c r="K16" s="37">
        <f t="shared" si="4"/>
        <v>6.1102777777777693</v>
      </c>
      <c r="L16" s="38">
        <f t="shared" si="4"/>
        <v>0</v>
      </c>
      <c r="M16" s="39"/>
    </row>
    <row r="17" spans="1:13" ht="20.25" x14ac:dyDescent="0.25">
      <c r="A17" s="10">
        <f t="shared" ca="1" si="0"/>
        <v>46141.432278009299</v>
      </c>
      <c r="B17" s="5" t="s">
        <v>85</v>
      </c>
      <c r="C17" s="11">
        <v>0.432268518518518</v>
      </c>
      <c r="D17" s="11" t="s">
        <v>62</v>
      </c>
      <c r="E17" s="11">
        <v>0.49342592592592599</v>
      </c>
      <c r="F17" s="12">
        <f t="shared" si="1"/>
        <v>1.4677777777777918</v>
      </c>
      <c r="G17" s="13">
        <f t="shared" si="2"/>
        <v>1.4677777777777918</v>
      </c>
      <c r="H17" s="13">
        <f t="shared" si="3"/>
        <v>0</v>
      </c>
      <c r="I17" s="35" t="s">
        <v>78</v>
      </c>
      <c r="J17" s="36">
        <f>J4+J5+J6+J7+J10</f>
        <v>23.886944444444424</v>
      </c>
      <c r="K17" s="37">
        <f>K4+K5+K6+K7+K10</f>
        <v>22.255277777777756</v>
      </c>
      <c r="L17" s="38">
        <f>L4+L5+L6+L7+L10</f>
        <v>1.6316666666666666</v>
      </c>
      <c r="M17" s="39"/>
    </row>
    <row r="18" spans="1:13" ht="20.25" x14ac:dyDescent="0.25">
      <c r="A18" s="10">
        <f t="shared" ca="1" si="0"/>
        <v>46141.654638888896</v>
      </c>
      <c r="B18" s="5" t="s">
        <v>85</v>
      </c>
      <c r="C18" s="11">
        <v>0.65462962962963001</v>
      </c>
      <c r="D18" s="11" t="s">
        <v>62</v>
      </c>
      <c r="E18" s="11">
        <v>0.71942129629629603</v>
      </c>
      <c r="F18" s="12">
        <f t="shared" si="1"/>
        <v>1.5549999999999846</v>
      </c>
      <c r="G18" s="13">
        <f t="shared" si="2"/>
        <v>1.5549999999999846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29.997222222222192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42"/>
  <sheetViews>
    <sheetView topLeftCell="D1" zoomScale="85" zoomScaleNormal="85" workbookViewId="0">
      <selection activeCell="M24" sqref="M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46114.646945254601</v>
      </c>
      <c r="B3" s="5" t="s">
        <v>85</v>
      </c>
      <c r="C3" s="11">
        <v>0.64694444444444399</v>
      </c>
      <c r="D3" s="11" t="s">
        <v>62</v>
      </c>
      <c r="E3" s="11">
        <v>0.71909722222222205</v>
      </c>
      <c r="F3" s="12">
        <f t="shared" ref="F3:F42" si="1">(IF(E3-C3&lt;0,"24:00"-C3+E3,E3-C3))*24</f>
        <v>1.7316666666666736</v>
      </c>
      <c r="G3" s="13">
        <f t="shared" ref="G3:G42" si="2">F3-H3</f>
        <v>1.7316666666666736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46120.385942361099</v>
      </c>
      <c r="B4" s="5" t="s">
        <v>85</v>
      </c>
      <c r="C4" s="11">
        <v>0.38593749999999999</v>
      </c>
      <c r="D4" s="11" t="s">
        <v>62</v>
      </c>
      <c r="E4" s="11">
        <v>0.50059027777777798</v>
      </c>
      <c r="F4" s="12">
        <f t="shared" si="1"/>
        <v>2.7516666666666718</v>
      </c>
      <c r="G4" s="13">
        <f t="shared" si="2"/>
        <v>2.7516666666666718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46123.400234259301</v>
      </c>
      <c r="B5" s="5" t="s">
        <v>85</v>
      </c>
      <c r="C5" s="11">
        <v>0.358564814814815</v>
      </c>
      <c r="D5" s="11" t="s">
        <v>62</v>
      </c>
      <c r="E5" s="11">
        <v>0.51165509259259301</v>
      </c>
      <c r="F5" s="12">
        <f t="shared" si="1"/>
        <v>3.6741666666666721</v>
      </c>
      <c r="G5" s="13">
        <f t="shared" si="2"/>
        <v>3.6741666666666721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46123.928423958299</v>
      </c>
      <c r="B6" s="5" t="s">
        <v>85</v>
      </c>
      <c r="C6" s="11">
        <v>0.59508101851851902</v>
      </c>
      <c r="D6" s="11" t="s">
        <v>62</v>
      </c>
      <c r="E6" s="11">
        <v>0.74100694444444404</v>
      </c>
      <c r="F6" s="12">
        <f t="shared" si="1"/>
        <v>3.5022222222222004</v>
      </c>
      <c r="G6" s="13">
        <f t="shared" si="2"/>
        <v>3.5022222222222004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46123.9285930556</v>
      </c>
      <c r="B7" s="5" t="s">
        <v>85</v>
      </c>
      <c r="C7" s="11">
        <v>0.80358796296296298</v>
      </c>
      <c r="D7" s="11" t="s">
        <v>62</v>
      </c>
      <c r="E7" s="11">
        <v>0.94255787037036998</v>
      </c>
      <c r="F7" s="12">
        <f t="shared" si="1"/>
        <v>3.335277777777768</v>
      </c>
      <c r="G7" s="13">
        <f t="shared" si="2"/>
        <v>3.335277777777768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46126.386208217598</v>
      </c>
      <c r="B8" s="5" t="s">
        <v>85</v>
      </c>
      <c r="C8" s="11">
        <v>0.38620370370370399</v>
      </c>
      <c r="D8" s="11" t="s">
        <v>62</v>
      </c>
      <c r="E8" s="11">
        <v>0.435960648148148</v>
      </c>
      <c r="F8" s="12">
        <f t="shared" si="1"/>
        <v>1.1941666666666562</v>
      </c>
      <c r="G8" s="13">
        <f t="shared" si="2"/>
        <v>1.1941666666666562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46134.812848611102</v>
      </c>
      <c r="B9" s="5" t="s">
        <v>85</v>
      </c>
      <c r="C9" s="11">
        <v>0.81284722222222205</v>
      </c>
      <c r="D9" s="11" t="s">
        <v>62</v>
      </c>
      <c r="E9" s="11">
        <v>0.98972222222222195</v>
      </c>
      <c r="F9" s="12">
        <f t="shared" si="1"/>
        <v>4.2449999999999974</v>
      </c>
      <c r="G9" s="13">
        <f t="shared" si="2"/>
        <v>4.2449999999999974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46135.399507407397</v>
      </c>
      <c r="B10" s="5" t="s">
        <v>85</v>
      </c>
      <c r="C10" s="11">
        <v>0.39950231481481502</v>
      </c>
      <c r="D10" s="11" t="s">
        <v>62</v>
      </c>
      <c r="E10" s="11">
        <v>0.52440972222222204</v>
      </c>
      <c r="F10" s="12">
        <f t="shared" si="1"/>
        <v>2.9977777777777685</v>
      </c>
      <c r="G10" s="13">
        <f t="shared" si="2"/>
        <v>2.9977777777777685</v>
      </c>
      <c r="H10" s="13">
        <f t="shared" si="3"/>
        <v>0</v>
      </c>
      <c r="I10" s="21" t="s">
        <v>70</v>
      </c>
      <c r="J10" s="22">
        <f>SUMIF(B:B,"综合协调席",F:F)</f>
        <v>30.570555555555508</v>
      </c>
      <c r="K10" s="23">
        <f>SUMIF(B:B,"综合协调席",G:G)</f>
        <v>30.570555555555508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46140.377312615703</v>
      </c>
      <c r="B11" s="5" t="s">
        <v>85</v>
      </c>
      <c r="C11" s="11">
        <v>0.37730324074074101</v>
      </c>
      <c r="D11" s="11" t="s">
        <v>62</v>
      </c>
      <c r="E11" s="11">
        <v>0.531712962962963</v>
      </c>
      <c r="F11" s="12">
        <f t="shared" si="1"/>
        <v>3.7058333333333278</v>
      </c>
      <c r="G11" s="13">
        <f t="shared" si="2"/>
        <v>3.7058333333333278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46140.685621643497</v>
      </c>
      <c r="B12" s="5" t="s">
        <v>85</v>
      </c>
      <c r="C12" s="11">
        <v>0.685613425925926</v>
      </c>
      <c r="D12" s="11" t="s">
        <v>62</v>
      </c>
      <c r="E12" s="11">
        <v>0.82864583333333297</v>
      </c>
      <c r="F12" s="12">
        <f t="shared" si="1"/>
        <v>3.4327777777777673</v>
      </c>
      <c r="G12" s="13">
        <f t="shared" si="2"/>
        <v>3.4327777777777673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78</v>
      </c>
      <c r="J17" s="36">
        <f>J4+J5+J6+J7+J10</f>
        <v>30.570555555555508</v>
      </c>
      <c r="K17" s="37">
        <f>K4+K5+K6+K7+K10</f>
        <v>30.570555555555508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30.570555555555508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46115.140080902798</v>
      </c>
      <c r="B3" s="5" t="s">
        <v>82</v>
      </c>
      <c r="C3" s="11">
        <v>0.14008101851851901</v>
      </c>
      <c r="D3" s="11" t="s">
        <v>62</v>
      </c>
      <c r="E3" s="11">
        <v>0.22289351851851799</v>
      </c>
      <c r="F3" s="12">
        <f t="shared" ref="F3:F42" si="1">(IF(E3-C3&lt;0,"24:00"-C3+E3,E3-C3))*24</f>
        <v>1.9874999999999756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1.9874999999999756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46115.952398611102</v>
      </c>
      <c r="B4" s="5" t="s">
        <v>75</v>
      </c>
      <c r="C4" s="11">
        <v>0.952395833333333</v>
      </c>
      <c r="D4" s="11" t="s">
        <v>62</v>
      </c>
      <c r="E4" s="11">
        <v>0.14173611111111101</v>
      </c>
      <c r="F4" s="12">
        <f t="shared" si="1"/>
        <v>4.5441666666666727</v>
      </c>
      <c r="G4" s="13">
        <f t="shared" si="2"/>
        <v>1.1425000000000085</v>
      </c>
      <c r="H4" s="13">
        <f t="shared" si="3"/>
        <v>3.4016666666666642</v>
      </c>
      <c r="I4" s="21" t="s">
        <v>64</v>
      </c>
      <c r="J4" s="22">
        <f>SUMIF(B:B,"西塔台管制席",F:F)+SUMIF(B:B,"东塔台管制席",F:F)</f>
        <v>27.774722222222199</v>
      </c>
      <c r="K4" s="23">
        <f>SUMIF(B:B,"西塔台管制席",G:G)+SUMIF(B:B,"东塔台管制席",G:G)</f>
        <v>13.964166666666671</v>
      </c>
      <c r="L4" s="23">
        <f>SUMIF(B:B,"西塔台管制席",H:H)+SUMIF(B:B,"东塔台管制席",H:H)</f>
        <v>13.810555555555522</v>
      </c>
      <c r="M4" s="19"/>
    </row>
    <row r="5" spans="1:16" ht="18.75" x14ac:dyDescent="0.25">
      <c r="A5" s="10">
        <f t="shared" ca="1" si="0"/>
        <v>46118.502301967601</v>
      </c>
      <c r="B5" s="5" t="s">
        <v>75</v>
      </c>
      <c r="C5" s="11">
        <v>0.50229166666666702</v>
      </c>
      <c r="D5" s="11" t="s">
        <v>62</v>
      </c>
      <c r="E5" s="11">
        <v>0.55899305555555601</v>
      </c>
      <c r="F5" s="12">
        <f t="shared" si="1"/>
        <v>1.3608333333333356</v>
      </c>
      <c r="G5" s="13">
        <f t="shared" si="2"/>
        <v>1.3608333333333356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10.950555555555532</v>
      </c>
      <c r="K5" s="23">
        <f>SUMIF(B:B,"西塔台协调席",G:G)+SUMIF(B:B,"东塔台协调席",G:G)</f>
        <v>5.9711111111111057</v>
      </c>
      <c r="L5" s="23">
        <f>SUMIF(B:B,"西塔台协调席",H:H)+SUMIF(B:B,"东塔台协调席",H:H)</f>
        <v>4.979444444444427</v>
      </c>
      <c r="M5" s="19"/>
    </row>
    <row r="6" spans="1:16" ht="18.75" x14ac:dyDescent="0.25">
      <c r="A6" s="10">
        <f t="shared" ca="1" si="0"/>
        <v>46118.574625578702</v>
      </c>
      <c r="B6" s="5" t="s">
        <v>75</v>
      </c>
      <c r="C6" s="11">
        <v>0.57461805555555601</v>
      </c>
      <c r="D6" s="11" t="s">
        <v>62</v>
      </c>
      <c r="E6" s="11">
        <v>0.63144675925925897</v>
      </c>
      <c r="F6" s="12">
        <f t="shared" si="1"/>
        <v>1.3638888888888712</v>
      </c>
      <c r="G6" s="13">
        <f t="shared" si="2"/>
        <v>1.3638888888888712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46118.751936458299</v>
      </c>
      <c r="B7" s="5" t="s">
        <v>76</v>
      </c>
      <c r="C7" s="11">
        <v>0.75193287037037004</v>
      </c>
      <c r="D7" s="11" t="s">
        <v>62</v>
      </c>
      <c r="E7" s="11">
        <v>0.814884259259259</v>
      </c>
      <c r="F7" s="12">
        <f t="shared" si="1"/>
        <v>1.510833333333335</v>
      </c>
      <c r="G7" s="13">
        <f t="shared" si="2"/>
        <v>1.510833333333335</v>
      </c>
      <c r="H7" s="13">
        <f t="shared" si="3"/>
        <v>0</v>
      </c>
      <c r="I7" s="21" t="s">
        <v>67</v>
      </c>
      <c r="J7" s="22">
        <f>SUMIF(B:B,"地面席",F:F)</f>
        <v>3.8866666666666312</v>
      </c>
      <c r="K7" s="23">
        <f>SUMIF(B:B,"地面席",G:G)</f>
        <v>0</v>
      </c>
      <c r="L7" s="23">
        <f>SUMIF(B:B,"地面席",H:H)</f>
        <v>3.8866666666666312</v>
      </c>
      <c r="M7" s="19"/>
    </row>
    <row r="8" spans="1:16" ht="18.75" x14ac:dyDescent="0.25">
      <c r="A8" s="10">
        <f t="shared" ca="1" si="0"/>
        <v>46118.825838541699</v>
      </c>
      <c r="B8" s="5" t="s">
        <v>76</v>
      </c>
      <c r="C8" s="11">
        <v>0.82583333333333298</v>
      </c>
      <c r="D8" s="11" t="s">
        <v>62</v>
      </c>
      <c r="E8" s="11">
        <v>0.88054398148148105</v>
      </c>
      <c r="F8" s="12">
        <f t="shared" si="1"/>
        <v>1.3130555555555539</v>
      </c>
      <c r="G8" s="13">
        <f t="shared" si="2"/>
        <v>1.3130555555555539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46119.294718750003</v>
      </c>
      <c r="B9" s="5" t="s">
        <v>75</v>
      </c>
      <c r="C9" s="11">
        <v>0.29471064814814801</v>
      </c>
      <c r="D9" s="11" t="s">
        <v>62</v>
      </c>
      <c r="E9" s="11">
        <v>0.40212962962963</v>
      </c>
      <c r="F9" s="12">
        <f t="shared" si="1"/>
        <v>2.5780555555555678</v>
      </c>
      <c r="G9" s="13">
        <f t="shared" si="2"/>
        <v>1.6511111111111285</v>
      </c>
      <c r="H9" s="13">
        <f t="shared" si="3"/>
        <v>0.92694444444443924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46119.544059490698</v>
      </c>
      <c r="B10" s="5" t="s">
        <v>75</v>
      </c>
      <c r="C10" s="11">
        <v>0.54405092592592597</v>
      </c>
      <c r="D10" s="11" t="s">
        <v>62</v>
      </c>
      <c r="E10" s="11">
        <v>0.71504629629629601</v>
      </c>
      <c r="F10" s="12">
        <f t="shared" si="1"/>
        <v>4.1038888888888811</v>
      </c>
      <c r="G10" s="13">
        <f t="shared" si="2"/>
        <v>4.1038888888888811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46123.015927893503</v>
      </c>
      <c r="B11" s="5" t="s">
        <v>76</v>
      </c>
      <c r="C11" s="11">
        <v>1.5925925925925899E-2</v>
      </c>
      <c r="D11" s="11" t="s">
        <v>62</v>
      </c>
      <c r="E11" s="11">
        <v>0.111087962962963</v>
      </c>
      <c r="F11" s="12">
        <f t="shared" si="1"/>
        <v>2.2838888888888906</v>
      </c>
      <c r="G11" s="13">
        <f t="shared" si="2"/>
        <v>0</v>
      </c>
      <c r="H11" s="13">
        <f t="shared" si="3"/>
        <v>2.2838888888888906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46123.111129282399</v>
      </c>
      <c r="B12" s="5" t="s">
        <v>76</v>
      </c>
      <c r="C12" s="11">
        <v>0.11112268518518501</v>
      </c>
      <c r="D12" s="11" t="s">
        <v>62</v>
      </c>
      <c r="E12" s="11">
        <v>0.14473379629629601</v>
      </c>
      <c r="F12" s="12">
        <f t="shared" si="1"/>
        <v>0.8066666666666642</v>
      </c>
      <c r="G12" s="13">
        <f t="shared" si="2"/>
        <v>0</v>
      </c>
      <c r="H12" s="13">
        <f t="shared" si="3"/>
        <v>0.8066666666666642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46124.138277546299</v>
      </c>
      <c r="B13" s="5" t="s">
        <v>75</v>
      </c>
      <c r="C13" s="11">
        <v>0.138275462962963</v>
      </c>
      <c r="D13" s="11" t="s">
        <v>62</v>
      </c>
      <c r="E13" s="11">
        <v>0.301145833333333</v>
      </c>
      <c r="F13" s="12">
        <f t="shared" si="1"/>
        <v>3.90888888888888</v>
      </c>
      <c r="G13" s="13">
        <f t="shared" si="2"/>
        <v>0</v>
      </c>
      <c r="H13" s="13">
        <f t="shared" si="3"/>
        <v>3.90888888888888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46131.101111458302</v>
      </c>
      <c r="B14" s="5" t="s">
        <v>73</v>
      </c>
      <c r="C14" s="11">
        <v>0.94972222222222202</v>
      </c>
      <c r="D14" s="11" t="s">
        <v>62</v>
      </c>
      <c r="E14" s="11">
        <v>0.101122685185185</v>
      </c>
      <c r="F14" s="12">
        <f t="shared" si="1"/>
        <v>3.6336111111111116</v>
      </c>
      <c r="G14" s="13">
        <f t="shared" si="2"/>
        <v>1.2066666666666714</v>
      </c>
      <c r="H14" s="13">
        <f t="shared" si="3"/>
        <v>2.4269444444444401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46139.139991550903</v>
      </c>
      <c r="B15" s="5" t="s">
        <v>82</v>
      </c>
      <c r="C15" s="11">
        <v>0.139988425925926</v>
      </c>
      <c r="D15" s="11" t="s">
        <v>62</v>
      </c>
      <c r="E15" s="11">
        <v>0.21912037037036999</v>
      </c>
      <c r="F15" s="12">
        <f t="shared" si="1"/>
        <v>1.8991666666666558</v>
      </c>
      <c r="G15" s="13">
        <f t="shared" si="2"/>
        <v>0</v>
      </c>
      <c r="H15" s="13">
        <f t="shared" si="3"/>
        <v>1.8991666666666558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46139.219158217602</v>
      </c>
      <c r="B16" s="5" t="s">
        <v>76</v>
      </c>
      <c r="C16" s="11">
        <v>0.219155092592593</v>
      </c>
      <c r="D16" s="11" t="s">
        <v>62</v>
      </c>
      <c r="E16" s="11">
        <v>0.29785879629629602</v>
      </c>
      <c r="F16" s="12">
        <f t="shared" si="1"/>
        <v>1.8888888888888726</v>
      </c>
      <c r="G16" s="13">
        <f t="shared" si="2"/>
        <v>0</v>
      </c>
      <c r="H16" s="13">
        <f t="shared" si="3"/>
        <v>1.8888888888888726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46140.014303472199</v>
      </c>
      <c r="B17" s="5" t="s">
        <v>73</v>
      </c>
      <c r="C17" s="11">
        <v>1.42939814814815E-2</v>
      </c>
      <c r="D17" s="11" t="s">
        <v>62</v>
      </c>
      <c r="E17" s="11">
        <v>0.14538194444444399</v>
      </c>
      <c r="F17" s="12">
        <f t="shared" si="1"/>
        <v>3.1461111111110998</v>
      </c>
      <c r="G17" s="13">
        <f t="shared" si="2"/>
        <v>0</v>
      </c>
      <c r="H17" s="13">
        <f t="shared" si="3"/>
        <v>3.1461111111110998</v>
      </c>
      <c r="I17" s="35" t="s">
        <v>78</v>
      </c>
      <c r="J17" s="36">
        <f>J4+J5+J6+J7+J10</f>
        <v>42.611944444444362</v>
      </c>
      <c r="K17" s="37">
        <f>K4+K5+K6+K7+K10</f>
        <v>19.935277777777777</v>
      </c>
      <c r="L17" s="38">
        <f>L4+L5+L6+L7+L10</f>
        <v>22.676666666666581</v>
      </c>
      <c r="M17" s="39"/>
    </row>
    <row r="18" spans="1:13" ht="20.25" x14ac:dyDescent="0.25">
      <c r="A18" s="10">
        <f t="shared" ca="1" si="0"/>
        <v>46142.500665277803</v>
      </c>
      <c r="B18" s="5" t="s">
        <v>81</v>
      </c>
      <c r="C18" s="11">
        <v>0.50065972222222199</v>
      </c>
      <c r="D18" s="11" t="s">
        <v>62</v>
      </c>
      <c r="E18" s="11">
        <v>0.63179398148148103</v>
      </c>
      <c r="F18" s="12">
        <f t="shared" si="1"/>
        <v>3.1472222222222168</v>
      </c>
      <c r="G18" s="13">
        <f t="shared" si="2"/>
        <v>3.1472222222222168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46142.751525925902</v>
      </c>
      <c r="B19" s="5" t="s">
        <v>73</v>
      </c>
      <c r="C19" s="11">
        <v>0.75151620370370398</v>
      </c>
      <c r="D19" s="11" t="s">
        <v>62</v>
      </c>
      <c r="E19" s="11">
        <v>0.88215277777777801</v>
      </c>
      <c r="F19" s="12">
        <f t="shared" si="1"/>
        <v>3.1352777777777767</v>
      </c>
      <c r="G19" s="13">
        <f t="shared" si="2"/>
        <v>3.1352777777777767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42.611944444444362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46114.353803587997</v>
      </c>
      <c r="B3" s="5" t="s">
        <v>87</v>
      </c>
      <c r="C3" s="11">
        <v>0.353796296296296</v>
      </c>
      <c r="D3" s="11" t="s">
        <v>62</v>
      </c>
      <c r="E3" s="11">
        <v>0.52996527777777802</v>
      </c>
      <c r="F3" s="12">
        <f t="shared" ref="F3:F42" si="1">(IF(E3-C3&lt;0,"24:00"-C3+E3,E3-C3))*24</f>
        <v>4.228055555555569</v>
      </c>
      <c r="G3" s="13">
        <f t="shared" ref="G3:G42" si="2">F3-H3</f>
        <v>4.228055555555569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46114.6545422454</v>
      </c>
      <c r="B4" s="5" t="s">
        <v>84</v>
      </c>
      <c r="C4" s="11">
        <v>0.65453703703703703</v>
      </c>
      <c r="D4" s="11" t="s">
        <v>62</v>
      </c>
      <c r="E4" s="11">
        <v>0.70311342592592596</v>
      </c>
      <c r="F4" s="12">
        <f t="shared" si="1"/>
        <v>1.1658333333333344</v>
      </c>
      <c r="G4" s="13">
        <f t="shared" si="2"/>
        <v>1.1658333333333344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46114.703156944401</v>
      </c>
      <c r="B5" s="5" t="s">
        <v>87</v>
      </c>
      <c r="C5" s="11">
        <v>0.70314814814814797</v>
      </c>
      <c r="D5" s="11" t="s">
        <v>62</v>
      </c>
      <c r="E5" s="11">
        <v>0.77245370370370403</v>
      </c>
      <c r="F5" s="12">
        <f t="shared" si="1"/>
        <v>1.6633333333333455</v>
      </c>
      <c r="G5" s="13">
        <f t="shared" si="2"/>
        <v>1.6633333333333455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46114.857236805597</v>
      </c>
      <c r="B6" s="5" t="s">
        <v>87</v>
      </c>
      <c r="C6" s="11">
        <v>0.85723379629629604</v>
      </c>
      <c r="D6" s="11" t="s">
        <v>62</v>
      </c>
      <c r="E6" s="11">
        <v>0.95608796296296295</v>
      </c>
      <c r="F6" s="12">
        <f t="shared" si="1"/>
        <v>2.3725000000000058</v>
      </c>
      <c r="G6" s="13">
        <f t="shared" si="2"/>
        <v>2.3725000000000058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46115.294037384301</v>
      </c>
      <c r="B7" s="5" t="s">
        <v>87</v>
      </c>
      <c r="C7" s="11">
        <v>0.294027777777778</v>
      </c>
      <c r="D7" s="11" t="s">
        <v>62</v>
      </c>
      <c r="E7" s="11">
        <v>0.42226851851851799</v>
      </c>
      <c r="F7" s="12">
        <f t="shared" si="1"/>
        <v>3.0777777777777597</v>
      </c>
      <c r="G7" s="13">
        <f t="shared" si="2"/>
        <v>2.1344444444444401</v>
      </c>
      <c r="H7" s="13">
        <f t="shared" si="3"/>
        <v>0.94333333333331959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46115.522116550899</v>
      </c>
      <c r="B8" s="5" t="s">
        <v>87</v>
      </c>
      <c r="C8" s="11">
        <v>0.52210648148148098</v>
      </c>
      <c r="D8" s="11" t="s">
        <v>62</v>
      </c>
      <c r="E8" s="11">
        <v>0.63101851851851898</v>
      </c>
      <c r="F8" s="12">
        <f t="shared" si="1"/>
        <v>2.613888888888912</v>
      </c>
      <c r="G8" s="13">
        <f t="shared" si="2"/>
        <v>2.613888888888912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46119.012665740702</v>
      </c>
      <c r="B9" s="5" t="s">
        <v>87</v>
      </c>
      <c r="C9" s="11">
        <v>1.2662037037036999E-2</v>
      </c>
      <c r="D9" s="11" t="s">
        <v>62</v>
      </c>
      <c r="E9" s="11">
        <v>9.9629629629629596E-2</v>
      </c>
      <c r="F9" s="12">
        <f t="shared" si="1"/>
        <v>2.0872222222222225</v>
      </c>
      <c r="G9" s="13">
        <f t="shared" si="2"/>
        <v>0</v>
      </c>
      <c r="H9" s="13">
        <f t="shared" si="3"/>
        <v>2.0872222222222225</v>
      </c>
      <c r="I9" s="21" t="s">
        <v>69</v>
      </c>
      <c r="J9" s="22">
        <f>SUMIF(B:B,"航班调度席",F:F)</f>
        <v>1.1658333333333344</v>
      </c>
      <c r="K9" s="23">
        <f>SUMIF(B:B,"航班调度席",G:G)</f>
        <v>1.1658333333333344</v>
      </c>
      <c r="L9" s="23">
        <f>SUMIF(B:B,"航班调度席",H:H)</f>
        <v>0</v>
      </c>
      <c r="M9" s="19"/>
    </row>
    <row r="10" spans="1:16" ht="18.75" x14ac:dyDescent="0.25">
      <c r="A10" s="10">
        <f t="shared" ref="A10" ca="1" si="4">IF(B10="","",IF(A10="",NOW(),A10))</f>
        <v>46115.522116550899</v>
      </c>
      <c r="B10" s="5" t="s">
        <v>87</v>
      </c>
      <c r="C10" s="11">
        <v>0.74780092592592595</v>
      </c>
      <c r="D10" s="11" t="s">
        <v>62</v>
      </c>
      <c r="E10" s="11">
        <v>0.83935185185185202</v>
      </c>
      <c r="F10" s="12">
        <f t="shared" si="1"/>
        <v>2.1972222222222255</v>
      </c>
      <c r="G10" s="13">
        <f t="shared" si="2"/>
        <v>2.1972222222222255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46119.099685995403</v>
      </c>
      <c r="B11" s="5" t="s">
        <v>87</v>
      </c>
      <c r="C11" s="11">
        <v>9.9675925925925904E-2</v>
      </c>
      <c r="D11" s="11" t="s">
        <v>62</v>
      </c>
      <c r="E11" s="11">
        <v>0.14557870370370399</v>
      </c>
      <c r="F11" s="12">
        <f t="shared" si="1"/>
        <v>1.1016666666666741</v>
      </c>
      <c r="G11" s="13">
        <f t="shared" si="2"/>
        <v>0</v>
      </c>
      <c r="H11" s="13">
        <f t="shared" si="3"/>
        <v>1.1016666666666741</v>
      </c>
      <c r="I11" s="24" t="s">
        <v>71</v>
      </c>
      <c r="J11" s="25">
        <f>SUMIF(B:B,"见习管制员",F:F)</f>
        <v>61.908055555555613</v>
      </c>
      <c r="K11" s="26">
        <f>SUMIF(B:B,"见习管制员",G:G)</f>
        <v>47.413055555555601</v>
      </c>
      <c r="L11" s="26">
        <f>SUMIF(B:B,"见习管制员",H:H)</f>
        <v>14.49500000000001</v>
      </c>
      <c r="M11" s="19"/>
    </row>
    <row r="12" spans="1:16" ht="18.75" x14ac:dyDescent="0.25">
      <c r="A12" s="10">
        <f t="shared" ca="1" si="0"/>
        <v>46119.951684490698</v>
      </c>
      <c r="B12" s="5" t="s">
        <v>87</v>
      </c>
      <c r="C12" s="11">
        <v>0.95167824074074103</v>
      </c>
      <c r="D12" s="11" t="s">
        <v>62</v>
      </c>
      <c r="E12" s="11">
        <v>0.12291666666666699</v>
      </c>
      <c r="F12" s="12">
        <f t="shared" si="1"/>
        <v>4.1097222222222234</v>
      </c>
      <c r="G12" s="13">
        <f t="shared" si="2"/>
        <v>1.1597222222222157</v>
      </c>
      <c r="H12" s="13">
        <f t="shared" si="3"/>
        <v>2.9500000000000077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46123.354479282403</v>
      </c>
      <c r="B13" s="5" t="s">
        <v>87</v>
      </c>
      <c r="C13" s="11">
        <v>0.35447916666666701</v>
      </c>
      <c r="D13" s="11" t="s">
        <v>62</v>
      </c>
      <c r="E13" s="11">
        <v>0.52760416666666698</v>
      </c>
      <c r="F13" s="12">
        <f t="shared" si="1"/>
        <v>4.1549999999999994</v>
      </c>
      <c r="G13" s="13">
        <f t="shared" si="2"/>
        <v>4.1549999999999994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46126.523683564803</v>
      </c>
      <c r="B14" s="5" t="s">
        <v>87</v>
      </c>
      <c r="C14" s="11">
        <v>0.52368055555555604</v>
      </c>
      <c r="D14" s="11" t="s">
        <v>62</v>
      </c>
      <c r="E14" s="11">
        <v>0.58680555555555602</v>
      </c>
      <c r="F14" s="12">
        <f t="shared" si="1"/>
        <v>1.5149999999999997</v>
      </c>
      <c r="G14" s="13">
        <f t="shared" si="2"/>
        <v>1.5149999999999997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46126.773237847199</v>
      </c>
      <c r="B15" s="5" t="s">
        <v>87</v>
      </c>
      <c r="C15" s="11">
        <v>0.77322916666666697</v>
      </c>
      <c r="D15" s="11" t="s">
        <v>62</v>
      </c>
      <c r="E15" s="11">
        <v>0.86285879629629603</v>
      </c>
      <c r="F15" s="12">
        <f t="shared" si="1"/>
        <v>2.1511111111110974</v>
      </c>
      <c r="G15" s="13">
        <f t="shared" si="2"/>
        <v>2.1511111111110974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46127.419383680601</v>
      </c>
      <c r="B16" s="5" t="s">
        <v>87</v>
      </c>
      <c r="C16" s="11">
        <v>0.419375</v>
      </c>
      <c r="D16" s="11" t="s">
        <v>62</v>
      </c>
      <c r="E16" s="11">
        <v>0.52714120370370399</v>
      </c>
      <c r="F16" s="12">
        <f t="shared" si="1"/>
        <v>2.5863888888888957</v>
      </c>
      <c r="G16" s="13">
        <f t="shared" si="2"/>
        <v>2.5863888888888957</v>
      </c>
      <c r="H16" s="13">
        <f t="shared" si="3"/>
        <v>0</v>
      </c>
      <c r="I16" s="35" t="s">
        <v>63</v>
      </c>
      <c r="J16" s="36">
        <f t="shared" ref="J16:L16" si="5">J3</f>
        <v>0</v>
      </c>
      <c r="K16" s="37">
        <f t="shared" si="5"/>
        <v>0</v>
      </c>
      <c r="L16" s="38">
        <f t="shared" si="5"/>
        <v>0</v>
      </c>
      <c r="M16" s="39"/>
    </row>
    <row r="17" spans="1:13" ht="20.25" x14ac:dyDescent="0.25">
      <c r="A17" s="10">
        <f t="shared" ca="1" si="0"/>
        <v>46127.626101851798</v>
      </c>
      <c r="B17" s="5" t="s">
        <v>87</v>
      </c>
      <c r="C17" s="11">
        <v>0.62609953703703702</v>
      </c>
      <c r="D17" s="11" t="s">
        <v>62</v>
      </c>
      <c r="E17" s="11">
        <v>0.77539351851851901</v>
      </c>
      <c r="F17" s="12">
        <f t="shared" si="1"/>
        <v>3.5830555555555677</v>
      </c>
      <c r="G17" s="13">
        <f t="shared" si="2"/>
        <v>3.5830555555555677</v>
      </c>
      <c r="H17" s="13">
        <f t="shared" si="3"/>
        <v>0</v>
      </c>
      <c r="I17" s="35" t="s">
        <v>78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46127.814672916698</v>
      </c>
      <c r="B18" s="5" t="s">
        <v>87</v>
      </c>
      <c r="C18" s="11">
        <v>0.81466435185185204</v>
      </c>
      <c r="D18" s="11" t="s">
        <v>62</v>
      </c>
      <c r="E18" s="11">
        <v>0.95552083333333304</v>
      </c>
      <c r="F18" s="12">
        <f t="shared" si="1"/>
        <v>3.380555555555544</v>
      </c>
      <c r="G18" s="13">
        <f t="shared" si="2"/>
        <v>3.380555555555544</v>
      </c>
      <c r="H18" s="13">
        <f t="shared" si="3"/>
        <v>0</v>
      </c>
      <c r="I18" s="35" t="s">
        <v>71</v>
      </c>
      <c r="J18" s="36">
        <f t="shared" ref="J18:L18" si="6">J11</f>
        <v>61.908055555555613</v>
      </c>
      <c r="K18" s="37">
        <f t="shared" si="6"/>
        <v>47.413055555555601</v>
      </c>
      <c r="L18" s="38">
        <f t="shared" si="6"/>
        <v>14.49500000000001</v>
      </c>
      <c r="M18" s="39"/>
    </row>
    <row r="19" spans="1:13" ht="20.25" x14ac:dyDescent="0.25">
      <c r="A19" s="10">
        <f t="shared" ca="1" si="0"/>
        <v>46131.502136226904</v>
      </c>
      <c r="B19" s="5" t="s">
        <v>87</v>
      </c>
      <c r="C19" s="11">
        <v>0.50212962962963004</v>
      </c>
      <c r="D19" s="11" t="s">
        <v>62</v>
      </c>
      <c r="E19" s="11">
        <v>0.59167824074074105</v>
      </c>
      <c r="F19" s="12">
        <f t="shared" si="1"/>
        <v>2.1491666666666642</v>
      </c>
      <c r="G19" s="13">
        <f t="shared" si="2"/>
        <v>2.1491666666666642</v>
      </c>
      <c r="H19" s="13">
        <f t="shared" si="3"/>
        <v>0</v>
      </c>
      <c r="I19" s="35" t="s">
        <v>79</v>
      </c>
      <c r="J19" s="36">
        <f t="shared" ref="J19:L19" si="7">J12</f>
        <v>0</v>
      </c>
      <c r="K19" s="37">
        <f t="shared" si="7"/>
        <v>0</v>
      </c>
      <c r="L19" s="38">
        <f t="shared" si="7"/>
        <v>0</v>
      </c>
      <c r="M19" s="39"/>
    </row>
    <row r="20" spans="1:13" ht="20.25" x14ac:dyDescent="0.15">
      <c r="A20" s="10">
        <f t="shared" ca="1" si="0"/>
        <v>46131.715005208302</v>
      </c>
      <c r="B20" s="5" t="s">
        <v>87</v>
      </c>
      <c r="C20" s="11">
        <v>0.71499999999999997</v>
      </c>
      <c r="D20" s="11" t="s">
        <v>62</v>
      </c>
      <c r="E20" s="11">
        <v>0.83923611111111096</v>
      </c>
      <c r="F20" s="12">
        <f t="shared" si="1"/>
        <v>2.9816666666666638</v>
      </c>
      <c r="G20" s="13">
        <f t="shared" si="2"/>
        <v>2.9816666666666638</v>
      </c>
      <c r="H20" s="13">
        <f t="shared" si="3"/>
        <v>0</v>
      </c>
      <c r="I20" s="40" t="s">
        <v>80</v>
      </c>
      <c r="J20" s="65">
        <f>J16+J17+J18+J19</f>
        <v>61.908055555555613</v>
      </c>
      <c r="K20" s="66"/>
      <c r="L20" s="67"/>
      <c r="M20" s="41"/>
    </row>
    <row r="21" spans="1:13" ht="20.25" x14ac:dyDescent="0.25">
      <c r="A21" s="10">
        <f t="shared" ca="1" si="0"/>
        <v>46134.953464351798</v>
      </c>
      <c r="B21" s="5" t="s">
        <v>87</v>
      </c>
      <c r="C21" s="11">
        <v>0.95346064814814802</v>
      </c>
      <c r="D21" s="11" t="s">
        <v>62</v>
      </c>
      <c r="E21" s="11">
        <v>0.117662037037037</v>
      </c>
      <c r="F21" s="12">
        <f t="shared" si="1"/>
        <v>3.9408333333333352</v>
      </c>
      <c r="G21" s="13">
        <f t="shared" si="2"/>
        <v>1.1169444444444472</v>
      </c>
      <c r="H21" s="13">
        <f t="shared" si="3"/>
        <v>2.823888888888888</v>
      </c>
      <c r="I21" s="42" t="s">
        <v>4</v>
      </c>
      <c r="J21" s="43">
        <f>SUM(J8:J9)</f>
        <v>1.1658333333333344</v>
      </c>
      <c r="K21" s="37">
        <f>SUM(K8:K9)</f>
        <v>1.1658333333333344</v>
      </c>
      <c r="L21" s="38">
        <f>SUM(L8:L9)</f>
        <v>0</v>
      </c>
      <c r="M21" s="44"/>
    </row>
    <row r="22" spans="1:13" ht="18.75" x14ac:dyDescent="0.15">
      <c r="A22" s="10">
        <f t="shared" ca="1" si="0"/>
        <v>46136.141468634298</v>
      </c>
      <c r="B22" s="5" t="s">
        <v>87</v>
      </c>
      <c r="C22" s="11">
        <v>0.14145833333333299</v>
      </c>
      <c r="D22" s="11" t="s">
        <v>62</v>
      </c>
      <c r="E22" s="11">
        <v>0.22965277777777801</v>
      </c>
      <c r="F22" s="12">
        <f t="shared" si="1"/>
        <v>2.1166666666666805</v>
      </c>
      <c r="G22" s="13">
        <f t="shared" si="2"/>
        <v>0</v>
      </c>
      <c r="H22" s="13">
        <f t="shared" si="3"/>
        <v>2.1166666666666805</v>
      </c>
      <c r="I22"/>
      <c r="J22"/>
    </row>
    <row r="23" spans="1:13" ht="18.75" x14ac:dyDescent="0.15">
      <c r="A23" s="10">
        <f t="shared" ca="1" si="0"/>
        <v>46138.952844328698</v>
      </c>
      <c r="B23" s="5" t="s">
        <v>87</v>
      </c>
      <c r="C23" s="11">
        <v>0.95283564814814803</v>
      </c>
      <c r="D23" s="11" t="s">
        <v>62</v>
      </c>
      <c r="E23" s="11">
        <v>0.103009259259259</v>
      </c>
      <c r="F23" s="12">
        <f t="shared" si="1"/>
        <v>3.6041666666666634</v>
      </c>
      <c r="G23" s="13">
        <f t="shared" si="2"/>
        <v>1.1319444444444473</v>
      </c>
      <c r="H23" s="13">
        <f t="shared" si="3"/>
        <v>2.4722222222222161</v>
      </c>
      <c r="I23"/>
      <c r="J23"/>
    </row>
    <row r="24" spans="1:13" ht="18.75" x14ac:dyDescent="0.15">
      <c r="A24" s="10">
        <f t="shared" ca="1" si="0"/>
        <v>46139.418406134297</v>
      </c>
      <c r="B24" s="5" t="s">
        <v>87</v>
      </c>
      <c r="C24" s="11">
        <v>0.41840277777777801</v>
      </c>
      <c r="D24" s="11" t="s">
        <v>62</v>
      </c>
      <c r="E24" s="11">
        <v>0.529131944444444</v>
      </c>
      <c r="F24" s="12">
        <f t="shared" si="1"/>
        <v>2.6574999999999838</v>
      </c>
      <c r="G24" s="13">
        <f t="shared" si="2"/>
        <v>2.6574999999999838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46139.626934953703</v>
      </c>
      <c r="B25" s="5" t="s">
        <v>87</v>
      </c>
      <c r="C25" s="11">
        <v>0.62693287037037004</v>
      </c>
      <c r="D25" s="11" t="s">
        <v>62</v>
      </c>
      <c r="E25" s="11">
        <v>0.77841435185185204</v>
      </c>
      <c r="F25" s="12">
        <f t="shared" si="1"/>
        <v>3.6355555555555679</v>
      </c>
      <c r="G25" s="13">
        <f t="shared" si="2"/>
        <v>3.6355555555555679</v>
      </c>
      <c r="H25" s="13">
        <f t="shared" si="3"/>
        <v>0</v>
      </c>
      <c r="I25"/>
      <c r="J25"/>
    </row>
    <row r="26" spans="1:13" ht="18.75" x14ac:dyDescent="0.15">
      <c r="A26" s="10"/>
      <c r="B26" s="5"/>
      <c r="C26" s="11"/>
      <c r="D26" s="11"/>
      <c r="E26" s="11"/>
      <c r="F26" s="12"/>
      <c r="G26" s="13"/>
      <c r="H26" s="13"/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46115.014129976902</v>
      </c>
      <c r="B3" s="5" t="s">
        <v>76</v>
      </c>
      <c r="C3" s="11">
        <v>1.4120370370370399E-2</v>
      </c>
      <c r="D3" s="11" t="s">
        <v>62</v>
      </c>
      <c r="E3" s="11">
        <v>0.14706018518518499</v>
      </c>
      <c r="F3" s="12">
        <f t="shared" ref="F3:F42" si="1">(IF(E3-C3&lt;0,"24:00"-C3+E3,E3-C3))*24</f>
        <v>3.1905555555555503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3.1905555555555503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46116.136494675899</v>
      </c>
      <c r="B4" s="5" t="s">
        <v>75</v>
      </c>
      <c r="C4" s="11">
        <v>0.13649305555555599</v>
      </c>
      <c r="D4" s="11" t="s">
        <v>62</v>
      </c>
      <c r="E4" s="11">
        <v>0.30211805555555599</v>
      </c>
      <c r="F4" s="12">
        <f t="shared" si="1"/>
        <v>3.9749999999999996</v>
      </c>
      <c r="G4" s="13">
        <f t="shared" si="2"/>
        <v>0</v>
      </c>
      <c r="H4" s="13">
        <f t="shared" si="3"/>
        <v>3.9749999999999996</v>
      </c>
      <c r="I4" s="21" t="s">
        <v>64</v>
      </c>
      <c r="J4" s="22">
        <f>SUMIF(B:B,"西塔台管制席",F:F)+SUMIF(B:B,"东塔台管制席",F:F)</f>
        <v>23.570000000000046</v>
      </c>
      <c r="K4" s="23">
        <f>SUMIF(B:B,"西塔台管制席",G:G)+SUMIF(B:B,"东塔台管制席",G:G)</f>
        <v>15.778611111111172</v>
      </c>
      <c r="L4" s="23">
        <f>SUMIF(B:B,"西塔台管制席",H:H)+SUMIF(B:B,"东塔台管制席",H:H)</f>
        <v>7.7913888888888714</v>
      </c>
      <c r="M4" s="19"/>
    </row>
    <row r="5" spans="1:16" ht="18.75" x14ac:dyDescent="0.25">
      <c r="A5" s="10">
        <f t="shared" ca="1" si="0"/>
        <v>46119.0121246528</v>
      </c>
      <c r="B5" s="5" t="s">
        <v>81</v>
      </c>
      <c r="C5" s="11">
        <v>1.2118055555555601E-2</v>
      </c>
      <c r="D5" s="11" t="s">
        <v>62</v>
      </c>
      <c r="E5" s="11">
        <v>9.9548611111111102E-2</v>
      </c>
      <c r="F5" s="12">
        <f t="shared" si="1"/>
        <v>2.0983333333333318</v>
      </c>
      <c r="G5" s="13">
        <f t="shared" si="2"/>
        <v>0</v>
      </c>
      <c r="H5" s="13">
        <f t="shared" si="3"/>
        <v>2.0983333333333318</v>
      </c>
      <c r="I5" s="21" t="s">
        <v>65</v>
      </c>
      <c r="J5" s="22">
        <f>SUMIF(B:B,"西塔台协调席",F:F)+SUMIF(B:B,"东塔台协调席",F:F)</f>
        <v>29.579166666666609</v>
      </c>
      <c r="K5" s="23">
        <f>SUMIF(B:B,"西塔台协调席",G:G)+SUMIF(B:B,"东塔台协调席",G:G)</f>
        <v>15.856944444444409</v>
      </c>
      <c r="L5" s="23">
        <f>SUMIF(B:B,"西塔台协调席",H:H)+SUMIF(B:B,"东塔台协调席",H:H)</f>
        <v>13.722222222222197</v>
      </c>
      <c r="M5" s="19"/>
    </row>
    <row r="6" spans="1:16" ht="18.75" x14ac:dyDescent="0.25">
      <c r="A6" s="10">
        <f t="shared" ca="1" si="0"/>
        <v>46119.103434027798</v>
      </c>
      <c r="B6" s="5" t="s">
        <v>76</v>
      </c>
      <c r="C6" s="11">
        <v>0.103425925925926</v>
      </c>
      <c r="D6" s="11" t="s">
        <v>62</v>
      </c>
      <c r="E6" s="11">
        <v>0.149421296296296</v>
      </c>
      <c r="F6" s="12">
        <f t="shared" si="1"/>
        <v>1.1038888888888798</v>
      </c>
      <c r="G6" s="13">
        <f t="shared" si="2"/>
        <v>0</v>
      </c>
      <c r="H6" s="13">
        <f t="shared" si="3"/>
        <v>1.1038888888888798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46120.014880324103</v>
      </c>
      <c r="B7" s="5" t="s">
        <v>81</v>
      </c>
      <c r="C7" s="11">
        <v>1.4872685185185201E-2</v>
      </c>
      <c r="D7" s="11" t="s">
        <v>62</v>
      </c>
      <c r="E7" s="11">
        <v>0.117141203703704</v>
      </c>
      <c r="F7" s="12">
        <f t="shared" si="1"/>
        <v>2.4544444444444511</v>
      </c>
      <c r="G7" s="13">
        <f t="shared" si="2"/>
        <v>0</v>
      </c>
      <c r="H7" s="13">
        <f t="shared" si="3"/>
        <v>2.4544444444444511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46120.117164583302</v>
      </c>
      <c r="B8" s="5" t="s">
        <v>75</v>
      </c>
      <c r="C8" s="11">
        <v>0.11716435185185201</v>
      </c>
      <c r="D8" s="11" t="s">
        <v>62</v>
      </c>
      <c r="E8" s="11">
        <v>0.14704861111111101</v>
      </c>
      <c r="F8" s="12">
        <f t="shared" si="1"/>
        <v>0.71722222222221599</v>
      </c>
      <c r="G8" s="13">
        <f t="shared" si="2"/>
        <v>0</v>
      </c>
      <c r="H8" s="13">
        <f t="shared" si="3"/>
        <v>0.71722222222221599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46122.352564351902</v>
      </c>
      <c r="B9" s="5" t="s">
        <v>75</v>
      </c>
      <c r="C9" s="11">
        <v>0.35255787037037001</v>
      </c>
      <c r="D9" s="11" t="s">
        <v>62</v>
      </c>
      <c r="E9" s="11">
        <v>0.52708333333333302</v>
      </c>
      <c r="F9" s="12">
        <f t="shared" si="1"/>
        <v>4.1886111111111122</v>
      </c>
      <c r="G9" s="13">
        <f t="shared" si="2"/>
        <v>4.1886111111111122</v>
      </c>
      <c r="H9" s="13">
        <f t="shared" si="3"/>
        <v>0</v>
      </c>
      <c r="I9" s="21" t="s">
        <v>69</v>
      </c>
      <c r="J9" s="22">
        <f>SUMIF(B:B,"航班调度席",F:F)</f>
        <v>1.0558333333333438</v>
      </c>
      <c r="K9" s="23">
        <f>SUMIF(B:B,"航班调度席",G:G)</f>
        <v>1.0558333333333438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46122.855525810199</v>
      </c>
      <c r="B10" s="5" t="s">
        <v>75</v>
      </c>
      <c r="C10" s="11">
        <v>0.85552083333333295</v>
      </c>
      <c r="D10" s="11" t="s">
        <v>62</v>
      </c>
      <c r="E10" s="11">
        <v>0.95697916666666705</v>
      </c>
      <c r="F10" s="12">
        <f t="shared" si="1"/>
        <v>2.4350000000000183</v>
      </c>
      <c r="G10" s="13">
        <f t="shared" si="2"/>
        <v>2.4350000000000183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46123.294299768502</v>
      </c>
      <c r="B11" s="5" t="s">
        <v>76</v>
      </c>
      <c r="C11" s="11">
        <v>0.294293981481482</v>
      </c>
      <c r="D11" s="11" t="s">
        <v>62</v>
      </c>
      <c r="E11" s="11">
        <v>0.35895833333333299</v>
      </c>
      <c r="F11" s="12">
        <f t="shared" si="1"/>
        <v>1.5519444444444237</v>
      </c>
      <c r="G11" s="13">
        <f t="shared" si="2"/>
        <v>0.61500000000000021</v>
      </c>
      <c r="H11" s="13">
        <f t="shared" si="3"/>
        <v>0.93694444444442349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46123.3657753472</v>
      </c>
      <c r="B12" s="5" t="s">
        <v>84</v>
      </c>
      <c r="C12" s="11">
        <v>0.36577546296296298</v>
      </c>
      <c r="D12" s="11" t="s">
        <v>62</v>
      </c>
      <c r="E12" s="11">
        <v>0.40976851851851898</v>
      </c>
      <c r="F12" s="12">
        <f t="shared" si="1"/>
        <v>1.0558333333333438</v>
      </c>
      <c r="G12" s="13">
        <f t="shared" si="2"/>
        <v>1.0558333333333438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46123.647015509297</v>
      </c>
      <c r="B13" s="5" t="s">
        <v>76</v>
      </c>
      <c r="C13" s="11">
        <v>0.647013888888889</v>
      </c>
      <c r="D13" s="11" t="s">
        <v>62</v>
      </c>
      <c r="E13" s="11">
        <v>0.789756944444444</v>
      </c>
      <c r="F13" s="12">
        <f t="shared" si="1"/>
        <v>3.42583333333332</v>
      </c>
      <c r="G13" s="13">
        <f t="shared" si="2"/>
        <v>3.42583333333332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46131.1385069444</v>
      </c>
      <c r="B14" s="5" t="s">
        <v>73</v>
      </c>
      <c r="C14" s="11">
        <v>0.138506944444444</v>
      </c>
      <c r="D14" s="11" t="s">
        <v>62</v>
      </c>
      <c r="E14" s="11">
        <v>0.22813657407407401</v>
      </c>
      <c r="F14" s="12">
        <f t="shared" si="1"/>
        <v>2.1511111111111201</v>
      </c>
      <c r="G14" s="13">
        <f t="shared" si="2"/>
        <v>0</v>
      </c>
      <c r="H14" s="13">
        <f t="shared" si="3"/>
        <v>2.1511111111111201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46131.228170717601</v>
      </c>
      <c r="B15" s="5" t="s">
        <v>76</v>
      </c>
      <c r="C15" s="11">
        <v>0.228159722222222</v>
      </c>
      <c r="D15" s="11" t="s">
        <v>62</v>
      </c>
      <c r="E15" s="11">
        <v>0.29842592592592598</v>
      </c>
      <c r="F15" s="12">
        <f t="shared" si="1"/>
        <v>1.6863888888888956</v>
      </c>
      <c r="G15" s="13">
        <f t="shared" si="2"/>
        <v>0</v>
      </c>
      <c r="H15" s="13">
        <f t="shared" si="3"/>
        <v>1.6863888888888956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46131.948898148097</v>
      </c>
      <c r="B16" s="5" t="s">
        <v>76</v>
      </c>
      <c r="C16" s="11">
        <v>0.948888888888889</v>
      </c>
      <c r="D16" s="11" t="s">
        <v>62</v>
      </c>
      <c r="E16" s="11">
        <v>9.38194444444444E-2</v>
      </c>
      <c r="F16" s="12">
        <f t="shared" si="1"/>
        <v>3.4783333333333295</v>
      </c>
      <c r="G16" s="13">
        <f t="shared" si="2"/>
        <v>1.2266666666666639</v>
      </c>
      <c r="H16" s="13">
        <f t="shared" si="3"/>
        <v>2.2516666666666656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46134.3543804398</v>
      </c>
      <c r="B17" s="5" t="s">
        <v>76</v>
      </c>
      <c r="C17" s="11">
        <v>0.354375</v>
      </c>
      <c r="D17" s="11" t="s">
        <v>62</v>
      </c>
      <c r="E17" s="11">
        <v>0.38799768518518502</v>
      </c>
      <c r="F17" s="12">
        <f t="shared" si="1"/>
        <v>0.80694444444444047</v>
      </c>
      <c r="G17" s="13">
        <f t="shared" si="2"/>
        <v>0.80694444444444047</v>
      </c>
      <c r="H17" s="13">
        <f t="shared" si="3"/>
        <v>0</v>
      </c>
      <c r="I17" s="35" t="s">
        <v>78</v>
      </c>
      <c r="J17" s="36">
        <f>J4+J5+J6+J7+J10</f>
        <v>53.149166666666659</v>
      </c>
      <c r="K17" s="37">
        <f>K4+K5+K6+K7+K10</f>
        <v>31.63555555555558</v>
      </c>
      <c r="L17" s="38">
        <f>L4+L5+L6+L7+L10</f>
        <v>21.513611111111068</v>
      </c>
      <c r="M17" s="39"/>
    </row>
    <row r="18" spans="1:13" ht="20.25" x14ac:dyDescent="0.25">
      <c r="A18" s="10">
        <f t="shared" ca="1" si="0"/>
        <v>46134.397446411996</v>
      </c>
      <c r="B18" s="5" t="s">
        <v>76</v>
      </c>
      <c r="C18" s="11">
        <v>0.39744212962962999</v>
      </c>
      <c r="D18" s="11" t="s">
        <v>62</v>
      </c>
      <c r="E18" s="11">
        <v>0.52625</v>
      </c>
      <c r="F18" s="12">
        <f t="shared" si="1"/>
        <v>3.0913888888888801</v>
      </c>
      <c r="G18" s="13">
        <f t="shared" si="2"/>
        <v>3.0913888888888801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46134.6329148148</v>
      </c>
      <c r="B19" s="5" t="s">
        <v>75</v>
      </c>
      <c r="C19" s="11">
        <v>0.63290509259259298</v>
      </c>
      <c r="D19" s="11" t="s">
        <v>62</v>
      </c>
      <c r="E19" s="11">
        <v>0.75452546296296297</v>
      </c>
      <c r="F19" s="12">
        <f t="shared" si="1"/>
        <v>2.9188888888888798</v>
      </c>
      <c r="G19" s="13">
        <f t="shared" si="2"/>
        <v>2.9188888888888798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46134.853850462998</v>
      </c>
      <c r="B20" s="5" t="s">
        <v>76</v>
      </c>
      <c r="C20" s="11">
        <v>0.85384259259259299</v>
      </c>
      <c r="D20" s="11" t="s">
        <v>62</v>
      </c>
      <c r="E20" s="11">
        <v>0.95876157407407403</v>
      </c>
      <c r="F20" s="12">
        <f t="shared" si="1"/>
        <v>2.5180555555555451</v>
      </c>
      <c r="G20" s="13">
        <f t="shared" si="2"/>
        <v>2.5180555555555451</v>
      </c>
      <c r="H20" s="13">
        <f t="shared" si="3"/>
        <v>0</v>
      </c>
      <c r="I20" s="40" t="s">
        <v>80</v>
      </c>
      <c r="J20" s="65">
        <f>J16+J17+J18+J19</f>
        <v>53.149166666666659</v>
      </c>
      <c r="K20" s="66"/>
      <c r="L20" s="67"/>
      <c r="M20" s="41"/>
    </row>
    <row r="21" spans="1:13" ht="20.25" x14ac:dyDescent="0.25">
      <c r="A21" s="10">
        <f t="shared" ca="1" si="0"/>
        <v>46135.293831249997</v>
      </c>
      <c r="B21" s="5" t="s">
        <v>75</v>
      </c>
      <c r="C21" s="11">
        <v>0.293831018518519</v>
      </c>
      <c r="D21" s="11" t="s">
        <v>62</v>
      </c>
      <c r="E21" s="11">
        <v>0.42511574074074099</v>
      </c>
      <c r="F21" s="12">
        <f t="shared" si="1"/>
        <v>3.1508333333333276</v>
      </c>
      <c r="G21" s="13">
        <f t="shared" si="2"/>
        <v>2.2027777777777922</v>
      </c>
      <c r="H21" s="13">
        <f t="shared" si="3"/>
        <v>0.94805555555553545</v>
      </c>
      <c r="I21" s="42" t="s">
        <v>4</v>
      </c>
      <c r="J21" s="43">
        <f>SUM(J8:J9)</f>
        <v>1.0558333333333438</v>
      </c>
      <c r="K21" s="37">
        <f>SUM(K8:K9)</f>
        <v>1.0558333333333438</v>
      </c>
      <c r="L21" s="38">
        <f>SUM(L8:L9)</f>
        <v>0</v>
      </c>
      <c r="M21" s="44"/>
    </row>
    <row r="22" spans="1:13" ht="18.75" x14ac:dyDescent="0.15">
      <c r="A22" s="10">
        <f t="shared" ca="1" si="0"/>
        <v>46135.519439120399</v>
      </c>
      <c r="B22" s="5" t="s">
        <v>76</v>
      </c>
      <c r="C22" s="11">
        <v>0.51943287037037</v>
      </c>
      <c r="D22" s="11" t="s">
        <v>62</v>
      </c>
      <c r="E22" s="11">
        <v>0.60894675925925901</v>
      </c>
      <c r="F22" s="12">
        <f t="shared" si="1"/>
        <v>2.1483333333333361</v>
      </c>
      <c r="G22" s="13">
        <f t="shared" si="2"/>
        <v>2.1483333333333361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46138.354412384302</v>
      </c>
      <c r="B23" s="5" t="s">
        <v>75</v>
      </c>
      <c r="C23" s="11">
        <v>0.354409722222222</v>
      </c>
      <c r="D23" s="11" t="s">
        <v>62</v>
      </c>
      <c r="E23" s="11">
        <v>0.43009259259259303</v>
      </c>
      <c r="F23" s="12">
        <f t="shared" si="1"/>
        <v>1.8163888888889046</v>
      </c>
      <c r="G23" s="13">
        <f t="shared" si="2"/>
        <v>1.8163888888889046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46138.437737615699</v>
      </c>
      <c r="B24" s="5" t="s">
        <v>75</v>
      </c>
      <c r="C24" s="11">
        <v>0.437731481481481</v>
      </c>
      <c r="D24" s="11" t="s">
        <v>62</v>
      </c>
      <c r="E24" s="11">
        <v>0.53010416666666704</v>
      </c>
      <c r="F24" s="12">
        <f t="shared" si="1"/>
        <v>2.216944444444465</v>
      </c>
      <c r="G24" s="13">
        <f t="shared" si="2"/>
        <v>2.216944444444465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46138.690198958298</v>
      </c>
      <c r="B25" s="5" t="s">
        <v>76</v>
      </c>
      <c r="C25" s="11">
        <v>0.69019675925925905</v>
      </c>
      <c r="D25" s="11" t="s">
        <v>62</v>
      </c>
      <c r="E25" s="11">
        <v>0.77456018518518499</v>
      </c>
      <c r="F25" s="12">
        <f t="shared" si="1"/>
        <v>2.0247222222222225</v>
      </c>
      <c r="G25" s="13">
        <f t="shared" si="2"/>
        <v>2.0247222222222225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46113.460033101903</v>
      </c>
      <c r="B3" s="5" t="s">
        <v>76</v>
      </c>
      <c r="C3" s="11">
        <v>0.46002314814814799</v>
      </c>
      <c r="D3" s="11" t="s">
        <v>62</v>
      </c>
      <c r="E3" s="11">
        <v>0.54781250000000004</v>
      </c>
      <c r="F3" s="12">
        <f t="shared" ref="F3:F42" si="1">(IF(E3-C3&lt;0,"24:00"-C3+E3,E3-C3))*24</f>
        <v>2.1069444444444492</v>
      </c>
      <c r="G3" s="13">
        <f t="shared" ref="G3:G42" si="2">F3-H3</f>
        <v>2.1069444444444492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46113.626805671302</v>
      </c>
      <c r="B4" s="5" t="s">
        <v>75</v>
      </c>
      <c r="C4" s="11">
        <v>0.62680555555555595</v>
      </c>
      <c r="D4" s="11" t="s">
        <v>62</v>
      </c>
      <c r="E4" s="11">
        <v>0.758275462962963</v>
      </c>
      <c r="F4" s="12">
        <f t="shared" si="1"/>
        <v>3.1552777777777692</v>
      </c>
      <c r="G4" s="13">
        <f t="shared" si="2"/>
        <v>3.1552777777777692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10.296666666666642</v>
      </c>
      <c r="K4" s="23">
        <f>SUMIF(B:B,"西塔台管制席",G:G)+SUMIF(B:B,"东塔台管制席",G:G)</f>
        <v>6.2441666666666409</v>
      </c>
      <c r="L4" s="23">
        <f>SUMIF(B:B,"西塔台管制席",H:H)+SUMIF(B:B,"东塔台管制席",H:H)</f>
        <v>4.0525000000000011</v>
      </c>
      <c r="M4" s="19"/>
    </row>
    <row r="5" spans="1:16" ht="18.75" x14ac:dyDescent="0.25">
      <c r="A5" s="10">
        <f t="shared" ca="1" si="0"/>
        <v>46113.8349445602</v>
      </c>
      <c r="B5" s="5" t="s">
        <v>75</v>
      </c>
      <c r="C5" s="11">
        <v>0.83494212962962999</v>
      </c>
      <c r="D5" s="11" t="s">
        <v>62</v>
      </c>
      <c r="E5" s="11">
        <v>0.96364583333333298</v>
      </c>
      <c r="F5" s="12">
        <f t="shared" si="1"/>
        <v>3.0888888888888717</v>
      </c>
      <c r="G5" s="13">
        <f t="shared" si="2"/>
        <v>3.0888888888888717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11.878888888888877</v>
      </c>
      <c r="K5" s="23">
        <f>SUMIF(B:B,"西塔台协调席",G:G)+SUMIF(B:B,"东塔台协调席",G:G)</f>
        <v>3.8186111111111063</v>
      </c>
      <c r="L5" s="23">
        <f>SUMIF(B:B,"西塔台协调席",H:H)+SUMIF(B:B,"东塔台协调席",H:H)</f>
        <v>8.0602777777777703</v>
      </c>
      <c r="M5" s="19"/>
    </row>
    <row r="6" spans="1:16" ht="18.75" x14ac:dyDescent="0.25">
      <c r="A6" s="10">
        <f t="shared" ca="1" si="0"/>
        <v>46114.299139930597</v>
      </c>
      <c r="B6" s="5" t="s">
        <v>81</v>
      </c>
      <c r="C6" s="11">
        <v>0.29913194444444402</v>
      </c>
      <c r="D6" s="11" t="s">
        <v>62</v>
      </c>
      <c r="E6" s="11">
        <v>0.36270833333333302</v>
      </c>
      <c r="F6" s="12">
        <f t="shared" si="1"/>
        <v>1.525833333333336</v>
      </c>
      <c r="G6" s="13">
        <f t="shared" si="2"/>
        <v>0.70500000000000096</v>
      </c>
      <c r="H6" s="13">
        <f t="shared" si="3"/>
        <v>0.82083333333333508</v>
      </c>
      <c r="I6" s="21" t="s">
        <v>66</v>
      </c>
      <c r="J6" s="22">
        <f>SUMIF(B:B,"放行席",F:F)</f>
        <v>1.9519444444444316</v>
      </c>
      <c r="K6" s="23">
        <f>SUMIF(B:B,"放行席",G:G)</f>
        <v>0</v>
      </c>
      <c r="L6" s="23">
        <f>SUMIF(B:B,"放行席",H:H)</f>
        <v>1.9519444444444316</v>
      </c>
      <c r="M6" s="19"/>
    </row>
    <row r="7" spans="1:16" ht="18.75" x14ac:dyDescent="0.25">
      <c r="A7" s="10">
        <f t="shared" ca="1" si="0"/>
        <v>46118.133731597198</v>
      </c>
      <c r="B7" s="5" t="s">
        <v>83</v>
      </c>
      <c r="C7" s="11">
        <v>0.13372685185185201</v>
      </c>
      <c r="D7" s="11" t="s">
        <v>62</v>
      </c>
      <c r="E7" s="11">
        <v>0.21505787037037</v>
      </c>
      <c r="F7" s="12">
        <f t="shared" si="1"/>
        <v>1.9519444444444316</v>
      </c>
      <c r="G7" s="13">
        <f t="shared" si="2"/>
        <v>0</v>
      </c>
      <c r="H7" s="13">
        <f t="shared" si="3"/>
        <v>1.9519444444444316</v>
      </c>
      <c r="I7" s="21" t="s">
        <v>67</v>
      </c>
      <c r="J7" s="22">
        <f>SUMIF(B:B,"地面席",F:F)</f>
        <v>4.1127777777777599</v>
      </c>
      <c r="K7" s="23">
        <f>SUMIF(B:B,"地面席",G:G)</f>
        <v>0</v>
      </c>
      <c r="L7" s="23">
        <f>SUMIF(B:B,"地面席",H:H)</f>
        <v>4.1127777777777599</v>
      </c>
      <c r="M7" s="19"/>
    </row>
    <row r="8" spans="1:16" ht="18.75" x14ac:dyDescent="0.25">
      <c r="A8" s="10">
        <f t="shared" ca="1" si="0"/>
        <v>46118.215180208303</v>
      </c>
      <c r="B8" s="5" t="s">
        <v>76</v>
      </c>
      <c r="C8" s="11">
        <v>0.215173611111111</v>
      </c>
      <c r="D8" s="11" t="s">
        <v>62</v>
      </c>
      <c r="E8" s="11">
        <v>0.30282407407407402</v>
      </c>
      <c r="F8" s="12">
        <f t="shared" si="1"/>
        <v>2.1036111111111127</v>
      </c>
      <c r="G8" s="13">
        <f t="shared" si="2"/>
        <v>0</v>
      </c>
      <c r="H8" s="13">
        <f t="shared" si="3"/>
        <v>2.1036111111111127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46121.014739236103</v>
      </c>
      <c r="B9" s="5" t="s">
        <v>73</v>
      </c>
      <c r="C9" s="11">
        <v>1.47337962962963E-2</v>
      </c>
      <c r="D9" s="11" t="s">
        <v>62</v>
      </c>
      <c r="E9" s="11">
        <v>0.14827546296296301</v>
      </c>
      <c r="F9" s="12">
        <f t="shared" si="1"/>
        <v>3.2050000000000014</v>
      </c>
      <c r="G9" s="13">
        <f t="shared" si="2"/>
        <v>0</v>
      </c>
      <c r="H9" s="13">
        <f t="shared" si="3"/>
        <v>3.2050000000000014</v>
      </c>
      <c r="I9" s="21" t="s">
        <v>69</v>
      </c>
      <c r="J9" s="22">
        <f>SUMIF(B:B,"航班调度席",F:F)</f>
        <v>10.532777777777785</v>
      </c>
      <c r="K9" s="23">
        <f>SUMIF(B:B,"航班调度席",G:G)</f>
        <v>10.532777777777785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46133.1404952546</v>
      </c>
      <c r="B10" s="5" t="s">
        <v>82</v>
      </c>
      <c r="C10" s="11">
        <v>0.14048611111111101</v>
      </c>
      <c r="D10" s="11" t="s">
        <v>62</v>
      </c>
      <c r="E10" s="11">
        <v>0.22722222222222199</v>
      </c>
      <c r="F10" s="12">
        <f t="shared" si="1"/>
        <v>2.0816666666666634</v>
      </c>
      <c r="G10" s="13">
        <f t="shared" si="2"/>
        <v>0</v>
      </c>
      <c r="H10" s="13">
        <f t="shared" si="3"/>
        <v>2.0816666666666634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46133.958060532401</v>
      </c>
      <c r="B11" s="5" t="s">
        <v>76</v>
      </c>
      <c r="C11" s="11">
        <v>0.95805555555555599</v>
      </c>
      <c r="D11" s="11" t="s">
        <v>62</v>
      </c>
      <c r="E11" s="11">
        <v>0.114108796296296</v>
      </c>
      <c r="F11" s="12">
        <f t="shared" si="1"/>
        <v>3.7452777777777602</v>
      </c>
      <c r="G11" s="13">
        <f t="shared" si="2"/>
        <v>1.0066666666666562</v>
      </c>
      <c r="H11" s="13">
        <f t="shared" si="3"/>
        <v>2.738611111111104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46136.374423379602</v>
      </c>
      <c r="B12" s="5" t="s">
        <v>84</v>
      </c>
      <c r="C12" s="11">
        <v>0.37482638888888897</v>
      </c>
      <c r="D12" s="11" t="s">
        <v>62</v>
      </c>
      <c r="E12" s="11">
        <v>0.508310185185185</v>
      </c>
      <c r="F12" s="12">
        <f t="shared" si="1"/>
        <v>3.2036111111111047</v>
      </c>
      <c r="G12" s="13">
        <f t="shared" si="2"/>
        <v>3.2036111111111047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46136.589439120398</v>
      </c>
      <c r="B13" s="5" t="s">
        <v>84</v>
      </c>
      <c r="C13" s="11">
        <v>0.58943287037036995</v>
      </c>
      <c r="D13" s="11" t="s">
        <v>62</v>
      </c>
      <c r="E13" s="11">
        <v>0.71870370370370396</v>
      </c>
      <c r="F13" s="12">
        <f t="shared" si="1"/>
        <v>3.102500000000016</v>
      </c>
      <c r="G13" s="13">
        <f t="shared" si="2"/>
        <v>3.102500000000016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46137.377729398097</v>
      </c>
      <c r="B14" s="5" t="s">
        <v>84</v>
      </c>
      <c r="C14" s="11">
        <v>0.37771990740740702</v>
      </c>
      <c r="D14" s="11" t="s">
        <v>62</v>
      </c>
      <c r="E14" s="11">
        <v>0.49693287037036998</v>
      </c>
      <c r="F14" s="12">
        <f t="shared" si="1"/>
        <v>2.8611111111111112</v>
      </c>
      <c r="G14" s="13">
        <f t="shared" si="2"/>
        <v>2.8611111111111112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46137.5918298611</v>
      </c>
      <c r="B15" s="5" t="s">
        <v>84</v>
      </c>
      <c r="C15" s="11">
        <v>0.591828703703704</v>
      </c>
      <c r="D15" s="11" t="s">
        <v>62</v>
      </c>
      <c r="E15" s="11">
        <v>0.64872685185185197</v>
      </c>
      <c r="F15" s="12">
        <f t="shared" si="1"/>
        <v>1.3655555555555514</v>
      </c>
      <c r="G15" s="13">
        <f t="shared" si="2"/>
        <v>1.3655555555555514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46141.015453819396</v>
      </c>
      <c r="B16" s="5" t="s">
        <v>76</v>
      </c>
      <c r="C16" s="11">
        <v>1.54513888888889E-2</v>
      </c>
      <c r="D16" s="11" t="s">
        <v>62</v>
      </c>
      <c r="E16" s="11">
        <v>0.11533564814814801</v>
      </c>
      <c r="F16" s="12">
        <f t="shared" si="1"/>
        <v>2.3972222222222186</v>
      </c>
      <c r="G16" s="13">
        <f t="shared" si="2"/>
        <v>0</v>
      </c>
      <c r="H16" s="13">
        <f t="shared" si="3"/>
        <v>2.3972222222222186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46141.115391435203</v>
      </c>
      <c r="B17" s="5" t="s">
        <v>73</v>
      </c>
      <c r="C17" s="11">
        <v>0.115381944444444</v>
      </c>
      <c r="D17" s="11" t="s">
        <v>62</v>
      </c>
      <c r="E17" s="11">
        <v>0.15069444444444399</v>
      </c>
      <c r="F17" s="12">
        <f t="shared" si="1"/>
        <v>0.84749999999999992</v>
      </c>
      <c r="G17" s="13">
        <f t="shared" si="2"/>
        <v>0</v>
      </c>
      <c r="H17" s="13">
        <f t="shared" si="3"/>
        <v>0.84749999999999992</v>
      </c>
      <c r="I17" s="35" t="s">
        <v>78</v>
      </c>
      <c r="J17" s="36">
        <f>J4+J5+J6+J7+J10</f>
        <v>28.240277777777713</v>
      </c>
      <c r="K17" s="37">
        <f>K4+K5+K6+K7+K10</f>
        <v>10.062777777777747</v>
      </c>
      <c r="L17" s="38">
        <f>L4+L5+L6+L7+L10</f>
        <v>18.177499999999966</v>
      </c>
      <c r="M17" s="39"/>
    </row>
    <row r="18" spans="1:13" ht="20.25" x14ac:dyDescent="0.25">
      <c r="A18" s="10">
        <f t="shared" ca="1" si="0"/>
        <v>46142.139974884303</v>
      </c>
      <c r="B18" s="5" t="s">
        <v>82</v>
      </c>
      <c r="C18" s="11">
        <v>0.13996527777777801</v>
      </c>
      <c r="D18" s="11" t="s">
        <v>62</v>
      </c>
      <c r="E18" s="11">
        <v>0.22459490740740701</v>
      </c>
      <c r="F18" s="12">
        <f t="shared" si="1"/>
        <v>2.031111111111096</v>
      </c>
      <c r="G18" s="13">
        <f t="shared" si="2"/>
        <v>0</v>
      </c>
      <c r="H18" s="13">
        <f t="shared" si="3"/>
        <v>2.031111111111096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28.240277777777713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10.532777777777785</v>
      </c>
      <c r="K21" s="37">
        <f>SUM(K8:K9)</f>
        <v>10.532777777777785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46113.138765972202</v>
      </c>
      <c r="B3" s="5" t="s">
        <v>75</v>
      </c>
      <c r="C3" s="11">
        <v>0.138761574074074</v>
      </c>
      <c r="D3" s="11" t="s">
        <v>62</v>
      </c>
      <c r="E3" s="11">
        <v>0.30319444444444399</v>
      </c>
      <c r="F3" s="12">
        <f t="shared" ref="F3:F42" si="1">(IF(E3-C3&lt;0,"24:00"-C3+E3,E3-C3))*24</f>
        <v>3.9463888888888796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3.9463888888888796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46114.139227314801</v>
      </c>
      <c r="B4" s="5" t="s">
        <v>82</v>
      </c>
      <c r="C4" s="11">
        <v>0.13922453703703699</v>
      </c>
      <c r="D4" s="11" t="s">
        <v>62</v>
      </c>
      <c r="E4" s="11">
        <v>0.22802083333333301</v>
      </c>
      <c r="F4" s="12">
        <f t="shared" si="1"/>
        <v>2.1311111111111041</v>
      </c>
      <c r="G4" s="13">
        <f t="shared" si="2"/>
        <v>0</v>
      </c>
      <c r="H4" s="13">
        <f t="shared" si="3"/>
        <v>2.1311111111111041</v>
      </c>
      <c r="I4" s="21" t="s">
        <v>64</v>
      </c>
      <c r="J4" s="22">
        <f>SUMIF(B:B,"西塔台管制席",F:F)+SUMIF(B:B,"东塔台管制席",F:F)</f>
        <v>32.245833333333387</v>
      </c>
      <c r="K4" s="23">
        <f>SUMIF(B:B,"西塔台管制席",G:G)+SUMIF(B:B,"东塔台管制席",G:G)</f>
        <v>18.161111111111179</v>
      </c>
      <c r="L4" s="23">
        <f>SUMIF(B:B,"西塔台管制席",H:H)+SUMIF(B:B,"东塔台管制席",H:H)</f>
        <v>14.084722222222206</v>
      </c>
      <c r="M4" s="19"/>
    </row>
    <row r="5" spans="1:16" ht="18.75" x14ac:dyDescent="0.25">
      <c r="A5" s="10">
        <f t="shared" ca="1" si="0"/>
        <v>46116.501427777803</v>
      </c>
      <c r="B5" s="5" t="s">
        <v>75</v>
      </c>
      <c r="C5" s="11">
        <v>0.501423611111111</v>
      </c>
      <c r="D5" s="11" t="s">
        <v>62</v>
      </c>
      <c r="E5" s="11">
        <v>0.651979166666667</v>
      </c>
      <c r="F5" s="12">
        <f t="shared" si="1"/>
        <v>3.6133333333333439</v>
      </c>
      <c r="G5" s="13">
        <f t="shared" si="2"/>
        <v>3.6133333333333439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19.620555555555573</v>
      </c>
      <c r="K5" s="23">
        <f>SUMIF(B:B,"西塔台协调席",G:G)+SUMIF(B:B,"东塔台协调席",G:G)</f>
        <v>17.569444444444461</v>
      </c>
      <c r="L5" s="23">
        <f>SUMIF(B:B,"西塔台协调席",H:H)+SUMIF(B:B,"东塔台协调席",H:H)</f>
        <v>2.051111111111112</v>
      </c>
      <c r="M5" s="19"/>
    </row>
    <row r="6" spans="1:16" ht="18.75" x14ac:dyDescent="0.25">
      <c r="A6" s="10">
        <f t="shared" ca="1" si="0"/>
        <v>46116.750464351899</v>
      </c>
      <c r="B6" s="5" t="s">
        <v>76</v>
      </c>
      <c r="C6" s="11">
        <v>0.750462962962963</v>
      </c>
      <c r="D6" s="11" t="s">
        <v>62</v>
      </c>
      <c r="E6" s="11">
        <v>0.88057870370370395</v>
      </c>
      <c r="F6" s="12">
        <f t="shared" si="1"/>
        <v>3.1227777777777828</v>
      </c>
      <c r="G6" s="13">
        <f t="shared" si="2"/>
        <v>3.1227777777777828</v>
      </c>
      <c r="H6" s="13">
        <f t="shared" si="3"/>
        <v>0</v>
      </c>
      <c r="I6" s="21" t="s">
        <v>66</v>
      </c>
      <c r="J6" s="22">
        <f>SUMIF(B:B,"放行席",F:F)</f>
        <v>2.1086111111111041</v>
      </c>
      <c r="K6" s="23">
        <f>SUMIF(B:B,"放行席",G:G)</f>
        <v>0</v>
      </c>
      <c r="L6" s="23">
        <f>SUMIF(B:B,"放行席",H:H)</f>
        <v>2.1086111111111041</v>
      </c>
      <c r="M6" s="19"/>
    </row>
    <row r="7" spans="1:16" ht="18.75" x14ac:dyDescent="0.25">
      <c r="A7" s="10">
        <f t="shared" ca="1" si="0"/>
        <v>46117.416084490702</v>
      </c>
      <c r="B7" s="5" t="s">
        <v>81</v>
      </c>
      <c r="C7" s="11">
        <v>0.41607638888888898</v>
      </c>
      <c r="D7" s="11" t="s">
        <v>62</v>
      </c>
      <c r="E7" s="11">
        <v>0.51275462962963003</v>
      </c>
      <c r="F7" s="12">
        <f t="shared" si="1"/>
        <v>2.3202777777777852</v>
      </c>
      <c r="G7" s="13">
        <f t="shared" si="2"/>
        <v>2.3202777777777852</v>
      </c>
      <c r="H7" s="13">
        <f t="shared" si="3"/>
        <v>0</v>
      </c>
      <c r="I7" s="21" t="s">
        <v>67</v>
      </c>
      <c r="J7" s="22">
        <f>SUMIF(B:B,"地面席",F:F)</f>
        <v>2.1311111111111041</v>
      </c>
      <c r="K7" s="23">
        <f>SUMIF(B:B,"地面席",G:G)</f>
        <v>0</v>
      </c>
      <c r="L7" s="23">
        <f>SUMIF(B:B,"地面席",H:H)</f>
        <v>2.1311111111111041</v>
      </c>
      <c r="M7" s="19"/>
    </row>
    <row r="8" spans="1:16" ht="18.75" x14ac:dyDescent="0.25">
      <c r="A8" s="10">
        <f t="shared" ca="1" si="0"/>
        <v>46117.625519675901</v>
      </c>
      <c r="B8" s="5" t="s">
        <v>73</v>
      </c>
      <c r="C8" s="11">
        <v>0.62550925925925904</v>
      </c>
      <c r="D8" s="11" t="s">
        <v>62</v>
      </c>
      <c r="E8" s="11">
        <v>0.74174768518518497</v>
      </c>
      <c r="F8" s="12">
        <f t="shared" si="1"/>
        <v>2.7897222222222222</v>
      </c>
      <c r="G8" s="13">
        <f t="shared" si="2"/>
        <v>2.7897222222222222</v>
      </c>
      <c r="H8" s="13">
        <f t="shared" si="3"/>
        <v>0</v>
      </c>
      <c r="I8" s="21" t="s">
        <v>68</v>
      </c>
      <c r="J8" s="22">
        <f>SUMIF(B:B,"生产调度席",F:F)</f>
        <v>3.1291666666666815</v>
      </c>
      <c r="K8" s="23">
        <f>SUMIF(B:B,"生产调度席",G:G)</f>
        <v>3.1291666666666815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46117.741771527799</v>
      </c>
      <c r="B9" s="5" t="s">
        <v>75</v>
      </c>
      <c r="C9" s="11">
        <v>0.74177083333333305</v>
      </c>
      <c r="D9" s="11" t="s">
        <v>62</v>
      </c>
      <c r="E9" s="11">
        <v>0.75584490740740795</v>
      </c>
      <c r="F9" s="12">
        <f t="shared" si="1"/>
        <v>0.33777777777779772</v>
      </c>
      <c r="G9" s="13">
        <f t="shared" si="2"/>
        <v>0.33777777777779772</v>
      </c>
      <c r="H9" s="13">
        <f t="shared" si="3"/>
        <v>0</v>
      </c>
      <c r="I9" s="21" t="s">
        <v>69</v>
      </c>
      <c r="J9" s="22">
        <f>SUMIF(B:B,"航班调度席",F:F)</f>
        <v>6.1719444444444242</v>
      </c>
      <c r="K9" s="23">
        <f>SUMIF(B:B,"航班调度席",G:G)</f>
        <v>6.1719444444444242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46117.833978703697</v>
      </c>
      <c r="B10" s="5" t="s">
        <v>76</v>
      </c>
      <c r="C10" s="11">
        <v>0.83396990740740795</v>
      </c>
      <c r="D10" s="11" t="s">
        <v>62</v>
      </c>
      <c r="E10" s="11">
        <v>0.96366898148148195</v>
      </c>
      <c r="F10" s="12">
        <f t="shared" si="1"/>
        <v>3.1127777777777759</v>
      </c>
      <c r="G10" s="13">
        <f t="shared" si="2"/>
        <v>3.1127777777777759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46118.298647800897</v>
      </c>
      <c r="B11" s="5" t="s">
        <v>75</v>
      </c>
      <c r="C11" s="11">
        <v>0.298645833333333</v>
      </c>
      <c r="D11" s="11" t="s">
        <v>62</v>
      </c>
      <c r="E11" s="11">
        <v>0.359490740740741</v>
      </c>
      <c r="F11" s="12">
        <f t="shared" si="1"/>
        <v>1.460277777777792</v>
      </c>
      <c r="G11" s="13">
        <f t="shared" si="2"/>
        <v>0.62777777777779242</v>
      </c>
      <c r="H11" s="13">
        <f t="shared" si="3"/>
        <v>0.83249999999999957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46120.958256365702</v>
      </c>
      <c r="B12" s="5" t="s">
        <v>75</v>
      </c>
      <c r="C12" s="11">
        <v>0.95825231481481499</v>
      </c>
      <c r="D12" s="11" t="s">
        <v>62</v>
      </c>
      <c r="E12" s="11">
        <v>0.130983796296296</v>
      </c>
      <c r="F12" s="12">
        <f t="shared" si="1"/>
        <v>4.1455555555555446</v>
      </c>
      <c r="G12" s="13">
        <f t="shared" si="2"/>
        <v>1.0019444444444403</v>
      </c>
      <c r="H12" s="13">
        <f t="shared" si="3"/>
        <v>3.1436111111111043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46125.131676041703</v>
      </c>
      <c r="B13" s="5" t="s">
        <v>83</v>
      </c>
      <c r="C13" s="11">
        <v>0.13166666666666699</v>
      </c>
      <c r="D13" s="11" t="s">
        <v>62</v>
      </c>
      <c r="E13" s="11">
        <v>0.21952546296296299</v>
      </c>
      <c r="F13" s="12">
        <f t="shared" si="1"/>
        <v>2.1086111111111041</v>
      </c>
      <c r="G13" s="13">
        <f t="shared" si="2"/>
        <v>0</v>
      </c>
      <c r="H13" s="13">
        <f t="shared" si="3"/>
        <v>2.1086111111111041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46125.219549421301</v>
      </c>
      <c r="B14" s="5" t="s">
        <v>76</v>
      </c>
      <c r="C14" s="11">
        <v>0.21954861111111099</v>
      </c>
      <c r="D14" s="11" t="s">
        <v>62</v>
      </c>
      <c r="E14" s="11">
        <v>0.30501157407407398</v>
      </c>
      <c r="F14" s="12">
        <f t="shared" si="1"/>
        <v>2.051111111111112</v>
      </c>
      <c r="G14" s="13">
        <f t="shared" si="2"/>
        <v>0</v>
      </c>
      <c r="H14" s="13">
        <f t="shared" si="3"/>
        <v>2.051111111111112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46125.958826620401</v>
      </c>
      <c r="B15" s="5" t="s">
        <v>75</v>
      </c>
      <c r="C15" s="11">
        <v>0.958819444444444</v>
      </c>
      <c r="D15" s="11" t="s">
        <v>62</v>
      </c>
      <c r="E15" s="11">
        <v>0.12439814814814799</v>
      </c>
      <c r="F15" s="12">
        <f t="shared" si="1"/>
        <v>3.9738888888888955</v>
      </c>
      <c r="G15" s="13">
        <f t="shared" si="2"/>
        <v>0.9883333333333435</v>
      </c>
      <c r="H15" s="13">
        <f t="shared" si="3"/>
        <v>2.985555555555552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46128.372762036997</v>
      </c>
      <c r="B16" s="5" t="s">
        <v>84</v>
      </c>
      <c r="C16" s="11">
        <v>0.37275462962963002</v>
      </c>
      <c r="D16" s="11" t="s">
        <v>62</v>
      </c>
      <c r="E16" s="11">
        <v>0.48253472222222199</v>
      </c>
      <c r="F16" s="12">
        <f t="shared" si="1"/>
        <v>2.6347222222222073</v>
      </c>
      <c r="G16" s="13">
        <f t="shared" si="2"/>
        <v>2.6347222222222073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46128.5809673611</v>
      </c>
      <c r="B17" s="5" t="s">
        <v>84</v>
      </c>
      <c r="C17" s="11">
        <v>0.58096064814814796</v>
      </c>
      <c r="D17" s="11" t="s">
        <v>62</v>
      </c>
      <c r="E17" s="11">
        <v>0.72834490740740698</v>
      </c>
      <c r="F17" s="12">
        <f t="shared" si="1"/>
        <v>3.5372222222222165</v>
      </c>
      <c r="G17" s="13">
        <f t="shared" si="2"/>
        <v>3.5372222222222165</v>
      </c>
      <c r="H17" s="13">
        <f t="shared" si="3"/>
        <v>0</v>
      </c>
      <c r="I17" s="35" t="s">
        <v>78</v>
      </c>
      <c r="J17" s="36">
        <f>J4+J5+J6+J7+J10</f>
        <v>56.106111111111169</v>
      </c>
      <c r="K17" s="37">
        <f>K4+K5+K6+K7+K10</f>
        <v>35.73055555555564</v>
      </c>
      <c r="L17" s="38">
        <f>L4+L5+L6+L7+L10</f>
        <v>20.375555555555522</v>
      </c>
      <c r="M17" s="39"/>
    </row>
    <row r="18" spans="1:13" ht="20.25" x14ac:dyDescent="0.25">
      <c r="A18" s="10">
        <f t="shared" ca="1" si="0"/>
        <v>46129.013238657397</v>
      </c>
      <c r="B18" s="5" t="s">
        <v>75</v>
      </c>
      <c r="C18" s="11">
        <v>1.32291666666667E-2</v>
      </c>
      <c r="D18" s="11" t="s">
        <v>62</v>
      </c>
      <c r="E18" s="11">
        <v>0.145590277777778</v>
      </c>
      <c r="F18" s="12">
        <f t="shared" si="1"/>
        <v>3.1766666666666712</v>
      </c>
      <c r="G18" s="13">
        <f t="shared" si="2"/>
        <v>0</v>
      </c>
      <c r="H18" s="13">
        <f t="shared" si="3"/>
        <v>3.1766666666666712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46129.538160995398</v>
      </c>
      <c r="B19" s="5" t="s">
        <v>88</v>
      </c>
      <c r="C19" s="11">
        <v>0.53815972222222197</v>
      </c>
      <c r="D19" s="11" t="s">
        <v>62</v>
      </c>
      <c r="E19" s="11">
        <v>0.66854166666666703</v>
      </c>
      <c r="F19" s="12">
        <f t="shared" si="1"/>
        <v>3.1291666666666815</v>
      </c>
      <c r="G19" s="13">
        <f t="shared" si="2"/>
        <v>3.1291666666666815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46129.750019791703</v>
      </c>
      <c r="B20" s="5" t="s">
        <v>76</v>
      </c>
      <c r="C20" s="11">
        <v>0.75001157407407404</v>
      </c>
      <c r="D20" s="11" t="s">
        <v>62</v>
      </c>
      <c r="E20" s="11">
        <v>0.83875</v>
      </c>
      <c r="F20" s="12">
        <f t="shared" si="1"/>
        <v>2.129722222222223</v>
      </c>
      <c r="G20" s="13">
        <f t="shared" si="2"/>
        <v>2.129722222222223</v>
      </c>
      <c r="H20" s="13">
        <f t="shared" si="3"/>
        <v>0</v>
      </c>
      <c r="I20" s="40" t="s">
        <v>80</v>
      </c>
      <c r="J20" s="65">
        <f>J16+J17+J18+J19</f>
        <v>56.106111111111169</v>
      </c>
      <c r="K20" s="66"/>
      <c r="L20" s="67"/>
      <c r="M20" s="41"/>
    </row>
    <row r="21" spans="1:13" ht="20.25" x14ac:dyDescent="0.25">
      <c r="A21" s="10">
        <f t="shared" ca="1" si="0"/>
        <v>46140.500106250001</v>
      </c>
      <c r="B21" s="5" t="s">
        <v>81</v>
      </c>
      <c r="C21" s="11">
        <v>0.50010416666666702</v>
      </c>
      <c r="D21" s="11" t="s">
        <v>62</v>
      </c>
      <c r="E21" s="11">
        <v>0.65561342592592597</v>
      </c>
      <c r="F21" s="12">
        <f t="shared" si="1"/>
        <v>3.732222222222215</v>
      </c>
      <c r="G21" s="13">
        <f t="shared" si="2"/>
        <v>3.732222222222215</v>
      </c>
      <c r="H21" s="13">
        <f t="shared" si="3"/>
        <v>0</v>
      </c>
      <c r="I21" s="42" t="s">
        <v>4</v>
      </c>
      <c r="J21" s="43">
        <f>SUM(J8:J9)</f>
        <v>9.3011111111111049</v>
      </c>
      <c r="K21" s="37">
        <f>SUM(K8:K9)</f>
        <v>9.3011111111111049</v>
      </c>
      <c r="L21" s="38">
        <f>SUM(L8:L9)</f>
        <v>0</v>
      </c>
      <c r="M21" s="44"/>
    </row>
    <row r="22" spans="1:13" ht="18.75" x14ac:dyDescent="0.15">
      <c r="A22" s="10">
        <f t="shared" ca="1" si="0"/>
        <v>46140.749706828698</v>
      </c>
      <c r="B22" s="5" t="s">
        <v>73</v>
      </c>
      <c r="C22" s="11">
        <v>0.74969907407407399</v>
      </c>
      <c r="D22" s="11" t="s">
        <v>62</v>
      </c>
      <c r="E22" s="11">
        <v>0.88181712962962999</v>
      </c>
      <c r="F22" s="12">
        <f t="shared" si="1"/>
        <v>3.1708333333333441</v>
      </c>
      <c r="G22" s="13">
        <f t="shared" si="2"/>
        <v>3.1708333333333441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46141.4101934028</v>
      </c>
      <c r="B23" s="5" t="s">
        <v>75</v>
      </c>
      <c r="C23" s="11">
        <v>0.41018518518518499</v>
      </c>
      <c r="D23" s="11" t="s">
        <v>62</v>
      </c>
      <c r="E23" s="11">
        <v>0.51450231481481501</v>
      </c>
      <c r="F23" s="12">
        <f t="shared" si="1"/>
        <v>2.5036111111111206</v>
      </c>
      <c r="G23" s="13">
        <f t="shared" si="2"/>
        <v>2.5036111111111206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46141.632388194397</v>
      </c>
      <c r="B24" s="5" t="s">
        <v>76</v>
      </c>
      <c r="C24" s="11">
        <v>0.63238425925925901</v>
      </c>
      <c r="D24" s="11" t="s">
        <v>62</v>
      </c>
      <c r="E24" s="11">
        <v>0.763703703703704</v>
      </c>
      <c r="F24" s="12">
        <f t="shared" si="1"/>
        <v>3.1516666666666797</v>
      </c>
      <c r="G24" s="13">
        <f t="shared" si="2"/>
        <v>3.1516666666666797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46141.958034490701</v>
      </c>
      <c r="B25" s="5" t="s">
        <v>75</v>
      </c>
      <c r="C25" s="11">
        <v>0.83372685185185202</v>
      </c>
      <c r="D25" s="11" t="s">
        <v>62</v>
      </c>
      <c r="E25" s="11">
        <v>0.96405092592592601</v>
      </c>
      <c r="F25" s="12">
        <f t="shared" si="1"/>
        <v>3.1277777777777755</v>
      </c>
      <c r="G25" s="13">
        <f t="shared" si="2"/>
        <v>3.1277777777777755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42"/>
  <sheetViews>
    <sheetView topLeftCell="A66" zoomScale="85" zoomScaleNormal="85" workbookViewId="0">
      <selection activeCell="J94" sqref="J9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78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78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77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78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79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/>
  </sheetViews>
  <sheetFormatPr defaultColWidth="9" defaultRowHeight="13.5" x14ac:dyDescent="0.15"/>
  <sheetData/>
  <phoneticPr fontId="1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/>
  </sheetViews>
  <sheetFormatPr defaultColWidth="9" defaultRowHeight="13.5" x14ac:dyDescent="0.15"/>
  <sheetData/>
  <phoneticPr fontId="1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/>
  </sheetViews>
  <sheetFormatPr defaultColWidth="9" defaultRowHeight="13.5" x14ac:dyDescent="0.15"/>
  <sheetData/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46</vt:i4>
      </vt:variant>
    </vt:vector>
  </HeadingPairs>
  <TitlesOfParts>
    <vt:vector size="46" baseType="lpstr">
      <vt:lpstr>sheet1</vt:lpstr>
      <vt:lpstr>温若春</vt:lpstr>
      <vt:lpstr>徐万友</vt:lpstr>
      <vt:lpstr>明嘉</vt:lpstr>
      <vt:lpstr>耿若岩</vt:lpstr>
      <vt:lpstr>李明</vt:lpstr>
      <vt:lpstr>张虎</vt:lpstr>
      <vt:lpstr>马莲花</vt:lpstr>
      <vt:lpstr>刘国莲</vt:lpstr>
      <vt:lpstr>杜涛</vt:lpstr>
      <vt:lpstr>张文中</vt:lpstr>
      <vt:lpstr>李秋实</vt:lpstr>
      <vt:lpstr>周岸</vt:lpstr>
      <vt:lpstr>詹泽彬</vt:lpstr>
      <vt:lpstr>张笑延</vt:lpstr>
      <vt:lpstr>沈宁</vt:lpstr>
      <vt:lpstr>胡鑫</vt:lpstr>
      <vt:lpstr>邓心豪</vt:lpstr>
      <vt:lpstr>黄恩</vt:lpstr>
      <vt:lpstr>严亮</vt:lpstr>
      <vt:lpstr>边昊</vt:lpstr>
      <vt:lpstr>张宗根</vt:lpstr>
      <vt:lpstr>潘伟生</vt:lpstr>
      <vt:lpstr>蔡昊霖</vt:lpstr>
      <vt:lpstr>叶大鹏</vt:lpstr>
      <vt:lpstr>王建超</vt:lpstr>
      <vt:lpstr>王风瑞</vt:lpstr>
      <vt:lpstr>董志华</vt:lpstr>
      <vt:lpstr>金鼎</vt:lpstr>
      <vt:lpstr>姜文夫</vt:lpstr>
      <vt:lpstr>郭永杰</vt:lpstr>
      <vt:lpstr>吴疆</vt:lpstr>
      <vt:lpstr>朱永春</vt:lpstr>
      <vt:lpstr>刘琦</vt:lpstr>
      <vt:lpstr>巴富毅</vt:lpstr>
      <vt:lpstr>陈宏伟</vt:lpstr>
      <vt:lpstr>蒋露裕</vt:lpstr>
      <vt:lpstr>蓝宇航</vt:lpstr>
      <vt:lpstr>程卓</vt:lpstr>
      <vt:lpstr>郑文卓</vt:lpstr>
      <vt:lpstr>王维华</vt:lpstr>
      <vt:lpstr>何飞</vt:lpstr>
      <vt:lpstr>宋天霖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jserver</cp:lastModifiedBy>
  <dcterms:created xsi:type="dcterms:W3CDTF">2006-09-16T00:00:00Z</dcterms:created>
  <dcterms:modified xsi:type="dcterms:W3CDTF">2026-07-18T17:16:26Z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9B62FFEF6258459F90575BFDB66D1EA4_13</vt:lpwstr>
  </property>
  <property fmtid="{D5CDD505-2E9C-101B-9397-08002B2CF9AE}" pid="3" name="KSOProductBuildVer">
    <vt:lpwstr>2052-12.1.0.17857</vt:lpwstr>
  </property>
</Properties>
</file>