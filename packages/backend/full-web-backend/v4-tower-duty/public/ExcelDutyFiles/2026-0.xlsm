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5360" windowHeight="13500" tabRatio="966" firstSheet="5" activeTab="43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刘国莲" sheetId="87" r:id="rId8"/>
    <sheet name="马莲花" sheetId="86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王风瑞" sheetId="106" r:id="rId27"/>
    <sheet name="金鼎" sheetId="107" r:id="rId28"/>
    <sheet name="董志华" sheetId="108" r:id="rId29"/>
    <sheet name="姜文夫" sheetId="109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蒋露裕" sheetId="119" r:id="rId37"/>
    <sheet name="蓝宇航" sheetId="120" r:id="rId38"/>
    <sheet name="程卓" sheetId="121" r:id="rId39"/>
    <sheet name="郑文卓" sheetId="122" r:id="rId40"/>
    <sheet name="王维华" sheetId="115" r:id="rId41"/>
    <sheet name="何飞" sheetId="116" r:id="rId42"/>
    <sheet name="宋天霖" sheetId="101" r:id="rId43"/>
    <sheet name="Sheet2" sheetId="124" r:id="rId44"/>
    <sheet name="Sheet3" sheetId="125" r:id="rId45"/>
    <sheet name="Sheet4" sheetId="126" r:id="rId46"/>
  </sheets>
  <definedNames>
    <definedName name="_xlnm._FilterDatabase" localSheetId="34" hidden="1">巴富毅!$A$2:$K$42</definedName>
    <definedName name="_xlnm._FilterDatabase" localSheetId="20" hidden="1">边昊!$A$2:$K$29</definedName>
    <definedName name="_xlnm._FilterDatabase" localSheetId="23" hidden="1">蔡昊霖!$A$2:$K$42</definedName>
    <definedName name="_xlnm._FilterDatabase" localSheetId="35" hidden="1">陈宏伟!$A$2:$K$42</definedName>
    <definedName name="_xlnm._FilterDatabase" localSheetId="38" hidden="1">程卓!$A$2:$K$42</definedName>
    <definedName name="_xlnm._FilterDatabase" localSheetId="17" hidden="1">邓心豪!$A$2:$K$37</definedName>
    <definedName name="_xlnm._FilterDatabase" localSheetId="28" hidden="1">董志华!$A$2:$K$42</definedName>
    <definedName name="_xlnm._FilterDatabase" localSheetId="9" hidden="1">杜涛!$A$2:$K$31</definedName>
    <definedName name="_xlnm._FilterDatabase" localSheetId="4" hidden="1">耿若岩!$A$2:$K$26</definedName>
    <definedName name="_xlnm._FilterDatabase" localSheetId="30" hidden="1">郭永杰!$A$2:$K$42</definedName>
    <definedName name="_xlnm._FilterDatabase" localSheetId="41" hidden="1">何飞!$A$2:$K$42</definedName>
    <definedName name="_xlnm._FilterDatabase" localSheetId="16" hidden="1">胡鑫!$A$2:$K$27</definedName>
    <definedName name="_xlnm._FilterDatabase" localSheetId="18" hidden="1">黄恩!$A$2:$K$24</definedName>
    <definedName name="_xlnm._FilterDatabase" localSheetId="29" hidden="1">姜文夫!$A$2:$K$42</definedName>
    <definedName name="_xlnm._FilterDatabase" localSheetId="36" hidden="1">蒋露裕!$A$2:$K$42</definedName>
    <definedName name="_xlnm._FilterDatabase" localSheetId="27" hidden="1">金鼎!$A$2:$K$42</definedName>
    <definedName name="_xlnm._FilterDatabase" localSheetId="37" hidden="1">蓝宇航!$A$2:$K$42</definedName>
    <definedName name="_xlnm._FilterDatabase" localSheetId="5" hidden="1">李明!$A$2:$K$33</definedName>
    <definedName name="_xlnm._FilterDatabase" localSheetId="11" hidden="1">李秋实!$A$2:$K$32</definedName>
    <definedName name="_xlnm._FilterDatabase" localSheetId="7" hidden="1">刘国莲!$A$2:$K$28</definedName>
    <definedName name="_xlnm._FilterDatabase" localSheetId="33" hidden="1">刘琦!$A$2:$K$42</definedName>
    <definedName name="_xlnm._FilterDatabase" localSheetId="8" hidden="1">马莲花!$A$2:$K$29</definedName>
    <definedName name="_xlnm._FilterDatabase" localSheetId="2" hidden="1">明嘉!$A$2:$K$33</definedName>
    <definedName name="_xlnm._FilterDatabase" localSheetId="22" hidden="1">潘伟生!$A$2:$K$42</definedName>
    <definedName name="_xlnm._FilterDatabase" localSheetId="15" hidden="1">沈宁!$A$2:$K$29</definedName>
    <definedName name="_xlnm._FilterDatabase" localSheetId="42" hidden="1">宋天霖!$A$2:$K$42</definedName>
    <definedName name="_xlnm._FilterDatabase" localSheetId="26" hidden="1">王风瑞!$A$2:$K$42</definedName>
    <definedName name="_xlnm._FilterDatabase" localSheetId="25" hidden="1">王建超!$A$2:$K$42</definedName>
    <definedName name="_xlnm._FilterDatabase" localSheetId="40" hidden="1">王维华!$A$2:$K$42</definedName>
    <definedName name="_xlnm._FilterDatabase" localSheetId="1" hidden="1">温若春!$A$2:$K$33</definedName>
    <definedName name="_xlnm._FilterDatabase" localSheetId="31" hidden="1">吴疆!$A$2:$K$42</definedName>
    <definedName name="_xlnm._FilterDatabase" localSheetId="3" hidden="1">徐万友!$A$2:$K$32</definedName>
    <definedName name="_xlnm._FilterDatabase" localSheetId="19" hidden="1">严亮!$A$2:$K$30</definedName>
    <definedName name="_xlnm._FilterDatabase" localSheetId="24" hidden="1">叶大鹏!$A$2:$K$42</definedName>
    <definedName name="_xlnm._FilterDatabase" localSheetId="13" hidden="1">詹泽彬!$A$2:$K$26</definedName>
    <definedName name="_xlnm._FilterDatabase" localSheetId="6" hidden="1">张虎!$A$2:$K$34</definedName>
    <definedName name="_xlnm._FilterDatabase" localSheetId="10" hidden="1">张文中!$A$2:$K$25</definedName>
    <definedName name="_xlnm._FilterDatabase" localSheetId="14" hidden="1">张笑延!$A$2:$K$37</definedName>
    <definedName name="_xlnm._FilterDatabase" localSheetId="21" hidden="1">张宗根!$A$2:$K$24</definedName>
    <definedName name="_xlnm._FilterDatabase" localSheetId="39" hidden="1">郑文卓!$A$2:$K$42</definedName>
    <definedName name="_xlnm._FilterDatabase" localSheetId="12" hidden="1">周岸!$A$2:$K$28</definedName>
    <definedName name="_xlnm._FilterDatabase" localSheetId="32" hidden="1">朱永春!$A$2:$K$42</definedName>
  </definedNames>
  <calcPr calcId="152511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01" l="1"/>
  <c r="F42" i="101"/>
  <c r="G42" i="101" s="1"/>
  <c r="A42" i="101"/>
  <c r="H41" i="101"/>
  <c r="F41" i="101"/>
  <c r="G41" i="101" s="1"/>
  <c r="A41" i="101"/>
  <c r="H40" i="101"/>
  <c r="F40" i="101"/>
  <c r="G40" i="101" s="1"/>
  <c r="A40" i="101"/>
  <c r="H39" i="101"/>
  <c r="F39" i="101"/>
  <c r="G39" i="101" s="1"/>
  <c r="A39" i="101"/>
  <c r="H38" i="101"/>
  <c r="F38" i="101"/>
  <c r="G38" i="101" s="1"/>
  <c r="A38" i="101"/>
  <c r="H37" i="101"/>
  <c r="F37" i="101"/>
  <c r="G37" i="101" s="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F33" i="101"/>
  <c r="G33" i="101" s="1"/>
  <c r="A33" i="101"/>
  <c r="H32" i="101"/>
  <c r="F32" i="101"/>
  <c r="G32" i="101" s="1"/>
  <c r="A32" i="101"/>
  <c r="H31" i="101"/>
  <c r="F31" i="101"/>
  <c r="G31" i="101" s="1"/>
  <c r="A31" i="101"/>
  <c r="H30" i="101"/>
  <c r="F30" i="101"/>
  <c r="G30" i="101" s="1"/>
  <c r="A30" i="101"/>
  <c r="H29" i="101"/>
  <c r="F29" i="101"/>
  <c r="G29" i="101" s="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F24" i="101"/>
  <c r="G24" i="101" s="1"/>
  <c r="A24" i="101"/>
  <c r="H23" i="101"/>
  <c r="F23" i="101"/>
  <c r="G23" i="101" s="1"/>
  <c r="A23" i="101"/>
  <c r="H22" i="101"/>
  <c r="F22" i="101"/>
  <c r="G22" i="101" s="1"/>
  <c r="A22" i="101"/>
  <c r="H21" i="101"/>
  <c r="F21" i="101"/>
  <c r="G21" i="101" s="1"/>
  <c r="A21" i="101"/>
  <c r="H20" i="101"/>
  <c r="F20" i="101"/>
  <c r="G20" i="101" s="1"/>
  <c r="A20" i="101"/>
  <c r="H19" i="101"/>
  <c r="F19" i="101"/>
  <c r="G19" i="101" s="1"/>
  <c r="A19" i="101"/>
  <c r="H18" i="101"/>
  <c r="G18" i="101"/>
  <c r="F18" i="101"/>
  <c r="A18" i="101"/>
  <c r="H17" i="101"/>
  <c r="F17" i="101"/>
  <c r="G17" i="101" s="1"/>
  <c r="A17" i="101"/>
  <c r="J16" i="101"/>
  <c r="H16" i="101"/>
  <c r="F16" i="101"/>
  <c r="G16" i="101" s="1"/>
  <c r="A16" i="101"/>
  <c r="H15" i="101"/>
  <c r="F15" i="101"/>
  <c r="G15" i="101" s="1"/>
  <c r="A15" i="101"/>
  <c r="H14" i="101"/>
  <c r="F14" i="101"/>
  <c r="G14" i="101" s="1"/>
  <c r="A14" i="101"/>
  <c r="H13" i="101"/>
  <c r="F13" i="101"/>
  <c r="G13" i="101" s="1"/>
  <c r="A13" i="101"/>
  <c r="L12" i="101"/>
  <c r="L19" i="101" s="1"/>
  <c r="G26" i="123" s="1"/>
  <c r="K12" i="101"/>
  <c r="K19" i="101" s="1"/>
  <c r="D26" i="123" s="1"/>
  <c r="J12" i="101"/>
  <c r="J19" i="101" s="1"/>
  <c r="H12" i="101"/>
  <c r="F12" i="101"/>
  <c r="G12" i="101" s="1"/>
  <c r="A12" i="101"/>
  <c r="L11" i="101"/>
  <c r="L18" i="101" s="1"/>
  <c r="K11" i="101"/>
  <c r="K18" i="101" s="1"/>
  <c r="J11" i="101"/>
  <c r="J18" i="101" s="1"/>
  <c r="H11" i="101"/>
  <c r="F11" i="101"/>
  <c r="G11" i="101" s="1"/>
  <c r="A11" i="101"/>
  <c r="L10" i="101"/>
  <c r="K10" i="101"/>
  <c r="J10" i="101"/>
  <c r="H10" i="101"/>
  <c r="F10" i="101"/>
  <c r="G10" i="101" s="1"/>
  <c r="A10" i="101"/>
  <c r="L9" i="101"/>
  <c r="L21" i="101" s="1"/>
  <c r="K9" i="101"/>
  <c r="J9" i="101"/>
  <c r="J21" i="101" s="1"/>
  <c r="I26" i="123" s="1"/>
  <c r="H9" i="101"/>
  <c r="F9" i="101"/>
  <c r="G9" i="101" s="1"/>
  <c r="A9" i="101"/>
  <c r="L8" i="101"/>
  <c r="K8" i="101"/>
  <c r="K21" i="101" s="1"/>
  <c r="J8" i="101"/>
  <c r="H8" i="101"/>
  <c r="G8" i="101"/>
  <c r="F8" i="101"/>
  <c r="A8" i="101"/>
  <c r="L7" i="101"/>
  <c r="K7" i="101"/>
  <c r="J7" i="101"/>
  <c r="H7" i="101"/>
  <c r="F7" i="101"/>
  <c r="G7" i="101" s="1"/>
  <c r="A7" i="101"/>
  <c r="L6" i="101"/>
  <c r="K6" i="101"/>
  <c r="J6" i="101"/>
  <c r="H6" i="101"/>
  <c r="F6" i="101"/>
  <c r="G6" i="101" s="1"/>
  <c r="A6" i="101"/>
  <c r="L5" i="101"/>
  <c r="L17" i="101" s="1"/>
  <c r="F26" i="123" s="1"/>
  <c r="K5" i="101"/>
  <c r="K17" i="101" s="1"/>
  <c r="C26" i="123" s="1"/>
  <c r="J5" i="101"/>
  <c r="J17" i="101" s="1"/>
  <c r="H5" i="101"/>
  <c r="F5" i="101"/>
  <c r="G5" i="101" s="1"/>
  <c r="A5" i="101"/>
  <c r="L4" i="101"/>
  <c r="K4" i="101"/>
  <c r="J4" i="101"/>
  <c r="H4" i="101"/>
  <c r="F4" i="101"/>
  <c r="G4" i="101" s="1"/>
  <c r="A4" i="101"/>
  <c r="L3" i="101"/>
  <c r="L16" i="101" s="1"/>
  <c r="E26" i="123" s="1"/>
  <c r="K3" i="101"/>
  <c r="K16" i="101" s="1"/>
  <c r="B26" i="123" s="1"/>
  <c r="J3" i="101"/>
  <c r="H3" i="101"/>
  <c r="F3" i="101"/>
  <c r="G3" i="101" s="1"/>
  <c r="A3" i="101"/>
  <c r="H42" i="116"/>
  <c r="G42" i="116"/>
  <c r="F42" i="116"/>
  <c r="A42" i="116"/>
  <c r="H41" i="116"/>
  <c r="F41" i="116"/>
  <c r="G41" i="116" s="1"/>
  <c r="A41" i="116"/>
  <c r="H40" i="116"/>
  <c r="F40" i="116"/>
  <c r="G40" i="116" s="1"/>
  <c r="A40" i="116"/>
  <c r="H39" i="116"/>
  <c r="F39" i="116"/>
  <c r="G39" i="116" s="1"/>
  <c r="A39" i="116"/>
  <c r="H38" i="116"/>
  <c r="F38" i="116"/>
  <c r="G38" i="116" s="1"/>
  <c r="A38" i="116"/>
  <c r="H37" i="116"/>
  <c r="G37" i="116"/>
  <c r="F37" i="116"/>
  <c r="A37" i="116"/>
  <c r="H36" i="116"/>
  <c r="G36" i="116"/>
  <c r="F36" i="116"/>
  <c r="A36" i="116"/>
  <c r="H35" i="116"/>
  <c r="G35" i="116"/>
  <c r="F35" i="116"/>
  <c r="A35" i="116"/>
  <c r="H34" i="116"/>
  <c r="G34" i="116"/>
  <c r="F34" i="116"/>
  <c r="A34" i="116"/>
  <c r="H33" i="116"/>
  <c r="F33" i="116"/>
  <c r="G33" i="116" s="1"/>
  <c r="A33" i="116"/>
  <c r="H32" i="116"/>
  <c r="F32" i="116"/>
  <c r="G32" i="116" s="1"/>
  <c r="A32" i="116"/>
  <c r="H31" i="116"/>
  <c r="F31" i="116"/>
  <c r="G31" i="116" s="1"/>
  <c r="A31" i="116"/>
  <c r="H30" i="116"/>
  <c r="F30" i="116"/>
  <c r="G30" i="116" s="1"/>
  <c r="A30" i="116"/>
  <c r="H29" i="116"/>
  <c r="G29" i="116"/>
  <c r="F29" i="116"/>
  <c r="A29" i="116"/>
  <c r="H28" i="116"/>
  <c r="G28" i="116"/>
  <c r="F28" i="116"/>
  <c r="A28" i="116"/>
  <c r="H27" i="116"/>
  <c r="G27" i="116"/>
  <c r="F27" i="116"/>
  <c r="A27" i="116"/>
  <c r="H26" i="116"/>
  <c r="G26" i="116"/>
  <c r="F26" i="116"/>
  <c r="A26" i="116"/>
  <c r="H25" i="116"/>
  <c r="F25" i="116"/>
  <c r="G25" i="116" s="1"/>
  <c r="A25" i="116"/>
  <c r="H24" i="116"/>
  <c r="F24" i="116"/>
  <c r="G24" i="116" s="1"/>
  <c r="A24" i="116"/>
  <c r="H23" i="116"/>
  <c r="F23" i="116"/>
  <c r="G23" i="116" s="1"/>
  <c r="A23" i="116"/>
  <c r="H22" i="116"/>
  <c r="F22" i="116"/>
  <c r="G22" i="116" s="1"/>
  <c r="A22" i="116"/>
  <c r="H21" i="116"/>
  <c r="F21" i="116"/>
  <c r="G21" i="116" s="1"/>
  <c r="A21" i="116"/>
  <c r="H20" i="116"/>
  <c r="G20" i="116"/>
  <c r="F20" i="116"/>
  <c r="A20" i="116"/>
  <c r="H19" i="116"/>
  <c r="F19" i="116"/>
  <c r="G19" i="116" s="1"/>
  <c r="A19" i="116"/>
  <c r="H18" i="116"/>
  <c r="F18" i="116"/>
  <c r="G18" i="116" s="1"/>
  <c r="A18" i="116"/>
  <c r="J17" i="116"/>
  <c r="H17" i="116"/>
  <c r="F17" i="116"/>
  <c r="G17" i="116" s="1"/>
  <c r="A17" i="116"/>
  <c r="H16" i="116"/>
  <c r="G16" i="116"/>
  <c r="F16" i="116"/>
  <c r="A16" i="116"/>
  <c r="H15" i="116"/>
  <c r="G15" i="116"/>
  <c r="F15" i="116"/>
  <c r="A15" i="116"/>
  <c r="H14" i="116"/>
  <c r="G14" i="116"/>
  <c r="F14" i="116"/>
  <c r="A14" i="116"/>
  <c r="H13" i="116"/>
  <c r="F13" i="116"/>
  <c r="G13" i="116" s="1"/>
  <c r="A13" i="116"/>
  <c r="L12" i="116"/>
  <c r="L19" i="116" s="1"/>
  <c r="G41" i="123" s="1"/>
  <c r="K12" i="116"/>
  <c r="K19" i="116" s="1"/>
  <c r="D41" i="123" s="1"/>
  <c r="J12" i="116"/>
  <c r="J19" i="116" s="1"/>
  <c r="H12" i="116"/>
  <c r="F12" i="116"/>
  <c r="G12" i="116" s="1"/>
  <c r="A12" i="116"/>
  <c r="L11" i="116"/>
  <c r="L18" i="116" s="1"/>
  <c r="K11" i="116"/>
  <c r="K18" i="116" s="1"/>
  <c r="J11" i="116"/>
  <c r="J18" i="116" s="1"/>
  <c r="H11" i="116"/>
  <c r="G11" i="116"/>
  <c r="F11" i="116"/>
  <c r="A11" i="116"/>
  <c r="L10" i="116"/>
  <c r="K10" i="116"/>
  <c r="J10" i="116"/>
  <c r="H10" i="116"/>
  <c r="F10" i="116"/>
  <c r="G10" i="116" s="1"/>
  <c r="A10" i="116"/>
  <c r="L9" i="116"/>
  <c r="K9" i="116"/>
  <c r="J9" i="116"/>
  <c r="H9" i="116"/>
  <c r="G9" i="116"/>
  <c r="F9" i="116"/>
  <c r="A9" i="116"/>
  <c r="L8" i="116"/>
  <c r="L21" i="116" s="1"/>
  <c r="K8" i="116"/>
  <c r="K21" i="116" s="1"/>
  <c r="J8" i="116"/>
  <c r="J21" i="116" s="1"/>
  <c r="I41" i="123" s="1"/>
  <c r="H8" i="116"/>
  <c r="F8" i="116"/>
  <c r="G8" i="116" s="1"/>
  <c r="A8" i="116"/>
  <c r="L7" i="116"/>
  <c r="K7" i="116"/>
  <c r="J7" i="116"/>
  <c r="H7" i="116"/>
  <c r="F7" i="116"/>
  <c r="G7" i="116" s="1"/>
  <c r="A7" i="116"/>
  <c r="L6" i="116"/>
  <c r="L17" i="116" s="1"/>
  <c r="F41" i="123" s="1"/>
  <c r="K6" i="116"/>
  <c r="K17" i="116" s="1"/>
  <c r="C41" i="123" s="1"/>
  <c r="J6" i="116"/>
  <c r="H6" i="116"/>
  <c r="F6" i="116"/>
  <c r="G6" i="116" s="1"/>
  <c r="A6" i="116"/>
  <c r="L5" i="116"/>
  <c r="K5" i="116"/>
  <c r="J5" i="116"/>
  <c r="H5" i="116"/>
  <c r="G5" i="116"/>
  <c r="F5" i="116"/>
  <c r="A5" i="116"/>
  <c r="L4" i="116"/>
  <c r="K4" i="116"/>
  <c r="J4" i="116"/>
  <c r="H4" i="116"/>
  <c r="F4" i="116"/>
  <c r="G4" i="116" s="1"/>
  <c r="A4" i="116"/>
  <c r="L3" i="116"/>
  <c r="L16" i="116" s="1"/>
  <c r="E41" i="123" s="1"/>
  <c r="K3" i="116"/>
  <c r="K16" i="116" s="1"/>
  <c r="B41" i="123" s="1"/>
  <c r="J3" i="116"/>
  <c r="J16" i="116" s="1"/>
  <c r="H3" i="116"/>
  <c r="F3" i="116"/>
  <c r="G3" i="116" s="1"/>
  <c r="A3" i="116"/>
  <c r="H42" i="115"/>
  <c r="F42" i="115"/>
  <c r="G42" i="115" s="1"/>
  <c r="A42" i="115"/>
  <c r="H41" i="115"/>
  <c r="F41" i="115"/>
  <c r="G41" i="115" s="1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G37" i="115"/>
  <c r="F37" i="115"/>
  <c r="A37" i="115"/>
  <c r="H36" i="115"/>
  <c r="F36" i="115"/>
  <c r="G36" i="115" s="1"/>
  <c r="A36" i="115"/>
  <c r="H35" i="115"/>
  <c r="F35" i="115"/>
  <c r="G35" i="115" s="1"/>
  <c r="A35" i="115"/>
  <c r="H34" i="115"/>
  <c r="F34" i="115"/>
  <c r="G34" i="115" s="1"/>
  <c r="A34" i="115"/>
  <c r="H33" i="115"/>
  <c r="F33" i="115"/>
  <c r="G33" i="115" s="1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G29" i="115"/>
  <c r="F29" i="115"/>
  <c r="A29" i="115"/>
  <c r="H28" i="115"/>
  <c r="F28" i="115"/>
  <c r="G28" i="115" s="1"/>
  <c r="A28" i="115"/>
  <c r="H27" i="115"/>
  <c r="F27" i="115"/>
  <c r="G27" i="115" s="1"/>
  <c r="A27" i="115"/>
  <c r="H26" i="115"/>
  <c r="F26" i="115"/>
  <c r="G26" i="115" s="1"/>
  <c r="A26" i="115"/>
  <c r="H25" i="115"/>
  <c r="F25" i="115"/>
  <c r="G25" i="115" s="1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F21" i="115"/>
  <c r="G21" i="115" s="1"/>
  <c r="A21" i="115"/>
  <c r="H20" i="115"/>
  <c r="F20" i="115"/>
  <c r="G20" i="115" s="1"/>
  <c r="A20" i="115"/>
  <c r="L19" i="115"/>
  <c r="G40" i="123" s="1"/>
  <c r="K19" i="115"/>
  <c r="D40" i="123" s="1"/>
  <c r="J19" i="115"/>
  <c r="H19" i="115"/>
  <c r="F19" i="115"/>
  <c r="G19" i="115" s="1"/>
  <c r="A19" i="115"/>
  <c r="L18" i="115"/>
  <c r="H18" i="115"/>
  <c r="G18" i="115"/>
  <c r="F18" i="115"/>
  <c r="A18" i="115"/>
  <c r="H17" i="115"/>
  <c r="F17" i="115"/>
  <c r="G17" i="115" s="1"/>
  <c r="A17" i="115"/>
  <c r="K16" i="115"/>
  <c r="J16" i="115"/>
  <c r="H16" i="115"/>
  <c r="F16" i="115"/>
  <c r="G16" i="115" s="1"/>
  <c r="A16" i="115"/>
  <c r="H15" i="115"/>
  <c r="F15" i="115"/>
  <c r="G15" i="115" s="1"/>
  <c r="A15" i="115"/>
  <c r="H14" i="115"/>
  <c r="F14" i="115"/>
  <c r="G14" i="115" s="1"/>
  <c r="A14" i="115"/>
  <c r="H13" i="115"/>
  <c r="F13" i="115"/>
  <c r="G13" i="115" s="1"/>
  <c r="A13" i="115"/>
  <c r="L12" i="115"/>
  <c r="K12" i="115"/>
  <c r="J12" i="115"/>
  <c r="H12" i="115"/>
  <c r="F12" i="115"/>
  <c r="G12" i="115" s="1"/>
  <c r="A12" i="115"/>
  <c r="L11" i="115"/>
  <c r="K11" i="115"/>
  <c r="K18" i="115" s="1"/>
  <c r="J11" i="115"/>
  <c r="J18" i="115" s="1"/>
  <c r="H11" i="115"/>
  <c r="G11" i="115"/>
  <c r="F11" i="115"/>
  <c r="A11" i="115"/>
  <c r="L10" i="115"/>
  <c r="K10" i="115"/>
  <c r="J10" i="115"/>
  <c r="H10" i="115"/>
  <c r="F10" i="115"/>
  <c r="G10" i="115" s="1"/>
  <c r="A10" i="115"/>
  <c r="L9" i="115"/>
  <c r="K9" i="115"/>
  <c r="J9" i="115"/>
  <c r="H9" i="115"/>
  <c r="F9" i="115"/>
  <c r="G9" i="115" s="1"/>
  <c r="A9" i="115"/>
  <c r="L8" i="115"/>
  <c r="L21" i="115" s="1"/>
  <c r="K8" i="115"/>
  <c r="K21" i="115" s="1"/>
  <c r="J8" i="115"/>
  <c r="J21" i="115" s="1"/>
  <c r="I40" i="123" s="1"/>
  <c r="H8" i="115"/>
  <c r="F8" i="115"/>
  <c r="G8" i="115" s="1"/>
  <c r="A8" i="115"/>
  <c r="L7" i="115"/>
  <c r="K7" i="115"/>
  <c r="J7" i="115"/>
  <c r="H7" i="115"/>
  <c r="G7" i="115"/>
  <c r="F7" i="115"/>
  <c r="A7" i="115"/>
  <c r="L6" i="115"/>
  <c r="K6" i="115"/>
  <c r="J6" i="115"/>
  <c r="H6" i="115"/>
  <c r="F6" i="115"/>
  <c r="G6" i="115" s="1"/>
  <c r="A6" i="115"/>
  <c r="L5" i="115"/>
  <c r="K5" i="115"/>
  <c r="J5" i="115"/>
  <c r="H5" i="115"/>
  <c r="F5" i="115"/>
  <c r="G5" i="115" s="1"/>
  <c r="A5" i="115"/>
  <c r="L4" i="115"/>
  <c r="L17" i="115" s="1"/>
  <c r="F40" i="123" s="1"/>
  <c r="K4" i="115"/>
  <c r="K17" i="115" s="1"/>
  <c r="C40" i="123" s="1"/>
  <c r="J4" i="115"/>
  <c r="J17" i="115" s="1"/>
  <c r="J20" i="115" s="1"/>
  <c r="H4" i="115"/>
  <c r="F4" i="115"/>
  <c r="G4" i="115" s="1"/>
  <c r="A4" i="115"/>
  <c r="L3" i="115"/>
  <c r="L16" i="115" s="1"/>
  <c r="E40" i="123" s="1"/>
  <c r="K3" i="115"/>
  <c r="J3" i="115"/>
  <c r="H3" i="115"/>
  <c r="F3" i="115"/>
  <c r="G3" i="115" s="1"/>
  <c r="A3" i="115"/>
  <c r="H42" i="122"/>
  <c r="G42" i="122"/>
  <c r="F42" i="122"/>
  <c r="A42" i="122"/>
  <c r="H41" i="122"/>
  <c r="G41" i="122"/>
  <c r="F41" i="122"/>
  <c r="A41" i="122"/>
  <c r="H40" i="122"/>
  <c r="G40" i="122"/>
  <c r="F40" i="122"/>
  <c r="A40" i="122"/>
  <c r="H39" i="122"/>
  <c r="F39" i="122"/>
  <c r="G39" i="122" s="1"/>
  <c r="A39" i="122"/>
  <c r="H38" i="122"/>
  <c r="F38" i="122"/>
  <c r="G38" i="122" s="1"/>
  <c r="A38" i="122"/>
  <c r="H37" i="122"/>
  <c r="F37" i="122"/>
  <c r="G37" i="122" s="1"/>
  <c r="A37" i="122"/>
  <c r="H36" i="122"/>
  <c r="F36" i="122"/>
  <c r="G36" i="122" s="1"/>
  <c r="A36" i="122"/>
  <c r="H35" i="122"/>
  <c r="G35" i="122"/>
  <c r="F35" i="122"/>
  <c r="A35" i="122"/>
  <c r="H34" i="122"/>
  <c r="G34" i="122"/>
  <c r="F34" i="122"/>
  <c r="A34" i="122"/>
  <c r="H33" i="122"/>
  <c r="G33" i="122"/>
  <c r="F33" i="122"/>
  <c r="A33" i="122"/>
  <c r="H32" i="122"/>
  <c r="G32" i="122"/>
  <c r="F32" i="122"/>
  <c r="A32" i="122"/>
  <c r="H31" i="122"/>
  <c r="F31" i="122"/>
  <c r="G31" i="122" s="1"/>
  <c r="A31" i="122"/>
  <c r="H30" i="122"/>
  <c r="F30" i="122"/>
  <c r="G30" i="122" s="1"/>
  <c r="H29" i="122"/>
  <c r="F29" i="122"/>
  <c r="G29" i="122" s="1"/>
  <c r="H28" i="122"/>
  <c r="F28" i="122"/>
  <c r="G28" i="122" s="1"/>
  <c r="H27" i="122"/>
  <c r="F27" i="122"/>
  <c r="G27" i="122" s="1"/>
  <c r="H26" i="122"/>
  <c r="G26" i="122"/>
  <c r="F26" i="122"/>
  <c r="H25" i="122"/>
  <c r="F25" i="122"/>
  <c r="G25" i="122" s="1"/>
  <c r="H24" i="122"/>
  <c r="G24" i="122"/>
  <c r="F24" i="122"/>
  <c r="H23" i="122"/>
  <c r="F23" i="122"/>
  <c r="G23" i="122" s="1"/>
  <c r="H22" i="122"/>
  <c r="G22" i="122"/>
  <c r="F22" i="122"/>
  <c r="L21" i="122"/>
  <c r="H21" i="122"/>
  <c r="F21" i="122"/>
  <c r="G21" i="122" s="1"/>
  <c r="H20" i="122"/>
  <c r="F20" i="122"/>
  <c r="G20" i="122" s="1"/>
  <c r="H19" i="122"/>
  <c r="L7" i="122" s="1"/>
  <c r="F19" i="122"/>
  <c r="G19" i="122" s="1"/>
  <c r="H18" i="122"/>
  <c r="G18" i="122"/>
  <c r="F18" i="122"/>
  <c r="H17" i="122"/>
  <c r="G17" i="122"/>
  <c r="F17" i="122"/>
  <c r="H16" i="122"/>
  <c r="F16" i="122"/>
  <c r="G16" i="122" s="1"/>
  <c r="H15" i="122"/>
  <c r="G15" i="122"/>
  <c r="F15" i="122"/>
  <c r="H14" i="122"/>
  <c r="F14" i="122"/>
  <c r="G14" i="122" s="1"/>
  <c r="H13" i="122"/>
  <c r="F13" i="122"/>
  <c r="G13" i="122" s="1"/>
  <c r="A13" i="122"/>
  <c r="L12" i="122"/>
  <c r="L19" i="122" s="1"/>
  <c r="K12" i="122"/>
  <c r="K19" i="122" s="1"/>
  <c r="J12" i="122"/>
  <c r="J19" i="122" s="1"/>
  <c r="H12" i="122"/>
  <c r="G12" i="122"/>
  <c r="F12" i="122"/>
  <c r="H11" i="122"/>
  <c r="G11" i="122"/>
  <c r="F11" i="122"/>
  <c r="L10" i="122"/>
  <c r="K10" i="122"/>
  <c r="J10" i="122"/>
  <c r="H10" i="122"/>
  <c r="G10" i="122"/>
  <c r="F10" i="122"/>
  <c r="L9" i="122"/>
  <c r="K9" i="122"/>
  <c r="J9" i="122"/>
  <c r="H9" i="122"/>
  <c r="F9" i="122"/>
  <c r="G9" i="122" s="1"/>
  <c r="L8" i="122"/>
  <c r="K8" i="122"/>
  <c r="K21" i="122" s="1"/>
  <c r="J8" i="122"/>
  <c r="J21" i="122" s="1"/>
  <c r="H8" i="122"/>
  <c r="L5" i="122" s="1"/>
  <c r="F8" i="122"/>
  <c r="J5" i="122" s="1"/>
  <c r="H7" i="122"/>
  <c r="L4" i="122" s="1"/>
  <c r="L17" i="122" s="1"/>
  <c r="F7" i="122"/>
  <c r="J4" i="122" s="1"/>
  <c r="L6" i="122"/>
  <c r="K6" i="122"/>
  <c r="J6" i="122"/>
  <c r="H6" i="122"/>
  <c r="G6" i="122"/>
  <c r="F6" i="122"/>
  <c r="H5" i="122"/>
  <c r="G5" i="122"/>
  <c r="F5" i="122"/>
  <c r="H4" i="122"/>
  <c r="F4" i="122"/>
  <c r="G4" i="122" s="1"/>
  <c r="L3" i="122"/>
  <c r="L16" i="122" s="1"/>
  <c r="K3" i="122"/>
  <c r="K16" i="122" s="1"/>
  <c r="J3" i="122"/>
  <c r="J16" i="122" s="1"/>
  <c r="H3" i="122"/>
  <c r="L11" i="122" s="1"/>
  <c r="L18" i="122" s="1"/>
  <c r="F3" i="122"/>
  <c r="J11" i="122" s="1"/>
  <c r="J18" i="122" s="1"/>
  <c r="H42" i="121"/>
  <c r="F42" i="121"/>
  <c r="G42" i="121" s="1"/>
  <c r="A42" i="121"/>
  <c r="H41" i="121"/>
  <c r="F41" i="121"/>
  <c r="G41" i="121" s="1"/>
  <c r="A41" i="121"/>
  <c r="H40" i="121"/>
  <c r="F40" i="121"/>
  <c r="G40" i="121" s="1"/>
  <c r="A40" i="121"/>
  <c r="H39" i="121"/>
  <c r="F39" i="121"/>
  <c r="G39" i="121" s="1"/>
  <c r="A39" i="121"/>
  <c r="H38" i="121"/>
  <c r="F38" i="121"/>
  <c r="G38" i="121" s="1"/>
  <c r="A38" i="121"/>
  <c r="H37" i="121"/>
  <c r="F37" i="121"/>
  <c r="G37" i="121" s="1"/>
  <c r="A37" i="121"/>
  <c r="H36" i="121"/>
  <c r="F36" i="121"/>
  <c r="G36" i="121" s="1"/>
  <c r="A36" i="121"/>
  <c r="H35" i="121"/>
  <c r="G35" i="121"/>
  <c r="F35" i="121"/>
  <c r="A35" i="121"/>
  <c r="H34" i="121"/>
  <c r="F34" i="121"/>
  <c r="G34" i="121" s="1"/>
  <c r="A34" i="121"/>
  <c r="H33" i="121"/>
  <c r="F33" i="121"/>
  <c r="G33" i="121" s="1"/>
  <c r="A33" i="121"/>
  <c r="H32" i="121"/>
  <c r="F32" i="121"/>
  <c r="G32" i="121" s="1"/>
  <c r="A32" i="121"/>
  <c r="H31" i="121"/>
  <c r="F31" i="121"/>
  <c r="G31" i="121" s="1"/>
  <c r="H30" i="121"/>
  <c r="G30" i="121"/>
  <c r="F30" i="121"/>
  <c r="H29" i="121"/>
  <c r="F29" i="121"/>
  <c r="G29" i="121" s="1"/>
  <c r="H28" i="121"/>
  <c r="G28" i="121"/>
  <c r="F28" i="121"/>
  <c r="H27" i="121"/>
  <c r="F27" i="121"/>
  <c r="G27" i="121" s="1"/>
  <c r="H26" i="121"/>
  <c r="F26" i="121"/>
  <c r="G26" i="121" s="1"/>
  <c r="H25" i="121"/>
  <c r="F25" i="121"/>
  <c r="G25" i="121" s="1"/>
  <c r="H24" i="121"/>
  <c r="F24" i="121"/>
  <c r="G24" i="121" s="1"/>
  <c r="H23" i="121"/>
  <c r="L7" i="121" s="1"/>
  <c r="F23" i="121"/>
  <c r="G23" i="121" s="1"/>
  <c r="K7" i="121" s="1"/>
  <c r="H22" i="121"/>
  <c r="F22" i="121"/>
  <c r="G22" i="121" s="1"/>
  <c r="L21" i="121"/>
  <c r="H21" i="121"/>
  <c r="G21" i="121"/>
  <c r="F21" i="121"/>
  <c r="H20" i="121"/>
  <c r="G20" i="121" s="1"/>
  <c r="F20" i="121"/>
  <c r="L19" i="121"/>
  <c r="H19" i="121"/>
  <c r="F19" i="121"/>
  <c r="G19" i="121" s="1"/>
  <c r="H18" i="121"/>
  <c r="F18" i="121"/>
  <c r="G18" i="121" s="1"/>
  <c r="H17" i="121"/>
  <c r="L5" i="121" s="1"/>
  <c r="F17" i="121"/>
  <c r="J5" i="121" s="1"/>
  <c r="L16" i="121"/>
  <c r="K16" i="121"/>
  <c r="J16" i="121"/>
  <c r="H16" i="121"/>
  <c r="L4" i="121" s="1"/>
  <c r="L17" i="121" s="1"/>
  <c r="G16" i="121"/>
  <c r="F16" i="121"/>
  <c r="H15" i="121"/>
  <c r="F15" i="121"/>
  <c r="G15" i="121" s="1"/>
  <c r="H14" i="121"/>
  <c r="F14" i="121"/>
  <c r="G14" i="121" s="1"/>
  <c r="H13" i="121"/>
  <c r="F13" i="121"/>
  <c r="G13" i="121" s="1"/>
  <c r="K6" i="121" s="1"/>
  <c r="L12" i="121"/>
  <c r="K12" i="121"/>
  <c r="K19" i="121" s="1"/>
  <c r="J12" i="121"/>
  <c r="J19" i="121" s="1"/>
  <c r="H12" i="121"/>
  <c r="F12" i="121"/>
  <c r="G12" i="121" s="1"/>
  <c r="H11" i="121"/>
  <c r="F11" i="121"/>
  <c r="G11" i="121" s="1"/>
  <c r="L10" i="121"/>
  <c r="K10" i="121"/>
  <c r="J10" i="121"/>
  <c r="H10" i="121"/>
  <c r="F10" i="121"/>
  <c r="G10" i="121" s="1"/>
  <c r="L9" i="121"/>
  <c r="K9" i="121"/>
  <c r="J9" i="121"/>
  <c r="H9" i="121"/>
  <c r="F9" i="121"/>
  <c r="G9" i="121" s="1"/>
  <c r="L8" i="121"/>
  <c r="K8" i="121"/>
  <c r="K21" i="121" s="1"/>
  <c r="J8" i="121"/>
  <c r="J21" i="121" s="1"/>
  <c r="H8" i="121"/>
  <c r="G8" i="121"/>
  <c r="F8" i="121"/>
  <c r="H7" i="121"/>
  <c r="G7" i="121"/>
  <c r="F7" i="121"/>
  <c r="L6" i="121"/>
  <c r="J6" i="121"/>
  <c r="H6" i="121"/>
  <c r="G6" i="121"/>
  <c r="F6" i="121"/>
  <c r="H5" i="121"/>
  <c r="F5" i="121"/>
  <c r="G5" i="121" s="1"/>
  <c r="H4" i="121"/>
  <c r="L11" i="121" s="1"/>
  <c r="L18" i="121" s="1"/>
  <c r="F4" i="121"/>
  <c r="G4" i="121" s="1"/>
  <c r="L3" i="121"/>
  <c r="K3" i="121"/>
  <c r="J3" i="121"/>
  <c r="H3" i="121"/>
  <c r="F3" i="121"/>
  <c r="G3" i="121" s="1"/>
  <c r="H42" i="120"/>
  <c r="F42" i="120"/>
  <c r="G42" i="120" s="1"/>
  <c r="A42" i="120"/>
  <c r="H41" i="120"/>
  <c r="G41" i="120"/>
  <c r="F41" i="120"/>
  <c r="A41" i="120"/>
  <c r="H40" i="120"/>
  <c r="F40" i="120"/>
  <c r="G40" i="120" s="1"/>
  <c r="A40" i="120"/>
  <c r="H39" i="120"/>
  <c r="F39" i="120"/>
  <c r="G39" i="120" s="1"/>
  <c r="A39" i="120"/>
  <c r="H38" i="120"/>
  <c r="F38" i="120"/>
  <c r="G38" i="120" s="1"/>
  <c r="A38" i="120"/>
  <c r="H37" i="120"/>
  <c r="F37" i="120"/>
  <c r="G37" i="120" s="1"/>
  <c r="A37" i="120"/>
  <c r="H36" i="120"/>
  <c r="F36" i="120"/>
  <c r="G36" i="120" s="1"/>
  <c r="A36" i="120"/>
  <c r="H35" i="120"/>
  <c r="G35" i="120"/>
  <c r="F35" i="120"/>
  <c r="A35" i="120"/>
  <c r="H34" i="120"/>
  <c r="F34" i="120"/>
  <c r="G34" i="120" s="1"/>
  <c r="A34" i="120"/>
  <c r="H33" i="120"/>
  <c r="G33" i="120"/>
  <c r="F33" i="120"/>
  <c r="A33" i="120"/>
  <c r="H32" i="120"/>
  <c r="F32" i="120"/>
  <c r="G32" i="120" s="1"/>
  <c r="A32" i="120"/>
  <c r="H31" i="120"/>
  <c r="F31" i="120"/>
  <c r="G31" i="120" s="1"/>
  <c r="H30" i="120"/>
  <c r="G30" i="120"/>
  <c r="F30" i="120"/>
  <c r="H29" i="120"/>
  <c r="F29" i="120"/>
  <c r="G29" i="120" s="1"/>
  <c r="H28" i="120"/>
  <c r="F28" i="120"/>
  <c r="G28" i="120" s="1"/>
  <c r="H27" i="120"/>
  <c r="F27" i="120"/>
  <c r="G27" i="120" s="1"/>
  <c r="H26" i="120"/>
  <c r="F26" i="120"/>
  <c r="G26" i="120" s="1"/>
  <c r="H25" i="120"/>
  <c r="G25" i="120"/>
  <c r="F25" i="120"/>
  <c r="H24" i="120"/>
  <c r="F24" i="120"/>
  <c r="G24" i="120" s="1"/>
  <c r="H23" i="120"/>
  <c r="G23" i="120"/>
  <c r="F23" i="120"/>
  <c r="H22" i="120"/>
  <c r="F22" i="120"/>
  <c r="G22" i="120" s="1"/>
  <c r="K7" i="120" s="1"/>
  <c r="H21" i="120"/>
  <c r="F21" i="120"/>
  <c r="G21" i="120" s="1"/>
  <c r="H20" i="120"/>
  <c r="F20" i="120"/>
  <c r="G20" i="120" s="1"/>
  <c r="H19" i="120"/>
  <c r="L5" i="120" s="1"/>
  <c r="F19" i="120"/>
  <c r="J5" i="120" s="1"/>
  <c r="H18" i="120"/>
  <c r="F18" i="120"/>
  <c r="G18" i="120" s="1"/>
  <c r="H17" i="120"/>
  <c r="F17" i="120"/>
  <c r="G17" i="120" s="1"/>
  <c r="H16" i="120"/>
  <c r="F16" i="120"/>
  <c r="G16" i="120" s="1"/>
  <c r="H15" i="120"/>
  <c r="F15" i="120"/>
  <c r="G15" i="120" s="1"/>
  <c r="H14" i="120"/>
  <c r="L4" i="120" s="1"/>
  <c r="L17" i="120" s="1"/>
  <c r="G14" i="120"/>
  <c r="F14" i="120"/>
  <c r="H13" i="120"/>
  <c r="F13" i="120"/>
  <c r="G13" i="120" s="1"/>
  <c r="K6" i="120" s="1"/>
  <c r="L12" i="120"/>
  <c r="L19" i="120" s="1"/>
  <c r="K12" i="120"/>
  <c r="K19" i="120" s="1"/>
  <c r="J12" i="120"/>
  <c r="J19" i="120" s="1"/>
  <c r="H12" i="120"/>
  <c r="F12" i="120"/>
  <c r="G12" i="120" s="1"/>
  <c r="L11" i="120"/>
  <c r="L18" i="120" s="1"/>
  <c r="H11" i="120"/>
  <c r="G11" i="120"/>
  <c r="F11" i="120"/>
  <c r="L10" i="120"/>
  <c r="K10" i="120"/>
  <c r="J10" i="120"/>
  <c r="H10" i="120"/>
  <c r="G10" i="120"/>
  <c r="F10" i="120"/>
  <c r="H9" i="120"/>
  <c r="L9" i="120" s="1"/>
  <c r="F9" i="120"/>
  <c r="G9" i="120" s="1"/>
  <c r="L8" i="120"/>
  <c r="L21" i="120" s="1"/>
  <c r="K8" i="120"/>
  <c r="J8" i="120"/>
  <c r="H8" i="120"/>
  <c r="F8" i="120"/>
  <c r="G8" i="120" s="1"/>
  <c r="L7" i="120"/>
  <c r="J7" i="120"/>
  <c r="H7" i="120"/>
  <c r="F7" i="120"/>
  <c r="G7" i="120" s="1"/>
  <c r="L6" i="120"/>
  <c r="J6" i="120"/>
  <c r="H6" i="120"/>
  <c r="G6" i="120"/>
  <c r="F6" i="120"/>
  <c r="H5" i="120"/>
  <c r="G5" i="120"/>
  <c r="F5" i="120"/>
  <c r="H4" i="120"/>
  <c r="F4" i="120"/>
  <c r="G4" i="120" s="1"/>
  <c r="L3" i="120"/>
  <c r="L16" i="120" s="1"/>
  <c r="K3" i="120"/>
  <c r="K16" i="120" s="1"/>
  <c r="J3" i="120"/>
  <c r="J16" i="120" s="1"/>
  <c r="H3" i="120"/>
  <c r="F3" i="120"/>
  <c r="J11" i="120" s="1"/>
  <c r="J18" i="120" s="1"/>
  <c r="H42" i="119"/>
  <c r="F42" i="119"/>
  <c r="G42" i="119" s="1"/>
  <c r="A42" i="119"/>
  <c r="H41" i="119"/>
  <c r="F41" i="119"/>
  <c r="G41" i="119" s="1"/>
  <c r="A41" i="119"/>
  <c r="H40" i="119"/>
  <c r="F40" i="119"/>
  <c r="G40" i="119" s="1"/>
  <c r="A40" i="119"/>
  <c r="H39" i="119"/>
  <c r="F39" i="119"/>
  <c r="G39" i="119" s="1"/>
  <c r="A39" i="119"/>
  <c r="H38" i="119"/>
  <c r="F38" i="119"/>
  <c r="G38" i="119" s="1"/>
  <c r="A38" i="119"/>
  <c r="H37" i="119"/>
  <c r="F37" i="119"/>
  <c r="G37" i="119" s="1"/>
  <c r="A37" i="119"/>
  <c r="H36" i="119"/>
  <c r="F36" i="119"/>
  <c r="G36" i="119" s="1"/>
  <c r="A36" i="119"/>
  <c r="H35" i="119"/>
  <c r="F35" i="119"/>
  <c r="G35" i="119" s="1"/>
  <c r="A35" i="119"/>
  <c r="H34" i="119"/>
  <c r="F34" i="119"/>
  <c r="G34" i="119" s="1"/>
  <c r="A34" i="119"/>
  <c r="H33" i="119"/>
  <c r="F33" i="119"/>
  <c r="G33" i="119" s="1"/>
  <c r="A33" i="119"/>
  <c r="H32" i="119"/>
  <c r="F32" i="119"/>
  <c r="G32" i="119" s="1"/>
  <c r="A32" i="119"/>
  <c r="H31" i="119"/>
  <c r="F31" i="119"/>
  <c r="G31" i="119" s="1"/>
  <c r="A31" i="119"/>
  <c r="H30" i="119"/>
  <c r="F30" i="119"/>
  <c r="G30" i="119" s="1"/>
  <c r="A30" i="119"/>
  <c r="H29" i="119"/>
  <c r="F29" i="119"/>
  <c r="G29" i="119" s="1"/>
  <c r="A29" i="119"/>
  <c r="H28" i="119"/>
  <c r="F28" i="119"/>
  <c r="G28" i="119" s="1"/>
  <c r="A28" i="119"/>
  <c r="H27" i="119"/>
  <c r="F27" i="119"/>
  <c r="G27" i="119" s="1"/>
  <c r="A27" i="119"/>
  <c r="H26" i="119"/>
  <c r="F26" i="119"/>
  <c r="G26" i="119" s="1"/>
  <c r="A26" i="119"/>
  <c r="H25" i="119"/>
  <c r="F25" i="119"/>
  <c r="G25" i="119" s="1"/>
  <c r="A25" i="119"/>
  <c r="H24" i="119"/>
  <c r="F24" i="119"/>
  <c r="G24" i="119" s="1"/>
  <c r="A24" i="119"/>
  <c r="H23" i="119"/>
  <c r="F23" i="119"/>
  <c r="G23" i="119" s="1"/>
  <c r="H22" i="119"/>
  <c r="G22" i="119"/>
  <c r="F22" i="119"/>
  <c r="H21" i="119"/>
  <c r="G21" i="119"/>
  <c r="F21" i="119"/>
  <c r="H20" i="119"/>
  <c r="G20" i="119"/>
  <c r="F20" i="119"/>
  <c r="H19" i="119"/>
  <c r="F19" i="119"/>
  <c r="G19" i="119" s="1"/>
  <c r="H18" i="119"/>
  <c r="F18" i="119"/>
  <c r="G18" i="119" s="1"/>
  <c r="H17" i="119"/>
  <c r="G17" i="119"/>
  <c r="F17" i="119"/>
  <c r="L16" i="119"/>
  <c r="H16" i="119"/>
  <c r="G16" i="119"/>
  <c r="F16" i="119"/>
  <c r="H15" i="119"/>
  <c r="F15" i="119"/>
  <c r="G15" i="119" s="1"/>
  <c r="H14" i="119"/>
  <c r="G14" i="119" s="1"/>
  <c r="F14" i="119"/>
  <c r="H13" i="119"/>
  <c r="L9" i="119" s="1"/>
  <c r="F13" i="119"/>
  <c r="J9" i="119" s="1"/>
  <c r="L12" i="119"/>
  <c r="L19" i="119" s="1"/>
  <c r="K12" i="119"/>
  <c r="K19" i="119" s="1"/>
  <c r="J12" i="119"/>
  <c r="J19" i="119" s="1"/>
  <c r="H12" i="119"/>
  <c r="F12" i="119"/>
  <c r="G12" i="119" s="1"/>
  <c r="H11" i="119"/>
  <c r="F11" i="119"/>
  <c r="G11" i="119" s="1"/>
  <c r="L10" i="119"/>
  <c r="L17" i="119" s="1"/>
  <c r="K10" i="119"/>
  <c r="K17" i="119" s="1"/>
  <c r="J10" i="119"/>
  <c r="J17" i="119" s="1"/>
  <c r="H10" i="119"/>
  <c r="F10" i="119"/>
  <c r="G10" i="119" s="1"/>
  <c r="H9" i="119"/>
  <c r="F9" i="119"/>
  <c r="G9" i="119" s="1"/>
  <c r="L8" i="119"/>
  <c r="L21" i="119" s="1"/>
  <c r="K8" i="119"/>
  <c r="J8" i="119"/>
  <c r="J21" i="119" s="1"/>
  <c r="H8" i="119"/>
  <c r="F8" i="119"/>
  <c r="G8" i="119" s="1"/>
  <c r="L7" i="119"/>
  <c r="K7" i="119"/>
  <c r="J7" i="119"/>
  <c r="H7" i="119"/>
  <c r="G7" i="119"/>
  <c r="F7" i="119"/>
  <c r="L6" i="119"/>
  <c r="K6" i="119"/>
  <c r="J6" i="119"/>
  <c r="H6" i="119"/>
  <c r="F6" i="119"/>
  <c r="G6" i="119" s="1"/>
  <c r="L5" i="119"/>
  <c r="K5" i="119"/>
  <c r="J5" i="119"/>
  <c r="H5" i="119"/>
  <c r="L11" i="119" s="1"/>
  <c r="L18" i="119" s="1"/>
  <c r="F5" i="119"/>
  <c r="J11" i="119" s="1"/>
  <c r="J18" i="119" s="1"/>
  <c r="L4" i="119"/>
  <c r="K4" i="119"/>
  <c r="J4" i="119"/>
  <c r="H4" i="119"/>
  <c r="F4" i="119"/>
  <c r="G4" i="119" s="1"/>
  <c r="L3" i="119"/>
  <c r="K3" i="119"/>
  <c r="K16" i="119" s="1"/>
  <c r="J3" i="119"/>
  <c r="J16" i="119" s="1"/>
  <c r="J20" i="119" s="1"/>
  <c r="H3" i="119"/>
  <c r="G3" i="119"/>
  <c r="F3" i="119"/>
  <c r="H42" i="118"/>
  <c r="G42" i="118"/>
  <c r="F42" i="118"/>
  <c r="A42" i="118"/>
  <c r="H41" i="118"/>
  <c r="F41" i="118"/>
  <c r="G41" i="118" s="1"/>
  <c r="A41" i="118"/>
  <c r="H40" i="118"/>
  <c r="F40" i="118"/>
  <c r="G40" i="118" s="1"/>
  <c r="A40" i="118"/>
  <c r="H39" i="118"/>
  <c r="F39" i="118"/>
  <c r="G39" i="118" s="1"/>
  <c r="A39" i="118"/>
  <c r="H38" i="118"/>
  <c r="F38" i="118"/>
  <c r="G38" i="118" s="1"/>
  <c r="A38" i="118"/>
  <c r="H37" i="118"/>
  <c r="G37" i="118"/>
  <c r="F37" i="118"/>
  <c r="A37" i="118"/>
  <c r="H36" i="118"/>
  <c r="G36" i="118"/>
  <c r="F36" i="118"/>
  <c r="A36" i="118"/>
  <c r="H35" i="118"/>
  <c r="G35" i="118"/>
  <c r="F35" i="118"/>
  <c r="A35" i="118"/>
  <c r="H34" i="118"/>
  <c r="G34" i="118"/>
  <c r="F34" i="118"/>
  <c r="A34" i="118"/>
  <c r="H33" i="118"/>
  <c r="F33" i="118"/>
  <c r="G33" i="118" s="1"/>
  <c r="A33" i="118"/>
  <c r="H32" i="118"/>
  <c r="F32" i="118"/>
  <c r="G32" i="118" s="1"/>
  <c r="A32" i="118"/>
  <c r="H31" i="118"/>
  <c r="F31" i="118"/>
  <c r="G31" i="118" s="1"/>
  <c r="A31" i="118"/>
  <c r="H30" i="118"/>
  <c r="F30" i="118"/>
  <c r="G30" i="118" s="1"/>
  <c r="A30" i="118"/>
  <c r="H29" i="118"/>
  <c r="G29" i="118"/>
  <c r="F29" i="118"/>
  <c r="A29" i="118"/>
  <c r="H28" i="118"/>
  <c r="G28" i="118"/>
  <c r="F28" i="118"/>
  <c r="A28" i="118"/>
  <c r="H27" i="118"/>
  <c r="G27" i="118"/>
  <c r="F27" i="118"/>
  <c r="A27" i="118"/>
  <c r="H26" i="118"/>
  <c r="G26" i="118"/>
  <c r="F26" i="118"/>
  <c r="A26" i="118"/>
  <c r="H25" i="118"/>
  <c r="F25" i="118"/>
  <c r="G25" i="118" s="1"/>
  <c r="A25" i="118"/>
  <c r="H24" i="118"/>
  <c r="F24" i="118"/>
  <c r="G24" i="118" s="1"/>
  <c r="A24" i="118"/>
  <c r="H23" i="118"/>
  <c r="F23" i="118"/>
  <c r="G23" i="118" s="1"/>
  <c r="A23" i="118"/>
  <c r="H22" i="118"/>
  <c r="F22" i="118"/>
  <c r="G22" i="118" s="1"/>
  <c r="A22" i="118"/>
  <c r="L21" i="118"/>
  <c r="K21" i="118"/>
  <c r="H21" i="118"/>
  <c r="F21" i="118"/>
  <c r="G21" i="118" s="1"/>
  <c r="A21" i="118"/>
  <c r="H20" i="118"/>
  <c r="G20" i="118"/>
  <c r="F20" i="118"/>
  <c r="A20" i="118"/>
  <c r="H19" i="118"/>
  <c r="F19" i="118"/>
  <c r="J7" i="118" s="1"/>
  <c r="H18" i="118"/>
  <c r="G18" i="118"/>
  <c r="F18" i="118"/>
  <c r="H17" i="118"/>
  <c r="F17" i="118"/>
  <c r="G17" i="118" s="1"/>
  <c r="L16" i="118"/>
  <c r="E42" i="123" s="1"/>
  <c r="K16" i="118"/>
  <c r="B42" i="123" s="1"/>
  <c r="J16" i="118"/>
  <c r="H16" i="118"/>
  <c r="L7" i="118" s="1"/>
  <c r="F16" i="118"/>
  <c r="G16" i="118" s="1"/>
  <c r="H15" i="118"/>
  <c r="G15" i="118"/>
  <c r="F15" i="118"/>
  <c r="H14" i="118"/>
  <c r="F14" i="118"/>
  <c r="G14" i="118" s="1"/>
  <c r="H13" i="118"/>
  <c r="G13" i="118"/>
  <c r="F13" i="118"/>
  <c r="L12" i="118"/>
  <c r="L19" i="118" s="1"/>
  <c r="G42" i="123" s="1"/>
  <c r="K12" i="118"/>
  <c r="K19" i="118" s="1"/>
  <c r="D42" i="123" s="1"/>
  <c r="J12" i="118"/>
  <c r="J19" i="118" s="1"/>
  <c r="H12" i="118"/>
  <c r="F12" i="118"/>
  <c r="G12" i="118" s="1"/>
  <c r="H11" i="118"/>
  <c r="F11" i="118"/>
  <c r="G11" i="118" s="1"/>
  <c r="K4" i="118" s="1"/>
  <c r="L10" i="118"/>
  <c r="K10" i="118"/>
  <c r="J10" i="118"/>
  <c r="H10" i="118"/>
  <c r="L5" i="118" s="1"/>
  <c r="F10" i="118"/>
  <c r="G10" i="118" s="1"/>
  <c r="K5" i="118" s="1"/>
  <c r="L9" i="118"/>
  <c r="K9" i="118"/>
  <c r="J9" i="118"/>
  <c r="H9" i="118"/>
  <c r="G9" i="118"/>
  <c r="F9" i="118"/>
  <c r="L8" i="118"/>
  <c r="K8" i="118"/>
  <c r="J8" i="118"/>
  <c r="J21" i="118" s="1"/>
  <c r="I42" i="123" s="1"/>
  <c r="H8" i="118"/>
  <c r="G8" i="118"/>
  <c r="F8" i="118"/>
  <c r="H7" i="118"/>
  <c r="G7" i="118"/>
  <c r="F7" i="118"/>
  <c r="L6" i="118"/>
  <c r="K6" i="118"/>
  <c r="J6" i="118"/>
  <c r="H6" i="118"/>
  <c r="F6" i="118"/>
  <c r="G6" i="118" s="1"/>
  <c r="H5" i="118"/>
  <c r="F5" i="118"/>
  <c r="G5" i="118" s="1"/>
  <c r="L4" i="118"/>
  <c r="J4" i="118"/>
  <c r="H4" i="118"/>
  <c r="L11" i="118" s="1"/>
  <c r="L18" i="118" s="1"/>
  <c r="G4" i="118"/>
  <c r="F4" i="118"/>
  <c r="L3" i="118"/>
  <c r="K3" i="118"/>
  <c r="J3" i="118"/>
  <c r="H3" i="118"/>
  <c r="G3" i="118"/>
  <c r="F3" i="118"/>
  <c r="H42" i="114"/>
  <c r="F42" i="114"/>
  <c r="G42" i="114" s="1"/>
  <c r="A42" i="114"/>
  <c r="H41" i="114"/>
  <c r="F41" i="114"/>
  <c r="G41" i="114" s="1"/>
  <c r="A41" i="114"/>
  <c r="H40" i="114"/>
  <c r="F40" i="114"/>
  <c r="G40" i="114" s="1"/>
  <c r="A40" i="114"/>
  <c r="H39" i="114"/>
  <c r="F39" i="114"/>
  <c r="G39" i="114" s="1"/>
  <c r="A39" i="114"/>
  <c r="H38" i="114"/>
  <c r="F38" i="114"/>
  <c r="G38" i="114" s="1"/>
  <c r="A38" i="114"/>
  <c r="H37" i="114"/>
  <c r="F37" i="114"/>
  <c r="G37" i="114" s="1"/>
  <c r="A37" i="114"/>
  <c r="H36" i="114"/>
  <c r="F36" i="114"/>
  <c r="G36" i="114" s="1"/>
  <c r="A36" i="114"/>
  <c r="H35" i="114"/>
  <c r="F35" i="114"/>
  <c r="G35" i="114" s="1"/>
  <c r="A35" i="114"/>
  <c r="H34" i="114"/>
  <c r="F34" i="114"/>
  <c r="G34" i="114" s="1"/>
  <c r="A34" i="114"/>
  <c r="H33" i="114"/>
  <c r="F33" i="114"/>
  <c r="G33" i="114" s="1"/>
  <c r="A33" i="114"/>
  <c r="H32" i="114"/>
  <c r="F32" i="114"/>
  <c r="G32" i="114" s="1"/>
  <c r="A32" i="114"/>
  <c r="H31" i="114"/>
  <c r="F31" i="114"/>
  <c r="G31" i="114" s="1"/>
  <c r="A31" i="114"/>
  <c r="H30" i="114"/>
  <c r="F30" i="114"/>
  <c r="G30" i="114" s="1"/>
  <c r="A30" i="114"/>
  <c r="H29" i="114"/>
  <c r="F29" i="114"/>
  <c r="G29" i="114" s="1"/>
  <c r="A29" i="114"/>
  <c r="H28" i="114"/>
  <c r="F28" i="114"/>
  <c r="G28" i="114" s="1"/>
  <c r="A28" i="114"/>
  <c r="H27" i="114"/>
  <c r="F27" i="114"/>
  <c r="G27" i="114" s="1"/>
  <c r="A27" i="114"/>
  <c r="H26" i="114"/>
  <c r="F26" i="114"/>
  <c r="G26" i="114" s="1"/>
  <c r="A26" i="114"/>
  <c r="H25" i="114"/>
  <c r="F25" i="114"/>
  <c r="G25" i="114" s="1"/>
  <c r="A25" i="114"/>
  <c r="H24" i="114"/>
  <c r="F24" i="114"/>
  <c r="G24" i="114" s="1"/>
  <c r="A24" i="114"/>
  <c r="H23" i="114"/>
  <c r="F23" i="114"/>
  <c r="G23" i="114" s="1"/>
  <c r="A23" i="114"/>
  <c r="H22" i="114"/>
  <c r="F22" i="114"/>
  <c r="G22" i="114" s="1"/>
  <c r="A22" i="114"/>
  <c r="J21" i="114"/>
  <c r="H21" i="114"/>
  <c r="F21" i="114"/>
  <c r="G21" i="114" s="1"/>
  <c r="A21" i="114"/>
  <c r="H20" i="114"/>
  <c r="F20" i="114"/>
  <c r="G20" i="114" s="1"/>
  <c r="A20" i="114"/>
  <c r="H19" i="114"/>
  <c r="G19" i="114"/>
  <c r="F19" i="114"/>
  <c r="A19" i="114"/>
  <c r="H18" i="114"/>
  <c r="F18" i="114"/>
  <c r="G18" i="114" s="1"/>
  <c r="A18" i="114"/>
  <c r="H17" i="114"/>
  <c r="F17" i="114"/>
  <c r="G17" i="114" s="1"/>
  <c r="A17" i="114"/>
  <c r="L16" i="114"/>
  <c r="E39" i="123" s="1"/>
  <c r="K16" i="114"/>
  <c r="B39" i="123" s="1"/>
  <c r="J16" i="114"/>
  <c r="H16" i="114"/>
  <c r="F16" i="114"/>
  <c r="G16" i="114" s="1"/>
  <c r="A16" i="114"/>
  <c r="H15" i="114"/>
  <c r="F15" i="114"/>
  <c r="G15" i="114" s="1"/>
  <c r="A15" i="114"/>
  <c r="H14" i="114"/>
  <c r="F14" i="114"/>
  <c r="G14" i="114" s="1"/>
  <c r="A14" i="114"/>
  <c r="H13" i="114"/>
  <c r="F13" i="114"/>
  <c r="G13" i="114" s="1"/>
  <c r="L12" i="114"/>
  <c r="L19" i="114" s="1"/>
  <c r="G39" i="123" s="1"/>
  <c r="K12" i="114"/>
  <c r="K19" i="114" s="1"/>
  <c r="D39" i="123" s="1"/>
  <c r="J12" i="114"/>
  <c r="J19" i="114" s="1"/>
  <c r="H12" i="114"/>
  <c r="F12" i="114"/>
  <c r="G12" i="114" s="1"/>
  <c r="L11" i="114"/>
  <c r="L18" i="114" s="1"/>
  <c r="K11" i="114"/>
  <c r="K18" i="114" s="1"/>
  <c r="J11" i="114"/>
  <c r="J18" i="114" s="1"/>
  <c r="H11" i="114"/>
  <c r="F11" i="114"/>
  <c r="G11" i="114" s="1"/>
  <c r="H10" i="114"/>
  <c r="F10" i="114"/>
  <c r="G10" i="114" s="1"/>
  <c r="L9" i="114"/>
  <c r="L21" i="114" s="1"/>
  <c r="K9" i="114"/>
  <c r="K21" i="114" s="1"/>
  <c r="J9" i="114"/>
  <c r="H9" i="114"/>
  <c r="F9" i="114"/>
  <c r="G9" i="114" s="1"/>
  <c r="L8" i="114"/>
  <c r="K8" i="114"/>
  <c r="J8" i="114"/>
  <c r="H8" i="114"/>
  <c r="F8" i="114"/>
  <c r="G8" i="114" s="1"/>
  <c r="L7" i="114"/>
  <c r="K7" i="114"/>
  <c r="J7" i="114"/>
  <c r="H7" i="114"/>
  <c r="F7" i="114"/>
  <c r="G7" i="114" s="1"/>
  <c r="L6" i="114"/>
  <c r="K6" i="114"/>
  <c r="J6" i="114"/>
  <c r="H6" i="114"/>
  <c r="G6" i="114"/>
  <c r="F6" i="114"/>
  <c r="L5" i="114"/>
  <c r="K5" i="114"/>
  <c r="J5" i="114"/>
  <c r="H5" i="114"/>
  <c r="F5" i="114"/>
  <c r="J10" i="114" s="1"/>
  <c r="L4" i="114"/>
  <c r="L17" i="114" s="1"/>
  <c r="F39" i="123" s="1"/>
  <c r="K4" i="114"/>
  <c r="J4" i="114"/>
  <c r="H4" i="114"/>
  <c r="L10" i="114" s="1"/>
  <c r="F4" i="114"/>
  <c r="G4" i="114" s="1"/>
  <c r="L3" i="114"/>
  <c r="K3" i="114"/>
  <c r="J3" i="114"/>
  <c r="H3" i="114"/>
  <c r="F3" i="114"/>
  <c r="G3" i="114" s="1"/>
  <c r="H42" i="112"/>
  <c r="F42" i="112"/>
  <c r="G42" i="112" s="1"/>
  <c r="A42" i="112"/>
  <c r="H41" i="112"/>
  <c r="G41" i="112"/>
  <c r="F41" i="112"/>
  <c r="A41" i="112"/>
  <c r="H40" i="112"/>
  <c r="F40" i="112"/>
  <c r="G40" i="112" s="1"/>
  <c r="A40" i="112"/>
  <c r="H39" i="112"/>
  <c r="F39" i="112"/>
  <c r="G39" i="112" s="1"/>
  <c r="A39" i="112"/>
  <c r="H38" i="112"/>
  <c r="F38" i="112"/>
  <c r="G38" i="112" s="1"/>
  <c r="A38" i="112"/>
  <c r="H37" i="112"/>
  <c r="F37" i="112"/>
  <c r="G37" i="112" s="1"/>
  <c r="A37" i="112"/>
  <c r="H36" i="112"/>
  <c r="G36" i="112"/>
  <c r="F36" i="112"/>
  <c r="A36" i="112"/>
  <c r="H35" i="112"/>
  <c r="G35" i="112"/>
  <c r="F35" i="112"/>
  <c r="A35" i="112"/>
  <c r="H34" i="112"/>
  <c r="F34" i="112"/>
  <c r="G34" i="112" s="1"/>
  <c r="A34" i="112"/>
  <c r="H33" i="112"/>
  <c r="G33" i="112"/>
  <c r="F33" i="112"/>
  <c r="A33" i="112"/>
  <c r="H32" i="112"/>
  <c r="F32" i="112"/>
  <c r="G32" i="112" s="1"/>
  <c r="A32" i="112"/>
  <c r="H31" i="112"/>
  <c r="F31" i="112"/>
  <c r="G31" i="112" s="1"/>
  <c r="A31" i="112"/>
  <c r="H30" i="112"/>
  <c r="F30" i="112"/>
  <c r="G30" i="112" s="1"/>
  <c r="A30" i="112"/>
  <c r="H29" i="112"/>
  <c r="F29" i="112"/>
  <c r="G29" i="112" s="1"/>
  <c r="A29" i="112"/>
  <c r="H28" i="112"/>
  <c r="G28" i="112"/>
  <c r="F28" i="112"/>
  <c r="A28" i="112"/>
  <c r="H27" i="112"/>
  <c r="G27" i="112"/>
  <c r="F27" i="112"/>
  <c r="A27" i="112"/>
  <c r="H26" i="112"/>
  <c r="F26" i="112"/>
  <c r="G26" i="112" s="1"/>
  <c r="A26" i="112"/>
  <c r="H25" i="112"/>
  <c r="G25" i="112"/>
  <c r="F25" i="112"/>
  <c r="A25" i="112"/>
  <c r="H24" i="112"/>
  <c r="F24" i="112"/>
  <c r="G24" i="112" s="1"/>
  <c r="A24" i="112"/>
  <c r="H23" i="112"/>
  <c r="F23" i="112"/>
  <c r="G23" i="112" s="1"/>
  <c r="A23" i="112"/>
  <c r="H22" i="112"/>
  <c r="F22" i="112"/>
  <c r="G22" i="112" s="1"/>
  <c r="A22" i="112"/>
  <c r="L21" i="112"/>
  <c r="K21" i="112"/>
  <c r="J21" i="112"/>
  <c r="I37" i="123" s="1"/>
  <c r="H21" i="112"/>
  <c r="F21" i="112"/>
  <c r="G21" i="112" s="1"/>
  <c r="A21" i="112"/>
  <c r="H20" i="112"/>
  <c r="G20" i="112"/>
  <c r="F20" i="112"/>
  <c r="A20" i="112"/>
  <c r="H19" i="112"/>
  <c r="F19" i="112"/>
  <c r="G19" i="112" s="1"/>
  <c r="A19" i="112"/>
  <c r="L18" i="112"/>
  <c r="H18" i="112"/>
  <c r="F18" i="112"/>
  <c r="G18" i="112" s="1"/>
  <c r="A18" i="112"/>
  <c r="H17" i="112"/>
  <c r="F17" i="112"/>
  <c r="G17" i="112" s="1"/>
  <c r="A17" i="112"/>
  <c r="J16" i="112"/>
  <c r="H16" i="112"/>
  <c r="G16" i="112"/>
  <c r="F16" i="112"/>
  <c r="A16" i="112"/>
  <c r="H15" i="112"/>
  <c r="G15" i="112"/>
  <c r="F15" i="112"/>
  <c r="A15" i="112"/>
  <c r="H14" i="112"/>
  <c r="F14" i="112"/>
  <c r="G14" i="112" s="1"/>
  <c r="A14" i="112"/>
  <c r="H13" i="112"/>
  <c r="G13" i="112"/>
  <c r="F13" i="112"/>
  <c r="A13" i="112"/>
  <c r="L12" i="112"/>
  <c r="L19" i="112" s="1"/>
  <c r="G37" i="123" s="1"/>
  <c r="K12" i="112"/>
  <c r="K19" i="112" s="1"/>
  <c r="D37" i="123" s="1"/>
  <c r="J12" i="112"/>
  <c r="J19" i="112" s="1"/>
  <c r="H12" i="112"/>
  <c r="F12" i="112"/>
  <c r="G12" i="112" s="1"/>
  <c r="A12" i="112"/>
  <c r="L11" i="112"/>
  <c r="K11" i="112"/>
  <c r="K18" i="112" s="1"/>
  <c r="J11" i="112"/>
  <c r="J18" i="112" s="1"/>
  <c r="H11" i="112"/>
  <c r="F11" i="112"/>
  <c r="G11" i="112" s="1"/>
  <c r="H10" i="112"/>
  <c r="L3" i="112" s="1"/>
  <c r="L16" i="112" s="1"/>
  <c r="E37" i="123" s="1"/>
  <c r="G10" i="112"/>
  <c r="K3" i="112" s="1"/>
  <c r="K16" i="112" s="1"/>
  <c r="B37" i="123" s="1"/>
  <c r="F10" i="112"/>
  <c r="L9" i="112"/>
  <c r="K9" i="112"/>
  <c r="J9" i="112"/>
  <c r="H9" i="112"/>
  <c r="G9" i="112"/>
  <c r="F9" i="112"/>
  <c r="L8" i="112"/>
  <c r="K8" i="112"/>
  <c r="J8" i="112"/>
  <c r="H8" i="112"/>
  <c r="F8" i="112"/>
  <c r="G8" i="112" s="1"/>
  <c r="L7" i="112"/>
  <c r="K7" i="112"/>
  <c r="J7" i="112"/>
  <c r="H7" i="112"/>
  <c r="F7" i="112"/>
  <c r="G7" i="112" s="1"/>
  <c r="L6" i="112"/>
  <c r="K6" i="112"/>
  <c r="J6" i="112"/>
  <c r="H6" i="112"/>
  <c r="F6" i="112"/>
  <c r="G6" i="112" s="1"/>
  <c r="L5" i="112"/>
  <c r="K5" i="112"/>
  <c r="J5" i="112"/>
  <c r="H5" i="112"/>
  <c r="L10" i="112" s="1"/>
  <c r="F5" i="112"/>
  <c r="G5" i="112" s="1"/>
  <c r="L4" i="112"/>
  <c r="L17" i="112" s="1"/>
  <c r="F37" i="123" s="1"/>
  <c r="K4" i="112"/>
  <c r="J4" i="112"/>
  <c r="H4" i="112"/>
  <c r="G4" i="112" s="1"/>
  <c r="K10" i="112" s="1"/>
  <c r="F4" i="112"/>
  <c r="J3" i="112"/>
  <c r="H3" i="112"/>
  <c r="G3" i="112"/>
  <c r="F3" i="112"/>
  <c r="H42" i="111"/>
  <c r="F42" i="111"/>
  <c r="G42" i="111" s="1"/>
  <c r="A42" i="111"/>
  <c r="H41" i="111"/>
  <c r="F41" i="111"/>
  <c r="G41" i="111" s="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F37" i="111"/>
  <c r="G37" i="111" s="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F33" i="111"/>
  <c r="G33" i="111" s="1"/>
  <c r="A33" i="111"/>
  <c r="H32" i="111"/>
  <c r="F32" i="111"/>
  <c r="G32" i="111" s="1"/>
  <c r="A32" i="111"/>
  <c r="H31" i="111"/>
  <c r="F31" i="111"/>
  <c r="G31" i="111" s="1"/>
  <c r="A31" i="111"/>
  <c r="H30" i="111"/>
  <c r="F30" i="111"/>
  <c r="G30" i="111" s="1"/>
  <c r="A30" i="111"/>
  <c r="H29" i="111"/>
  <c r="F29" i="111"/>
  <c r="G29" i="111" s="1"/>
  <c r="A29" i="111"/>
  <c r="H28" i="111"/>
  <c r="F28" i="111"/>
  <c r="G28" i="111" s="1"/>
  <c r="A28" i="111"/>
  <c r="H27" i="111"/>
  <c r="F27" i="111"/>
  <c r="G27" i="111" s="1"/>
  <c r="A27" i="111"/>
  <c r="H26" i="111"/>
  <c r="F26" i="111"/>
  <c r="G26" i="111" s="1"/>
  <c r="H25" i="111"/>
  <c r="G25" i="111"/>
  <c r="F25" i="111"/>
  <c r="H24" i="111"/>
  <c r="F24" i="111"/>
  <c r="G24" i="111" s="1"/>
  <c r="H23" i="111"/>
  <c r="F23" i="111"/>
  <c r="G23" i="111" s="1"/>
  <c r="H22" i="111"/>
  <c r="F22" i="111"/>
  <c r="G22" i="111" s="1"/>
  <c r="H21" i="111"/>
  <c r="F21" i="111"/>
  <c r="G21" i="111" s="1"/>
  <c r="H20" i="111"/>
  <c r="F20" i="111"/>
  <c r="G20" i="111" s="1"/>
  <c r="H19" i="111"/>
  <c r="F19" i="111"/>
  <c r="G19" i="111" s="1"/>
  <c r="H18" i="111"/>
  <c r="F18" i="111"/>
  <c r="G18" i="111" s="1"/>
  <c r="H17" i="111"/>
  <c r="F17" i="111"/>
  <c r="G17" i="111" s="1"/>
  <c r="H16" i="111"/>
  <c r="F16" i="111"/>
  <c r="G16" i="111" s="1"/>
  <c r="H15" i="111"/>
  <c r="F15" i="111"/>
  <c r="G15" i="111" s="1"/>
  <c r="A15" i="111"/>
  <c r="H14" i="111"/>
  <c r="G14" i="111"/>
  <c r="F14" i="111"/>
  <c r="H13" i="111"/>
  <c r="F13" i="111"/>
  <c r="G13" i="111" s="1"/>
  <c r="L12" i="111"/>
  <c r="L19" i="111" s="1"/>
  <c r="G36" i="123" s="1"/>
  <c r="K12" i="111"/>
  <c r="K19" i="111" s="1"/>
  <c r="D36" i="123" s="1"/>
  <c r="J12" i="111"/>
  <c r="J19" i="111" s="1"/>
  <c r="H12" i="111"/>
  <c r="F12" i="111"/>
  <c r="G12" i="111" s="1"/>
  <c r="L11" i="111"/>
  <c r="L18" i="111" s="1"/>
  <c r="K11" i="111"/>
  <c r="K18" i="111" s="1"/>
  <c r="J11" i="111"/>
  <c r="J18" i="111" s="1"/>
  <c r="H11" i="111"/>
  <c r="F11" i="111"/>
  <c r="G11" i="111" s="1"/>
  <c r="L10" i="111"/>
  <c r="K10" i="111"/>
  <c r="J10" i="111"/>
  <c r="H10" i="111"/>
  <c r="G10" i="111"/>
  <c r="F10" i="111"/>
  <c r="L9" i="111"/>
  <c r="K9" i="111"/>
  <c r="J9" i="111"/>
  <c r="H9" i="111"/>
  <c r="F9" i="111"/>
  <c r="G9" i="111" s="1"/>
  <c r="L8" i="111"/>
  <c r="L21" i="111" s="1"/>
  <c r="K8" i="111"/>
  <c r="K21" i="111" s="1"/>
  <c r="J8" i="111"/>
  <c r="J21" i="111" s="1"/>
  <c r="I36" i="123" s="1"/>
  <c r="H8" i="111"/>
  <c r="L3" i="111" s="1"/>
  <c r="L16" i="111" s="1"/>
  <c r="E36" i="123" s="1"/>
  <c r="F8" i="111"/>
  <c r="G8" i="111" s="1"/>
  <c r="L7" i="111"/>
  <c r="K7" i="111"/>
  <c r="J7" i="111"/>
  <c r="H7" i="111"/>
  <c r="F7" i="111"/>
  <c r="G7" i="111" s="1"/>
  <c r="L6" i="111"/>
  <c r="K6" i="111"/>
  <c r="J6" i="111"/>
  <c r="H6" i="111"/>
  <c r="F6" i="111"/>
  <c r="G6" i="111" s="1"/>
  <c r="H5" i="111"/>
  <c r="F5" i="111"/>
  <c r="G5" i="111" s="1"/>
  <c r="L4" i="111"/>
  <c r="L17" i="111" s="1"/>
  <c r="F36" i="123" s="1"/>
  <c r="K4" i="111"/>
  <c r="J4" i="111"/>
  <c r="H4" i="111"/>
  <c r="F4" i="111"/>
  <c r="G4" i="111" s="1"/>
  <c r="H3" i="111"/>
  <c r="L5" i="111" s="1"/>
  <c r="F3" i="111"/>
  <c r="J5" i="111" s="1"/>
  <c r="J17" i="111" s="1"/>
  <c r="H42" i="113"/>
  <c r="G42" i="113"/>
  <c r="F42" i="113"/>
  <c r="A42" i="113"/>
  <c r="H41" i="113"/>
  <c r="G41" i="113"/>
  <c r="F41" i="113"/>
  <c r="A41" i="113"/>
  <c r="H40" i="113"/>
  <c r="G40" i="113"/>
  <c r="F40" i="113"/>
  <c r="A40" i="113"/>
  <c r="H39" i="113"/>
  <c r="G39" i="113"/>
  <c r="F39" i="113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G34" i="113"/>
  <c r="F34" i="113"/>
  <c r="A34" i="113"/>
  <c r="H33" i="113"/>
  <c r="G33" i="113"/>
  <c r="F33" i="113"/>
  <c r="A33" i="113"/>
  <c r="H32" i="113"/>
  <c r="G32" i="113"/>
  <c r="F32" i="113"/>
  <c r="A32" i="113"/>
  <c r="H31" i="113"/>
  <c r="G31" i="113"/>
  <c r="F31" i="113"/>
  <c r="A31" i="113"/>
  <c r="H30" i="113"/>
  <c r="F30" i="113"/>
  <c r="G30" i="113" s="1"/>
  <c r="A30" i="113"/>
  <c r="H29" i="113"/>
  <c r="F29" i="113"/>
  <c r="G29" i="113" s="1"/>
  <c r="A29" i="113"/>
  <c r="H28" i="113"/>
  <c r="F28" i="113"/>
  <c r="G28" i="113" s="1"/>
  <c r="A28" i="113"/>
  <c r="H27" i="113"/>
  <c r="F27" i="113"/>
  <c r="G27" i="113" s="1"/>
  <c r="A27" i="113"/>
  <c r="H26" i="113"/>
  <c r="G26" i="113"/>
  <c r="F26" i="113"/>
  <c r="H25" i="113"/>
  <c r="F25" i="113"/>
  <c r="G25" i="113" s="1"/>
  <c r="H24" i="113"/>
  <c r="G24" i="113"/>
  <c r="F24" i="113"/>
  <c r="H23" i="113"/>
  <c r="F23" i="113"/>
  <c r="G23" i="113" s="1"/>
  <c r="H22" i="113"/>
  <c r="G22" i="113" s="1"/>
  <c r="K4" i="113" s="1"/>
  <c r="F22" i="113"/>
  <c r="H21" i="113"/>
  <c r="L5" i="113" s="1"/>
  <c r="F21" i="113"/>
  <c r="J5" i="113" s="1"/>
  <c r="H20" i="113"/>
  <c r="F20" i="113"/>
  <c r="G20" i="113" s="1"/>
  <c r="H19" i="113"/>
  <c r="F19" i="113"/>
  <c r="G19" i="113" s="1"/>
  <c r="J18" i="113"/>
  <c r="H18" i="113"/>
  <c r="G18" i="113"/>
  <c r="F18" i="113"/>
  <c r="H17" i="113"/>
  <c r="G17" i="113"/>
  <c r="F17" i="113"/>
  <c r="H16" i="113"/>
  <c r="G16" i="113"/>
  <c r="F16" i="113"/>
  <c r="H15" i="113"/>
  <c r="F15" i="113"/>
  <c r="G15" i="113" s="1"/>
  <c r="H14" i="113"/>
  <c r="F14" i="113"/>
  <c r="G14" i="113" s="1"/>
  <c r="H13" i="113"/>
  <c r="F13" i="113"/>
  <c r="G13" i="113" s="1"/>
  <c r="L12" i="113"/>
  <c r="L19" i="113" s="1"/>
  <c r="G38" i="123" s="1"/>
  <c r="K12" i="113"/>
  <c r="K19" i="113" s="1"/>
  <c r="D38" i="123" s="1"/>
  <c r="J12" i="113"/>
  <c r="J19" i="113" s="1"/>
  <c r="H12" i="113"/>
  <c r="F12" i="113"/>
  <c r="G12" i="113" s="1"/>
  <c r="L11" i="113"/>
  <c r="L18" i="113" s="1"/>
  <c r="K11" i="113"/>
  <c r="K18" i="113" s="1"/>
  <c r="J11" i="113"/>
  <c r="H11" i="113"/>
  <c r="F11" i="113"/>
  <c r="G11" i="113" s="1"/>
  <c r="L10" i="113"/>
  <c r="K10" i="113"/>
  <c r="J10" i="113"/>
  <c r="H10" i="113"/>
  <c r="F10" i="113"/>
  <c r="G10" i="113" s="1"/>
  <c r="L9" i="113"/>
  <c r="K9" i="113"/>
  <c r="J9" i="113"/>
  <c r="H9" i="113"/>
  <c r="F9" i="113"/>
  <c r="G9" i="113" s="1"/>
  <c r="L8" i="113"/>
  <c r="L21" i="113" s="1"/>
  <c r="K8" i="113"/>
  <c r="K21" i="113" s="1"/>
  <c r="J8" i="113"/>
  <c r="J21" i="113" s="1"/>
  <c r="I38" i="123" s="1"/>
  <c r="H8" i="113"/>
  <c r="G8" i="113"/>
  <c r="F8" i="113"/>
  <c r="L7" i="113"/>
  <c r="K7" i="113"/>
  <c r="J7" i="113"/>
  <c r="H7" i="113"/>
  <c r="F7" i="113"/>
  <c r="G7" i="113" s="1"/>
  <c r="L6" i="113"/>
  <c r="K6" i="113"/>
  <c r="J6" i="113"/>
  <c r="H6" i="113"/>
  <c r="F6" i="113"/>
  <c r="G6" i="113" s="1"/>
  <c r="H5" i="113"/>
  <c r="G5" i="113"/>
  <c r="F5" i="113"/>
  <c r="L4" i="113"/>
  <c r="L17" i="113" s="1"/>
  <c r="F38" i="123" s="1"/>
  <c r="J4" i="113"/>
  <c r="J17" i="113" s="1"/>
  <c r="H4" i="113"/>
  <c r="F4" i="113"/>
  <c r="G4" i="113" s="1"/>
  <c r="H3" i="113"/>
  <c r="L3" i="113" s="1"/>
  <c r="L16" i="113" s="1"/>
  <c r="E38" i="123" s="1"/>
  <c r="F3" i="113"/>
  <c r="G3" i="113" s="1"/>
  <c r="H42" i="110"/>
  <c r="F42" i="110"/>
  <c r="G42" i="110" s="1"/>
  <c r="A42" i="110"/>
  <c r="H41" i="110"/>
  <c r="F41" i="110"/>
  <c r="G41" i="110" s="1"/>
  <c r="A41" i="110"/>
  <c r="H40" i="110"/>
  <c r="F40" i="110"/>
  <c r="G40" i="110" s="1"/>
  <c r="A40" i="110"/>
  <c r="H39" i="110"/>
  <c r="G39" i="110"/>
  <c r="F39" i="110"/>
  <c r="A39" i="110"/>
  <c r="H38" i="110"/>
  <c r="G38" i="110"/>
  <c r="F38" i="110"/>
  <c r="A38" i="110"/>
  <c r="H37" i="110"/>
  <c r="G37" i="110"/>
  <c r="F37" i="110"/>
  <c r="A37" i="110"/>
  <c r="H36" i="110"/>
  <c r="G36" i="110"/>
  <c r="F36" i="110"/>
  <c r="A36" i="110"/>
  <c r="H35" i="110"/>
  <c r="F35" i="110"/>
  <c r="G35" i="110" s="1"/>
  <c r="A35" i="110"/>
  <c r="H34" i="110"/>
  <c r="F34" i="110"/>
  <c r="G34" i="110" s="1"/>
  <c r="A34" i="110"/>
  <c r="H33" i="110"/>
  <c r="F33" i="110"/>
  <c r="G33" i="110" s="1"/>
  <c r="A33" i="110"/>
  <c r="H32" i="110"/>
  <c r="F32" i="110"/>
  <c r="G32" i="110" s="1"/>
  <c r="A32" i="110"/>
  <c r="H31" i="110"/>
  <c r="G31" i="110"/>
  <c r="F31" i="110"/>
  <c r="A31" i="110"/>
  <c r="H30" i="110"/>
  <c r="G30" i="110"/>
  <c r="F30" i="110"/>
  <c r="A30" i="110"/>
  <c r="H29" i="110"/>
  <c r="G29" i="110"/>
  <c r="F29" i="110"/>
  <c r="A29" i="110"/>
  <c r="H28" i="110"/>
  <c r="G28" i="110"/>
  <c r="F28" i="110"/>
  <c r="A28" i="110"/>
  <c r="H27" i="110"/>
  <c r="F27" i="110"/>
  <c r="G27" i="110" s="1"/>
  <c r="A27" i="110"/>
  <c r="H26" i="110"/>
  <c r="F26" i="110"/>
  <c r="G26" i="110" s="1"/>
  <c r="A26" i="110"/>
  <c r="H25" i="110"/>
  <c r="F25" i="110"/>
  <c r="G25" i="110" s="1"/>
  <c r="H24" i="110"/>
  <c r="F24" i="110"/>
  <c r="G24" i="110" s="1"/>
  <c r="H23" i="110"/>
  <c r="F23" i="110"/>
  <c r="G23" i="110" s="1"/>
  <c r="H22" i="110"/>
  <c r="F22" i="110"/>
  <c r="G22" i="110" s="1"/>
  <c r="H21" i="110"/>
  <c r="F21" i="110"/>
  <c r="G21" i="110" s="1"/>
  <c r="H20" i="110"/>
  <c r="F20" i="110"/>
  <c r="G20" i="110" s="1"/>
  <c r="H19" i="110"/>
  <c r="F19" i="110"/>
  <c r="G19" i="110" s="1"/>
  <c r="K18" i="110"/>
  <c r="J18" i="110"/>
  <c r="H18" i="110"/>
  <c r="L7" i="110" s="1"/>
  <c r="F18" i="110"/>
  <c r="J7" i="110" s="1"/>
  <c r="H17" i="110"/>
  <c r="F17" i="110"/>
  <c r="G17" i="110" s="1"/>
  <c r="H16" i="110"/>
  <c r="F16" i="110"/>
  <c r="G16" i="110" s="1"/>
  <c r="H15" i="110"/>
  <c r="G15" i="110"/>
  <c r="F15" i="110"/>
  <c r="A15" i="110"/>
  <c r="H14" i="110"/>
  <c r="G14" i="110"/>
  <c r="F14" i="110"/>
  <c r="H13" i="110"/>
  <c r="F13" i="110"/>
  <c r="G13" i="110" s="1"/>
  <c r="L12" i="110"/>
  <c r="L19" i="110" s="1"/>
  <c r="G35" i="123" s="1"/>
  <c r="K12" i="110"/>
  <c r="K19" i="110" s="1"/>
  <c r="D35" i="123" s="1"/>
  <c r="J12" i="110"/>
  <c r="J19" i="110" s="1"/>
  <c r="H12" i="110"/>
  <c r="F12" i="110"/>
  <c r="G12" i="110" s="1"/>
  <c r="L11" i="110"/>
  <c r="L18" i="110" s="1"/>
  <c r="K11" i="110"/>
  <c r="J11" i="110"/>
  <c r="H11" i="110"/>
  <c r="F11" i="110"/>
  <c r="G11" i="110" s="1"/>
  <c r="K5" i="110" s="1"/>
  <c r="L10" i="110"/>
  <c r="K10" i="110"/>
  <c r="J10" i="110"/>
  <c r="H10" i="110"/>
  <c r="F10" i="110"/>
  <c r="G10" i="110" s="1"/>
  <c r="L9" i="110"/>
  <c r="K9" i="110"/>
  <c r="J9" i="110"/>
  <c r="H9" i="110"/>
  <c r="F9" i="110"/>
  <c r="G9" i="110" s="1"/>
  <c r="L8" i="110"/>
  <c r="L21" i="110" s="1"/>
  <c r="K8" i="110"/>
  <c r="K21" i="110" s="1"/>
  <c r="J8" i="110"/>
  <c r="J21" i="110" s="1"/>
  <c r="I35" i="123" s="1"/>
  <c r="H8" i="110"/>
  <c r="F8" i="110"/>
  <c r="G8" i="110" s="1"/>
  <c r="H7" i="110"/>
  <c r="F7" i="110"/>
  <c r="G7" i="110" s="1"/>
  <c r="L6" i="110"/>
  <c r="K6" i="110"/>
  <c r="J6" i="110"/>
  <c r="H6" i="110"/>
  <c r="F6" i="110"/>
  <c r="J4" i="110" s="1"/>
  <c r="L5" i="110"/>
  <c r="J5" i="110"/>
  <c r="H5" i="110"/>
  <c r="F5" i="110"/>
  <c r="G5" i="110" s="1"/>
  <c r="L4" i="110"/>
  <c r="H4" i="110"/>
  <c r="F4" i="110"/>
  <c r="G4" i="110" s="1"/>
  <c r="H3" i="110"/>
  <c r="L3" i="110" s="1"/>
  <c r="L16" i="110" s="1"/>
  <c r="E35" i="123" s="1"/>
  <c r="F3" i="110"/>
  <c r="J3" i="110" s="1"/>
  <c r="J16" i="110" s="1"/>
  <c r="H42" i="109"/>
  <c r="G42" i="109"/>
  <c r="F42" i="109"/>
  <c r="A42" i="109"/>
  <c r="H41" i="109"/>
  <c r="G41" i="109"/>
  <c r="F41" i="109"/>
  <c r="A41" i="109"/>
  <c r="H40" i="109"/>
  <c r="F40" i="109"/>
  <c r="G40" i="109" s="1"/>
  <c r="A40" i="109"/>
  <c r="H39" i="109"/>
  <c r="F39" i="109"/>
  <c r="G39" i="109" s="1"/>
  <c r="A39" i="109"/>
  <c r="H38" i="109"/>
  <c r="F38" i="109"/>
  <c r="G38" i="109" s="1"/>
  <c r="A38" i="109"/>
  <c r="H37" i="109"/>
  <c r="F37" i="109"/>
  <c r="G37" i="109" s="1"/>
  <c r="A37" i="109"/>
  <c r="H36" i="109"/>
  <c r="G36" i="109"/>
  <c r="F36" i="109"/>
  <c r="A36" i="109"/>
  <c r="H35" i="109"/>
  <c r="G35" i="109"/>
  <c r="F35" i="109"/>
  <c r="A35" i="109"/>
  <c r="H34" i="109"/>
  <c r="G34" i="109"/>
  <c r="F34" i="109"/>
  <c r="A34" i="109"/>
  <c r="H33" i="109"/>
  <c r="G33" i="109"/>
  <c r="F33" i="109"/>
  <c r="A33" i="109"/>
  <c r="H32" i="109"/>
  <c r="F32" i="109"/>
  <c r="G32" i="109" s="1"/>
  <c r="A32" i="109"/>
  <c r="H31" i="109"/>
  <c r="F31" i="109"/>
  <c r="G31" i="109" s="1"/>
  <c r="A31" i="109"/>
  <c r="H30" i="109"/>
  <c r="F30" i="109"/>
  <c r="G30" i="109" s="1"/>
  <c r="A30" i="109"/>
  <c r="H29" i="109"/>
  <c r="F29" i="109"/>
  <c r="G29" i="109" s="1"/>
  <c r="A29" i="109"/>
  <c r="H28" i="109"/>
  <c r="G28" i="109"/>
  <c r="F28" i="109"/>
  <c r="A28" i="109"/>
  <c r="H27" i="109"/>
  <c r="G27" i="109"/>
  <c r="F27" i="109"/>
  <c r="A27" i="109"/>
  <c r="H26" i="109"/>
  <c r="G26" i="109"/>
  <c r="F26" i="109"/>
  <c r="H25" i="109"/>
  <c r="F25" i="109"/>
  <c r="G25" i="109" s="1"/>
  <c r="H24" i="109"/>
  <c r="F24" i="109"/>
  <c r="G24" i="109" s="1"/>
  <c r="H23" i="109"/>
  <c r="G23" i="109"/>
  <c r="F23" i="109"/>
  <c r="H22" i="109"/>
  <c r="F22" i="109"/>
  <c r="G22" i="109" s="1"/>
  <c r="H21" i="109"/>
  <c r="F21" i="109"/>
  <c r="G21" i="109" s="1"/>
  <c r="H20" i="109"/>
  <c r="G20" i="109"/>
  <c r="F20" i="109"/>
  <c r="H19" i="109"/>
  <c r="G19" i="109"/>
  <c r="F19" i="109"/>
  <c r="H18" i="109"/>
  <c r="G18" i="109"/>
  <c r="F18" i="109"/>
  <c r="H17" i="109"/>
  <c r="F17" i="109"/>
  <c r="G17" i="109" s="1"/>
  <c r="H16" i="109"/>
  <c r="F16" i="109"/>
  <c r="G16" i="109" s="1"/>
  <c r="K4" i="109" s="1"/>
  <c r="H15" i="109"/>
  <c r="L7" i="109" s="1"/>
  <c r="F15" i="109"/>
  <c r="G15" i="109" s="1"/>
  <c r="K7" i="109" s="1"/>
  <c r="H14" i="109"/>
  <c r="F14" i="109"/>
  <c r="G14" i="109" s="1"/>
  <c r="H13" i="109"/>
  <c r="F13" i="109"/>
  <c r="G13" i="109" s="1"/>
  <c r="L12" i="109"/>
  <c r="L19" i="109" s="1"/>
  <c r="G34" i="123" s="1"/>
  <c r="K12" i="109"/>
  <c r="K19" i="109" s="1"/>
  <c r="D34" i="123" s="1"/>
  <c r="J12" i="109"/>
  <c r="J19" i="109" s="1"/>
  <c r="H12" i="109"/>
  <c r="F12" i="109"/>
  <c r="G12" i="109" s="1"/>
  <c r="L11" i="109"/>
  <c r="L18" i="109" s="1"/>
  <c r="K11" i="109"/>
  <c r="K18" i="109" s="1"/>
  <c r="J11" i="109"/>
  <c r="J18" i="109" s="1"/>
  <c r="H11" i="109"/>
  <c r="F11" i="109"/>
  <c r="G11" i="109" s="1"/>
  <c r="L10" i="109"/>
  <c r="K10" i="109"/>
  <c r="J10" i="109"/>
  <c r="H10" i="109"/>
  <c r="G10" i="109"/>
  <c r="F10" i="109"/>
  <c r="L9" i="109"/>
  <c r="K9" i="109"/>
  <c r="J9" i="109"/>
  <c r="H9" i="109"/>
  <c r="F9" i="109"/>
  <c r="G9" i="109" s="1"/>
  <c r="L8" i="109"/>
  <c r="L21" i="109" s="1"/>
  <c r="K8" i="109"/>
  <c r="K21" i="109" s="1"/>
  <c r="J8" i="109"/>
  <c r="J21" i="109" s="1"/>
  <c r="I34" i="123" s="1"/>
  <c r="H8" i="109"/>
  <c r="F8" i="109"/>
  <c r="G8" i="109" s="1"/>
  <c r="H7" i="109"/>
  <c r="F7" i="109"/>
  <c r="G7" i="109" s="1"/>
  <c r="L6" i="109"/>
  <c r="K6" i="109"/>
  <c r="J6" i="109"/>
  <c r="H6" i="109"/>
  <c r="F6" i="109"/>
  <c r="G6" i="109" s="1"/>
  <c r="L5" i="109"/>
  <c r="K5" i="109"/>
  <c r="J5" i="109"/>
  <c r="H5" i="109"/>
  <c r="F5" i="109"/>
  <c r="G5" i="109" s="1"/>
  <c r="L4" i="109"/>
  <c r="H4" i="109"/>
  <c r="F4" i="109"/>
  <c r="G4" i="109" s="1"/>
  <c r="H3" i="109"/>
  <c r="L3" i="109" s="1"/>
  <c r="L16" i="109" s="1"/>
  <c r="E34" i="123" s="1"/>
  <c r="F3" i="109"/>
  <c r="J3" i="109" s="1"/>
  <c r="J16" i="109" s="1"/>
  <c r="H42" i="108"/>
  <c r="F42" i="108"/>
  <c r="G42" i="108" s="1"/>
  <c r="A42" i="108"/>
  <c r="H41" i="108"/>
  <c r="G41" i="108"/>
  <c r="F41" i="108"/>
  <c r="A41" i="108"/>
  <c r="H40" i="108"/>
  <c r="G40" i="108"/>
  <c r="F40" i="108"/>
  <c r="A40" i="108"/>
  <c r="H39" i="108"/>
  <c r="G39" i="108"/>
  <c r="F39" i="108"/>
  <c r="A39" i="108"/>
  <c r="H38" i="108"/>
  <c r="G38" i="108"/>
  <c r="F38" i="108"/>
  <c r="A38" i="108"/>
  <c r="H37" i="108"/>
  <c r="F37" i="108"/>
  <c r="G37" i="108" s="1"/>
  <c r="A37" i="108"/>
  <c r="H36" i="108"/>
  <c r="F36" i="108"/>
  <c r="G36" i="108" s="1"/>
  <c r="A36" i="108"/>
  <c r="H35" i="108"/>
  <c r="F35" i="108"/>
  <c r="G35" i="108" s="1"/>
  <c r="A35" i="108"/>
  <c r="H34" i="108"/>
  <c r="F34" i="108"/>
  <c r="G34" i="108" s="1"/>
  <c r="A34" i="108"/>
  <c r="H33" i="108"/>
  <c r="G33" i="108"/>
  <c r="F33" i="108"/>
  <c r="A33" i="108"/>
  <c r="H32" i="108"/>
  <c r="G32" i="108"/>
  <c r="F32" i="108"/>
  <c r="A32" i="108"/>
  <c r="H31" i="108"/>
  <c r="G31" i="108"/>
  <c r="F31" i="108"/>
  <c r="A31" i="108"/>
  <c r="H30" i="108"/>
  <c r="G30" i="108"/>
  <c r="F30" i="108"/>
  <c r="A30" i="108"/>
  <c r="H29" i="108"/>
  <c r="F29" i="108"/>
  <c r="G29" i="108" s="1"/>
  <c r="A29" i="108"/>
  <c r="H28" i="108"/>
  <c r="F28" i="108"/>
  <c r="G28" i="108" s="1"/>
  <c r="A28" i="108"/>
  <c r="H27" i="108"/>
  <c r="F27" i="108"/>
  <c r="G27" i="108" s="1"/>
  <c r="H26" i="108"/>
  <c r="F26" i="108"/>
  <c r="G26" i="108" s="1"/>
  <c r="H25" i="108"/>
  <c r="G25" i="108"/>
  <c r="F25" i="108"/>
  <c r="H24" i="108"/>
  <c r="F24" i="108"/>
  <c r="G24" i="108" s="1"/>
  <c r="H23" i="108"/>
  <c r="G23" i="108"/>
  <c r="F23" i="108"/>
  <c r="H22" i="108"/>
  <c r="F22" i="108"/>
  <c r="G22" i="108" s="1"/>
  <c r="H21" i="108"/>
  <c r="F21" i="108"/>
  <c r="G21" i="108" s="1"/>
  <c r="H20" i="108"/>
  <c r="G20" i="108"/>
  <c r="F20" i="108"/>
  <c r="H19" i="108"/>
  <c r="F19" i="108"/>
  <c r="G19" i="108" s="1"/>
  <c r="H18" i="108"/>
  <c r="F18" i="108"/>
  <c r="G18" i="108" s="1"/>
  <c r="H17" i="108"/>
  <c r="F17" i="108"/>
  <c r="G17" i="108" s="1"/>
  <c r="H16" i="108"/>
  <c r="F16" i="108"/>
  <c r="G16" i="108" s="1"/>
  <c r="H15" i="108"/>
  <c r="G15" i="108"/>
  <c r="F15" i="108"/>
  <c r="H14" i="108"/>
  <c r="F14" i="108"/>
  <c r="G14" i="108" s="1"/>
  <c r="H13" i="108"/>
  <c r="L9" i="108" s="1"/>
  <c r="F13" i="108"/>
  <c r="J9" i="108" s="1"/>
  <c r="L12" i="108"/>
  <c r="L19" i="108" s="1"/>
  <c r="G33" i="123" s="1"/>
  <c r="K12" i="108"/>
  <c r="K19" i="108" s="1"/>
  <c r="D33" i="123" s="1"/>
  <c r="J12" i="108"/>
  <c r="J19" i="108" s="1"/>
  <c r="H12" i="108"/>
  <c r="F12" i="108"/>
  <c r="G12" i="108" s="1"/>
  <c r="L11" i="108"/>
  <c r="L18" i="108" s="1"/>
  <c r="K11" i="108"/>
  <c r="K18" i="108" s="1"/>
  <c r="J11" i="108"/>
  <c r="J18" i="108" s="1"/>
  <c r="H11" i="108"/>
  <c r="G11" i="108"/>
  <c r="F11" i="108"/>
  <c r="L10" i="108"/>
  <c r="K10" i="108"/>
  <c r="J10" i="108"/>
  <c r="H10" i="108"/>
  <c r="G10" i="108"/>
  <c r="F10" i="108"/>
  <c r="H9" i="108"/>
  <c r="G9" i="108"/>
  <c r="F9" i="108"/>
  <c r="L8" i="108"/>
  <c r="K8" i="108"/>
  <c r="J8" i="108"/>
  <c r="H8" i="108"/>
  <c r="F8" i="108"/>
  <c r="G8" i="108" s="1"/>
  <c r="L7" i="108"/>
  <c r="K7" i="108"/>
  <c r="J7" i="108"/>
  <c r="H7" i="108"/>
  <c r="L4" i="108" s="1"/>
  <c r="L17" i="108" s="1"/>
  <c r="F33" i="123" s="1"/>
  <c r="F7" i="108"/>
  <c r="G7" i="108" s="1"/>
  <c r="L6" i="108"/>
  <c r="K6" i="108"/>
  <c r="J6" i="108"/>
  <c r="H6" i="108"/>
  <c r="F6" i="108"/>
  <c r="G6" i="108" s="1"/>
  <c r="L5" i="108"/>
  <c r="H5" i="108"/>
  <c r="G5" i="108"/>
  <c r="F5" i="108"/>
  <c r="H4" i="108"/>
  <c r="G4" i="108"/>
  <c r="K5" i="108" s="1"/>
  <c r="F4" i="108"/>
  <c r="J5" i="108" s="1"/>
  <c r="L3" i="108"/>
  <c r="L16" i="108" s="1"/>
  <c r="E33" i="123" s="1"/>
  <c r="K3" i="108"/>
  <c r="K16" i="108" s="1"/>
  <c r="B33" i="123" s="1"/>
  <c r="J3" i="108"/>
  <c r="J16" i="108" s="1"/>
  <c r="H3" i="108"/>
  <c r="F3" i="108"/>
  <c r="G3" i="108" s="1"/>
  <c r="H42" i="107"/>
  <c r="F42" i="107"/>
  <c r="G42" i="107" s="1"/>
  <c r="A42" i="107"/>
  <c r="H41" i="107"/>
  <c r="G41" i="107"/>
  <c r="F41" i="107"/>
  <c r="A41" i="107"/>
  <c r="H40" i="107"/>
  <c r="F40" i="107"/>
  <c r="G40" i="107" s="1"/>
  <c r="A40" i="107"/>
  <c r="H39" i="107"/>
  <c r="F39" i="107"/>
  <c r="G39" i="107" s="1"/>
  <c r="A39" i="107"/>
  <c r="H38" i="107"/>
  <c r="F38" i="107"/>
  <c r="G38" i="107" s="1"/>
  <c r="A38" i="107"/>
  <c r="H37" i="107"/>
  <c r="F37" i="107"/>
  <c r="G37" i="107" s="1"/>
  <c r="A37" i="107"/>
  <c r="H36" i="107"/>
  <c r="F36" i="107"/>
  <c r="G36" i="107" s="1"/>
  <c r="A36" i="107"/>
  <c r="H35" i="107"/>
  <c r="F35" i="107"/>
  <c r="G35" i="107" s="1"/>
  <c r="A35" i="107"/>
  <c r="H34" i="107"/>
  <c r="F34" i="107"/>
  <c r="G34" i="107" s="1"/>
  <c r="H33" i="107"/>
  <c r="L4" i="107" s="1"/>
  <c r="L17" i="107" s="1"/>
  <c r="F32" i="123" s="1"/>
  <c r="F33" i="107"/>
  <c r="J4" i="107" s="1"/>
  <c r="H32" i="107"/>
  <c r="F32" i="107"/>
  <c r="J5" i="107" s="1"/>
  <c r="H31" i="107"/>
  <c r="F31" i="107"/>
  <c r="G31" i="107" s="1"/>
  <c r="H30" i="107"/>
  <c r="F30" i="107"/>
  <c r="G30" i="107" s="1"/>
  <c r="H29" i="107"/>
  <c r="G29" i="107"/>
  <c r="F29" i="107"/>
  <c r="H28" i="107"/>
  <c r="F28" i="107"/>
  <c r="G28" i="107" s="1"/>
  <c r="H27" i="107"/>
  <c r="G27" i="107"/>
  <c r="F27" i="107"/>
  <c r="H26" i="107"/>
  <c r="F26" i="107"/>
  <c r="G26" i="107" s="1"/>
  <c r="H25" i="107"/>
  <c r="G25" i="107"/>
  <c r="F25" i="107"/>
  <c r="H24" i="107"/>
  <c r="F24" i="107"/>
  <c r="G24" i="107" s="1"/>
  <c r="H23" i="107"/>
  <c r="F23" i="107"/>
  <c r="G23" i="107" s="1"/>
  <c r="H22" i="107"/>
  <c r="G22" i="107"/>
  <c r="F22" i="107"/>
  <c r="H21" i="107"/>
  <c r="F21" i="107"/>
  <c r="G21" i="107" s="1"/>
  <c r="H20" i="107"/>
  <c r="F20" i="107"/>
  <c r="G20" i="107" s="1"/>
  <c r="K19" i="107"/>
  <c r="H19" i="107"/>
  <c r="F19" i="107"/>
  <c r="G19" i="107" s="1"/>
  <c r="K18" i="107"/>
  <c r="H18" i="107"/>
  <c r="F18" i="107"/>
  <c r="J7" i="107" s="1"/>
  <c r="H17" i="107"/>
  <c r="F17" i="107"/>
  <c r="G17" i="107" s="1"/>
  <c r="H16" i="107"/>
  <c r="F16" i="107"/>
  <c r="G16" i="107" s="1"/>
  <c r="H15" i="107"/>
  <c r="F15" i="107"/>
  <c r="G15" i="107" s="1"/>
  <c r="H14" i="107"/>
  <c r="F14" i="107"/>
  <c r="G14" i="107" s="1"/>
  <c r="H13" i="107"/>
  <c r="G13" i="107"/>
  <c r="F13" i="107"/>
  <c r="L12" i="107"/>
  <c r="L19" i="107" s="1"/>
  <c r="G32" i="123" s="1"/>
  <c r="K12" i="107"/>
  <c r="J12" i="107"/>
  <c r="J19" i="107" s="1"/>
  <c r="H12" i="107"/>
  <c r="G12" i="107"/>
  <c r="F12" i="107"/>
  <c r="L11" i="107"/>
  <c r="L18" i="107" s="1"/>
  <c r="K11" i="107"/>
  <c r="J11" i="107"/>
  <c r="J18" i="107" s="1"/>
  <c r="H11" i="107"/>
  <c r="G11" i="107"/>
  <c r="F11" i="107"/>
  <c r="L10" i="107"/>
  <c r="K10" i="107"/>
  <c r="J10" i="107"/>
  <c r="H10" i="107"/>
  <c r="F10" i="107"/>
  <c r="G10" i="107" s="1"/>
  <c r="L9" i="107"/>
  <c r="K9" i="107"/>
  <c r="J9" i="107"/>
  <c r="H9" i="107"/>
  <c r="F9" i="107"/>
  <c r="G9" i="107" s="1"/>
  <c r="L8" i="107"/>
  <c r="L21" i="107" s="1"/>
  <c r="K8" i="107"/>
  <c r="K21" i="107" s="1"/>
  <c r="J8" i="107"/>
  <c r="J21" i="107" s="1"/>
  <c r="I32" i="123" s="1"/>
  <c r="H8" i="107"/>
  <c r="F8" i="107"/>
  <c r="G8" i="107" s="1"/>
  <c r="L7" i="107"/>
  <c r="H7" i="107"/>
  <c r="G7" i="107"/>
  <c r="F7" i="107"/>
  <c r="L6" i="107"/>
  <c r="K6" i="107"/>
  <c r="J6" i="107"/>
  <c r="H6" i="107"/>
  <c r="G6" i="107"/>
  <c r="F6" i="107"/>
  <c r="L5" i="107"/>
  <c r="H5" i="107"/>
  <c r="F5" i="107"/>
  <c r="G5" i="107" s="1"/>
  <c r="H4" i="107"/>
  <c r="F4" i="107"/>
  <c r="G4" i="107" s="1"/>
  <c r="H3" i="107"/>
  <c r="L3" i="107" s="1"/>
  <c r="L16" i="107" s="1"/>
  <c r="E32" i="123" s="1"/>
  <c r="F3" i="107"/>
  <c r="G3" i="107" s="1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F39" i="106"/>
  <c r="G39" i="106" s="1"/>
  <c r="A39" i="106"/>
  <c r="H38" i="106"/>
  <c r="F38" i="106"/>
  <c r="G38" i="106" s="1"/>
  <c r="A38" i="106"/>
  <c r="H37" i="106"/>
  <c r="F37" i="106"/>
  <c r="G37" i="106" s="1"/>
  <c r="A37" i="106"/>
  <c r="H36" i="106"/>
  <c r="G36" i="106"/>
  <c r="F36" i="106"/>
  <c r="A36" i="106"/>
  <c r="H35" i="106"/>
  <c r="F35" i="106"/>
  <c r="G35" i="106" s="1"/>
  <c r="A35" i="106"/>
  <c r="H34" i="106"/>
  <c r="F34" i="106"/>
  <c r="G34" i="106" s="1"/>
  <c r="H33" i="106"/>
  <c r="L4" i="106" s="1"/>
  <c r="G33" i="106"/>
  <c r="F33" i="106"/>
  <c r="H32" i="106"/>
  <c r="F32" i="106"/>
  <c r="G32" i="106" s="1"/>
  <c r="H31" i="106"/>
  <c r="G31" i="106"/>
  <c r="F31" i="106"/>
  <c r="H30" i="106"/>
  <c r="F30" i="106"/>
  <c r="G30" i="106" s="1"/>
  <c r="H29" i="106"/>
  <c r="G29" i="106"/>
  <c r="F29" i="106"/>
  <c r="H28" i="106"/>
  <c r="F28" i="106"/>
  <c r="J9" i="106" s="1"/>
  <c r="H27" i="106"/>
  <c r="F27" i="106"/>
  <c r="G27" i="106" s="1"/>
  <c r="H26" i="106"/>
  <c r="L6" i="106" s="1"/>
  <c r="G26" i="106"/>
  <c r="K6" i="106" s="1"/>
  <c r="F26" i="106"/>
  <c r="H25" i="106"/>
  <c r="F25" i="106"/>
  <c r="G25" i="106" s="1"/>
  <c r="H24" i="106"/>
  <c r="F24" i="106"/>
  <c r="G24" i="106" s="1"/>
  <c r="H23" i="106"/>
  <c r="F23" i="106"/>
  <c r="G23" i="106" s="1"/>
  <c r="H22" i="106"/>
  <c r="F22" i="106"/>
  <c r="G22" i="106" s="1"/>
  <c r="H21" i="106"/>
  <c r="F21" i="106"/>
  <c r="G21" i="106" s="1"/>
  <c r="H20" i="106"/>
  <c r="F20" i="106"/>
  <c r="G20" i="106" s="1"/>
  <c r="H19" i="106"/>
  <c r="F19" i="106"/>
  <c r="G19" i="106" s="1"/>
  <c r="J18" i="106"/>
  <c r="H18" i="106"/>
  <c r="G18" i="106"/>
  <c r="F18" i="106"/>
  <c r="H17" i="106"/>
  <c r="F17" i="106"/>
  <c r="G17" i="106" s="1"/>
  <c r="L16" i="106"/>
  <c r="E31" i="123" s="1"/>
  <c r="K16" i="106"/>
  <c r="B31" i="123" s="1"/>
  <c r="H16" i="106"/>
  <c r="F16" i="106"/>
  <c r="G16" i="106" s="1"/>
  <c r="H15" i="106"/>
  <c r="G15" i="106"/>
  <c r="F15" i="106"/>
  <c r="H14" i="106"/>
  <c r="F14" i="106"/>
  <c r="G14" i="106" s="1"/>
  <c r="H13" i="106"/>
  <c r="G13" i="106"/>
  <c r="F13" i="106"/>
  <c r="L12" i="106"/>
  <c r="L19" i="106" s="1"/>
  <c r="G31" i="123" s="1"/>
  <c r="K12" i="106"/>
  <c r="K19" i="106" s="1"/>
  <c r="D31" i="123" s="1"/>
  <c r="J12" i="106"/>
  <c r="J19" i="106" s="1"/>
  <c r="H12" i="106"/>
  <c r="F12" i="106"/>
  <c r="G12" i="106" s="1"/>
  <c r="L11" i="106"/>
  <c r="L18" i="106" s="1"/>
  <c r="K11" i="106"/>
  <c r="K18" i="106" s="1"/>
  <c r="J11" i="106"/>
  <c r="H11" i="106"/>
  <c r="F11" i="106"/>
  <c r="G11" i="106" s="1"/>
  <c r="L10" i="106"/>
  <c r="K10" i="106"/>
  <c r="J10" i="106"/>
  <c r="H10" i="106"/>
  <c r="L5" i="106" s="1"/>
  <c r="F10" i="106"/>
  <c r="G10" i="106" s="1"/>
  <c r="L9" i="106"/>
  <c r="H9" i="106"/>
  <c r="G9" i="106"/>
  <c r="F9" i="106"/>
  <c r="L8" i="106"/>
  <c r="L21" i="106" s="1"/>
  <c r="K8" i="106"/>
  <c r="J8" i="106"/>
  <c r="J21" i="106" s="1"/>
  <c r="I31" i="123" s="1"/>
  <c r="H8" i="106"/>
  <c r="G8" i="106"/>
  <c r="F8" i="106"/>
  <c r="L7" i="106"/>
  <c r="J7" i="106"/>
  <c r="H7" i="106"/>
  <c r="F7" i="106"/>
  <c r="G7" i="106" s="1"/>
  <c r="J6" i="106"/>
  <c r="H6" i="106"/>
  <c r="F6" i="106"/>
  <c r="G6" i="106" s="1"/>
  <c r="H5" i="106"/>
  <c r="F5" i="106"/>
  <c r="G5" i="106" s="1"/>
  <c r="J4" i="106"/>
  <c r="H4" i="106"/>
  <c r="G4" i="106"/>
  <c r="F4" i="106"/>
  <c r="L3" i="106"/>
  <c r="K3" i="106"/>
  <c r="J3" i="106"/>
  <c r="J16" i="106" s="1"/>
  <c r="H3" i="106"/>
  <c r="G3" i="106"/>
  <c r="K7" i="106" s="1"/>
  <c r="F3" i="106"/>
  <c r="H42" i="104"/>
  <c r="F42" i="104"/>
  <c r="G42" i="104" s="1"/>
  <c r="A42" i="104"/>
  <c r="H41" i="104"/>
  <c r="F41" i="104"/>
  <c r="G41" i="104" s="1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A38" i="104"/>
  <c r="H37" i="104"/>
  <c r="F37" i="104"/>
  <c r="G37" i="104" s="1"/>
  <c r="A37" i="104"/>
  <c r="H36" i="104"/>
  <c r="F36" i="104"/>
  <c r="G36" i="104" s="1"/>
  <c r="A36" i="104"/>
  <c r="H35" i="104"/>
  <c r="F35" i="104"/>
  <c r="G35" i="104" s="1"/>
  <c r="A35" i="104"/>
  <c r="H34" i="104"/>
  <c r="F34" i="104"/>
  <c r="G34" i="104" s="1"/>
  <c r="A34" i="104"/>
  <c r="H33" i="104"/>
  <c r="F33" i="104"/>
  <c r="G33" i="104" s="1"/>
  <c r="A33" i="104"/>
  <c r="H32" i="104"/>
  <c r="F32" i="104"/>
  <c r="G32" i="104" s="1"/>
  <c r="A32" i="104"/>
  <c r="H31" i="104"/>
  <c r="F31" i="104"/>
  <c r="G31" i="104" s="1"/>
  <c r="H30" i="104"/>
  <c r="F30" i="104"/>
  <c r="G30" i="104" s="1"/>
  <c r="H29" i="104"/>
  <c r="F29" i="104"/>
  <c r="G29" i="104" s="1"/>
  <c r="H28" i="104"/>
  <c r="F28" i="104"/>
  <c r="G28" i="104" s="1"/>
  <c r="H27" i="104"/>
  <c r="F27" i="104"/>
  <c r="G27" i="104" s="1"/>
  <c r="H26" i="104"/>
  <c r="G26" i="104"/>
  <c r="F26" i="104"/>
  <c r="H25" i="104"/>
  <c r="F25" i="104"/>
  <c r="G25" i="104" s="1"/>
  <c r="H24" i="104"/>
  <c r="G24" i="104"/>
  <c r="F24" i="104"/>
  <c r="H23" i="104"/>
  <c r="F23" i="104"/>
  <c r="G23" i="104" s="1"/>
  <c r="H22" i="104"/>
  <c r="F22" i="104"/>
  <c r="G22" i="104" s="1"/>
  <c r="L21" i="104"/>
  <c r="K21" i="104"/>
  <c r="H21" i="104"/>
  <c r="F21" i="104"/>
  <c r="G21" i="104" s="1"/>
  <c r="H20" i="104"/>
  <c r="F20" i="104"/>
  <c r="G20" i="104" s="1"/>
  <c r="H19" i="104"/>
  <c r="G19" i="104"/>
  <c r="F19" i="104"/>
  <c r="H18" i="104"/>
  <c r="G18" i="104"/>
  <c r="F18" i="104"/>
  <c r="H17" i="104"/>
  <c r="G17" i="104"/>
  <c r="F17" i="104"/>
  <c r="H16" i="104"/>
  <c r="F16" i="104"/>
  <c r="G16" i="104" s="1"/>
  <c r="H15" i="104"/>
  <c r="F15" i="104"/>
  <c r="G15" i="104" s="1"/>
  <c r="H14" i="104"/>
  <c r="L5" i="104" s="1"/>
  <c r="F14" i="104"/>
  <c r="J5" i="104" s="1"/>
  <c r="H13" i="104"/>
  <c r="F13" i="104"/>
  <c r="G13" i="104" s="1"/>
  <c r="H12" i="104"/>
  <c r="L7" i="104" s="1"/>
  <c r="F12" i="104"/>
  <c r="G12" i="104" s="1"/>
  <c r="L11" i="104"/>
  <c r="L18" i="104" s="1"/>
  <c r="K11" i="104"/>
  <c r="K18" i="104" s="1"/>
  <c r="J11" i="104"/>
  <c r="J18" i="104" s="1"/>
  <c r="H11" i="104"/>
  <c r="F11" i="104"/>
  <c r="G11" i="104" s="1"/>
  <c r="L10" i="104"/>
  <c r="K10" i="104"/>
  <c r="J10" i="104"/>
  <c r="H10" i="104"/>
  <c r="F10" i="104"/>
  <c r="G10" i="104" s="1"/>
  <c r="L9" i="104"/>
  <c r="K9" i="104"/>
  <c r="J9" i="104"/>
  <c r="H9" i="104"/>
  <c r="G9" i="104"/>
  <c r="F9" i="104"/>
  <c r="L8" i="104"/>
  <c r="K8" i="104"/>
  <c r="J8" i="104"/>
  <c r="J21" i="104" s="1"/>
  <c r="I29" i="123" s="1"/>
  <c r="H8" i="104"/>
  <c r="F8" i="104"/>
  <c r="G8" i="104" s="1"/>
  <c r="J7" i="104"/>
  <c r="H7" i="104"/>
  <c r="L12" i="104" s="1"/>
  <c r="L19" i="104" s="1"/>
  <c r="G29" i="123" s="1"/>
  <c r="F7" i="104"/>
  <c r="J12" i="104" s="1"/>
  <c r="J19" i="104" s="1"/>
  <c r="L6" i="104"/>
  <c r="K6" i="104"/>
  <c r="J6" i="104"/>
  <c r="H6" i="104"/>
  <c r="F6" i="104"/>
  <c r="G6" i="104" s="1"/>
  <c r="H5" i="104"/>
  <c r="F5" i="104"/>
  <c r="G5" i="104" s="1"/>
  <c r="H4" i="104"/>
  <c r="F4" i="104"/>
  <c r="G4" i="104" s="1"/>
  <c r="L3" i="104"/>
  <c r="L16" i="104" s="1"/>
  <c r="E29" i="123" s="1"/>
  <c r="K3" i="104"/>
  <c r="K16" i="104" s="1"/>
  <c r="B29" i="123" s="1"/>
  <c r="J3" i="104"/>
  <c r="J16" i="104" s="1"/>
  <c r="H3" i="104"/>
  <c r="L4" i="104" s="1"/>
  <c r="L17" i="104" s="1"/>
  <c r="F29" i="123" s="1"/>
  <c r="F3" i="104"/>
  <c r="G3" i="104" s="1"/>
  <c r="K4" i="104" s="1"/>
  <c r="H42" i="103"/>
  <c r="F42" i="103"/>
  <c r="G42" i="103" s="1"/>
  <c r="A42" i="103"/>
  <c r="H41" i="103"/>
  <c r="F41" i="103"/>
  <c r="G41" i="103" s="1"/>
  <c r="A41" i="103"/>
  <c r="H40" i="103"/>
  <c r="G40" i="103"/>
  <c r="F40" i="103"/>
  <c r="A40" i="103"/>
  <c r="H39" i="103"/>
  <c r="G39" i="103"/>
  <c r="F39" i="103"/>
  <c r="A39" i="103"/>
  <c r="H38" i="103"/>
  <c r="G38" i="103"/>
  <c r="F38" i="103"/>
  <c r="A38" i="103"/>
  <c r="H37" i="103"/>
  <c r="G37" i="103"/>
  <c r="F37" i="103"/>
  <c r="A37" i="103"/>
  <c r="H36" i="103"/>
  <c r="F36" i="103"/>
  <c r="G36" i="103" s="1"/>
  <c r="A36" i="103"/>
  <c r="H35" i="103"/>
  <c r="F35" i="103"/>
  <c r="G35" i="103" s="1"/>
  <c r="A35" i="103"/>
  <c r="H34" i="103"/>
  <c r="F34" i="103"/>
  <c r="G34" i="103" s="1"/>
  <c r="A34" i="103"/>
  <c r="H33" i="103"/>
  <c r="F33" i="103"/>
  <c r="G33" i="103" s="1"/>
  <c r="A33" i="103"/>
  <c r="H32" i="103"/>
  <c r="G32" i="103"/>
  <c r="F32" i="103"/>
  <c r="A32" i="103"/>
  <c r="H31" i="103"/>
  <c r="G31" i="103"/>
  <c r="F31" i="103"/>
  <c r="A31" i="103"/>
  <c r="H30" i="103"/>
  <c r="G30" i="103"/>
  <c r="F30" i="103"/>
  <c r="A30" i="103"/>
  <c r="H29" i="103"/>
  <c r="G29" i="103"/>
  <c r="F29" i="103"/>
  <c r="A29" i="103"/>
  <c r="H28" i="103"/>
  <c r="F28" i="103"/>
  <c r="G28" i="103" s="1"/>
  <c r="A28" i="103"/>
  <c r="H27" i="103"/>
  <c r="F27" i="103"/>
  <c r="G27" i="103" s="1"/>
  <c r="A27" i="103"/>
  <c r="H26" i="103"/>
  <c r="F26" i="103"/>
  <c r="G26" i="103" s="1"/>
  <c r="A26" i="103"/>
  <c r="H25" i="103"/>
  <c r="F25" i="103"/>
  <c r="G25" i="103" s="1"/>
  <c r="A25" i="103"/>
  <c r="H24" i="103"/>
  <c r="L7" i="103" s="1"/>
  <c r="G24" i="103"/>
  <c r="K7" i="103" s="1"/>
  <c r="F24" i="103"/>
  <c r="H23" i="103"/>
  <c r="F23" i="103"/>
  <c r="G23" i="103" s="1"/>
  <c r="H22" i="103"/>
  <c r="G22" i="103"/>
  <c r="F22" i="103"/>
  <c r="J21" i="103"/>
  <c r="H21" i="103"/>
  <c r="G21" i="103"/>
  <c r="F21" i="103"/>
  <c r="H20" i="103"/>
  <c r="F20" i="103"/>
  <c r="G20" i="103" s="1"/>
  <c r="H19" i="103"/>
  <c r="F19" i="103"/>
  <c r="G19" i="103" s="1"/>
  <c r="H18" i="103"/>
  <c r="F18" i="103"/>
  <c r="G18" i="103" s="1"/>
  <c r="H17" i="103"/>
  <c r="G17" i="103"/>
  <c r="F17" i="103"/>
  <c r="H16" i="103"/>
  <c r="G16" i="103"/>
  <c r="F16" i="103"/>
  <c r="H15" i="103"/>
  <c r="F15" i="103"/>
  <c r="G15" i="103" s="1"/>
  <c r="H14" i="103"/>
  <c r="G14" i="103"/>
  <c r="F14" i="103"/>
  <c r="H13" i="103"/>
  <c r="F13" i="103"/>
  <c r="G13" i="103" s="1"/>
  <c r="L12" i="103"/>
  <c r="L19" i="103" s="1"/>
  <c r="G28" i="123" s="1"/>
  <c r="K12" i="103"/>
  <c r="K19" i="103" s="1"/>
  <c r="D28" i="123" s="1"/>
  <c r="J12" i="103"/>
  <c r="J19" i="103" s="1"/>
  <c r="H12" i="103"/>
  <c r="F12" i="103"/>
  <c r="G12" i="103" s="1"/>
  <c r="L11" i="103"/>
  <c r="L18" i="103" s="1"/>
  <c r="K11" i="103"/>
  <c r="K18" i="103" s="1"/>
  <c r="J11" i="103"/>
  <c r="J18" i="103" s="1"/>
  <c r="H11" i="103"/>
  <c r="F11" i="103"/>
  <c r="G11" i="103" s="1"/>
  <c r="L10" i="103"/>
  <c r="K10" i="103"/>
  <c r="J10" i="103"/>
  <c r="H10" i="103"/>
  <c r="F10" i="103"/>
  <c r="G10" i="103" s="1"/>
  <c r="L9" i="103"/>
  <c r="K9" i="103"/>
  <c r="J9" i="103"/>
  <c r="H9" i="103"/>
  <c r="F9" i="103"/>
  <c r="G9" i="103" s="1"/>
  <c r="L8" i="103"/>
  <c r="L21" i="103" s="1"/>
  <c r="K8" i="103"/>
  <c r="K21" i="103" s="1"/>
  <c r="J8" i="103"/>
  <c r="H8" i="103"/>
  <c r="F8" i="103"/>
  <c r="J4" i="103" s="1"/>
  <c r="J17" i="103" s="1"/>
  <c r="J7" i="103"/>
  <c r="H7" i="103"/>
  <c r="G7" i="103"/>
  <c r="F7" i="103"/>
  <c r="L6" i="103"/>
  <c r="K6" i="103"/>
  <c r="J6" i="103"/>
  <c r="H6" i="103"/>
  <c r="F6" i="103"/>
  <c r="G6" i="103" s="1"/>
  <c r="L5" i="103"/>
  <c r="J5" i="103"/>
  <c r="H5" i="103"/>
  <c r="L4" i="103" s="1"/>
  <c r="L17" i="103" s="1"/>
  <c r="F28" i="123" s="1"/>
  <c r="F5" i="103"/>
  <c r="G5" i="103" s="1"/>
  <c r="H4" i="103"/>
  <c r="G4" i="103"/>
  <c r="F4" i="103"/>
  <c r="L3" i="103"/>
  <c r="L16" i="103" s="1"/>
  <c r="E28" i="123" s="1"/>
  <c r="K3" i="103"/>
  <c r="K16" i="103" s="1"/>
  <c r="B28" i="123" s="1"/>
  <c r="J3" i="103"/>
  <c r="J16" i="103" s="1"/>
  <c r="J20" i="103" s="1"/>
  <c r="H3" i="103"/>
  <c r="F3" i="103"/>
  <c r="G3" i="103" s="1"/>
  <c r="H42" i="102"/>
  <c r="G42" i="102"/>
  <c r="F42" i="102"/>
  <c r="A42" i="102"/>
  <c r="H41" i="102"/>
  <c r="F41" i="102"/>
  <c r="G41" i="102" s="1"/>
  <c r="A41" i="102"/>
  <c r="H40" i="102"/>
  <c r="F40" i="102"/>
  <c r="G40" i="102" s="1"/>
  <c r="A40" i="102"/>
  <c r="H39" i="102"/>
  <c r="F39" i="102"/>
  <c r="G39" i="102" s="1"/>
  <c r="A39" i="102"/>
  <c r="H38" i="102"/>
  <c r="F38" i="102"/>
  <c r="G38" i="102" s="1"/>
  <c r="A38" i="102"/>
  <c r="H37" i="102"/>
  <c r="G37" i="102"/>
  <c r="F37" i="102"/>
  <c r="A37" i="102"/>
  <c r="H36" i="102"/>
  <c r="G36" i="102"/>
  <c r="F36" i="102"/>
  <c r="A36" i="102"/>
  <c r="H35" i="102"/>
  <c r="G35" i="102"/>
  <c r="F35" i="102"/>
  <c r="A35" i="102"/>
  <c r="H34" i="102"/>
  <c r="G34" i="102"/>
  <c r="F34" i="102"/>
  <c r="A34" i="102"/>
  <c r="H33" i="102"/>
  <c r="F33" i="102"/>
  <c r="G33" i="102" s="1"/>
  <c r="A33" i="102"/>
  <c r="H32" i="102"/>
  <c r="F32" i="102"/>
  <c r="G32" i="102" s="1"/>
  <c r="A32" i="102"/>
  <c r="H31" i="102"/>
  <c r="F31" i="102"/>
  <c r="G31" i="102" s="1"/>
  <c r="A31" i="102"/>
  <c r="H30" i="102"/>
  <c r="F30" i="102"/>
  <c r="G30" i="102" s="1"/>
  <c r="H29" i="102"/>
  <c r="F29" i="102"/>
  <c r="G29" i="102" s="1"/>
  <c r="H28" i="102"/>
  <c r="G28" i="102"/>
  <c r="F28" i="102"/>
  <c r="H27" i="102"/>
  <c r="F27" i="102"/>
  <c r="G27" i="102" s="1"/>
  <c r="H26" i="102"/>
  <c r="G26" i="102"/>
  <c r="F26" i="102"/>
  <c r="H25" i="102"/>
  <c r="F25" i="102"/>
  <c r="G25" i="102" s="1"/>
  <c r="H24" i="102"/>
  <c r="F24" i="102"/>
  <c r="G24" i="102" s="1"/>
  <c r="H23" i="102"/>
  <c r="G23" i="102"/>
  <c r="F23" i="102"/>
  <c r="H22" i="102"/>
  <c r="L6" i="102" s="1"/>
  <c r="F22" i="102"/>
  <c r="J6" i="102" s="1"/>
  <c r="H21" i="102"/>
  <c r="F21" i="102"/>
  <c r="G21" i="102" s="1"/>
  <c r="H20" i="102"/>
  <c r="G20" i="102"/>
  <c r="F20" i="102"/>
  <c r="H19" i="102"/>
  <c r="G19" i="102"/>
  <c r="F19" i="102"/>
  <c r="J18" i="102"/>
  <c r="H18" i="102"/>
  <c r="G18" i="102"/>
  <c r="F18" i="102"/>
  <c r="H17" i="102"/>
  <c r="F17" i="102"/>
  <c r="G17" i="102" s="1"/>
  <c r="H16" i="102"/>
  <c r="F16" i="102"/>
  <c r="G16" i="102" s="1"/>
  <c r="H15" i="102"/>
  <c r="F15" i="102"/>
  <c r="G15" i="102" s="1"/>
  <c r="H14" i="102"/>
  <c r="F14" i="102"/>
  <c r="G14" i="102" s="1"/>
  <c r="H13" i="102"/>
  <c r="F13" i="102"/>
  <c r="G13" i="102" s="1"/>
  <c r="L12" i="102"/>
  <c r="L19" i="102" s="1"/>
  <c r="G27" i="123" s="1"/>
  <c r="K12" i="102"/>
  <c r="K19" i="102" s="1"/>
  <c r="D27" i="123" s="1"/>
  <c r="J12" i="102"/>
  <c r="J19" i="102" s="1"/>
  <c r="H12" i="102"/>
  <c r="F12" i="102"/>
  <c r="G12" i="102" s="1"/>
  <c r="L11" i="102"/>
  <c r="L18" i="102" s="1"/>
  <c r="K11" i="102"/>
  <c r="K18" i="102" s="1"/>
  <c r="J11" i="102"/>
  <c r="H11" i="102"/>
  <c r="F11" i="102"/>
  <c r="G11" i="102" s="1"/>
  <c r="L10" i="102"/>
  <c r="K10" i="102"/>
  <c r="J10" i="102"/>
  <c r="H10" i="102"/>
  <c r="G10" i="102"/>
  <c r="F10" i="102"/>
  <c r="L9" i="102"/>
  <c r="K9" i="102"/>
  <c r="J9" i="102"/>
  <c r="H9" i="102"/>
  <c r="L5" i="102" s="1"/>
  <c r="F9" i="102"/>
  <c r="G9" i="102" s="1"/>
  <c r="L8" i="102"/>
  <c r="L21" i="102" s="1"/>
  <c r="K8" i="102"/>
  <c r="K21" i="102" s="1"/>
  <c r="J8" i="102"/>
  <c r="J21" i="102" s="1"/>
  <c r="I27" i="123" s="1"/>
  <c r="H8" i="102"/>
  <c r="F8" i="102"/>
  <c r="G8" i="102" s="1"/>
  <c r="H7" i="102"/>
  <c r="L7" i="102" s="1"/>
  <c r="F7" i="102"/>
  <c r="J7" i="102" s="1"/>
  <c r="H6" i="102"/>
  <c r="F6" i="102"/>
  <c r="G6" i="102" s="1"/>
  <c r="H5" i="102"/>
  <c r="F5" i="102"/>
  <c r="G5" i="102" s="1"/>
  <c r="H4" i="102"/>
  <c r="F4" i="102"/>
  <c r="G4" i="102" s="1"/>
  <c r="L3" i="102"/>
  <c r="L16" i="102" s="1"/>
  <c r="E27" i="123" s="1"/>
  <c r="K3" i="102"/>
  <c r="K16" i="102" s="1"/>
  <c r="B27" i="123" s="1"/>
  <c r="J3" i="102"/>
  <c r="J16" i="102" s="1"/>
  <c r="H3" i="102"/>
  <c r="L4" i="102" s="1"/>
  <c r="F3" i="102"/>
  <c r="J4" i="102" s="1"/>
  <c r="H42" i="105"/>
  <c r="F42" i="105"/>
  <c r="G42" i="105" s="1"/>
  <c r="A42" i="105"/>
  <c r="H41" i="105"/>
  <c r="G41" i="105"/>
  <c r="F41" i="105"/>
  <c r="A41" i="105"/>
  <c r="H40" i="105"/>
  <c r="G40" i="105"/>
  <c r="F40" i="105"/>
  <c r="A40" i="105"/>
  <c r="H39" i="105"/>
  <c r="G39" i="105"/>
  <c r="F39" i="105"/>
  <c r="A39" i="105"/>
  <c r="H38" i="105"/>
  <c r="F38" i="105"/>
  <c r="G38" i="105" s="1"/>
  <c r="A38" i="105"/>
  <c r="H37" i="105"/>
  <c r="F37" i="105"/>
  <c r="G37" i="105" s="1"/>
  <c r="A37" i="105"/>
  <c r="H36" i="105"/>
  <c r="F36" i="105"/>
  <c r="G36" i="105" s="1"/>
  <c r="H35" i="105"/>
  <c r="F35" i="105"/>
  <c r="G35" i="105" s="1"/>
  <c r="H34" i="105"/>
  <c r="F34" i="105"/>
  <c r="G34" i="105" s="1"/>
  <c r="H33" i="105"/>
  <c r="F33" i="105"/>
  <c r="G33" i="105" s="1"/>
  <c r="H32" i="105"/>
  <c r="G32" i="105"/>
  <c r="F32" i="105"/>
  <c r="H31" i="105"/>
  <c r="F31" i="105"/>
  <c r="G31" i="105" s="1"/>
  <c r="H30" i="105"/>
  <c r="G30" i="105"/>
  <c r="F30" i="105"/>
  <c r="H29" i="105"/>
  <c r="F29" i="105"/>
  <c r="G29" i="105" s="1"/>
  <c r="H28" i="105"/>
  <c r="F28" i="105"/>
  <c r="G28" i="105" s="1"/>
  <c r="H27" i="105"/>
  <c r="F27" i="105"/>
  <c r="G27" i="105" s="1"/>
  <c r="H26" i="105"/>
  <c r="F26" i="105"/>
  <c r="G26" i="105" s="1"/>
  <c r="H25" i="105"/>
  <c r="F25" i="105"/>
  <c r="G25" i="105" s="1"/>
  <c r="H24" i="105"/>
  <c r="F24" i="105"/>
  <c r="G24" i="105" s="1"/>
  <c r="H23" i="105"/>
  <c r="F23" i="105"/>
  <c r="G23" i="105" s="1"/>
  <c r="H22" i="105"/>
  <c r="G22" i="105"/>
  <c r="F22" i="105"/>
  <c r="H21" i="105"/>
  <c r="G21" i="105"/>
  <c r="F21" i="105"/>
  <c r="H20" i="105"/>
  <c r="G20" i="105"/>
  <c r="F20" i="105"/>
  <c r="H19" i="105"/>
  <c r="F19" i="105"/>
  <c r="J9" i="105" s="1"/>
  <c r="J21" i="105" s="1"/>
  <c r="I30" i="123" s="1"/>
  <c r="K18" i="105"/>
  <c r="H18" i="105"/>
  <c r="F18" i="105"/>
  <c r="G18" i="105" s="1"/>
  <c r="H17" i="105"/>
  <c r="F17" i="105"/>
  <c r="G17" i="105" s="1"/>
  <c r="L16" i="105"/>
  <c r="E30" i="123" s="1"/>
  <c r="K16" i="105"/>
  <c r="B30" i="123" s="1"/>
  <c r="J16" i="105"/>
  <c r="H16" i="105"/>
  <c r="G16" i="105"/>
  <c r="F16" i="105"/>
  <c r="H15" i="105"/>
  <c r="F15" i="105"/>
  <c r="G15" i="105" s="1"/>
  <c r="H14" i="105"/>
  <c r="G14" i="105"/>
  <c r="F14" i="105"/>
  <c r="H13" i="105"/>
  <c r="F13" i="105"/>
  <c r="G13" i="105" s="1"/>
  <c r="L12" i="105"/>
  <c r="L19" i="105" s="1"/>
  <c r="G30" i="123" s="1"/>
  <c r="K12" i="105"/>
  <c r="K19" i="105" s="1"/>
  <c r="D30" i="123" s="1"/>
  <c r="J12" i="105"/>
  <c r="J19" i="105" s="1"/>
  <c r="H12" i="105"/>
  <c r="F12" i="105"/>
  <c r="G12" i="105" s="1"/>
  <c r="L11" i="105"/>
  <c r="L18" i="105" s="1"/>
  <c r="K11" i="105"/>
  <c r="J11" i="105"/>
  <c r="J18" i="105" s="1"/>
  <c r="H11" i="105"/>
  <c r="F11" i="105"/>
  <c r="G11" i="105" s="1"/>
  <c r="L10" i="105"/>
  <c r="K10" i="105"/>
  <c r="J10" i="105"/>
  <c r="H10" i="105"/>
  <c r="F10" i="105"/>
  <c r="G10" i="105" s="1"/>
  <c r="L9" i="105"/>
  <c r="L21" i="105" s="1"/>
  <c r="H9" i="105"/>
  <c r="F9" i="105"/>
  <c r="G9" i="105" s="1"/>
  <c r="L8" i="105"/>
  <c r="K8" i="105"/>
  <c r="J8" i="105"/>
  <c r="H8" i="105"/>
  <c r="F8" i="105"/>
  <c r="G8" i="105" s="1"/>
  <c r="L7" i="105"/>
  <c r="K7" i="105"/>
  <c r="J7" i="105"/>
  <c r="H7" i="105"/>
  <c r="F7" i="105"/>
  <c r="G7" i="105" s="1"/>
  <c r="L6" i="105"/>
  <c r="K6" i="105"/>
  <c r="J6" i="105"/>
  <c r="H6" i="105"/>
  <c r="F6" i="105"/>
  <c r="G6" i="105" s="1"/>
  <c r="H5" i="105"/>
  <c r="F5" i="105"/>
  <c r="J5" i="105" s="1"/>
  <c r="L4" i="105"/>
  <c r="J4" i="105"/>
  <c r="J17" i="105" s="1"/>
  <c r="H4" i="105"/>
  <c r="L5" i="105" s="1"/>
  <c r="F4" i="105"/>
  <c r="G4" i="105" s="1"/>
  <c r="L3" i="105"/>
  <c r="K3" i="105"/>
  <c r="J3" i="105"/>
  <c r="H3" i="105"/>
  <c r="F3" i="105"/>
  <c r="G3" i="105" s="1"/>
  <c r="H24" i="100"/>
  <c r="G24" i="100"/>
  <c r="F24" i="100"/>
  <c r="H23" i="100"/>
  <c r="F23" i="100"/>
  <c r="G23" i="100" s="1"/>
  <c r="H22" i="100"/>
  <c r="F22" i="100"/>
  <c r="G22" i="100" s="1"/>
  <c r="H21" i="100"/>
  <c r="F21" i="100"/>
  <c r="G21" i="100" s="1"/>
  <c r="H20" i="100"/>
  <c r="F20" i="100"/>
  <c r="G20" i="100" s="1"/>
  <c r="H19" i="100"/>
  <c r="L7" i="100" s="1"/>
  <c r="F19" i="100"/>
  <c r="G19" i="100" s="1"/>
  <c r="L18" i="100"/>
  <c r="H18" i="100"/>
  <c r="F18" i="100"/>
  <c r="G18" i="100" s="1"/>
  <c r="H17" i="100"/>
  <c r="G17" i="100"/>
  <c r="F17" i="100"/>
  <c r="H16" i="100"/>
  <c r="F16" i="100"/>
  <c r="G16" i="100" s="1"/>
  <c r="H15" i="100"/>
  <c r="G15" i="100"/>
  <c r="F15" i="100"/>
  <c r="H14" i="100"/>
  <c r="F14" i="100"/>
  <c r="G14" i="100" s="1"/>
  <c r="H13" i="100"/>
  <c r="L4" i="100" s="1"/>
  <c r="F13" i="100"/>
  <c r="G13" i="100" s="1"/>
  <c r="L12" i="100"/>
  <c r="L19" i="100" s="1"/>
  <c r="G25" i="123" s="1"/>
  <c r="J12" i="100"/>
  <c r="J19" i="100" s="1"/>
  <c r="H12" i="100"/>
  <c r="L5" i="100" s="1"/>
  <c r="F12" i="100"/>
  <c r="G12" i="100" s="1"/>
  <c r="L11" i="100"/>
  <c r="K11" i="100"/>
  <c r="K18" i="100" s="1"/>
  <c r="J11" i="100"/>
  <c r="J18" i="100" s="1"/>
  <c r="H11" i="100"/>
  <c r="F11" i="100"/>
  <c r="G11" i="100" s="1"/>
  <c r="L10" i="100"/>
  <c r="K10" i="100"/>
  <c r="J10" i="100"/>
  <c r="H10" i="100"/>
  <c r="F10" i="100"/>
  <c r="G10" i="100" s="1"/>
  <c r="H9" i="100"/>
  <c r="F9" i="100"/>
  <c r="G9" i="100" s="1"/>
  <c r="L8" i="100"/>
  <c r="L21" i="100" s="1"/>
  <c r="K8" i="100"/>
  <c r="J8" i="100"/>
  <c r="H8" i="100"/>
  <c r="F8" i="100"/>
  <c r="G8" i="100" s="1"/>
  <c r="H7" i="100"/>
  <c r="L9" i="100" s="1"/>
  <c r="F7" i="100"/>
  <c r="J9" i="100" s="1"/>
  <c r="J21" i="100" s="1"/>
  <c r="I25" i="123" s="1"/>
  <c r="L6" i="100"/>
  <c r="K6" i="100"/>
  <c r="J6" i="100"/>
  <c r="H6" i="100"/>
  <c r="G6" i="100" s="1"/>
  <c r="F6" i="100"/>
  <c r="H5" i="100"/>
  <c r="F5" i="100"/>
  <c r="G5" i="100" s="1"/>
  <c r="H4" i="100"/>
  <c r="F4" i="100"/>
  <c r="G4" i="100" s="1"/>
  <c r="L3" i="100"/>
  <c r="L16" i="100" s="1"/>
  <c r="E25" i="123" s="1"/>
  <c r="K3" i="100"/>
  <c r="K16" i="100" s="1"/>
  <c r="B25" i="123" s="1"/>
  <c r="J3" i="100"/>
  <c r="J16" i="100" s="1"/>
  <c r="H3" i="100"/>
  <c r="F3" i="100"/>
  <c r="G3" i="100" s="1"/>
  <c r="K12" i="100" s="1"/>
  <c r="K19" i="100" s="1"/>
  <c r="D25" i="123" s="1"/>
  <c r="H29" i="99"/>
  <c r="F29" i="99"/>
  <c r="G29" i="99" s="1"/>
  <c r="H28" i="99"/>
  <c r="F28" i="99"/>
  <c r="G28" i="99" s="1"/>
  <c r="H27" i="99"/>
  <c r="F27" i="99"/>
  <c r="G27" i="99" s="1"/>
  <c r="H26" i="99"/>
  <c r="G26" i="99"/>
  <c r="F26" i="99"/>
  <c r="H25" i="99"/>
  <c r="G25" i="99"/>
  <c r="F25" i="99"/>
  <c r="H24" i="99"/>
  <c r="F24" i="99"/>
  <c r="G24" i="99" s="1"/>
  <c r="H23" i="99"/>
  <c r="F23" i="99"/>
  <c r="G23" i="99" s="1"/>
  <c r="H22" i="99"/>
  <c r="G22" i="99"/>
  <c r="F22" i="99"/>
  <c r="H21" i="99"/>
  <c r="F21" i="99"/>
  <c r="G21" i="99" s="1"/>
  <c r="H20" i="99"/>
  <c r="F20" i="99"/>
  <c r="G20" i="99" s="1"/>
  <c r="H19" i="99"/>
  <c r="F19" i="99"/>
  <c r="G19" i="99" s="1"/>
  <c r="J18" i="99"/>
  <c r="H18" i="99"/>
  <c r="F18" i="99"/>
  <c r="G18" i="99" s="1"/>
  <c r="H17" i="99"/>
  <c r="F17" i="99"/>
  <c r="G17" i="99" s="1"/>
  <c r="H16" i="99"/>
  <c r="F16" i="99"/>
  <c r="G16" i="99" s="1"/>
  <c r="H15" i="99"/>
  <c r="F15" i="99"/>
  <c r="G15" i="99" s="1"/>
  <c r="H14" i="99"/>
  <c r="F14" i="99"/>
  <c r="G14" i="99" s="1"/>
  <c r="H13" i="99"/>
  <c r="F13" i="99"/>
  <c r="G13" i="99" s="1"/>
  <c r="L12" i="99"/>
  <c r="L19" i="99" s="1"/>
  <c r="G24" i="123" s="1"/>
  <c r="H12" i="99"/>
  <c r="F12" i="99"/>
  <c r="G12" i="99" s="1"/>
  <c r="L11" i="99"/>
  <c r="L18" i="99" s="1"/>
  <c r="K11" i="99"/>
  <c r="K18" i="99" s="1"/>
  <c r="J11" i="99"/>
  <c r="H11" i="99"/>
  <c r="G11" i="99"/>
  <c r="F11" i="99"/>
  <c r="L10" i="99"/>
  <c r="K10" i="99"/>
  <c r="J10" i="99"/>
  <c r="H10" i="99"/>
  <c r="F10" i="99"/>
  <c r="G10" i="99" s="1"/>
  <c r="L9" i="99"/>
  <c r="K9" i="99"/>
  <c r="J9" i="99"/>
  <c r="H9" i="99"/>
  <c r="F9" i="99"/>
  <c r="G9" i="99" s="1"/>
  <c r="L8" i="99"/>
  <c r="L21" i="99" s="1"/>
  <c r="K8" i="99"/>
  <c r="K21" i="99" s="1"/>
  <c r="J8" i="99"/>
  <c r="J21" i="99" s="1"/>
  <c r="I24" i="123" s="1"/>
  <c r="H8" i="99"/>
  <c r="F8" i="99"/>
  <c r="J12" i="99" s="1"/>
  <c r="J19" i="99" s="1"/>
  <c r="L7" i="99"/>
  <c r="K7" i="99"/>
  <c r="J7" i="99"/>
  <c r="H7" i="99"/>
  <c r="G7" i="99"/>
  <c r="F7" i="99"/>
  <c r="L6" i="99"/>
  <c r="K6" i="99"/>
  <c r="J6" i="99"/>
  <c r="H6" i="99"/>
  <c r="G6" i="99" s="1"/>
  <c r="F6" i="99"/>
  <c r="L5" i="99"/>
  <c r="K5" i="99"/>
  <c r="J5" i="99"/>
  <c r="H5" i="99"/>
  <c r="F5" i="99"/>
  <c r="G5" i="99" s="1"/>
  <c r="L4" i="99"/>
  <c r="L17" i="99" s="1"/>
  <c r="F24" i="123" s="1"/>
  <c r="K4" i="99"/>
  <c r="K17" i="99" s="1"/>
  <c r="C24" i="123" s="1"/>
  <c r="J4" i="99"/>
  <c r="J17" i="99" s="1"/>
  <c r="H4" i="99"/>
  <c r="G4" i="99" s="1"/>
  <c r="F4" i="99"/>
  <c r="H3" i="99"/>
  <c r="F3" i="99"/>
  <c r="G3" i="99" s="1"/>
  <c r="H30" i="98"/>
  <c r="F30" i="98"/>
  <c r="G30" i="98" s="1"/>
  <c r="H29" i="98"/>
  <c r="L9" i="98" s="1"/>
  <c r="F29" i="98"/>
  <c r="G29" i="98" s="1"/>
  <c r="H28" i="98"/>
  <c r="F28" i="98"/>
  <c r="G28" i="98" s="1"/>
  <c r="H27" i="98"/>
  <c r="F27" i="98"/>
  <c r="G27" i="98" s="1"/>
  <c r="H26" i="98"/>
  <c r="F26" i="98"/>
  <c r="G26" i="98" s="1"/>
  <c r="H25" i="98"/>
  <c r="F25" i="98"/>
  <c r="G25" i="98" s="1"/>
  <c r="H24" i="98"/>
  <c r="F24" i="98"/>
  <c r="G24" i="98" s="1"/>
  <c r="H23" i="98"/>
  <c r="G23" i="98"/>
  <c r="F23" i="98"/>
  <c r="H22" i="98"/>
  <c r="F22" i="98"/>
  <c r="G22" i="98" s="1"/>
  <c r="H21" i="98"/>
  <c r="F21" i="98"/>
  <c r="G21" i="98" s="1"/>
  <c r="H20" i="98"/>
  <c r="F20" i="98"/>
  <c r="G20" i="98" s="1"/>
  <c r="L19" i="98"/>
  <c r="G23" i="123" s="1"/>
  <c r="H19" i="98"/>
  <c r="F19" i="98"/>
  <c r="G19" i="98" s="1"/>
  <c r="H18" i="98"/>
  <c r="F18" i="98"/>
  <c r="G18" i="98" s="1"/>
  <c r="H17" i="98"/>
  <c r="F17" i="98"/>
  <c r="G17" i="98" s="1"/>
  <c r="K16" i="98"/>
  <c r="H16" i="98"/>
  <c r="F16" i="98"/>
  <c r="G16" i="98" s="1"/>
  <c r="H15" i="98"/>
  <c r="G15" i="98"/>
  <c r="F15" i="98"/>
  <c r="H14" i="98"/>
  <c r="F14" i="98"/>
  <c r="G14" i="98" s="1"/>
  <c r="H13" i="98"/>
  <c r="F13" i="98"/>
  <c r="G13" i="98" s="1"/>
  <c r="L12" i="98"/>
  <c r="K12" i="98"/>
  <c r="K19" i="98" s="1"/>
  <c r="D23" i="123" s="1"/>
  <c r="J12" i="98"/>
  <c r="J19" i="98" s="1"/>
  <c r="H12" i="98"/>
  <c r="L7" i="98" s="1"/>
  <c r="F12" i="98"/>
  <c r="G12" i="98" s="1"/>
  <c r="L11" i="98"/>
  <c r="L18" i="98" s="1"/>
  <c r="K11" i="98"/>
  <c r="K18" i="98" s="1"/>
  <c r="J11" i="98"/>
  <c r="J18" i="98" s="1"/>
  <c r="H11" i="98"/>
  <c r="F11" i="98"/>
  <c r="G11" i="98" s="1"/>
  <c r="K5" i="98" s="1"/>
  <c r="L10" i="98"/>
  <c r="K10" i="98"/>
  <c r="J10" i="98"/>
  <c r="H10" i="98"/>
  <c r="G10" i="98"/>
  <c r="F10" i="98"/>
  <c r="H9" i="98"/>
  <c r="G9" i="98"/>
  <c r="F9" i="98"/>
  <c r="L8" i="98"/>
  <c r="K8" i="98"/>
  <c r="J8" i="98"/>
  <c r="H8" i="98"/>
  <c r="L4" i="98" s="1"/>
  <c r="F8" i="98"/>
  <c r="J4" i="98" s="1"/>
  <c r="H7" i="98"/>
  <c r="F7" i="98"/>
  <c r="G7" i="98" s="1"/>
  <c r="L6" i="98"/>
  <c r="K6" i="98"/>
  <c r="J6" i="98"/>
  <c r="H6" i="98"/>
  <c r="F6" i="98"/>
  <c r="G6" i="98" s="1"/>
  <c r="L5" i="98"/>
  <c r="J5" i="98"/>
  <c r="H5" i="98"/>
  <c r="G5" i="98"/>
  <c r="F5" i="98"/>
  <c r="H4" i="98"/>
  <c r="G4" i="98"/>
  <c r="K9" i="98" s="1"/>
  <c r="F4" i="98"/>
  <c r="L3" i="98"/>
  <c r="L16" i="98" s="1"/>
  <c r="E23" i="123" s="1"/>
  <c r="K3" i="98"/>
  <c r="J3" i="98"/>
  <c r="J16" i="98" s="1"/>
  <c r="H3" i="98"/>
  <c r="F3" i="98"/>
  <c r="G3" i="98" s="1"/>
  <c r="H24" i="97"/>
  <c r="L5" i="97" s="1"/>
  <c r="F24" i="97"/>
  <c r="G24" i="97" s="1"/>
  <c r="H23" i="97"/>
  <c r="G23" i="97"/>
  <c r="F23" i="97"/>
  <c r="H22" i="97"/>
  <c r="F22" i="97"/>
  <c r="G22" i="97" s="1"/>
  <c r="K21" i="97"/>
  <c r="H21" i="97"/>
  <c r="F21" i="97"/>
  <c r="G21" i="97" s="1"/>
  <c r="H20" i="97"/>
  <c r="F20" i="97"/>
  <c r="G20" i="97" s="1"/>
  <c r="J19" i="97"/>
  <c r="H19" i="97"/>
  <c r="F19" i="97"/>
  <c r="G19" i="97" s="1"/>
  <c r="H18" i="97"/>
  <c r="F18" i="97"/>
  <c r="G18" i="97" s="1"/>
  <c r="H17" i="97"/>
  <c r="F17" i="97"/>
  <c r="G17" i="97" s="1"/>
  <c r="K16" i="97"/>
  <c r="H16" i="97"/>
  <c r="F16" i="97"/>
  <c r="G16" i="97" s="1"/>
  <c r="H15" i="97"/>
  <c r="G15" i="97"/>
  <c r="F15" i="97"/>
  <c r="H14" i="97"/>
  <c r="F14" i="97"/>
  <c r="G14" i="97" s="1"/>
  <c r="H13" i="97"/>
  <c r="F13" i="97"/>
  <c r="G13" i="97" s="1"/>
  <c r="K7" i="97" s="1"/>
  <c r="L12" i="97"/>
  <c r="L19" i="97" s="1"/>
  <c r="G22" i="123" s="1"/>
  <c r="K12" i="97"/>
  <c r="K19" i="97" s="1"/>
  <c r="D22" i="123" s="1"/>
  <c r="J12" i="97"/>
  <c r="H12" i="97"/>
  <c r="F12" i="97"/>
  <c r="J4" i="97" s="1"/>
  <c r="L11" i="97"/>
  <c r="L18" i="97" s="1"/>
  <c r="K11" i="97"/>
  <c r="K18" i="97" s="1"/>
  <c r="J11" i="97"/>
  <c r="J18" i="97" s="1"/>
  <c r="H11" i="97"/>
  <c r="F11" i="97"/>
  <c r="G11" i="97" s="1"/>
  <c r="L10" i="97"/>
  <c r="K10" i="97"/>
  <c r="J10" i="97"/>
  <c r="H10" i="97"/>
  <c r="G10" i="97"/>
  <c r="F10" i="97"/>
  <c r="L9" i="97"/>
  <c r="K9" i="97"/>
  <c r="J9" i="97"/>
  <c r="H9" i="97"/>
  <c r="G9" i="97"/>
  <c r="F9" i="97"/>
  <c r="L8" i="97"/>
  <c r="L21" i="97" s="1"/>
  <c r="K8" i="97"/>
  <c r="J8" i="97"/>
  <c r="J21" i="97" s="1"/>
  <c r="I22" i="123" s="1"/>
  <c r="H8" i="97"/>
  <c r="F8" i="97"/>
  <c r="G8" i="97" s="1"/>
  <c r="L7" i="97"/>
  <c r="J7" i="97"/>
  <c r="H7" i="97"/>
  <c r="L4" i="97" s="1"/>
  <c r="F7" i="97"/>
  <c r="L6" i="97"/>
  <c r="K6" i="97"/>
  <c r="J6" i="97"/>
  <c r="H6" i="97"/>
  <c r="F6" i="97"/>
  <c r="G6" i="97" s="1"/>
  <c r="H5" i="97"/>
  <c r="G5" i="97"/>
  <c r="F5" i="97"/>
  <c r="H4" i="97"/>
  <c r="G4" i="97"/>
  <c r="F4" i="97"/>
  <c r="L3" i="97"/>
  <c r="L16" i="97" s="1"/>
  <c r="E22" i="123" s="1"/>
  <c r="K3" i="97"/>
  <c r="J3" i="97"/>
  <c r="J16" i="97" s="1"/>
  <c r="H3" i="97"/>
  <c r="G3" i="97"/>
  <c r="F3" i="97"/>
  <c r="H37" i="96"/>
  <c r="F37" i="96"/>
  <c r="G37" i="96" s="1"/>
  <c r="H36" i="96"/>
  <c r="F36" i="96"/>
  <c r="G36" i="96" s="1"/>
  <c r="K6" i="96" s="1"/>
  <c r="H35" i="96"/>
  <c r="F35" i="96"/>
  <c r="G35" i="96" s="1"/>
  <c r="H34" i="96"/>
  <c r="F34" i="96"/>
  <c r="G34" i="96" s="1"/>
  <c r="H33" i="96"/>
  <c r="L4" i="96" s="1"/>
  <c r="L17" i="96" s="1"/>
  <c r="F21" i="123" s="1"/>
  <c r="F33" i="96"/>
  <c r="G33" i="96" s="1"/>
  <c r="H32" i="96"/>
  <c r="G32" i="96"/>
  <c r="F32" i="96"/>
  <c r="H31" i="96"/>
  <c r="F31" i="96"/>
  <c r="G31" i="96" s="1"/>
  <c r="H30" i="96"/>
  <c r="G30" i="96"/>
  <c r="F30" i="96"/>
  <c r="H29" i="96"/>
  <c r="L9" i="96" s="1"/>
  <c r="L21" i="96" s="1"/>
  <c r="F29" i="96"/>
  <c r="J9" i="96" s="1"/>
  <c r="J21" i="96" s="1"/>
  <c r="I21" i="123" s="1"/>
  <c r="H28" i="96"/>
  <c r="F28" i="96"/>
  <c r="G28" i="96" s="1"/>
  <c r="H27" i="96"/>
  <c r="G27" i="96"/>
  <c r="F27" i="96"/>
  <c r="H26" i="96"/>
  <c r="F26" i="96"/>
  <c r="G26" i="96" s="1"/>
  <c r="H25" i="96"/>
  <c r="F25" i="96"/>
  <c r="G25" i="96" s="1"/>
  <c r="H24" i="96"/>
  <c r="F24" i="96"/>
  <c r="G24" i="96" s="1"/>
  <c r="H23" i="96"/>
  <c r="F23" i="96"/>
  <c r="G23" i="96" s="1"/>
  <c r="H22" i="96"/>
  <c r="G22" i="96"/>
  <c r="F22" i="96"/>
  <c r="H21" i="96"/>
  <c r="G21" i="96"/>
  <c r="F21" i="96"/>
  <c r="H20" i="96"/>
  <c r="G20" i="96"/>
  <c r="F20" i="96"/>
  <c r="H19" i="96"/>
  <c r="F19" i="96"/>
  <c r="G19" i="96" s="1"/>
  <c r="H18" i="96"/>
  <c r="F18" i="96"/>
  <c r="G18" i="96" s="1"/>
  <c r="H17" i="96"/>
  <c r="L5" i="96" s="1"/>
  <c r="F17" i="96"/>
  <c r="G17" i="96" s="1"/>
  <c r="L16" i="96"/>
  <c r="E21" i="123" s="1"/>
  <c r="J16" i="96"/>
  <c r="H16" i="96"/>
  <c r="G16" i="96"/>
  <c r="F16" i="96"/>
  <c r="H15" i="96"/>
  <c r="F15" i="96"/>
  <c r="G15" i="96" s="1"/>
  <c r="H14" i="96"/>
  <c r="G14" i="96"/>
  <c r="F14" i="96"/>
  <c r="H13" i="96"/>
  <c r="F13" i="96"/>
  <c r="G13" i="96" s="1"/>
  <c r="L12" i="96"/>
  <c r="L19" i="96" s="1"/>
  <c r="G21" i="123" s="1"/>
  <c r="K12" i="96"/>
  <c r="K19" i="96" s="1"/>
  <c r="D21" i="123" s="1"/>
  <c r="J12" i="96"/>
  <c r="J19" i="96" s="1"/>
  <c r="H12" i="96"/>
  <c r="G12" i="96"/>
  <c r="F12" i="96"/>
  <c r="L11" i="96"/>
  <c r="L18" i="96" s="1"/>
  <c r="K11" i="96"/>
  <c r="K18" i="96" s="1"/>
  <c r="J11" i="96"/>
  <c r="J18" i="96" s="1"/>
  <c r="H11" i="96"/>
  <c r="F11" i="96"/>
  <c r="G11" i="96" s="1"/>
  <c r="L10" i="96"/>
  <c r="K10" i="96"/>
  <c r="J10" i="96"/>
  <c r="H10" i="96"/>
  <c r="F10" i="96"/>
  <c r="G10" i="96" s="1"/>
  <c r="H9" i="96"/>
  <c r="F9" i="96"/>
  <c r="G9" i="96" s="1"/>
  <c r="L8" i="96"/>
  <c r="K8" i="96"/>
  <c r="J8" i="96"/>
  <c r="H8" i="96"/>
  <c r="F8" i="96"/>
  <c r="G8" i="96" s="1"/>
  <c r="H7" i="96"/>
  <c r="F7" i="96"/>
  <c r="J4" i="96" s="1"/>
  <c r="L6" i="96"/>
  <c r="H6" i="96"/>
  <c r="L7" i="96" s="1"/>
  <c r="F6" i="96"/>
  <c r="J7" i="96" s="1"/>
  <c r="H5" i="96"/>
  <c r="F5" i="96"/>
  <c r="G5" i="96" s="1"/>
  <c r="H4" i="96"/>
  <c r="F4" i="96"/>
  <c r="G4" i="96" s="1"/>
  <c r="L3" i="96"/>
  <c r="K3" i="96"/>
  <c r="K16" i="96" s="1"/>
  <c r="B21" i="123" s="1"/>
  <c r="J3" i="96"/>
  <c r="H3" i="96"/>
  <c r="F3" i="96"/>
  <c r="G3" i="96" s="1"/>
  <c r="H27" i="95"/>
  <c r="F27" i="95"/>
  <c r="G27" i="95" s="1"/>
  <c r="H26" i="95"/>
  <c r="F26" i="95"/>
  <c r="G26" i="95" s="1"/>
  <c r="H25" i="95"/>
  <c r="F25" i="95"/>
  <c r="G25" i="95" s="1"/>
  <c r="H24" i="95"/>
  <c r="F24" i="95"/>
  <c r="G24" i="95" s="1"/>
  <c r="H23" i="95"/>
  <c r="F23" i="95"/>
  <c r="G23" i="95" s="1"/>
  <c r="H22" i="95"/>
  <c r="F22" i="95"/>
  <c r="G22" i="95" s="1"/>
  <c r="J21" i="95"/>
  <c r="I20" i="123" s="1"/>
  <c r="H21" i="95"/>
  <c r="G21" i="95"/>
  <c r="F21" i="95"/>
  <c r="H20" i="95"/>
  <c r="L5" i="95" s="1"/>
  <c r="G20" i="95"/>
  <c r="F20" i="95"/>
  <c r="H19" i="95"/>
  <c r="F19" i="95"/>
  <c r="G19" i="95" s="1"/>
  <c r="K18" i="95"/>
  <c r="H18" i="95"/>
  <c r="F18" i="95"/>
  <c r="G18" i="95" s="1"/>
  <c r="H17" i="95"/>
  <c r="F17" i="95"/>
  <c r="G17" i="95" s="1"/>
  <c r="H16" i="95"/>
  <c r="F16" i="95"/>
  <c r="G16" i="95" s="1"/>
  <c r="H15" i="95"/>
  <c r="F15" i="95"/>
  <c r="G15" i="95" s="1"/>
  <c r="H14" i="95"/>
  <c r="F14" i="95"/>
  <c r="G14" i="95" s="1"/>
  <c r="H13" i="95"/>
  <c r="F13" i="95"/>
  <c r="G13" i="95" s="1"/>
  <c r="H12" i="95"/>
  <c r="F12" i="95"/>
  <c r="J12" i="95" s="1"/>
  <c r="J19" i="95" s="1"/>
  <c r="L11" i="95"/>
  <c r="L18" i="95" s="1"/>
  <c r="K11" i="95"/>
  <c r="J11" i="95"/>
  <c r="J18" i="95" s="1"/>
  <c r="H11" i="95"/>
  <c r="F11" i="95"/>
  <c r="G11" i="95" s="1"/>
  <c r="L10" i="95"/>
  <c r="K10" i="95"/>
  <c r="J10" i="95"/>
  <c r="H10" i="95"/>
  <c r="F10" i="95"/>
  <c r="G10" i="95" s="1"/>
  <c r="L9" i="95"/>
  <c r="K9" i="95"/>
  <c r="J9" i="95"/>
  <c r="H9" i="95"/>
  <c r="F9" i="95"/>
  <c r="G9" i="95" s="1"/>
  <c r="L8" i="95"/>
  <c r="L21" i="95" s="1"/>
  <c r="K8" i="95"/>
  <c r="K21" i="95" s="1"/>
  <c r="J8" i="95"/>
  <c r="H8" i="95"/>
  <c r="F8" i="95"/>
  <c r="J5" i="95" s="1"/>
  <c r="L7" i="95"/>
  <c r="K7" i="95"/>
  <c r="J7" i="95"/>
  <c r="H7" i="95"/>
  <c r="F7" i="95"/>
  <c r="J4" i="95" s="1"/>
  <c r="L6" i="95"/>
  <c r="K6" i="95"/>
  <c r="J6" i="95"/>
  <c r="H6" i="95"/>
  <c r="G6" i="95"/>
  <c r="F6" i="95"/>
  <c r="H5" i="95"/>
  <c r="L4" i="95" s="1"/>
  <c r="L17" i="95" s="1"/>
  <c r="F20" i="123" s="1"/>
  <c r="G5" i="95"/>
  <c r="F5" i="95"/>
  <c r="H4" i="95"/>
  <c r="F4" i="95"/>
  <c r="G4" i="95" s="1"/>
  <c r="L3" i="95"/>
  <c r="L16" i="95" s="1"/>
  <c r="E20" i="123" s="1"/>
  <c r="K3" i="95"/>
  <c r="K16" i="95" s="1"/>
  <c r="B20" i="123" s="1"/>
  <c r="J3" i="95"/>
  <c r="J16" i="95" s="1"/>
  <c r="H3" i="95"/>
  <c r="L12" i="95" s="1"/>
  <c r="L19" i="95" s="1"/>
  <c r="G20" i="123" s="1"/>
  <c r="F3" i="95"/>
  <c r="G3" i="95" s="1"/>
  <c r="H29" i="94"/>
  <c r="F29" i="94"/>
  <c r="G29" i="94" s="1"/>
  <c r="H28" i="94"/>
  <c r="F28" i="94"/>
  <c r="G28" i="94" s="1"/>
  <c r="H27" i="94"/>
  <c r="F27" i="94"/>
  <c r="G27" i="94" s="1"/>
  <c r="H26" i="94"/>
  <c r="L6" i="94" s="1"/>
  <c r="F26" i="94"/>
  <c r="J6" i="94" s="1"/>
  <c r="H25" i="94"/>
  <c r="F25" i="94"/>
  <c r="G25" i="94" s="1"/>
  <c r="H24" i="94"/>
  <c r="G24" i="94"/>
  <c r="F24" i="94"/>
  <c r="H23" i="94"/>
  <c r="F23" i="94"/>
  <c r="G23" i="94" s="1"/>
  <c r="H22" i="94"/>
  <c r="G22" i="94"/>
  <c r="F22" i="94"/>
  <c r="H21" i="94"/>
  <c r="G21" i="94"/>
  <c r="F21" i="94"/>
  <c r="H20" i="94"/>
  <c r="F20" i="94"/>
  <c r="G20" i="94" s="1"/>
  <c r="H19" i="94"/>
  <c r="F19" i="94"/>
  <c r="G19" i="94" s="1"/>
  <c r="H18" i="94"/>
  <c r="F18" i="94"/>
  <c r="G18" i="94" s="1"/>
  <c r="H17" i="94"/>
  <c r="G17" i="94"/>
  <c r="F17" i="94"/>
  <c r="L16" i="94"/>
  <c r="K16" i="94"/>
  <c r="J16" i="94"/>
  <c r="H16" i="94"/>
  <c r="G16" i="94"/>
  <c r="F16" i="94"/>
  <c r="H15" i="94"/>
  <c r="F15" i="94"/>
  <c r="G15" i="94" s="1"/>
  <c r="H14" i="94"/>
  <c r="G14" i="94"/>
  <c r="F14" i="94"/>
  <c r="H13" i="94"/>
  <c r="F13" i="94"/>
  <c r="G13" i="94" s="1"/>
  <c r="L12" i="94"/>
  <c r="L19" i="94" s="1"/>
  <c r="G19" i="123" s="1"/>
  <c r="K12" i="94"/>
  <c r="K19" i="94" s="1"/>
  <c r="D19" i="123" s="1"/>
  <c r="J12" i="94"/>
  <c r="J19" i="94" s="1"/>
  <c r="H12" i="94"/>
  <c r="F12" i="94"/>
  <c r="G12" i="94" s="1"/>
  <c r="L11" i="94"/>
  <c r="L18" i="94" s="1"/>
  <c r="K11" i="94"/>
  <c r="K18" i="94" s="1"/>
  <c r="J11" i="94"/>
  <c r="J18" i="94" s="1"/>
  <c r="H11" i="94"/>
  <c r="F11" i="94"/>
  <c r="G11" i="94" s="1"/>
  <c r="L10" i="94"/>
  <c r="K10" i="94"/>
  <c r="J10" i="94"/>
  <c r="H10" i="94"/>
  <c r="F10" i="94"/>
  <c r="G10" i="94" s="1"/>
  <c r="L9" i="94"/>
  <c r="K9" i="94"/>
  <c r="J9" i="94"/>
  <c r="H9" i="94"/>
  <c r="F9" i="94"/>
  <c r="G9" i="94" s="1"/>
  <c r="L8" i="94"/>
  <c r="L21" i="94" s="1"/>
  <c r="K8" i="94"/>
  <c r="K21" i="94" s="1"/>
  <c r="J8" i="94"/>
  <c r="J21" i="94" s="1"/>
  <c r="I19" i="123" s="1"/>
  <c r="H8" i="94"/>
  <c r="F8" i="94"/>
  <c r="G8" i="94" s="1"/>
  <c r="L7" i="94"/>
  <c r="J7" i="94"/>
  <c r="H7" i="94"/>
  <c r="F7" i="94"/>
  <c r="G7" i="94" s="1"/>
  <c r="H6" i="94"/>
  <c r="L4" i="94" s="1"/>
  <c r="F6" i="94"/>
  <c r="J4" i="94" s="1"/>
  <c r="J17" i="94" s="1"/>
  <c r="J5" i="94"/>
  <c r="H5" i="94"/>
  <c r="L5" i="94" s="1"/>
  <c r="F5" i="94"/>
  <c r="G5" i="94" s="1"/>
  <c r="H4" i="94"/>
  <c r="G4" i="94" s="1"/>
  <c r="K7" i="94" s="1"/>
  <c r="F4" i="94"/>
  <c r="L3" i="94"/>
  <c r="K3" i="94"/>
  <c r="J3" i="94"/>
  <c r="H3" i="94"/>
  <c r="F3" i="94"/>
  <c r="G3" i="94" s="1"/>
  <c r="H37" i="93"/>
  <c r="F37" i="93"/>
  <c r="G37" i="93" s="1"/>
  <c r="H36" i="93"/>
  <c r="F36" i="93"/>
  <c r="G36" i="93" s="1"/>
  <c r="H35" i="93"/>
  <c r="G35" i="93"/>
  <c r="F35" i="93"/>
  <c r="H34" i="93"/>
  <c r="F34" i="93"/>
  <c r="G34" i="93" s="1"/>
  <c r="H33" i="93"/>
  <c r="F33" i="93"/>
  <c r="G33" i="93" s="1"/>
  <c r="K7" i="93" s="1"/>
  <c r="H32" i="93"/>
  <c r="F32" i="93"/>
  <c r="G32" i="93" s="1"/>
  <c r="H31" i="93"/>
  <c r="F31" i="93"/>
  <c r="G31" i="93" s="1"/>
  <c r="H30" i="93"/>
  <c r="F30" i="93"/>
  <c r="G30" i="93" s="1"/>
  <c r="H29" i="93"/>
  <c r="F29" i="93"/>
  <c r="G29" i="93" s="1"/>
  <c r="H28" i="93"/>
  <c r="F28" i="93"/>
  <c r="G28" i="93" s="1"/>
  <c r="H27" i="93"/>
  <c r="G27" i="93"/>
  <c r="F27" i="93"/>
  <c r="H26" i="93"/>
  <c r="F26" i="93"/>
  <c r="G26" i="93" s="1"/>
  <c r="H25" i="93"/>
  <c r="G25" i="93"/>
  <c r="F25" i="93"/>
  <c r="H24" i="93"/>
  <c r="F24" i="93"/>
  <c r="G24" i="93" s="1"/>
  <c r="H23" i="93"/>
  <c r="F23" i="93"/>
  <c r="G23" i="93" s="1"/>
  <c r="H22" i="93"/>
  <c r="F22" i="93"/>
  <c r="G22" i="93" s="1"/>
  <c r="H21" i="93"/>
  <c r="F21" i="93"/>
  <c r="G21" i="93" s="1"/>
  <c r="H20" i="93"/>
  <c r="F20" i="93"/>
  <c r="G20" i="93" s="1"/>
  <c r="H19" i="93"/>
  <c r="F19" i="93"/>
  <c r="G19" i="93" s="1"/>
  <c r="H18" i="93"/>
  <c r="F18" i="93"/>
  <c r="G18" i="93" s="1"/>
  <c r="H17" i="93"/>
  <c r="F17" i="93"/>
  <c r="G17" i="93" s="1"/>
  <c r="J16" i="93"/>
  <c r="H16" i="93"/>
  <c r="L5" i="93" s="1"/>
  <c r="F16" i="93"/>
  <c r="J5" i="93" s="1"/>
  <c r="H15" i="93"/>
  <c r="F15" i="93"/>
  <c r="J6" i="93" s="1"/>
  <c r="H14" i="93"/>
  <c r="F14" i="93"/>
  <c r="G14" i="93" s="1"/>
  <c r="H13" i="93"/>
  <c r="F13" i="93"/>
  <c r="J4" i="93" s="1"/>
  <c r="L12" i="93"/>
  <c r="L19" i="93" s="1"/>
  <c r="G18" i="123" s="1"/>
  <c r="K12" i="93"/>
  <c r="K19" i="93" s="1"/>
  <c r="D18" i="123" s="1"/>
  <c r="J12" i="93"/>
  <c r="J19" i="93" s="1"/>
  <c r="H12" i="93"/>
  <c r="L4" i="93" s="1"/>
  <c r="L17" i="93" s="1"/>
  <c r="F18" i="123" s="1"/>
  <c r="G12" i="93"/>
  <c r="F12" i="93"/>
  <c r="L11" i="93"/>
  <c r="L18" i="93" s="1"/>
  <c r="K11" i="93"/>
  <c r="K18" i="93" s="1"/>
  <c r="J11" i="93"/>
  <c r="J18" i="93" s="1"/>
  <c r="H11" i="93"/>
  <c r="G11" i="93"/>
  <c r="F11" i="93"/>
  <c r="L10" i="93"/>
  <c r="H10" i="93"/>
  <c r="F10" i="93"/>
  <c r="G10" i="93" s="1"/>
  <c r="H9" i="93"/>
  <c r="L9" i="93" s="1"/>
  <c r="L21" i="93" s="1"/>
  <c r="F9" i="93"/>
  <c r="J9" i="93" s="1"/>
  <c r="J21" i="93" s="1"/>
  <c r="I18" i="123" s="1"/>
  <c r="L8" i="93"/>
  <c r="K8" i="93"/>
  <c r="J8" i="93"/>
  <c r="H8" i="93"/>
  <c r="F8" i="93"/>
  <c r="G8" i="93" s="1"/>
  <c r="L7" i="93"/>
  <c r="J7" i="93"/>
  <c r="H7" i="93"/>
  <c r="F7" i="93"/>
  <c r="G7" i="93" s="1"/>
  <c r="L6" i="93"/>
  <c r="H6" i="93"/>
  <c r="G6" i="93"/>
  <c r="F6" i="93"/>
  <c r="H5" i="93"/>
  <c r="F5" i="93"/>
  <c r="G5" i="93" s="1"/>
  <c r="H4" i="93"/>
  <c r="F4" i="93"/>
  <c r="G4" i="93" s="1"/>
  <c r="L3" i="93"/>
  <c r="L16" i="93" s="1"/>
  <c r="E18" i="123" s="1"/>
  <c r="K3" i="93"/>
  <c r="K16" i="93" s="1"/>
  <c r="B18" i="123" s="1"/>
  <c r="J3" i="93"/>
  <c r="H3" i="93"/>
  <c r="F3" i="93"/>
  <c r="G3" i="93" s="1"/>
  <c r="H26" i="92"/>
  <c r="G26" i="92" s="1"/>
  <c r="F26" i="92"/>
  <c r="H25" i="92"/>
  <c r="L6" i="92" s="1"/>
  <c r="F25" i="92"/>
  <c r="G25" i="92" s="1"/>
  <c r="K6" i="92" s="1"/>
  <c r="H24" i="92"/>
  <c r="F24" i="92"/>
  <c r="G24" i="92" s="1"/>
  <c r="H23" i="92"/>
  <c r="F23" i="92"/>
  <c r="G23" i="92" s="1"/>
  <c r="H22" i="92"/>
  <c r="F22" i="92"/>
  <c r="G22" i="92" s="1"/>
  <c r="H21" i="92"/>
  <c r="F21" i="92"/>
  <c r="J5" i="92" s="1"/>
  <c r="H20" i="92"/>
  <c r="L5" i="92" s="1"/>
  <c r="F20" i="92"/>
  <c r="G20" i="92" s="1"/>
  <c r="H19" i="92"/>
  <c r="F19" i="92"/>
  <c r="G19" i="92" s="1"/>
  <c r="H18" i="92"/>
  <c r="F18" i="92"/>
  <c r="G18" i="92" s="1"/>
  <c r="H17" i="92"/>
  <c r="G17" i="92"/>
  <c r="F17" i="92"/>
  <c r="H16" i="92"/>
  <c r="F16" i="92"/>
  <c r="G16" i="92" s="1"/>
  <c r="H15" i="92"/>
  <c r="F15" i="92"/>
  <c r="J7" i="92" s="1"/>
  <c r="H14" i="92"/>
  <c r="F14" i="92"/>
  <c r="G14" i="92" s="1"/>
  <c r="H13" i="92"/>
  <c r="G13" i="92"/>
  <c r="F13" i="92"/>
  <c r="L12" i="92"/>
  <c r="L19" i="92" s="1"/>
  <c r="G17" i="123" s="1"/>
  <c r="K12" i="92"/>
  <c r="K19" i="92" s="1"/>
  <c r="D17" i="123" s="1"/>
  <c r="J12" i="92"/>
  <c r="J19" i="92" s="1"/>
  <c r="H12" i="92"/>
  <c r="F12" i="92"/>
  <c r="G12" i="92" s="1"/>
  <c r="L11" i="92"/>
  <c r="L18" i="92" s="1"/>
  <c r="K11" i="92"/>
  <c r="K18" i="92" s="1"/>
  <c r="J11" i="92"/>
  <c r="J18" i="92" s="1"/>
  <c r="H11" i="92"/>
  <c r="F11" i="92"/>
  <c r="G11" i="92" s="1"/>
  <c r="L10" i="92"/>
  <c r="K10" i="92"/>
  <c r="J10" i="92"/>
  <c r="H10" i="92"/>
  <c r="F10" i="92"/>
  <c r="G10" i="92" s="1"/>
  <c r="H9" i="92"/>
  <c r="F9" i="92"/>
  <c r="G9" i="92" s="1"/>
  <c r="L8" i="92"/>
  <c r="L21" i="92" s="1"/>
  <c r="K8" i="92"/>
  <c r="K21" i="92" s="1"/>
  <c r="J8" i="92"/>
  <c r="H8" i="92"/>
  <c r="L7" i="92" s="1"/>
  <c r="G8" i="92"/>
  <c r="F8" i="92"/>
  <c r="H7" i="92"/>
  <c r="G7" i="92"/>
  <c r="F7" i="92"/>
  <c r="H6" i="92"/>
  <c r="L4" i="92" s="1"/>
  <c r="F6" i="92"/>
  <c r="G6" i="92" s="1"/>
  <c r="H5" i="92"/>
  <c r="F5" i="92"/>
  <c r="G5" i="92" s="1"/>
  <c r="H4" i="92"/>
  <c r="F4" i="92"/>
  <c r="G4" i="92" s="1"/>
  <c r="L3" i="92"/>
  <c r="L16" i="92" s="1"/>
  <c r="E17" i="123" s="1"/>
  <c r="K3" i="92"/>
  <c r="K16" i="92" s="1"/>
  <c r="B17" i="123" s="1"/>
  <c r="J3" i="92"/>
  <c r="J16" i="92" s="1"/>
  <c r="H3" i="92"/>
  <c r="L9" i="92" s="1"/>
  <c r="F3" i="92"/>
  <c r="G3" i="92" s="1"/>
  <c r="K9" i="92" s="1"/>
  <c r="H28" i="91"/>
  <c r="F28" i="91"/>
  <c r="G28" i="91" s="1"/>
  <c r="H27" i="91"/>
  <c r="G27" i="91"/>
  <c r="F27" i="91"/>
  <c r="H26" i="91"/>
  <c r="G26" i="91"/>
  <c r="F26" i="91"/>
  <c r="H25" i="91"/>
  <c r="F25" i="91"/>
  <c r="G25" i="91" s="1"/>
  <c r="H24" i="91"/>
  <c r="F24" i="91"/>
  <c r="G24" i="91" s="1"/>
  <c r="H23" i="91"/>
  <c r="F23" i="91"/>
  <c r="G23" i="91" s="1"/>
  <c r="H22" i="91"/>
  <c r="F22" i="91"/>
  <c r="G22" i="91" s="1"/>
  <c r="H21" i="91"/>
  <c r="F21" i="91"/>
  <c r="G21" i="91" s="1"/>
  <c r="H20" i="91"/>
  <c r="F20" i="91"/>
  <c r="G20" i="91" s="1"/>
  <c r="H19" i="91"/>
  <c r="F19" i="91"/>
  <c r="G19" i="91" s="1"/>
  <c r="H18" i="91"/>
  <c r="G18" i="91" s="1"/>
  <c r="F18" i="91"/>
  <c r="H17" i="91"/>
  <c r="G17" i="91"/>
  <c r="F17" i="91"/>
  <c r="L16" i="91"/>
  <c r="K16" i="91"/>
  <c r="H16" i="91"/>
  <c r="G16" i="91"/>
  <c r="F16" i="91"/>
  <c r="H15" i="91"/>
  <c r="F15" i="91"/>
  <c r="G15" i="91" s="1"/>
  <c r="H14" i="91"/>
  <c r="F14" i="91"/>
  <c r="G14" i="91" s="1"/>
  <c r="H13" i="91"/>
  <c r="L4" i="91" s="1"/>
  <c r="F13" i="91"/>
  <c r="J4" i="91" s="1"/>
  <c r="J12" i="91"/>
  <c r="J19" i="91" s="1"/>
  <c r="H12" i="91"/>
  <c r="G12" i="91"/>
  <c r="F12" i="91"/>
  <c r="L11" i="91"/>
  <c r="L18" i="91" s="1"/>
  <c r="K11" i="91"/>
  <c r="K18" i="91" s="1"/>
  <c r="J11" i="91"/>
  <c r="J18" i="91" s="1"/>
  <c r="H11" i="91"/>
  <c r="F11" i="91"/>
  <c r="G11" i="91" s="1"/>
  <c r="L10" i="91"/>
  <c r="K10" i="91"/>
  <c r="J10" i="91"/>
  <c r="H10" i="91"/>
  <c r="F10" i="91"/>
  <c r="G10" i="91" s="1"/>
  <c r="H9" i="91"/>
  <c r="L5" i="91" s="1"/>
  <c r="F9" i="91"/>
  <c r="J5" i="91" s="1"/>
  <c r="L8" i="91"/>
  <c r="K8" i="91"/>
  <c r="J8" i="91"/>
  <c r="J21" i="91" s="1"/>
  <c r="I16" i="123" s="1"/>
  <c r="H8" i="91"/>
  <c r="F8" i="91"/>
  <c r="G8" i="91" s="1"/>
  <c r="L7" i="91"/>
  <c r="K7" i="91"/>
  <c r="J7" i="91"/>
  <c r="H7" i="91"/>
  <c r="L12" i="91" s="1"/>
  <c r="L19" i="91" s="1"/>
  <c r="G16" i="123" s="1"/>
  <c r="G7" i="91"/>
  <c r="F7" i="91"/>
  <c r="L6" i="91"/>
  <c r="K6" i="91"/>
  <c r="J6" i="91"/>
  <c r="H6" i="91"/>
  <c r="G6" i="91" s="1"/>
  <c r="F6" i="91"/>
  <c r="H5" i="91"/>
  <c r="F5" i="91"/>
  <c r="G5" i="91" s="1"/>
  <c r="H4" i="91"/>
  <c r="L9" i="91" s="1"/>
  <c r="L21" i="91" s="1"/>
  <c r="F4" i="91"/>
  <c r="J9" i="91" s="1"/>
  <c r="L3" i="91"/>
  <c r="K3" i="91"/>
  <c r="J3" i="91"/>
  <c r="J16" i="91" s="1"/>
  <c r="H3" i="91"/>
  <c r="F3" i="91"/>
  <c r="G3" i="91" s="1"/>
  <c r="H32" i="90"/>
  <c r="G32" i="90"/>
  <c r="F32" i="90"/>
  <c r="H31" i="90"/>
  <c r="F31" i="90"/>
  <c r="G31" i="90" s="1"/>
  <c r="H30" i="90"/>
  <c r="F30" i="90"/>
  <c r="G30" i="90" s="1"/>
  <c r="H29" i="90"/>
  <c r="F29" i="90"/>
  <c r="G29" i="90" s="1"/>
  <c r="H28" i="90"/>
  <c r="F28" i="90"/>
  <c r="G28" i="90" s="1"/>
  <c r="H27" i="90"/>
  <c r="L7" i="90" s="1"/>
  <c r="G27" i="90"/>
  <c r="F27" i="90"/>
  <c r="H26" i="90"/>
  <c r="G26" i="90" s="1"/>
  <c r="F26" i="90"/>
  <c r="H25" i="90"/>
  <c r="F25" i="90"/>
  <c r="G25" i="90" s="1"/>
  <c r="H24" i="90"/>
  <c r="F24" i="90"/>
  <c r="G24" i="90" s="1"/>
  <c r="H23" i="90"/>
  <c r="F23" i="90"/>
  <c r="G23" i="90" s="1"/>
  <c r="H22" i="90"/>
  <c r="F22" i="90"/>
  <c r="G22" i="90" s="1"/>
  <c r="K9" i="90" s="1"/>
  <c r="L21" i="90"/>
  <c r="H21" i="90"/>
  <c r="G21" i="90"/>
  <c r="F21" i="90"/>
  <c r="H20" i="90"/>
  <c r="F20" i="90"/>
  <c r="G20" i="90" s="1"/>
  <c r="H19" i="90"/>
  <c r="F19" i="90"/>
  <c r="G19" i="90" s="1"/>
  <c r="H18" i="90"/>
  <c r="F18" i="90"/>
  <c r="G18" i="90" s="1"/>
  <c r="H17" i="90"/>
  <c r="F17" i="90"/>
  <c r="G17" i="90" s="1"/>
  <c r="L16" i="90"/>
  <c r="K16" i="90"/>
  <c r="J16" i="90"/>
  <c r="H16" i="90"/>
  <c r="G16" i="90"/>
  <c r="F16" i="90"/>
  <c r="H15" i="90"/>
  <c r="F15" i="90"/>
  <c r="G15" i="90" s="1"/>
  <c r="H14" i="90"/>
  <c r="F14" i="90"/>
  <c r="G14" i="90" s="1"/>
  <c r="H13" i="90"/>
  <c r="F13" i="90"/>
  <c r="G13" i="90" s="1"/>
  <c r="K7" i="90" s="1"/>
  <c r="L12" i="90"/>
  <c r="L19" i="90" s="1"/>
  <c r="G15" i="123" s="1"/>
  <c r="K12" i="90"/>
  <c r="K19" i="90" s="1"/>
  <c r="D15" i="123" s="1"/>
  <c r="J12" i="90"/>
  <c r="J19" i="90" s="1"/>
  <c r="H12" i="90"/>
  <c r="G12" i="90"/>
  <c r="F12" i="90"/>
  <c r="L11" i="90"/>
  <c r="L18" i="90" s="1"/>
  <c r="K11" i="90"/>
  <c r="K18" i="90" s="1"/>
  <c r="J11" i="90"/>
  <c r="J18" i="90" s="1"/>
  <c r="H11" i="90"/>
  <c r="F11" i="90"/>
  <c r="G11" i="90" s="1"/>
  <c r="L10" i="90"/>
  <c r="K10" i="90"/>
  <c r="J10" i="90"/>
  <c r="H10" i="90"/>
  <c r="F10" i="90"/>
  <c r="G10" i="90" s="1"/>
  <c r="L9" i="90"/>
  <c r="J9" i="90"/>
  <c r="J21" i="90" s="1"/>
  <c r="I15" i="123" s="1"/>
  <c r="H9" i="90"/>
  <c r="F9" i="90"/>
  <c r="G9" i="90" s="1"/>
  <c r="L8" i="90"/>
  <c r="K8" i="90"/>
  <c r="K21" i="90" s="1"/>
  <c r="J8" i="90"/>
  <c r="H8" i="90"/>
  <c r="L4" i="90" s="1"/>
  <c r="F8" i="90"/>
  <c r="J4" i="90" s="1"/>
  <c r="J7" i="90"/>
  <c r="H7" i="90"/>
  <c r="F7" i="90"/>
  <c r="J5" i="90" s="1"/>
  <c r="L6" i="90"/>
  <c r="H6" i="90"/>
  <c r="G6" i="90" s="1"/>
  <c r="F6" i="90"/>
  <c r="H5" i="90"/>
  <c r="L5" i="90" s="1"/>
  <c r="G5" i="90"/>
  <c r="F5" i="90"/>
  <c r="H4" i="90"/>
  <c r="F4" i="90"/>
  <c r="J6" i="90" s="1"/>
  <c r="L3" i="90"/>
  <c r="K3" i="90"/>
  <c r="J3" i="90"/>
  <c r="H3" i="90"/>
  <c r="F3" i="90"/>
  <c r="G3" i="90" s="1"/>
  <c r="H25" i="89"/>
  <c r="F25" i="89"/>
  <c r="G25" i="89" s="1"/>
  <c r="H24" i="89"/>
  <c r="G24" i="89"/>
  <c r="F24" i="89"/>
  <c r="H23" i="89"/>
  <c r="F23" i="89"/>
  <c r="G23" i="89" s="1"/>
  <c r="H22" i="89"/>
  <c r="F22" i="89"/>
  <c r="G22" i="89" s="1"/>
  <c r="H21" i="89"/>
  <c r="F21" i="89"/>
  <c r="G21" i="89" s="1"/>
  <c r="H20" i="89"/>
  <c r="F20" i="89"/>
  <c r="G20" i="89" s="1"/>
  <c r="K19" i="89"/>
  <c r="D14" i="123" s="1"/>
  <c r="H19" i="89"/>
  <c r="F19" i="89"/>
  <c r="G19" i="89" s="1"/>
  <c r="H18" i="89"/>
  <c r="F18" i="89"/>
  <c r="G18" i="89" s="1"/>
  <c r="H17" i="89"/>
  <c r="G17" i="89"/>
  <c r="F17" i="89"/>
  <c r="H16" i="89"/>
  <c r="F16" i="89"/>
  <c r="G16" i="89" s="1"/>
  <c r="H15" i="89"/>
  <c r="L9" i="89" s="1"/>
  <c r="F15" i="89"/>
  <c r="G15" i="89" s="1"/>
  <c r="K9" i="89" s="1"/>
  <c r="H14" i="89"/>
  <c r="F14" i="89"/>
  <c r="G14" i="89" s="1"/>
  <c r="H13" i="89"/>
  <c r="G13" i="89"/>
  <c r="F13" i="89"/>
  <c r="L12" i="89"/>
  <c r="L19" i="89" s="1"/>
  <c r="G14" i="123" s="1"/>
  <c r="K12" i="89"/>
  <c r="J12" i="89"/>
  <c r="J19" i="89" s="1"/>
  <c r="H12" i="89"/>
  <c r="F12" i="89"/>
  <c r="G12" i="89" s="1"/>
  <c r="L11" i="89"/>
  <c r="L18" i="89" s="1"/>
  <c r="K11" i="89"/>
  <c r="K18" i="89" s="1"/>
  <c r="J11" i="89"/>
  <c r="J18" i="89" s="1"/>
  <c r="H11" i="89"/>
  <c r="F11" i="89"/>
  <c r="G11" i="89" s="1"/>
  <c r="L10" i="89"/>
  <c r="K10" i="89"/>
  <c r="J10" i="89"/>
  <c r="H10" i="89"/>
  <c r="F10" i="89"/>
  <c r="G10" i="89" s="1"/>
  <c r="H9" i="89"/>
  <c r="F9" i="89"/>
  <c r="G9" i="89" s="1"/>
  <c r="L8" i="89"/>
  <c r="L21" i="89" s="1"/>
  <c r="K8" i="89"/>
  <c r="K21" i="89" s="1"/>
  <c r="J8" i="89"/>
  <c r="H8" i="89"/>
  <c r="F8" i="89"/>
  <c r="G8" i="89" s="1"/>
  <c r="L7" i="89"/>
  <c r="K7" i="89"/>
  <c r="J7" i="89"/>
  <c r="H7" i="89"/>
  <c r="F7" i="89"/>
  <c r="G7" i="89" s="1"/>
  <c r="L6" i="89"/>
  <c r="J6" i="89"/>
  <c r="H6" i="89"/>
  <c r="F6" i="89"/>
  <c r="G6" i="89" s="1"/>
  <c r="L5" i="89"/>
  <c r="H5" i="89"/>
  <c r="F5" i="89"/>
  <c r="J5" i="89" s="1"/>
  <c r="H4" i="89"/>
  <c r="G4" i="89" s="1"/>
  <c r="F4" i="89"/>
  <c r="L3" i="89"/>
  <c r="L16" i="89" s="1"/>
  <c r="E14" i="123" s="1"/>
  <c r="K3" i="89"/>
  <c r="K16" i="89" s="1"/>
  <c r="B14" i="123" s="1"/>
  <c r="J3" i="89"/>
  <c r="J16" i="89" s="1"/>
  <c r="H3" i="89"/>
  <c r="L4" i="89" s="1"/>
  <c r="L17" i="89" s="1"/>
  <c r="F14" i="123" s="1"/>
  <c r="F3" i="89"/>
  <c r="G3" i="89" s="1"/>
  <c r="H31" i="88"/>
  <c r="F31" i="88"/>
  <c r="G31" i="88" s="1"/>
  <c r="H30" i="88"/>
  <c r="F30" i="88"/>
  <c r="G30" i="88" s="1"/>
  <c r="H29" i="88"/>
  <c r="F29" i="88"/>
  <c r="G29" i="88" s="1"/>
  <c r="H28" i="88"/>
  <c r="F28" i="88"/>
  <c r="J6" i="88" s="1"/>
  <c r="H27" i="88"/>
  <c r="G27" i="88"/>
  <c r="F27" i="88"/>
  <c r="H26" i="88"/>
  <c r="G26" i="88"/>
  <c r="F26" i="88"/>
  <c r="H25" i="88"/>
  <c r="G25" i="88"/>
  <c r="F25" i="88"/>
  <c r="H24" i="88"/>
  <c r="F24" i="88"/>
  <c r="G24" i="88" s="1"/>
  <c r="H23" i="88"/>
  <c r="F23" i="88"/>
  <c r="G23" i="88" s="1"/>
  <c r="H22" i="88"/>
  <c r="F22" i="88"/>
  <c r="G22" i="88" s="1"/>
  <c r="H21" i="88"/>
  <c r="F21" i="88"/>
  <c r="G21" i="88" s="1"/>
  <c r="H20" i="88"/>
  <c r="F20" i="88"/>
  <c r="G20" i="88" s="1"/>
  <c r="H19" i="88"/>
  <c r="F19" i="88"/>
  <c r="G19" i="88" s="1"/>
  <c r="H18" i="88"/>
  <c r="F18" i="88"/>
  <c r="G18" i="88" s="1"/>
  <c r="H17" i="88"/>
  <c r="G17" i="88"/>
  <c r="F17" i="88"/>
  <c r="J16" i="88"/>
  <c r="H16" i="88"/>
  <c r="F16" i="88"/>
  <c r="G16" i="88" s="1"/>
  <c r="H15" i="88"/>
  <c r="F15" i="88"/>
  <c r="G15" i="88" s="1"/>
  <c r="H14" i="88"/>
  <c r="L9" i="88" s="1"/>
  <c r="L21" i="88" s="1"/>
  <c r="F14" i="88"/>
  <c r="J9" i="88" s="1"/>
  <c r="J21" i="88" s="1"/>
  <c r="I13" i="123" s="1"/>
  <c r="H13" i="88"/>
  <c r="F13" i="88"/>
  <c r="G13" i="88" s="1"/>
  <c r="L12" i="88"/>
  <c r="L19" i="88" s="1"/>
  <c r="G13" i="123" s="1"/>
  <c r="K12" i="88"/>
  <c r="K19" i="88" s="1"/>
  <c r="D13" i="123" s="1"/>
  <c r="J12" i="88"/>
  <c r="J19" i="88" s="1"/>
  <c r="H12" i="88"/>
  <c r="G12" i="88"/>
  <c r="F12" i="88"/>
  <c r="L11" i="88"/>
  <c r="L18" i="88" s="1"/>
  <c r="K11" i="88"/>
  <c r="K18" i="88" s="1"/>
  <c r="J11" i="88"/>
  <c r="J18" i="88" s="1"/>
  <c r="H11" i="88"/>
  <c r="G11" i="88"/>
  <c r="F11" i="88"/>
  <c r="L10" i="88"/>
  <c r="K10" i="88"/>
  <c r="J10" i="88"/>
  <c r="H10" i="88"/>
  <c r="F10" i="88"/>
  <c r="G10" i="88" s="1"/>
  <c r="H9" i="88"/>
  <c r="F9" i="88"/>
  <c r="G9" i="88" s="1"/>
  <c r="L8" i="88"/>
  <c r="K8" i="88"/>
  <c r="J8" i="88"/>
  <c r="H8" i="88"/>
  <c r="F8" i="88"/>
  <c r="G8" i="88" s="1"/>
  <c r="L7" i="88"/>
  <c r="K7" i="88"/>
  <c r="J7" i="88"/>
  <c r="H7" i="88"/>
  <c r="F7" i="88"/>
  <c r="J4" i="88" s="1"/>
  <c r="J17" i="88" s="1"/>
  <c r="L6" i="88"/>
  <c r="H6" i="88"/>
  <c r="G6" i="88" s="1"/>
  <c r="F6" i="88"/>
  <c r="H5" i="88"/>
  <c r="G5" i="88" s="1"/>
  <c r="F5" i="88"/>
  <c r="H4" i="88"/>
  <c r="F4" i="88"/>
  <c r="G4" i="88" s="1"/>
  <c r="L3" i="88"/>
  <c r="L16" i="88" s="1"/>
  <c r="E13" i="123" s="1"/>
  <c r="K3" i="88"/>
  <c r="K16" i="88" s="1"/>
  <c r="B13" i="123" s="1"/>
  <c r="J3" i="88"/>
  <c r="H3" i="88"/>
  <c r="L5" i="88" s="1"/>
  <c r="F3" i="88"/>
  <c r="J5" i="88" s="1"/>
  <c r="H29" i="86"/>
  <c r="G29" i="86" s="1"/>
  <c r="F29" i="86"/>
  <c r="H28" i="86"/>
  <c r="G28" i="86"/>
  <c r="F28" i="86"/>
  <c r="H27" i="86"/>
  <c r="F27" i="86"/>
  <c r="G27" i="86" s="1"/>
  <c r="H26" i="86"/>
  <c r="F26" i="86"/>
  <c r="G26" i="86" s="1"/>
  <c r="H25" i="86"/>
  <c r="F25" i="86"/>
  <c r="G25" i="86" s="1"/>
  <c r="H24" i="86"/>
  <c r="F24" i="86"/>
  <c r="G24" i="86" s="1"/>
  <c r="H23" i="86"/>
  <c r="G23" i="86"/>
  <c r="F23" i="86"/>
  <c r="H22" i="86"/>
  <c r="F22" i="86"/>
  <c r="G22" i="86" s="1"/>
  <c r="H21" i="86"/>
  <c r="F21" i="86"/>
  <c r="G21" i="86" s="1"/>
  <c r="H20" i="86"/>
  <c r="F20" i="86"/>
  <c r="G20" i="86" s="1"/>
  <c r="J19" i="86"/>
  <c r="H19" i="86"/>
  <c r="G19" i="86" s="1"/>
  <c r="F19" i="86"/>
  <c r="L18" i="86"/>
  <c r="H18" i="86"/>
  <c r="F18" i="86"/>
  <c r="G18" i="86" s="1"/>
  <c r="K10" i="86" s="1"/>
  <c r="H17" i="86"/>
  <c r="L5" i="86" s="1"/>
  <c r="F17" i="86"/>
  <c r="J5" i="86" s="1"/>
  <c r="J17" i="86" s="1"/>
  <c r="H16" i="86"/>
  <c r="F16" i="86"/>
  <c r="G16" i="86" s="1"/>
  <c r="H15" i="86"/>
  <c r="F15" i="86"/>
  <c r="G15" i="86" s="1"/>
  <c r="H14" i="86"/>
  <c r="G14" i="86"/>
  <c r="F14" i="86"/>
  <c r="H13" i="86"/>
  <c r="G13" i="86"/>
  <c r="F13" i="86"/>
  <c r="L12" i="86"/>
  <c r="L19" i="86" s="1"/>
  <c r="G11" i="123" s="1"/>
  <c r="K12" i="86"/>
  <c r="K19" i="86" s="1"/>
  <c r="D11" i="123" s="1"/>
  <c r="J12" i="86"/>
  <c r="H12" i="86"/>
  <c r="F12" i="86"/>
  <c r="G12" i="86" s="1"/>
  <c r="L11" i="86"/>
  <c r="K11" i="86"/>
  <c r="K18" i="86" s="1"/>
  <c r="J11" i="86"/>
  <c r="J18" i="86" s="1"/>
  <c r="H11" i="86"/>
  <c r="F11" i="86"/>
  <c r="G11" i="86" s="1"/>
  <c r="L10" i="86"/>
  <c r="J10" i="86"/>
  <c r="H10" i="86"/>
  <c r="G10" i="86"/>
  <c r="F10" i="86"/>
  <c r="L9" i="86"/>
  <c r="K9" i="86"/>
  <c r="J9" i="86"/>
  <c r="H9" i="86"/>
  <c r="F9" i="86"/>
  <c r="G9" i="86" s="1"/>
  <c r="L8" i="86"/>
  <c r="L21" i="86" s="1"/>
  <c r="K8" i="86"/>
  <c r="K21" i="86" s="1"/>
  <c r="J8" i="86"/>
  <c r="J21" i="86" s="1"/>
  <c r="I11" i="123" s="1"/>
  <c r="H8" i="86"/>
  <c r="F8" i="86"/>
  <c r="G8" i="86" s="1"/>
  <c r="L7" i="86"/>
  <c r="K7" i="86"/>
  <c r="J7" i="86"/>
  <c r="H7" i="86"/>
  <c r="G7" i="86" s="1"/>
  <c r="F7" i="86"/>
  <c r="L6" i="86"/>
  <c r="K6" i="86"/>
  <c r="J6" i="86"/>
  <c r="H6" i="86"/>
  <c r="F6" i="86"/>
  <c r="G6" i="86" s="1"/>
  <c r="H5" i="86"/>
  <c r="F5" i="86"/>
  <c r="G5" i="86" s="1"/>
  <c r="L4" i="86"/>
  <c r="K4" i="86"/>
  <c r="J4" i="86"/>
  <c r="H4" i="86"/>
  <c r="F4" i="86"/>
  <c r="G4" i="86" s="1"/>
  <c r="H3" i="86"/>
  <c r="L3" i="86" s="1"/>
  <c r="L16" i="86" s="1"/>
  <c r="E11" i="123" s="1"/>
  <c r="F3" i="86"/>
  <c r="G3" i="86" s="1"/>
  <c r="H28" i="87"/>
  <c r="F28" i="87"/>
  <c r="G28" i="87" s="1"/>
  <c r="H27" i="87"/>
  <c r="F27" i="87"/>
  <c r="G27" i="87" s="1"/>
  <c r="H26" i="87"/>
  <c r="L9" i="87" s="1"/>
  <c r="F26" i="87"/>
  <c r="J9" i="87" s="1"/>
  <c r="H25" i="87"/>
  <c r="F25" i="87"/>
  <c r="G25" i="87" s="1"/>
  <c r="H24" i="87"/>
  <c r="L5" i="87" s="1"/>
  <c r="G24" i="87"/>
  <c r="F24" i="87"/>
  <c r="H23" i="87"/>
  <c r="F23" i="87"/>
  <c r="G23" i="87" s="1"/>
  <c r="H22" i="87"/>
  <c r="F22" i="87"/>
  <c r="G22" i="87" s="1"/>
  <c r="H21" i="87"/>
  <c r="G21" i="87"/>
  <c r="F21" i="87"/>
  <c r="H20" i="87"/>
  <c r="F20" i="87"/>
  <c r="G20" i="87" s="1"/>
  <c r="H19" i="87"/>
  <c r="G19" i="87"/>
  <c r="F19" i="87"/>
  <c r="H18" i="87"/>
  <c r="F18" i="87"/>
  <c r="G18" i="87" s="1"/>
  <c r="L17" i="87"/>
  <c r="K17" i="87"/>
  <c r="J17" i="87"/>
  <c r="H17" i="87"/>
  <c r="F17" i="87"/>
  <c r="G17" i="87" s="1"/>
  <c r="H16" i="87"/>
  <c r="G16" i="87" s="1"/>
  <c r="F16" i="87"/>
  <c r="J15" i="87"/>
  <c r="H15" i="87"/>
  <c r="F15" i="87"/>
  <c r="G15" i="87" s="1"/>
  <c r="H14" i="87"/>
  <c r="L4" i="87" s="1"/>
  <c r="F14" i="87"/>
  <c r="G14" i="87" s="1"/>
  <c r="H13" i="87"/>
  <c r="F13" i="87"/>
  <c r="G13" i="87" s="1"/>
  <c r="L12" i="87"/>
  <c r="L18" i="87" s="1"/>
  <c r="G12" i="123" s="1"/>
  <c r="K12" i="87"/>
  <c r="K18" i="87" s="1"/>
  <c r="D12" i="123" s="1"/>
  <c r="J12" i="87"/>
  <c r="J18" i="87" s="1"/>
  <c r="H12" i="87"/>
  <c r="F12" i="87"/>
  <c r="G12" i="87" s="1"/>
  <c r="L11" i="87"/>
  <c r="K11" i="87"/>
  <c r="J11" i="87"/>
  <c r="H11" i="87"/>
  <c r="F11" i="87"/>
  <c r="G11" i="87" s="1"/>
  <c r="L10" i="87"/>
  <c r="K10" i="87"/>
  <c r="J10" i="87"/>
  <c r="H10" i="87"/>
  <c r="F10" i="87"/>
  <c r="G10" i="87" s="1"/>
  <c r="H9" i="87"/>
  <c r="G9" i="87"/>
  <c r="F9" i="87"/>
  <c r="L8" i="87"/>
  <c r="K8" i="87"/>
  <c r="J8" i="87"/>
  <c r="H8" i="87"/>
  <c r="F8" i="87"/>
  <c r="G8" i="87" s="1"/>
  <c r="L7" i="87"/>
  <c r="K7" i="87"/>
  <c r="J7" i="87"/>
  <c r="H7" i="87"/>
  <c r="G7" i="87"/>
  <c r="F7" i="87"/>
  <c r="L6" i="87"/>
  <c r="K6" i="87"/>
  <c r="J6" i="87"/>
  <c r="H6" i="87"/>
  <c r="F6" i="87"/>
  <c r="G6" i="87" s="1"/>
  <c r="J5" i="87"/>
  <c r="H5" i="87"/>
  <c r="G5" i="87" s="1"/>
  <c r="F5" i="87"/>
  <c r="H4" i="87"/>
  <c r="G4" i="87" s="1"/>
  <c r="F4" i="87"/>
  <c r="L3" i="87"/>
  <c r="L15" i="87" s="1"/>
  <c r="E12" i="123" s="1"/>
  <c r="K3" i="87"/>
  <c r="K15" i="87" s="1"/>
  <c r="B12" i="123" s="1"/>
  <c r="J3" i="87"/>
  <c r="H3" i="87"/>
  <c r="F3" i="87"/>
  <c r="G3" i="87" s="1"/>
  <c r="H34" i="85"/>
  <c r="F34" i="85"/>
  <c r="G34" i="85" s="1"/>
  <c r="H33" i="85"/>
  <c r="G33" i="85" s="1"/>
  <c r="F33" i="85"/>
  <c r="H32" i="85"/>
  <c r="F32" i="85"/>
  <c r="G32" i="85" s="1"/>
  <c r="H31" i="85"/>
  <c r="F31" i="85"/>
  <c r="G31" i="85" s="1"/>
  <c r="H30" i="85"/>
  <c r="F30" i="85"/>
  <c r="G30" i="85" s="1"/>
  <c r="H29" i="85"/>
  <c r="F29" i="85"/>
  <c r="G29" i="85" s="1"/>
  <c r="H28" i="85"/>
  <c r="F28" i="85"/>
  <c r="G28" i="85" s="1"/>
  <c r="H27" i="85"/>
  <c r="F27" i="85"/>
  <c r="G27" i="85" s="1"/>
  <c r="H26" i="85"/>
  <c r="F26" i="85"/>
  <c r="G26" i="85" s="1"/>
  <c r="H25" i="85"/>
  <c r="F25" i="85"/>
  <c r="G25" i="85" s="1"/>
  <c r="H24" i="85"/>
  <c r="F24" i="85"/>
  <c r="G24" i="85" s="1"/>
  <c r="H23" i="85"/>
  <c r="F23" i="85"/>
  <c r="G23" i="85" s="1"/>
  <c r="H22" i="85"/>
  <c r="F22" i="85"/>
  <c r="G22" i="85" s="1"/>
  <c r="H21" i="85"/>
  <c r="F21" i="85"/>
  <c r="G21" i="85" s="1"/>
  <c r="H20" i="85"/>
  <c r="F20" i="85"/>
  <c r="G20" i="85" s="1"/>
  <c r="K19" i="85"/>
  <c r="D10" i="123" s="1"/>
  <c r="H19" i="85"/>
  <c r="F19" i="85"/>
  <c r="G19" i="85" s="1"/>
  <c r="H18" i="85"/>
  <c r="F18" i="85"/>
  <c r="G18" i="85" s="1"/>
  <c r="H17" i="85"/>
  <c r="F17" i="85"/>
  <c r="G17" i="85" s="1"/>
  <c r="L16" i="85"/>
  <c r="E10" i="123" s="1"/>
  <c r="H16" i="85"/>
  <c r="F16" i="85"/>
  <c r="G16" i="85" s="1"/>
  <c r="H15" i="85"/>
  <c r="F15" i="85"/>
  <c r="G15" i="85" s="1"/>
  <c r="K6" i="85" s="1"/>
  <c r="H14" i="85"/>
  <c r="F14" i="85"/>
  <c r="G14" i="85" s="1"/>
  <c r="H13" i="85"/>
  <c r="L9" i="85" s="1"/>
  <c r="F13" i="85"/>
  <c r="J9" i="85" s="1"/>
  <c r="L12" i="85"/>
  <c r="L19" i="85" s="1"/>
  <c r="G10" i="123" s="1"/>
  <c r="K12" i="85"/>
  <c r="J12" i="85"/>
  <c r="J19" i="85" s="1"/>
  <c r="H12" i="85"/>
  <c r="F12" i="85"/>
  <c r="G12" i="85" s="1"/>
  <c r="L11" i="85"/>
  <c r="L18" i="85" s="1"/>
  <c r="K11" i="85"/>
  <c r="K18" i="85" s="1"/>
  <c r="J11" i="85"/>
  <c r="J18" i="85" s="1"/>
  <c r="H11" i="85"/>
  <c r="F11" i="85"/>
  <c r="G11" i="85" s="1"/>
  <c r="L10" i="85"/>
  <c r="K10" i="85"/>
  <c r="J10" i="85"/>
  <c r="H10" i="85"/>
  <c r="F10" i="85"/>
  <c r="G10" i="85" s="1"/>
  <c r="H9" i="85"/>
  <c r="F9" i="85"/>
  <c r="G9" i="85" s="1"/>
  <c r="L8" i="85"/>
  <c r="K8" i="85"/>
  <c r="J8" i="85"/>
  <c r="H8" i="85"/>
  <c r="F8" i="85"/>
  <c r="G8" i="85" s="1"/>
  <c r="L7" i="85"/>
  <c r="J7" i="85"/>
  <c r="H7" i="85"/>
  <c r="F7" i="85"/>
  <c r="J5" i="85" s="1"/>
  <c r="L6" i="85"/>
  <c r="J6" i="85"/>
  <c r="H6" i="85"/>
  <c r="L4" i="85" s="1"/>
  <c r="L17" i="85" s="1"/>
  <c r="F10" i="123" s="1"/>
  <c r="F6" i="85"/>
  <c r="J4" i="85" s="1"/>
  <c r="J17" i="85" s="1"/>
  <c r="L5" i="85"/>
  <c r="H5" i="85"/>
  <c r="G5" i="85"/>
  <c r="F5" i="85"/>
  <c r="H4" i="85"/>
  <c r="G4" i="85" s="1"/>
  <c r="F4" i="85"/>
  <c r="L3" i="85"/>
  <c r="K3" i="85"/>
  <c r="K16" i="85" s="1"/>
  <c r="B10" i="123" s="1"/>
  <c r="J3" i="85"/>
  <c r="J16" i="85" s="1"/>
  <c r="H3" i="85"/>
  <c r="F3" i="85"/>
  <c r="G3" i="85" s="1"/>
  <c r="K7" i="85" s="1"/>
  <c r="H33" i="83"/>
  <c r="F33" i="83"/>
  <c r="G33" i="83" s="1"/>
  <c r="H32" i="83"/>
  <c r="L9" i="83" s="1"/>
  <c r="L21" i="83" s="1"/>
  <c r="G32" i="83"/>
  <c r="F32" i="83"/>
  <c r="H31" i="83"/>
  <c r="F31" i="83"/>
  <c r="G31" i="83" s="1"/>
  <c r="H30" i="83"/>
  <c r="F30" i="83"/>
  <c r="G30" i="83" s="1"/>
  <c r="H29" i="83"/>
  <c r="F29" i="83"/>
  <c r="J4" i="83" s="1"/>
  <c r="H28" i="83"/>
  <c r="F28" i="83"/>
  <c r="G28" i="83" s="1"/>
  <c r="H27" i="83"/>
  <c r="F27" i="83"/>
  <c r="G27" i="83" s="1"/>
  <c r="H26" i="83"/>
  <c r="F26" i="83"/>
  <c r="G26" i="83" s="1"/>
  <c r="K9" i="83" s="1"/>
  <c r="H25" i="83"/>
  <c r="G25" i="83"/>
  <c r="F25" i="83"/>
  <c r="H24" i="83"/>
  <c r="F24" i="83"/>
  <c r="G24" i="83" s="1"/>
  <c r="H23" i="83"/>
  <c r="F23" i="83"/>
  <c r="G23" i="83" s="1"/>
  <c r="H22" i="83"/>
  <c r="F22" i="83"/>
  <c r="G22" i="83" s="1"/>
  <c r="H21" i="83"/>
  <c r="F21" i="83"/>
  <c r="G21" i="83" s="1"/>
  <c r="H20" i="83"/>
  <c r="F20" i="83"/>
  <c r="G20" i="83" s="1"/>
  <c r="H19" i="83"/>
  <c r="G19" i="83" s="1"/>
  <c r="F19" i="83"/>
  <c r="H18" i="83"/>
  <c r="F18" i="83"/>
  <c r="G18" i="83" s="1"/>
  <c r="H17" i="83"/>
  <c r="F17" i="83"/>
  <c r="G17" i="83" s="1"/>
  <c r="L16" i="83"/>
  <c r="K16" i="83"/>
  <c r="B9" i="123" s="1"/>
  <c r="J16" i="83"/>
  <c r="H16" i="83"/>
  <c r="G16" i="83"/>
  <c r="F16" i="83"/>
  <c r="H15" i="83"/>
  <c r="L10" i="83" s="1"/>
  <c r="F15" i="83"/>
  <c r="H14" i="83"/>
  <c r="L5" i="83" s="1"/>
  <c r="F14" i="83"/>
  <c r="J5" i="83" s="1"/>
  <c r="H13" i="83"/>
  <c r="F13" i="83"/>
  <c r="G13" i="83" s="1"/>
  <c r="J12" i="83"/>
  <c r="J19" i="83" s="1"/>
  <c r="H12" i="83"/>
  <c r="F12" i="83"/>
  <c r="G12" i="83" s="1"/>
  <c r="L11" i="83"/>
  <c r="L18" i="83" s="1"/>
  <c r="K11" i="83"/>
  <c r="K18" i="83" s="1"/>
  <c r="J11" i="83"/>
  <c r="J18" i="83" s="1"/>
  <c r="H11" i="83"/>
  <c r="G11" i="83"/>
  <c r="F11" i="83"/>
  <c r="J10" i="83"/>
  <c r="H10" i="83"/>
  <c r="F10" i="83"/>
  <c r="G10" i="83" s="1"/>
  <c r="J9" i="83"/>
  <c r="H9" i="83"/>
  <c r="F9" i="83"/>
  <c r="G9" i="83" s="1"/>
  <c r="L8" i="83"/>
  <c r="K8" i="83"/>
  <c r="J8" i="83"/>
  <c r="J21" i="83" s="1"/>
  <c r="I9" i="123" s="1"/>
  <c r="H8" i="83"/>
  <c r="F8" i="83"/>
  <c r="G8" i="83" s="1"/>
  <c r="L7" i="83"/>
  <c r="K7" i="83"/>
  <c r="J7" i="83"/>
  <c r="H7" i="83"/>
  <c r="L12" i="83" s="1"/>
  <c r="L19" i="83" s="1"/>
  <c r="G9" i="123" s="1"/>
  <c r="G7" i="83"/>
  <c r="F7" i="83"/>
  <c r="L6" i="83"/>
  <c r="K6" i="83"/>
  <c r="J6" i="83"/>
  <c r="H6" i="83"/>
  <c r="G6" i="83" s="1"/>
  <c r="F6" i="83"/>
  <c r="H5" i="83"/>
  <c r="F5" i="83"/>
  <c r="G5" i="83" s="1"/>
  <c r="H4" i="83"/>
  <c r="F4" i="83"/>
  <c r="G4" i="83" s="1"/>
  <c r="L3" i="83"/>
  <c r="K3" i="83"/>
  <c r="J3" i="83"/>
  <c r="H3" i="83"/>
  <c r="F3" i="83"/>
  <c r="G3" i="83" s="1"/>
  <c r="H26" i="82"/>
  <c r="F26" i="82"/>
  <c r="G26" i="82" s="1"/>
  <c r="H25" i="82"/>
  <c r="G25" i="82"/>
  <c r="F25" i="82"/>
  <c r="H24" i="82"/>
  <c r="F24" i="82"/>
  <c r="G24" i="82" s="1"/>
  <c r="H23" i="82"/>
  <c r="G23" i="82"/>
  <c r="F23" i="82"/>
  <c r="H22" i="82"/>
  <c r="F22" i="82"/>
  <c r="G22" i="82" s="1"/>
  <c r="H21" i="82"/>
  <c r="F21" i="82"/>
  <c r="G21" i="82" s="1"/>
  <c r="H20" i="82"/>
  <c r="G20" i="82"/>
  <c r="F20" i="82"/>
  <c r="H19" i="82"/>
  <c r="F19" i="82"/>
  <c r="G19" i="82" s="1"/>
  <c r="H18" i="82"/>
  <c r="F18" i="82"/>
  <c r="G18" i="82" s="1"/>
  <c r="H17" i="82"/>
  <c r="F17" i="82"/>
  <c r="G17" i="82" s="1"/>
  <c r="H16" i="82"/>
  <c r="F16" i="82"/>
  <c r="G16" i="82" s="1"/>
  <c r="H15" i="82"/>
  <c r="F15" i="82"/>
  <c r="G15" i="82" s="1"/>
  <c r="H14" i="82"/>
  <c r="F14" i="82"/>
  <c r="G14" i="82" s="1"/>
  <c r="H13" i="82"/>
  <c r="F13" i="82"/>
  <c r="G13" i="82" s="1"/>
  <c r="L12" i="82"/>
  <c r="L19" i="82" s="1"/>
  <c r="G8" i="123" s="1"/>
  <c r="K12" i="82"/>
  <c r="K19" i="82" s="1"/>
  <c r="D8" i="123" s="1"/>
  <c r="J12" i="82"/>
  <c r="J19" i="82" s="1"/>
  <c r="H12" i="82"/>
  <c r="F12" i="82"/>
  <c r="G12" i="82" s="1"/>
  <c r="L11" i="82"/>
  <c r="L18" i="82" s="1"/>
  <c r="K11" i="82"/>
  <c r="K18" i="82" s="1"/>
  <c r="J11" i="82"/>
  <c r="J18" i="82" s="1"/>
  <c r="H11" i="82"/>
  <c r="G11" i="82"/>
  <c r="F11" i="82"/>
  <c r="L10" i="82"/>
  <c r="K10" i="82"/>
  <c r="J10" i="82"/>
  <c r="H10" i="82"/>
  <c r="L9" i="82" s="1"/>
  <c r="G10" i="82"/>
  <c r="F10" i="82"/>
  <c r="H9" i="82"/>
  <c r="F9" i="82"/>
  <c r="G9" i="82" s="1"/>
  <c r="L8" i="82"/>
  <c r="K8" i="82"/>
  <c r="J8" i="82"/>
  <c r="H8" i="82"/>
  <c r="L7" i="82" s="1"/>
  <c r="F8" i="82"/>
  <c r="G8" i="82" s="1"/>
  <c r="K7" i="82" s="1"/>
  <c r="J7" i="82"/>
  <c r="H7" i="82"/>
  <c r="F7" i="82"/>
  <c r="J5" i="82" s="1"/>
  <c r="L6" i="82"/>
  <c r="J6" i="82"/>
  <c r="H6" i="82"/>
  <c r="F6" i="82"/>
  <c r="G6" i="82" s="1"/>
  <c r="L5" i="82"/>
  <c r="H5" i="82"/>
  <c r="F5" i="82"/>
  <c r="G5" i="82" s="1"/>
  <c r="K6" i="82" s="1"/>
  <c r="H4" i="82"/>
  <c r="G4" i="82"/>
  <c r="F4" i="82"/>
  <c r="L3" i="82"/>
  <c r="L16" i="82" s="1"/>
  <c r="E8" i="123" s="1"/>
  <c r="K3" i="82"/>
  <c r="K16" i="82" s="1"/>
  <c r="B8" i="123" s="1"/>
  <c r="J3" i="82"/>
  <c r="J16" i="82" s="1"/>
  <c r="H3" i="82"/>
  <c r="L4" i="82" s="1"/>
  <c r="F3" i="82"/>
  <c r="G3" i="82" s="1"/>
  <c r="H32" i="80"/>
  <c r="F32" i="80"/>
  <c r="G32" i="80" s="1"/>
  <c r="H31" i="80"/>
  <c r="F31" i="80"/>
  <c r="G31" i="80" s="1"/>
  <c r="H30" i="80"/>
  <c r="F30" i="80"/>
  <c r="G30" i="80" s="1"/>
  <c r="H29" i="80"/>
  <c r="F29" i="80"/>
  <c r="G29" i="80" s="1"/>
  <c r="H28" i="80"/>
  <c r="F28" i="80"/>
  <c r="G28" i="80" s="1"/>
  <c r="H27" i="80"/>
  <c r="G27" i="80"/>
  <c r="F27" i="80"/>
  <c r="H26" i="80"/>
  <c r="F26" i="80"/>
  <c r="G26" i="80" s="1"/>
  <c r="H25" i="80"/>
  <c r="F25" i="80"/>
  <c r="J6" i="80" s="1"/>
  <c r="H24" i="80"/>
  <c r="F24" i="80"/>
  <c r="G24" i="80" s="1"/>
  <c r="H23" i="80"/>
  <c r="G23" i="80"/>
  <c r="F23" i="80"/>
  <c r="H22" i="80"/>
  <c r="F22" i="80"/>
  <c r="G22" i="80" s="1"/>
  <c r="J21" i="80"/>
  <c r="I7" i="123" s="1"/>
  <c r="H21" i="80"/>
  <c r="L9" i="80" s="1"/>
  <c r="G21" i="80"/>
  <c r="K9" i="80" s="1"/>
  <c r="F21" i="80"/>
  <c r="H20" i="80"/>
  <c r="F20" i="80"/>
  <c r="G20" i="80" s="1"/>
  <c r="H19" i="80"/>
  <c r="F19" i="80"/>
  <c r="G19" i="80" s="1"/>
  <c r="H18" i="80"/>
  <c r="F18" i="80"/>
  <c r="G18" i="80" s="1"/>
  <c r="H17" i="80"/>
  <c r="F17" i="80"/>
  <c r="G17" i="80" s="1"/>
  <c r="H16" i="80"/>
  <c r="F16" i="80"/>
  <c r="G16" i="80" s="1"/>
  <c r="H15" i="80"/>
  <c r="L4" i="80" s="1"/>
  <c r="F15" i="80"/>
  <c r="G15" i="80" s="1"/>
  <c r="H14" i="80"/>
  <c r="F14" i="80"/>
  <c r="G14" i="80" s="1"/>
  <c r="H13" i="80"/>
  <c r="L5" i="80" s="1"/>
  <c r="F13" i="80"/>
  <c r="J5" i="80" s="1"/>
  <c r="L12" i="80"/>
  <c r="L19" i="80" s="1"/>
  <c r="G7" i="123" s="1"/>
  <c r="K12" i="80"/>
  <c r="K19" i="80" s="1"/>
  <c r="D7" i="123" s="1"/>
  <c r="J12" i="80"/>
  <c r="J19" i="80" s="1"/>
  <c r="H12" i="80"/>
  <c r="G12" i="80"/>
  <c r="F12" i="80"/>
  <c r="L11" i="80"/>
  <c r="L18" i="80" s="1"/>
  <c r="K11" i="80"/>
  <c r="K18" i="80" s="1"/>
  <c r="J11" i="80"/>
  <c r="J18" i="80" s="1"/>
  <c r="H11" i="80"/>
  <c r="F11" i="80"/>
  <c r="G11" i="80" s="1"/>
  <c r="L10" i="80"/>
  <c r="K10" i="80"/>
  <c r="J10" i="80"/>
  <c r="H10" i="80"/>
  <c r="G10" i="80"/>
  <c r="F10" i="80"/>
  <c r="J9" i="80"/>
  <c r="H9" i="80"/>
  <c r="F9" i="80"/>
  <c r="G9" i="80" s="1"/>
  <c r="K7" i="80" s="1"/>
  <c r="L8" i="80"/>
  <c r="L21" i="80" s="1"/>
  <c r="K8" i="80"/>
  <c r="K21" i="80" s="1"/>
  <c r="J8" i="80"/>
  <c r="H8" i="80"/>
  <c r="F8" i="80"/>
  <c r="G8" i="80" s="1"/>
  <c r="L7" i="80"/>
  <c r="J7" i="80"/>
  <c r="H7" i="80"/>
  <c r="F7" i="80"/>
  <c r="G7" i="80" s="1"/>
  <c r="L6" i="80"/>
  <c r="H6" i="80"/>
  <c r="G6" i="80"/>
  <c r="F6" i="80"/>
  <c r="H5" i="80"/>
  <c r="G5" i="80"/>
  <c r="F5" i="80"/>
  <c r="H4" i="80"/>
  <c r="F4" i="80"/>
  <c r="G4" i="80" s="1"/>
  <c r="L3" i="80"/>
  <c r="L16" i="80" s="1"/>
  <c r="E7" i="123" s="1"/>
  <c r="K3" i="80"/>
  <c r="K16" i="80" s="1"/>
  <c r="B7" i="123" s="1"/>
  <c r="J3" i="80"/>
  <c r="J16" i="80" s="1"/>
  <c r="H3" i="80"/>
  <c r="F3" i="80"/>
  <c r="G3" i="80" s="1"/>
  <c r="H33" i="79"/>
  <c r="L4" i="79" s="1"/>
  <c r="F33" i="79"/>
  <c r="G33" i="79" s="1"/>
  <c r="H32" i="79"/>
  <c r="F32" i="79"/>
  <c r="G32" i="79" s="1"/>
  <c r="H31" i="79"/>
  <c r="G31" i="79" s="1"/>
  <c r="F31" i="79"/>
  <c r="H30" i="79"/>
  <c r="G30" i="79"/>
  <c r="F30" i="79"/>
  <c r="H29" i="79"/>
  <c r="F29" i="79"/>
  <c r="G29" i="79" s="1"/>
  <c r="H28" i="79"/>
  <c r="F28" i="79"/>
  <c r="G28" i="79" s="1"/>
  <c r="H27" i="79"/>
  <c r="F27" i="79"/>
  <c r="G27" i="79" s="1"/>
  <c r="H26" i="79"/>
  <c r="F26" i="79"/>
  <c r="G26" i="79" s="1"/>
  <c r="H25" i="79"/>
  <c r="F25" i="79"/>
  <c r="G25" i="79" s="1"/>
  <c r="H24" i="79"/>
  <c r="L7" i="79" s="1"/>
  <c r="F24" i="79"/>
  <c r="J7" i="79" s="1"/>
  <c r="H23" i="79"/>
  <c r="F23" i="79"/>
  <c r="G23" i="79" s="1"/>
  <c r="H22" i="79"/>
  <c r="G22" i="79"/>
  <c r="F22" i="79"/>
  <c r="H21" i="79"/>
  <c r="F21" i="79"/>
  <c r="G21" i="79" s="1"/>
  <c r="H20" i="79"/>
  <c r="F20" i="79"/>
  <c r="G20" i="79" s="1"/>
  <c r="H19" i="79"/>
  <c r="F19" i="79"/>
  <c r="G19" i="79" s="1"/>
  <c r="K18" i="79"/>
  <c r="H18" i="79"/>
  <c r="F18" i="79"/>
  <c r="G18" i="79" s="1"/>
  <c r="H17" i="79"/>
  <c r="F17" i="79"/>
  <c r="G17" i="79" s="1"/>
  <c r="L16" i="79"/>
  <c r="E6" i="123" s="1"/>
  <c r="K16" i="79"/>
  <c r="B6" i="123" s="1"/>
  <c r="J16" i="79"/>
  <c r="H16" i="79"/>
  <c r="F16" i="79"/>
  <c r="G16" i="79" s="1"/>
  <c r="H15" i="79"/>
  <c r="G15" i="79"/>
  <c r="F15" i="79"/>
  <c r="H14" i="79"/>
  <c r="G14" i="79"/>
  <c r="F14" i="79"/>
  <c r="H13" i="79"/>
  <c r="F13" i="79"/>
  <c r="G13" i="79" s="1"/>
  <c r="L12" i="79"/>
  <c r="L19" i="79" s="1"/>
  <c r="G6" i="123" s="1"/>
  <c r="K12" i="79"/>
  <c r="K19" i="79" s="1"/>
  <c r="D6" i="123" s="1"/>
  <c r="J12" i="79"/>
  <c r="J19" i="79" s="1"/>
  <c r="H12" i="79"/>
  <c r="F12" i="79"/>
  <c r="G12" i="79" s="1"/>
  <c r="K6" i="79" s="1"/>
  <c r="L11" i="79"/>
  <c r="L18" i="79" s="1"/>
  <c r="K11" i="79"/>
  <c r="J11" i="79"/>
  <c r="J18" i="79" s="1"/>
  <c r="H11" i="79"/>
  <c r="F11" i="79"/>
  <c r="G11" i="79" s="1"/>
  <c r="L10" i="79"/>
  <c r="K10" i="79"/>
  <c r="J10" i="79"/>
  <c r="H10" i="79"/>
  <c r="F10" i="79"/>
  <c r="J9" i="79" s="1"/>
  <c r="J21" i="79" s="1"/>
  <c r="I6" i="123" s="1"/>
  <c r="L9" i="79"/>
  <c r="H9" i="79"/>
  <c r="F9" i="79"/>
  <c r="G9" i="79" s="1"/>
  <c r="L8" i="79"/>
  <c r="L21" i="79" s="1"/>
  <c r="K8" i="79"/>
  <c r="J8" i="79"/>
  <c r="H8" i="79"/>
  <c r="G8" i="79" s="1"/>
  <c r="F8" i="79"/>
  <c r="H7" i="79"/>
  <c r="F7" i="79"/>
  <c r="G7" i="79" s="1"/>
  <c r="L6" i="79"/>
  <c r="J6" i="79"/>
  <c r="H6" i="79"/>
  <c r="F6" i="79"/>
  <c r="G6" i="79" s="1"/>
  <c r="J5" i="79"/>
  <c r="H5" i="79"/>
  <c r="F5" i="79"/>
  <c r="G5" i="79" s="1"/>
  <c r="H4" i="79"/>
  <c r="G4" i="79" s="1"/>
  <c r="F4" i="79"/>
  <c r="L3" i="79"/>
  <c r="K3" i="79"/>
  <c r="J3" i="79"/>
  <c r="H3" i="79"/>
  <c r="F3" i="79"/>
  <c r="G3" i="79" s="1"/>
  <c r="H33" i="57"/>
  <c r="F33" i="57"/>
  <c r="G33" i="57" s="1"/>
  <c r="H32" i="57"/>
  <c r="F32" i="57"/>
  <c r="G32" i="57" s="1"/>
  <c r="H31" i="57"/>
  <c r="F31" i="57"/>
  <c r="G31" i="57" s="1"/>
  <c r="H30" i="57"/>
  <c r="G30" i="57"/>
  <c r="F30" i="57"/>
  <c r="H29" i="57"/>
  <c r="F29" i="57"/>
  <c r="G29" i="57" s="1"/>
  <c r="H28" i="57"/>
  <c r="F28" i="57"/>
  <c r="G28" i="57" s="1"/>
  <c r="H27" i="57"/>
  <c r="F27" i="57"/>
  <c r="G27" i="57" s="1"/>
  <c r="H26" i="57"/>
  <c r="G26" i="57" s="1"/>
  <c r="F26" i="57"/>
  <c r="H25" i="57"/>
  <c r="F25" i="57"/>
  <c r="G25" i="57" s="1"/>
  <c r="H24" i="57"/>
  <c r="G24" i="57" s="1"/>
  <c r="K7" i="57" s="1"/>
  <c r="F24" i="57"/>
  <c r="H23" i="57"/>
  <c r="F23" i="57"/>
  <c r="G23" i="57" s="1"/>
  <c r="H22" i="57"/>
  <c r="F22" i="57"/>
  <c r="G22" i="57" s="1"/>
  <c r="L21" i="57"/>
  <c r="K21" i="57"/>
  <c r="J21" i="57"/>
  <c r="I5" i="123" s="1"/>
  <c r="H21" i="57"/>
  <c r="L5" i="57" s="1"/>
  <c r="G21" i="57"/>
  <c r="K5" i="57" s="1"/>
  <c r="F21" i="57"/>
  <c r="H20" i="57"/>
  <c r="F20" i="57"/>
  <c r="G20" i="57" s="1"/>
  <c r="H19" i="57"/>
  <c r="F19" i="57"/>
  <c r="G19" i="57" s="1"/>
  <c r="L18" i="57"/>
  <c r="K18" i="57"/>
  <c r="J18" i="57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L12" i="57"/>
  <c r="L19" i="57" s="1"/>
  <c r="G5" i="123" s="1"/>
  <c r="K12" i="57"/>
  <c r="K19" i="57" s="1"/>
  <c r="D5" i="123" s="1"/>
  <c r="J12" i="57"/>
  <c r="J19" i="57" s="1"/>
  <c r="H12" i="57"/>
  <c r="F12" i="57"/>
  <c r="G12" i="57" s="1"/>
  <c r="L11" i="57"/>
  <c r="K11" i="57"/>
  <c r="J11" i="57"/>
  <c r="H11" i="57"/>
  <c r="F11" i="57"/>
  <c r="G11" i="57" s="1"/>
  <c r="L10" i="57"/>
  <c r="K10" i="57"/>
  <c r="J10" i="57"/>
  <c r="H10" i="57"/>
  <c r="G10" i="57"/>
  <c r="F10" i="57"/>
  <c r="L9" i="57"/>
  <c r="K9" i="57"/>
  <c r="J9" i="57"/>
  <c r="H9" i="57"/>
  <c r="F9" i="57"/>
  <c r="G9" i="57" s="1"/>
  <c r="L8" i="57"/>
  <c r="K8" i="57"/>
  <c r="J8" i="57"/>
  <c r="H8" i="57"/>
  <c r="F8" i="57"/>
  <c r="G8" i="57" s="1"/>
  <c r="J7" i="57"/>
  <c r="H7" i="57"/>
  <c r="F7" i="57"/>
  <c r="G7" i="57" s="1"/>
  <c r="L6" i="57"/>
  <c r="K6" i="57"/>
  <c r="J6" i="57"/>
  <c r="H6" i="57"/>
  <c r="F6" i="57"/>
  <c r="G6" i="57" s="1"/>
  <c r="J5" i="57"/>
  <c r="H5" i="57"/>
  <c r="F5" i="57"/>
  <c r="G5" i="57" s="1"/>
  <c r="L4" i="57"/>
  <c r="K4" i="57"/>
  <c r="J4" i="57"/>
  <c r="H4" i="57"/>
  <c r="G4" i="57"/>
  <c r="F4" i="57"/>
  <c r="H3" i="57"/>
  <c r="L3" i="57" s="1"/>
  <c r="L16" i="57" s="1"/>
  <c r="E5" i="123" s="1"/>
  <c r="F3" i="57"/>
  <c r="J3" i="57" s="1"/>
  <c r="J16" i="57" s="1"/>
  <c r="B40" i="123"/>
  <c r="I39" i="123"/>
  <c r="D32" i="123"/>
  <c r="I28" i="123"/>
  <c r="B23" i="123"/>
  <c r="B22" i="123"/>
  <c r="E19" i="123"/>
  <c r="B19" i="123"/>
  <c r="E16" i="123"/>
  <c r="B16" i="123"/>
  <c r="E15" i="123"/>
  <c r="B15" i="123"/>
  <c r="E9" i="123"/>
  <c r="H26" i="123" l="1"/>
  <c r="J20" i="101"/>
  <c r="H41" i="123"/>
  <c r="J20" i="116"/>
  <c r="H40" i="123"/>
  <c r="K7" i="122"/>
  <c r="G8" i="122"/>
  <c r="K5" i="122" s="1"/>
  <c r="G3" i="122"/>
  <c r="K11" i="122" s="1"/>
  <c r="K18" i="122" s="1"/>
  <c r="J7" i="122"/>
  <c r="J17" i="122" s="1"/>
  <c r="J20" i="122" s="1"/>
  <c r="G7" i="122"/>
  <c r="K4" i="122" s="1"/>
  <c r="K17" i="122" s="1"/>
  <c r="K11" i="121"/>
  <c r="K18" i="121" s="1"/>
  <c r="K4" i="121"/>
  <c r="J4" i="121"/>
  <c r="J17" i="121" s="1"/>
  <c r="J20" i="121" s="1"/>
  <c r="G17" i="121"/>
  <c r="K5" i="121" s="1"/>
  <c r="J7" i="121"/>
  <c r="J11" i="121"/>
  <c r="J18" i="121" s="1"/>
  <c r="K4" i="120"/>
  <c r="K9" i="120"/>
  <c r="K21" i="120" s="1"/>
  <c r="J9" i="120"/>
  <c r="J21" i="120" s="1"/>
  <c r="J4" i="120"/>
  <c r="J17" i="120" s="1"/>
  <c r="J20" i="120" s="1"/>
  <c r="G19" i="120"/>
  <c r="K5" i="120" s="1"/>
  <c r="G3" i="120"/>
  <c r="K11" i="120" s="1"/>
  <c r="K18" i="120" s="1"/>
  <c r="K11" i="119"/>
  <c r="K18" i="119" s="1"/>
  <c r="G13" i="119"/>
  <c r="K9" i="119" s="1"/>
  <c r="K21" i="119" s="1"/>
  <c r="G5" i="119"/>
  <c r="K11" i="118"/>
  <c r="K18" i="118" s="1"/>
  <c r="L17" i="118"/>
  <c r="F42" i="123" s="1"/>
  <c r="K7" i="118"/>
  <c r="K17" i="118" s="1"/>
  <c r="C42" i="123" s="1"/>
  <c r="H42" i="123" s="1"/>
  <c r="J5" i="118"/>
  <c r="J17" i="118" s="1"/>
  <c r="J20" i="118" s="1"/>
  <c r="G19" i="118"/>
  <c r="J11" i="118"/>
  <c r="J18" i="118" s="1"/>
  <c r="K10" i="114"/>
  <c r="K17" i="114" s="1"/>
  <c r="C39" i="123" s="1"/>
  <c r="H39" i="123" s="1"/>
  <c r="J17" i="114"/>
  <c r="J20" i="114" s="1"/>
  <c r="G5" i="114"/>
  <c r="H37" i="123"/>
  <c r="K17" i="112"/>
  <c r="C37" i="123" s="1"/>
  <c r="J10" i="112"/>
  <c r="J17" i="112" s="1"/>
  <c r="J20" i="112" s="1"/>
  <c r="K3" i="111"/>
  <c r="K16" i="111" s="1"/>
  <c r="B36" i="123" s="1"/>
  <c r="G3" i="111"/>
  <c r="K5" i="111" s="1"/>
  <c r="K17" i="111" s="1"/>
  <c r="C36" i="123" s="1"/>
  <c r="J3" i="111"/>
  <c r="J16" i="111" s="1"/>
  <c r="J20" i="111" s="1"/>
  <c r="K3" i="113"/>
  <c r="K16" i="113" s="1"/>
  <c r="B38" i="123" s="1"/>
  <c r="J3" i="113"/>
  <c r="J16" i="113" s="1"/>
  <c r="J20" i="113" s="1"/>
  <c r="G21" i="113"/>
  <c r="K5" i="113" s="1"/>
  <c r="K17" i="113" s="1"/>
  <c r="C38" i="123" s="1"/>
  <c r="J17" i="110"/>
  <c r="J20" i="110"/>
  <c r="L17" i="110"/>
  <c r="F35" i="123" s="1"/>
  <c r="G6" i="110"/>
  <c r="K4" i="110" s="1"/>
  <c r="K17" i="110" s="1"/>
  <c r="C35" i="123" s="1"/>
  <c r="G18" i="110"/>
  <c r="K7" i="110" s="1"/>
  <c r="G3" i="110"/>
  <c r="K3" i="110" s="1"/>
  <c r="K16" i="110" s="1"/>
  <c r="B35" i="123" s="1"/>
  <c r="K17" i="109"/>
  <c r="C34" i="123" s="1"/>
  <c r="L17" i="109"/>
  <c r="F34" i="123" s="1"/>
  <c r="J4" i="109"/>
  <c r="J17" i="109" s="1"/>
  <c r="J20" i="109" s="1"/>
  <c r="G3" i="109"/>
  <c r="K3" i="109" s="1"/>
  <c r="K16" i="109" s="1"/>
  <c r="B34" i="123" s="1"/>
  <c r="H34" i="123" s="1"/>
  <c r="J7" i="109"/>
  <c r="K4" i="108"/>
  <c r="K17" i="108" s="1"/>
  <c r="C33" i="123" s="1"/>
  <c r="H33" i="123" s="1"/>
  <c r="J21" i="108"/>
  <c r="I33" i="123" s="1"/>
  <c r="L21" i="108"/>
  <c r="G13" i="108"/>
  <c r="K9" i="108" s="1"/>
  <c r="K21" i="108" s="1"/>
  <c r="J4" i="108"/>
  <c r="J17" i="108" s="1"/>
  <c r="J20" i="108" s="1"/>
  <c r="J17" i="107"/>
  <c r="K3" i="107"/>
  <c r="K16" i="107" s="1"/>
  <c r="B32" i="123" s="1"/>
  <c r="K4" i="107"/>
  <c r="K17" i="107" s="1"/>
  <c r="C32" i="123" s="1"/>
  <c r="J3" i="107"/>
  <c r="J16" i="107" s="1"/>
  <c r="J20" i="107" s="1"/>
  <c r="G32" i="107"/>
  <c r="K5" i="107" s="1"/>
  <c r="G18" i="107"/>
  <c r="K7" i="107" s="1"/>
  <c r="G33" i="107"/>
  <c r="K5" i="106"/>
  <c r="L17" i="106"/>
  <c r="F31" i="123" s="1"/>
  <c r="K4" i="106"/>
  <c r="K17" i="106" s="1"/>
  <c r="C31" i="123" s="1"/>
  <c r="H31" i="123" s="1"/>
  <c r="J5" i="106"/>
  <c r="J17" i="106" s="1"/>
  <c r="J20" i="106" s="1"/>
  <c r="G28" i="106"/>
  <c r="K9" i="106" s="1"/>
  <c r="K21" i="106" s="1"/>
  <c r="K7" i="104"/>
  <c r="K12" i="104"/>
  <c r="K19" i="104" s="1"/>
  <c r="D29" i="123" s="1"/>
  <c r="G14" i="104"/>
  <c r="K5" i="104" s="1"/>
  <c r="K17" i="104" s="1"/>
  <c r="C29" i="123" s="1"/>
  <c r="H29" i="123" s="1"/>
  <c r="J4" i="104"/>
  <c r="J17" i="104" s="1"/>
  <c r="J20" i="104" s="1"/>
  <c r="G7" i="104"/>
  <c r="K4" i="103"/>
  <c r="K17" i="103" s="1"/>
  <c r="C28" i="123" s="1"/>
  <c r="H28" i="123" s="1"/>
  <c r="K5" i="103"/>
  <c r="G8" i="103"/>
  <c r="K5" i="102"/>
  <c r="L17" i="102"/>
  <c r="F27" i="123" s="1"/>
  <c r="G3" i="102"/>
  <c r="K4" i="102" s="1"/>
  <c r="K17" i="102" s="1"/>
  <c r="C27" i="123" s="1"/>
  <c r="H27" i="123" s="1"/>
  <c r="G22" i="102"/>
  <c r="K6" i="102" s="1"/>
  <c r="J5" i="102"/>
  <c r="J17" i="102" s="1"/>
  <c r="J20" i="102" s="1"/>
  <c r="G7" i="102"/>
  <c r="K7" i="102" s="1"/>
  <c r="K4" i="105"/>
  <c r="K17" i="105" s="1"/>
  <c r="C30" i="123" s="1"/>
  <c r="H30" i="123" s="1"/>
  <c r="L17" i="105"/>
  <c r="F30" i="123" s="1"/>
  <c r="J20" i="105"/>
  <c r="K5" i="105"/>
  <c r="G19" i="105"/>
  <c r="K9" i="105" s="1"/>
  <c r="K21" i="105" s="1"/>
  <c r="G5" i="105"/>
  <c r="K7" i="100"/>
  <c r="K5" i="100"/>
  <c r="K4" i="100"/>
  <c r="K17" i="100" s="1"/>
  <c r="C25" i="123" s="1"/>
  <c r="K9" i="100"/>
  <c r="K21" i="100" s="1"/>
  <c r="L17" i="100"/>
  <c r="F25" i="123" s="1"/>
  <c r="G7" i="100"/>
  <c r="J7" i="100"/>
  <c r="J4" i="100"/>
  <c r="J5" i="100"/>
  <c r="K12" i="99"/>
  <c r="K19" i="99" s="1"/>
  <c r="D24" i="123" s="1"/>
  <c r="K3" i="99"/>
  <c r="K16" i="99" s="1"/>
  <c r="B24" i="123" s="1"/>
  <c r="J3" i="99"/>
  <c r="J16" i="99" s="1"/>
  <c r="J20" i="99" s="1"/>
  <c r="L3" i="99"/>
  <c r="L16" i="99" s="1"/>
  <c r="E24" i="123" s="1"/>
  <c r="G8" i="99"/>
  <c r="L17" i="98"/>
  <c r="F23" i="123" s="1"/>
  <c r="K7" i="98"/>
  <c r="K21" i="98"/>
  <c r="L21" i="98"/>
  <c r="J7" i="98"/>
  <c r="J17" i="98" s="1"/>
  <c r="J20" i="98" s="1"/>
  <c r="J9" i="98"/>
  <c r="J21" i="98" s="1"/>
  <c r="I23" i="123" s="1"/>
  <c r="G8" i="98"/>
  <c r="K4" i="98" s="1"/>
  <c r="K17" i="98" s="1"/>
  <c r="C23" i="123" s="1"/>
  <c r="H23" i="123" s="1"/>
  <c r="L17" i="97"/>
  <c r="F22" i="123" s="1"/>
  <c r="K5" i="97"/>
  <c r="G12" i="97"/>
  <c r="G7" i="97"/>
  <c r="K4" i="97" s="1"/>
  <c r="K17" i="97" s="1"/>
  <c r="C22" i="123" s="1"/>
  <c r="H22" i="123" s="1"/>
  <c r="J5" i="97"/>
  <c r="J17" i="97" s="1"/>
  <c r="J20" i="97" s="1"/>
  <c r="K5" i="96"/>
  <c r="G6" i="96"/>
  <c r="K7" i="96" s="1"/>
  <c r="J6" i="96"/>
  <c r="G29" i="96"/>
  <c r="K9" i="96" s="1"/>
  <c r="K21" i="96" s="1"/>
  <c r="J5" i="96"/>
  <c r="J17" i="96" s="1"/>
  <c r="J20" i="96" s="1"/>
  <c r="G7" i="96"/>
  <c r="K4" i="96" s="1"/>
  <c r="K17" i="96" s="1"/>
  <c r="C21" i="123" s="1"/>
  <c r="H21" i="123" s="1"/>
  <c r="J17" i="95"/>
  <c r="K5" i="95"/>
  <c r="K12" i="95"/>
  <c r="K19" i="95" s="1"/>
  <c r="D20" i="123" s="1"/>
  <c r="J20" i="95"/>
  <c r="G7" i="95"/>
  <c r="K4" i="95" s="1"/>
  <c r="K17" i="95" s="1"/>
  <c r="C20" i="123" s="1"/>
  <c r="H20" i="123" s="1"/>
  <c r="G12" i="95"/>
  <c r="G8" i="95"/>
  <c r="L17" i="94"/>
  <c r="F19" i="123" s="1"/>
  <c r="K5" i="94"/>
  <c r="J20" i="94"/>
  <c r="G26" i="94"/>
  <c r="K6" i="94" s="1"/>
  <c r="G6" i="94"/>
  <c r="K4" i="94" s="1"/>
  <c r="K17" i="94" s="1"/>
  <c r="C19" i="123" s="1"/>
  <c r="H19" i="123" s="1"/>
  <c r="K4" i="93"/>
  <c r="K10" i="93"/>
  <c r="G15" i="93"/>
  <c r="K6" i="93" s="1"/>
  <c r="G9" i="93"/>
  <c r="K9" i="93" s="1"/>
  <c r="K21" i="93" s="1"/>
  <c r="G13" i="93"/>
  <c r="G16" i="93"/>
  <c r="K5" i="93" s="1"/>
  <c r="J10" i="93"/>
  <c r="J17" i="93" s="1"/>
  <c r="J20" i="93" s="1"/>
  <c r="K4" i="92"/>
  <c r="L17" i="92"/>
  <c r="F17" i="123" s="1"/>
  <c r="J4" i="92"/>
  <c r="J17" i="92" s="1"/>
  <c r="J20" i="92" s="1"/>
  <c r="J9" i="92"/>
  <c r="J21" i="92" s="1"/>
  <c r="I17" i="123" s="1"/>
  <c r="G15" i="92"/>
  <c r="K7" i="92" s="1"/>
  <c r="J6" i="92"/>
  <c r="G21" i="92"/>
  <c r="K5" i="92" s="1"/>
  <c r="K12" i="91"/>
  <c r="K19" i="91" s="1"/>
  <c r="D16" i="123" s="1"/>
  <c r="K4" i="91"/>
  <c r="J17" i="91"/>
  <c r="J20" i="91" s="1"/>
  <c r="L17" i="91"/>
  <c r="F16" i="123" s="1"/>
  <c r="G9" i="91"/>
  <c r="K5" i="91" s="1"/>
  <c r="G13" i="91"/>
  <c r="G4" i="91"/>
  <c r="K9" i="91" s="1"/>
  <c r="K21" i="91" s="1"/>
  <c r="K4" i="90"/>
  <c r="K17" i="90" s="1"/>
  <c r="C15" i="123" s="1"/>
  <c r="J17" i="90"/>
  <c r="L17" i="90"/>
  <c r="F15" i="123" s="1"/>
  <c r="J20" i="90"/>
  <c r="G8" i="90"/>
  <c r="G4" i="90"/>
  <c r="K6" i="90" s="1"/>
  <c r="G7" i="90"/>
  <c r="K5" i="90" s="1"/>
  <c r="K6" i="89"/>
  <c r="K4" i="89"/>
  <c r="J9" i="89"/>
  <c r="J21" i="89" s="1"/>
  <c r="I14" i="123" s="1"/>
  <c r="J4" i="89"/>
  <c r="J17" i="89" s="1"/>
  <c r="J20" i="89" s="1"/>
  <c r="G5" i="89"/>
  <c r="K5" i="89" s="1"/>
  <c r="J20" i="88"/>
  <c r="K6" i="88"/>
  <c r="K4" i="88"/>
  <c r="K17" i="88" s="1"/>
  <c r="C13" i="123" s="1"/>
  <c r="G14" i="88"/>
  <c r="K9" i="88" s="1"/>
  <c r="K21" i="88" s="1"/>
  <c r="G28" i="88"/>
  <c r="G3" i="88"/>
  <c r="K5" i="88" s="1"/>
  <c r="G7" i="88"/>
  <c r="L4" i="88"/>
  <c r="L17" i="88" s="1"/>
  <c r="F13" i="123" s="1"/>
  <c r="K3" i="86"/>
  <c r="K16" i="86" s="1"/>
  <c r="B11" i="123" s="1"/>
  <c r="L17" i="86"/>
  <c r="F11" i="123" s="1"/>
  <c r="J3" i="86"/>
  <c r="J16" i="86" s="1"/>
  <c r="J20" i="86" s="1"/>
  <c r="G17" i="86"/>
  <c r="K5" i="86" s="1"/>
  <c r="K17" i="86" s="1"/>
  <c r="C11" i="123" s="1"/>
  <c r="K5" i="87"/>
  <c r="L16" i="87"/>
  <c r="F12" i="123" s="1"/>
  <c r="J20" i="87"/>
  <c r="I12" i="123" s="1"/>
  <c r="L20" i="87"/>
  <c r="K4" i="87"/>
  <c r="K16" i="87" s="1"/>
  <c r="C12" i="123" s="1"/>
  <c r="H12" i="123" s="1"/>
  <c r="G26" i="87"/>
  <c r="K9" i="87" s="1"/>
  <c r="K20" i="87" s="1"/>
  <c r="J4" i="87"/>
  <c r="J16" i="87" s="1"/>
  <c r="J19" i="87" s="1"/>
  <c r="J20" i="85"/>
  <c r="J21" i="85"/>
  <c r="I10" i="123" s="1"/>
  <c r="L21" i="85"/>
  <c r="G7" i="85"/>
  <c r="K5" i="85" s="1"/>
  <c r="G6" i="85"/>
  <c r="K4" i="85" s="1"/>
  <c r="K17" i="85" s="1"/>
  <c r="C10" i="123" s="1"/>
  <c r="H10" i="123" s="1"/>
  <c r="G13" i="85"/>
  <c r="K9" i="85" s="1"/>
  <c r="K21" i="85" s="1"/>
  <c r="J17" i="83"/>
  <c r="J20" i="83"/>
  <c r="K21" i="83"/>
  <c r="K4" i="83"/>
  <c r="K17" i="83" s="1"/>
  <c r="C9" i="123" s="1"/>
  <c r="K12" i="83"/>
  <c r="K19" i="83" s="1"/>
  <c r="D9" i="123" s="1"/>
  <c r="K10" i="83"/>
  <c r="G15" i="83"/>
  <c r="G29" i="83"/>
  <c r="G14" i="83"/>
  <c r="K5" i="83" s="1"/>
  <c r="L4" i="83"/>
  <c r="L17" i="83" s="1"/>
  <c r="F9" i="123" s="1"/>
  <c r="L21" i="82"/>
  <c r="K5" i="82"/>
  <c r="K9" i="82"/>
  <c r="K21" i="82" s="1"/>
  <c r="K4" i="82"/>
  <c r="L17" i="82"/>
  <c r="F8" i="123" s="1"/>
  <c r="G7" i="82"/>
  <c r="J9" i="82"/>
  <c r="J21" i="82" s="1"/>
  <c r="I8" i="123" s="1"/>
  <c r="J4" i="82"/>
  <c r="J17" i="82" s="1"/>
  <c r="J20" i="82" s="1"/>
  <c r="K4" i="80"/>
  <c r="L17" i="80"/>
  <c r="F7" i="123" s="1"/>
  <c r="J4" i="80"/>
  <c r="J17" i="80" s="1"/>
  <c r="J20" i="80" s="1"/>
  <c r="G13" i="80"/>
  <c r="K5" i="80" s="1"/>
  <c r="G25" i="80"/>
  <c r="K6" i="80" s="1"/>
  <c r="K5" i="79"/>
  <c r="K4" i="79"/>
  <c r="G24" i="79"/>
  <c r="K7" i="79" s="1"/>
  <c r="G10" i="79"/>
  <c r="K9" i="79" s="1"/>
  <c r="K21" i="79" s="1"/>
  <c r="L5" i="79"/>
  <c r="L17" i="79" s="1"/>
  <c r="F6" i="123" s="1"/>
  <c r="J4" i="79"/>
  <c r="J17" i="79" s="1"/>
  <c r="J20" i="79" s="1"/>
  <c r="L7" i="57"/>
  <c r="L17" i="57" s="1"/>
  <c r="F5" i="123" s="1"/>
  <c r="G3" i="57"/>
  <c r="K3" i="57" s="1"/>
  <c r="K16" i="57" s="1"/>
  <c r="B5" i="123" s="1"/>
  <c r="J17" i="57"/>
  <c r="J20" i="57" s="1"/>
  <c r="K17" i="57"/>
  <c r="C5" i="123" s="1"/>
  <c r="K17" i="121" l="1"/>
  <c r="K17" i="120"/>
  <c r="H36" i="123"/>
  <c r="H38" i="123"/>
  <c r="H35" i="123"/>
  <c r="H32" i="123"/>
  <c r="H9" i="123"/>
  <c r="H13" i="123"/>
  <c r="H25" i="123"/>
  <c r="H15" i="123"/>
  <c r="J17" i="100"/>
  <c r="J20" i="100" s="1"/>
  <c r="H24" i="123"/>
  <c r="K17" i="93"/>
  <c r="C18" i="123" s="1"/>
  <c r="H18" i="123" s="1"/>
  <c r="K17" i="92"/>
  <c r="C17" i="123" s="1"/>
  <c r="H17" i="123" s="1"/>
  <c r="K17" i="91"/>
  <c r="C16" i="123" s="1"/>
  <c r="H16" i="123" s="1"/>
  <c r="K17" i="89"/>
  <c r="C14" i="123" s="1"/>
  <c r="H14" i="123" s="1"/>
  <c r="H11" i="123"/>
  <c r="K17" i="82"/>
  <c r="C8" i="123" s="1"/>
  <c r="H8" i="123" s="1"/>
  <c r="K17" i="80"/>
  <c r="C7" i="123" s="1"/>
  <c r="H7" i="123" s="1"/>
  <c r="K17" i="79"/>
  <c r="C6" i="123" s="1"/>
  <c r="H6" i="123" s="1"/>
  <c r="H5" i="123"/>
  <c r="A3" i="114"/>
  <c r="A4" i="114"/>
  <c r="A5" i="114"/>
  <c r="A6" i="114"/>
  <c r="A7" i="114"/>
  <c r="A8" i="114"/>
  <c r="A9" i="114"/>
  <c r="A10" i="114"/>
  <c r="A11" i="114"/>
  <c r="A12" i="114"/>
  <c r="A13" i="114"/>
  <c r="A4" i="99"/>
  <c r="A5" i="99"/>
  <c r="A6" i="99"/>
  <c r="A7" i="99"/>
  <c r="A8" i="99"/>
  <c r="A9" i="99"/>
  <c r="A10" i="99"/>
  <c r="A11" i="99"/>
  <c r="A12" i="99"/>
  <c r="A13" i="99"/>
  <c r="A14" i="99"/>
  <c r="A15" i="99"/>
  <c r="A16" i="99"/>
  <c r="A17" i="99"/>
  <c r="A18" i="99"/>
  <c r="A19" i="99"/>
  <c r="A20" i="99"/>
  <c r="A21" i="99"/>
  <c r="A22" i="99"/>
  <c r="A23" i="99"/>
  <c r="A24" i="99"/>
  <c r="A25" i="99"/>
  <c r="A26" i="99"/>
  <c r="A27" i="99"/>
  <c r="A28" i="99"/>
  <c r="A29" i="99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3" i="121"/>
  <c r="A4" i="121"/>
  <c r="A5" i="121"/>
  <c r="A6" i="121"/>
  <c r="A7" i="121"/>
  <c r="A8" i="121"/>
  <c r="A9" i="121"/>
  <c r="A10" i="121"/>
  <c r="A11" i="121"/>
  <c r="A12" i="121"/>
  <c r="A13" i="121"/>
  <c r="A14" i="121"/>
  <c r="A15" i="121"/>
  <c r="A16" i="121"/>
  <c r="A17" i="121"/>
  <c r="A18" i="121"/>
  <c r="A19" i="121"/>
  <c r="A20" i="121"/>
  <c r="A21" i="121"/>
  <c r="A22" i="121"/>
  <c r="A23" i="121"/>
  <c r="A24" i="121"/>
  <c r="A25" i="121"/>
  <c r="A26" i="121"/>
  <c r="A27" i="121"/>
  <c r="A28" i="121"/>
  <c r="A29" i="121"/>
  <c r="A30" i="121"/>
  <c r="A31" i="121"/>
  <c r="A3" i="96"/>
  <c r="A4" i="96"/>
  <c r="A5" i="96"/>
  <c r="A6" i="96"/>
  <c r="A7" i="96"/>
  <c r="A8" i="96"/>
  <c r="A9" i="96"/>
  <c r="A10" i="96"/>
  <c r="A11" i="96"/>
  <c r="A12" i="96"/>
  <c r="A13" i="96"/>
  <c r="A14" i="96"/>
  <c r="A15" i="96"/>
  <c r="A16" i="96"/>
  <c r="A17" i="96"/>
  <c r="A18" i="96"/>
  <c r="A19" i="96"/>
  <c r="A20" i="96"/>
  <c r="A21" i="96"/>
  <c r="A22" i="96"/>
  <c r="A23" i="96"/>
  <c r="A24" i="96"/>
  <c r="A25" i="96"/>
  <c r="A26" i="96"/>
  <c r="A27" i="96"/>
  <c r="A28" i="96"/>
  <c r="A29" i="96"/>
  <c r="A30" i="96"/>
  <c r="A31" i="96"/>
  <c r="A32" i="96"/>
  <c r="A33" i="96"/>
  <c r="A34" i="96"/>
  <c r="A35" i="96"/>
  <c r="A36" i="96"/>
  <c r="A37" i="96"/>
  <c r="A3" i="108"/>
  <c r="A4" i="108"/>
  <c r="A5" i="108"/>
  <c r="A6" i="108"/>
  <c r="A7" i="108"/>
  <c r="A8" i="108"/>
  <c r="A9" i="108"/>
  <c r="A10" i="108"/>
  <c r="A11" i="108"/>
  <c r="A12" i="108"/>
  <c r="A13" i="108"/>
  <c r="A14" i="108"/>
  <c r="A15" i="108"/>
  <c r="A16" i="108"/>
  <c r="A17" i="108"/>
  <c r="A18" i="108"/>
  <c r="A19" i="108"/>
  <c r="A20" i="108"/>
  <c r="A21" i="108"/>
  <c r="A22" i="108"/>
  <c r="A23" i="108"/>
  <c r="A24" i="108"/>
  <c r="A25" i="108"/>
  <c r="A26" i="108"/>
  <c r="A27" i="108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3" i="110"/>
  <c r="A4" i="110"/>
  <c r="A5" i="110"/>
  <c r="A6" i="110"/>
  <c r="A7" i="110"/>
  <c r="A8" i="110"/>
  <c r="A9" i="110"/>
  <c r="A10" i="110"/>
  <c r="A11" i="110"/>
  <c r="A12" i="110"/>
  <c r="A13" i="110"/>
  <c r="A14" i="110"/>
  <c r="A16" i="110"/>
  <c r="A17" i="110"/>
  <c r="A18" i="110"/>
  <c r="A19" i="110"/>
  <c r="A20" i="110"/>
  <c r="A21" i="110"/>
  <c r="A22" i="110"/>
  <c r="A23" i="110"/>
  <c r="A24" i="110"/>
  <c r="A25" i="110"/>
  <c r="A3" i="95"/>
  <c r="A4" i="95"/>
  <c r="A5" i="95"/>
  <c r="A6" i="95"/>
  <c r="A7" i="95"/>
  <c r="A8" i="95"/>
  <c r="A9" i="95"/>
  <c r="A10" i="95"/>
  <c r="A11" i="95"/>
  <c r="A12" i="95"/>
  <c r="A13" i="95"/>
  <c r="A14" i="95"/>
  <c r="A15" i="95"/>
  <c r="A16" i="95"/>
  <c r="A17" i="95"/>
  <c r="A18" i="95"/>
  <c r="A19" i="95"/>
  <c r="A20" i="95"/>
  <c r="A21" i="95"/>
  <c r="A22" i="95"/>
  <c r="A23" i="95"/>
  <c r="A24" i="95"/>
  <c r="A25" i="95"/>
  <c r="A26" i="95"/>
  <c r="A27" i="95"/>
  <c r="A3" i="97"/>
  <c r="A4" i="97"/>
  <c r="A5" i="97"/>
  <c r="A6" i="97"/>
  <c r="A7" i="97"/>
  <c r="A8" i="97"/>
  <c r="A9" i="97"/>
  <c r="A10" i="97"/>
  <c r="A11" i="97"/>
  <c r="A12" i="97"/>
  <c r="A13" i="97"/>
  <c r="A14" i="97"/>
  <c r="A15" i="97"/>
  <c r="A16" i="97"/>
  <c r="A17" i="97"/>
  <c r="A18" i="97"/>
  <c r="A19" i="97"/>
  <c r="A20" i="97"/>
  <c r="A21" i="97"/>
  <c r="A22" i="97"/>
  <c r="A23" i="97"/>
  <c r="A24" i="97"/>
  <c r="A3" i="109"/>
  <c r="A4" i="109"/>
  <c r="A5" i="109"/>
  <c r="A6" i="109"/>
  <c r="A7" i="109"/>
  <c r="A8" i="109"/>
  <c r="A9" i="109"/>
  <c r="A10" i="109"/>
  <c r="A11" i="109"/>
  <c r="A12" i="109"/>
  <c r="A13" i="109"/>
  <c r="A14" i="109"/>
  <c r="A15" i="109"/>
  <c r="A16" i="109"/>
  <c r="A17" i="109"/>
  <c r="A18" i="109"/>
  <c r="A19" i="109"/>
  <c r="A20" i="109"/>
  <c r="A21" i="109"/>
  <c r="A22" i="109"/>
  <c r="A23" i="109"/>
  <c r="A24" i="109"/>
  <c r="A25" i="109"/>
  <c r="A26" i="109"/>
  <c r="A3" i="119"/>
  <c r="A4" i="119"/>
  <c r="A5" i="119"/>
  <c r="A6" i="119"/>
  <c r="A7" i="119"/>
  <c r="A8" i="119"/>
  <c r="A9" i="119"/>
  <c r="A10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3" i="107"/>
  <c r="A4" i="107"/>
  <c r="A5" i="107"/>
  <c r="A6" i="107"/>
  <c r="A7" i="107"/>
  <c r="A8" i="107"/>
  <c r="A9" i="107"/>
  <c r="A10" i="107"/>
  <c r="A11" i="107"/>
  <c r="A12" i="107"/>
  <c r="A13" i="107"/>
  <c r="A14" i="107"/>
  <c r="A15" i="107"/>
  <c r="A16" i="107"/>
  <c r="A17" i="107"/>
  <c r="A18" i="107"/>
  <c r="A19" i="107"/>
  <c r="A20" i="107"/>
  <c r="A21" i="107"/>
  <c r="A22" i="107"/>
  <c r="A23" i="107"/>
  <c r="A24" i="107"/>
  <c r="A25" i="107"/>
  <c r="A26" i="107"/>
  <c r="A27" i="107"/>
  <c r="A28" i="107"/>
  <c r="A29" i="107"/>
  <c r="A30" i="107"/>
  <c r="A31" i="107"/>
  <c r="A32" i="107"/>
  <c r="A33" i="107"/>
  <c r="A34" i="107"/>
  <c r="A3" i="120"/>
  <c r="A4" i="120"/>
  <c r="A5" i="120"/>
  <c r="A6" i="120"/>
  <c r="A7" i="120"/>
  <c r="A8" i="120"/>
  <c r="A9" i="120"/>
  <c r="A10" i="120"/>
  <c r="A11" i="120"/>
  <c r="A12" i="120"/>
  <c r="A13" i="120"/>
  <c r="A14" i="120"/>
  <c r="A15" i="120"/>
  <c r="A16" i="120"/>
  <c r="A17" i="120"/>
  <c r="A18" i="120"/>
  <c r="A19" i="120"/>
  <c r="A20" i="120"/>
  <c r="A21" i="120"/>
  <c r="A22" i="120"/>
  <c r="A23" i="120"/>
  <c r="A24" i="120"/>
  <c r="A25" i="120"/>
  <c r="A26" i="120"/>
  <c r="A27" i="120"/>
  <c r="A28" i="120"/>
  <c r="A29" i="120"/>
  <c r="A30" i="120"/>
  <c r="A31" i="120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" i="87"/>
  <c r="A4" i="87"/>
  <c r="A5" i="87"/>
  <c r="A6" i="87"/>
  <c r="A7" i="87"/>
  <c r="A8" i="87"/>
  <c r="A9" i="87"/>
  <c r="A10" i="87"/>
  <c r="A11" i="87"/>
  <c r="A12" i="87"/>
  <c r="A13" i="87"/>
  <c r="A14" i="87"/>
  <c r="A15" i="87"/>
  <c r="A16" i="87"/>
  <c r="A17" i="87"/>
  <c r="A18" i="87"/>
  <c r="A19" i="87"/>
  <c r="A20" i="87"/>
  <c r="A21" i="87"/>
  <c r="A22" i="87"/>
  <c r="A23" i="87"/>
  <c r="A24" i="87"/>
  <c r="A25" i="87"/>
  <c r="A26" i="87"/>
  <c r="A27" i="87"/>
  <c r="A28" i="87"/>
  <c r="A3" i="112"/>
  <c r="A4" i="112"/>
  <c r="A5" i="112"/>
  <c r="A6" i="112"/>
  <c r="A7" i="112"/>
  <c r="A8" i="112"/>
  <c r="A9" i="112"/>
  <c r="A10" i="112"/>
  <c r="A11" i="112"/>
  <c r="A3" i="86"/>
  <c r="A4" i="86"/>
  <c r="A5" i="86"/>
  <c r="A6" i="86"/>
  <c r="A7" i="86"/>
  <c r="A8" i="86"/>
  <c r="A9" i="86"/>
  <c r="A10" i="86"/>
  <c r="A11" i="86"/>
  <c r="A12" i="86"/>
  <c r="A13" i="86"/>
  <c r="A14" i="86"/>
  <c r="A15" i="86"/>
  <c r="A16" i="86"/>
  <c r="A17" i="86"/>
  <c r="A18" i="86"/>
  <c r="A19" i="86"/>
  <c r="A20" i="86"/>
  <c r="A21" i="86"/>
  <c r="A22" i="86"/>
  <c r="A23" i="86"/>
  <c r="A24" i="86"/>
  <c r="A25" i="86"/>
  <c r="A26" i="86"/>
  <c r="A27" i="86"/>
  <c r="A28" i="86"/>
  <c r="A29" i="86"/>
  <c r="A3" i="79"/>
  <c r="A4" i="79"/>
  <c r="A5" i="79"/>
  <c r="A6" i="79"/>
  <c r="A7" i="79"/>
  <c r="A8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33" i="79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34" i="105"/>
  <c r="A35" i="105"/>
  <c r="A36" i="105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A27" i="94"/>
  <c r="A28" i="94"/>
  <c r="A29" i="94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" i="104"/>
  <c r="A4" i="104"/>
  <c r="A5" i="104"/>
  <c r="A6" i="104"/>
  <c r="A7" i="104"/>
  <c r="A8" i="104"/>
  <c r="A9" i="104"/>
  <c r="A10" i="104"/>
  <c r="A11" i="104"/>
  <c r="A12" i="104"/>
  <c r="A13" i="104"/>
  <c r="A14" i="104"/>
  <c r="A15" i="104"/>
  <c r="A16" i="104"/>
  <c r="A17" i="104"/>
  <c r="A18" i="104"/>
  <c r="A19" i="104"/>
  <c r="A20" i="104"/>
  <c r="A21" i="104"/>
  <c r="A22" i="104"/>
  <c r="A23" i="104"/>
  <c r="A24" i="104"/>
  <c r="A25" i="104"/>
  <c r="A26" i="104"/>
  <c r="A27" i="104"/>
  <c r="A28" i="104"/>
  <c r="A29" i="104"/>
  <c r="A30" i="104"/>
  <c r="A31" i="104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" i="113"/>
  <c r="A4" i="113"/>
  <c r="A5" i="113"/>
  <c r="A6" i="113"/>
  <c r="A7" i="113"/>
  <c r="A8" i="113"/>
  <c r="A9" i="113"/>
  <c r="A10" i="113"/>
  <c r="A11" i="113"/>
  <c r="A12" i="113"/>
  <c r="A13" i="113"/>
  <c r="A14" i="113"/>
  <c r="A15" i="113"/>
  <c r="A16" i="113"/>
  <c r="A17" i="113"/>
  <c r="A18" i="113"/>
  <c r="A19" i="113"/>
  <c r="A20" i="113"/>
  <c r="A21" i="113"/>
  <c r="A22" i="113"/>
  <c r="A23" i="113"/>
  <c r="A24" i="113"/>
  <c r="A25" i="113"/>
  <c r="A26" i="113"/>
  <c r="A3" i="80"/>
  <c r="A4" i="80"/>
  <c r="A5" i="80"/>
  <c r="A6" i="80"/>
  <c r="A7" i="80"/>
  <c r="A8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3" i="98"/>
  <c r="A4" i="98"/>
  <c r="A5" i="98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" i="103"/>
  <c r="A4" i="103"/>
  <c r="A5" i="103"/>
  <c r="A6" i="103"/>
  <c r="A7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3" i="92"/>
  <c r="A4" i="92"/>
  <c r="A5" i="92"/>
  <c r="A6" i="92"/>
  <c r="A7" i="92"/>
  <c r="A8" i="92"/>
  <c r="A9" i="92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2" i="85"/>
  <c r="A23" i="85"/>
  <c r="A24" i="85"/>
  <c r="A25" i="85"/>
  <c r="A26" i="85"/>
  <c r="A27" i="85"/>
  <c r="A28" i="85"/>
  <c r="A29" i="85"/>
  <c r="A30" i="85"/>
  <c r="A31" i="85"/>
  <c r="A32" i="85"/>
  <c r="A33" i="85"/>
  <c r="A34" i="85"/>
  <c r="A3" i="89"/>
  <c r="A4" i="89"/>
  <c r="A5" i="89"/>
  <c r="A6" i="89"/>
  <c r="A7" i="89"/>
  <c r="A8" i="89"/>
  <c r="A9" i="89"/>
  <c r="A10" i="89"/>
  <c r="A11" i="89"/>
  <c r="A12" i="89"/>
  <c r="A13" i="89"/>
  <c r="A14" i="89"/>
  <c r="A15" i="89"/>
  <c r="A16" i="89"/>
  <c r="A17" i="89"/>
  <c r="A18" i="89"/>
  <c r="A19" i="89"/>
  <c r="A20" i="89"/>
  <c r="A21" i="89"/>
  <c r="A22" i="89"/>
  <c r="A23" i="89"/>
  <c r="A24" i="89"/>
  <c r="A25" i="89"/>
  <c r="A3" i="93"/>
  <c r="A4" i="93"/>
  <c r="A5" i="93"/>
  <c r="A6" i="93"/>
  <c r="A7" i="93"/>
  <c r="A8" i="93"/>
  <c r="A9" i="93"/>
  <c r="A10" i="93"/>
  <c r="A11" i="93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29" i="93"/>
  <c r="A30" i="93"/>
  <c r="A31" i="93"/>
  <c r="A32" i="93"/>
  <c r="A33" i="93"/>
  <c r="A34" i="93"/>
  <c r="A35" i="93"/>
  <c r="A36" i="93"/>
  <c r="A37" i="93"/>
  <c r="A3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3" i="122"/>
  <c r="A4" i="122"/>
  <c r="A5" i="122"/>
  <c r="A6" i="122"/>
  <c r="A7" i="122"/>
  <c r="A8" i="122"/>
  <c r="A9" i="122"/>
  <c r="A10" i="122"/>
  <c r="A11" i="122"/>
  <c r="A12" i="122"/>
  <c r="A14" i="122"/>
  <c r="A15" i="122"/>
  <c r="A16" i="122"/>
  <c r="A17" i="122"/>
  <c r="A18" i="122"/>
  <c r="A19" i="122"/>
  <c r="A20" i="122"/>
  <c r="A21" i="122"/>
  <c r="A22" i="122"/>
  <c r="A23" i="122"/>
  <c r="A24" i="122"/>
  <c r="A25" i="122"/>
  <c r="A26" i="122"/>
  <c r="A27" i="122"/>
  <c r="A28" i="122"/>
  <c r="A29" i="122"/>
  <c r="A30" i="122"/>
  <c r="A3" i="91"/>
  <c r="A4" i="91"/>
  <c r="A5" i="91"/>
  <c r="A6" i="91"/>
  <c r="A7" i="91"/>
  <c r="A8" i="91"/>
  <c r="A9" i="91"/>
  <c r="A10" i="91"/>
  <c r="A11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25" i="91"/>
  <c r="A26" i="91"/>
  <c r="A27" i="91"/>
  <c r="A28" i="91"/>
  <c r="A3" i="111"/>
  <c r="A4" i="111"/>
  <c r="A5" i="111"/>
  <c r="A6" i="111"/>
  <c r="A7" i="111"/>
  <c r="A8" i="111"/>
  <c r="A9" i="111"/>
  <c r="A10" i="111"/>
  <c r="A11" i="111"/>
  <c r="A12" i="111"/>
  <c r="A13" i="111"/>
  <c r="A14" i="111"/>
  <c r="A16" i="111"/>
  <c r="A17" i="111"/>
  <c r="A18" i="111"/>
  <c r="A19" i="111"/>
  <c r="A20" i="111"/>
  <c r="A21" i="111"/>
  <c r="A22" i="111"/>
  <c r="A23" i="111"/>
  <c r="A24" i="111"/>
  <c r="A25" i="111"/>
  <c r="A26" i="111"/>
</calcChain>
</file>

<file path=xl/sharedStrings.xml><?xml version="1.0" encoding="utf-8"?>
<sst xmlns="http://schemas.openxmlformats.org/spreadsheetml/2006/main" count="3602" uniqueCount="88">
  <si>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</si>
  <si>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</si>
  <si>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</si>
  <si>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</si>
  <si>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</si>
  <si>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</si>
  <si>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</si>
  <si>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</si>
  <si>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</si>
  <si>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</si>
  <si>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</si>
  <si>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</si>
  <si>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</si>
  <si>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</si>
  <si>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</si>
  <si>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</si>
  <si>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</si>
  <si>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</si>
  <si>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</si>
  <si>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</si>
  <si>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</si>
  <si>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</si>
  <si>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</si>
  <si>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</si>
  <si>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</si>
  <si>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</si>
  <si>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</si>
  <si>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</si>
  <si>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</si>
  <si>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</si>
  <si>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</si>
  <si>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</si>
  <si>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</si>
  <si>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</si>
  <si>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</si>
  <si>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</si>
  <si>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</si>
  <si>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</si>
  <si>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</si>
  <si>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</si>
  <si>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</si>
  <si>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</si>
  <si>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</si>
  <si>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</si>
  <si>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</si>
  <si>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王维华</t>
  </si>
  <si>
    <t>何飞</t>
  </si>
  <si>
    <t>陈宏伟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</si>
  <si>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</si>
  <si>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</si>
  <si>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</si>
  <si>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</si>
  <si>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</si>
  <si>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</si>
  <si>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</si>
  <si>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</si>
  <si>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</si>
  <si>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</si>
  <si>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</si>
  <si>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</si>
  <si>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</si>
  <si>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</t>
  </si>
  <si>
    <t>完成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</si>
  <si>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</si>
  <si>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</si>
  <si>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</si>
  <si>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</si>
  <si>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</si>
  <si>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</si>
  <si>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</si>
  <si>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</si>
  <si>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</si>
  <si>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</si>
  <si>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</si>
  <si>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</si>
  <si>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</si>
  <si>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</si>
  <si>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</si>
  <si>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东塔台协调席</t>
  </si>
  <si>
    <t>地面席</t>
  </si>
  <si>
    <t>东塔台管制席</t>
  </si>
  <si>
    <t>西塔台管制席</t>
  </si>
  <si>
    <t>航班调度席</t>
  </si>
  <si>
    <t>西塔台协调席</t>
  </si>
  <si>
    <t>放行席</t>
  </si>
  <si>
    <t>管制教员席</t>
  </si>
  <si>
    <t>综合协调席</t>
  </si>
  <si>
    <t>见习管制员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</si>
</sst>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8" formatCode="0.0_ "/>
    <numFmt numFmtId="179" formatCode="0.00_);[Red]\(0.00\)"/>
    <numFmt numFmtId="180" formatCode="h:mm:ss;@"/>
    <numFmt numFmtId="181" formatCode="0.0_);[Red]\(0.0\)"/>
    <numFmt numFmtId="182" formatCode="0.0"/>
    <numFmt numFmtId="183" formatCode="0.00_ "/>
  </numFmts>
  <fonts count="18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NumberFormat="1"/>
    <xf numFmtId="178" fontId="0" fillId="0" borderId="0" xfId="0" applyNumberFormat="1"/>
    <xf numFmtId="179" fontId="0" fillId="0" borderId="0" xfId="0" applyNumberFormat="1"/>
    <xf numFmtId="179" fontId="1" fillId="0" borderId="0" xfId="0" applyNumberFormat="1" applyFont="1"/>
    <xf numFmtId="180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 wrapText="1"/>
    </xf>
    <xf numFmtId="179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 wrapText="1"/>
    </xf>
    <xf numFmtId="179" fontId="1" fillId="0" borderId="1" xfId="0" applyNumberFormat="1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181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9" fontId="6" fillId="0" borderId="1" xfId="0" applyNumberFormat="1" applyFont="1" applyFill="1" applyBorder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 vertical="center"/>
    </xf>
    <xf numFmtId="181" fontId="6" fillId="0" borderId="1" xfId="0" applyNumberFormat="1" applyFont="1" applyFill="1" applyBorder="1" applyAlignment="1"/>
    <xf numFmtId="179" fontId="7" fillId="0" borderId="1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81" fontId="7" fillId="0" borderId="1" xfId="0" applyNumberFormat="1" applyFont="1" applyFill="1" applyBorder="1" applyAlignment="1"/>
    <xf numFmtId="179" fontId="8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181" fontId="8" fillId="0" borderId="1" xfId="0" applyNumberFormat="1" applyFont="1" applyFill="1" applyBorder="1" applyAlignment="1"/>
    <xf numFmtId="179" fontId="11" fillId="0" borderId="2" xfId="0" applyNumberFormat="1" applyFont="1" applyFill="1" applyBorder="1" applyAlignment="1">
      <alignment horizontal="center" vertical="center"/>
    </xf>
    <xf numFmtId="180" fontId="11" fillId="0" borderId="2" xfId="0" applyNumberFormat="1" applyFont="1" applyFill="1" applyBorder="1" applyAlignment="1">
      <alignment horizontal="center" vertical="center" wrapText="1"/>
    </xf>
    <xf numFmtId="180" fontId="11" fillId="2" borderId="2" xfId="0" applyNumberFormat="1" applyFont="1" applyFill="1" applyBorder="1" applyAlignment="1">
      <alignment horizontal="center" vertical="center" wrapText="1"/>
    </xf>
    <xf numFmtId="179" fontId="11" fillId="3" borderId="2" xfId="0" applyNumberFormat="1" applyFont="1" applyFill="1" applyBorder="1" applyAlignment="1">
      <alignment horizontal="center" vertical="center" wrapText="1"/>
    </xf>
    <xf numFmtId="180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81" fontId="12" fillId="0" borderId="1" xfId="0" applyNumberFormat="1" applyFont="1" applyFill="1" applyBorder="1" applyAlignment="1">
      <alignment horizontal="center"/>
    </xf>
    <xf numFmtId="181" fontId="12" fillId="2" borderId="1" xfId="0" applyNumberFormat="1" applyFont="1" applyFill="1" applyBorder="1" applyAlignment="1">
      <alignment horizontal="center"/>
    </xf>
    <xf numFmtId="181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9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81" fontId="12" fillId="0" borderId="1" xfId="0" applyNumberFormat="1" applyFont="1" applyBorder="1" applyAlignment="1">
      <alignment horizontal="center"/>
    </xf>
    <xf numFmtId="0" fontId="0" fillId="0" borderId="1" xfId="0" applyBorder="1"/>
    <xf numFmtId="179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2" fillId="0" borderId="1" xfId="1" applyFont="1" applyBorder="1" applyAlignment="1"/>
    <xf numFmtId="178" fontId="16" fillId="0" borderId="1" xfId="0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/>
    </xf>
    <xf numFmtId="0" fontId="14" fillId="0" borderId="1" xfId="1" applyFont="1" applyBorder="1" applyAlignment="1"/>
    <xf numFmtId="0" fontId="14" fillId="0" borderId="1" xfId="1" applyBorder="1" applyAlignment="1"/>
    <xf numFmtId="182" fontId="0" fillId="0" borderId="1" xfId="0" applyNumberFormat="1" applyBorder="1" applyAlignment="1">
      <alignment horizontal="center" vertical="center"/>
    </xf>
    <xf numFmtId="183" fontId="0" fillId="0" borderId="0" xfId="0" applyNumberFormat="1"/>
    <xf numFmtId="182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180" fontId="2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81" fontId="13" fillId="0" borderId="3" xfId="0" applyNumberFormat="1" applyFont="1" applyFill="1" applyBorder="1" applyAlignment="1">
      <alignment horizontal="center" vertical="center"/>
    </xf>
    <xf numFmtId="181" fontId="13" fillId="0" borderId="4" xfId="0" applyNumberFormat="1" applyFont="1" applyFill="1" applyBorder="1" applyAlignment="1">
      <alignment horizontal="center" vertical="center"/>
    </xf>
    <xf numFmtId="181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80" fontId="14" fillId="0" borderId="1" xfId="1" applyNumberForma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2"/>
  <sheetViews>
    <sheetView workbookViewId="0">
      <selection activeCell="K21" sqref="K21"/>
    </sheetView>
  </sheetViews>
  <sheetFormatPr defaultColWidth="9" defaultRowHeight="13.5" x14ac:dyDescent="0.15"/>
  <cols>
    <col min="10" max="10" width="13"/>
  </cols>
  <sheetData>
    <row r="1" spans="1:15" ht="14.1" customHeight="1" x14ac:dyDescent="0.15">
      <c r="A1" s="44"/>
      <c r="B1" s="61" t="s">
        <v>0</v>
      </c>
      <c r="C1" s="61"/>
      <c r="D1" s="61"/>
      <c r="E1" s="61"/>
      <c r="F1" s="61"/>
      <c r="G1" s="61"/>
    </row>
    <row r="2" spans="1:15" ht="14.1" customHeight="1" x14ac:dyDescent="0.15">
      <c r="A2" s="44"/>
      <c r="B2" s="61"/>
      <c r="C2" s="61"/>
      <c r="D2" s="61"/>
      <c r="E2" s="61"/>
      <c r="F2" s="61"/>
      <c r="G2" s="61"/>
    </row>
    <row r="3" spans="1:15" ht="14.1" customHeight="1" x14ac:dyDescent="0.15">
      <c r="A3" s="44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5" x14ac:dyDescent="0.15">
      <c r="A4" s="44" t="s">
        <v>5</v>
      </c>
      <c r="B4" s="47" t="s">
        <v>6</v>
      </c>
      <c r="C4" s="47" t="s">
        <v>7</v>
      </c>
      <c r="D4" s="47" t="s">
        <v>8</v>
      </c>
      <c r="E4" s="47" t="s">
        <v>6</v>
      </c>
      <c r="F4" s="47" t="s">
        <v>7</v>
      </c>
      <c r="G4" s="47" t="s">
        <v>8</v>
      </c>
      <c r="H4" s="60"/>
      <c r="I4" s="60"/>
    </row>
    <row r="5" spans="1:15" x14ac:dyDescent="0.15">
      <c r="A5" s="48" t="s">
        <v>9</v>
      </c>
      <c r="B5" s="49">
        <f>温若春!K16</f>
        <v>88.230833333333351</v>
      </c>
      <c r="C5" s="49">
        <f>温若春!K17</f>
        <v>0.97277777777776864</v>
      </c>
      <c r="D5" s="49">
        <f>温若春!K19</f>
        <v>0</v>
      </c>
      <c r="E5" s="49">
        <f>温若春!L16</f>
        <v>32.836111111111052</v>
      </c>
      <c r="F5" s="49">
        <f>温若春!L17</f>
        <v>4.4288888888888875</v>
      </c>
      <c r="G5" s="49">
        <f>温若春!L19</f>
        <v>0</v>
      </c>
      <c r="H5" s="50">
        <f>SUM(B5:G5)</f>
        <v>126.46861111111106</v>
      </c>
      <c r="I5" s="53">
        <f>温若春!J21</f>
        <v>0</v>
      </c>
      <c r="J5" s="54"/>
    </row>
    <row r="6" spans="1:15" x14ac:dyDescent="0.15">
      <c r="A6" s="51" t="s">
        <v>10</v>
      </c>
      <c r="B6" s="50">
        <f>明嘉!K16</f>
        <v>0</v>
      </c>
      <c r="C6" s="50">
        <f>明嘉!K17</f>
        <v>49.66055555555554</v>
      </c>
      <c r="D6" s="50">
        <f>明嘉!K19</f>
        <v>0</v>
      </c>
      <c r="E6" s="49">
        <f>明嘉!L16</f>
        <v>0</v>
      </c>
      <c r="F6" s="49">
        <f>明嘉!L17</f>
        <v>26.219444444444402</v>
      </c>
      <c r="G6" s="49">
        <f>明嘉!L19</f>
        <v>0</v>
      </c>
      <c r="H6" s="50">
        <f t="shared" ref="H6:H42" si="0">SUM(B6:G6)</f>
        <v>75.879999999999939</v>
      </c>
      <c r="I6" s="53">
        <f>明嘉!J21</f>
        <v>10.488611111111091</v>
      </c>
      <c r="J6" s="54"/>
    </row>
    <row r="7" spans="1:15" x14ac:dyDescent="0.15">
      <c r="A7" s="51" t="s">
        <v>11</v>
      </c>
      <c r="B7" s="49">
        <f>徐万友!K16</f>
        <v>0</v>
      </c>
      <c r="C7" s="49">
        <f>徐万友!K17</f>
        <v>41.213333333333281</v>
      </c>
      <c r="D7" s="49">
        <f>徐万友!K19</f>
        <v>0</v>
      </c>
      <c r="E7" s="49">
        <f>徐万友!L16</f>
        <v>0</v>
      </c>
      <c r="F7" s="49">
        <f>徐万友!L17</f>
        <v>24.49666666666667</v>
      </c>
      <c r="G7" s="49">
        <f>徐万友!L19</f>
        <v>0</v>
      </c>
      <c r="H7" s="50">
        <f t="shared" si="0"/>
        <v>65.709999999999951</v>
      </c>
      <c r="I7" s="53">
        <f>徐万友!J21</f>
        <v>6.2727777777777867</v>
      </c>
      <c r="J7" s="54"/>
    </row>
    <row r="8" spans="1:15" x14ac:dyDescent="0.15">
      <c r="A8" s="52" t="s">
        <v>12</v>
      </c>
      <c r="B8" s="49">
        <f>耿若岩!K16</f>
        <v>0</v>
      </c>
      <c r="C8" s="49">
        <f>耿若岩!K17</f>
        <v>18.891666666666694</v>
      </c>
      <c r="D8" s="49">
        <f>耿若岩!K19</f>
        <v>0</v>
      </c>
      <c r="E8" s="49">
        <f>耿若岩!L16</f>
        <v>0</v>
      </c>
      <c r="F8" s="49">
        <f>耿若岩!L17</f>
        <v>27.616944444444421</v>
      </c>
      <c r="G8" s="49">
        <f>耿若岩!L19</f>
        <v>0</v>
      </c>
      <c r="H8" s="50">
        <f t="shared" si="0"/>
        <v>46.508611111111115</v>
      </c>
      <c r="I8" s="55">
        <f>耿若岩!J21</f>
        <v>10.866944444444421</v>
      </c>
      <c r="J8" s="54"/>
    </row>
    <row r="9" spans="1:15" x14ac:dyDescent="0.15">
      <c r="A9" s="48" t="s">
        <v>13</v>
      </c>
      <c r="B9" s="49">
        <f>李明!K16</f>
        <v>0</v>
      </c>
      <c r="C9" s="49">
        <f>李明!K17</f>
        <v>33.22444444444443</v>
      </c>
      <c r="D9" s="49">
        <f>李明!K19</f>
        <v>12.481666666666655</v>
      </c>
      <c r="E9" s="49">
        <f>李明!L16</f>
        <v>0</v>
      </c>
      <c r="F9" s="49">
        <f>李明!L17</f>
        <v>15.220277777777754</v>
      </c>
      <c r="G9" s="49">
        <f>李明!L19</f>
        <v>9.7316666666666389</v>
      </c>
      <c r="H9" s="50">
        <f t="shared" si="0"/>
        <v>70.658055555555478</v>
      </c>
      <c r="I9" s="53">
        <f>李明!J21</f>
        <v>5.8172222222221892</v>
      </c>
      <c r="J9" s="54"/>
    </row>
    <row r="10" spans="1:15" x14ac:dyDescent="0.15">
      <c r="A10" s="51" t="s">
        <v>14</v>
      </c>
      <c r="B10" s="49">
        <f>张虎!K16</f>
        <v>0</v>
      </c>
      <c r="C10" s="49">
        <f>张虎!K17</f>
        <v>36.244722222222293</v>
      </c>
      <c r="D10" s="49">
        <f>张虎!K19</f>
        <v>0</v>
      </c>
      <c r="E10" s="49">
        <f>张虎!L16</f>
        <v>0</v>
      </c>
      <c r="F10" s="49">
        <f>张虎!L17</f>
        <v>31.695555555555568</v>
      </c>
      <c r="G10" s="49">
        <f>张虎!L19</f>
        <v>0</v>
      </c>
      <c r="H10" s="50">
        <f t="shared" si="0"/>
        <v>67.940277777777865</v>
      </c>
      <c r="I10" s="53">
        <f>张虎!J21</f>
        <v>6.6794444444444645</v>
      </c>
      <c r="J10" s="54"/>
    </row>
    <row r="11" spans="1:15" x14ac:dyDescent="0.15">
      <c r="A11" s="48" t="s">
        <v>15</v>
      </c>
      <c r="B11" s="49">
        <f>马莲花!K16</f>
        <v>56.243333333333375</v>
      </c>
      <c r="C11" s="49">
        <f>马莲花!K17</f>
        <v>0.96027777777777512</v>
      </c>
      <c r="D11" s="49">
        <f>马莲花!K19</f>
        <v>0</v>
      </c>
      <c r="E11" s="49">
        <f>马莲花!L16</f>
        <v>30.375833333333254</v>
      </c>
      <c r="F11" s="49">
        <f>马莲花!L17</f>
        <v>9.2158333333333324</v>
      </c>
      <c r="G11" s="49">
        <f>马莲花!L19</f>
        <v>0</v>
      </c>
      <c r="H11" s="50">
        <f t="shared" si="0"/>
        <v>96.795277777777741</v>
      </c>
      <c r="I11" s="53">
        <f>马莲花!J21</f>
        <v>0</v>
      </c>
      <c r="J11" s="54"/>
    </row>
    <row r="12" spans="1:15" x14ac:dyDescent="0.15">
      <c r="A12" s="48" t="s">
        <v>16</v>
      </c>
      <c r="B12" s="49">
        <f>刘国莲!K15</f>
        <v>0</v>
      </c>
      <c r="C12" s="49">
        <f>刘国莲!K16</f>
        <v>47.758888888888947</v>
      </c>
      <c r="D12" s="49">
        <f>刘国莲!K18</f>
        <v>0</v>
      </c>
      <c r="E12" s="49">
        <f>刘国莲!L15</f>
        <v>0</v>
      </c>
      <c r="F12" s="49">
        <f>刘国莲!L16</f>
        <v>14.795277777777754</v>
      </c>
      <c r="G12" s="49">
        <f>刘国莲!L18</f>
        <v>0</v>
      </c>
      <c r="H12" s="50">
        <f t="shared" si="0"/>
        <v>62.554166666666703</v>
      </c>
      <c r="I12" s="53">
        <f>刘国莲!J20</f>
        <v>6.8388888888888975</v>
      </c>
      <c r="J12" s="54"/>
    </row>
    <row r="13" spans="1:15" x14ac:dyDescent="0.15">
      <c r="A13" s="48" t="s">
        <v>17</v>
      </c>
      <c r="B13" s="49">
        <f>杜涛!K16</f>
        <v>0</v>
      </c>
      <c r="C13" s="49">
        <f>杜涛!K17</f>
        <v>32.457500000000032</v>
      </c>
      <c r="D13" s="49">
        <f>杜涛!K19</f>
        <v>0</v>
      </c>
      <c r="E13" s="49">
        <f>杜涛!L16</f>
        <v>0</v>
      </c>
      <c r="F13" s="49">
        <f>杜涛!L17</f>
        <v>34.718055555555601</v>
      </c>
      <c r="G13" s="49">
        <f>杜涛!L19</f>
        <v>0</v>
      </c>
      <c r="H13" s="50">
        <f t="shared" si="0"/>
        <v>67.175555555555633</v>
      </c>
      <c r="I13" s="53">
        <f>杜涛!J21</f>
        <v>6.9080555555555527</v>
      </c>
      <c r="J13" s="54"/>
    </row>
    <row r="14" spans="1:15" x14ac:dyDescent="0.15">
      <c r="A14" s="48" t="s">
        <v>18</v>
      </c>
      <c r="B14" s="49">
        <f>张文中!K16</f>
        <v>0</v>
      </c>
      <c r="C14" s="49">
        <f>张文中!K17</f>
        <v>29.750833333333343</v>
      </c>
      <c r="D14" s="49">
        <f>张文中!K19</f>
        <v>0</v>
      </c>
      <c r="E14" s="49">
        <f>张文中!L16</f>
        <v>0</v>
      </c>
      <c r="F14" s="49">
        <f>张文中!L17</f>
        <v>21.836388888888855</v>
      </c>
      <c r="G14" s="49">
        <f>张文中!L19</f>
        <v>0</v>
      </c>
      <c r="H14" s="50">
        <f t="shared" si="0"/>
        <v>51.587222222222195</v>
      </c>
      <c r="I14" s="53">
        <f>张文中!J21</f>
        <v>6.0291666666666712</v>
      </c>
      <c r="J14" s="54"/>
      <c r="O14" s="56" t="s">
        <v>19</v>
      </c>
    </row>
    <row r="15" spans="1:15" x14ac:dyDescent="0.15">
      <c r="A15" s="48" t="s">
        <v>20</v>
      </c>
      <c r="B15" s="49">
        <f>李秋实!K16</f>
        <v>0</v>
      </c>
      <c r="C15" s="49">
        <f>李秋实!K17</f>
        <v>43.636944444444509</v>
      </c>
      <c r="D15" s="49">
        <f>李秋实!K19</f>
        <v>0</v>
      </c>
      <c r="E15" s="49">
        <f>李秋实!L16</f>
        <v>0</v>
      </c>
      <c r="F15" s="49">
        <f>李秋实!L17</f>
        <v>27.061111111111039</v>
      </c>
      <c r="G15" s="49">
        <f>李秋实!L19</f>
        <v>0</v>
      </c>
      <c r="H15" s="50">
        <f t="shared" si="0"/>
        <v>70.698055555555555</v>
      </c>
      <c r="I15" s="53">
        <f>李秋实!J21</f>
        <v>5.4466666666666796</v>
      </c>
      <c r="J15" s="54"/>
    </row>
    <row r="16" spans="1:15" x14ac:dyDescent="0.15">
      <c r="A16" s="51" t="s">
        <v>21</v>
      </c>
      <c r="B16" s="49">
        <f>周岸!K16</f>
        <v>0</v>
      </c>
      <c r="C16" s="49">
        <f>周岸!K17</f>
        <v>31.718055555555509</v>
      </c>
      <c r="D16" s="49">
        <f>周岸!K19</f>
        <v>1.9963888888888794</v>
      </c>
      <c r="E16" s="49">
        <f>周岸!L16</f>
        <v>0</v>
      </c>
      <c r="F16" s="49">
        <f>周岸!L17</f>
        <v>23.15055555555557</v>
      </c>
      <c r="G16" s="49">
        <f>周岸!L19</f>
        <v>11.230000000000009</v>
      </c>
      <c r="H16" s="50">
        <f t="shared" si="0"/>
        <v>68.09499999999997</v>
      </c>
      <c r="I16" s="53">
        <f>周岸!J21</f>
        <v>10.083055555555536</v>
      </c>
      <c r="J16" s="54"/>
    </row>
    <row r="17" spans="1:10" x14ac:dyDescent="0.15">
      <c r="A17" s="48" t="s">
        <v>22</v>
      </c>
      <c r="B17" s="49">
        <f>詹泽彬!K16</f>
        <v>0</v>
      </c>
      <c r="C17" s="49">
        <f>詹泽彬!K17</f>
        <v>23.500277777777761</v>
      </c>
      <c r="D17" s="49">
        <f>詹泽彬!K19</f>
        <v>0</v>
      </c>
      <c r="E17" s="49">
        <f>詹泽彬!L16</f>
        <v>0</v>
      </c>
      <c r="F17" s="49">
        <f>詹泽彬!L17</f>
        <v>32.38055555555551</v>
      </c>
      <c r="G17" s="49">
        <f>詹泽彬!L19</f>
        <v>0</v>
      </c>
      <c r="H17" s="50">
        <f t="shared" si="0"/>
        <v>55.880833333333271</v>
      </c>
      <c r="I17" s="53">
        <f>詹泽彬!J21</f>
        <v>6.5305555555555674</v>
      </c>
      <c r="J17" s="54"/>
    </row>
    <row r="18" spans="1:10" x14ac:dyDescent="0.15">
      <c r="A18" s="48" t="s">
        <v>23</v>
      </c>
      <c r="B18" s="49">
        <f>张笑延!K16</f>
        <v>0</v>
      </c>
      <c r="C18" s="49">
        <f>张笑延!K17</f>
        <v>51.230277777777864</v>
      </c>
      <c r="D18" s="49">
        <f>张笑延!K19</f>
        <v>0</v>
      </c>
      <c r="E18" s="49">
        <f>张笑延!L16</f>
        <v>0</v>
      </c>
      <c r="F18" s="49">
        <f>张笑延!L17</f>
        <v>32.536388888888823</v>
      </c>
      <c r="G18" s="49">
        <f>张笑延!L19</f>
        <v>0</v>
      </c>
      <c r="H18" s="50">
        <f t="shared" si="0"/>
        <v>83.76666666666668</v>
      </c>
      <c r="I18" s="53">
        <f>张笑延!J21</f>
        <v>10.476666666666695</v>
      </c>
      <c r="J18" s="54"/>
    </row>
    <row r="19" spans="1:10" x14ac:dyDescent="0.15">
      <c r="A19" s="52" t="s">
        <v>24</v>
      </c>
      <c r="B19" s="50">
        <f>沈宁!K16</f>
        <v>0</v>
      </c>
      <c r="C19" s="50">
        <f>沈宁!K17</f>
        <v>35.495833333333252</v>
      </c>
      <c r="D19" s="50">
        <f>沈宁!K19</f>
        <v>0</v>
      </c>
      <c r="E19" s="50">
        <f>沈宁!L16</f>
        <v>0</v>
      </c>
      <c r="F19" s="50">
        <f>沈宁!L17</f>
        <v>36.431111111111136</v>
      </c>
      <c r="G19" s="50">
        <f>沈宁!L19</f>
        <v>0</v>
      </c>
      <c r="H19" s="50">
        <f t="shared" si="0"/>
        <v>71.926944444444388</v>
      </c>
      <c r="I19" s="53">
        <f>沈宁!J21</f>
        <v>0</v>
      </c>
      <c r="J19" s="54"/>
    </row>
    <row r="20" spans="1:10" x14ac:dyDescent="0.15">
      <c r="A20" s="52" t="s">
        <v>25</v>
      </c>
      <c r="B20" s="50">
        <f>胡鑫!K16</f>
        <v>0</v>
      </c>
      <c r="C20" s="50">
        <f>胡鑫!K17</f>
        <v>10.975555555555536</v>
      </c>
      <c r="D20" s="50">
        <f>胡鑫!K19</f>
        <v>21.836388888888891</v>
      </c>
      <c r="E20" s="50">
        <f>胡鑫!L16</f>
        <v>0</v>
      </c>
      <c r="F20" s="50">
        <f>胡鑫!L17</f>
        <v>3.418611111111117</v>
      </c>
      <c r="G20" s="50">
        <f>胡鑫!L19</f>
        <v>29.463333333333303</v>
      </c>
      <c r="H20" s="50">
        <f t="shared" si="0"/>
        <v>65.69388888888885</v>
      </c>
      <c r="I20" s="53">
        <f>胡鑫!J21</f>
        <v>0</v>
      </c>
      <c r="J20" s="54"/>
    </row>
    <row r="21" spans="1:10" x14ac:dyDescent="0.15">
      <c r="A21" s="51" t="s">
        <v>26</v>
      </c>
      <c r="B21" s="50">
        <f>邓心豪!K16</f>
        <v>0</v>
      </c>
      <c r="C21" s="50">
        <f>邓心豪!K17</f>
        <v>44.422222222222231</v>
      </c>
      <c r="D21" s="50">
        <f>邓心豪!K19</f>
        <v>0</v>
      </c>
      <c r="E21" s="50">
        <f>邓心豪!L16</f>
        <v>0</v>
      </c>
      <c r="F21" s="50">
        <f>邓心豪!L17</f>
        <v>35.50166666666663</v>
      </c>
      <c r="G21" s="50">
        <f>邓心豪!L19</f>
        <v>0</v>
      </c>
      <c r="H21" s="50">
        <f t="shared" si="0"/>
        <v>79.923888888888854</v>
      </c>
      <c r="I21" s="53">
        <f>邓心豪!J21</f>
        <v>1.6477777777777707</v>
      </c>
      <c r="J21" s="54"/>
    </row>
    <row r="22" spans="1:10" x14ac:dyDescent="0.15">
      <c r="A22" s="48" t="s">
        <v>27</v>
      </c>
      <c r="B22" s="50">
        <f>黄恩!K16</f>
        <v>0</v>
      </c>
      <c r="C22" s="50">
        <f>黄恩!K17</f>
        <v>41.476111111111109</v>
      </c>
      <c r="D22" s="50">
        <f>黄恩!K19</f>
        <v>0</v>
      </c>
      <c r="E22" s="50">
        <f>黄恩!L16</f>
        <v>0</v>
      </c>
      <c r="F22" s="50">
        <f>黄恩!L17</f>
        <v>21.913888888888863</v>
      </c>
      <c r="G22" s="50">
        <f>黄恩!L19</f>
        <v>0</v>
      </c>
      <c r="H22" s="50">
        <f t="shared" si="0"/>
        <v>63.389999999999972</v>
      </c>
      <c r="I22" s="53">
        <f>黄恩!J21</f>
        <v>0</v>
      </c>
      <c r="J22" s="54"/>
    </row>
    <row r="23" spans="1:10" x14ac:dyDescent="0.15">
      <c r="A23" s="52" t="s">
        <v>28</v>
      </c>
      <c r="B23" s="50">
        <f>严亮!K16</f>
        <v>0</v>
      </c>
      <c r="C23" s="50">
        <f>严亮!K17</f>
        <v>38.603333333333403</v>
      </c>
      <c r="D23" s="50">
        <f>严亮!K19</f>
        <v>0</v>
      </c>
      <c r="E23" s="50">
        <f>严亮!L16</f>
        <v>0</v>
      </c>
      <c r="F23" s="50">
        <f>严亮!L17</f>
        <v>26.870277777777702</v>
      </c>
      <c r="G23" s="50">
        <f>严亮!L19</f>
        <v>0</v>
      </c>
      <c r="H23" s="50">
        <f t="shared" si="0"/>
        <v>65.473611111111097</v>
      </c>
      <c r="I23" s="53">
        <f>严亮!J21</f>
        <v>8.0363888888888653</v>
      </c>
      <c r="J23" s="54"/>
    </row>
    <row r="24" spans="1:10" x14ac:dyDescent="0.15">
      <c r="A24" s="51" t="s">
        <v>29</v>
      </c>
      <c r="B24" s="50">
        <f>边昊!K16</f>
        <v>59.572222222222251</v>
      </c>
      <c r="C24" s="50">
        <f>边昊!K17</f>
        <v>0</v>
      </c>
      <c r="D24" s="50">
        <f>边昊!K19</f>
        <v>0</v>
      </c>
      <c r="E24" s="50">
        <f>边昊!L16</f>
        <v>37.788611111111031</v>
      </c>
      <c r="F24" s="50">
        <f>边昊!L17</f>
        <v>0</v>
      </c>
      <c r="G24" s="50">
        <f>边昊!L19</f>
        <v>6.9513888888889026</v>
      </c>
      <c r="H24" s="50">
        <f t="shared" si="0"/>
        <v>104.31222222222219</v>
      </c>
      <c r="I24" s="53">
        <f>边昊!J21</f>
        <v>0</v>
      </c>
      <c r="J24" s="54"/>
    </row>
    <row r="25" spans="1:10" x14ac:dyDescent="0.15">
      <c r="A25" s="48" t="s">
        <v>30</v>
      </c>
      <c r="B25" s="50">
        <f>张宗根!K16</f>
        <v>0</v>
      </c>
      <c r="C25" s="50">
        <f>张宗根!K17</f>
        <v>30.426666666666648</v>
      </c>
      <c r="D25" s="50">
        <f>张宗根!K19</f>
        <v>7.2125000000000163</v>
      </c>
      <c r="E25" s="50">
        <f>张宗根!L16</f>
        <v>0</v>
      </c>
      <c r="F25" s="50">
        <f>张宗根!L17</f>
        <v>13.323055555555584</v>
      </c>
      <c r="G25" s="50">
        <f>张宗根!L19</f>
        <v>0.96249999999998392</v>
      </c>
      <c r="H25" s="50">
        <f t="shared" si="0"/>
        <v>51.924722222222236</v>
      </c>
      <c r="I25" s="53">
        <f>张宗根!J21</f>
        <v>9.1702777777778124</v>
      </c>
      <c r="J25" s="54"/>
    </row>
    <row r="26" spans="1:10" x14ac:dyDescent="0.15">
      <c r="A26" s="48" t="s">
        <v>31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3">
        <f>宋天霖!J21</f>
        <v>0</v>
      </c>
      <c r="J26" s="54"/>
    </row>
    <row r="27" spans="1:10" x14ac:dyDescent="0.15">
      <c r="A27" s="51" t="s">
        <v>32</v>
      </c>
      <c r="B27" s="50">
        <f>蔡昊霖!K16</f>
        <v>0</v>
      </c>
      <c r="C27" s="50">
        <f>蔡昊霖!K17</f>
        <v>35.574444444444381</v>
      </c>
      <c r="D27" s="50">
        <f>蔡昊霖!K19</f>
        <v>0</v>
      </c>
      <c r="E27" s="50">
        <f>蔡昊霖!L16</f>
        <v>0</v>
      </c>
      <c r="F27" s="50">
        <f>蔡昊霖!L17</f>
        <v>30.516944444444455</v>
      </c>
      <c r="G27" s="50">
        <f>蔡昊霖!L19</f>
        <v>0</v>
      </c>
      <c r="H27" s="50">
        <f t="shared" si="0"/>
        <v>66.091388888888844</v>
      </c>
      <c r="I27" s="53">
        <f>蔡昊霖!J21</f>
        <v>0</v>
      </c>
      <c r="J27" s="54"/>
    </row>
    <row r="28" spans="1:10" x14ac:dyDescent="0.15">
      <c r="A28" s="48" t="s">
        <v>33</v>
      </c>
      <c r="B28" s="50">
        <f>叶大鹏!K16</f>
        <v>0</v>
      </c>
      <c r="C28" s="50">
        <f>叶大鹏!K17</f>
        <v>28.039722222222267</v>
      </c>
      <c r="D28" s="50">
        <f>叶大鹏!K19</f>
        <v>0</v>
      </c>
      <c r="E28" s="50">
        <f>叶大鹏!L16</f>
        <v>0</v>
      </c>
      <c r="F28" s="50">
        <f>叶大鹏!L17</f>
        <v>32.07666666666664</v>
      </c>
      <c r="G28" s="50">
        <f>叶大鹏!L19</f>
        <v>0</v>
      </c>
      <c r="H28" s="50">
        <f t="shared" si="0"/>
        <v>60.116388888888906</v>
      </c>
      <c r="I28" s="53">
        <f>叶大鹏!J21</f>
        <v>0</v>
      </c>
      <c r="J28" s="54"/>
    </row>
    <row r="29" spans="1:10" x14ac:dyDescent="0.15">
      <c r="A29" s="51" t="s">
        <v>34</v>
      </c>
      <c r="B29" s="50">
        <f>王建超!K16</f>
        <v>0</v>
      </c>
      <c r="C29" s="50">
        <f>王建超!K17</f>
        <v>32.879722222222242</v>
      </c>
      <c r="D29" s="50">
        <f>王建超!K19</f>
        <v>15.733055555555563</v>
      </c>
      <c r="E29" s="50">
        <f>王建超!L16</f>
        <v>0</v>
      </c>
      <c r="F29" s="50">
        <f>王建超!L17</f>
        <v>34.713055555555513</v>
      </c>
      <c r="G29" s="50">
        <f>王建超!L19</f>
        <v>0.97916666666666385</v>
      </c>
      <c r="H29" s="50">
        <f t="shared" si="0"/>
        <v>84.304999999999978</v>
      </c>
      <c r="I29" s="53">
        <f>王建超!J21</f>
        <v>2.1691666666666807</v>
      </c>
      <c r="J29" s="54"/>
    </row>
    <row r="30" spans="1:10" x14ac:dyDescent="0.15">
      <c r="A30" s="51" t="s">
        <v>35</v>
      </c>
      <c r="B30" s="50">
        <f>潘伟生!K16</f>
        <v>0</v>
      </c>
      <c r="C30" s="50">
        <f>潘伟生!K17</f>
        <v>44.790000000000006</v>
      </c>
      <c r="D30" s="50">
        <f>潘伟生!K19</f>
        <v>0</v>
      </c>
      <c r="E30" s="50">
        <f>潘伟生!L16</f>
        <v>0</v>
      </c>
      <c r="F30" s="50">
        <f>潘伟生!L17</f>
        <v>32.381666666666661</v>
      </c>
      <c r="G30" s="50">
        <f>潘伟生!L19</f>
        <v>0</v>
      </c>
      <c r="H30" s="50">
        <f t="shared" si="0"/>
        <v>77.171666666666667</v>
      </c>
      <c r="I30" s="53">
        <f>潘伟生!J21</f>
        <v>10.015833333333358</v>
      </c>
      <c r="J30" s="54"/>
    </row>
    <row r="31" spans="1:10" x14ac:dyDescent="0.15">
      <c r="A31" s="48" t="s">
        <v>36</v>
      </c>
      <c r="B31" s="50">
        <f>王风瑞!K16</f>
        <v>0</v>
      </c>
      <c r="C31" s="50">
        <f>王风瑞!K17</f>
        <v>40.530833333333362</v>
      </c>
      <c r="D31" s="50">
        <f>王风瑞!K19</f>
        <v>0</v>
      </c>
      <c r="E31" s="50">
        <f>王风瑞!L16</f>
        <v>0</v>
      </c>
      <c r="F31" s="50">
        <f>王风瑞!L17</f>
        <v>32.743611111111115</v>
      </c>
      <c r="G31" s="50">
        <f>王风瑞!L19</f>
        <v>0</v>
      </c>
      <c r="H31" s="50">
        <f t="shared" si="0"/>
        <v>73.27444444444447</v>
      </c>
      <c r="I31" s="53">
        <f>王风瑞!J21</f>
        <v>1.3616666666666637</v>
      </c>
      <c r="J31" s="54"/>
    </row>
    <row r="32" spans="1:10" x14ac:dyDescent="0.15">
      <c r="A32" s="48" t="s">
        <v>37</v>
      </c>
      <c r="B32" s="50">
        <f>金鼎!K16</f>
        <v>57.616388888888984</v>
      </c>
      <c r="C32" s="50">
        <f>金鼎!K17</f>
        <v>0.96166666666665668</v>
      </c>
      <c r="D32" s="50">
        <f>金鼎!K19</f>
        <v>0</v>
      </c>
      <c r="E32" s="50">
        <f>金鼎!L16</f>
        <v>28.750833333333283</v>
      </c>
      <c r="F32" s="50">
        <f>金鼎!L17</f>
        <v>7.048055555555556</v>
      </c>
      <c r="G32" s="50">
        <f>金鼎!L19</f>
        <v>0</v>
      </c>
      <c r="H32" s="50">
        <f t="shared" si="0"/>
        <v>94.376944444444476</v>
      </c>
      <c r="I32" s="53">
        <f>金鼎!J21</f>
        <v>0</v>
      </c>
      <c r="J32" s="54"/>
    </row>
    <row r="33" spans="1:10" x14ac:dyDescent="0.15">
      <c r="A33" s="51" t="s">
        <v>38</v>
      </c>
      <c r="B33" s="50">
        <f>董志华!K16</f>
        <v>0</v>
      </c>
      <c r="C33" s="50">
        <f>董志华!K17</f>
        <v>28.902222222222239</v>
      </c>
      <c r="D33" s="50">
        <f>董志华!K19</f>
        <v>0</v>
      </c>
      <c r="E33" s="50">
        <f>董志华!L16</f>
        <v>0</v>
      </c>
      <c r="F33" s="50">
        <f>董志华!L17</f>
        <v>28.459166666666608</v>
      </c>
      <c r="G33" s="50">
        <f>董志华!L19</f>
        <v>0</v>
      </c>
      <c r="H33" s="50">
        <f t="shared" si="0"/>
        <v>57.361388888888847</v>
      </c>
      <c r="I33" s="53">
        <f>董志华!J21</f>
        <v>12.293611111111105</v>
      </c>
      <c r="J33" s="54"/>
    </row>
    <row r="34" spans="1:10" x14ac:dyDescent="0.15">
      <c r="A34" s="48" t="s">
        <v>39</v>
      </c>
      <c r="B34" s="50">
        <f>姜文夫!K16</f>
        <v>56.218333333333348</v>
      </c>
      <c r="C34" s="50">
        <f>姜文夫!K17</f>
        <v>1.1883333333333352</v>
      </c>
      <c r="D34" s="50">
        <f>姜文夫!K19</f>
        <v>0</v>
      </c>
      <c r="E34" s="50">
        <f>姜文夫!L16</f>
        <v>26.783611111111053</v>
      </c>
      <c r="F34" s="50">
        <f>姜文夫!L17</f>
        <v>9.7355555555555569</v>
      </c>
      <c r="G34" s="50">
        <f>姜文夫!L19</f>
        <v>0</v>
      </c>
      <c r="H34" s="50">
        <f t="shared" si="0"/>
        <v>93.925833333333287</v>
      </c>
      <c r="I34" s="53">
        <f>姜文夫!J21</f>
        <v>0</v>
      </c>
      <c r="J34" s="54"/>
    </row>
    <row r="35" spans="1:10" x14ac:dyDescent="0.15">
      <c r="A35" s="48" t="s">
        <v>40</v>
      </c>
      <c r="B35" s="50">
        <f>郭永杰!K16</f>
        <v>52.706388888888917</v>
      </c>
      <c r="C35" s="50">
        <f>郭永杰!K17</f>
        <v>2.6652777777777863</v>
      </c>
      <c r="D35" s="50">
        <f>郭永杰!K19</f>
        <v>0</v>
      </c>
      <c r="E35" s="50">
        <f>郭永杰!L16</f>
        <v>32.042777777777737</v>
      </c>
      <c r="F35" s="50">
        <f>郭永杰!L17</f>
        <v>10.186111111111103</v>
      </c>
      <c r="G35" s="50">
        <f>郭永杰!L19</f>
        <v>0</v>
      </c>
      <c r="H35" s="50">
        <f t="shared" si="0"/>
        <v>97.600555555555545</v>
      </c>
      <c r="I35" s="53">
        <f>郭永杰!J21</f>
        <v>0</v>
      </c>
      <c r="J35" s="54"/>
    </row>
    <row r="36" spans="1:10" x14ac:dyDescent="0.15">
      <c r="A36" s="51" t="s">
        <v>41</v>
      </c>
      <c r="B36" s="50">
        <f>朱永春!K16</f>
        <v>59.57222222222218</v>
      </c>
      <c r="C36" s="50">
        <f>朱永春!K17</f>
        <v>0</v>
      </c>
      <c r="D36" s="50">
        <f>朱永春!K19</f>
        <v>0</v>
      </c>
      <c r="E36" s="50">
        <f>朱永春!L16</f>
        <v>39.748888888888843</v>
      </c>
      <c r="F36" s="50">
        <f>朱永春!L17</f>
        <v>5.7324999999999875</v>
      </c>
      <c r="G36" s="50">
        <f>朱永春!L19</f>
        <v>0</v>
      </c>
      <c r="H36" s="50">
        <f t="shared" si="0"/>
        <v>105.05361111111101</v>
      </c>
      <c r="I36" s="53">
        <f>朱永春!J21</f>
        <v>0</v>
      </c>
      <c r="J36" s="54"/>
    </row>
    <row r="37" spans="1:10" x14ac:dyDescent="0.15">
      <c r="A37" s="51" t="s">
        <v>42</v>
      </c>
      <c r="B37" s="50">
        <f>刘琦!K16</f>
        <v>3.0697222222222074</v>
      </c>
      <c r="C37" s="50">
        <f>刘琦!K17</f>
        <v>28.596666666666678</v>
      </c>
      <c r="D37" s="50">
        <f>刘琦!K19</f>
        <v>0</v>
      </c>
      <c r="E37" s="50">
        <f>刘琦!L16</f>
        <v>0</v>
      </c>
      <c r="F37" s="50">
        <f>刘琦!L17</f>
        <v>1.1524999999999992</v>
      </c>
      <c r="G37" s="50">
        <f>刘琦!L19</f>
        <v>0</v>
      </c>
      <c r="H37" s="50">
        <f t="shared" si="0"/>
        <v>32.818888888888885</v>
      </c>
      <c r="I37" s="53">
        <f>刘琦!J21</f>
        <v>0</v>
      </c>
      <c r="J37" s="54"/>
    </row>
    <row r="38" spans="1:10" x14ac:dyDescent="0.15">
      <c r="A38" s="51" t="s">
        <v>43</v>
      </c>
      <c r="B38" s="50">
        <f>吴疆!K16</f>
        <v>75.406111111111144</v>
      </c>
      <c r="C38" s="50">
        <f>吴疆!K17</f>
        <v>1.1625000000000005</v>
      </c>
      <c r="D38" s="50">
        <f>吴疆!K19</f>
        <v>0</v>
      </c>
      <c r="E38" s="50">
        <f>吴疆!L16</f>
        <v>29.442499999999971</v>
      </c>
      <c r="F38" s="50">
        <f>吴疆!L17</f>
        <v>5.6388888888888768</v>
      </c>
      <c r="G38" s="50">
        <f>吴疆!L19</f>
        <v>0</v>
      </c>
      <c r="H38" s="50">
        <f t="shared" si="0"/>
        <v>111.64999999999998</v>
      </c>
      <c r="I38" s="53">
        <f>吴疆!J21</f>
        <v>0</v>
      </c>
      <c r="J38" s="54"/>
    </row>
    <row r="39" spans="1:10" x14ac:dyDescent="0.15">
      <c r="A39" s="51" t="s">
        <v>44</v>
      </c>
      <c r="B39" s="50">
        <f>巴富毅!K16</f>
        <v>0</v>
      </c>
      <c r="C39" s="50">
        <f>巴富毅!K17</f>
        <v>25.194444444444454</v>
      </c>
      <c r="D39" s="50">
        <f>巴富毅!K19</f>
        <v>0</v>
      </c>
      <c r="E39" s="50">
        <f>巴富毅!L16</f>
        <v>0</v>
      </c>
      <c r="F39" s="50">
        <f>巴富毅!L17</f>
        <v>6.0977777777777762</v>
      </c>
      <c r="G39" s="50">
        <f>巴富毅!L19</f>
        <v>0</v>
      </c>
      <c r="H39" s="50">
        <f t="shared" si="0"/>
        <v>31.292222222222229</v>
      </c>
      <c r="I39" s="53">
        <f>巴富毅!J21</f>
        <v>0</v>
      </c>
    </row>
    <row r="40" spans="1:10" x14ac:dyDescent="0.15">
      <c r="A40" s="48" t="s">
        <v>45</v>
      </c>
      <c r="B40" s="50">
        <f>王维华!K16</f>
        <v>0</v>
      </c>
      <c r="C40" s="50">
        <f>王维华!K17</f>
        <v>0</v>
      </c>
      <c r="D40" s="50">
        <f>王维华!K19</f>
        <v>0</v>
      </c>
      <c r="E40" s="50">
        <f>王维华!L16</f>
        <v>0</v>
      </c>
      <c r="F40" s="50">
        <f>王维华!L17</f>
        <v>0</v>
      </c>
      <c r="G40" s="50">
        <f>王维华!L19</f>
        <v>0</v>
      </c>
      <c r="H40" s="50">
        <f t="shared" si="0"/>
        <v>0</v>
      </c>
      <c r="I40" s="53">
        <f>王维华!J21</f>
        <v>0</v>
      </c>
    </row>
    <row r="41" spans="1:10" x14ac:dyDescent="0.15">
      <c r="A41" s="51" t="s">
        <v>46</v>
      </c>
      <c r="B41" s="50">
        <f>何飞!K16</f>
        <v>0</v>
      </c>
      <c r="C41" s="50">
        <f>何飞!K17</f>
        <v>0</v>
      </c>
      <c r="D41" s="50">
        <f>何飞!K19</f>
        <v>0</v>
      </c>
      <c r="E41" s="50">
        <f>何飞!L16</f>
        <v>0</v>
      </c>
      <c r="F41" s="50">
        <f>何飞!L17</f>
        <v>0</v>
      </c>
      <c r="G41" s="50">
        <f>何飞!L19</f>
        <v>0</v>
      </c>
      <c r="H41" s="50">
        <f t="shared" si="0"/>
        <v>0</v>
      </c>
      <c r="I41" s="53">
        <f>何飞!J21</f>
        <v>0</v>
      </c>
    </row>
    <row r="42" spans="1:10" x14ac:dyDescent="0.15">
      <c r="A42" s="51" t="s">
        <v>47</v>
      </c>
      <c r="B42" s="50">
        <f>陈宏伟!K16</f>
        <v>0</v>
      </c>
      <c r="C42" s="50">
        <f>陈宏伟!K17</f>
        <v>17.909999999999997</v>
      </c>
      <c r="D42" s="50">
        <f>陈宏伟!K19</f>
        <v>0</v>
      </c>
      <c r="E42" s="50">
        <f>陈宏伟!L16</f>
        <v>0</v>
      </c>
      <c r="F42" s="50">
        <f>陈宏伟!L17</f>
        <v>19.028888888888854</v>
      </c>
      <c r="G42" s="50">
        <f>陈宏伟!L19</f>
        <v>0</v>
      </c>
      <c r="H42" s="50">
        <f t="shared" si="0"/>
        <v>36.938888888888854</v>
      </c>
      <c r="I42" s="53">
        <f>陈宏伟!J21</f>
        <v>0</v>
      </c>
    </row>
  </sheetData>
  <mergeCells count="5">
    <mergeCell ref="B3:D3"/>
    <mergeCell ref="E3:G3"/>
    <mergeCell ref="H3:H4"/>
    <mergeCell ref="I3:I4"/>
    <mergeCell ref="B1:G2"/>
  </mergeCells>
  <phoneticPr fontId="17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王维华'!A1" display="王维华"/>
    <hyperlink ref="A41" location="'何飞'!A1" display="何飞"/>
    <hyperlink ref="A42" location="'陈宏伟'!A1" display="陈宏伟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33"/>
  <sheetViews>
    <sheetView zoomScale="85" zoomScaleNormal="85" workbookViewId="0">
      <selection activeCell="H55" sqref="H5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3" ca="1" si="0">IF(B3="","",IF(A3="",NOW(),A3))</f>
        <v>46024.937791319397</v>
      </c>
      <c r="B3" s="5" t="s">
        <v>61</v>
      </c>
      <c r="C3" s="11">
        <v>0.93778935185185197</v>
      </c>
      <c r="D3" s="11" t="s">
        <v>62</v>
      </c>
      <c r="E3" s="11">
        <v>0.140509259259259</v>
      </c>
      <c r="F3" s="12">
        <f t="shared" ref="F3:F12" si="1">(IF(E3-C3&lt;0,"24:00"-C3+E3,E3-C3))*24</f>
        <v>4.8652777777777683</v>
      </c>
      <c r="G3" s="13">
        <f t="shared" ref="G3:G12" si="2">F3-H3</f>
        <v>1.4930555555555522</v>
      </c>
      <c r="H3" s="13">
        <f t="shared" ref="H3:H1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3.372222222222216</v>
      </c>
      <c r="I3" s="16" t="s">
        <v>63</v>
      </c>
      <c r="J3" s="17">
        <f>SUMIF(B:B,"带班主任",F:F)</f>
        <v>121.0669444444444</v>
      </c>
      <c r="K3" s="18">
        <f>SUMIF(B:B,"带班主任",G:G)</f>
        <v>88.230833333333351</v>
      </c>
      <c r="L3" s="18">
        <f>SUMIF(B:B,"带班主任",H:H)</f>
        <v>32.836111111111052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46025.541046296297</v>
      </c>
      <c r="B4" s="5" t="s">
        <v>61</v>
      </c>
      <c r="C4" s="11">
        <v>0.54104166666666698</v>
      </c>
      <c r="D4" s="11" t="s">
        <v>62</v>
      </c>
      <c r="E4" s="11">
        <v>0.79898148148148096</v>
      </c>
      <c r="F4" s="12">
        <f t="shared" si="1"/>
        <v>6.1905555555555356</v>
      </c>
      <c r="G4" s="13">
        <f t="shared" si="2"/>
        <v>6.1905555555555356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46026.133865162003</v>
      </c>
      <c r="B5" s="5" t="s">
        <v>61</v>
      </c>
      <c r="C5" s="11">
        <v>0.133854166666667</v>
      </c>
      <c r="D5" s="11" t="s">
        <v>62</v>
      </c>
      <c r="E5" s="11">
        <v>0.27111111111111103</v>
      </c>
      <c r="F5" s="12">
        <f t="shared" si="1"/>
        <v>3.2941666666666567</v>
      </c>
      <c r="G5" s="13">
        <f t="shared" si="2"/>
        <v>0</v>
      </c>
      <c r="H5" s="13">
        <f t="shared" si="3"/>
        <v>3.2941666666666567</v>
      </c>
      <c r="I5" s="21" t="s">
        <v>65</v>
      </c>
      <c r="J5" s="22">
        <f>SUMIF(B:B,"西塔台协调席",F:F)+SUMIF(B:B,"东塔台协调席",F:F)</f>
        <v>3.5841666666666487</v>
      </c>
      <c r="K5" s="23">
        <f>SUMIF(B:B,"西塔台协调席",G:G)+SUMIF(B:B,"东塔台协调席",G:G)</f>
        <v>0.97277777777776864</v>
      </c>
      <c r="L5" s="23">
        <f>SUMIF(B:B,"西塔台协调席",H:H)+SUMIF(B:B,"东塔台协调席",H:H)</f>
        <v>2.6113888888888801</v>
      </c>
      <c r="M5" s="19"/>
    </row>
    <row r="6" spans="1:16" ht="18.75" x14ac:dyDescent="0.25">
      <c r="A6" s="10">
        <f t="shared" ca="1" si="0"/>
        <v>46028.351116088001</v>
      </c>
      <c r="B6" s="5" t="s">
        <v>61</v>
      </c>
      <c r="C6" s="11">
        <v>0.35111111111111099</v>
      </c>
      <c r="D6" s="11" t="s">
        <v>62</v>
      </c>
      <c r="E6" s="11">
        <v>0.54906250000000001</v>
      </c>
      <c r="F6" s="12">
        <f t="shared" si="1"/>
        <v>4.7508333333333361</v>
      </c>
      <c r="G6" s="13">
        <f t="shared" si="2"/>
        <v>4.7508333333333361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46028.793555555603</v>
      </c>
      <c r="B7" s="5" t="s">
        <v>61</v>
      </c>
      <c r="C7" s="11">
        <v>0.79355324074074096</v>
      </c>
      <c r="D7" s="11" t="s">
        <v>62</v>
      </c>
      <c r="E7" s="11">
        <v>0.94605324074074104</v>
      </c>
      <c r="F7" s="12">
        <f t="shared" si="1"/>
        <v>3.6600000000000019</v>
      </c>
      <c r="G7" s="13">
        <f t="shared" si="2"/>
        <v>3.6600000000000019</v>
      </c>
      <c r="H7" s="13">
        <f t="shared" si="3"/>
        <v>0</v>
      </c>
      <c r="I7" s="21" t="s">
        <v>67</v>
      </c>
      <c r="J7" s="22">
        <f>SUMIF(B:B,"地面席",F:F)</f>
        <v>1.8175000000000077</v>
      </c>
      <c r="K7" s="23">
        <f>SUMIF(B:B,"地面席",G:G)</f>
        <v>0</v>
      </c>
      <c r="L7" s="23">
        <f>SUMIF(B:B,"地面席",H:H)</f>
        <v>1.8175000000000077</v>
      </c>
      <c r="M7" s="19"/>
    </row>
    <row r="8" spans="1:16" ht="18.75" x14ac:dyDescent="0.25">
      <c r="A8" s="10">
        <f t="shared" ca="1" si="0"/>
        <v>46029.295013078699</v>
      </c>
      <c r="B8" s="5" t="s">
        <v>61</v>
      </c>
      <c r="C8" s="11">
        <v>0.29501157407407402</v>
      </c>
      <c r="D8" s="11" t="s">
        <v>62</v>
      </c>
      <c r="E8" s="11">
        <v>0.54635416666666703</v>
      </c>
      <c r="F8" s="12">
        <f t="shared" si="1"/>
        <v>6.0322222222222326</v>
      </c>
      <c r="G8" s="13">
        <f t="shared" si="2"/>
        <v>5.1125000000000176</v>
      </c>
      <c r="H8" s="13">
        <f t="shared" si="3"/>
        <v>0.919722222222215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46029.937937615701</v>
      </c>
      <c r="B9" s="5" t="s">
        <v>61</v>
      </c>
      <c r="C9" s="11">
        <v>0.93792824074074099</v>
      </c>
      <c r="D9" s="11" t="s">
        <v>62</v>
      </c>
      <c r="E9" s="11">
        <v>0.13887731481481499</v>
      </c>
      <c r="F9" s="12">
        <f t="shared" si="1"/>
        <v>4.8227777777777758</v>
      </c>
      <c r="G9" s="13">
        <f t="shared" si="2"/>
        <v>1.4897222222222162</v>
      </c>
      <c r="H9" s="13">
        <f t="shared" si="3"/>
        <v>3.3330555555555597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46032.5504820602</v>
      </c>
      <c r="B10" s="5" t="s">
        <v>61</v>
      </c>
      <c r="C10" s="11">
        <v>0.354641203703704</v>
      </c>
      <c r="D10" s="11" t="s">
        <v>62</v>
      </c>
      <c r="E10" s="11">
        <v>0.54885416666666698</v>
      </c>
      <c r="F10" s="12">
        <f t="shared" si="1"/>
        <v>4.6611111111111114</v>
      </c>
      <c r="G10" s="13">
        <f t="shared" si="2"/>
        <v>4.6611111111111114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46032.7930114583</v>
      </c>
      <c r="B11" s="5" t="s">
        <v>61</v>
      </c>
      <c r="C11" s="11">
        <v>0.79300925925925903</v>
      </c>
      <c r="D11" s="11" t="s">
        <v>62</v>
      </c>
      <c r="E11" s="11">
        <v>0.94469907407407405</v>
      </c>
      <c r="F11" s="12">
        <f t="shared" si="1"/>
        <v>3.6405555555555607</v>
      </c>
      <c r="G11" s="13">
        <f t="shared" si="2"/>
        <v>3.6405555555555607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46033.292692129602</v>
      </c>
      <c r="B12" s="5" t="s">
        <v>61</v>
      </c>
      <c r="C12" s="11">
        <v>0.29268518518518499</v>
      </c>
      <c r="D12" s="11" t="s">
        <v>62</v>
      </c>
      <c r="E12" s="11">
        <v>0.548993055555556</v>
      </c>
      <c r="F12" s="12">
        <f t="shared" si="1"/>
        <v>6.1513888888889046</v>
      </c>
      <c r="G12" s="13">
        <f t="shared" si="2"/>
        <v>5.1758333333333528</v>
      </c>
      <c r="H12" s="13">
        <f t="shared" si="3"/>
        <v>0.97555555555555173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46033.938891435202</v>
      </c>
      <c r="B13" s="5" t="s">
        <v>61</v>
      </c>
      <c r="C13" s="11">
        <v>0.93888888888888899</v>
      </c>
      <c r="D13" s="11" t="s">
        <v>62</v>
      </c>
      <c r="E13" s="11">
        <v>0.13901620370370399</v>
      </c>
      <c r="F13" s="12">
        <f t="shared" ref="F13:F33" si="4">(IF(E13-C13&lt;0,"24:00"-C13+E13,E13-C13))*24</f>
        <v>4.8030555555555594</v>
      </c>
      <c r="G13" s="13">
        <f t="shared" ref="G13:G33" si="5">F13-H13</f>
        <v>1.4666666666666637</v>
      </c>
      <c r="H13" s="13">
        <f t="shared" ref="H13:H33" si="6">(IF(AND(C13&gt;=$O$3,C13&lt;$P$3,E13&gt;=$O$3,E13&lt;$P$3),E13-C13,IF(AND(C13&gt;=$O$3,C13&lt;$P$3,E13&gt;=$P$3,E13&lt;$N$3),$P$3-C13,IF(AND(C13&gt;=$P$3,C13&lt;$N$3,E13&gt;=$O$3,E13&lt;$P$3),E13,IF(AND(C13&gt;=$P$3,C13&lt;$N$3,E13&gt;=$P$3,E13&lt;$N$3),"0","none")))))*24</f>
        <v>3.3363888888888957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46036.542102662002</v>
      </c>
      <c r="B14" s="5" t="s">
        <v>61</v>
      </c>
      <c r="C14" s="11">
        <v>0.54209490740740696</v>
      </c>
      <c r="D14" s="11" t="s">
        <v>62</v>
      </c>
      <c r="E14" s="11">
        <v>0.78890046296296301</v>
      </c>
      <c r="F14" s="12">
        <f t="shared" si="4"/>
        <v>5.9233333333333453</v>
      </c>
      <c r="G14" s="13">
        <f t="shared" si="5"/>
        <v>5.9233333333333453</v>
      </c>
      <c r="H14" s="13">
        <f t="shared" si="6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46037.133659143503</v>
      </c>
      <c r="B15" s="5" t="s">
        <v>61</v>
      </c>
      <c r="C15" s="11">
        <v>0.133657407407407</v>
      </c>
      <c r="D15" s="11" t="s">
        <v>62</v>
      </c>
      <c r="E15" s="11">
        <v>0.29989583333333297</v>
      </c>
      <c r="F15" s="12">
        <f t="shared" si="4"/>
        <v>3.9897222222222233</v>
      </c>
      <c r="G15" s="13">
        <f t="shared" si="5"/>
        <v>0</v>
      </c>
      <c r="H15" s="13">
        <f t="shared" si="6"/>
        <v>3.9897222222222233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46037.791933564797</v>
      </c>
      <c r="B16" s="5" t="s">
        <v>61</v>
      </c>
      <c r="C16" s="11">
        <v>0.79193287037036997</v>
      </c>
      <c r="D16" s="11" t="s">
        <v>62</v>
      </c>
      <c r="E16" s="11">
        <v>0.94519675925925895</v>
      </c>
      <c r="F16" s="12">
        <f t="shared" si="4"/>
        <v>3.6783333333333355</v>
      </c>
      <c r="G16" s="13">
        <f t="shared" si="5"/>
        <v>3.6783333333333355</v>
      </c>
      <c r="H16" s="13">
        <f t="shared" si="6"/>
        <v>0</v>
      </c>
      <c r="I16" s="35" t="s">
        <v>63</v>
      </c>
      <c r="J16" s="36">
        <f t="shared" ref="J16:L16" si="7">J3</f>
        <v>121.0669444444444</v>
      </c>
      <c r="K16" s="37">
        <f t="shared" si="7"/>
        <v>88.230833333333351</v>
      </c>
      <c r="L16" s="38">
        <f t="shared" si="7"/>
        <v>32.836111111111052</v>
      </c>
      <c r="M16" s="39"/>
    </row>
    <row r="17" spans="1:13" ht="20.25" x14ac:dyDescent="0.25">
      <c r="A17" s="10">
        <f t="shared" ca="1" si="0"/>
        <v>46038.292459259297</v>
      </c>
      <c r="B17" s="5" t="s">
        <v>61</v>
      </c>
      <c r="C17" s="11">
        <v>0.29245370370370399</v>
      </c>
      <c r="D17" s="11" t="s">
        <v>62</v>
      </c>
      <c r="E17" s="11">
        <v>0.362604166666667</v>
      </c>
      <c r="F17" s="12">
        <f t="shared" si="4"/>
        <v>1.6836111111111123</v>
      </c>
      <c r="G17" s="13">
        <f t="shared" si="5"/>
        <v>0.70250000000001656</v>
      </c>
      <c r="H17" s="13">
        <f t="shared" si="6"/>
        <v>0.98111111111109572</v>
      </c>
      <c r="I17" s="35" t="s">
        <v>75</v>
      </c>
      <c r="J17" s="36">
        <f>J4+J5+J6+J7+J10</f>
        <v>5.4016666666666566</v>
      </c>
      <c r="K17" s="37">
        <f>K4+K5+K6+K7+K10</f>
        <v>0.97277777777776864</v>
      </c>
      <c r="L17" s="38">
        <f>L4+L5+L6+L7+L10</f>
        <v>4.4288888888888875</v>
      </c>
      <c r="M17" s="39"/>
    </row>
    <row r="18" spans="1:13" ht="20.25" x14ac:dyDescent="0.25">
      <c r="A18" s="10">
        <f t="shared" ca="1" si="0"/>
        <v>46040.986346643498</v>
      </c>
      <c r="B18" s="5" t="s">
        <v>61</v>
      </c>
      <c r="C18" s="11">
        <v>0.98634259259259205</v>
      </c>
      <c r="D18" s="11" t="s">
        <v>62</v>
      </c>
      <c r="E18" s="11">
        <v>0.13899305555555599</v>
      </c>
      <c r="F18" s="12">
        <f t="shared" si="4"/>
        <v>3.6636111111111349</v>
      </c>
      <c r="G18" s="13">
        <f t="shared" si="5"/>
        <v>0.32777777777779082</v>
      </c>
      <c r="H18" s="13">
        <f t="shared" si="6"/>
        <v>3.3358333333333441</v>
      </c>
      <c r="I18" s="35" t="s">
        <v>71</v>
      </c>
      <c r="J18" s="36">
        <f t="shared" ref="J18:L18" si="8">J11</f>
        <v>0</v>
      </c>
      <c r="K18" s="37">
        <f t="shared" si="8"/>
        <v>0</v>
      </c>
      <c r="L18" s="38">
        <f t="shared" si="8"/>
        <v>0</v>
      </c>
      <c r="M18" s="39"/>
    </row>
    <row r="19" spans="1:13" ht="20.25" x14ac:dyDescent="0.25">
      <c r="A19" s="10">
        <f t="shared" ca="1" si="0"/>
        <v>46041.543913657399</v>
      </c>
      <c r="B19" s="5" t="s">
        <v>61</v>
      </c>
      <c r="C19" s="11">
        <v>0.54391203703703705</v>
      </c>
      <c r="D19" s="11" t="s">
        <v>62</v>
      </c>
      <c r="E19" s="11">
        <v>0.77780092592592598</v>
      </c>
      <c r="F19" s="12">
        <f t="shared" si="4"/>
        <v>5.6133333333333342</v>
      </c>
      <c r="G19" s="13">
        <f t="shared" si="5"/>
        <v>5.6133333333333342</v>
      </c>
      <c r="H19" s="13">
        <f t="shared" si="6"/>
        <v>0</v>
      </c>
      <c r="I19" s="35" t="s">
        <v>76</v>
      </c>
      <c r="J19" s="36">
        <f t="shared" ref="J19:L19" si="9">J12</f>
        <v>0</v>
      </c>
      <c r="K19" s="37">
        <f t="shared" si="9"/>
        <v>0</v>
      </c>
      <c r="L19" s="38">
        <f t="shared" si="9"/>
        <v>0</v>
      </c>
      <c r="M19" s="39"/>
    </row>
    <row r="20" spans="1:13" ht="20.25" x14ac:dyDescent="0.15">
      <c r="A20" s="10">
        <f t="shared" ca="1" si="0"/>
        <v>46042.131815624998</v>
      </c>
      <c r="B20" s="5" t="s">
        <v>61</v>
      </c>
      <c r="C20" s="11">
        <v>0.13180555555555601</v>
      </c>
      <c r="D20" s="11" t="s">
        <v>62</v>
      </c>
      <c r="E20" s="11">
        <v>0.29872685185185199</v>
      </c>
      <c r="F20" s="12">
        <f t="shared" si="4"/>
        <v>4.0061111111111032</v>
      </c>
      <c r="G20" s="13">
        <f t="shared" si="5"/>
        <v>0</v>
      </c>
      <c r="H20" s="13">
        <f t="shared" si="6"/>
        <v>4.0061111111111032</v>
      </c>
      <c r="I20" s="40" t="s">
        <v>77</v>
      </c>
      <c r="J20" s="65">
        <f>J16+J17+J18+J19</f>
        <v>126.46861111111106</v>
      </c>
      <c r="K20" s="66"/>
      <c r="L20" s="67"/>
      <c r="M20" s="41"/>
    </row>
    <row r="21" spans="1:13" ht="20.25" x14ac:dyDescent="0.25">
      <c r="A21" s="10">
        <f t="shared" ca="1" si="0"/>
        <v>46044.959474884301</v>
      </c>
      <c r="B21" s="5" t="s">
        <v>78</v>
      </c>
      <c r="C21" s="11">
        <v>0.95946759259259295</v>
      </c>
      <c r="D21" s="11" t="s">
        <v>62</v>
      </c>
      <c r="E21" s="11">
        <v>0.10880787037037</v>
      </c>
      <c r="F21" s="12">
        <f t="shared" si="4"/>
        <v>3.5841666666666487</v>
      </c>
      <c r="G21" s="13">
        <f t="shared" si="5"/>
        <v>0.97277777777776864</v>
      </c>
      <c r="H21" s="13">
        <f t="shared" si="6"/>
        <v>2.6113888888888801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46045.548437847203</v>
      </c>
      <c r="B22" s="5" t="s">
        <v>61</v>
      </c>
      <c r="C22" s="11">
        <v>0.54843750000000002</v>
      </c>
      <c r="D22" s="11" t="s">
        <v>62</v>
      </c>
      <c r="E22" s="11">
        <v>0.74724537037036998</v>
      </c>
      <c r="F22" s="12">
        <f t="shared" si="4"/>
        <v>4.7713888888888789</v>
      </c>
      <c r="G22" s="13">
        <f t="shared" si="5"/>
        <v>4.7713888888888789</v>
      </c>
      <c r="H22" s="13">
        <f t="shared" si="6"/>
        <v>0</v>
      </c>
      <c r="I22"/>
      <c r="J22"/>
    </row>
    <row r="23" spans="1:13" ht="18.75" x14ac:dyDescent="0.15">
      <c r="A23" s="10">
        <f t="shared" ca="1" si="0"/>
        <v>46045.769857407402</v>
      </c>
      <c r="B23" s="5" t="s">
        <v>61</v>
      </c>
      <c r="C23" s="11">
        <v>0.76984953703703696</v>
      </c>
      <c r="D23" s="11" t="s">
        <v>62</v>
      </c>
      <c r="E23" s="11">
        <v>0.79967592592592596</v>
      </c>
      <c r="F23" s="12">
        <f t="shared" si="4"/>
        <v>0.71583333333333599</v>
      </c>
      <c r="G23" s="13">
        <f t="shared" si="5"/>
        <v>0.71583333333333599</v>
      </c>
      <c r="H23" s="13">
        <f t="shared" si="6"/>
        <v>0</v>
      </c>
      <c r="I23"/>
      <c r="J23"/>
    </row>
    <row r="24" spans="1:13" ht="18.75" x14ac:dyDescent="0.15">
      <c r="A24" s="10">
        <f t="shared" ca="1" si="0"/>
        <v>46046.140872685202</v>
      </c>
      <c r="B24" s="5" t="s">
        <v>79</v>
      </c>
      <c r="C24" s="11">
        <v>0.13888888888888901</v>
      </c>
      <c r="D24" s="11" t="s">
        <v>62</v>
      </c>
      <c r="E24" s="11">
        <v>0.21461805555555599</v>
      </c>
      <c r="F24" s="12">
        <f t="shared" si="4"/>
        <v>1.8175000000000077</v>
      </c>
      <c r="G24" s="13">
        <f t="shared" si="5"/>
        <v>0</v>
      </c>
      <c r="H24" s="13">
        <f t="shared" si="6"/>
        <v>1.8175000000000077</v>
      </c>
      <c r="I24"/>
      <c r="J24"/>
    </row>
    <row r="25" spans="1:13" ht="18.75" x14ac:dyDescent="0.15">
      <c r="A25" s="10">
        <f t="shared" ca="1" si="0"/>
        <v>46048.354336574099</v>
      </c>
      <c r="B25" s="5" t="s">
        <v>61</v>
      </c>
      <c r="C25" s="11">
        <v>0.35432870370370401</v>
      </c>
      <c r="D25" s="11" t="s">
        <v>62</v>
      </c>
      <c r="E25" s="11">
        <v>0.55574074074074098</v>
      </c>
      <c r="F25" s="12">
        <f t="shared" si="4"/>
        <v>4.8338888888888878</v>
      </c>
      <c r="G25" s="13">
        <f t="shared" si="5"/>
        <v>4.8338888888888878</v>
      </c>
      <c r="H25" s="13">
        <f t="shared" si="6"/>
        <v>0</v>
      </c>
      <c r="I25"/>
      <c r="J25"/>
    </row>
    <row r="26" spans="1:13" ht="18.75" x14ac:dyDescent="0.15">
      <c r="A26" s="10">
        <f t="shared" ca="1" si="0"/>
        <v>46048.792901967601</v>
      </c>
      <c r="B26" s="5" t="s">
        <v>61</v>
      </c>
      <c r="C26" s="11">
        <v>0.79289351851851897</v>
      </c>
      <c r="D26" s="11" t="s">
        <v>62</v>
      </c>
      <c r="E26" s="11">
        <v>0.94599537037036996</v>
      </c>
      <c r="F26" s="12">
        <f t="shared" si="4"/>
        <v>3.6744444444444238</v>
      </c>
      <c r="G26" s="13">
        <f t="shared" si="5"/>
        <v>3.6744444444444238</v>
      </c>
      <c r="H26" s="13">
        <f t="shared" si="6"/>
        <v>0</v>
      </c>
      <c r="I26"/>
      <c r="J26"/>
    </row>
    <row r="27" spans="1:13" ht="18.75" x14ac:dyDescent="0.15">
      <c r="A27" s="10">
        <f t="shared" ca="1" si="0"/>
        <v>46049.2938571759</v>
      </c>
      <c r="B27" s="5" t="s">
        <v>61</v>
      </c>
      <c r="C27" s="11">
        <v>0.29385416666666703</v>
      </c>
      <c r="D27" s="11" t="s">
        <v>62</v>
      </c>
      <c r="E27" s="11">
        <v>0.40226851851851803</v>
      </c>
      <c r="F27" s="12">
        <f t="shared" si="4"/>
        <v>2.601944444444424</v>
      </c>
      <c r="G27" s="13">
        <f t="shared" si="5"/>
        <v>1.6544444444444411</v>
      </c>
      <c r="H27" s="13">
        <f t="shared" si="6"/>
        <v>0.94749999999998291</v>
      </c>
      <c r="I27"/>
      <c r="J27"/>
    </row>
    <row r="28" spans="1:13" ht="18.75" x14ac:dyDescent="0.15">
      <c r="A28" s="10">
        <f t="shared" ca="1" si="0"/>
        <v>46049.410165509304</v>
      </c>
      <c r="B28" s="5" t="s">
        <v>61</v>
      </c>
      <c r="C28" s="11">
        <v>0.41016203703703702</v>
      </c>
      <c r="D28" s="11" t="s">
        <v>62</v>
      </c>
      <c r="E28" s="11">
        <v>0.55094907407407401</v>
      </c>
      <c r="F28" s="12">
        <f t="shared" si="4"/>
        <v>3.3788888888888877</v>
      </c>
      <c r="G28" s="13">
        <f t="shared" si="5"/>
        <v>3.3788888888888877</v>
      </c>
      <c r="H28" s="13">
        <f t="shared" si="6"/>
        <v>0</v>
      </c>
      <c r="I28"/>
      <c r="J28"/>
    </row>
    <row r="29" spans="1:13" ht="18.75" x14ac:dyDescent="0.15">
      <c r="A29" s="10">
        <f t="shared" ca="1" si="0"/>
        <v>46049.940567361104</v>
      </c>
      <c r="B29" s="5" t="s">
        <v>61</v>
      </c>
      <c r="C29" s="11">
        <v>0.94056712962962996</v>
      </c>
      <c r="D29" s="11" t="s">
        <v>62</v>
      </c>
      <c r="E29" s="11">
        <v>0.14002314814814801</v>
      </c>
      <c r="F29" s="12">
        <f t="shared" si="4"/>
        <v>4.7869444444444333</v>
      </c>
      <c r="G29" s="13">
        <f t="shared" si="5"/>
        <v>1.4263888888888809</v>
      </c>
      <c r="H29" s="13">
        <f t="shared" si="6"/>
        <v>3.3605555555555524</v>
      </c>
      <c r="I29"/>
      <c r="J29"/>
    </row>
    <row r="30" spans="1:13" ht="18.75" x14ac:dyDescent="0.15">
      <c r="A30" s="10">
        <f t="shared" ca="1" si="0"/>
        <v>46052.354822222202</v>
      </c>
      <c r="B30" s="5" t="s">
        <v>61</v>
      </c>
      <c r="C30" s="11">
        <v>0.35481481481481503</v>
      </c>
      <c r="D30" s="11" t="s">
        <v>62</v>
      </c>
      <c r="E30" s="11">
        <v>0.54611111111111099</v>
      </c>
      <c r="F30" s="12">
        <f t="shared" si="4"/>
        <v>4.5911111111111031</v>
      </c>
      <c r="G30" s="13">
        <f t="shared" si="5"/>
        <v>4.5911111111111031</v>
      </c>
      <c r="H30" s="13">
        <f t="shared" si="6"/>
        <v>0</v>
      </c>
      <c r="I30"/>
      <c r="J30"/>
    </row>
    <row r="31" spans="1:13" ht="18.75" x14ac:dyDescent="0.15">
      <c r="A31" s="10">
        <f t="shared" ca="1" si="0"/>
        <v>46052.836702893503</v>
      </c>
      <c r="B31" s="5" t="s">
        <v>61</v>
      </c>
      <c r="C31" s="11">
        <v>0.83670138888888901</v>
      </c>
      <c r="D31" s="11" t="s">
        <v>62</v>
      </c>
      <c r="E31" s="11">
        <v>0.94630787037037001</v>
      </c>
      <c r="F31" s="12">
        <f t="shared" si="4"/>
        <v>2.630555555555544</v>
      </c>
      <c r="G31" s="13">
        <f t="shared" si="5"/>
        <v>2.630555555555544</v>
      </c>
      <c r="H31" s="13">
        <f t="shared" si="6"/>
        <v>0</v>
      </c>
      <c r="I31"/>
      <c r="J31"/>
    </row>
    <row r="32" spans="1:13" ht="18.75" x14ac:dyDescent="0.15">
      <c r="A32" s="10">
        <f t="shared" ca="1" si="0"/>
        <v>46053.292333101897</v>
      </c>
      <c r="B32" s="5" t="s">
        <v>61</v>
      </c>
      <c r="C32" s="11">
        <v>0.29232638888888901</v>
      </c>
      <c r="D32" s="11" t="s">
        <v>62</v>
      </c>
      <c r="E32" s="11">
        <v>0.54870370370370403</v>
      </c>
      <c r="F32" s="12">
        <f t="shared" si="4"/>
        <v>6.1530555555555608</v>
      </c>
      <c r="G32" s="13">
        <f t="shared" si="5"/>
        <v>5.1688888888889055</v>
      </c>
      <c r="H32" s="13">
        <f t="shared" si="6"/>
        <v>0.98416666666665531</v>
      </c>
      <c r="I32"/>
      <c r="J32"/>
    </row>
    <row r="33" spans="1:10" ht="18.75" x14ac:dyDescent="0.15">
      <c r="A33" s="10">
        <f t="shared" ca="1" si="0"/>
        <v>46053.937524537003</v>
      </c>
      <c r="B33" s="5" t="s">
        <v>61</v>
      </c>
      <c r="C33" s="11">
        <v>0.93752314814814797</v>
      </c>
      <c r="D33" s="11" t="s">
        <v>62</v>
      </c>
      <c r="E33" s="11">
        <v>0.99997685185185203</v>
      </c>
      <c r="F33" s="12">
        <f t="shared" si="4"/>
        <v>1.4988888888888976</v>
      </c>
      <c r="G33" s="13">
        <f t="shared" si="5"/>
        <v>1.4988888888888976</v>
      </c>
      <c r="H33" s="13">
        <f t="shared" si="6"/>
        <v>0</v>
      </c>
      <c r="I33"/>
      <c r="J33"/>
    </row>
  </sheetData>
  <autoFilter ref="A2:K33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3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zoomScale="85" zoomScaleNormal="85" workbookViewId="0">
      <selection activeCell="H59" sqref="H5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3" ca="1" si="0">IF(B3="","",IF(A3="",NOW(),A3))</f>
        <v>46024.636437847199</v>
      </c>
      <c r="B3" s="5" t="s">
        <v>80</v>
      </c>
      <c r="C3" s="11">
        <v>0.50101851851851897</v>
      </c>
      <c r="D3" s="11" t="s">
        <v>62</v>
      </c>
      <c r="E3" s="11">
        <v>0.63299768518518496</v>
      </c>
      <c r="F3" s="12">
        <f t="shared" ref="F3:F33" si="1">(IF(E3-C3&lt;0,"24:00"-C3+E3,E3-C3))*24</f>
        <v>3.1674999999999836</v>
      </c>
      <c r="G3" s="13">
        <f t="shared" ref="G3:G33" si="2">F3-H3</f>
        <v>3.1674999999999836</v>
      </c>
      <c r="H3" s="13">
        <f t="shared" ref="H3:H33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46024.754294675899</v>
      </c>
      <c r="B4" s="5" t="s">
        <v>78</v>
      </c>
      <c r="C4" s="11">
        <v>0.75429398148148197</v>
      </c>
      <c r="D4" s="11" t="s">
        <v>62</v>
      </c>
      <c r="E4" s="11">
        <v>0.88105324074074098</v>
      </c>
      <c r="F4" s="12">
        <f t="shared" si="1"/>
        <v>3.0422222222222164</v>
      </c>
      <c r="G4" s="13">
        <f t="shared" si="2"/>
        <v>3.0422222222222164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45.675277777777758</v>
      </c>
      <c r="K4" s="23">
        <f>SUMIF(B:B,"西塔台管制席",G:G)+SUMIF(B:B,"东塔台管制席",G:G)</f>
        <v>29.546666666666667</v>
      </c>
      <c r="L4" s="23">
        <f>SUMIF(B:B,"西塔台管制席",H:H)+SUMIF(B:B,"东塔台管制席",H:H)</f>
        <v>16.128611111111091</v>
      </c>
      <c r="M4" s="19"/>
    </row>
    <row r="5" spans="1:16" ht="18.75" x14ac:dyDescent="0.25">
      <c r="A5" s="10">
        <f t="shared" ca="1" si="0"/>
        <v>46025.417022453701</v>
      </c>
      <c r="B5" s="5" t="s">
        <v>80</v>
      </c>
      <c r="C5" s="11">
        <v>0.41701388888888902</v>
      </c>
      <c r="D5" s="11" t="s">
        <v>62</v>
      </c>
      <c r="E5" s="11">
        <v>0.50670138888888905</v>
      </c>
      <c r="F5" s="12">
        <f t="shared" si="1"/>
        <v>2.1525000000000007</v>
      </c>
      <c r="G5" s="13">
        <f t="shared" si="2"/>
        <v>2.1525000000000007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26.123888888888857</v>
      </c>
      <c r="K5" s="23">
        <f>SUMIF(B:B,"西塔台协调席",G:G)+SUMIF(B:B,"东塔台协调席",G:G)</f>
        <v>20.113888888888873</v>
      </c>
      <c r="L5" s="23">
        <f>SUMIF(B:B,"西塔台协调席",H:H)+SUMIF(B:B,"东塔台协调席",H:H)</f>
        <v>6.009999999999982</v>
      </c>
      <c r="M5" s="19"/>
    </row>
    <row r="6" spans="1:16" ht="18.75" x14ac:dyDescent="0.25">
      <c r="A6" s="10">
        <f t="shared" ca="1" si="0"/>
        <v>46025.627052430602</v>
      </c>
      <c r="B6" s="5" t="s">
        <v>78</v>
      </c>
      <c r="C6" s="11">
        <v>0.62704861111111099</v>
      </c>
      <c r="D6" s="11" t="s">
        <v>62</v>
      </c>
      <c r="E6" s="11">
        <v>0.75487268518518502</v>
      </c>
      <c r="F6" s="12">
        <f t="shared" si="1"/>
        <v>3.0677777777777768</v>
      </c>
      <c r="G6" s="13">
        <f t="shared" si="2"/>
        <v>3.0677777777777768</v>
      </c>
      <c r="H6" s="13">
        <f t="shared" si="3"/>
        <v>0</v>
      </c>
      <c r="I6" s="21" t="s">
        <v>66</v>
      </c>
      <c r="J6" s="22">
        <f>SUMIF(B:B,"放行席",F:F)</f>
        <v>2.0861111111111041</v>
      </c>
      <c r="K6" s="23">
        <f>SUMIF(B:B,"放行席",G:G)</f>
        <v>0</v>
      </c>
      <c r="L6" s="23">
        <f>SUMIF(B:B,"放行席",H:H)</f>
        <v>2.0861111111111041</v>
      </c>
      <c r="M6" s="19"/>
    </row>
    <row r="7" spans="1:16" ht="18.75" x14ac:dyDescent="0.25">
      <c r="A7" s="10">
        <f t="shared" ca="1" si="0"/>
        <v>46025.834301157403</v>
      </c>
      <c r="B7" s="5" t="s">
        <v>80</v>
      </c>
      <c r="C7" s="11">
        <v>0.83429398148148104</v>
      </c>
      <c r="D7" s="11" t="s">
        <v>62</v>
      </c>
      <c r="E7" s="11">
        <v>0.96407407407407397</v>
      </c>
      <c r="F7" s="12">
        <f t="shared" si="1"/>
        <v>3.1147222222222304</v>
      </c>
      <c r="G7" s="13">
        <f t="shared" si="2"/>
        <v>3.1147222222222304</v>
      </c>
      <c r="H7" s="13">
        <f t="shared" si="3"/>
        <v>0</v>
      </c>
      <c r="I7" s="21" t="s">
        <v>67</v>
      </c>
      <c r="J7" s="22">
        <f>SUMIF(B:B,"地面席",F:F)</f>
        <v>1.9947222222222238</v>
      </c>
      <c r="K7" s="23">
        <f>SUMIF(B:B,"地面席",G:G)</f>
        <v>0</v>
      </c>
      <c r="L7" s="23">
        <f>SUMIF(B:B,"地面席",H:H)</f>
        <v>1.9947222222222238</v>
      </c>
      <c r="M7" s="19"/>
    </row>
    <row r="8" spans="1:16" ht="18.75" x14ac:dyDescent="0.25">
      <c r="A8" s="10">
        <f t="shared" ca="1" si="0"/>
        <v>46026.298197453703</v>
      </c>
      <c r="B8" s="5" t="s">
        <v>78</v>
      </c>
      <c r="C8" s="11">
        <v>0.29819444444444398</v>
      </c>
      <c r="D8" s="11" t="s">
        <v>62</v>
      </c>
      <c r="E8" s="11">
        <v>0.36347222222222197</v>
      </c>
      <c r="F8" s="12">
        <f t="shared" si="1"/>
        <v>1.5666666666666718</v>
      </c>
      <c r="G8" s="13">
        <f t="shared" si="2"/>
        <v>0.72333333333333583</v>
      </c>
      <c r="H8" s="13">
        <f t="shared" si="3"/>
        <v>0.84333333333333593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46028.958892708302</v>
      </c>
      <c r="B9" s="5" t="s">
        <v>81</v>
      </c>
      <c r="C9" s="11">
        <v>0.95888888888888901</v>
      </c>
      <c r="D9" s="11" t="s">
        <v>62</v>
      </c>
      <c r="E9" s="11">
        <v>0.111134259259259</v>
      </c>
      <c r="F9" s="12">
        <f t="shared" si="1"/>
        <v>3.6538888888888801</v>
      </c>
      <c r="G9" s="13">
        <f t="shared" si="2"/>
        <v>0.98666666666666414</v>
      </c>
      <c r="H9" s="13">
        <f t="shared" si="3"/>
        <v>2.6672222222222159</v>
      </c>
      <c r="I9" s="21" t="s">
        <v>69</v>
      </c>
      <c r="J9" s="22">
        <f>SUMIF(B:B,"航班调度席",F:F)</f>
        <v>10.488611111111091</v>
      </c>
      <c r="K9" s="23">
        <f>SUMIF(B:B,"航班调度席",G:G)</f>
        <v>10.488611111111091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46029.551243634298</v>
      </c>
      <c r="B10" s="5" t="s">
        <v>82</v>
      </c>
      <c r="C10" s="11">
        <v>0.55123842592592598</v>
      </c>
      <c r="D10" s="11" t="s">
        <v>62</v>
      </c>
      <c r="E10" s="11">
        <v>0.75626157407407402</v>
      </c>
      <c r="F10" s="12">
        <f t="shared" si="1"/>
        <v>4.9205555555555529</v>
      </c>
      <c r="G10" s="13">
        <f t="shared" si="2"/>
        <v>4.9205555555555529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46029.958393402798</v>
      </c>
      <c r="B11" s="5" t="s">
        <v>83</v>
      </c>
      <c r="C11" s="11">
        <v>0.95839120370370401</v>
      </c>
      <c r="D11" s="11" t="s">
        <v>62</v>
      </c>
      <c r="E11" s="11">
        <v>0.102002314814815</v>
      </c>
      <c r="F11" s="12">
        <f t="shared" si="1"/>
        <v>3.4466666666666637</v>
      </c>
      <c r="G11" s="13">
        <f t="shared" si="2"/>
        <v>0.99861111111110379</v>
      </c>
      <c r="H11" s="13">
        <f t="shared" si="3"/>
        <v>2.4480555555555599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46033.1320358796</v>
      </c>
      <c r="B12" s="5" t="s">
        <v>84</v>
      </c>
      <c r="C12" s="11">
        <v>0.132025462962963</v>
      </c>
      <c r="D12" s="11" t="s">
        <v>62</v>
      </c>
      <c r="E12" s="11">
        <v>0.21894675925925899</v>
      </c>
      <c r="F12" s="12">
        <f t="shared" si="1"/>
        <v>2.0861111111111041</v>
      </c>
      <c r="G12" s="13">
        <f t="shared" si="2"/>
        <v>0</v>
      </c>
      <c r="H12" s="13">
        <f t="shared" si="3"/>
        <v>2.0861111111111041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46034.1396417824</v>
      </c>
      <c r="B13" s="5" t="s">
        <v>80</v>
      </c>
      <c r="C13" s="11">
        <v>0.139641203703704</v>
      </c>
      <c r="D13" s="11" t="s">
        <v>62</v>
      </c>
      <c r="E13" s="11">
        <v>0.30768518518518501</v>
      </c>
      <c r="F13" s="12">
        <f t="shared" si="1"/>
        <v>4.0330555555555438</v>
      </c>
      <c r="G13" s="13">
        <f t="shared" si="2"/>
        <v>0</v>
      </c>
      <c r="H13" s="13">
        <f t="shared" si="3"/>
        <v>4.0330555555555438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46036.355203703701</v>
      </c>
      <c r="B14" s="5" t="s">
        <v>81</v>
      </c>
      <c r="C14" s="11">
        <v>0.35519675925925898</v>
      </c>
      <c r="D14" s="11" t="s">
        <v>62</v>
      </c>
      <c r="E14" s="11">
        <v>0.50793981481481498</v>
      </c>
      <c r="F14" s="12">
        <f t="shared" si="1"/>
        <v>3.6658333333333442</v>
      </c>
      <c r="G14" s="13">
        <f t="shared" si="2"/>
        <v>3.6658333333333442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46036.626883912002</v>
      </c>
      <c r="B15" s="5" t="s">
        <v>81</v>
      </c>
      <c r="C15" s="11">
        <v>0.62687499999999996</v>
      </c>
      <c r="D15" s="11" t="s">
        <v>62</v>
      </c>
      <c r="E15" s="11">
        <v>0.75483796296296302</v>
      </c>
      <c r="F15" s="12">
        <f t="shared" si="1"/>
        <v>3.0711111111111133</v>
      </c>
      <c r="G15" s="13">
        <f t="shared" si="2"/>
        <v>3.0711111111111133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46036.874462500004</v>
      </c>
      <c r="B16" s="5" t="s">
        <v>83</v>
      </c>
      <c r="C16" s="11">
        <v>0.87445601851851895</v>
      </c>
      <c r="D16" s="11" t="s">
        <v>62</v>
      </c>
      <c r="E16" s="11">
        <v>0.96275462962962999</v>
      </c>
      <c r="F16" s="12">
        <f t="shared" si="1"/>
        <v>2.1191666666666649</v>
      </c>
      <c r="G16" s="13">
        <f t="shared" si="2"/>
        <v>2.1191666666666649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46037.3007027778</v>
      </c>
      <c r="B17" s="5" t="s">
        <v>81</v>
      </c>
      <c r="C17" s="11">
        <v>0.30069444444444399</v>
      </c>
      <c r="D17" s="11" t="s">
        <v>62</v>
      </c>
      <c r="E17" s="11">
        <v>0.42188657407407398</v>
      </c>
      <c r="F17" s="12">
        <f t="shared" si="1"/>
        <v>2.9086111111111199</v>
      </c>
      <c r="G17" s="13">
        <f t="shared" si="2"/>
        <v>2.125277777777784</v>
      </c>
      <c r="H17" s="13">
        <f t="shared" si="3"/>
        <v>0.78333333333333588</v>
      </c>
      <c r="I17" s="35" t="s">
        <v>75</v>
      </c>
      <c r="J17" s="36">
        <f>J4+J5+J6+J7+J10</f>
        <v>75.879999999999953</v>
      </c>
      <c r="K17" s="37">
        <f>K4+K5+K6+K7+K10</f>
        <v>49.66055555555554</v>
      </c>
      <c r="L17" s="38">
        <f>L4+L5+L6+L7+L10</f>
        <v>26.219444444444402</v>
      </c>
      <c r="M17" s="39"/>
    </row>
    <row r="18" spans="1:13" ht="20.25" x14ac:dyDescent="0.25">
      <c r="A18" s="10">
        <f t="shared" ca="1" si="0"/>
        <v>46037.542037268497</v>
      </c>
      <c r="B18" s="5" t="s">
        <v>83</v>
      </c>
      <c r="C18" s="11">
        <v>0.54203703703703698</v>
      </c>
      <c r="D18" s="11" t="s">
        <v>62</v>
      </c>
      <c r="E18" s="11">
        <v>0.671145833333333</v>
      </c>
      <c r="F18" s="12">
        <f t="shared" si="1"/>
        <v>3.0986111111111043</v>
      </c>
      <c r="G18" s="13">
        <f t="shared" si="2"/>
        <v>3.0986111111111043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46037.793713425897</v>
      </c>
      <c r="B19" s="5" t="s">
        <v>81</v>
      </c>
      <c r="C19" s="11">
        <v>0.79370370370370402</v>
      </c>
      <c r="D19" s="11" t="s">
        <v>62</v>
      </c>
      <c r="E19" s="11">
        <v>0.87960648148148202</v>
      </c>
      <c r="F19" s="12">
        <f t="shared" si="1"/>
        <v>2.0616666666666719</v>
      </c>
      <c r="G19" s="13">
        <f t="shared" si="2"/>
        <v>2.0616666666666719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46040.377431828703</v>
      </c>
      <c r="B20" s="5" t="s">
        <v>82</v>
      </c>
      <c r="C20" s="11">
        <v>0.37743055555555599</v>
      </c>
      <c r="D20" s="11" t="s">
        <v>62</v>
      </c>
      <c r="E20" s="11">
        <v>0.416643518518518</v>
      </c>
      <c r="F20" s="12">
        <f t="shared" si="1"/>
        <v>0.94111111111108814</v>
      </c>
      <c r="G20" s="13">
        <f t="shared" si="2"/>
        <v>0.94111111111108814</v>
      </c>
      <c r="H20" s="13">
        <f t="shared" si="3"/>
        <v>0</v>
      </c>
      <c r="I20" s="40" t="s">
        <v>77</v>
      </c>
      <c r="J20" s="65">
        <f>J16+J17+J18+J19</f>
        <v>75.879999999999953</v>
      </c>
      <c r="K20" s="66"/>
      <c r="L20" s="67"/>
      <c r="M20" s="41"/>
    </row>
    <row r="21" spans="1:13" ht="20.25" x14ac:dyDescent="0.25">
      <c r="A21" s="10">
        <f t="shared" ca="1" si="0"/>
        <v>46040.430704861101</v>
      </c>
      <c r="B21" s="5" t="s">
        <v>82</v>
      </c>
      <c r="C21" s="11">
        <v>0.43069444444444399</v>
      </c>
      <c r="D21" s="11" t="s">
        <v>62</v>
      </c>
      <c r="E21" s="11">
        <v>0.50748842592592602</v>
      </c>
      <c r="F21" s="12">
        <f t="shared" si="1"/>
        <v>1.8430555555555688</v>
      </c>
      <c r="G21" s="13">
        <f t="shared" si="2"/>
        <v>1.8430555555555688</v>
      </c>
      <c r="H21" s="13">
        <f t="shared" si="3"/>
        <v>0</v>
      </c>
      <c r="I21" s="42" t="s">
        <v>4</v>
      </c>
      <c r="J21" s="43">
        <f>SUM(J8:J9)</f>
        <v>10.488611111111091</v>
      </c>
      <c r="K21" s="37">
        <f>SUM(K8:K9)</f>
        <v>10.488611111111091</v>
      </c>
      <c r="L21" s="38">
        <f>SUM(L8:L9)</f>
        <v>0</v>
      </c>
      <c r="M21" s="44"/>
    </row>
    <row r="22" spans="1:13" ht="18.75" x14ac:dyDescent="0.15">
      <c r="A22" s="10">
        <f t="shared" ca="1" si="0"/>
        <v>46040.622932523103</v>
      </c>
      <c r="B22" s="5" t="s">
        <v>82</v>
      </c>
      <c r="C22" s="11">
        <v>0.62292824074074105</v>
      </c>
      <c r="D22" s="11" t="s">
        <v>62</v>
      </c>
      <c r="E22" s="11">
        <v>0.73892361111111104</v>
      </c>
      <c r="F22" s="12">
        <f t="shared" si="1"/>
        <v>2.78388888888888</v>
      </c>
      <c r="G22" s="13">
        <f t="shared" si="2"/>
        <v>2.78388888888888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46041.959748148103</v>
      </c>
      <c r="B23" s="5" t="s">
        <v>81</v>
      </c>
      <c r="C23" s="11">
        <v>0.95974537037037</v>
      </c>
      <c r="D23" s="11" t="s">
        <v>62</v>
      </c>
      <c r="E23" s="11">
        <v>0.14754629629629601</v>
      </c>
      <c r="F23" s="12">
        <f t="shared" si="1"/>
        <v>4.5072222222222242</v>
      </c>
      <c r="G23" s="13">
        <f t="shared" si="2"/>
        <v>0.96611111111112002</v>
      </c>
      <c r="H23" s="13">
        <f t="shared" si="3"/>
        <v>3.5411111111111042</v>
      </c>
      <c r="I23"/>
      <c r="J23"/>
    </row>
    <row r="24" spans="1:13" ht="18.75" x14ac:dyDescent="0.15">
      <c r="A24" s="10">
        <f t="shared" ca="1" si="0"/>
        <v>46045.140693402798</v>
      </c>
      <c r="B24" s="5" t="s">
        <v>79</v>
      </c>
      <c r="C24" s="11">
        <v>0.14068287037037</v>
      </c>
      <c r="D24" s="11" t="s">
        <v>62</v>
      </c>
      <c r="E24" s="11">
        <v>0.22379629629629599</v>
      </c>
      <c r="F24" s="12">
        <f t="shared" si="1"/>
        <v>1.9947222222222238</v>
      </c>
      <c r="G24" s="13">
        <f t="shared" si="2"/>
        <v>0</v>
      </c>
      <c r="H24" s="13">
        <f t="shared" si="3"/>
        <v>1.9947222222222238</v>
      </c>
      <c r="I24"/>
      <c r="J24"/>
    </row>
    <row r="25" spans="1:13" ht="18.75" x14ac:dyDescent="0.15">
      <c r="A25" s="10">
        <f t="shared" ca="1" si="0"/>
        <v>46045.223838657403</v>
      </c>
      <c r="B25" s="5" t="s">
        <v>83</v>
      </c>
      <c r="C25" s="11">
        <v>0.223831018518519</v>
      </c>
      <c r="D25" s="11" t="s">
        <v>62</v>
      </c>
      <c r="E25" s="11">
        <v>0.30425925925925901</v>
      </c>
      <c r="F25" s="12">
        <f t="shared" si="1"/>
        <v>1.9302777777777602</v>
      </c>
      <c r="G25" s="13">
        <f t="shared" si="2"/>
        <v>0</v>
      </c>
      <c r="H25" s="13">
        <f t="shared" si="3"/>
        <v>1.9302777777777602</v>
      </c>
      <c r="I25"/>
      <c r="J25"/>
    </row>
    <row r="26" spans="1:13" ht="18.75" x14ac:dyDescent="0.15">
      <c r="A26" s="10">
        <f t="shared" ca="1" si="0"/>
        <v>46046.139585300902</v>
      </c>
      <c r="B26" s="5" t="s">
        <v>80</v>
      </c>
      <c r="C26" s="11">
        <v>0.139583333333333</v>
      </c>
      <c r="D26" s="11" t="s">
        <v>62</v>
      </c>
      <c r="E26" s="11">
        <v>0.222465277777778</v>
      </c>
      <c r="F26" s="12">
        <f t="shared" si="1"/>
        <v>1.9891666666666799</v>
      </c>
      <c r="G26" s="13">
        <f t="shared" si="2"/>
        <v>0</v>
      </c>
      <c r="H26" s="13">
        <f t="shared" si="3"/>
        <v>1.9891666666666799</v>
      </c>
      <c r="I26"/>
      <c r="J26"/>
    </row>
    <row r="27" spans="1:13" ht="18.75" x14ac:dyDescent="0.15">
      <c r="A27" s="10">
        <f t="shared" ca="1" si="0"/>
        <v>46048.501270833302</v>
      </c>
      <c r="B27" s="5" t="s">
        <v>81</v>
      </c>
      <c r="C27" s="11">
        <v>0.50126157407407401</v>
      </c>
      <c r="D27" s="11" t="s">
        <v>62</v>
      </c>
      <c r="E27" s="11">
        <v>0.63144675925925897</v>
      </c>
      <c r="F27" s="12">
        <f t="shared" si="1"/>
        <v>3.124444444444439</v>
      </c>
      <c r="G27" s="13">
        <f t="shared" si="2"/>
        <v>3.124444444444439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46048.751549189801</v>
      </c>
      <c r="B28" s="5" t="s">
        <v>83</v>
      </c>
      <c r="C28" s="11">
        <v>0.75153935185185206</v>
      </c>
      <c r="D28" s="11" t="s">
        <v>62</v>
      </c>
      <c r="E28" s="11">
        <v>0.88167824074074097</v>
      </c>
      <c r="F28" s="12">
        <f t="shared" si="1"/>
        <v>3.123333333333334</v>
      </c>
      <c r="G28" s="13">
        <f t="shared" si="2"/>
        <v>3.123333333333334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46049.4179240741</v>
      </c>
      <c r="B29" s="5" t="s">
        <v>81</v>
      </c>
      <c r="C29" s="11">
        <v>0.41791666666666699</v>
      </c>
      <c r="D29" s="11" t="s">
        <v>62</v>
      </c>
      <c r="E29" s="11">
        <v>0.502349537037037</v>
      </c>
      <c r="F29" s="12">
        <f t="shared" si="1"/>
        <v>2.0263888888888801</v>
      </c>
      <c r="G29" s="13">
        <f t="shared" si="2"/>
        <v>2.0263888888888801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46049.6287659722</v>
      </c>
      <c r="B30" s="5" t="s">
        <v>83</v>
      </c>
      <c r="C30" s="11">
        <v>0.62876157407407396</v>
      </c>
      <c r="D30" s="11" t="s">
        <v>62</v>
      </c>
      <c r="E30" s="11">
        <v>0.76159722222222204</v>
      </c>
      <c r="F30" s="12">
        <f t="shared" si="1"/>
        <v>3.1880555555555539</v>
      </c>
      <c r="G30" s="13">
        <f t="shared" si="2"/>
        <v>3.1880555555555539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46049.833722338</v>
      </c>
      <c r="B31" s="5" t="s">
        <v>81</v>
      </c>
      <c r="C31" s="11">
        <v>0.83371527777777799</v>
      </c>
      <c r="D31" s="11" t="s">
        <v>62</v>
      </c>
      <c r="E31" s="11">
        <v>0.96223379629629602</v>
      </c>
      <c r="F31" s="12">
        <f t="shared" si="1"/>
        <v>3.0844444444444328</v>
      </c>
      <c r="G31" s="13">
        <f t="shared" si="2"/>
        <v>3.0844444444444328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46050.300485648098</v>
      </c>
      <c r="B32" s="5" t="s">
        <v>83</v>
      </c>
      <c r="C32" s="11">
        <v>0.30048611111111101</v>
      </c>
      <c r="D32" s="11" t="s">
        <v>62</v>
      </c>
      <c r="E32" s="11">
        <v>0.36469907407407398</v>
      </c>
      <c r="F32" s="12">
        <f t="shared" si="1"/>
        <v>1.5411111111111113</v>
      </c>
      <c r="G32" s="13">
        <f t="shared" si="2"/>
        <v>0.75277777777778399</v>
      </c>
      <c r="H32" s="13">
        <f t="shared" si="3"/>
        <v>0.78833333333332734</v>
      </c>
      <c r="I32"/>
      <c r="J32"/>
    </row>
    <row r="33" spans="1:10" ht="18.75" x14ac:dyDescent="0.15">
      <c r="A33" s="10">
        <f t="shared" ca="1" si="0"/>
        <v>46053.014966898103</v>
      </c>
      <c r="B33" s="5" t="s">
        <v>80</v>
      </c>
      <c r="C33" s="11">
        <v>1.49652777777778E-2</v>
      </c>
      <c r="D33" s="11" t="s">
        <v>62</v>
      </c>
      <c r="E33" s="11">
        <v>0.14474537037037</v>
      </c>
      <c r="F33" s="12">
        <f t="shared" si="1"/>
        <v>3.1147222222222131</v>
      </c>
      <c r="G33" s="13">
        <f t="shared" si="2"/>
        <v>0</v>
      </c>
      <c r="H33" s="13">
        <f t="shared" si="3"/>
        <v>3.1147222222222131</v>
      </c>
      <c r="I33"/>
      <c r="J33"/>
    </row>
  </sheetData>
  <autoFilter ref="A2:K33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3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2"/>
  <sheetViews>
    <sheetView zoomScale="85" zoomScaleNormal="85" workbookViewId="0">
      <selection activeCell="H69" sqref="H6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2" ca="1" si="0">IF(B3="","",IF(A3="",NOW(),A3))</f>
        <v>46024.5008578704</v>
      </c>
      <c r="B3" s="5" t="s">
        <v>78</v>
      </c>
      <c r="C3" s="11">
        <v>0.50085648148148099</v>
      </c>
      <c r="D3" s="11" t="s">
        <v>62</v>
      </c>
      <c r="E3" s="11">
        <v>0.633969907407407</v>
      </c>
      <c r="F3" s="12">
        <f t="shared" ref="F3:F32" si="1">(IF(E3-C3&lt;0,"24:00"-C3+E3,E3-C3))*24</f>
        <v>3.1947222222222242</v>
      </c>
      <c r="G3" s="13">
        <f t="shared" ref="G3:G32" si="2">F3-H3</f>
        <v>3.1947222222222242</v>
      </c>
      <c r="H3" s="13">
        <f t="shared" ref="H3:H3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46024.7512271991</v>
      </c>
      <c r="B4" s="5" t="s">
        <v>80</v>
      </c>
      <c r="C4" s="11">
        <v>0.75122685185185201</v>
      </c>
      <c r="D4" s="11" t="s">
        <v>62</v>
      </c>
      <c r="E4" s="11">
        <v>0.88099537037037001</v>
      </c>
      <c r="F4" s="12">
        <f t="shared" si="1"/>
        <v>3.1144444444444321</v>
      </c>
      <c r="G4" s="13">
        <f t="shared" si="2"/>
        <v>3.1144444444444321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24.942499999999981</v>
      </c>
      <c r="K4" s="23">
        <f>SUMIF(B:B,"西塔台管制席",G:G)+SUMIF(B:B,"东塔台管制席",G:G)</f>
        <v>16.17166666666666</v>
      </c>
      <c r="L4" s="23">
        <f>SUMIF(B:B,"西塔台管制席",H:H)+SUMIF(B:B,"东塔台管制席",H:H)</f>
        <v>8.7708333333333233</v>
      </c>
      <c r="M4" s="19"/>
    </row>
    <row r="5" spans="1:16" ht="18.75" x14ac:dyDescent="0.25">
      <c r="A5" s="10">
        <f t="shared" ca="1" si="0"/>
        <v>46025.418592013899</v>
      </c>
      <c r="B5" s="5" t="s">
        <v>78</v>
      </c>
      <c r="C5" s="11">
        <v>0.41858796296296302</v>
      </c>
      <c r="D5" s="11" t="s">
        <v>62</v>
      </c>
      <c r="E5" s="11">
        <v>0.505694444444444</v>
      </c>
      <c r="F5" s="12">
        <f t="shared" si="1"/>
        <v>2.0905555555555435</v>
      </c>
      <c r="G5" s="13">
        <f t="shared" si="2"/>
        <v>2.0905555555555435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32.909999999999968</v>
      </c>
      <c r="K5" s="23">
        <f>SUMIF(B:B,"西塔台协调席",G:G)+SUMIF(B:B,"东塔台协调席",G:G)</f>
        <v>25.041666666666622</v>
      </c>
      <c r="L5" s="23">
        <f>SUMIF(B:B,"西塔台协调席",H:H)+SUMIF(B:B,"东塔台协调席",H:H)</f>
        <v>7.8683333333333518</v>
      </c>
      <c r="M5" s="19"/>
    </row>
    <row r="6" spans="1:16" ht="18.75" x14ac:dyDescent="0.25">
      <c r="A6" s="10">
        <f t="shared" ca="1" si="0"/>
        <v>46025.622050578699</v>
      </c>
      <c r="B6" s="5" t="s">
        <v>80</v>
      </c>
      <c r="C6" s="11">
        <v>0.62204861111111098</v>
      </c>
      <c r="D6" s="11" t="s">
        <v>62</v>
      </c>
      <c r="E6" s="11">
        <v>0.75358796296296304</v>
      </c>
      <c r="F6" s="12">
        <f t="shared" si="1"/>
        <v>3.1569444444444494</v>
      </c>
      <c r="G6" s="13">
        <f t="shared" si="2"/>
        <v>3.1569444444444494</v>
      </c>
      <c r="H6" s="13">
        <f t="shared" si="3"/>
        <v>0</v>
      </c>
      <c r="I6" s="21" t="s">
        <v>66</v>
      </c>
      <c r="J6" s="22">
        <f>SUMIF(B:B,"放行席",F:F)</f>
        <v>4.4602777777777689</v>
      </c>
      <c r="K6" s="23">
        <f>SUMIF(B:B,"放行席",G:G)</f>
        <v>0</v>
      </c>
      <c r="L6" s="23">
        <f>SUMIF(B:B,"放行席",H:H)</f>
        <v>4.4602777777777689</v>
      </c>
      <c r="M6" s="19"/>
    </row>
    <row r="7" spans="1:16" ht="18.75" x14ac:dyDescent="0.25">
      <c r="A7" s="10">
        <f t="shared" ca="1" si="0"/>
        <v>46025.834515393501</v>
      </c>
      <c r="B7" s="5" t="s">
        <v>78</v>
      </c>
      <c r="C7" s="11">
        <v>0.834513888888889</v>
      </c>
      <c r="D7" s="11" t="s">
        <v>62</v>
      </c>
      <c r="E7" s="11">
        <v>0.96442129629629603</v>
      </c>
      <c r="F7" s="12">
        <f t="shared" si="1"/>
        <v>3.1177777777777687</v>
      </c>
      <c r="G7" s="13">
        <f t="shared" si="2"/>
        <v>3.1177777777777687</v>
      </c>
      <c r="H7" s="13">
        <f t="shared" si="3"/>
        <v>0</v>
      </c>
      <c r="I7" s="21" t="s">
        <v>67</v>
      </c>
      <c r="J7" s="22">
        <f>SUMIF(B:B,"地面席",F:F)</f>
        <v>3.3972222222222239</v>
      </c>
      <c r="K7" s="23">
        <f>SUMIF(B:B,"地面席",G:G)</f>
        <v>0</v>
      </c>
      <c r="L7" s="23">
        <f>SUMIF(B:B,"地面席",H:H)</f>
        <v>3.3972222222222239</v>
      </c>
      <c r="M7" s="19"/>
    </row>
    <row r="8" spans="1:16" ht="18.75" x14ac:dyDescent="0.25">
      <c r="A8" s="10">
        <f t="shared" ca="1" si="0"/>
        <v>46026.298134722201</v>
      </c>
      <c r="B8" s="5" t="s">
        <v>80</v>
      </c>
      <c r="C8" s="11">
        <v>0.29812499999999997</v>
      </c>
      <c r="D8" s="11" t="s">
        <v>62</v>
      </c>
      <c r="E8" s="11">
        <v>0.36474537037037003</v>
      </c>
      <c r="F8" s="12">
        <f t="shared" si="1"/>
        <v>1.5988888888888813</v>
      </c>
      <c r="G8" s="13">
        <f t="shared" si="2"/>
        <v>0.75388888888888905</v>
      </c>
      <c r="H8" s="13">
        <f t="shared" si="3"/>
        <v>0.8449999999999922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46033.139135532401</v>
      </c>
      <c r="B9" s="5" t="s">
        <v>79</v>
      </c>
      <c r="C9" s="11">
        <v>0.13913194444444399</v>
      </c>
      <c r="D9" s="11" t="s">
        <v>62</v>
      </c>
      <c r="E9" s="11">
        <v>0.212824074074074</v>
      </c>
      <c r="F9" s="12">
        <f t="shared" si="1"/>
        <v>1.7686111111111202</v>
      </c>
      <c r="G9" s="13">
        <f t="shared" si="2"/>
        <v>0</v>
      </c>
      <c r="H9" s="13">
        <f t="shared" si="3"/>
        <v>1.7686111111111202</v>
      </c>
      <c r="I9" s="21" t="s">
        <v>69</v>
      </c>
      <c r="J9" s="22">
        <f>SUMIF(B:B,"航班调度席",F:F)</f>
        <v>6.2727777777777867</v>
      </c>
      <c r="K9" s="23">
        <f>SUMIF(B:B,"航班调度席",G:G)</f>
        <v>6.2727777777777867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46033.212860879597</v>
      </c>
      <c r="B10" s="5" t="s">
        <v>78</v>
      </c>
      <c r="C10" s="11">
        <v>0.212858796296296</v>
      </c>
      <c r="D10" s="11" t="s">
        <v>62</v>
      </c>
      <c r="E10" s="11">
        <v>0.3021875</v>
      </c>
      <c r="F10" s="12">
        <f t="shared" si="1"/>
        <v>2.1438888888888958</v>
      </c>
      <c r="G10" s="13">
        <f t="shared" si="2"/>
        <v>0</v>
      </c>
      <c r="H10" s="13">
        <f t="shared" si="3"/>
        <v>2.1438888888888958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46034.1395253472</v>
      </c>
      <c r="B11" s="5" t="s">
        <v>79</v>
      </c>
      <c r="C11" s="11">
        <v>0.139525462962963</v>
      </c>
      <c r="D11" s="11" t="s">
        <v>62</v>
      </c>
      <c r="E11" s="11">
        <v>0.20738425925925899</v>
      </c>
      <c r="F11" s="12">
        <f t="shared" si="1"/>
        <v>1.6286111111111037</v>
      </c>
      <c r="G11" s="13">
        <f t="shared" si="2"/>
        <v>0</v>
      </c>
      <c r="H11" s="13">
        <f t="shared" si="3"/>
        <v>1.6286111111111037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46034.207417592603</v>
      </c>
      <c r="B12" s="5" t="s">
        <v>78</v>
      </c>
      <c r="C12" s="11">
        <v>0.20740740740740701</v>
      </c>
      <c r="D12" s="11" t="s">
        <v>62</v>
      </c>
      <c r="E12" s="11">
        <v>0.30763888888888902</v>
      </c>
      <c r="F12" s="12">
        <f t="shared" si="1"/>
        <v>2.4055555555555683</v>
      </c>
      <c r="G12" s="13">
        <f t="shared" si="2"/>
        <v>0</v>
      </c>
      <c r="H12" s="13">
        <f t="shared" si="3"/>
        <v>2.4055555555555683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46036.355336226901</v>
      </c>
      <c r="B13" s="5" t="s">
        <v>83</v>
      </c>
      <c r="C13" s="11">
        <v>0.355335648148148</v>
      </c>
      <c r="D13" s="11" t="s">
        <v>62</v>
      </c>
      <c r="E13" s="11">
        <v>0.48109953703703701</v>
      </c>
      <c r="F13" s="12">
        <f t="shared" si="1"/>
        <v>3.0183333333333362</v>
      </c>
      <c r="G13" s="13">
        <f t="shared" si="2"/>
        <v>3.0183333333333362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46036.606142939803</v>
      </c>
      <c r="B14" s="5" t="s">
        <v>83</v>
      </c>
      <c r="C14" s="11">
        <v>0.60613425925925901</v>
      </c>
      <c r="D14" s="11" t="s">
        <v>62</v>
      </c>
      <c r="E14" s="11">
        <v>0.75084490740740695</v>
      </c>
      <c r="F14" s="12">
        <f t="shared" si="1"/>
        <v>3.4730555555555505</v>
      </c>
      <c r="G14" s="13">
        <f t="shared" si="2"/>
        <v>3.4730555555555505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46036.8758123843</v>
      </c>
      <c r="B15" s="5" t="s">
        <v>81</v>
      </c>
      <c r="C15" s="11">
        <v>0.87581018518518505</v>
      </c>
      <c r="D15" s="11" t="s">
        <v>62</v>
      </c>
      <c r="E15" s="11">
        <v>0.96266203703703701</v>
      </c>
      <c r="F15" s="12">
        <f t="shared" si="1"/>
        <v>2.084444444444447</v>
      </c>
      <c r="G15" s="13">
        <f t="shared" si="2"/>
        <v>2.084444444444447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46037.301060416699</v>
      </c>
      <c r="B16" s="5" t="s">
        <v>83</v>
      </c>
      <c r="C16" s="11">
        <v>0.30105324074074102</v>
      </c>
      <c r="D16" s="11" t="s">
        <v>62</v>
      </c>
      <c r="E16" s="11">
        <v>0.30603009259259301</v>
      </c>
      <c r="F16" s="12">
        <f t="shared" si="1"/>
        <v>0.11944444444444757</v>
      </c>
      <c r="G16" s="13">
        <f t="shared" si="2"/>
        <v>0</v>
      </c>
      <c r="H16" s="13">
        <f t="shared" si="3"/>
        <v>0.11944444444444757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46037.306174768499</v>
      </c>
      <c r="B17" s="5" t="s">
        <v>83</v>
      </c>
      <c r="C17" s="11">
        <v>0.30616898148148097</v>
      </c>
      <c r="D17" s="11" t="s">
        <v>62</v>
      </c>
      <c r="E17" s="11">
        <v>0.37719907407407399</v>
      </c>
      <c r="F17" s="12">
        <f t="shared" si="1"/>
        <v>1.7047222222222325</v>
      </c>
      <c r="G17" s="13">
        <f t="shared" si="2"/>
        <v>1.0527777777777843</v>
      </c>
      <c r="H17" s="13">
        <f t="shared" si="3"/>
        <v>0.65194444444444821</v>
      </c>
      <c r="I17" s="35" t="s">
        <v>75</v>
      </c>
      <c r="J17" s="36">
        <f>J4+J5+J6+J7+J10</f>
        <v>65.709999999999937</v>
      </c>
      <c r="K17" s="37">
        <f>K4+K5+K6+K7+K10</f>
        <v>41.213333333333281</v>
      </c>
      <c r="L17" s="38">
        <f>L4+L5+L6+L7+L10</f>
        <v>24.49666666666667</v>
      </c>
      <c r="M17" s="39"/>
    </row>
    <row r="18" spans="1:13" ht="20.25" x14ac:dyDescent="0.25">
      <c r="A18" s="10">
        <f t="shared" ca="1" si="0"/>
        <v>46037.389145023102</v>
      </c>
      <c r="B18" s="5" t="s">
        <v>83</v>
      </c>
      <c r="C18" s="11">
        <v>0.38914351851851903</v>
      </c>
      <c r="D18" s="11" t="s">
        <v>62</v>
      </c>
      <c r="E18" s="11">
        <v>0.42277777777777797</v>
      </c>
      <c r="F18" s="12">
        <f t="shared" si="1"/>
        <v>0.80722222222221474</v>
      </c>
      <c r="G18" s="13">
        <f t="shared" si="2"/>
        <v>0.80722222222221474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46037.542175578703</v>
      </c>
      <c r="B19" s="5" t="s">
        <v>81</v>
      </c>
      <c r="C19" s="11">
        <v>0.54217592592592601</v>
      </c>
      <c r="D19" s="11" t="s">
        <v>62</v>
      </c>
      <c r="E19" s="11">
        <v>0.67333333333333301</v>
      </c>
      <c r="F19" s="12">
        <f t="shared" si="1"/>
        <v>3.147777777777768</v>
      </c>
      <c r="G19" s="13">
        <f t="shared" si="2"/>
        <v>3.147777777777768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46037.792231944397</v>
      </c>
      <c r="B20" s="5" t="s">
        <v>83</v>
      </c>
      <c r="C20" s="11">
        <v>0.79222222222222205</v>
      </c>
      <c r="D20" s="11" t="s">
        <v>62</v>
      </c>
      <c r="E20" s="11">
        <v>0.88054398148148105</v>
      </c>
      <c r="F20" s="12">
        <f t="shared" si="1"/>
        <v>2.1197222222222161</v>
      </c>
      <c r="G20" s="13">
        <f t="shared" si="2"/>
        <v>2.1197222222222161</v>
      </c>
      <c r="H20" s="13">
        <f t="shared" si="3"/>
        <v>0</v>
      </c>
      <c r="I20" s="40" t="s">
        <v>77</v>
      </c>
      <c r="J20" s="65">
        <f>J16+J17+J18+J19</f>
        <v>65.709999999999937</v>
      </c>
      <c r="K20" s="66"/>
      <c r="L20" s="67"/>
      <c r="M20" s="41"/>
    </row>
    <row r="21" spans="1:13" ht="20.25" x14ac:dyDescent="0.25">
      <c r="A21" s="10">
        <f t="shared" ca="1" si="0"/>
        <v>46041.3779699074</v>
      </c>
      <c r="B21" s="5" t="s">
        <v>82</v>
      </c>
      <c r="C21" s="11">
        <v>0.377962962962963</v>
      </c>
      <c r="D21" s="11" t="s">
        <v>62</v>
      </c>
      <c r="E21" s="11">
        <v>0.54704861111111103</v>
      </c>
      <c r="F21" s="12">
        <f t="shared" si="1"/>
        <v>4.0580555555555531</v>
      </c>
      <c r="G21" s="13">
        <f t="shared" si="2"/>
        <v>4.0580555555555531</v>
      </c>
      <c r="H21" s="13">
        <f t="shared" si="3"/>
        <v>0</v>
      </c>
      <c r="I21" s="42" t="s">
        <v>4</v>
      </c>
      <c r="J21" s="43">
        <f>SUM(J8:J9)</f>
        <v>6.2727777777777867</v>
      </c>
      <c r="K21" s="37">
        <f>SUM(K8:K9)</f>
        <v>6.2727777777777867</v>
      </c>
      <c r="L21" s="38">
        <f>SUM(L8:L9)</f>
        <v>0</v>
      </c>
      <c r="M21" s="44"/>
    </row>
    <row r="22" spans="1:13" ht="18.75" x14ac:dyDescent="0.15">
      <c r="A22" s="10">
        <f t="shared" ca="1" si="0"/>
        <v>46041.6642244213</v>
      </c>
      <c r="B22" s="5" t="s">
        <v>82</v>
      </c>
      <c r="C22" s="11">
        <v>0.66422453703703699</v>
      </c>
      <c r="D22" s="11" t="s">
        <v>62</v>
      </c>
      <c r="E22" s="11">
        <v>0.75650462962963005</v>
      </c>
      <c r="F22" s="12">
        <f t="shared" si="1"/>
        <v>2.2147222222222336</v>
      </c>
      <c r="G22" s="13">
        <f t="shared" si="2"/>
        <v>2.2147222222222336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46042.014886805599</v>
      </c>
      <c r="B23" s="5" t="s">
        <v>81</v>
      </c>
      <c r="C23" s="11">
        <v>1.48842592592593E-2</v>
      </c>
      <c r="D23" s="11" t="s">
        <v>62</v>
      </c>
      <c r="E23" s="11">
        <v>1.6423611111111101E-2</v>
      </c>
      <c r="F23" s="12">
        <f t="shared" si="1"/>
        <v>3.6944444444443211E-2</v>
      </c>
      <c r="G23" s="13">
        <f t="shared" si="2"/>
        <v>0</v>
      </c>
      <c r="H23" s="13">
        <f t="shared" si="3"/>
        <v>3.6944444444443211E-2</v>
      </c>
      <c r="I23"/>
      <c r="J23"/>
    </row>
    <row r="24" spans="1:13" ht="18.75" x14ac:dyDescent="0.15">
      <c r="A24" s="10">
        <f t="shared" ca="1" si="0"/>
        <v>46042.016458333303</v>
      </c>
      <c r="B24" s="5" t="s">
        <v>80</v>
      </c>
      <c r="C24" s="11">
        <v>1.6458333333333301E-2</v>
      </c>
      <c r="D24" s="11" t="s">
        <v>62</v>
      </c>
      <c r="E24" s="11">
        <v>0.149363425925926</v>
      </c>
      <c r="F24" s="12">
        <f t="shared" si="1"/>
        <v>3.1897222222222248</v>
      </c>
      <c r="G24" s="13">
        <f t="shared" si="2"/>
        <v>0</v>
      </c>
      <c r="H24" s="13">
        <f t="shared" si="3"/>
        <v>3.1897222222222248</v>
      </c>
      <c r="I24"/>
      <c r="J24"/>
    </row>
    <row r="25" spans="1:13" ht="18.75" x14ac:dyDescent="0.15">
      <c r="A25" s="10">
        <f t="shared" ca="1" si="0"/>
        <v>46045.133302661998</v>
      </c>
      <c r="B25" s="5" t="s">
        <v>84</v>
      </c>
      <c r="C25" s="11">
        <v>0.13329861111111099</v>
      </c>
      <c r="D25" s="11" t="s">
        <v>62</v>
      </c>
      <c r="E25" s="11">
        <v>0.22567129629629601</v>
      </c>
      <c r="F25" s="12">
        <f t="shared" si="1"/>
        <v>2.2169444444444402</v>
      </c>
      <c r="G25" s="13">
        <f t="shared" si="2"/>
        <v>0</v>
      </c>
      <c r="H25" s="13">
        <f t="shared" si="3"/>
        <v>2.2169444444444402</v>
      </c>
      <c r="I25"/>
      <c r="J25"/>
    </row>
    <row r="26" spans="1:13" ht="18.75" x14ac:dyDescent="0.15">
      <c r="A26" s="10">
        <f t="shared" ca="1" si="0"/>
        <v>46046.139853819397</v>
      </c>
      <c r="B26" s="5" t="s">
        <v>81</v>
      </c>
      <c r="C26" s="11">
        <v>0.13984953703703701</v>
      </c>
      <c r="D26" s="11" t="s">
        <v>62</v>
      </c>
      <c r="E26" s="11">
        <v>0.304224537037037</v>
      </c>
      <c r="F26" s="12">
        <f t="shared" si="1"/>
        <v>3.9449999999999998</v>
      </c>
      <c r="G26" s="13">
        <f t="shared" si="2"/>
        <v>0</v>
      </c>
      <c r="H26" s="13">
        <f t="shared" si="3"/>
        <v>3.9449999999999998</v>
      </c>
      <c r="I26"/>
      <c r="J26"/>
    </row>
    <row r="27" spans="1:13" ht="18.75" x14ac:dyDescent="0.15">
      <c r="A27" s="10">
        <f t="shared" ca="1" si="0"/>
        <v>46048.9605814815</v>
      </c>
      <c r="B27" s="5" t="s">
        <v>83</v>
      </c>
      <c r="C27" s="11">
        <v>0.96057870370370402</v>
      </c>
      <c r="D27" s="11" t="s">
        <v>62</v>
      </c>
      <c r="E27" s="11">
        <v>0.106145833333333</v>
      </c>
      <c r="F27" s="12">
        <f t="shared" si="1"/>
        <v>3.4936111111110955</v>
      </c>
      <c r="G27" s="13">
        <f t="shared" si="2"/>
        <v>0.94611111111110358</v>
      </c>
      <c r="H27" s="13">
        <f t="shared" si="3"/>
        <v>2.5474999999999919</v>
      </c>
      <c r="I27"/>
      <c r="J27"/>
    </row>
    <row r="28" spans="1:13" ht="18.75" x14ac:dyDescent="0.15">
      <c r="A28" s="10">
        <f t="shared" ca="1" si="0"/>
        <v>46049.460146643498</v>
      </c>
      <c r="B28" s="5" t="s">
        <v>83</v>
      </c>
      <c r="C28" s="11">
        <v>0.46013888888888899</v>
      </c>
      <c r="D28" s="11" t="s">
        <v>62</v>
      </c>
      <c r="E28" s="11">
        <v>0.54719907407407398</v>
      </c>
      <c r="F28" s="12">
        <f t="shared" si="1"/>
        <v>2.0894444444444398</v>
      </c>
      <c r="G28" s="13">
        <f t="shared" si="2"/>
        <v>2.0894444444444398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46049.6268305556</v>
      </c>
      <c r="B29" s="5" t="s">
        <v>81</v>
      </c>
      <c r="C29" s="11">
        <v>0.62685185185185199</v>
      </c>
      <c r="D29" s="11" t="s">
        <v>62</v>
      </c>
      <c r="E29" s="11">
        <v>0.75782407407407404</v>
      </c>
      <c r="F29" s="12">
        <f t="shared" si="1"/>
        <v>3.1433333333333291</v>
      </c>
      <c r="G29" s="13">
        <f t="shared" si="2"/>
        <v>3.1433333333333291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46049.8336486111</v>
      </c>
      <c r="B30" s="5" t="s">
        <v>83</v>
      </c>
      <c r="C30" s="11">
        <v>0.83364583333333298</v>
      </c>
      <c r="D30" s="11" t="s">
        <v>62</v>
      </c>
      <c r="E30" s="11">
        <v>0.96414351851851798</v>
      </c>
      <c r="F30" s="12">
        <f t="shared" si="1"/>
        <v>3.1319444444444402</v>
      </c>
      <c r="G30" s="13">
        <f t="shared" si="2"/>
        <v>3.1319444444444402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46050.301914120399</v>
      </c>
      <c r="B31" s="5" t="s">
        <v>81</v>
      </c>
      <c r="C31" s="11">
        <v>0.30190972222222201</v>
      </c>
      <c r="D31" s="11" t="s">
        <v>62</v>
      </c>
      <c r="E31" s="11">
        <v>0.36545138888888901</v>
      </c>
      <c r="F31" s="12">
        <f t="shared" si="1"/>
        <v>1.5250000000000079</v>
      </c>
      <c r="G31" s="13">
        <f t="shared" si="2"/>
        <v>0.77083333333334458</v>
      </c>
      <c r="H31" s="13">
        <f t="shared" si="3"/>
        <v>0.75416666666666332</v>
      </c>
      <c r="I31"/>
      <c r="J31"/>
    </row>
    <row r="32" spans="1:13" ht="18.75" x14ac:dyDescent="0.15">
      <c r="A32" s="10">
        <f t="shared" ca="1" si="0"/>
        <v>46053.133572453698</v>
      </c>
      <c r="B32" s="5" t="s">
        <v>84</v>
      </c>
      <c r="C32" s="11">
        <v>0.133564814814815</v>
      </c>
      <c r="D32" s="11" t="s">
        <v>62</v>
      </c>
      <c r="E32" s="11">
        <v>0.22703703703703701</v>
      </c>
      <c r="F32" s="12">
        <f t="shared" si="1"/>
        <v>2.2433333333333283</v>
      </c>
      <c r="G32" s="13">
        <f t="shared" si="2"/>
        <v>0</v>
      </c>
      <c r="H32" s="13">
        <f t="shared" si="3"/>
        <v>2.2433333333333283</v>
      </c>
      <c r="I32"/>
      <c r="J32"/>
    </row>
  </sheetData>
  <autoFilter ref="A2:K32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6"/>
  <sheetViews>
    <sheetView zoomScale="85" zoomScaleNormal="85" workbookViewId="0">
      <selection activeCell="D47" sqref="D4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6" ca="1" si="0">IF(B3="","",IF(A3="",NOW(),A3))</f>
        <v>46023.293148726902</v>
      </c>
      <c r="B3" s="5" t="s">
        <v>81</v>
      </c>
      <c r="C3" s="11">
        <v>0.29314814814814799</v>
      </c>
      <c r="D3" s="11" t="s">
        <v>62</v>
      </c>
      <c r="E3" s="11">
        <v>0.463784722222222</v>
      </c>
      <c r="F3" s="12">
        <f t="shared" ref="F3:F26" si="1">(IF(E3-C3&lt;0,"24:00"-C3+E3,E3-C3))*24</f>
        <v>4.0952777777777758</v>
      </c>
      <c r="G3" s="13">
        <f t="shared" ref="G3:G26" si="2">F3-H3</f>
        <v>3.130833333333336</v>
      </c>
      <c r="H3" s="13">
        <f t="shared" ref="H3:H2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0.96444444444443977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46023.627330555602</v>
      </c>
      <c r="B4" s="5" t="s">
        <v>83</v>
      </c>
      <c r="C4" s="11">
        <v>0.62732638888888903</v>
      </c>
      <c r="D4" s="11" t="s">
        <v>62</v>
      </c>
      <c r="E4" s="11">
        <v>0.79789351851851897</v>
      </c>
      <c r="F4" s="12">
        <f t="shared" si="1"/>
        <v>4.0936111111111186</v>
      </c>
      <c r="G4" s="13">
        <f t="shared" si="2"/>
        <v>4.0936111111111186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18.027222222222235</v>
      </c>
      <c r="K4" s="23">
        <f>SUMIF(B:B,"西塔台管制席",G:G)+SUMIF(B:B,"东塔台管制席",G:G)</f>
        <v>6.9538888888889039</v>
      </c>
      <c r="L4" s="23">
        <f>SUMIF(B:B,"西塔台管制席",H:H)+SUMIF(B:B,"东塔台管制席",H:H)</f>
        <v>11.073333333333334</v>
      </c>
      <c r="M4" s="19"/>
    </row>
    <row r="5" spans="1:16" ht="18.75" x14ac:dyDescent="0.25">
      <c r="A5" s="10">
        <f t="shared" ca="1" si="0"/>
        <v>46027.131978587997</v>
      </c>
      <c r="B5" s="5" t="s">
        <v>84</v>
      </c>
      <c r="C5" s="11">
        <v>0.131967592592593</v>
      </c>
      <c r="D5" s="11" t="s">
        <v>62</v>
      </c>
      <c r="E5" s="11">
        <v>0.224525462962963</v>
      </c>
      <c r="F5" s="12">
        <f t="shared" si="1"/>
        <v>2.22138888888888</v>
      </c>
      <c r="G5" s="13">
        <f t="shared" si="2"/>
        <v>0</v>
      </c>
      <c r="H5" s="13">
        <f t="shared" si="3"/>
        <v>2.22138888888888</v>
      </c>
      <c r="I5" s="21" t="s">
        <v>65</v>
      </c>
      <c r="J5" s="22">
        <f>SUMIF(B:B,"西塔台协调席",F:F)+SUMIF(B:B,"东塔台协调席",F:F)</f>
        <v>18.451666666666693</v>
      </c>
      <c r="K5" s="23">
        <f>SUMIF(B:B,"西塔台协调席",G:G)+SUMIF(B:B,"东塔台协调席",G:G)</f>
        <v>11.937777777777789</v>
      </c>
      <c r="L5" s="23">
        <f>SUMIF(B:B,"西塔台协调席",H:H)+SUMIF(B:B,"东塔台协调席",H:H)</f>
        <v>6.5138888888889026</v>
      </c>
      <c r="M5" s="19"/>
    </row>
    <row r="6" spans="1:16" ht="18.75" x14ac:dyDescent="0.25">
      <c r="A6" s="10">
        <f t="shared" ca="1" si="0"/>
        <v>46028.139340740701</v>
      </c>
      <c r="B6" s="5" t="s">
        <v>80</v>
      </c>
      <c r="C6" s="11">
        <v>0.13934027777777799</v>
      </c>
      <c r="D6" s="11" t="s">
        <v>62</v>
      </c>
      <c r="E6" s="11">
        <v>0.244398148148148</v>
      </c>
      <c r="F6" s="12">
        <f t="shared" si="1"/>
        <v>2.5213888888888802</v>
      </c>
      <c r="G6" s="13">
        <f t="shared" si="2"/>
        <v>0</v>
      </c>
      <c r="H6" s="13">
        <f t="shared" si="3"/>
        <v>2.5213888888888802</v>
      </c>
      <c r="I6" s="21" t="s">
        <v>66</v>
      </c>
      <c r="J6" s="22">
        <f>SUMIF(B:B,"放行席",F:F)</f>
        <v>6.3361111111110962</v>
      </c>
      <c r="K6" s="23">
        <f>SUMIF(B:B,"放行席",G:G)</f>
        <v>0</v>
      </c>
      <c r="L6" s="23">
        <f>SUMIF(B:B,"放行席",H:H)</f>
        <v>6.3361111111110962</v>
      </c>
      <c r="M6" s="19"/>
    </row>
    <row r="7" spans="1:16" ht="18.75" x14ac:dyDescent="0.25">
      <c r="A7" s="10">
        <f t="shared" ca="1" si="0"/>
        <v>46028.244452893501</v>
      </c>
      <c r="B7" s="5" t="s">
        <v>83</v>
      </c>
      <c r="C7" s="11">
        <v>0.24444444444444399</v>
      </c>
      <c r="D7" s="11" t="s">
        <v>62</v>
      </c>
      <c r="E7" s="11">
        <v>0.29883101851851901</v>
      </c>
      <c r="F7" s="12">
        <f t="shared" si="1"/>
        <v>1.3052777777778004</v>
      </c>
      <c r="G7" s="13">
        <f t="shared" si="2"/>
        <v>0</v>
      </c>
      <c r="H7" s="13">
        <f t="shared" si="3"/>
        <v>1.3052777777778004</v>
      </c>
      <c r="I7" s="21" t="s">
        <v>67</v>
      </c>
      <c r="J7" s="22">
        <f>SUMIF(B:B,"地面席",F:F)</f>
        <v>3.6936111111110872</v>
      </c>
      <c r="K7" s="23">
        <f>SUMIF(B:B,"地面席",G:G)</f>
        <v>0</v>
      </c>
      <c r="L7" s="23">
        <f>SUMIF(B:B,"地面席",H:H)</f>
        <v>3.6936111111110872</v>
      </c>
      <c r="M7" s="19"/>
    </row>
    <row r="8" spans="1:16" ht="18.75" x14ac:dyDescent="0.25">
      <c r="A8" s="10">
        <f t="shared" ca="1" si="0"/>
        <v>46031.1379884259</v>
      </c>
      <c r="B8" s="5" t="s">
        <v>79</v>
      </c>
      <c r="C8" s="11">
        <v>0.137986111111111</v>
      </c>
      <c r="D8" s="11" t="s">
        <v>62</v>
      </c>
      <c r="E8" s="11">
        <v>0.21600694444444399</v>
      </c>
      <c r="F8" s="12">
        <f t="shared" si="1"/>
        <v>1.8724999999999916</v>
      </c>
      <c r="G8" s="13">
        <f t="shared" si="2"/>
        <v>0</v>
      </c>
      <c r="H8" s="13">
        <f t="shared" si="3"/>
        <v>1.8724999999999916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46032.134645949103</v>
      </c>
      <c r="B9" s="5" t="s">
        <v>84</v>
      </c>
      <c r="C9" s="11">
        <v>0.134641203703704</v>
      </c>
      <c r="D9" s="11" t="s">
        <v>62</v>
      </c>
      <c r="E9" s="11">
        <v>0.21795138888888901</v>
      </c>
      <c r="F9" s="12">
        <f t="shared" si="1"/>
        <v>1.9994444444444404</v>
      </c>
      <c r="G9" s="13">
        <f t="shared" si="2"/>
        <v>0</v>
      </c>
      <c r="H9" s="13">
        <f t="shared" si="3"/>
        <v>1.9994444444444404</v>
      </c>
      <c r="I9" s="21" t="s">
        <v>69</v>
      </c>
      <c r="J9" s="22">
        <f>SUMIF(B:B,"航班调度席",F:F)</f>
        <v>10.866944444444421</v>
      </c>
      <c r="K9" s="23">
        <f>SUMIF(B:B,"航班调度席",G:G)</f>
        <v>10.866944444444421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46034.374375810199</v>
      </c>
      <c r="B10" s="5" t="s">
        <v>82</v>
      </c>
      <c r="C10" s="11">
        <v>0.36916666666666698</v>
      </c>
      <c r="D10" s="11" t="s">
        <v>62</v>
      </c>
      <c r="E10" s="11">
        <v>0.49914351851851901</v>
      </c>
      <c r="F10" s="12">
        <f t="shared" si="1"/>
        <v>3.1194444444444489</v>
      </c>
      <c r="G10" s="13">
        <f t="shared" si="2"/>
        <v>3.1194444444444489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46034.605284259298</v>
      </c>
      <c r="B11" s="5" t="s">
        <v>82</v>
      </c>
      <c r="C11" s="11">
        <v>0.60527777777777803</v>
      </c>
      <c r="D11" s="11" t="s">
        <v>62</v>
      </c>
      <c r="E11" s="11">
        <v>0.74425925925925895</v>
      </c>
      <c r="F11" s="12">
        <f t="shared" si="1"/>
        <v>3.3355555555555423</v>
      </c>
      <c r="G11" s="13">
        <f t="shared" si="2"/>
        <v>3.3355555555555423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46035.377128125001</v>
      </c>
      <c r="B12" s="5" t="s">
        <v>82</v>
      </c>
      <c r="C12" s="11">
        <v>0.377118055555556</v>
      </c>
      <c r="D12" s="11" t="s">
        <v>62</v>
      </c>
      <c r="E12" s="11">
        <v>0.487418981481481</v>
      </c>
      <c r="F12" s="12">
        <f t="shared" si="1"/>
        <v>2.6472222222221999</v>
      </c>
      <c r="G12" s="13">
        <f t="shared" si="2"/>
        <v>2.6472222222221999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46035.675242476798</v>
      </c>
      <c r="B13" s="5" t="s">
        <v>82</v>
      </c>
      <c r="C13" s="11">
        <v>0.67523148148148104</v>
      </c>
      <c r="D13" s="11" t="s">
        <v>62</v>
      </c>
      <c r="E13" s="11">
        <v>0.74876157407407395</v>
      </c>
      <c r="F13" s="12">
        <f t="shared" si="1"/>
        <v>1.7647222222222299</v>
      </c>
      <c r="G13" s="13">
        <f t="shared" si="2"/>
        <v>1.7647222222222299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46035.748810879602</v>
      </c>
      <c r="B14" s="5" t="s">
        <v>83</v>
      </c>
      <c r="C14" s="11">
        <v>0.74880787037037</v>
      </c>
      <c r="D14" s="11" t="s">
        <v>62</v>
      </c>
      <c r="E14" s="11">
        <v>0.79851851851851896</v>
      </c>
      <c r="F14" s="12">
        <f t="shared" si="1"/>
        <v>1.1930555555555751</v>
      </c>
      <c r="G14" s="13">
        <f t="shared" si="2"/>
        <v>1.1930555555555751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46036.292768171297</v>
      </c>
      <c r="B15" s="5" t="s">
        <v>83</v>
      </c>
      <c r="C15" s="11">
        <v>0.29276620370370399</v>
      </c>
      <c r="D15" s="11" t="s">
        <v>62</v>
      </c>
      <c r="E15" s="11">
        <v>0.365069444444444</v>
      </c>
      <c r="F15" s="12">
        <f t="shared" si="1"/>
        <v>1.7352777777777604</v>
      </c>
      <c r="G15" s="13">
        <f t="shared" si="2"/>
        <v>0.76166666666666449</v>
      </c>
      <c r="H15" s="13">
        <f t="shared" si="3"/>
        <v>0.97361111111109588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46039.014134375</v>
      </c>
      <c r="B16" s="5" t="s">
        <v>83</v>
      </c>
      <c r="C16" s="11">
        <v>1.41319444444444E-2</v>
      </c>
      <c r="D16" s="11" t="s">
        <v>62</v>
      </c>
      <c r="E16" s="11">
        <v>0.139872685185185</v>
      </c>
      <c r="F16" s="12">
        <f t="shared" si="1"/>
        <v>3.0177777777777743</v>
      </c>
      <c r="G16" s="13">
        <f t="shared" si="2"/>
        <v>0</v>
      </c>
      <c r="H16" s="13">
        <f t="shared" si="3"/>
        <v>3.0177777777777743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46043.171206134299</v>
      </c>
      <c r="B17" s="5" t="s">
        <v>80</v>
      </c>
      <c r="C17" s="11">
        <v>0.139259259259259</v>
      </c>
      <c r="D17" s="11" t="s">
        <v>62</v>
      </c>
      <c r="E17" s="11">
        <v>0.250925925925926</v>
      </c>
      <c r="F17" s="12">
        <f t="shared" si="1"/>
        <v>2.6800000000000077</v>
      </c>
      <c r="G17" s="13">
        <f t="shared" si="2"/>
        <v>0</v>
      </c>
      <c r="H17" s="13">
        <f t="shared" si="3"/>
        <v>2.6800000000000077</v>
      </c>
      <c r="I17" s="35" t="s">
        <v>75</v>
      </c>
      <c r="J17" s="36">
        <f>J4+J5+J6+J7+J10</f>
        <v>46.508611111111115</v>
      </c>
      <c r="K17" s="37">
        <f>K4+K5+K6+K7+K10</f>
        <v>18.891666666666694</v>
      </c>
      <c r="L17" s="38">
        <f>L4+L5+L6+L7+L10</f>
        <v>27.616944444444421</v>
      </c>
      <c r="M17" s="39"/>
    </row>
    <row r="18" spans="1:13" ht="20.25" x14ac:dyDescent="0.25">
      <c r="A18" s="10">
        <f t="shared" ca="1" si="0"/>
        <v>46043.251001620403</v>
      </c>
      <c r="B18" s="5" t="s">
        <v>83</v>
      </c>
      <c r="C18" s="11">
        <v>0.25099537037037001</v>
      </c>
      <c r="D18" s="11" t="s">
        <v>62</v>
      </c>
      <c r="E18" s="11">
        <v>0.30171296296296302</v>
      </c>
      <c r="F18" s="12">
        <f t="shared" si="1"/>
        <v>1.2172222222222322</v>
      </c>
      <c r="G18" s="13">
        <f t="shared" si="2"/>
        <v>0</v>
      </c>
      <c r="H18" s="13">
        <f t="shared" si="3"/>
        <v>1.2172222222222322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46044.133860532398</v>
      </c>
      <c r="B19" s="5" t="s">
        <v>84</v>
      </c>
      <c r="C19" s="11">
        <v>0.133854166666667</v>
      </c>
      <c r="D19" s="11" t="s">
        <v>62</v>
      </c>
      <c r="E19" s="11">
        <v>0.22199074074074099</v>
      </c>
      <c r="F19" s="12">
        <f t="shared" si="1"/>
        <v>2.1152777777777758</v>
      </c>
      <c r="G19" s="13">
        <f t="shared" si="2"/>
        <v>0</v>
      </c>
      <c r="H19" s="13">
        <f t="shared" si="3"/>
        <v>2.1152777777777758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46046.833126736099</v>
      </c>
      <c r="B20" s="5" t="s">
        <v>83</v>
      </c>
      <c r="C20" s="11">
        <v>0.833125</v>
      </c>
      <c r="D20" s="11" t="s">
        <v>62</v>
      </c>
      <c r="E20" s="11">
        <v>0.95726851851851802</v>
      </c>
      <c r="F20" s="12">
        <f t="shared" si="1"/>
        <v>2.9794444444444323</v>
      </c>
      <c r="G20" s="13">
        <f t="shared" si="2"/>
        <v>2.9794444444444323</v>
      </c>
      <c r="H20" s="13">
        <f t="shared" si="3"/>
        <v>0</v>
      </c>
      <c r="I20" s="40" t="s">
        <v>77</v>
      </c>
      <c r="J20" s="65">
        <f>J16+J17+J18+J19</f>
        <v>46.508611111111115</v>
      </c>
      <c r="K20" s="66"/>
      <c r="L20" s="67"/>
      <c r="M20" s="41"/>
    </row>
    <row r="21" spans="1:13" ht="20.25" x14ac:dyDescent="0.25">
      <c r="A21" s="10">
        <f t="shared" ca="1" si="0"/>
        <v>46047.584992708304</v>
      </c>
      <c r="B21" s="5" t="s">
        <v>81</v>
      </c>
      <c r="C21" s="11">
        <v>0.58498842592592604</v>
      </c>
      <c r="D21" s="11" t="s">
        <v>62</v>
      </c>
      <c r="E21" s="11">
        <v>0.71289351851851901</v>
      </c>
      <c r="F21" s="12">
        <f t="shared" si="1"/>
        <v>3.0697222222222313</v>
      </c>
      <c r="G21" s="13">
        <f t="shared" si="2"/>
        <v>3.0697222222222313</v>
      </c>
      <c r="H21" s="13">
        <f t="shared" si="3"/>
        <v>0</v>
      </c>
      <c r="I21" s="42" t="s">
        <v>4</v>
      </c>
      <c r="J21" s="43">
        <f>SUM(J8:J9)</f>
        <v>10.866944444444421</v>
      </c>
      <c r="K21" s="37">
        <f>SUM(K8:K9)</f>
        <v>10.866944444444421</v>
      </c>
      <c r="L21" s="38">
        <f>SUM(L8:L9)</f>
        <v>0</v>
      </c>
      <c r="M21" s="44"/>
    </row>
    <row r="22" spans="1:13" ht="18.75" x14ac:dyDescent="0.15">
      <c r="A22" s="10">
        <f t="shared" ca="1" si="0"/>
        <v>46047.8344133102</v>
      </c>
      <c r="B22" s="5" t="s">
        <v>83</v>
      </c>
      <c r="C22" s="11">
        <v>0.83440972222222198</v>
      </c>
      <c r="D22" s="11" t="s">
        <v>62</v>
      </c>
      <c r="E22" s="11">
        <v>0.95565972222222195</v>
      </c>
      <c r="F22" s="12">
        <f t="shared" si="1"/>
        <v>2.9099999999999993</v>
      </c>
      <c r="G22" s="13">
        <f t="shared" si="2"/>
        <v>2.9099999999999993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46048.292862152797</v>
      </c>
      <c r="B23" s="5" t="s">
        <v>80</v>
      </c>
      <c r="C23" s="11">
        <v>0.29285879629629602</v>
      </c>
      <c r="D23" s="11" t="s">
        <v>62</v>
      </c>
      <c r="E23" s="11">
        <v>0.30939814814814798</v>
      </c>
      <c r="F23" s="12">
        <f t="shared" si="1"/>
        <v>0.39694444444444699</v>
      </c>
      <c r="G23" s="13">
        <f t="shared" si="2"/>
        <v>0</v>
      </c>
      <c r="H23" s="13">
        <f t="shared" si="3"/>
        <v>0.39694444444444699</v>
      </c>
      <c r="I23"/>
      <c r="J23"/>
    </row>
    <row r="24" spans="1:13" ht="18.75" x14ac:dyDescent="0.15">
      <c r="A24" s="10">
        <f t="shared" ca="1" si="0"/>
        <v>46048.309446064799</v>
      </c>
      <c r="B24" s="5" t="s">
        <v>81</v>
      </c>
      <c r="C24" s="11">
        <v>0.30944444444444402</v>
      </c>
      <c r="D24" s="11" t="s">
        <v>62</v>
      </c>
      <c r="E24" s="11">
        <v>0.364722222222222</v>
      </c>
      <c r="F24" s="12">
        <f t="shared" si="1"/>
        <v>1.3266666666666715</v>
      </c>
      <c r="G24" s="13">
        <f t="shared" si="2"/>
        <v>0.75333333333333652</v>
      </c>
      <c r="H24" s="13">
        <f t="shared" si="3"/>
        <v>0.57333333333333503</v>
      </c>
      <c r="I24"/>
      <c r="J24"/>
    </row>
    <row r="25" spans="1:13" ht="18.75" x14ac:dyDescent="0.15">
      <c r="A25" s="10">
        <f t="shared" ca="1" si="0"/>
        <v>46051.140602893502</v>
      </c>
      <c r="B25" s="5" t="s">
        <v>79</v>
      </c>
      <c r="C25" s="11">
        <v>0.14060185185185201</v>
      </c>
      <c r="D25" s="11" t="s">
        <v>62</v>
      </c>
      <c r="E25" s="11">
        <v>0.216481481481481</v>
      </c>
      <c r="F25" s="12">
        <f t="shared" si="1"/>
        <v>1.8211111111110958</v>
      </c>
      <c r="G25" s="13">
        <f t="shared" si="2"/>
        <v>0</v>
      </c>
      <c r="H25" s="13">
        <f t="shared" si="3"/>
        <v>1.8211111111110958</v>
      </c>
      <c r="I25"/>
      <c r="J25"/>
    </row>
    <row r="26" spans="1:13" ht="18.75" x14ac:dyDescent="0.15">
      <c r="A26" s="10">
        <f t="shared" ca="1" si="0"/>
        <v>46052.136683449098</v>
      </c>
      <c r="B26" s="5" t="s">
        <v>81</v>
      </c>
      <c r="C26" s="11">
        <v>0.136678240740741</v>
      </c>
      <c r="D26" s="11" t="s">
        <v>62</v>
      </c>
      <c r="E26" s="11">
        <v>0.30072916666666699</v>
      </c>
      <c r="F26" s="12">
        <f t="shared" si="1"/>
        <v>3.937222222222224</v>
      </c>
      <c r="G26" s="13">
        <f t="shared" si="2"/>
        <v>0</v>
      </c>
      <c r="H26" s="13">
        <f t="shared" si="3"/>
        <v>3.937222222222224</v>
      </c>
      <c r="I26"/>
      <c r="J26"/>
    </row>
  </sheetData>
  <autoFilter ref="A2:K26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6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3"/>
  <sheetViews>
    <sheetView zoomScale="85" zoomScaleNormal="85" workbookViewId="0">
      <selection activeCell="D48" sqref="D4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3" ca="1" si="0">IF(B3="","",IF(A3="",NOW(),A3))</f>
        <v>46025.133479398202</v>
      </c>
      <c r="B3" s="5" t="s">
        <v>85</v>
      </c>
      <c r="C3" s="11">
        <v>0.13347222222222199</v>
      </c>
      <c r="D3" s="11" t="s">
        <v>62</v>
      </c>
      <c r="E3" s="11">
        <v>0.213958333333333</v>
      </c>
      <c r="F3" s="12">
        <f t="shared" ref="F3:F33" si="1">(IF(E3-C3&lt;0,"24:00"-C3+E3,E3-C3))*24</f>
        <v>1.9316666666666642</v>
      </c>
      <c r="G3" s="13">
        <f t="shared" ref="G3:G33" si="2">F3-H3</f>
        <v>0</v>
      </c>
      <c r="H3" s="13">
        <f t="shared" ref="H3:H33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1.9316666666666642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46026.139791666697</v>
      </c>
      <c r="B4" s="5" t="s">
        <v>85</v>
      </c>
      <c r="C4" s="11">
        <v>0.13979166666666701</v>
      </c>
      <c r="D4" s="11" t="s">
        <v>62</v>
      </c>
      <c r="E4" s="11">
        <v>0.302534722222222</v>
      </c>
      <c r="F4" s="12">
        <f t="shared" si="1"/>
        <v>3.9058333333333195</v>
      </c>
      <c r="G4" s="13">
        <f t="shared" si="2"/>
        <v>0</v>
      </c>
      <c r="H4" s="13">
        <f t="shared" si="3"/>
        <v>3.9058333333333195</v>
      </c>
      <c r="I4" s="21" t="s">
        <v>64</v>
      </c>
      <c r="J4" s="22">
        <f>SUMIF(B:B,"西塔台管制席",F:F)+SUMIF(B:B,"东塔台管制席",F:F)</f>
        <v>20.86555555555552</v>
      </c>
      <c r="K4" s="23">
        <f>SUMIF(B:B,"西塔台管制席",G:G)+SUMIF(B:B,"东塔台管制席",G:G)</f>
        <v>16.957499999999975</v>
      </c>
      <c r="L4" s="23">
        <f>SUMIF(B:B,"西塔台管制席",H:H)+SUMIF(B:B,"东塔台管制席",H:H)</f>
        <v>3.9080555555555416</v>
      </c>
      <c r="M4" s="19"/>
    </row>
    <row r="5" spans="1:16" ht="18.75" x14ac:dyDescent="0.25">
      <c r="A5" s="10">
        <f t="shared" ca="1" si="0"/>
        <v>46028.500857638901</v>
      </c>
      <c r="B5" s="5" t="s">
        <v>85</v>
      </c>
      <c r="C5" s="11">
        <v>0.50085648148148099</v>
      </c>
      <c r="D5" s="11" t="s">
        <v>62</v>
      </c>
      <c r="E5" s="11">
        <v>0.63049768518518501</v>
      </c>
      <c r="F5" s="12">
        <f t="shared" si="1"/>
        <v>3.1113888888888965</v>
      </c>
      <c r="G5" s="13">
        <f t="shared" si="2"/>
        <v>3.1113888888888965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24.579722222222216</v>
      </c>
      <c r="K5" s="23">
        <f>SUMIF(B:B,"西塔台协调席",G:G)+SUMIF(B:B,"东塔台协调席",G:G)</f>
        <v>16.266944444444455</v>
      </c>
      <c r="L5" s="23">
        <f>SUMIF(B:B,"西塔台协调席",H:H)+SUMIF(B:B,"东塔台协调席",H:H)</f>
        <v>8.3127777777777645</v>
      </c>
      <c r="M5" s="19"/>
    </row>
    <row r="6" spans="1:16" ht="18.75" x14ac:dyDescent="0.25">
      <c r="A6" s="10">
        <f t="shared" ca="1" si="0"/>
        <v>46028.7598327546</v>
      </c>
      <c r="B6" s="5" t="s">
        <v>85</v>
      </c>
      <c r="C6" s="11">
        <v>0.75149305555555601</v>
      </c>
      <c r="D6" s="11" t="s">
        <v>62</v>
      </c>
      <c r="E6" s="11">
        <v>0.87989583333333299</v>
      </c>
      <c r="F6" s="12">
        <f t="shared" si="1"/>
        <v>3.0816666666666475</v>
      </c>
      <c r="G6" s="13">
        <f t="shared" si="2"/>
        <v>3.0816666666666475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46029.418021064797</v>
      </c>
      <c r="B7" s="5" t="s">
        <v>85</v>
      </c>
      <c r="C7" s="11">
        <v>0.41802083333333301</v>
      </c>
      <c r="D7" s="11" t="s">
        <v>62</v>
      </c>
      <c r="E7" s="11">
        <v>0.546608796296296</v>
      </c>
      <c r="F7" s="12">
        <f t="shared" si="1"/>
        <v>3.0861111111111117</v>
      </c>
      <c r="G7" s="13">
        <f t="shared" si="2"/>
        <v>3.0861111111111117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46029.625473263899</v>
      </c>
      <c r="B8" s="5" t="s">
        <v>85</v>
      </c>
      <c r="C8" s="11">
        <v>0.625462962962963</v>
      </c>
      <c r="D8" s="11" t="s">
        <v>62</v>
      </c>
      <c r="E8" s="11">
        <v>0.75890046296296299</v>
      </c>
      <c r="F8" s="12">
        <f t="shared" si="1"/>
        <v>3.2024999999999997</v>
      </c>
      <c r="G8" s="13">
        <f t="shared" si="2"/>
        <v>3.2024999999999997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46030.139459143502</v>
      </c>
      <c r="B9" s="5" t="s">
        <v>85</v>
      </c>
      <c r="C9" s="11">
        <v>0.13945601851851899</v>
      </c>
      <c r="D9" s="11" t="s">
        <v>62</v>
      </c>
      <c r="E9" s="11">
        <v>0.14767361111111099</v>
      </c>
      <c r="F9" s="12">
        <f t="shared" si="1"/>
        <v>0.19722222222220798</v>
      </c>
      <c r="G9" s="13">
        <f t="shared" si="2"/>
        <v>0</v>
      </c>
      <c r="H9" s="13">
        <f t="shared" si="3"/>
        <v>0.19722222222220798</v>
      </c>
      <c r="I9" s="21" t="s">
        <v>69</v>
      </c>
      <c r="J9" s="22">
        <f>SUMIF(B:B,"航班调度席",F:F)</f>
        <v>5.8172222222221892</v>
      </c>
      <c r="K9" s="23">
        <f>SUMIF(B:B,"航班调度席",G:G)</f>
        <v>5.8172222222221892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46030.148115972203</v>
      </c>
      <c r="B10" s="5" t="s">
        <v>85</v>
      </c>
      <c r="C10" s="11">
        <v>0.148113425925926</v>
      </c>
      <c r="D10" s="11" t="s">
        <v>62</v>
      </c>
      <c r="E10" s="11">
        <v>0.30215277777777799</v>
      </c>
      <c r="F10" s="12">
        <f t="shared" si="1"/>
        <v>3.6969444444444477</v>
      </c>
      <c r="G10" s="13">
        <f t="shared" si="2"/>
        <v>0</v>
      </c>
      <c r="H10" s="13">
        <f t="shared" si="3"/>
        <v>3.6969444444444477</v>
      </c>
      <c r="I10" s="21" t="s">
        <v>70</v>
      </c>
      <c r="J10" s="22">
        <f>SUMIF(B:B,"综合协调席",F:F)</f>
        <v>2.9994444444444479</v>
      </c>
      <c r="K10" s="23">
        <f>SUMIF(B:B,"综合协调席",G:G)</f>
        <v>0</v>
      </c>
      <c r="L10" s="23">
        <f>SUMIF(B:B,"综合协调席",H:H)</f>
        <v>2.9994444444444479</v>
      </c>
      <c r="M10" s="19"/>
    </row>
    <row r="11" spans="1:16" ht="18.75" x14ac:dyDescent="0.25">
      <c r="A11" s="10">
        <f t="shared" ca="1" si="0"/>
        <v>46033.0159055556</v>
      </c>
      <c r="B11" s="5" t="s">
        <v>78</v>
      </c>
      <c r="C11" s="11">
        <v>1.59027777777778E-2</v>
      </c>
      <c r="D11" s="11" t="s">
        <v>62</v>
      </c>
      <c r="E11" s="11">
        <v>0.14383101851851901</v>
      </c>
      <c r="F11" s="12">
        <f t="shared" si="1"/>
        <v>3.0702777777777892</v>
      </c>
      <c r="G11" s="13">
        <f t="shared" si="2"/>
        <v>0</v>
      </c>
      <c r="H11" s="13">
        <f t="shared" si="3"/>
        <v>3.0702777777777892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46037.141630439801</v>
      </c>
      <c r="B12" s="5" t="s">
        <v>86</v>
      </c>
      <c r="C12" s="11">
        <v>0.14162037037037001</v>
      </c>
      <c r="D12" s="11" t="s">
        <v>62</v>
      </c>
      <c r="E12" s="11">
        <v>0.15425925925925901</v>
      </c>
      <c r="F12" s="12">
        <f t="shared" si="1"/>
        <v>0.30333333333333612</v>
      </c>
      <c r="G12" s="13">
        <f t="shared" si="2"/>
        <v>0</v>
      </c>
      <c r="H12" s="13">
        <f t="shared" si="3"/>
        <v>0.30333333333333612</v>
      </c>
      <c r="I12" s="27" t="s">
        <v>72</v>
      </c>
      <c r="J12" s="28">
        <f>SUMIF(B:B,"管制教员席",F:F)</f>
        <v>22.213333333333296</v>
      </c>
      <c r="K12" s="29">
        <f>SUMIF(B:B,"管制教员席",G:G)</f>
        <v>12.481666666666655</v>
      </c>
      <c r="L12" s="29">
        <f>SUMIF(B:B,"管制教员席",H:H)</f>
        <v>9.7316666666666389</v>
      </c>
      <c r="M12" s="19"/>
    </row>
    <row r="13" spans="1:16" ht="18.75" x14ac:dyDescent="0.15">
      <c r="A13" s="10">
        <f t="shared" ca="1" si="0"/>
        <v>46037.154297453701</v>
      </c>
      <c r="B13" s="5" t="s">
        <v>78</v>
      </c>
      <c r="C13" s="11">
        <v>0.15429398148148099</v>
      </c>
      <c r="D13" s="11" t="s">
        <v>62</v>
      </c>
      <c r="E13" s="11">
        <v>0.22550925925925899</v>
      </c>
      <c r="F13" s="12">
        <f t="shared" si="1"/>
        <v>1.7091666666666721</v>
      </c>
      <c r="G13" s="13">
        <f t="shared" si="2"/>
        <v>0</v>
      </c>
      <c r="H13" s="13">
        <f t="shared" si="3"/>
        <v>1.7091666666666721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46037.225560648098</v>
      </c>
      <c r="B14" s="5" t="s">
        <v>83</v>
      </c>
      <c r="C14" s="11">
        <v>0.22555555555555601</v>
      </c>
      <c r="D14" s="11" t="s">
        <v>62</v>
      </c>
      <c r="E14" s="11">
        <v>0.30627314814814799</v>
      </c>
      <c r="F14" s="12">
        <f t="shared" si="1"/>
        <v>1.9372222222222075</v>
      </c>
      <c r="G14" s="13">
        <f t="shared" si="2"/>
        <v>0</v>
      </c>
      <c r="H14" s="13">
        <f t="shared" si="3"/>
        <v>1.9372222222222075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46038.131884838003</v>
      </c>
      <c r="B15" s="5" t="s">
        <v>86</v>
      </c>
      <c r="C15" s="11">
        <v>0.13187499999999999</v>
      </c>
      <c r="D15" s="11" t="s">
        <v>62</v>
      </c>
      <c r="E15" s="11">
        <v>0.24421296296296299</v>
      </c>
      <c r="F15" s="12">
        <f t="shared" si="1"/>
        <v>2.696111111111112</v>
      </c>
      <c r="G15" s="13">
        <f t="shared" si="2"/>
        <v>0</v>
      </c>
      <c r="H15" s="13">
        <f t="shared" si="3"/>
        <v>2.696111111111112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46040.356409953703</v>
      </c>
      <c r="B16" s="5" t="s">
        <v>80</v>
      </c>
      <c r="C16" s="11">
        <v>0.35640046296296302</v>
      </c>
      <c r="D16" s="11" t="s">
        <v>62</v>
      </c>
      <c r="E16" s="11">
        <v>0.42334490740740699</v>
      </c>
      <c r="F16" s="12">
        <f t="shared" si="1"/>
        <v>1.6066666666666554</v>
      </c>
      <c r="G16" s="13">
        <f t="shared" si="2"/>
        <v>1.6066666666666554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46040.423473842602</v>
      </c>
      <c r="B17" s="5" t="s">
        <v>83</v>
      </c>
      <c r="C17" s="11">
        <v>0.42347222222222197</v>
      </c>
      <c r="D17" s="11" t="s">
        <v>62</v>
      </c>
      <c r="E17" s="11">
        <v>0.50538194444444395</v>
      </c>
      <c r="F17" s="12">
        <f t="shared" si="1"/>
        <v>1.9658333333333275</v>
      </c>
      <c r="G17" s="13">
        <f t="shared" si="2"/>
        <v>1.9658333333333275</v>
      </c>
      <c r="H17" s="13">
        <f t="shared" si="3"/>
        <v>0</v>
      </c>
      <c r="I17" s="35" t="s">
        <v>75</v>
      </c>
      <c r="J17" s="36">
        <f>J4+J5+J6+J7+J10</f>
        <v>48.444722222222182</v>
      </c>
      <c r="K17" s="37">
        <f>K4+K5+K6+K7+K10</f>
        <v>33.22444444444443</v>
      </c>
      <c r="L17" s="38">
        <f>L4+L5+L6+L7+L10</f>
        <v>15.220277777777754</v>
      </c>
      <c r="M17" s="39"/>
    </row>
    <row r="18" spans="1:13" ht="20.25" x14ac:dyDescent="0.25">
      <c r="A18" s="10">
        <f t="shared" ca="1" si="0"/>
        <v>46040.626526736101</v>
      </c>
      <c r="B18" s="5" t="s">
        <v>83</v>
      </c>
      <c r="C18" s="11">
        <v>0.62651620370370398</v>
      </c>
      <c r="D18" s="11" t="s">
        <v>62</v>
      </c>
      <c r="E18" s="11">
        <v>0.76253472222222196</v>
      </c>
      <c r="F18" s="12">
        <f t="shared" si="1"/>
        <v>3.2644444444444316</v>
      </c>
      <c r="G18" s="13">
        <f t="shared" si="2"/>
        <v>3.2644444444444316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46040.876088194404</v>
      </c>
      <c r="B19" s="5" t="s">
        <v>81</v>
      </c>
      <c r="C19" s="11">
        <v>0.87608796296296299</v>
      </c>
      <c r="D19" s="11" t="s">
        <v>62</v>
      </c>
      <c r="E19" s="11">
        <v>0.96319444444444402</v>
      </c>
      <c r="F19" s="12">
        <f t="shared" si="1"/>
        <v>2.0905555555555448</v>
      </c>
      <c r="G19" s="13">
        <f t="shared" si="2"/>
        <v>2.0905555555555448</v>
      </c>
      <c r="H19" s="13">
        <f t="shared" si="3"/>
        <v>0</v>
      </c>
      <c r="I19" s="35" t="s">
        <v>76</v>
      </c>
      <c r="J19" s="36">
        <f t="shared" ref="J19:L19" si="6">J12</f>
        <v>22.213333333333296</v>
      </c>
      <c r="K19" s="37">
        <f t="shared" si="6"/>
        <v>12.481666666666655</v>
      </c>
      <c r="L19" s="38">
        <f t="shared" si="6"/>
        <v>9.7316666666666389</v>
      </c>
      <c r="M19" s="39"/>
    </row>
    <row r="20" spans="1:13" ht="20.25" x14ac:dyDescent="0.15">
      <c r="A20" s="10">
        <f t="shared" ca="1" si="0"/>
        <v>46041.300371296304</v>
      </c>
      <c r="B20" s="5" t="s">
        <v>78</v>
      </c>
      <c r="C20" s="11">
        <v>0.30037037037037001</v>
      </c>
      <c r="D20" s="11" t="s">
        <v>62</v>
      </c>
      <c r="E20" s="11">
        <v>0.35446759259259297</v>
      </c>
      <c r="F20" s="12">
        <f t="shared" si="1"/>
        <v>1.2983333333333511</v>
      </c>
      <c r="G20" s="13">
        <f t="shared" si="2"/>
        <v>0.50722222222223978</v>
      </c>
      <c r="H20" s="13">
        <f t="shared" si="3"/>
        <v>0.79111111111111132</v>
      </c>
      <c r="I20" s="40" t="s">
        <v>77</v>
      </c>
      <c r="J20" s="65">
        <f>J16+J17+J18+J19</f>
        <v>70.658055555555478</v>
      </c>
      <c r="K20" s="66"/>
      <c r="L20" s="67"/>
      <c r="M20" s="41"/>
    </row>
    <row r="21" spans="1:13" ht="20.25" x14ac:dyDescent="0.25">
      <c r="A21" s="10">
        <f t="shared" ca="1" si="0"/>
        <v>46041.354524652801</v>
      </c>
      <c r="B21" s="5" t="s">
        <v>81</v>
      </c>
      <c r="C21" s="11">
        <v>0.35451388888888902</v>
      </c>
      <c r="D21" s="11" t="s">
        <v>62</v>
      </c>
      <c r="E21" s="11">
        <v>0.46386574074074099</v>
      </c>
      <c r="F21" s="12">
        <f t="shared" si="1"/>
        <v>2.6244444444444475</v>
      </c>
      <c r="G21" s="13">
        <f t="shared" si="2"/>
        <v>2.6244444444444475</v>
      </c>
      <c r="H21" s="13">
        <f t="shared" si="3"/>
        <v>0</v>
      </c>
      <c r="I21" s="42" t="s">
        <v>4</v>
      </c>
      <c r="J21" s="43">
        <f>SUM(J8:J9)</f>
        <v>5.8172222222221892</v>
      </c>
      <c r="K21" s="37">
        <f>SUM(K8:K9)</f>
        <v>5.8172222222221892</v>
      </c>
      <c r="L21" s="38">
        <f>SUM(L8:L9)</f>
        <v>0</v>
      </c>
      <c r="M21" s="44"/>
    </row>
    <row r="22" spans="1:13" ht="18.75" x14ac:dyDescent="0.15">
      <c r="A22" s="10">
        <f t="shared" ca="1" si="0"/>
        <v>46041.542762500001</v>
      </c>
      <c r="B22" s="5" t="s">
        <v>83</v>
      </c>
      <c r="C22" s="11">
        <v>0.54275462962962995</v>
      </c>
      <c r="D22" s="11" t="s">
        <v>62</v>
      </c>
      <c r="E22" s="11">
        <v>0.63050925925925905</v>
      </c>
      <c r="F22" s="12">
        <f t="shared" si="1"/>
        <v>2.1061111111110984</v>
      </c>
      <c r="G22" s="13">
        <f t="shared" si="2"/>
        <v>2.1061111111110984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46041.754744675898</v>
      </c>
      <c r="B23" s="5" t="s">
        <v>81</v>
      </c>
      <c r="C23" s="11">
        <v>0.754733796296296</v>
      </c>
      <c r="D23" s="11" t="s">
        <v>62</v>
      </c>
      <c r="E23" s="11">
        <v>0.83760416666666704</v>
      </c>
      <c r="F23" s="12">
        <f t="shared" si="1"/>
        <v>1.9888888888889049</v>
      </c>
      <c r="G23" s="13">
        <f t="shared" si="2"/>
        <v>1.9888888888889049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46042.298634722203</v>
      </c>
      <c r="B24" s="5" t="s">
        <v>81</v>
      </c>
      <c r="C24" s="11">
        <v>0.29863425925925902</v>
      </c>
      <c r="D24" s="11" t="s">
        <v>62</v>
      </c>
      <c r="E24" s="11">
        <v>0.36783564814814801</v>
      </c>
      <c r="F24" s="12">
        <f t="shared" si="1"/>
        <v>1.6608333333333358</v>
      </c>
      <c r="G24" s="13">
        <f t="shared" si="2"/>
        <v>0.82805555555556065</v>
      </c>
      <c r="H24" s="13">
        <f t="shared" si="3"/>
        <v>0.83277777777777517</v>
      </c>
      <c r="I24"/>
      <c r="J24"/>
    </row>
    <row r="25" spans="1:13" ht="18.75" x14ac:dyDescent="0.15">
      <c r="A25" s="10">
        <f t="shared" ca="1" si="0"/>
        <v>46045.015060069403</v>
      </c>
      <c r="B25" s="5" t="s">
        <v>81</v>
      </c>
      <c r="C25" s="11">
        <v>1.50578703703704E-2</v>
      </c>
      <c r="D25" s="11" t="s">
        <v>62</v>
      </c>
      <c r="E25" s="11">
        <v>0.14319444444444401</v>
      </c>
      <c r="F25" s="12">
        <f t="shared" si="1"/>
        <v>3.0752777777777665</v>
      </c>
      <c r="G25" s="13">
        <f t="shared" si="2"/>
        <v>0</v>
      </c>
      <c r="H25" s="13">
        <f t="shared" si="3"/>
        <v>3.0752777777777665</v>
      </c>
      <c r="I25"/>
      <c r="J25"/>
    </row>
    <row r="26" spans="1:13" ht="18.75" x14ac:dyDescent="0.15">
      <c r="A26" s="10">
        <f t="shared" ca="1" si="0"/>
        <v>46045.542488425897</v>
      </c>
      <c r="B26" s="5" t="s">
        <v>82</v>
      </c>
      <c r="C26" s="11">
        <v>0.54248842592592605</v>
      </c>
      <c r="D26" s="11" t="s">
        <v>62</v>
      </c>
      <c r="E26" s="11">
        <v>0.73879629629629595</v>
      </c>
      <c r="F26" s="12">
        <f t="shared" si="1"/>
        <v>4.7113888888888775</v>
      </c>
      <c r="G26" s="13">
        <f t="shared" si="2"/>
        <v>4.7113888888888775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46052.355083796298</v>
      </c>
      <c r="B27" s="5" t="s">
        <v>81</v>
      </c>
      <c r="C27" s="11">
        <v>0.35508101851851898</v>
      </c>
      <c r="D27" s="11" t="s">
        <v>62</v>
      </c>
      <c r="E27" s="11">
        <v>0.50598379629629597</v>
      </c>
      <c r="F27" s="12">
        <f t="shared" si="1"/>
        <v>3.6216666666666479</v>
      </c>
      <c r="G27" s="13">
        <f t="shared" si="2"/>
        <v>3.6216666666666479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46052.626754745397</v>
      </c>
      <c r="B28" s="5" t="s">
        <v>83</v>
      </c>
      <c r="C28" s="11">
        <v>0.62674768518518498</v>
      </c>
      <c r="D28" s="11" t="s">
        <v>62</v>
      </c>
      <c r="E28" s="11">
        <v>0.75839120370370405</v>
      </c>
      <c r="F28" s="12">
        <f t="shared" si="1"/>
        <v>3.1594444444444578</v>
      </c>
      <c r="G28" s="13">
        <f t="shared" si="2"/>
        <v>3.1594444444444578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46052.875598611099</v>
      </c>
      <c r="B29" s="5" t="s">
        <v>81</v>
      </c>
      <c r="C29" s="11">
        <v>0.87559027777777798</v>
      </c>
      <c r="D29" s="11" t="s">
        <v>62</v>
      </c>
      <c r="E29" s="11">
        <v>0.96331018518518496</v>
      </c>
      <c r="F29" s="12">
        <f t="shared" si="1"/>
        <v>2.1052777777777676</v>
      </c>
      <c r="G29" s="13">
        <f t="shared" si="2"/>
        <v>2.1052777777777676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46053.299802199101</v>
      </c>
      <c r="B30" s="5" t="s">
        <v>83</v>
      </c>
      <c r="C30" s="11">
        <v>0.29979166666666701</v>
      </c>
      <c r="D30" s="11" t="s">
        <v>62</v>
      </c>
      <c r="E30" s="11">
        <v>0.46524305555555601</v>
      </c>
      <c r="F30" s="12">
        <f t="shared" si="1"/>
        <v>3.9708333333333359</v>
      </c>
      <c r="G30" s="13">
        <f t="shared" si="2"/>
        <v>3.1658333333333526</v>
      </c>
      <c r="H30" s="13">
        <f t="shared" si="3"/>
        <v>0.80499999999998328</v>
      </c>
      <c r="I30"/>
      <c r="J30"/>
    </row>
    <row r="31" spans="1:13" ht="18.75" x14ac:dyDescent="0.15">
      <c r="A31" s="10">
        <f t="shared" ca="1" si="0"/>
        <v>46053.5431559028</v>
      </c>
      <c r="B31" s="5" t="s">
        <v>81</v>
      </c>
      <c r="C31" s="11">
        <v>0.54314814814814805</v>
      </c>
      <c r="D31" s="11" t="s">
        <v>62</v>
      </c>
      <c r="E31" s="11">
        <v>0.63031250000000005</v>
      </c>
      <c r="F31" s="12">
        <f t="shared" si="1"/>
        <v>2.0919444444444482</v>
      </c>
      <c r="G31" s="13">
        <f t="shared" si="2"/>
        <v>2.0919444444444482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46053.685423611103</v>
      </c>
      <c r="B32" s="5" t="s">
        <v>82</v>
      </c>
      <c r="C32" s="11">
        <v>0.63055555555555598</v>
      </c>
      <c r="D32" s="11" t="s">
        <v>62</v>
      </c>
      <c r="E32" s="11">
        <v>0.67663194444444397</v>
      </c>
      <c r="F32" s="12">
        <f t="shared" si="1"/>
        <v>1.1058333333333117</v>
      </c>
      <c r="G32" s="13">
        <f t="shared" si="2"/>
        <v>1.1058333333333117</v>
      </c>
      <c r="H32" s="13">
        <f t="shared" si="3"/>
        <v>0</v>
      </c>
      <c r="I32"/>
      <c r="J32"/>
    </row>
    <row r="33" spans="1:10" ht="18.75" x14ac:dyDescent="0.15">
      <c r="A33" s="10">
        <f t="shared" ca="1" si="0"/>
        <v>46053.751680555601</v>
      </c>
      <c r="B33" s="5" t="s">
        <v>83</v>
      </c>
      <c r="C33" s="11">
        <v>0.75167824074074097</v>
      </c>
      <c r="D33" s="11" t="s">
        <v>62</v>
      </c>
      <c r="E33" s="11">
        <v>0.83909722222222205</v>
      </c>
      <c r="F33" s="12">
        <f t="shared" si="1"/>
        <v>2.098055555555546</v>
      </c>
      <c r="G33" s="13">
        <f t="shared" si="2"/>
        <v>2.098055555555546</v>
      </c>
      <c r="H33" s="13">
        <f t="shared" si="3"/>
        <v>0</v>
      </c>
      <c r="I33"/>
      <c r="J33"/>
    </row>
  </sheetData>
  <autoFilter ref="A2:K33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3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4"/>
  <sheetViews>
    <sheetView zoomScale="85" zoomScaleNormal="85" workbookViewId="0">
      <selection activeCell="D49" sqref="D4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4" ca="1" si="0">IF(B3="","",IF(A3="",NOW(),A3))</f>
        <v>46025.140217476903</v>
      </c>
      <c r="B3" s="5" t="s">
        <v>79</v>
      </c>
      <c r="C3" s="11">
        <v>0.14020833333333299</v>
      </c>
      <c r="D3" s="11" t="s">
        <v>62</v>
      </c>
      <c r="E3" s="11">
        <v>0.213784722222222</v>
      </c>
      <c r="F3" s="12">
        <f t="shared" ref="F3:F34" si="1">(IF(E3-C3&lt;0,"24:00"-C3+E3,E3-C3))*24</f>
        <v>1.7658333333333363</v>
      </c>
      <c r="G3" s="13">
        <f t="shared" ref="G3:G34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1.7658333333333363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46025.213816666699</v>
      </c>
      <c r="B4" s="5" t="s">
        <v>78</v>
      </c>
      <c r="C4" s="11">
        <v>0.21380787037037</v>
      </c>
      <c r="D4" s="11" t="s">
        <v>62</v>
      </c>
      <c r="E4" s="11">
        <v>0.304537037037037</v>
      </c>
      <c r="F4" s="12">
        <f t="shared" si="1"/>
        <v>2.1775000000000082</v>
      </c>
      <c r="G4" s="13">
        <f t="shared" si="2"/>
        <v>0</v>
      </c>
      <c r="H4" s="13">
        <f t="shared" si="3"/>
        <v>2.1775000000000082</v>
      </c>
      <c r="I4" s="21" t="s">
        <v>64</v>
      </c>
      <c r="J4" s="22">
        <f>SUMIF(B:B,"西塔台管制席",F:F)+SUMIF(B:B,"东塔台管制席",F:F)</f>
        <v>30.316944444444481</v>
      </c>
      <c r="K4" s="23">
        <f>SUMIF(B:B,"西塔台管制席",G:G)+SUMIF(B:B,"东塔台管制席",G:G)</f>
        <v>17.719166666666691</v>
      </c>
      <c r="L4" s="23">
        <f>SUMIF(B:B,"西塔台管制席",H:H)+SUMIF(B:B,"东塔台管制席",H:H)</f>
        <v>12.59777777777779</v>
      </c>
      <c r="M4" s="19"/>
    </row>
    <row r="5" spans="1:16" ht="18.75" x14ac:dyDescent="0.25">
      <c r="A5" s="10">
        <f t="shared" ca="1" si="0"/>
        <v>46025.9590032407</v>
      </c>
      <c r="B5" s="5" t="s">
        <v>80</v>
      </c>
      <c r="C5" s="11">
        <v>0.95899305555555603</v>
      </c>
      <c r="D5" s="11" t="s">
        <v>62</v>
      </c>
      <c r="E5" s="11">
        <v>0.108865740740741</v>
      </c>
      <c r="F5" s="12">
        <f t="shared" si="1"/>
        <v>3.5969444444444396</v>
      </c>
      <c r="G5" s="13">
        <f t="shared" si="2"/>
        <v>0.98416666666665575</v>
      </c>
      <c r="H5" s="13">
        <f t="shared" si="3"/>
        <v>2.6127777777777839</v>
      </c>
      <c r="I5" s="21" t="s">
        <v>65</v>
      </c>
      <c r="J5" s="22">
        <f>SUMIF(B:B,"西塔台协调席",F:F)+SUMIF(B:B,"东塔台协调席",F:F)</f>
        <v>33.686388888888935</v>
      </c>
      <c r="K5" s="23">
        <f>SUMIF(B:B,"西塔台协调席",G:G)+SUMIF(B:B,"东塔台协调席",G:G)</f>
        <v>18.525555555555606</v>
      </c>
      <c r="L5" s="23">
        <f>SUMIF(B:B,"西塔台协调席",H:H)+SUMIF(B:B,"东塔台协调席",H:H)</f>
        <v>15.160833333333329</v>
      </c>
      <c r="M5" s="19"/>
    </row>
    <row r="6" spans="1:16" ht="18.75" x14ac:dyDescent="0.25">
      <c r="A6" s="10">
        <f t="shared" ca="1" si="0"/>
        <v>46028.354687963001</v>
      </c>
      <c r="B6" s="5" t="s">
        <v>81</v>
      </c>
      <c r="C6" s="11">
        <v>0.35468749999999999</v>
      </c>
      <c r="D6" s="11" t="s">
        <v>62</v>
      </c>
      <c r="E6" s="11">
        <v>0.50451388888888904</v>
      </c>
      <c r="F6" s="12">
        <f t="shared" si="1"/>
        <v>3.5958333333333372</v>
      </c>
      <c r="G6" s="13">
        <f t="shared" si="2"/>
        <v>3.5958333333333372</v>
      </c>
      <c r="H6" s="13">
        <f t="shared" si="3"/>
        <v>0</v>
      </c>
      <c r="I6" s="21" t="s">
        <v>66</v>
      </c>
      <c r="J6" s="22">
        <f>SUMIF(B:B,"放行席",F:F)</f>
        <v>2.1711111111111121</v>
      </c>
      <c r="K6" s="23">
        <f>SUMIF(B:B,"放行席",G:G)</f>
        <v>0</v>
      </c>
      <c r="L6" s="23">
        <f>SUMIF(B:B,"放行席",H:H)</f>
        <v>2.1711111111111121</v>
      </c>
      <c r="M6" s="19"/>
    </row>
    <row r="7" spans="1:16" ht="18.75" x14ac:dyDescent="0.25">
      <c r="A7" s="10">
        <f t="shared" ca="1" si="0"/>
        <v>46028.626266782398</v>
      </c>
      <c r="B7" s="5" t="s">
        <v>83</v>
      </c>
      <c r="C7" s="11">
        <v>0.62626157407407401</v>
      </c>
      <c r="D7" s="11" t="s">
        <v>62</v>
      </c>
      <c r="E7" s="11">
        <v>0.75783564814814797</v>
      </c>
      <c r="F7" s="12">
        <f t="shared" si="1"/>
        <v>3.1577777777777749</v>
      </c>
      <c r="G7" s="13">
        <f t="shared" si="2"/>
        <v>3.1577777777777749</v>
      </c>
      <c r="H7" s="13">
        <f t="shared" si="3"/>
        <v>0</v>
      </c>
      <c r="I7" s="21" t="s">
        <v>67</v>
      </c>
      <c r="J7" s="22">
        <f>SUMIF(B:B,"地面席",F:F)</f>
        <v>1.7658333333333363</v>
      </c>
      <c r="K7" s="23">
        <f>SUMIF(B:B,"地面席",G:G)</f>
        <v>0</v>
      </c>
      <c r="L7" s="23">
        <f>SUMIF(B:B,"地面席",H:H)</f>
        <v>1.7658333333333363</v>
      </c>
      <c r="M7" s="19"/>
    </row>
    <row r="8" spans="1:16" ht="18.75" x14ac:dyDescent="0.25">
      <c r="A8" s="10">
        <f t="shared" ca="1" si="0"/>
        <v>46028.876127314797</v>
      </c>
      <c r="B8" s="5" t="s">
        <v>81</v>
      </c>
      <c r="C8" s="11">
        <v>0.87612268518518499</v>
      </c>
      <c r="D8" s="11" t="s">
        <v>62</v>
      </c>
      <c r="E8" s="11">
        <v>0.96388888888888902</v>
      </c>
      <c r="F8" s="12">
        <f t="shared" si="1"/>
        <v>2.1063888888888966</v>
      </c>
      <c r="G8" s="13">
        <f t="shared" si="2"/>
        <v>2.1063888888888966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46029.303589814801</v>
      </c>
      <c r="B9" s="5" t="s">
        <v>83</v>
      </c>
      <c r="C9" s="11">
        <v>0.30358796296296298</v>
      </c>
      <c r="D9" s="11" t="s">
        <v>62</v>
      </c>
      <c r="E9" s="11">
        <v>0.426840277777778</v>
      </c>
      <c r="F9" s="12">
        <f t="shared" si="1"/>
        <v>2.9580555555555605</v>
      </c>
      <c r="G9" s="13">
        <f t="shared" si="2"/>
        <v>2.2441666666666804</v>
      </c>
      <c r="H9" s="13">
        <f t="shared" si="3"/>
        <v>0.71388888888888014</v>
      </c>
      <c r="I9" s="21" t="s">
        <v>69</v>
      </c>
      <c r="J9" s="22">
        <f>SUMIF(B:B,"航班调度席",F:F)</f>
        <v>6.6794444444444645</v>
      </c>
      <c r="K9" s="23">
        <f>SUMIF(B:B,"航班调度席",G:G)</f>
        <v>6.6794444444444645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46029.542638657404</v>
      </c>
      <c r="B10" s="5" t="s">
        <v>81</v>
      </c>
      <c r="C10" s="11">
        <v>0.542638888888889</v>
      </c>
      <c r="D10" s="11" t="s">
        <v>62</v>
      </c>
      <c r="E10" s="11">
        <v>0.63230324074074096</v>
      </c>
      <c r="F10" s="12">
        <f t="shared" si="1"/>
        <v>2.1519444444444469</v>
      </c>
      <c r="G10" s="13">
        <f t="shared" si="2"/>
        <v>2.1519444444444469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46029.750823379603</v>
      </c>
      <c r="B11" s="5" t="s">
        <v>83</v>
      </c>
      <c r="C11" s="11">
        <v>0.75082175925925898</v>
      </c>
      <c r="D11" s="11" t="s">
        <v>62</v>
      </c>
      <c r="E11" s="11">
        <v>0.83653935185185202</v>
      </c>
      <c r="F11" s="12">
        <f t="shared" si="1"/>
        <v>2.0572222222222329</v>
      </c>
      <c r="G11" s="13">
        <f t="shared" si="2"/>
        <v>2.0572222222222329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46030.0145350694</v>
      </c>
      <c r="B12" s="5" t="s">
        <v>78</v>
      </c>
      <c r="C12" s="11">
        <v>1.4525462962963E-2</v>
      </c>
      <c r="D12" s="11" t="s">
        <v>62</v>
      </c>
      <c r="E12" s="11">
        <v>0.111724537037037</v>
      </c>
      <c r="F12" s="12">
        <f t="shared" si="1"/>
        <v>2.3327777777777756</v>
      </c>
      <c r="G12" s="13">
        <f t="shared" si="2"/>
        <v>0</v>
      </c>
      <c r="H12" s="13">
        <f t="shared" si="3"/>
        <v>2.3327777777777756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46033.3759363426</v>
      </c>
      <c r="B13" s="5" t="s">
        <v>82</v>
      </c>
      <c r="C13" s="11">
        <v>0.375925925925926</v>
      </c>
      <c r="D13" s="11" t="s">
        <v>62</v>
      </c>
      <c r="E13" s="11">
        <v>0.50899305555555596</v>
      </c>
      <c r="F13" s="12">
        <f t="shared" si="1"/>
        <v>3.1936111111111192</v>
      </c>
      <c r="G13" s="13">
        <f t="shared" si="2"/>
        <v>3.1936111111111192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46033.585341319398</v>
      </c>
      <c r="B14" s="5" t="s">
        <v>82</v>
      </c>
      <c r="C14" s="11">
        <v>0.58533564814814798</v>
      </c>
      <c r="D14" s="11" t="s">
        <v>62</v>
      </c>
      <c r="E14" s="11">
        <v>0.73057870370370404</v>
      </c>
      <c r="F14" s="12">
        <f t="shared" si="1"/>
        <v>3.4858333333333453</v>
      </c>
      <c r="G14" s="13">
        <f t="shared" si="2"/>
        <v>3.4858333333333453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46037.132540161998</v>
      </c>
      <c r="B15" s="5" t="s">
        <v>84</v>
      </c>
      <c r="C15" s="11">
        <v>0.13253472222222201</v>
      </c>
      <c r="D15" s="11" t="s">
        <v>62</v>
      </c>
      <c r="E15" s="11">
        <v>0.22299768518518501</v>
      </c>
      <c r="F15" s="12">
        <f t="shared" si="1"/>
        <v>2.1711111111111121</v>
      </c>
      <c r="G15" s="13">
        <f t="shared" si="2"/>
        <v>0</v>
      </c>
      <c r="H15" s="13">
        <f t="shared" si="3"/>
        <v>2.1711111111111121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46038.140106250001</v>
      </c>
      <c r="B16" s="5" t="s">
        <v>80</v>
      </c>
      <c r="C16" s="11">
        <v>0.140104166666667</v>
      </c>
      <c r="D16" s="11" t="s">
        <v>62</v>
      </c>
      <c r="E16" s="11">
        <v>0.22553240740740699</v>
      </c>
      <c r="F16" s="12">
        <f t="shared" si="1"/>
        <v>2.0502777777777599</v>
      </c>
      <c r="G16" s="13">
        <f t="shared" si="2"/>
        <v>0</v>
      </c>
      <c r="H16" s="13">
        <f t="shared" si="3"/>
        <v>2.0502777777777599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46038.225566782399</v>
      </c>
      <c r="B17" s="5" t="s">
        <v>83</v>
      </c>
      <c r="C17" s="11">
        <v>0.22556712962962999</v>
      </c>
      <c r="D17" s="11" t="s">
        <v>62</v>
      </c>
      <c r="E17" s="11">
        <v>0.30482638888888902</v>
      </c>
      <c r="F17" s="12">
        <f t="shared" si="1"/>
        <v>1.9022222222222167</v>
      </c>
      <c r="G17" s="13">
        <f t="shared" si="2"/>
        <v>0</v>
      </c>
      <c r="H17" s="13">
        <f t="shared" si="3"/>
        <v>1.9022222222222167</v>
      </c>
      <c r="I17" s="35" t="s">
        <v>75</v>
      </c>
      <c r="J17" s="36">
        <f>J4+J5+J6+J7+J10</f>
        <v>67.940277777777865</v>
      </c>
      <c r="K17" s="37">
        <f>K4+K5+K6+K7+K10</f>
        <v>36.244722222222293</v>
      </c>
      <c r="L17" s="38">
        <f>L4+L5+L6+L7+L10</f>
        <v>31.695555555555568</v>
      </c>
      <c r="M17" s="39"/>
    </row>
    <row r="18" spans="1:13" ht="20.25" x14ac:dyDescent="0.25">
      <c r="A18" s="10">
        <f t="shared" ca="1" si="0"/>
        <v>46040.500373726798</v>
      </c>
      <c r="B18" s="5" t="s">
        <v>83</v>
      </c>
      <c r="C18" s="11">
        <v>0.50037037037037002</v>
      </c>
      <c r="D18" s="11" t="s">
        <v>62</v>
      </c>
      <c r="E18" s="11">
        <v>0.63060185185185202</v>
      </c>
      <c r="F18" s="12">
        <f t="shared" si="1"/>
        <v>3.1255555555555681</v>
      </c>
      <c r="G18" s="13">
        <f t="shared" si="2"/>
        <v>3.1255555555555681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46040.751011458298</v>
      </c>
      <c r="B19" s="5" t="s">
        <v>81</v>
      </c>
      <c r="C19" s="11">
        <v>0.75100694444444405</v>
      </c>
      <c r="D19" s="11" t="s">
        <v>62</v>
      </c>
      <c r="E19" s="11">
        <v>0.81230324074074101</v>
      </c>
      <c r="F19" s="12">
        <f t="shared" si="1"/>
        <v>1.471111111111127</v>
      </c>
      <c r="G19" s="13">
        <f t="shared" si="2"/>
        <v>1.471111111111127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46040.830763425904</v>
      </c>
      <c r="B20" s="5" t="s">
        <v>81</v>
      </c>
      <c r="C20" s="11">
        <v>0.83076388888888897</v>
      </c>
      <c r="D20" s="11" t="s">
        <v>62</v>
      </c>
      <c r="E20" s="11">
        <v>0.88118055555555597</v>
      </c>
      <c r="F20" s="12">
        <f t="shared" si="1"/>
        <v>1.210000000000008</v>
      </c>
      <c r="G20" s="13">
        <f t="shared" si="2"/>
        <v>1.210000000000008</v>
      </c>
      <c r="H20" s="13">
        <f t="shared" si="3"/>
        <v>0</v>
      </c>
      <c r="I20" s="40" t="s">
        <v>77</v>
      </c>
      <c r="J20" s="65">
        <f>J16+J17+J18+J19</f>
        <v>67.940277777777865</v>
      </c>
      <c r="K20" s="66"/>
      <c r="L20" s="67"/>
      <c r="M20" s="41"/>
    </row>
    <row r="21" spans="1:13" ht="20.25" x14ac:dyDescent="0.25">
      <c r="A21" s="10">
        <f t="shared" ca="1" si="0"/>
        <v>46042.014973032397</v>
      </c>
      <c r="B21" s="5" t="s">
        <v>83</v>
      </c>
      <c r="C21" s="11">
        <v>1.49652777777778E-2</v>
      </c>
      <c r="D21" s="11" t="s">
        <v>62</v>
      </c>
      <c r="E21" s="11">
        <v>1.6331018518518502E-2</v>
      </c>
      <c r="F21" s="12">
        <f t="shared" si="1"/>
        <v>3.2777777777776851E-2</v>
      </c>
      <c r="G21" s="13">
        <f t="shared" si="2"/>
        <v>0</v>
      </c>
      <c r="H21" s="13">
        <f t="shared" si="3"/>
        <v>3.2777777777776851E-2</v>
      </c>
      <c r="I21" s="42" t="s">
        <v>4</v>
      </c>
      <c r="J21" s="43">
        <f>SUM(J8:J9)</f>
        <v>6.6794444444444645</v>
      </c>
      <c r="K21" s="37">
        <f>SUM(K8:K9)</f>
        <v>6.6794444444444645</v>
      </c>
      <c r="L21" s="38">
        <f>SUM(L8:L9)</f>
        <v>0</v>
      </c>
      <c r="M21" s="44"/>
    </row>
    <row r="22" spans="1:13" ht="18.75" x14ac:dyDescent="0.15">
      <c r="A22" s="10">
        <f t="shared" ca="1" si="0"/>
        <v>46042.0163769676</v>
      </c>
      <c r="B22" s="5" t="s">
        <v>78</v>
      </c>
      <c r="C22" s="11">
        <v>1.6377314814814799E-2</v>
      </c>
      <c r="D22" s="11" t="s">
        <v>62</v>
      </c>
      <c r="E22" s="11">
        <v>0.14912037037036999</v>
      </c>
      <c r="F22" s="12">
        <f t="shared" si="1"/>
        <v>3.1858333333333242</v>
      </c>
      <c r="G22" s="13">
        <f t="shared" si="2"/>
        <v>0</v>
      </c>
      <c r="H22" s="13">
        <f t="shared" si="3"/>
        <v>3.1858333333333242</v>
      </c>
      <c r="I22"/>
      <c r="J22"/>
    </row>
    <row r="23" spans="1:13" ht="18.75" x14ac:dyDescent="0.15">
      <c r="A23" s="10">
        <f t="shared" ca="1" si="0"/>
        <v>46045.015259027801</v>
      </c>
      <c r="B23" s="5" t="s">
        <v>83</v>
      </c>
      <c r="C23" s="11">
        <v>1.5254629629629601E-2</v>
      </c>
      <c r="D23" s="11" t="s">
        <v>62</v>
      </c>
      <c r="E23" s="11">
        <v>0.115740740740741</v>
      </c>
      <c r="F23" s="12">
        <f t="shared" si="1"/>
        <v>2.4116666666666737</v>
      </c>
      <c r="G23" s="13">
        <f t="shared" si="2"/>
        <v>0</v>
      </c>
      <c r="H23" s="13">
        <f t="shared" si="3"/>
        <v>2.4116666666666737</v>
      </c>
      <c r="I23"/>
      <c r="J23"/>
    </row>
    <row r="24" spans="1:13" ht="18.75" x14ac:dyDescent="0.15">
      <c r="A24" s="10">
        <f t="shared" ca="1" si="0"/>
        <v>46045.115781597196</v>
      </c>
      <c r="B24" s="5" t="s">
        <v>80</v>
      </c>
      <c r="C24" s="11">
        <v>0.115775462962963</v>
      </c>
      <c r="D24" s="11" t="s">
        <v>62</v>
      </c>
      <c r="E24" s="11">
        <v>0.14368055555555601</v>
      </c>
      <c r="F24" s="12">
        <f t="shared" si="1"/>
        <v>0.66972222222223221</v>
      </c>
      <c r="G24" s="13">
        <f t="shared" si="2"/>
        <v>0</v>
      </c>
      <c r="H24" s="13">
        <f t="shared" si="3"/>
        <v>0.66972222222223221</v>
      </c>
      <c r="I24"/>
      <c r="J24"/>
    </row>
    <row r="25" spans="1:13" ht="18.75" x14ac:dyDescent="0.15">
      <c r="A25" s="10">
        <f t="shared" ca="1" si="0"/>
        <v>46046.016032754596</v>
      </c>
      <c r="B25" s="5" t="s">
        <v>78</v>
      </c>
      <c r="C25" s="11">
        <v>1.63425925925926E-2</v>
      </c>
      <c r="D25" s="11" t="s">
        <v>62</v>
      </c>
      <c r="E25" s="11">
        <v>0.116516203703704</v>
      </c>
      <c r="F25" s="12">
        <f t="shared" si="1"/>
        <v>2.4041666666666734</v>
      </c>
      <c r="G25" s="13">
        <f t="shared" si="2"/>
        <v>0</v>
      </c>
      <c r="H25" s="13">
        <f t="shared" si="3"/>
        <v>2.4041666666666734</v>
      </c>
      <c r="I25"/>
      <c r="J25"/>
    </row>
    <row r="26" spans="1:13" ht="18.75" x14ac:dyDescent="0.15">
      <c r="A26" s="10">
        <f t="shared" ca="1" si="0"/>
        <v>46046.116612615697</v>
      </c>
      <c r="B26" s="5" t="s">
        <v>81</v>
      </c>
      <c r="C26" s="11">
        <v>0.116608796296296</v>
      </c>
      <c r="D26" s="11" t="s">
        <v>62</v>
      </c>
      <c r="E26" s="11">
        <v>0.14677083333333299</v>
      </c>
      <c r="F26" s="12">
        <f t="shared" si="1"/>
        <v>0.72388888888888769</v>
      </c>
      <c r="G26" s="13">
        <f t="shared" si="2"/>
        <v>0</v>
      </c>
      <c r="H26" s="13">
        <f t="shared" si="3"/>
        <v>0.72388888888888769</v>
      </c>
      <c r="I26"/>
      <c r="J26"/>
    </row>
    <row r="27" spans="1:13" ht="18.75" x14ac:dyDescent="0.15">
      <c r="A27" s="10">
        <f t="shared" ca="1" si="0"/>
        <v>46049.1407896991</v>
      </c>
      <c r="B27" s="5" t="s">
        <v>81</v>
      </c>
      <c r="C27" s="11">
        <v>0.14078703703703699</v>
      </c>
      <c r="D27" s="11" t="s">
        <v>62</v>
      </c>
      <c r="E27" s="11">
        <v>0.302800925925926</v>
      </c>
      <c r="F27" s="12">
        <f t="shared" si="1"/>
        <v>3.8883333333333363</v>
      </c>
      <c r="G27" s="13">
        <f t="shared" si="2"/>
        <v>0</v>
      </c>
      <c r="H27" s="13">
        <f t="shared" si="3"/>
        <v>3.8883333333333363</v>
      </c>
      <c r="I27"/>
      <c r="J27"/>
    </row>
    <row r="28" spans="1:13" ht="18.75" x14ac:dyDescent="0.15">
      <c r="A28" s="10">
        <f t="shared" ca="1" si="0"/>
        <v>46050.139915161999</v>
      </c>
      <c r="B28" s="5" t="s">
        <v>80</v>
      </c>
      <c r="C28" s="11">
        <v>0.13990740740740701</v>
      </c>
      <c r="D28" s="11" t="s">
        <v>62</v>
      </c>
      <c r="E28" s="11">
        <v>0.25043981481481498</v>
      </c>
      <c r="F28" s="12">
        <f t="shared" si="1"/>
        <v>2.652777777777791</v>
      </c>
      <c r="G28" s="13">
        <f t="shared" si="2"/>
        <v>0</v>
      </c>
      <c r="H28" s="13">
        <f t="shared" si="3"/>
        <v>2.652777777777791</v>
      </c>
      <c r="I28"/>
      <c r="J28"/>
    </row>
    <row r="29" spans="1:13" ht="18.75" x14ac:dyDescent="0.15">
      <c r="A29" s="10">
        <f t="shared" ca="1" si="0"/>
        <v>46052.501458217601</v>
      </c>
      <c r="B29" s="5" t="s">
        <v>83</v>
      </c>
      <c r="C29" s="11">
        <v>0.50145833333333301</v>
      </c>
      <c r="D29" s="11" t="s">
        <v>62</v>
      </c>
      <c r="E29" s="11">
        <v>0.57935185185185201</v>
      </c>
      <c r="F29" s="12">
        <f t="shared" si="1"/>
        <v>1.869444444444456</v>
      </c>
      <c r="G29" s="13">
        <f t="shared" si="2"/>
        <v>1.869444444444456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46052.596028472202</v>
      </c>
      <c r="B30" s="5" t="s">
        <v>83</v>
      </c>
      <c r="C30" s="11">
        <v>0.59601851851851895</v>
      </c>
      <c r="D30" s="11" t="s">
        <v>62</v>
      </c>
      <c r="E30" s="11">
        <v>0.63060185185185202</v>
      </c>
      <c r="F30" s="12">
        <f t="shared" si="1"/>
        <v>0.82999999999999385</v>
      </c>
      <c r="G30" s="13">
        <f t="shared" si="2"/>
        <v>0.82999999999999385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46052.7511534722</v>
      </c>
      <c r="B31" s="5" t="s">
        <v>81</v>
      </c>
      <c r="C31" s="11">
        <v>0.75114583333333296</v>
      </c>
      <c r="D31" s="11" t="s">
        <v>62</v>
      </c>
      <c r="E31" s="11">
        <v>0.88094907407407397</v>
      </c>
      <c r="F31" s="12">
        <f t="shared" si="1"/>
        <v>3.1152777777777843</v>
      </c>
      <c r="G31" s="13">
        <f t="shared" si="2"/>
        <v>3.1152777777777843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46053.460263425899</v>
      </c>
      <c r="B32" s="5" t="s">
        <v>83</v>
      </c>
      <c r="C32" s="11">
        <v>0.46025462962962999</v>
      </c>
      <c r="D32" s="11" t="s">
        <v>62</v>
      </c>
      <c r="E32" s="11">
        <v>0.54870370370370403</v>
      </c>
      <c r="F32" s="12">
        <f t="shared" si="1"/>
        <v>2.122777777777777</v>
      </c>
      <c r="G32" s="13">
        <f t="shared" si="2"/>
        <v>2.122777777777777</v>
      </c>
      <c r="H32" s="13">
        <f t="shared" si="3"/>
        <v>0</v>
      </c>
      <c r="I32"/>
      <c r="J32"/>
    </row>
    <row r="33" spans="1:10" ht="18.75" x14ac:dyDescent="0.15">
      <c r="A33" s="10">
        <f t="shared" ca="1" si="0"/>
        <v>46053.626187384303</v>
      </c>
      <c r="B33" s="5" t="s">
        <v>81</v>
      </c>
      <c r="C33" s="11">
        <v>0.62618055555555596</v>
      </c>
      <c r="D33" s="11" t="s">
        <v>62</v>
      </c>
      <c r="E33" s="11">
        <v>0.75469907407407399</v>
      </c>
      <c r="F33" s="12">
        <f t="shared" si="1"/>
        <v>3.0844444444444328</v>
      </c>
      <c r="G33" s="13">
        <f t="shared" si="2"/>
        <v>3.0844444444444328</v>
      </c>
      <c r="H33" s="13">
        <f t="shared" si="3"/>
        <v>0</v>
      </c>
      <c r="I33"/>
      <c r="J33"/>
    </row>
    <row r="34" spans="1:10" ht="18.75" x14ac:dyDescent="0.15">
      <c r="A34" s="10">
        <f t="shared" ca="1" si="0"/>
        <v>46053.835379976903</v>
      </c>
      <c r="B34" s="5" t="s">
        <v>83</v>
      </c>
      <c r="C34" s="11">
        <v>0.83537037037036999</v>
      </c>
      <c r="D34" s="11" t="s">
        <v>62</v>
      </c>
      <c r="E34" s="11">
        <v>0.96531250000000002</v>
      </c>
      <c r="F34" s="12">
        <f t="shared" si="1"/>
        <v>3.1186111111111208</v>
      </c>
      <c r="G34" s="13">
        <f t="shared" si="2"/>
        <v>3.1186111111111208</v>
      </c>
      <c r="H34" s="13">
        <f t="shared" si="3"/>
        <v>0</v>
      </c>
      <c r="I34"/>
      <c r="J34"/>
    </row>
  </sheetData>
  <autoFilter ref="A2:K34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4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8"/>
  <sheetViews>
    <sheetView zoomScale="85" zoomScaleNormal="85" workbookViewId="0">
      <selection activeCell="D40" sqref="D4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8" ca="1" si="0">IF(B3="","",IF(A3="",NOW(),A3))</f>
        <v>46024.358249074103</v>
      </c>
      <c r="B3" s="5" t="s">
        <v>78</v>
      </c>
      <c r="C3" s="11">
        <v>0.35824074074074103</v>
      </c>
      <c r="D3" s="11" t="s">
        <v>62</v>
      </c>
      <c r="E3" s="11">
        <v>0.50613425925925903</v>
      </c>
      <c r="F3" s="12">
        <f t="shared" ref="F3:F28" si="1">(IF(E3-C3&lt;0,"24:00"-C3+E3,E3-C3))*24</f>
        <v>3.5494444444444322</v>
      </c>
      <c r="G3" s="13">
        <f t="shared" ref="G3:G28" si="2">F3-H3</f>
        <v>3.5494444444444322</v>
      </c>
      <c r="H3" s="13">
        <f t="shared" ref="H3:H28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46024.626673842598</v>
      </c>
      <c r="B4" s="5" t="s">
        <v>80</v>
      </c>
      <c r="C4" s="11">
        <v>0.62666666666666704</v>
      </c>
      <c r="D4" s="11" t="s">
        <v>62</v>
      </c>
      <c r="E4" s="11">
        <v>0.75680555555555595</v>
      </c>
      <c r="F4" s="12">
        <f t="shared" si="1"/>
        <v>3.123333333333334</v>
      </c>
      <c r="G4" s="13">
        <f t="shared" si="2"/>
        <v>3.123333333333334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23.211111111111144</v>
      </c>
      <c r="K4" s="23">
        <f>SUMIF(B:B,"西塔台管制席",G:G)+SUMIF(B:B,"东塔台管制席",G:G)</f>
        <v>16.014444444444479</v>
      </c>
      <c r="L4" s="23">
        <f>SUMIF(B:B,"西塔台管制席",H:H)+SUMIF(B:B,"东塔台管制席",H:H)</f>
        <v>7.1966666666666663</v>
      </c>
      <c r="M4" s="19"/>
    </row>
    <row r="5" spans="1:16" ht="18.75" x14ac:dyDescent="0.25">
      <c r="A5" s="10">
        <f t="shared" ca="1" si="0"/>
        <v>46024.874887847203</v>
      </c>
      <c r="B5" s="5" t="s">
        <v>78</v>
      </c>
      <c r="C5" s="11">
        <v>0.87488425925925895</v>
      </c>
      <c r="D5" s="11" t="s">
        <v>62</v>
      </c>
      <c r="E5" s="11">
        <v>0.96432870370370405</v>
      </c>
      <c r="F5" s="12">
        <f t="shared" si="1"/>
        <v>2.1466666666666825</v>
      </c>
      <c r="G5" s="13">
        <f t="shared" si="2"/>
        <v>2.1466666666666825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39.343055555555559</v>
      </c>
      <c r="K5" s="23">
        <f>SUMIF(B:B,"西塔台协调席",G:G)+SUMIF(B:B,"东塔台协调席",G:G)</f>
        <v>31.744444444444472</v>
      </c>
      <c r="L5" s="23">
        <f>SUMIF(B:B,"西塔台协调席",H:H)+SUMIF(B:B,"东塔台协调席",H:H)</f>
        <v>7.5986111111110874</v>
      </c>
      <c r="M5" s="19"/>
    </row>
    <row r="6" spans="1:16" ht="18.75" x14ac:dyDescent="0.25">
      <c r="A6" s="10">
        <f t="shared" ca="1" si="0"/>
        <v>46025.299716203699</v>
      </c>
      <c r="B6" s="5" t="s">
        <v>78</v>
      </c>
      <c r="C6" s="11">
        <v>0.29971064814814802</v>
      </c>
      <c r="D6" s="11" t="s">
        <v>62</v>
      </c>
      <c r="E6" s="11">
        <v>0.42559027777777803</v>
      </c>
      <c r="F6" s="12">
        <f t="shared" si="1"/>
        <v>3.0211111111111202</v>
      </c>
      <c r="G6" s="13">
        <f t="shared" si="2"/>
        <v>2.214166666666681</v>
      </c>
      <c r="H6" s="13">
        <f t="shared" si="3"/>
        <v>0.80694444444443914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46025.501199999999</v>
      </c>
      <c r="B7" s="5" t="s">
        <v>80</v>
      </c>
      <c r="C7" s="11">
        <v>0.50119212962963</v>
      </c>
      <c r="D7" s="11" t="s">
        <v>62</v>
      </c>
      <c r="E7" s="11">
        <v>0.62664351851851896</v>
      </c>
      <c r="F7" s="12">
        <f t="shared" si="1"/>
        <v>3.010833333333335</v>
      </c>
      <c r="G7" s="13">
        <f t="shared" si="2"/>
        <v>3.010833333333335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46025.7500327546</v>
      </c>
      <c r="B8" s="5" t="s">
        <v>78</v>
      </c>
      <c r="C8" s="11">
        <v>0.75002314814814797</v>
      </c>
      <c r="D8" s="11" t="s">
        <v>62</v>
      </c>
      <c r="E8" s="11">
        <v>0.84055555555555495</v>
      </c>
      <c r="F8" s="12">
        <f t="shared" si="1"/>
        <v>2.1727777777777675</v>
      </c>
      <c r="G8" s="13">
        <f t="shared" si="2"/>
        <v>2.1727777777777675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46029.014468287001</v>
      </c>
      <c r="B9" s="5" t="s">
        <v>78</v>
      </c>
      <c r="C9" s="11">
        <v>1.44675925925926E-2</v>
      </c>
      <c r="D9" s="11" t="s">
        <v>62</v>
      </c>
      <c r="E9" s="11">
        <v>0.106944444444444</v>
      </c>
      <c r="F9" s="12">
        <f t="shared" si="1"/>
        <v>2.2194444444444335</v>
      </c>
      <c r="G9" s="13">
        <f t="shared" si="2"/>
        <v>0</v>
      </c>
      <c r="H9" s="13">
        <f t="shared" si="3"/>
        <v>2.2194444444444335</v>
      </c>
      <c r="I9" s="21" t="s">
        <v>69</v>
      </c>
      <c r="J9" s="22">
        <f>SUMIF(B:B,"航班调度席",F:F)</f>
        <v>6.8388888888888975</v>
      </c>
      <c r="K9" s="23">
        <f>SUMIF(B:B,"航班调度席",G:G)</f>
        <v>6.8388888888888975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46029.106992708301</v>
      </c>
      <c r="B10" s="5" t="s">
        <v>81</v>
      </c>
      <c r="C10" s="11">
        <v>0.106990740740741</v>
      </c>
      <c r="D10" s="11" t="s">
        <v>62</v>
      </c>
      <c r="E10" s="11">
        <v>0.14368055555555601</v>
      </c>
      <c r="F10" s="12">
        <f t="shared" si="1"/>
        <v>0.8805555555555602</v>
      </c>
      <c r="G10" s="13">
        <f t="shared" si="2"/>
        <v>0</v>
      </c>
      <c r="H10" s="13">
        <f t="shared" si="3"/>
        <v>0.8805555555555602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46030.014431828698</v>
      </c>
      <c r="B11" s="5" t="s">
        <v>80</v>
      </c>
      <c r="C11" s="11">
        <v>1.44212962962963E-2</v>
      </c>
      <c r="D11" s="11" t="s">
        <v>62</v>
      </c>
      <c r="E11" s="11">
        <v>0.14568287037037</v>
      </c>
      <c r="F11" s="12">
        <f t="shared" si="1"/>
        <v>3.1502777777777693</v>
      </c>
      <c r="G11" s="13">
        <f t="shared" si="2"/>
        <v>0</v>
      </c>
      <c r="H11" s="13">
        <f t="shared" si="3"/>
        <v>3.1502777777777693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46032.959546064798</v>
      </c>
      <c r="B12" s="5" t="s">
        <v>83</v>
      </c>
      <c r="C12" s="11">
        <v>0.95953703703703697</v>
      </c>
      <c r="D12" s="11" t="s">
        <v>62</v>
      </c>
      <c r="E12" s="11">
        <v>0.12371527777777799</v>
      </c>
      <c r="F12" s="12">
        <f t="shared" si="1"/>
        <v>3.9402777777777844</v>
      </c>
      <c r="G12" s="13">
        <f t="shared" si="2"/>
        <v>0.97111111111111281</v>
      </c>
      <c r="H12" s="13">
        <f t="shared" si="3"/>
        <v>2.9691666666666716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46034.013852430602</v>
      </c>
      <c r="B13" s="5" t="s">
        <v>80</v>
      </c>
      <c r="C13" s="11">
        <v>1.3842592592592601E-2</v>
      </c>
      <c r="D13" s="11" t="s">
        <v>62</v>
      </c>
      <c r="E13" s="11">
        <v>0.14575231481481499</v>
      </c>
      <c r="F13" s="12">
        <f t="shared" si="1"/>
        <v>3.1658333333333371</v>
      </c>
      <c r="G13" s="13">
        <f t="shared" si="2"/>
        <v>0</v>
      </c>
      <c r="H13" s="13">
        <f t="shared" si="3"/>
        <v>3.1658333333333371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46036.501216898097</v>
      </c>
      <c r="B14" s="5" t="s">
        <v>81</v>
      </c>
      <c r="C14" s="11">
        <v>0.50121527777777797</v>
      </c>
      <c r="D14" s="11" t="s">
        <v>62</v>
      </c>
      <c r="E14" s="11">
        <v>0.63168981481481501</v>
      </c>
      <c r="F14" s="12">
        <f t="shared" si="1"/>
        <v>3.131388888888889</v>
      </c>
      <c r="G14" s="13">
        <f t="shared" si="2"/>
        <v>3.131388888888889</v>
      </c>
      <c r="H14" s="13">
        <f t="shared" si="3"/>
        <v>0</v>
      </c>
      <c r="I14" s="69"/>
      <c r="J14" s="69"/>
      <c r="K14" s="69"/>
      <c r="L14" s="69"/>
      <c r="M14" s="69"/>
    </row>
    <row r="15" spans="1:16" ht="20.25" x14ac:dyDescent="0.25">
      <c r="A15" s="10">
        <f t="shared" ca="1" si="0"/>
        <v>46036.751658564797</v>
      </c>
      <c r="B15" s="5" t="s">
        <v>83</v>
      </c>
      <c r="C15" s="11">
        <v>0.751655092592593</v>
      </c>
      <c r="D15" s="11" t="s">
        <v>62</v>
      </c>
      <c r="E15" s="11">
        <v>0.87931712962963005</v>
      </c>
      <c r="F15" s="12">
        <f t="shared" si="1"/>
        <v>3.0638888888888891</v>
      </c>
      <c r="G15" s="13">
        <f t="shared" si="2"/>
        <v>3.0638888888888891</v>
      </c>
      <c r="H15" s="13">
        <f t="shared" si="3"/>
        <v>0</v>
      </c>
      <c r="I15" s="35" t="s">
        <v>63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46037.416781713</v>
      </c>
      <c r="B16" s="5" t="s">
        <v>83</v>
      </c>
      <c r="C16" s="11">
        <v>0.41678240740740702</v>
      </c>
      <c r="D16" s="11" t="s">
        <v>62</v>
      </c>
      <c r="E16" s="11">
        <v>0.55000000000000004</v>
      </c>
      <c r="F16" s="12">
        <f t="shared" si="1"/>
        <v>3.1972222222222326</v>
      </c>
      <c r="G16" s="13">
        <f t="shared" si="2"/>
        <v>3.1972222222222326</v>
      </c>
      <c r="H16" s="13">
        <f t="shared" si="3"/>
        <v>0</v>
      </c>
      <c r="I16" s="35" t="s">
        <v>75</v>
      </c>
      <c r="J16" s="36">
        <f>J4+J5+J6+J7+J10</f>
        <v>62.554166666666703</v>
      </c>
      <c r="K16" s="37">
        <f>K4+K5+K6+K7+K10</f>
        <v>47.758888888888947</v>
      </c>
      <c r="L16" s="38">
        <f>L4+L5+L6+L7+L10</f>
        <v>14.795277777777754</v>
      </c>
      <c r="M16" s="39"/>
    </row>
    <row r="17" spans="1:13" ht="20.25" x14ac:dyDescent="0.25">
      <c r="A17" s="10">
        <f t="shared" ca="1" si="0"/>
        <v>46037.667825347198</v>
      </c>
      <c r="B17" s="5" t="s">
        <v>81</v>
      </c>
      <c r="C17" s="11">
        <v>0.66782407407407396</v>
      </c>
      <c r="D17" s="11" t="s">
        <v>62</v>
      </c>
      <c r="E17" s="11">
        <v>0.79903935185185204</v>
      </c>
      <c r="F17" s="12">
        <f t="shared" si="1"/>
        <v>3.149166666666674</v>
      </c>
      <c r="G17" s="13">
        <f t="shared" si="2"/>
        <v>3.149166666666674</v>
      </c>
      <c r="H17" s="13">
        <f t="shared" si="3"/>
        <v>0</v>
      </c>
      <c r="I17" s="35" t="s">
        <v>71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46037.876222916697</v>
      </c>
      <c r="B18" s="5" t="s">
        <v>83</v>
      </c>
      <c r="C18" s="11">
        <v>0.87621527777777797</v>
      </c>
      <c r="D18" s="11" t="s">
        <v>62</v>
      </c>
      <c r="E18" s="11">
        <v>0.96494212962963</v>
      </c>
      <c r="F18" s="12">
        <f t="shared" si="1"/>
        <v>2.1294444444444487</v>
      </c>
      <c r="G18" s="13">
        <f t="shared" si="2"/>
        <v>2.1294444444444487</v>
      </c>
      <c r="H18" s="13">
        <f t="shared" si="3"/>
        <v>0</v>
      </c>
      <c r="I18" s="35" t="s">
        <v>76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>
        <f t="shared" ca="1" si="0"/>
        <v>46038.299955208298</v>
      </c>
      <c r="B19" s="5" t="s">
        <v>83</v>
      </c>
      <c r="C19" s="11">
        <v>0.299953703703704</v>
      </c>
      <c r="D19" s="11" t="s">
        <v>62</v>
      </c>
      <c r="E19" s="11">
        <v>0.34531250000000002</v>
      </c>
      <c r="F19" s="12">
        <f t="shared" si="1"/>
        <v>1.0886111111111045</v>
      </c>
      <c r="G19" s="13">
        <f t="shared" si="2"/>
        <v>0.28750000000000897</v>
      </c>
      <c r="H19" s="13">
        <f t="shared" si="3"/>
        <v>0.80111111111109556</v>
      </c>
      <c r="I19" s="40" t="s">
        <v>77</v>
      </c>
      <c r="J19" s="65">
        <f>J15+J16+J17+J18</f>
        <v>62.554166666666703</v>
      </c>
      <c r="K19" s="66"/>
      <c r="L19" s="67"/>
      <c r="M19" s="41"/>
    </row>
    <row r="20" spans="1:13" ht="20.25" x14ac:dyDescent="0.25">
      <c r="A20" s="10">
        <f t="shared" ca="1" si="0"/>
        <v>46038.345365856498</v>
      </c>
      <c r="B20" s="5" t="s">
        <v>80</v>
      </c>
      <c r="C20" s="11">
        <v>0.34535879629629601</v>
      </c>
      <c r="D20" s="11" t="s">
        <v>62</v>
      </c>
      <c r="E20" s="11">
        <v>0.367650462962963</v>
      </c>
      <c r="F20" s="12">
        <f t="shared" si="1"/>
        <v>0.53500000000000769</v>
      </c>
      <c r="G20" s="13">
        <f t="shared" si="2"/>
        <v>0.53500000000000769</v>
      </c>
      <c r="H20" s="13">
        <f t="shared" si="3"/>
        <v>0</v>
      </c>
      <c r="I20" s="42" t="s">
        <v>4</v>
      </c>
      <c r="J20" s="43">
        <f>SUM(J8:J9)</f>
        <v>6.8388888888888975</v>
      </c>
      <c r="K20" s="37">
        <f>SUM(K8:K9)</f>
        <v>6.8388888888888975</v>
      </c>
      <c r="L20" s="38">
        <f>SUM(L8:L9)</f>
        <v>0</v>
      </c>
      <c r="M20" s="44"/>
    </row>
    <row r="21" spans="1:13" ht="18.75" x14ac:dyDescent="0.15">
      <c r="A21" s="10">
        <f t="shared" ca="1" si="0"/>
        <v>46048.357808449102</v>
      </c>
      <c r="B21" s="5" t="s">
        <v>83</v>
      </c>
      <c r="C21" s="11">
        <v>0.35780092592592599</v>
      </c>
      <c r="D21" s="11" t="s">
        <v>62</v>
      </c>
      <c r="E21" s="11">
        <v>0.50575231481481497</v>
      </c>
      <c r="F21" s="12">
        <f t="shared" si="1"/>
        <v>3.5508333333333355</v>
      </c>
      <c r="G21" s="13">
        <f t="shared" si="2"/>
        <v>3.5508333333333355</v>
      </c>
      <c r="H21" s="13">
        <f t="shared" si="3"/>
        <v>0</v>
      </c>
      <c r="I21"/>
      <c r="J21"/>
    </row>
    <row r="22" spans="1:13" ht="18.75" x14ac:dyDescent="0.15">
      <c r="A22" s="10">
        <f t="shared" ca="1" si="0"/>
        <v>46048.627558101798</v>
      </c>
      <c r="B22" s="5" t="s">
        <v>81</v>
      </c>
      <c r="C22" s="11">
        <v>0.62755787037037003</v>
      </c>
      <c r="D22" s="11" t="s">
        <v>62</v>
      </c>
      <c r="E22" s="11">
        <v>0.75525462962962997</v>
      </c>
      <c r="F22" s="12">
        <f t="shared" si="1"/>
        <v>3.0647222222222386</v>
      </c>
      <c r="G22" s="13">
        <f t="shared" si="2"/>
        <v>3.0647222222222386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46048.876602314798</v>
      </c>
      <c r="B23" s="5" t="s">
        <v>83</v>
      </c>
      <c r="C23" s="11">
        <v>0.87640046296296303</v>
      </c>
      <c r="D23" s="11" t="s">
        <v>62</v>
      </c>
      <c r="E23" s="11">
        <v>0.96609953703703699</v>
      </c>
      <c r="F23" s="12">
        <f t="shared" si="1"/>
        <v>2.152777777777775</v>
      </c>
      <c r="G23" s="13">
        <f t="shared" si="2"/>
        <v>2.152777777777775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46049.299925347201</v>
      </c>
      <c r="B24" s="5" t="s">
        <v>83</v>
      </c>
      <c r="C24" s="11">
        <v>0.299918981481481</v>
      </c>
      <c r="D24" s="11" t="s">
        <v>62</v>
      </c>
      <c r="E24" s="11">
        <v>0.46458333333333302</v>
      </c>
      <c r="F24" s="12">
        <f t="shared" si="1"/>
        <v>3.9519444444444485</v>
      </c>
      <c r="G24" s="13">
        <f t="shared" si="2"/>
        <v>3.1500000000000008</v>
      </c>
      <c r="H24" s="13">
        <f t="shared" si="3"/>
        <v>0.80194444444444768</v>
      </c>
      <c r="I24"/>
      <c r="J24"/>
    </row>
    <row r="25" spans="1:13" ht="18.75" x14ac:dyDescent="0.15">
      <c r="A25" s="10">
        <f t="shared" ca="1" si="0"/>
        <v>46049.542450347202</v>
      </c>
      <c r="B25" s="5" t="s">
        <v>83</v>
      </c>
      <c r="C25" s="11">
        <v>0.54244212962963001</v>
      </c>
      <c r="D25" s="11" t="s">
        <v>62</v>
      </c>
      <c r="E25" s="11">
        <v>0.63381944444444405</v>
      </c>
      <c r="F25" s="12">
        <f t="shared" si="1"/>
        <v>2.1930555555555369</v>
      </c>
      <c r="G25" s="13">
        <f t="shared" si="2"/>
        <v>2.1930555555555369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46052.377435995397</v>
      </c>
      <c r="B26" s="5" t="s">
        <v>82</v>
      </c>
      <c r="C26" s="11">
        <v>0.37743055555555599</v>
      </c>
      <c r="D26" s="11" t="s">
        <v>62</v>
      </c>
      <c r="E26" s="11">
        <v>0.51434027777777802</v>
      </c>
      <c r="F26" s="12">
        <f t="shared" si="1"/>
        <v>3.2858333333333287</v>
      </c>
      <c r="G26" s="13">
        <f t="shared" si="2"/>
        <v>3.2858333333333287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46052.606447916703</v>
      </c>
      <c r="B27" s="5" t="s">
        <v>82</v>
      </c>
      <c r="C27" s="11">
        <v>0.60644675925925895</v>
      </c>
      <c r="D27" s="11" t="s">
        <v>62</v>
      </c>
      <c r="E27" s="11">
        <v>0.75449074074074096</v>
      </c>
      <c r="F27" s="12">
        <f t="shared" si="1"/>
        <v>3.5530555555555683</v>
      </c>
      <c r="G27" s="13">
        <f t="shared" si="2"/>
        <v>3.5530555555555683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46053.959751388902</v>
      </c>
      <c r="B28" s="5" t="s">
        <v>83</v>
      </c>
      <c r="C28" s="11">
        <v>0.95974537037037</v>
      </c>
      <c r="D28" s="11" t="s">
        <v>62</v>
      </c>
      <c r="E28" s="11">
        <v>0.99997685185185203</v>
      </c>
      <c r="F28" s="12">
        <f t="shared" si="1"/>
        <v>0.96555555555556882</v>
      </c>
      <c r="G28" s="13">
        <f t="shared" si="2"/>
        <v>0.96555555555556882</v>
      </c>
      <c r="H28" s="13">
        <f t="shared" si="3"/>
        <v>0</v>
      </c>
      <c r="I28"/>
      <c r="J28"/>
    </row>
  </sheetData>
  <autoFilter ref="A2:K28"/>
  <mergeCells count="3">
    <mergeCell ref="A1:K1"/>
    <mergeCell ref="J19:L19"/>
    <mergeCell ref="I13:M14"/>
  </mergeCells>
  <phoneticPr fontId="17" type="noConversion"/>
  <dataValidations count="2">
    <dataValidation type="list" allowBlank="1" showInputMessage="1" showErrorMessage="1" sqref="D3:D28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9"/>
  <sheetViews>
    <sheetView zoomScale="85" zoomScaleNormal="85" workbookViewId="0">
      <selection activeCell="F49" sqref="F4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9" ca="1" si="0">IF(B3="","",IF(A3="",NOW(),A3))</f>
        <v>46024.545700463001</v>
      </c>
      <c r="B3" s="5" t="s">
        <v>61</v>
      </c>
      <c r="C3" s="11">
        <v>0.54569444444444404</v>
      </c>
      <c r="D3" s="11" t="s">
        <v>62</v>
      </c>
      <c r="E3" s="11">
        <v>0.79568287037037</v>
      </c>
      <c r="F3" s="12">
        <f t="shared" ref="F3:F29" si="1">(IF(E3-C3&lt;0,"24:00"-C3+E3,E3-C3))*24</f>
        <v>5.9997222222222231</v>
      </c>
      <c r="G3" s="13">
        <f t="shared" ref="G3:G29" si="2">F3-H3</f>
        <v>5.9997222222222231</v>
      </c>
      <c r="H3" s="13">
        <f t="shared" ref="H3:H29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86.619166666666629</v>
      </c>
      <c r="K3" s="18">
        <f>SUMIF(B:B,"带班主任",G:G)</f>
        <v>56.243333333333375</v>
      </c>
      <c r="L3" s="18">
        <f>SUMIF(B:B,"带班主任",H:H)</f>
        <v>30.375833333333254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46025.133536342597</v>
      </c>
      <c r="B4" s="5" t="s">
        <v>61</v>
      </c>
      <c r="C4" s="11">
        <v>0.13353009259259299</v>
      </c>
      <c r="D4" s="11" t="s">
        <v>62</v>
      </c>
      <c r="E4" s="11">
        <v>0.29865740740740698</v>
      </c>
      <c r="F4" s="12">
        <f t="shared" si="1"/>
        <v>3.9630555555555356</v>
      </c>
      <c r="G4" s="13">
        <f t="shared" si="2"/>
        <v>0</v>
      </c>
      <c r="H4" s="13">
        <f t="shared" si="3"/>
        <v>3.9630555555555356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46025.791168865697</v>
      </c>
      <c r="B5" s="5" t="s">
        <v>61</v>
      </c>
      <c r="C5" s="11">
        <v>0.79116898148148096</v>
      </c>
      <c r="D5" s="11" t="s">
        <v>62</v>
      </c>
      <c r="E5" s="11">
        <v>0.94462962962963004</v>
      </c>
      <c r="F5" s="12">
        <f t="shared" si="1"/>
        <v>3.683055555555578</v>
      </c>
      <c r="G5" s="13">
        <f t="shared" si="2"/>
        <v>3.683055555555578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7.8091666666666688</v>
      </c>
      <c r="K5" s="23">
        <f>SUMIF(B:B,"西塔台协调席",G:G)+SUMIF(B:B,"东塔台协调席",G:G)</f>
        <v>0.96027777777777512</v>
      </c>
      <c r="L5" s="23">
        <f>SUMIF(B:B,"西塔台协调席",H:H)+SUMIF(B:B,"东塔台协调席",H:H)</f>
        <v>6.8488888888888937</v>
      </c>
      <c r="M5" s="19"/>
    </row>
    <row r="6" spans="1:16" ht="18.75" x14ac:dyDescent="0.25">
      <c r="A6" s="10">
        <f t="shared" ca="1" si="0"/>
        <v>46026.266042708303</v>
      </c>
      <c r="B6" s="5" t="s">
        <v>61</v>
      </c>
      <c r="C6" s="11">
        <v>0.26604166666666701</v>
      </c>
      <c r="D6" s="11" t="s">
        <v>62</v>
      </c>
      <c r="E6" s="11">
        <v>0.36425925925925901</v>
      </c>
      <c r="F6" s="12">
        <f t="shared" si="1"/>
        <v>2.3572222222222079</v>
      </c>
      <c r="G6" s="13">
        <f t="shared" si="2"/>
        <v>0.74222222222222456</v>
      </c>
      <c r="H6" s="13">
        <f t="shared" si="3"/>
        <v>1.6149999999999833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46032.542680787003</v>
      </c>
      <c r="B7" s="5" t="s">
        <v>61</v>
      </c>
      <c r="C7" s="11">
        <v>0.54267361111111101</v>
      </c>
      <c r="D7" s="11" t="s">
        <v>62</v>
      </c>
      <c r="E7" s="11">
        <v>0.79953703703703705</v>
      </c>
      <c r="F7" s="12">
        <f t="shared" si="1"/>
        <v>6.1647222222222249</v>
      </c>
      <c r="G7" s="13">
        <f t="shared" si="2"/>
        <v>6.1647222222222249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46033.133427777801</v>
      </c>
      <c r="B8" s="5" t="s">
        <v>61</v>
      </c>
      <c r="C8" s="11">
        <v>0.133425925925926</v>
      </c>
      <c r="D8" s="11" t="s">
        <v>62</v>
      </c>
      <c r="E8" s="11">
        <v>0.29982638888888902</v>
      </c>
      <c r="F8" s="12">
        <f t="shared" si="1"/>
        <v>3.9936111111111123</v>
      </c>
      <c r="G8" s="13">
        <f t="shared" si="2"/>
        <v>0</v>
      </c>
      <c r="H8" s="13">
        <f t="shared" si="3"/>
        <v>3.9936111111111123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46033.791895370399</v>
      </c>
      <c r="B9" s="5" t="s">
        <v>61</v>
      </c>
      <c r="C9" s="11">
        <v>0.79188657407407403</v>
      </c>
      <c r="D9" s="11" t="s">
        <v>62</v>
      </c>
      <c r="E9" s="11">
        <v>0.94553240740740696</v>
      </c>
      <c r="F9" s="12">
        <f t="shared" si="1"/>
        <v>3.6874999999999902</v>
      </c>
      <c r="G9" s="13">
        <f t="shared" si="2"/>
        <v>3.6874999999999902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46034.292637963001</v>
      </c>
      <c r="B10" s="5" t="s">
        <v>61</v>
      </c>
      <c r="C10" s="11">
        <v>0.29262731481481502</v>
      </c>
      <c r="D10" s="11" t="s">
        <v>62</v>
      </c>
      <c r="E10" s="11">
        <v>0.361990740740741</v>
      </c>
      <c r="F10" s="12">
        <f t="shared" si="1"/>
        <v>1.6647222222222235</v>
      </c>
      <c r="G10" s="13">
        <f t="shared" si="2"/>
        <v>0.68777777777779248</v>
      </c>
      <c r="H10" s="13">
        <f t="shared" si="3"/>
        <v>0.97694444444443107</v>
      </c>
      <c r="I10" s="21" t="s">
        <v>70</v>
      </c>
      <c r="J10" s="22">
        <f>SUMIF(B:B,"综合协调席",F:F)</f>
        <v>2.3669444444444396</v>
      </c>
      <c r="K10" s="23">
        <f>SUMIF(B:B,"综合协调席",G:G)</f>
        <v>0</v>
      </c>
      <c r="L10" s="23">
        <f>SUMIF(B:B,"综合协调席",H:H)</f>
        <v>2.3669444444444396</v>
      </c>
      <c r="M10" s="19"/>
    </row>
    <row r="11" spans="1:16" ht="18.75" x14ac:dyDescent="0.25">
      <c r="A11" s="10">
        <f t="shared" ca="1" si="0"/>
        <v>46036.939326041698</v>
      </c>
      <c r="B11" s="5" t="s">
        <v>61</v>
      </c>
      <c r="C11" s="11">
        <v>0.93931712962962999</v>
      </c>
      <c r="D11" s="11" t="s">
        <v>62</v>
      </c>
      <c r="E11" s="11">
        <v>0.14061342592592599</v>
      </c>
      <c r="F11" s="12">
        <f t="shared" si="1"/>
        <v>4.8311111111111043</v>
      </c>
      <c r="G11" s="13">
        <f t="shared" si="2"/>
        <v>1.4563888888888803</v>
      </c>
      <c r="H11" s="13">
        <f t="shared" si="3"/>
        <v>3.374722222222224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46037.5424815972</v>
      </c>
      <c r="B12" s="5" t="s">
        <v>61</v>
      </c>
      <c r="C12" s="11">
        <v>0.54247685185185202</v>
      </c>
      <c r="D12" s="11" t="s">
        <v>62</v>
      </c>
      <c r="E12" s="11">
        <v>0.68560185185185196</v>
      </c>
      <c r="F12" s="12">
        <f t="shared" si="1"/>
        <v>3.4349999999999987</v>
      </c>
      <c r="G12" s="13">
        <f t="shared" si="2"/>
        <v>3.4349999999999987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46037.695920138904</v>
      </c>
      <c r="B13" s="5" t="s">
        <v>61</v>
      </c>
      <c r="C13" s="11">
        <v>0.69591435185185202</v>
      </c>
      <c r="D13" s="11" t="s">
        <v>62</v>
      </c>
      <c r="E13" s="11">
        <v>0.79868055555555595</v>
      </c>
      <c r="F13" s="12">
        <f t="shared" si="1"/>
        <v>2.4663888888888943</v>
      </c>
      <c r="G13" s="13">
        <f t="shared" si="2"/>
        <v>2.4663888888888943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46038.132066550897</v>
      </c>
      <c r="B14" s="5" t="s">
        <v>61</v>
      </c>
      <c r="C14" s="11">
        <v>0.132060185185185</v>
      </c>
      <c r="D14" s="11" t="s">
        <v>62</v>
      </c>
      <c r="E14" s="11">
        <v>0.30005787037037002</v>
      </c>
      <c r="F14" s="12">
        <f t="shared" si="1"/>
        <v>4.0319444444444406</v>
      </c>
      <c r="G14" s="13">
        <f t="shared" si="2"/>
        <v>0</v>
      </c>
      <c r="H14" s="13">
        <f t="shared" si="3"/>
        <v>4.0319444444444406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46040.938520833297</v>
      </c>
      <c r="B15" s="5" t="s">
        <v>61</v>
      </c>
      <c r="C15" s="11">
        <v>0.93851851851851897</v>
      </c>
      <c r="D15" s="11" t="s">
        <v>62</v>
      </c>
      <c r="E15" s="11">
        <v>0.99042824074074098</v>
      </c>
      <c r="F15" s="12">
        <f t="shared" si="1"/>
        <v>1.2458333333333282</v>
      </c>
      <c r="G15" s="13">
        <f t="shared" si="2"/>
        <v>1.2458333333333282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46041.013821527798</v>
      </c>
      <c r="B16" s="5" t="s">
        <v>78</v>
      </c>
      <c r="C16" s="11">
        <v>1.38194444444444E-2</v>
      </c>
      <c r="D16" s="11" t="s">
        <v>62</v>
      </c>
      <c r="E16" s="11">
        <v>0.145185185185185</v>
      </c>
      <c r="F16" s="12">
        <f t="shared" si="1"/>
        <v>3.1527777777777741</v>
      </c>
      <c r="G16" s="13">
        <f t="shared" si="2"/>
        <v>0</v>
      </c>
      <c r="H16" s="13">
        <f t="shared" si="3"/>
        <v>3.1527777777777741</v>
      </c>
      <c r="I16" s="35" t="s">
        <v>63</v>
      </c>
      <c r="J16" s="36">
        <f t="shared" ref="J16:L16" si="4">J3</f>
        <v>86.619166666666629</v>
      </c>
      <c r="K16" s="37">
        <f t="shared" si="4"/>
        <v>56.243333333333375</v>
      </c>
      <c r="L16" s="38">
        <f t="shared" si="4"/>
        <v>30.375833333333254</v>
      </c>
      <c r="M16" s="39"/>
    </row>
    <row r="17" spans="1:13" ht="20.25" x14ac:dyDescent="0.25">
      <c r="A17" s="10">
        <f t="shared" ca="1" si="0"/>
        <v>46041.959990277799</v>
      </c>
      <c r="B17" s="5" t="s">
        <v>83</v>
      </c>
      <c r="C17" s="11">
        <v>0.95998842592592604</v>
      </c>
      <c r="D17" s="11" t="s">
        <v>62</v>
      </c>
      <c r="E17" s="11">
        <v>0.15400462962962999</v>
      </c>
      <c r="F17" s="12">
        <f t="shared" si="1"/>
        <v>4.6563888888888947</v>
      </c>
      <c r="G17" s="13">
        <f t="shared" si="2"/>
        <v>0.96027777777777512</v>
      </c>
      <c r="H17" s="13">
        <f t="shared" si="3"/>
        <v>3.6961111111111196</v>
      </c>
      <c r="I17" s="35" t="s">
        <v>75</v>
      </c>
      <c r="J17" s="36">
        <f>J4+J5+J6+J7+J10</f>
        <v>10.176111111111108</v>
      </c>
      <c r="K17" s="37">
        <f>K4+K5+K6+K7+K10</f>
        <v>0.96027777777777512</v>
      </c>
      <c r="L17" s="38">
        <f>L4+L5+L6+L7+L10</f>
        <v>9.2158333333333324</v>
      </c>
      <c r="M17" s="39"/>
    </row>
    <row r="18" spans="1:13" ht="20.25" x14ac:dyDescent="0.25">
      <c r="A18" s="10">
        <f t="shared" ca="1" si="0"/>
        <v>46042.172217129599</v>
      </c>
      <c r="B18" s="5" t="s">
        <v>86</v>
      </c>
      <c r="C18" s="11">
        <v>0.17236111111111099</v>
      </c>
      <c r="D18" s="11" t="s">
        <v>62</v>
      </c>
      <c r="E18" s="11">
        <v>0.27098379629629599</v>
      </c>
      <c r="F18" s="12">
        <f t="shared" si="1"/>
        <v>2.3669444444444396</v>
      </c>
      <c r="G18" s="13">
        <f t="shared" si="2"/>
        <v>0</v>
      </c>
      <c r="H18" s="13">
        <f t="shared" si="3"/>
        <v>2.3669444444444396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46044.356627546302</v>
      </c>
      <c r="B19" s="5" t="s">
        <v>61</v>
      </c>
      <c r="C19" s="11">
        <v>0.35662037037036998</v>
      </c>
      <c r="D19" s="11" t="s">
        <v>62</v>
      </c>
      <c r="E19" s="11">
        <v>0.54883101851851801</v>
      </c>
      <c r="F19" s="12">
        <f t="shared" si="1"/>
        <v>4.6130555555555528</v>
      </c>
      <c r="G19" s="13">
        <f t="shared" si="2"/>
        <v>4.6130555555555528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46044.791616666698</v>
      </c>
      <c r="B20" s="5" t="s">
        <v>61</v>
      </c>
      <c r="C20" s="11">
        <v>0.79160879629629599</v>
      </c>
      <c r="D20" s="11" t="s">
        <v>62</v>
      </c>
      <c r="E20" s="11">
        <v>0.94283564814814802</v>
      </c>
      <c r="F20" s="12">
        <f t="shared" si="1"/>
        <v>3.6294444444444487</v>
      </c>
      <c r="G20" s="13">
        <f t="shared" si="2"/>
        <v>3.6294444444444487</v>
      </c>
      <c r="H20" s="13">
        <f t="shared" si="3"/>
        <v>0</v>
      </c>
      <c r="I20" s="40" t="s">
        <v>77</v>
      </c>
      <c r="J20" s="65">
        <f>J16+J17+J18+J19</f>
        <v>96.795277777777741</v>
      </c>
      <c r="K20" s="66"/>
      <c r="L20" s="67"/>
      <c r="M20" s="41"/>
    </row>
    <row r="21" spans="1:13" ht="20.25" x14ac:dyDescent="0.25">
      <c r="A21" s="10">
        <f t="shared" ca="1" si="0"/>
        <v>46045.293222916698</v>
      </c>
      <c r="B21" s="5" t="s">
        <v>61</v>
      </c>
      <c r="C21" s="11">
        <v>0.293217592592593</v>
      </c>
      <c r="D21" s="11" t="s">
        <v>62</v>
      </c>
      <c r="E21" s="11">
        <v>0.43040509259259302</v>
      </c>
      <c r="F21" s="12">
        <f t="shared" si="1"/>
        <v>3.2925000000000004</v>
      </c>
      <c r="G21" s="13">
        <f t="shared" si="2"/>
        <v>2.3297222222222409</v>
      </c>
      <c r="H21" s="13">
        <f t="shared" si="3"/>
        <v>0.96277777777775952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46046.133545949102</v>
      </c>
      <c r="B22" s="5" t="s">
        <v>61</v>
      </c>
      <c r="C22" s="11">
        <v>0.133541666666667</v>
      </c>
      <c r="D22" s="11" t="s">
        <v>62</v>
      </c>
      <c r="E22" s="11">
        <v>0.299375</v>
      </c>
      <c r="F22" s="12">
        <f t="shared" si="1"/>
        <v>3.979999999999992</v>
      </c>
      <c r="G22" s="13">
        <f t="shared" si="2"/>
        <v>0</v>
      </c>
      <c r="H22" s="13">
        <f t="shared" si="3"/>
        <v>3.979999999999992</v>
      </c>
      <c r="I22"/>
      <c r="J22"/>
    </row>
    <row r="23" spans="1:13" ht="18.75" x14ac:dyDescent="0.15">
      <c r="A23" s="10">
        <f t="shared" ca="1" si="0"/>
        <v>46048.545010416703</v>
      </c>
      <c r="B23" s="5" t="s">
        <v>61</v>
      </c>
      <c r="C23" s="11">
        <v>0.54500000000000004</v>
      </c>
      <c r="D23" s="11" t="s">
        <v>62</v>
      </c>
      <c r="E23" s="11">
        <v>0.70019675925925895</v>
      </c>
      <c r="F23" s="12">
        <f t="shared" si="1"/>
        <v>3.7247222222222138</v>
      </c>
      <c r="G23" s="13">
        <f t="shared" si="2"/>
        <v>3.7247222222222138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46048.718741898098</v>
      </c>
      <c r="B24" s="5" t="s">
        <v>61</v>
      </c>
      <c r="C24" s="11">
        <v>0.71873842592592596</v>
      </c>
      <c r="D24" s="11" t="s">
        <v>62</v>
      </c>
      <c r="E24" s="11">
        <v>0.80033564814814795</v>
      </c>
      <c r="F24" s="12">
        <f t="shared" si="1"/>
        <v>1.9583333333333277</v>
      </c>
      <c r="G24" s="13">
        <f t="shared" si="2"/>
        <v>1.9583333333333277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46049.132288078697</v>
      </c>
      <c r="B25" s="5" t="s">
        <v>61</v>
      </c>
      <c r="C25" s="11">
        <v>0.13228009259259299</v>
      </c>
      <c r="D25" s="11" t="s">
        <v>62</v>
      </c>
      <c r="E25" s="11">
        <v>0.29969907407407398</v>
      </c>
      <c r="F25" s="12">
        <f t="shared" si="1"/>
        <v>4.0180555555555433</v>
      </c>
      <c r="G25" s="13">
        <f t="shared" si="2"/>
        <v>0</v>
      </c>
      <c r="H25" s="13">
        <f t="shared" si="3"/>
        <v>4.0180555555555433</v>
      </c>
      <c r="I25"/>
      <c r="J25"/>
    </row>
    <row r="26" spans="1:13" ht="18.75" x14ac:dyDescent="0.15">
      <c r="A26" s="10">
        <f t="shared" ca="1" si="0"/>
        <v>46049.793325231498</v>
      </c>
      <c r="B26" s="5" t="s">
        <v>61</v>
      </c>
      <c r="C26" s="11">
        <v>0.79332175925925896</v>
      </c>
      <c r="D26" s="11" t="s">
        <v>62</v>
      </c>
      <c r="E26" s="11">
        <v>0.94760416666666702</v>
      </c>
      <c r="F26" s="12">
        <f t="shared" si="1"/>
        <v>3.7027777777777935</v>
      </c>
      <c r="G26" s="13">
        <f t="shared" si="2"/>
        <v>3.7027777777777935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46052.938942361099</v>
      </c>
      <c r="B27" s="5" t="s">
        <v>61</v>
      </c>
      <c r="C27" s="11">
        <v>0.93893518518518504</v>
      </c>
      <c r="D27" s="11" t="s">
        <v>62</v>
      </c>
      <c r="E27" s="11">
        <v>0.14415509259259299</v>
      </c>
      <c r="F27" s="12">
        <f t="shared" si="1"/>
        <v>4.925277777777791</v>
      </c>
      <c r="G27" s="13">
        <f t="shared" si="2"/>
        <v>1.4655555555555591</v>
      </c>
      <c r="H27" s="13">
        <f t="shared" si="3"/>
        <v>3.4597222222222319</v>
      </c>
      <c r="I27"/>
      <c r="J27"/>
    </row>
    <row r="28" spans="1:13" ht="18.75" x14ac:dyDescent="0.15">
      <c r="A28" s="10">
        <f t="shared" ca="1" si="0"/>
        <v>46053.542790393498</v>
      </c>
      <c r="B28" s="5" t="s">
        <v>61</v>
      </c>
      <c r="C28" s="11">
        <v>0.54278935185185195</v>
      </c>
      <c r="D28" s="11" t="s">
        <v>62</v>
      </c>
      <c r="E28" s="11">
        <v>0.63018518518518496</v>
      </c>
      <c r="F28" s="12">
        <f t="shared" si="1"/>
        <v>2.0974999999999921</v>
      </c>
      <c r="G28" s="13">
        <f t="shared" si="2"/>
        <v>2.0974999999999921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46053.648287962998</v>
      </c>
      <c r="B29" s="5" t="s">
        <v>61</v>
      </c>
      <c r="C29" s="11">
        <v>0.64828703703703705</v>
      </c>
      <c r="D29" s="11" t="s">
        <v>62</v>
      </c>
      <c r="E29" s="11">
        <v>0.77968749999999998</v>
      </c>
      <c r="F29" s="12">
        <f t="shared" si="1"/>
        <v>3.1536111111111103</v>
      </c>
      <c r="G29" s="13">
        <f t="shared" si="2"/>
        <v>3.1536111111111103</v>
      </c>
      <c r="H29" s="13">
        <f t="shared" si="3"/>
        <v>0</v>
      </c>
      <c r="I29"/>
      <c r="J29"/>
    </row>
  </sheetData>
  <autoFilter ref="A2:K29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9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1"/>
  <sheetViews>
    <sheetView zoomScale="85" zoomScaleNormal="85" workbookViewId="0">
      <selection activeCell="H50" sqref="H5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1" ca="1" si="0">IF(B3="","",IF(A3="",NOW(),A3))</f>
        <v>46025.013402430603</v>
      </c>
      <c r="B3" s="5" t="s">
        <v>83</v>
      </c>
      <c r="C3" s="11">
        <v>1.34027777777778E-2</v>
      </c>
      <c r="D3" s="11" t="s">
        <v>62</v>
      </c>
      <c r="E3" s="11">
        <v>0.101805555555556</v>
      </c>
      <c r="F3" s="12">
        <f t="shared" ref="F3:F31" si="1">(IF(E3-C3&lt;0,"24:00"-C3+E3,E3-C3))*24</f>
        <v>2.1216666666666768</v>
      </c>
      <c r="G3" s="13">
        <f t="shared" ref="G3:G31" si="2">F3-H3</f>
        <v>0</v>
      </c>
      <c r="H3" s="13">
        <f t="shared" ref="H3:H31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2.1216666666666768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46025.101857407397</v>
      </c>
      <c r="B4" s="5" t="s">
        <v>78</v>
      </c>
      <c r="C4" s="11">
        <v>0.101851851851852</v>
      </c>
      <c r="D4" s="11" t="s">
        <v>62</v>
      </c>
      <c r="E4" s="11">
        <v>0.144895833333333</v>
      </c>
      <c r="F4" s="12">
        <f t="shared" si="1"/>
        <v>1.0330555555555441</v>
      </c>
      <c r="G4" s="13">
        <f t="shared" si="2"/>
        <v>0</v>
      </c>
      <c r="H4" s="13">
        <f t="shared" si="3"/>
        <v>1.0330555555555441</v>
      </c>
      <c r="I4" s="21" t="s">
        <v>64</v>
      </c>
      <c r="J4" s="22">
        <f>SUMIF(B:B,"西塔台管制席",F:F)+SUMIF(B:B,"东塔台管制席",F:F)</f>
        <v>31.855833333333361</v>
      </c>
      <c r="K4" s="23">
        <f>SUMIF(B:B,"西塔台管制席",G:G)+SUMIF(B:B,"东塔台管制席",G:G)</f>
        <v>14.530000000000008</v>
      </c>
      <c r="L4" s="23">
        <f>SUMIF(B:B,"西塔台管制席",H:H)+SUMIF(B:B,"东塔台管制席",H:H)</f>
        <v>17.325833333333353</v>
      </c>
      <c r="M4" s="19"/>
    </row>
    <row r="5" spans="1:16" ht="18.75" x14ac:dyDescent="0.25">
      <c r="A5" s="10">
        <f t="shared" ca="1" si="0"/>
        <v>46026.1381966435</v>
      </c>
      <c r="B5" s="5" t="s">
        <v>80</v>
      </c>
      <c r="C5" s="11">
        <v>0.13819444444444401</v>
      </c>
      <c r="D5" s="11" t="s">
        <v>62</v>
      </c>
      <c r="E5" s="11">
        <v>0.304421296296296</v>
      </c>
      <c r="F5" s="12">
        <f t="shared" si="1"/>
        <v>3.9894444444444477</v>
      </c>
      <c r="G5" s="13">
        <f t="shared" si="2"/>
        <v>0</v>
      </c>
      <c r="H5" s="13">
        <f t="shared" si="3"/>
        <v>3.9894444444444477</v>
      </c>
      <c r="I5" s="21" t="s">
        <v>65</v>
      </c>
      <c r="J5" s="22">
        <f>SUMIF(B:B,"西塔台协调席",F:F)+SUMIF(B:B,"东塔台协调席",F:F)</f>
        <v>29.600277777777833</v>
      </c>
      <c r="K5" s="23">
        <f>SUMIF(B:B,"西塔台协调席",G:G)+SUMIF(B:B,"东塔台协调席",G:G)</f>
        <v>17.245000000000026</v>
      </c>
      <c r="L5" s="23">
        <f>SUMIF(B:B,"西塔台协调席",H:H)+SUMIF(B:B,"东塔台协调席",H:H)</f>
        <v>12.355277777777808</v>
      </c>
      <c r="M5" s="19"/>
    </row>
    <row r="6" spans="1:16" ht="18.75" x14ac:dyDescent="0.25">
      <c r="A6" s="10">
        <f t="shared" ca="1" si="0"/>
        <v>46028.500277083302</v>
      </c>
      <c r="B6" s="5" t="s">
        <v>81</v>
      </c>
      <c r="C6" s="11">
        <v>0.500266203703704</v>
      </c>
      <c r="D6" s="11" t="s">
        <v>62</v>
      </c>
      <c r="E6" s="11">
        <v>0.541678240740741</v>
      </c>
      <c r="F6" s="12">
        <f t="shared" si="1"/>
        <v>0.99388888888888793</v>
      </c>
      <c r="G6" s="13">
        <f t="shared" si="2"/>
        <v>0.99388888888888793</v>
      </c>
      <c r="H6" s="13">
        <f t="shared" si="3"/>
        <v>0</v>
      </c>
      <c r="I6" s="21" t="s">
        <v>66</v>
      </c>
      <c r="J6" s="22">
        <f>SUMIF(B:B,"放行席",F:F)</f>
        <v>3.6527777777777759</v>
      </c>
      <c r="K6" s="23">
        <f>SUMIF(B:B,"放行席",G:G)</f>
        <v>0.68250000000000011</v>
      </c>
      <c r="L6" s="23">
        <f>SUMIF(B:B,"放行席",H:H)</f>
        <v>2.9702777777777758</v>
      </c>
      <c r="M6" s="19"/>
    </row>
    <row r="7" spans="1:16" ht="18.75" x14ac:dyDescent="0.25">
      <c r="A7" s="10">
        <f t="shared" ca="1" si="0"/>
        <v>46028.5546672454</v>
      </c>
      <c r="B7" s="5" t="s">
        <v>81</v>
      </c>
      <c r="C7" s="11">
        <v>0.55466435185185203</v>
      </c>
      <c r="D7" s="11" t="s">
        <v>62</v>
      </c>
      <c r="E7" s="11">
        <v>0.632546296296296</v>
      </c>
      <c r="F7" s="12">
        <f t="shared" si="1"/>
        <v>1.8691666666666551</v>
      </c>
      <c r="G7" s="13">
        <f t="shared" si="2"/>
        <v>1.8691666666666551</v>
      </c>
      <c r="H7" s="13">
        <f t="shared" si="3"/>
        <v>0</v>
      </c>
      <c r="I7" s="21" t="s">
        <v>67</v>
      </c>
      <c r="J7" s="22">
        <f>SUMIF(B:B,"地面席",F:F)</f>
        <v>2.0666666666666647</v>
      </c>
      <c r="K7" s="23">
        <f>SUMIF(B:B,"地面席",G:G)</f>
        <v>0</v>
      </c>
      <c r="L7" s="23">
        <f>SUMIF(B:B,"地面席",H:H)</f>
        <v>2.0666666666666647</v>
      </c>
      <c r="M7" s="19"/>
    </row>
    <row r="8" spans="1:16" ht="18.75" x14ac:dyDescent="0.25">
      <c r="A8" s="10">
        <f t="shared" ca="1" si="0"/>
        <v>46028.753096759297</v>
      </c>
      <c r="B8" s="5" t="s">
        <v>83</v>
      </c>
      <c r="C8" s="11">
        <v>0.75309027777777804</v>
      </c>
      <c r="D8" s="11" t="s">
        <v>62</v>
      </c>
      <c r="E8" s="11">
        <v>0.87898148148148103</v>
      </c>
      <c r="F8" s="12">
        <f t="shared" si="1"/>
        <v>3.0213888888888718</v>
      </c>
      <c r="G8" s="13">
        <f t="shared" si="2"/>
        <v>3.0213888888888718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46028.958194675899</v>
      </c>
      <c r="B9" s="5" t="s">
        <v>83</v>
      </c>
      <c r="C9" s="11">
        <v>0.95819444444444402</v>
      </c>
      <c r="D9" s="11" t="s">
        <v>62</v>
      </c>
      <c r="E9" s="11">
        <v>0.11093749999999999</v>
      </c>
      <c r="F9" s="12">
        <f t="shared" si="1"/>
        <v>3.6658333333333433</v>
      </c>
      <c r="G9" s="13">
        <f t="shared" si="2"/>
        <v>1.0033333333333436</v>
      </c>
      <c r="H9" s="13">
        <f t="shared" si="3"/>
        <v>2.6624999999999996</v>
      </c>
      <c r="I9" s="21" t="s">
        <v>69</v>
      </c>
      <c r="J9" s="22">
        <f>SUMIF(B:B,"航班调度席",F:F)</f>
        <v>6.9080555555555527</v>
      </c>
      <c r="K9" s="23">
        <f>SUMIF(B:B,"航班调度席",G:G)</f>
        <v>6.9080555555555527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46029.458464351897</v>
      </c>
      <c r="B10" s="5" t="s">
        <v>81</v>
      </c>
      <c r="C10" s="11">
        <v>0.45846064814814802</v>
      </c>
      <c r="D10" s="11" t="s">
        <v>62</v>
      </c>
      <c r="E10" s="11">
        <v>0.54781250000000004</v>
      </c>
      <c r="F10" s="12">
        <f t="shared" si="1"/>
        <v>2.1444444444444484</v>
      </c>
      <c r="G10" s="13">
        <f t="shared" si="2"/>
        <v>2.1444444444444484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46029.625703703699</v>
      </c>
      <c r="B11" s="5" t="s">
        <v>83</v>
      </c>
      <c r="C11" s="11">
        <v>0.625694444444444</v>
      </c>
      <c r="D11" s="11" t="s">
        <v>62</v>
      </c>
      <c r="E11" s="11">
        <v>0.75557870370370395</v>
      </c>
      <c r="F11" s="12">
        <f t="shared" si="1"/>
        <v>3.1172222222222388</v>
      </c>
      <c r="G11" s="13">
        <f t="shared" si="2"/>
        <v>3.1172222222222388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46029.833151041697</v>
      </c>
      <c r="B12" s="5" t="s">
        <v>81</v>
      </c>
      <c r="C12" s="11">
        <v>0.83314814814814797</v>
      </c>
      <c r="D12" s="11" t="s">
        <v>62</v>
      </c>
      <c r="E12" s="11">
        <v>0.96339120370370401</v>
      </c>
      <c r="F12" s="12">
        <f t="shared" si="1"/>
        <v>3.125833333333345</v>
      </c>
      <c r="G12" s="13">
        <f t="shared" si="2"/>
        <v>3.125833333333345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46030.297419675902</v>
      </c>
      <c r="B13" s="5" t="s">
        <v>83</v>
      </c>
      <c r="C13" s="11">
        <v>0.29741898148148099</v>
      </c>
      <c r="D13" s="11" t="s">
        <v>62</v>
      </c>
      <c r="E13" s="11">
        <v>0.36479166666666701</v>
      </c>
      <c r="F13" s="12">
        <f t="shared" si="1"/>
        <v>1.6169444444444645</v>
      </c>
      <c r="G13" s="13">
        <f t="shared" si="2"/>
        <v>0.75500000000001677</v>
      </c>
      <c r="H13" s="13">
        <f t="shared" si="3"/>
        <v>0.86194444444444773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46032.374625231503</v>
      </c>
      <c r="B14" s="5" t="s">
        <v>82</v>
      </c>
      <c r="C14" s="11">
        <v>0.374618055555556</v>
      </c>
      <c r="D14" s="11" t="s">
        <v>62</v>
      </c>
      <c r="E14" s="11">
        <v>0.50480324074074101</v>
      </c>
      <c r="F14" s="12">
        <f t="shared" si="1"/>
        <v>3.1244444444444404</v>
      </c>
      <c r="G14" s="13">
        <f t="shared" si="2"/>
        <v>3.1244444444444404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46032.5956679398</v>
      </c>
      <c r="B15" s="5" t="s">
        <v>82</v>
      </c>
      <c r="C15" s="11">
        <v>0.59565972222222197</v>
      </c>
      <c r="D15" s="11" t="s">
        <v>62</v>
      </c>
      <c r="E15" s="11">
        <v>0.753310185185185</v>
      </c>
      <c r="F15" s="12">
        <f t="shared" si="1"/>
        <v>3.7836111111111128</v>
      </c>
      <c r="G15" s="13">
        <f t="shared" si="2"/>
        <v>3.7836111111111128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46034.013655786999</v>
      </c>
      <c r="B16" s="5" t="s">
        <v>78</v>
      </c>
      <c r="C16" s="11">
        <v>1.36458333333333E-2</v>
      </c>
      <c r="D16" s="11" t="s">
        <v>62</v>
      </c>
      <c r="E16" s="11">
        <v>0.14450231481481501</v>
      </c>
      <c r="F16" s="12">
        <f t="shared" si="1"/>
        <v>3.1405555555555611</v>
      </c>
      <c r="G16" s="13">
        <f t="shared" si="2"/>
        <v>0</v>
      </c>
      <c r="H16" s="13">
        <f t="shared" si="3"/>
        <v>3.1405555555555611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46037.138061342601</v>
      </c>
      <c r="B17" s="5" t="s">
        <v>79</v>
      </c>
      <c r="C17" s="11">
        <v>0.13805555555555599</v>
      </c>
      <c r="D17" s="11" t="s">
        <v>62</v>
      </c>
      <c r="E17" s="11">
        <v>0.22416666666666701</v>
      </c>
      <c r="F17" s="12">
        <f t="shared" si="1"/>
        <v>2.0666666666666647</v>
      </c>
      <c r="G17" s="13">
        <f t="shared" si="2"/>
        <v>0</v>
      </c>
      <c r="H17" s="13">
        <f t="shared" si="3"/>
        <v>2.0666666666666647</v>
      </c>
      <c r="I17" s="35" t="s">
        <v>75</v>
      </c>
      <c r="J17" s="36">
        <f>J4+J5+J6+J7+J10</f>
        <v>67.175555555555633</v>
      </c>
      <c r="K17" s="37">
        <f>K4+K5+K6+K7+K10</f>
        <v>32.457500000000032</v>
      </c>
      <c r="L17" s="38">
        <f>L4+L5+L6+L7+L10</f>
        <v>34.718055555555601</v>
      </c>
      <c r="M17" s="39"/>
    </row>
    <row r="18" spans="1:13" ht="20.25" x14ac:dyDescent="0.25">
      <c r="A18" s="10">
        <f t="shared" ca="1" si="0"/>
        <v>46038.138476157401</v>
      </c>
      <c r="B18" s="5" t="s">
        <v>81</v>
      </c>
      <c r="C18" s="11">
        <v>0.138472222222222</v>
      </c>
      <c r="D18" s="11" t="s">
        <v>62</v>
      </c>
      <c r="E18" s="11">
        <v>0.302916666666667</v>
      </c>
      <c r="F18" s="12">
        <f t="shared" si="1"/>
        <v>3.9466666666666801</v>
      </c>
      <c r="G18" s="13">
        <f t="shared" si="2"/>
        <v>0</v>
      </c>
      <c r="H18" s="13">
        <f t="shared" si="3"/>
        <v>3.9466666666666801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46040.9577832176</v>
      </c>
      <c r="B19" s="5" t="s">
        <v>83</v>
      </c>
      <c r="C19" s="11">
        <v>0.95777777777777795</v>
      </c>
      <c r="D19" s="11" t="s">
        <v>62</v>
      </c>
      <c r="E19" s="11">
        <v>0.103680555555556</v>
      </c>
      <c r="F19" s="12">
        <f t="shared" si="1"/>
        <v>3.5016666666666731</v>
      </c>
      <c r="G19" s="13">
        <f t="shared" si="2"/>
        <v>1.0133333333333292</v>
      </c>
      <c r="H19" s="13">
        <f t="shared" si="3"/>
        <v>2.4883333333333439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46041.4583696759</v>
      </c>
      <c r="B20" s="5" t="s">
        <v>83</v>
      </c>
      <c r="C20" s="11">
        <v>0.45836805555555599</v>
      </c>
      <c r="D20" s="11" t="s">
        <v>62</v>
      </c>
      <c r="E20" s="11">
        <v>0.54675925925925895</v>
      </c>
      <c r="F20" s="12">
        <f t="shared" si="1"/>
        <v>2.121388888888871</v>
      </c>
      <c r="G20" s="13">
        <f t="shared" si="2"/>
        <v>2.121388888888871</v>
      </c>
      <c r="H20" s="13">
        <f t="shared" si="3"/>
        <v>0</v>
      </c>
      <c r="I20" s="40" t="s">
        <v>77</v>
      </c>
      <c r="J20" s="65">
        <f>J16+J17+J18+J19</f>
        <v>67.175555555555633</v>
      </c>
      <c r="K20" s="66"/>
      <c r="L20" s="67"/>
      <c r="M20" s="41"/>
    </row>
    <row r="21" spans="1:13" ht="20.25" x14ac:dyDescent="0.25">
      <c r="A21" s="10">
        <f t="shared" ca="1" si="0"/>
        <v>46041.624760300903</v>
      </c>
      <c r="B21" s="5" t="s">
        <v>81</v>
      </c>
      <c r="C21" s="11">
        <v>0.62475694444444396</v>
      </c>
      <c r="D21" s="11" t="s">
        <v>62</v>
      </c>
      <c r="E21" s="11">
        <v>0.75967592592592603</v>
      </c>
      <c r="F21" s="12">
        <f t="shared" si="1"/>
        <v>3.2380555555555697</v>
      </c>
      <c r="G21" s="13">
        <f t="shared" si="2"/>
        <v>3.2380555555555697</v>
      </c>
      <c r="H21" s="13">
        <f t="shared" si="3"/>
        <v>0</v>
      </c>
      <c r="I21" s="42" t="s">
        <v>4</v>
      </c>
      <c r="J21" s="43">
        <f>SUM(J8:J9)</f>
        <v>6.9080555555555527</v>
      </c>
      <c r="K21" s="37">
        <f>SUM(K8:K9)</f>
        <v>6.9080555555555527</v>
      </c>
      <c r="L21" s="38">
        <f>SUM(L8:L9)</f>
        <v>0</v>
      </c>
      <c r="M21" s="44"/>
    </row>
    <row r="22" spans="1:13" ht="18.75" x14ac:dyDescent="0.15">
      <c r="A22" s="10">
        <f t="shared" ca="1" si="0"/>
        <v>46041.831782638903</v>
      </c>
      <c r="B22" s="5" t="s">
        <v>83</v>
      </c>
      <c r="C22" s="11">
        <v>0.83178240740740705</v>
      </c>
      <c r="D22" s="11" t="s">
        <v>62</v>
      </c>
      <c r="E22" s="11">
        <v>0.96417824074074099</v>
      </c>
      <c r="F22" s="12">
        <f t="shared" si="1"/>
        <v>3.1775000000000144</v>
      </c>
      <c r="G22" s="13">
        <f t="shared" si="2"/>
        <v>3.1775000000000144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46042.299588078698</v>
      </c>
      <c r="B23" s="5" t="s">
        <v>83</v>
      </c>
      <c r="C23" s="11">
        <v>0.29958333333333298</v>
      </c>
      <c r="D23" s="11" t="s">
        <v>62</v>
      </c>
      <c r="E23" s="11">
        <v>0.30155092592592603</v>
      </c>
      <c r="F23" s="12">
        <f t="shared" si="1"/>
        <v>4.7222222222233157E-2</v>
      </c>
      <c r="G23" s="13">
        <f t="shared" si="2"/>
        <v>0</v>
      </c>
      <c r="H23" s="13">
        <f t="shared" si="3"/>
        <v>4.7222222222233157E-2</v>
      </c>
      <c r="I23"/>
      <c r="J23"/>
    </row>
    <row r="24" spans="1:13" ht="18.75" x14ac:dyDescent="0.15">
      <c r="A24" s="10">
        <f t="shared" ca="1" si="0"/>
        <v>46042.301597338002</v>
      </c>
      <c r="B24" s="5" t="s">
        <v>84</v>
      </c>
      <c r="C24" s="11">
        <v>0.30159722222222202</v>
      </c>
      <c r="D24" s="11" t="s">
        <v>62</v>
      </c>
      <c r="E24" s="11">
        <v>0.36177083333333299</v>
      </c>
      <c r="F24" s="12">
        <f t="shared" si="1"/>
        <v>1.4441666666666633</v>
      </c>
      <c r="G24" s="13">
        <f t="shared" si="2"/>
        <v>0.68250000000000011</v>
      </c>
      <c r="H24" s="13">
        <f t="shared" si="3"/>
        <v>0.76166666666666316</v>
      </c>
      <c r="I24"/>
      <c r="J24"/>
    </row>
    <row r="25" spans="1:13" ht="18.75" x14ac:dyDescent="0.15">
      <c r="A25" s="10">
        <f t="shared" ca="1" si="0"/>
        <v>46045.137818287003</v>
      </c>
      <c r="B25" s="5" t="s">
        <v>80</v>
      </c>
      <c r="C25" s="11">
        <v>0.1378125</v>
      </c>
      <c r="D25" s="11" t="s">
        <v>62</v>
      </c>
      <c r="E25" s="11">
        <v>0.228449074074074</v>
      </c>
      <c r="F25" s="12">
        <f t="shared" si="1"/>
        <v>2.1752777777777759</v>
      </c>
      <c r="G25" s="13">
        <f t="shared" si="2"/>
        <v>0</v>
      </c>
      <c r="H25" s="13">
        <f t="shared" si="3"/>
        <v>2.1752777777777759</v>
      </c>
      <c r="I25"/>
      <c r="J25"/>
    </row>
    <row r="26" spans="1:13" ht="18.75" x14ac:dyDescent="0.15">
      <c r="A26" s="10">
        <f t="shared" ca="1" si="0"/>
        <v>46046.013557986102</v>
      </c>
      <c r="B26" s="5" t="s">
        <v>81</v>
      </c>
      <c r="C26" s="11">
        <v>1.3553240740740701E-2</v>
      </c>
      <c r="D26" s="11" t="s">
        <v>62</v>
      </c>
      <c r="E26" s="11">
        <v>1.58680555555556E-2</v>
      </c>
      <c r="F26" s="12">
        <f t="shared" si="1"/>
        <v>5.5555555555557593E-2</v>
      </c>
      <c r="G26" s="13">
        <f t="shared" si="2"/>
        <v>0</v>
      </c>
      <c r="H26" s="13">
        <f t="shared" si="3"/>
        <v>5.5555555555557593E-2</v>
      </c>
      <c r="I26"/>
      <c r="J26"/>
    </row>
    <row r="27" spans="1:13" ht="18.75" x14ac:dyDescent="0.15">
      <c r="A27" s="10">
        <f t="shared" ca="1" si="0"/>
        <v>46046.015903819403</v>
      </c>
      <c r="B27" s="5" t="s">
        <v>80</v>
      </c>
      <c r="C27" s="11">
        <v>1.59027777777778E-2</v>
      </c>
      <c r="D27" s="11" t="s">
        <v>62</v>
      </c>
      <c r="E27" s="11">
        <v>0.14670138888888901</v>
      </c>
      <c r="F27" s="12">
        <f t="shared" si="1"/>
        <v>3.1391666666666689</v>
      </c>
      <c r="G27" s="13">
        <f t="shared" si="2"/>
        <v>0</v>
      </c>
      <c r="H27" s="13">
        <f t="shared" si="3"/>
        <v>3.1391666666666689</v>
      </c>
      <c r="I27"/>
      <c r="J27"/>
    </row>
    <row r="28" spans="1:13" ht="18.75" x14ac:dyDescent="0.15">
      <c r="A28" s="10">
        <f t="shared" ca="1" si="0"/>
        <v>46049.133067708302</v>
      </c>
      <c r="B28" s="5" t="s">
        <v>84</v>
      </c>
      <c r="C28" s="11">
        <v>0.13306712962962999</v>
      </c>
      <c r="D28" s="11" t="s">
        <v>62</v>
      </c>
      <c r="E28" s="11">
        <v>0.22509259259259301</v>
      </c>
      <c r="F28" s="12">
        <f t="shared" si="1"/>
        <v>2.2086111111111126</v>
      </c>
      <c r="G28" s="13">
        <f t="shared" si="2"/>
        <v>0</v>
      </c>
      <c r="H28" s="13">
        <f t="shared" si="3"/>
        <v>2.2086111111111126</v>
      </c>
      <c r="I28"/>
      <c r="J28"/>
    </row>
    <row r="29" spans="1:13" ht="18.75" x14ac:dyDescent="0.15">
      <c r="A29" s="10">
        <f t="shared" ca="1" si="0"/>
        <v>46050.138124189798</v>
      </c>
      <c r="B29" s="5" t="s">
        <v>81</v>
      </c>
      <c r="C29" s="11">
        <v>0.13811342592592599</v>
      </c>
      <c r="D29" s="11" t="s">
        <v>62</v>
      </c>
      <c r="E29" s="11">
        <v>0.30560185185185201</v>
      </c>
      <c r="F29" s="12">
        <f t="shared" si="1"/>
        <v>4.0197222222222244</v>
      </c>
      <c r="G29" s="13">
        <f t="shared" si="2"/>
        <v>0</v>
      </c>
      <c r="H29" s="13">
        <f t="shared" si="3"/>
        <v>4.0197222222222244</v>
      </c>
      <c r="I29"/>
      <c r="J29"/>
    </row>
    <row r="30" spans="1:13" ht="18.75" x14ac:dyDescent="0.15">
      <c r="A30" s="10">
        <f t="shared" ca="1" si="0"/>
        <v>46052.501545370404</v>
      </c>
      <c r="B30" s="5" t="s">
        <v>81</v>
      </c>
      <c r="C30" s="11">
        <v>0.50153935185185206</v>
      </c>
      <c r="D30" s="11" t="s">
        <v>62</v>
      </c>
      <c r="E30" s="11">
        <v>0.63314814814814802</v>
      </c>
      <c r="F30" s="12">
        <f t="shared" si="1"/>
        <v>3.158611111111103</v>
      </c>
      <c r="G30" s="13">
        <f t="shared" si="2"/>
        <v>3.158611111111103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46052.754096296303</v>
      </c>
      <c r="B31" s="5" t="s">
        <v>83</v>
      </c>
      <c r="C31" s="11">
        <v>0.75408564814814805</v>
      </c>
      <c r="D31" s="11" t="s">
        <v>62</v>
      </c>
      <c r="E31" s="11">
        <v>0.88057870370370395</v>
      </c>
      <c r="F31" s="12">
        <f t="shared" si="1"/>
        <v>3.0358333333333416</v>
      </c>
      <c r="G31" s="13">
        <f t="shared" si="2"/>
        <v>3.0358333333333416</v>
      </c>
      <c r="H31" s="13">
        <f t="shared" si="3"/>
        <v>0</v>
      </c>
      <c r="I31"/>
      <c r="J31"/>
    </row>
  </sheetData>
  <autoFilter ref="A2:K31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1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5"/>
  <sheetViews>
    <sheetView zoomScale="85" zoomScaleNormal="85" workbookViewId="0">
      <selection activeCell="G40" sqref="G4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5" ca="1" si="0">IF(B3="","",IF(A3="",NOW(),A3))</f>
        <v>46025.013469097197</v>
      </c>
      <c r="B3" s="5" t="s">
        <v>81</v>
      </c>
      <c r="C3" s="11">
        <v>1.32291666666667E-2</v>
      </c>
      <c r="D3" s="11" t="s">
        <v>62</v>
      </c>
      <c r="E3" s="11">
        <v>0.102060185185185</v>
      </c>
      <c r="F3" s="12">
        <f t="shared" ref="F3:F25" si="1">(IF(E3-C3&lt;0,"24:00"-C3+E3,E3-C3))*24</f>
        <v>2.1319444444444393</v>
      </c>
      <c r="G3" s="13">
        <f t="shared" ref="G3:G25" si="2">F3-H3</f>
        <v>0</v>
      </c>
      <c r="H3" s="13">
        <f t="shared" ref="H3:H25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2.1319444444444393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46025.102101504599</v>
      </c>
      <c r="B4" s="5" t="s">
        <v>80</v>
      </c>
      <c r="C4" s="11">
        <v>0.102094907407407</v>
      </c>
      <c r="D4" s="11" t="s">
        <v>62</v>
      </c>
      <c r="E4" s="11">
        <v>0.14467592592592601</v>
      </c>
      <c r="F4" s="12">
        <f t="shared" si="1"/>
        <v>1.0219444444444563</v>
      </c>
      <c r="G4" s="13">
        <f t="shared" si="2"/>
        <v>0</v>
      </c>
      <c r="H4" s="13">
        <f t="shared" si="3"/>
        <v>1.0219444444444563</v>
      </c>
      <c r="I4" s="21" t="s">
        <v>64</v>
      </c>
      <c r="J4" s="22">
        <f>SUMIF(B:B,"西塔台管制席",F:F)+SUMIF(B:B,"东塔台管制席",F:F)</f>
        <v>22.430833333333332</v>
      </c>
      <c r="K4" s="23">
        <f>SUMIF(B:B,"西塔台管制席",G:G)+SUMIF(B:B,"东塔台管制席",G:G)</f>
        <v>16.706944444444467</v>
      </c>
      <c r="L4" s="23">
        <f>SUMIF(B:B,"西塔台管制席",H:H)+SUMIF(B:B,"东塔台管制席",H:H)</f>
        <v>5.7238888888888635</v>
      </c>
      <c r="M4" s="19"/>
    </row>
    <row r="5" spans="1:16" ht="18.75" x14ac:dyDescent="0.25">
      <c r="A5" s="10">
        <f t="shared" ca="1" si="0"/>
        <v>46026.013775115702</v>
      </c>
      <c r="B5" s="5" t="s">
        <v>83</v>
      </c>
      <c r="C5" s="11">
        <v>1.35416666666667E-2</v>
      </c>
      <c r="D5" s="11" t="s">
        <v>62</v>
      </c>
      <c r="E5" s="11">
        <v>0.104768518518519</v>
      </c>
      <c r="F5" s="12">
        <f t="shared" si="1"/>
        <v>2.189444444444455</v>
      </c>
      <c r="G5" s="13">
        <f t="shared" si="2"/>
        <v>0</v>
      </c>
      <c r="H5" s="13">
        <f t="shared" si="3"/>
        <v>2.189444444444455</v>
      </c>
      <c r="I5" s="21" t="s">
        <v>65</v>
      </c>
      <c r="J5" s="22">
        <f>SUMIF(B:B,"西塔台协调席",F:F)+SUMIF(B:B,"东塔台协调席",F:F)</f>
        <v>20.794722222222198</v>
      </c>
      <c r="K5" s="23">
        <f>SUMIF(B:B,"西塔台协调席",G:G)+SUMIF(B:B,"东塔台协调席",G:G)</f>
        <v>13.043888888888876</v>
      </c>
      <c r="L5" s="23">
        <f>SUMIF(B:B,"西塔台协调席",H:H)+SUMIF(B:B,"东塔台协调席",H:H)</f>
        <v>7.7508333333333193</v>
      </c>
      <c r="M5" s="19"/>
    </row>
    <row r="6" spans="1:16" ht="18.75" x14ac:dyDescent="0.25">
      <c r="A6" s="10">
        <f t="shared" ca="1" si="0"/>
        <v>46026.104804976902</v>
      </c>
      <c r="B6" s="5" t="s">
        <v>80</v>
      </c>
      <c r="C6" s="11">
        <v>0.104803240740741</v>
      </c>
      <c r="D6" s="11" t="s">
        <v>62</v>
      </c>
      <c r="E6" s="11">
        <v>0.14395833333333299</v>
      </c>
      <c r="F6" s="12">
        <f t="shared" si="1"/>
        <v>0.9397222222222078</v>
      </c>
      <c r="G6" s="13">
        <f t="shared" si="2"/>
        <v>0</v>
      </c>
      <c r="H6" s="13">
        <f t="shared" si="3"/>
        <v>0.9397222222222078</v>
      </c>
      <c r="I6" s="21" t="s">
        <v>66</v>
      </c>
      <c r="J6" s="22">
        <f>SUMIF(B:B,"放行席",F:F)</f>
        <v>6.4347222222222236</v>
      </c>
      <c r="K6" s="23">
        <f>SUMIF(B:B,"放行席",G:G)</f>
        <v>0</v>
      </c>
      <c r="L6" s="23">
        <f>SUMIF(B:B,"放行席",H:H)</f>
        <v>6.4347222222222236</v>
      </c>
      <c r="M6" s="19"/>
    </row>
    <row r="7" spans="1:16" ht="18.75" x14ac:dyDescent="0.25">
      <c r="A7" s="10">
        <f t="shared" ca="1" si="0"/>
        <v>46029.133060069398</v>
      </c>
      <c r="B7" s="5" t="s">
        <v>84</v>
      </c>
      <c r="C7" s="11">
        <v>0.13305555555555601</v>
      </c>
      <c r="D7" s="11" t="s">
        <v>62</v>
      </c>
      <c r="E7" s="11">
        <v>0.225115740740741</v>
      </c>
      <c r="F7" s="12">
        <f t="shared" si="1"/>
        <v>2.2094444444444399</v>
      </c>
      <c r="G7" s="13">
        <f t="shared" si="2"/>
        <v>0</v>
      </c>
      <c r="H7" s="13">
        <f t="shared" si="3"/>
        <v>2.2094444444444399</v>
      </c>
      <c r="I7" s="21" t="s">
        <v>67</v>
      </c>
      <c r="J7" s="22">
        <f>SUMIF(B:B,"地面席",F:F)</f>
        <v>1.9269444444444483</v>
      </c>
      <c r="K7" s="23">
        <f>SUMIF(B:B,"地面席",G:G)</f>
        <v>0</v>
      </c>
      <c r="L7" s="23">
        <f>SUMIF(B:B,"地面席",H:H)</f>
        <v>1.9269444444444483</v>
      </c>
      <c r="M7" s="19"/>
    </row>
    <row r="8" spans="1:16" ht="18.75" x14ac:dyDescent="0.25">
      <c r="A8" s="10">
        <f t="shared" ca="1" si="0"/>
        <v>46029.831978472197</v>
      </c>
      <c r="B8" s="5" t="s">
        <v>83</v>
      </c>
      <c r="C8" s="11">
        <v>0.83196759259259301</v>
      </c>
      <c r="D8" s="11" t="s">
        <v>62</v>
      </c>
      <c r="E8" s="11">
        <v>0.96322916666666702</v>
      </c>
      <c r="F8" s="12">
        <f t="shared" si="1"/>
        <v>3.1502777777777764</v>
      </c>
      <c r="G8" s="13">
        <f t="shared" si="2"/>
        <v>3.1502777777777764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46030.299550115698</v>
      </c>
      <c r="B9" s="5" t="s">
        <v>81</v>
      </c>
      <c r="C9" s="11">
        <v>0.29954861111111097</v>
      </c>
      <c r="D9" s="11" t="s">
        <v>62</v>
      </c>
      <c r="E9" s="11">
        <v>0.36486111111111103</v>
      </c>
      <c r="F9" s="12">
        <f t="shared" si="1"/>
        <v>1.5675000000000012</v>
      </c>
      <c r="G9" s="13">
        <f t="shared" si="2"/>
        <v>0.75666666666667304</v>
      </c>
      <c r="H9" s="13">
        <f t="shared" si="3"/>
        <v>0.81083333333332819</v>
      </c>
      <c r="I9" s="21" t="s">
        <v>69</v>
      </c>
      <c r="J9" s="22">
        <f>SUMIF(B:B,"航班调度席",F:F)</f>
        <v>6.0291666666666712</v>
      </c>
      <c r="K9" s="23">
        <f>SUMIF(B:B,"航班调度席",G:G)</f>
        <v>6.0291666666666712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46033.416466087998</v>
      </c>
      <c r="B10" s="5" t="s">
        <v>81</v>
      </c>
      <c r="C10" s="11">
        <v>0.41645833333333299</v>
      </c>
      <c r="D10" s="11" t="s">
        <v>62</v>
      </c>
      <c r="E10" s="11">
        <v>0.50678240740740699</v>
      </c>
      <c r="F10" s="12">
        <f t="shared" si="1"/>
        <v>2.167777777777776</v>
      </c>
      <c r="G10" s="13">
        <f t="shared" si="2"/>
        <v>2.167777777777776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46033.625802546303</v>
      </c>
      <c r="B11" s="5" t="s">
        <v>80</v>
      </c>
      <c r="C11" s="11">
        <v>0.62518518518518496</v>
      </c>
      <c r="D11" s="11" t="s">
        <v>62</v>
      </c>
      <c r="E11" s="11">
        <v>0.75415509259259295</v>
      </c>
      <c r="F11" s="12">
        <f t="shared" si="1"/>
        <v>3.0952777777777918</v>
      </c>
      <c r="G11" s="13">
        <f t="shared" si="2"/>
        <v>3.0952777777777918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46033.834533449102</v>
      </c>
      <c r="B12" s="5" t="s">
        <v>83</v>
      </c>
      <c r="C12" s="11">
        <v>0.83452546296296304</v>
      </c>
      <c r="D12" s="11" t="s">
        <v>62</v>
      </c>
      <c r="E12" s="11">
        <v>0.96423611111111096</v>
      </c>
      <c r="F12" s="12">
        <f t="shared" si="1"/>
        <v>3.1130555555555501</v>
      </c>
      <c r="G12" s="13">
        <f t="shared" si="2"/>
        <v>3.1130555555555501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46034.299200115704</v>
      </c>
      <c r="B13" s="5" t="s">
        <v>81</v>
      </c>
      <c r="C13" s="11">
        <v>0.29918981481481499</v>
      </c>
      <c r="D13" s="11" t="s">
        <v>62</v>
      </c>
      <c r="E13" s="11">
        <v>0.363032407407407</v>
      </c>
      <c r="F13" s="12">
        <f t="shared" si="1"/>
        <v>1.5322222222222082</v>
      </c>
      <c r="G13" s="13">
        <f t="shared" si="2"/>
        <v>0.7127777777777764</v>
      </c>
      <c r="H13" s="13">
        <f t="shared" si="3"/>
        <v>0.81944444444443176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46036.957863541698</v>
      </c>
      <c r="B14" s="5" t="s">
        <v>83</v>
      </c>
      <c r="C14" s="11">
        <v>0.957858796296296</v>
      </c>
      <c r="D14" s="11" t="s">
        <v>62</v>
      </c>
      <c r="E14" s="11">
        <v>0.110810185185185</v>
      </c>
      <c r="F14" s="12">
        <f t="shared" si="1"/>
        <v>3.6708333333333356</v>
      </c>
      <c r="G14" s="13">
        <f t="shared" si="2"/>
        <v>1.0113888888888956</v>
      </c>
      <c r="H14" s="13">
        <f t="shared" si="3"/>
        <v>2.6594444444444401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46037.4574011574</v>
      </c>
      <c r="B15" s="5" t="s">
        <v>82</v>
      </c>
      <c r="C15" s="11">
        <v>0.457395833333333</v>
      </c>
      <c r="D15" s="11" t="s">
        <v>62</v>
      </c>
      <c r="E15" s="11">
        <v>0.51434027777777802</v>
      </c>
      <c r="F15" s="12">
        <f t="shared" si="1"/>
        <v>1.3666666666666805</v>
      </c>
      <c r="G15" s="13">
        <f t="shared" si="2"/>
        <v>1.3666666666666805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46037.561817013899</v>
      </c>
      <c r="B16" s="5" t="s">
        <v>82</v>
      </c>
      <c r="C16" s="11">
        <v>0.56181712962963004</v>
      </c>
      <c r="D16" s="11" t="s">
        <v>62</v>
      </c>
      <c r="E16" s="11">
        <v>0.75608796296296299</v>
      </c>
      <c r="F16" s="12">
        <f t="shared" si="1"/>
        <v>4.6624999999999908</v>
      </c>
      <c r="G16" s="13">
        <f t="shared" si="2"/>
        <v>4.6624999999999908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46041.137885416698</v>
      </c>
      <c r="B17" s="5" t="s">
        <v>79</v>
      </c>
      <c r="C17" s="11">
        <v>0.13788194444444399</v>
      </c>
      <c r="D17" s="11" t="s">
        <v>62</v>
      </c>
      <c r="E17" s="11">
        <v>0.218171296296296</v>
      </c>
      <c r="F17" s="12">
        <f t="shared" si="1"/>
        <v>1.9269444444444483</v>
      </c>
      <c r="G17" s="13">
        <f t="shared" si="2"/>
        <v>0</v>
      </c>
      <c r="H17" s="13">
        <f t="shared" si="3"/>
        <v>1.9269444444444483</v>
      </c>
      <c r="I17" s="35" t="s">
        <v>75</v>
      </c>
      <c r="J17" s="36">
        <f>J4+J5+J6+J7+J10</f>
        <v>51.587222222222202</v>
      </c>
      <c r="K17" s="37">
        <f>K4+K5+K6+K7+K10</f>
        <v>29.750833333333343</v>
      </c>
      <c r="L17" s="38">
        <f>L4+L5+L6+L7+L10</f>
        <v>21.836388888888855</v>
      </c>
      <c r="M17" s="39"/>
    </row>
    <row r="18" spans="1:13" ht="20.25" x14ac:dyDescent="0.25">
      <c r="A18" s="10">
        <f t="shared" ca="1" si="0"/>
        <v>46041.294622453701</v>
      </c>
      <c r="B18" s="5" t="s">
        <v>78</v>
      </c>
      <c r="C18" s="11">
        <v>0.218229166666667</v>
      </c>
      <c r="D18" s="11" t="s">
        <v>62</v>
      </c>
      <c r="E18" s="11">
        <v>0.30498842592592601</v>
      </c>
      <c r="F18" s="12">
        <f t="shared" si="1"/>
        <v>2.0822222222222164</v>
      </c>
      <c r="G18" s="13">
        <f t="shared" si="2"/>
        <v>0</v>
      </c>
      <c r="H18" s="13">
        <f t="shared" si="3"/>
        <v>2.0822222222222164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46042.131406828703</v>
      </c>
      <c r="B19" s="5" t="s">
        <v>84</v>
      </c>
      <c r="C19" s="11">
        <v>0.13140046296296301</v>
      </c>
      <c r="D19" s="11" t="s">
        <v>62</v>
      </c>
      <c r="E19" s="11">
        <v>0.30745370370370401</v>
      </c>
      <c r="F19" s="12">
        <f t="shared" si="1"/>
        <v>4.2252777777777837</v>
      </c>
      <c r="G19" s="13">
        <f t="shared" si="2"/>
        <v>0</v>
      </c>
      <c r="H19" s="13">
        <f t="shared" si="3"/>
        <v>4.2252777777777837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46044.3565318287</v>
      </c>
      <c r="B20" s="5" t="s">
        <v>78</v>
      </c>
      <c r="C20" s="11">
        <v>0.356527777777778</v>
      </c>
      <c r="D20" s="11" t="s">
        <v>62</v>
      </c>
      <c r="E20" s="11">
        <v>0.50849537037036996</v>
      </c>
      <c r="F20" s="12">
        <f t="shared" si="1"/>
        <v>3.647222222222207</v>
      </c>
      <c r="G20" s="13">
        <f t="shared" si="2"/>
        <v>3.647222222222207</v>
      </c>
      <c r="H20" s="13">
        <f t="shared" si="3"/>
        <v>0</v>
      </c>
      <c r="I20" s="40" t="s">
        <v>77</v>
      </c>
      <c r="J20" s="65">
        <f>J16+J17+J18+J19</f>
        <v>51.587222222222202</v>
      </c>
      <c r="K20" s="66"/>
      <c r="L20" s="67"/>
      <c r="M20" s="41"/>
    </row>
    <row r="21" spans="1:13" ht="20.25" x14ac:dyDescent="0.25">
      <c r="A21" s="10">
        <f t="shared" ca="1" si="0"/>
        <v>46044.646364004599</v>
      </c>
      <c r="B21" s="5" t="s">
        <v>80</v>
      </c>
      <c r="C21" s="11">
        <v>0.64635416666666701</v>
      </c>
      <c r="D21" s="11" t="s">
        <v>62</v>
      </c>
      <c r="E21" s="11">
        <v>0.71288194444444397</v>
      </c>
      <c r="F21" s="12">
        <f t="shared" si="1"/>
        <v>1.5966666666666471</v>
      </c>
      <c r="G21" s="13">
        <f t="shared" si="2"/>
        <v>1.5966666666666471</v>
      </c>
      <c r="H21" s="13">
        <f t="shared" si="3"/>
        <v>0</v>
      </c>
      <c r="I21" s="42" t="s">
        <v>4</v>
      </c>
      <c r="J21" s="43">
        <f>SUM(J8:J9)</f>
        <v>6.0291666666666712</v>
      </c>
      <c r="K21" s="37">
        <f>SUM(K8:K9)</f>
        <v>6.0291666666666712</v>
      </c>
      <c r="L21" s="38">
        <f>SUM(L8:L9)</f>
        <v>0</v>
      </c>
      <c r="M21" s="44"/>
    </row>
    <row r="22" spans="1:13" ht="18.75" x14ac:dyDescent="0.15">
      <c r="A22" s="10">
        <f t="shared" ca="1" si="0"/>
        <v>46044.8343775463</v>
      </c>
      <c r="B22" s="5" t="s">
        <v>80</v>
      </c>
      <c r="C22" s="11">
        <v>0.83437499999999998</v>
      </c>
      <c r="D22" s="11" t="s">
        <v>62</v>
      </c>
      <c r="E22" s="11">
        <v>0.96482638888888905</v>
      </c>
      <c r="F22" s="12">
        <f t="shared" si="1"/>
        <v>3.1308333333333378</v>
      </c>
      <c r="G22" s="13">
        <f t="shared" si="2"/>
        <v>3.1308333333333378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46045.299882638901</v>
      </c>
      <c r="B23" s="5" t="s">
        <v>83</v>
      </c>
      <c r="C23" s="11">
        <v>0.29917824074074101</v>
      </c>
      <c r="D23" s="11" t="s">
        <v>62</v>
      </c>
      <c r="E23" s="11">
        <v>0.42174768518518502</v>
      </c>
      <c r="F23" s="12">
        <f t="shared" si="1"/>
        <v>2.9416666666666562</v>
      </c>
      <c r="G23" s="13">
        <f t="shared" si="2"/>
        <v>2.1219444444444489</v>
      </c>
      <c r="H23" s="13">
        <f t="shared" si="3"/>
        <v>0.81972222222220736</v>
      </c>
      <c r="I23"/>
      <c r="J23"/>
    </row>
    <row r="24" spans="1:13" ht="18.75" x14ac:dyDescent="0.15">
      <c r="A24" s="10">
        <f t="shared" ca="1" si="0"/>
        <v>46045.500950694397</v>
      </c>
      <c r="B24" s="5" t="s">
        <v>81</v>
      </c>
      <c r="C24" s="11">
        <v>0.50094907407407396</v>
      </c>
      <c r="D24" s="11" t="s">
        <v>62</v>
      </c>
      <c r="E24" s="11">
        <v>0.67251157407407403</v>
      </c>
      <c r="F24" s="12">
        <f t="shared" si="1"/>
        <v>4.1175000000000015</v>
      </c>
      <c r="G24" s="13">
        <f t="shared" si="2"/>
        <v>4.1175000000000015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46045.749741550899</v>
      </c>
      <c r="B25" s="5" t="s">
        <v>81</v>
      </c>
      <c r="C25" s="11">
        <v>0.749733796296296</v>
      </c>
      <c r="D25" s="11" t="s">
        <v>62</v>
      </c>
      <c r="E25" s="11">
        <v>0.79679398148148195</v>
      </c>
      <c r="F25" s="12">
        <f t="shared" si="1"/>
        <v>1.1294444444444629</v>
      </c>
      <c r="G25" s="13">
        <f t="shared" si="2"/>
        <v>1.1294444444444629</v>
      </c>
      <c r="H25" s="13">
        <f t="shared" si="3"/>
        <v>0</v>
      </c>
      <c r="I25"/>
      <c r="J25"/>
    </row>
  </sheetData>
  <autoFilter ref="A2:K25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5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2"/>
  <sheetViews>
    <sheetView zoomScale="85" zoomScaleNormal="85" workbookViewId="0">
      <selection activeCell="H31" sqref="H3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2" ca="1" si="0">IF(B3="","",IF(A3="",NOW(),A3))</f>
        <v>46025.139946643503</v>
      </c>
      <c r="B3" s="5" t="s">
        <v>80</v>
      </c>
      <c r="C3" s="11">
        <v>0.13994212962963001</v>
      </c>
      <c r="D3" s="11" t="s">
        <v>62</v>
      </c>
      <c r="E3" s="11">
        <v>0.30246527777777799</v>
      </c>
      <c r="F3" s="12">
        <f t="shared" ref="F3:F32" si="1">(IF(E3-C3&lt;0,"24:00"-C3+E3,E3-C3))*24</f>
        <v>3.9005555555555516</v>
      </c>
      <c r="G3" s="13">
        <f t="shared" ref="G3:G32" si="2">F3-H3</f>
        <v>0</v>
      </c>
      <c r="H3" s="13">
        <f t="shared" ref="H3:H3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3.9005555555555516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46026.133913078702</v>
      </c>
      <c r="B4" s="5" t="s">
        <v>84</v>
      </c>
      <c r="C4" s="11">
        <v>0.133912037037037</v>
      </c>
      <c r="D4" s="11" t="s">
        <v>62</v>
      </c>
      <c r="E4" s="11">
        <v>0.217210648148148</v>
      </c>
      <c r="F4" s="12">
        <f t="shared" si="1"/>
        <v>1.9991666666666641</v>
      </c>
      <c r="G4" s="13">
        <f t="shared" si="2"/>
        <v>0</v>
      </c>
      <c r="H4" s="13">
        <f t="shared" si="3"/>
        <v>1.9991666666666641</v>
      </c>
      <c r="I4" s="21" t="s">
        <v>64</v>
      </c>
      <c r="J4" s="22">
        <f>SUMIF(B:B,"西塔台管制席",F:F)+SUMIF(B:B,"东塔台管制席",F:F)</f>
        <v>32.070833333333404</v>
      </c>
      <c r="K4" s="23">
        <f>SUMIF(B:B,"西塔台管制席",G:G)+SUMIF(B:B,"东塔台管制席",G:G)</f>
        <v>22.605833333333429</v>
      </c>
      <c r="L4" s="23">
        <f>SUMIF(B:B,"西塔台管制席",H:H)+SUMIF(B:B,"东塔台管制席",H:H)</f>
        <v>9.464999999999975</v>
      </c>
      <c r="M4" s="19"/>
    </row>
    <row r="5" spans="1:16" ht="18.75" x14ac:dyDescent="0.25">
      <c r="A5" s="10">
        <f t="shared" ca="1" si="0"/>
        <v>46028.354929398098</v>
      </c>
      <c r="B5" s="5" t="s">
        <v>83</v>
      </c>
      <c r="C5" s="11">
        <v>0.35491898148148099</v>
      </c>
      <c r="D5" s="11" t="s">
        <v>62</v>
      </c>
      <c r="E5" s="11">
        <v>0.50650462962963005</v>
      </c>
      <c r="F5" s="12">
        <f t="shared" si="1"/>
        <v>3.6380555555555776</v>
      </c>
      <c r="G5" s="13">
        <f t="shared" si="2"/>
        <v>3.6380555555555776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30.535833333333276</v>
      </c>
      <c r="K5" s="23">
        <f>SUMIF(B:B,"西塔台协调席",G:G)+SUMIF(B:B,"东塔台协调席",G:G)</f>
        <v>21.03111111111108</v>
      </c>
      <c r="L5" s="23">
        <f>SUMIF(B:B,"西塔台协调席",H:H)+SUMIF(B:B,"东塔台协调席",H:H)</f>
        <v>9.5047222222221937</v>
      </c>
      <c r="M5" s="19"/>
    </row>
    <row r="6" spans="1:16" ht="18.75" x14ac:dyDescent="0.25">
      <c r="A6" s="10">
        <f t="shared" ca="1" si="0"/>
        <v>46028.6264234954</v>
      </c>
      <c r="B6" s="5" t="s">
        <v>81</v>
      </c>
      <c r="C6" s="11">
        <v>0.626423611111111</v>
      </c>
      <c r="D6" s="11" t="s">
        <v>62</v>
      </c>
      <c r="E6" s="11">
        <v>0.75967592592592603</v>
      </c>
      <c r="F6" s="12">
        <f t="shared" si="1"/>
        <v>3.1980555555555608</v>
      </c>
      <c r="G6" s="13">
        <f t="shared" si="2"/>
        <v>3.1980555555555608</v>
      </c>
      <c r="H6" s="13">
        <f t="shared" si="3"/>
        <v>0</v>
      </c>
      <c r="I6" s="21" t="s">
        <v>66</v>
      </c>
      <c r="J6" s="22">
        <f>SUMIF(B:B,"放行席",F:F)</f>
        <v>1.9991666666666641</v>
      </c>
      <c r="K6" s="23">
        <f>SUMIF(B:B,"放行席",G:G)</f>
        <v>0</v>
      </c>
      <c r="L6" s="23">
        <f>SUMIF(B:B,"放行席",H:H)</f>
        <v>1.9991666666666641</v>
      </c>
      <c r="M6" s="19"/>
    </row>
    <row r="7" spans="1:16" ht="18.75" x14ac:dyDescent="0.25">
      <c r="A7" s="10">
        <f t="shared" ca="1" si="0"/>
        <v>46028.874855902803</v>
      </c>
      <c r="B7" s="5" t="s">
        <v>83</v>
      </c>
      <c r="C7" s="11">
        <v>0.87484953703703705</v>
      </c>
      <c r="D7" s="11" t="s">
        <v>62</v>
      </c>
      <c r="E7" s="11">
        <v>0.96377314814814796</v>
      </c>
      <c r="F7" s="12">
        <f t="shared" si="1"/>
        <v>2.1341666666666619</v>
      </c>
      <c r="G7" s="13">
        <f t="shared" si="2"/>
        <v>2.1341666666666619</v>
      </c>
      <c r="H7" s="13">
        <f t="shared" si="3"/>
        <v>0</v>
      </c>
      <c r="I7" s="21" t="s">
        <v>67</v>
      </c>
      <c r="J7" s="22">
        <f>SUMIF(B:B,"地面席",F:F)</f>
        <v>6.0922222222222064</v>
      </c>
      <c r="K7" s="23">
        <f>SUMIF(B:B,"地面席",G:G)</f>
        <v>0</v>
      </c>
      <c r="L7" s="23">
        <f>SUMIF(B:B,"地面席",H:H)</f>
        <v>6.0922222222222064</v>
      </c>
      <c r="M7" s="19"/>
    </row>
    <row r="8" spans="1:16" ht="18.75" x14ac:dyDescent="0.25">
      <c r="A8" s="10">
        <f t="shared" ca="1" si="0"/>
        <v>46029.300456944402</v>
      </c>
      <c r="B8" s="5" t="s">
        <v>81</v>
      </c>
      <c r="C8" s="11">
        <v>0.300451388888889</v>
      </c>
      <c r="D8" s="11" t="s">
        <v>62</v>
      </c>
      <c r="E8" s="11">
        <v>0.46246527777777802</v>
      </c>
      <c r="F8" s="12">
        <f t="shared" si="1"/>
        <v>3.8883333333333363</v>
      </c>
      <c r="G8" s="13">
        <f t="shared" si="2"/>
        <v>3.0991666666666808</v>
      </c>
      <c r="H8" s="13">
        <f t="shared" si="3"/>
        <v>0.78916666666665547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46029.542743865699</v>
      </c>
      <c r="B9" s="5" t="s">
        <v>83</v>
      </c>
      <c r="C9" s="11">
        <v>0.54274305555555602</v>
      </c>
      <c r="D9" s="11" t="s">
        <v>62</v>
      </c>
      <c r="E9" s="11">
        <v>0.63270833333333298</v>
      </c>
      <c r="F9" s="12">
        <f t="shared" si="1"/>
        <v>2.1591666666666471</v>
      </c>
      <c r="G9" s="13">
        <f t="shared" si="2"/>
        <v>2.1591666666666471</v>
      </c>
      <c r="H9" s="13">
        <f t="shared" si="3"/>
        <v>0</v>
      </c>
      <c r="I9" s="21" t="s">
        <v>69</v>
      </c>
      <c r="J9" s="22">
        <f>SUMIF(B:B,"航班调度席",F:F)</f>
        <v>5.4466666666666796</v>
      </c>
      <c r="K9" s="23">
        <f>SUMIF(B:B,"航班调度席",G:G)</f>
        <v>5.4466666666666796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46029.755078935203</v>
      </c>
      <c r="B10" s="5" t="s">
        <v>81</v>
      </c>
      <c r="C10" s="11">
        <v>0.75506944444444402</v>
      </c>
      <c r="D10" s="11" t="s">
        <v>62</v>
      </c>
      <c r="E10" s="11">
        <v>0.83983796296296298</v>
      </c>
      <c r="F10" s="12">
        <f t="shared" si="1"/>
        <v>2.0344444444444552</v>
      </c>
      <c r="G10" s="13">
        <f t="shared" si="2"/>
        <v>2.0344444444444552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46033.959853472203</v>
      </c>
      <c r="B11" s="5" t="s">
        <v>83</v>
      </c>
      <c r="C11" s="11">
        <v>0.95984953703703701</v>
      </c>
      <c r="D11" s="11" t="s">
        <v>62</v>
      </c>
      <c r="E11" s="11">
        <v>8.5995370370370403E-2</v>
      </c>
      <c r="F11" s="12">
        <f t="shared" si="1"/>
        <v>3.0275000000000016</v>
      </c>
      <c r="G11" s="13">
        <f t="shared" si="2"/>
        <v>0.96361111111111208</v>
      </c>
      <c r="H11" s="13">
        <f t="shared" si="3"/>
        <v>2.0638888888888896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46037.139706828697</v>
      </c>
      <c r="B12" s="5" t="s">
        <v>81</v>
      </c>
      <c r="C12" s="11">
        <v>0.139699074074074</v>
      </c>
      <c r="D12" s="11" t="s">
        <v>62</v>
      </c>
      <c r="E12" s="11">
        <v>0.30701388888888897</v>
      </c>
      <c r="F12" s="12">
        <f t="shared" si="1"/>
        <v>4.0155555555555598</v>
      </c>
      <c r="G12" s="13">
        <f t="shared" si="2"/>
        <v>0</v>
      </c>
      <c r="H12" s="13">
        <f t="shared" si="3"/>
        <v>4.0155555555555598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46038.230681828703</v>
      </c>
      <c r="B13" s="5" t="s">
        <v>79</v>
      </c>
      <c r="C13" s="11">
        <v>0.13900462962963001</v>
      </c>
      <c r="D13" s="11" t="s">
        <v>62</v>
      </c>
      <c r="E13" s="11">
        <v>0.23070601851851799</v>
      </c>
      <c r="F13" s="12">
        <f t="shared" si="1"/>
        <v>2.2008333333333114</v>
      </c>
      <c r="G13" s="13">
        <f t="shared" si="2"/>
        <v>0</v>
      </c>
      <c r="H13" s="13">
        <f t="shared" si="3"/>
        <v>2.2008333333333114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46040.499760995401</v>
      </c>
      <c r="B14" s="5" t="s">
        <v>81</v>
      </c>
      <c r="C14" s="11">
        <v>0.49975694444444402</v>
      </c>
      <c r="D14" s="11" t="s">
        <v>62</v>
      </c>
      <c r="E14" s="11">
        <v>0.58021990740740703</v>
      </c>
      <c r="F14" s="12">
        <f t="shared" si="1"/>
        <v>1.9311111111111123</v>
      </c>
      <c r="G14" s="13">
        <f t="shared" si="2"/>
        <v>1.9311111111111123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46040.587693981499</v>
      </c>
      <c r="B15" s="5" t="s">
        <v>81</v>
      </c>
      <c r="C15" s="11">
        <v>0.58768518518518498</v>
      </c>
      <c r="D15" s="11" t="s">
        <v>62</v>
      </c>
      <c r="E15" s="11">
        <v>0.63229166666666703</v>
      </c>
      <c r="F15" s="12">
        <f t="shared" si="1"/>
        <v>1.0705555555555692</v>
      </c>
      <c r="G15" s="13">
        <f t="shared" si="2"/>
        <v>1.0705555555555692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46040.757922800898</v>
      </c>
      <c r="B16" s="5" t="s">
        <v>83</v>
      </c>
      <c r="C16" s="11">
        <v>0.75791666666666702</v>
      </c>
      <c r="D16" s="11" t="s">
        <v>62</v>
      </c>
      <c r="E16" s="11">
        <v>0.88084490740740795</v>
      </c>
      <c r="F16" s="12">
        <f t="shared" si="1"/>
        <v>2.9502777777777824</v>
      </c>
      <c r="G16" s="13">
        <f t="shared" si="2"/>
        <v>2.9502777777777824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46041.458459143498</v>
      </c>
      <c r="B17" s="5" t="s">
        <v>81</v>
      </c>
      <c r="C17" s="11">
        <v>0.45844907407407398</v>
      </c>
      <c r="D17" s="11" t="s">
        <v>62</v>
      </c>
      <c r="E17" s="11">
        <v>0.54725694444444495</v>
      </c>
      <c r="F17" s="12">
        <f t="shared" si="1"/>
        <v>2.1313888888889032</v>
      </c>
      <c r="G17" s="13">
        <f t="shared" si="2"/>
        <v>2.1313888888889032</v>
      </c>
      <c r="H17" s="13">
        <f t="shared" si="3"/>
        <v>0</v>
      </c>
      <c r="I17" s="35" t="s">
        <v>75</v>
      </c>
      <c r="J17" s="36">
        <f>J4+J5+J6+J7+J10</f>
        <v>70.698055555555555</v>
      </c>
      <c r="K17" s="37">
        <f>K4+K5+K6+K7+K10</f>
        <v>43.636944444444509</v>
      </c>
      <c r="L17" s="38">
        <f>L4+L5+L6+L7+L10</f>
        <v>27.061111111111039</v>
      </c>
      <c r="M17" s="39"/>
    </row>
    <row r="18" spans="1:13" ht="20.25" x14ac:dyDescent="0.25">
      <c r="A18" s="10">
        <f t="shared" ca="1" si="0"/>
        <v>46041.626659838003</v>
      </c>
      <c r="B18" s="5" t="s">
        <v>83</v>
      </c>
      <c r="C18" s="11">
        <v>0.626655092592593</v>
      </c>
      <c r="D18" s="11" t="s">
        <v>62</v>
      </c>
      <c r="E18" s="11">
        <v>0.75974537037037004</v>
      </c>
      <c r="F18" s="12">
        <f t="shared" si="1"/>
        <v>3.1941666666666491</v>
      </c>
      <c r="G18" s="13">
        <f t="shared" si="2"/>
        <v>3.1941666666666491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46041.8337203704</v>
      </c>
      <c r="B19" s="5" t="s">
        <v>81</v>
      </c>
      <c r="C19" s="11">
        <v>0.83371527777777799</v>
      </c>
      <c r="D19" s="11" t="s">
        <v>62</v>
      </c>
      <c r="E19" s="11">
        <v>0.96435185185185202</v>
      </c>
      <c r="F19" s="12">
        <f t="shared" si="1"/>
        <v>3.1352777777777767</v>
      </c>
      <c r="G19" s="13">
        <f t="shared" si="2"/>
        <v>3.1352777777777767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46042.301686342602</v>
      </c>
      <c r="B20" s="5" t="s">
        <v>80</v>
      </c>
      <c r="C20" s="11">
        <v>0.30167824074074101</v>
      </c>
      <c r="D20" s="11" t="s">
        <v>62</v>
      </c>
      <c r="E20" s="11">
        <v>0.36479166666666701</v>
      </c>
      <c r="F20" s="12">
        <f t="shared" si="1"/>
        <v>1.5147222222222241</v>
      </c>
      <c r="G20" s="13">
        <f t="shared" si="2"/>
        <v>0.75500000000001677</v>
      </c>
      <c r="H20" s="13">
        <f t="shared" si="3"/>
        <v>0.75972222222220731</v>
      </c>
      <c r="I20" s="40" t="s">
        <v>77</v>
      </c>
      <c r="J20" s="65">
        <f>J16+J17+J18+J19</f>
        <v>70.698055555555555</v>
      </c>
      <c r="K20" s="66"/>
      <c r="L20" s="67"/>
      <c r="M20" s="41"/>
    </row>
    <row r="21" spans="1:13" ht="20.25" x14ac:dyDescent="0.25">
      <c r="A21" s="10">
        <f t="shared" ca="1" si="0"/>
        <v>46044.378342361102</v>
      </c>
      <c r="B21" s="5" t="s">
        <v>82</v>
      </c>
      <c r="C21" s="11">
        <v>0.37833333333333302</v>
      </c>
      <c r="D21" s="11" t="s">
        <v>62</v>
      </c>
      <c r="E21" s="11">
        <v>0.51749999999999996</v>
      </c>
      <c r="F21" s="12">
        <f t="shared" si="1"/>
        <v>3.3400000000000065</v>
      </c>
      <c r="G21" s="13">
        <f t="shared" si="2"/>
        <v>3.3400000000000065</v>
      </c>
      <c r="H21" s="13">
        <f t="shared" si="3"/>
        <v>0</v>
      </c>
      <c r="I21" s="42" t="s">
        <v>4</v>
      </c>
      <c r="J21" s="43">
        <f>SUM(J8:J9)</f>
        <v>5.4466666666666796</v>
      </c>
      <c r="K21" s="37">
        <f>SUM(K8:K9)</f>
        <v>5.4466666666666796</v>
      </c>
      <c r="L21" s="38">
        <f>SUM(L8:L9)</f>
        <v>0</v>
      </c>
      <c r="M21" s="44"/>
    </row>
    <row r="22" spans="1:13" ht="18.75" x14ac:dyDescent="0.15">
      <c r="A22" s="10">
        <f t="shared" ca="1" si="0"/>
        <v>46044.535381597198</v>
      </c>
      <c r="B22" s="5" t="s">
        <v>82</v>
      </c>
      <c r="C22" s="11">
        <v>0.53538194444444398</v>
      </c>
      <c r="D22" s="11" t="s">
        <v>62</v>
      </c>
      <c r="E22" s="11">
        <v>0.56770833333333304</v>
      </c>
      <c r="F22" s="12">
        <f t="shared" si="1"/>
        <v>0.77583333333333737</v>
      </c>
      <c r="G22" s="13">
        <f t="shared" si="2"/>
        <v>0.77583333333333737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46044.6730038194</v>
      </c>
      <c r="B23" s="5" t="s">
        <v>82</v>
      </c>
      <c r="C23" s="11">
        <v>0.67299768518518499</v>
      </c>
      <c r="D23" s="11" t="s">
        <v>62</v>
      </c>
      <c r="E23" s="11">
        <v>0.728449074074074</v>
      </c>
      <c r="F23" s="12">
        <f t="shared" si="1"/>
        <v>1.3308333333333362</v>
      </c>
      <c r="G23" s="13">
        <f t="shared" si="2"/>
        <v>1.3308333333333362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46045.958991898202</v>
      </c>
      <c r="B24" s="5" t="s">
        <v>83</v>
      </c>
      <c r="C24" s="11">
        <v>0.95898148148148099</v>
      </c>
      <c r="D24" s="11" t="s">
        <v>62</v>
      </c>
      <c r="E24" s="11">
        <v>0.120844907407407</v>
      </c>
      <c r="F24" s="12">
        <f t="shared" si="1"/>
        <v>3.8847222222222242</v>
      </c>
      <c r="G24" s="13">
        <f t="shared" si="2"/>
        <v>0.98444444444445622</v>
      </c>
      <c r="H24" s="13">
        <f t="shared" si="3"/>
        <v>2.900277777777768</v>
      </c>
      <c r="I24"/>
      <c r="J24"/>
    </row>
    <row r="25" spans="1:13" ht="18.75" x14ac:dyDescent="0.15">
      <c r="A25" s="10">
        <f t="shared" ca="1" si="0"/>
        <v>46049.139892013904</v>
      </c>
      <c r="B25" s="5" t="s">
        <v>79</v>
      </c>
      <c r="C25" s="11">
        <v>0.13988425925925899</v>
      </c>
      <c r="D25" s="11" t="s">
        <v>62</v>
      </c>
      <c r="E25" s="11">
        <v>0.22312499999999999</v>
      </c>
      <c r="F25" s="12">
        <f t="shared" si="1"/>
        <v>1.9977777777777841</v>
      </c>
      <c r="G25" s="13">
        <f t="shared" si="2"/>
        <v>0</v>
      </c>
      <c r="H25" s="13">
        <f t="shared" si="3"/>
        <v>1.9977777777777841</v>
      </c>
      <c r="I25"/>
      <c r="J25"/>
    </row>
    <row r="26" spans="1:13" ht="18.75" x14ac:dyDescent="0.15">
      <c r="A26" s="10">
        <f t="shared" ca="1" si="0"/>
        <v>46049.757572338</v>
      </c>
      <c r="B26" s="5" t="s">
        <v>83</v>
      </c>
      <c r="C26" s="11">
        <v>0.75756944444444496</v>
      </c>
      <c r="D26" s="11" t="s">
        <v>62</v>
      </c>
      <c r="E26" s="11">
        <v>0.83912037037037002</v>
      </c>
      <c r="F26" s="12">
        <f t="shared" si="1"/>
        <v>1.9572222222222013</v>
      </c>
      <c r="G26" s="13">
        <f t="shared" si="2"/>
        <v>1.9572222222222013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46050.139761342602</v>
      </c>
      <c r="B27" s="5" t="s">
        <v>79</v>
      </c>
      <c r="C27" s="11">
        <v>0.139756944444444</v>
      </c>
      <c r="D27" s="11" t="s">
        <v>62</v>
      </c>
      <c r="E27" s="11">
        <v>0.218657407407407</v>
      </c>
      <c r="F27" s="12">
        <f t="shared" si="1"/>
        <v>1.8936111111111118</v>
      </c>
      <c r="G27" s="13">
        <f t="shared" si="2"/>
        <v>0</v>
      </c>
      <c r="H27" s="13">
        <f t="shared" si="3"/>
        <v>1.8936111111111118</v>
      </c>
      <c r="I27"/>
      <c r="J27"/>
    </row>
    <row r="28" spans="1:13" ht="18.75" x14ac:dyDescent="0.15">
      <c r="A28" s="10">
        <f t="shared" ca="1" si="0"/>
        <v>46050.218690277798</v>
      </c>
      <c r="B28" s="5" t="s">
        <v>83</v>
      </c>
      <c r="C28" s="11">
        <v>0.21868055555555599</v>
      </c>
      <c r="D28" s="11" t="s">
        <v>62</v>
      </c>
      <c r="E28" s="11">
        <v>0.30508101851851799</v>
      </c>
      <c r="F28" s="12">
        <f t="shared" si="1"/>
        <v>2.073611111111088</v>
      </c>
      <c r="G28" s="13">
        <f t="shared" si="2"/>
        <v>0</v>
      </c>
      <c r="H28" s="13">
        <f t="shared" si="3"/>
        <v>2.073611111111088</v>
      </c>
      <c r="I28"/>
      <c r="J28"/>
    </row>
    <row r="29" spans="1:13" ht="18.75" x14ac:dyDescent="0.15">
      <c r="A29" s="10">
        <f t="shared" ca="1" si="0"/>
        <v>46052.960115740701</v>
      </c>
      <c r="B29" s="5" t="s">
        <v>83</v>
      </c>
      <c r="C29" s="11">
        <v>0.96011574074074102</v>
      </c>
      <c r="D29" s="11" t="s">
        <v>62</v>
      </c>
      <c r="E29" s="11">
        <v>0.10278935185185201</v>
      </c>
      <c r="F29" s="12">
        <f t="shared" si="1"/>
        <v>3.4241666666666637</v>
      </c>
      <c r="G29" s="13">
        <f t="shared" si="2"/>
        <v>0.95722222222221554</v>
      </c>
      <c r="H29" s="13">
        <f t="shared" si="3"/>
        <v>2.4669444444444482</v>
      </c>
      <c r="I29"/>
      <c r="J29"/>
    </row>
    <row r="30" spans="1:13" ht="18.75" x14ac:dyDescent="0.15">
      <c r="A30" s="10">
        <f t="shared" ca="1" si="0"/>
        <v>46053.460950925903</v>
      </c>
      <c r="B30" s="5" t="s">
        <v>81</v>
      </c>
      <c r="C30" s="11">
        <v>0.46094907407407398</v>
      </c>
      <c r="D30" s="11" t="s">
        <v>62</v>
      </c>
      <c r="E30" s="11">
        <v>0.55017361111111096</v>
      </c>
      <c r="F30" s="12">
        <f t="shared" si="1"/>
        <v>2.1413888888888875</v>
      </c>
      <c r="G30" s="13">
        <f t="shared" si="2"/>
        <v>2.1413888888888875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46053.668464699098</v>
      </c>
      <c r="B31" s="5" t="s">
        <v>83</v>
      </c>
      <c r="C31" s="11">
        <v>0.66846064814814798</v>
      </c>
      <c r="D31" s="11" t="s">
        <v>62</v>
      </c>
      <c r="E31" s="11">
        <v>0.755659722222222</v>
      </c>
      <c r="F31" s="12">
        <f t="shared" si="1"/>
        <v>2.0927777777777763</v>
      </c>
      <c r="G31" s="13">
        <f t="shared" si="2"/>
        <v>2.0927777777777763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46053.833509490702</v>
      </c>
      <c r="B32" s="5" t="s">
        <v>81</v>
      </c>
      <c r="C32" s="11">
        <v>0.83350694444444395</v>
      </c>
      <c r="D32" s="11" t="s">
        <v>62</v>
      </c>
      <c r="E32" s="11">
        <v>0.96306712962963004</v>
      </c>
      <c r="F32" s="12">
        <f t="shared" si="1"/>
        <v>3.109444444444466</v>
      </c>
      <c r="G32" s="13">
        <f t="shared" si="2"/>
        <v>3.109444444444466</v>
      </c>
      <c r="H32" s="13">
        <f t="shared" si="3"/>
        <v>0</v>
      </c>
      <c r="I32"/>
      <c r="J32"/>
    </row>
  </sheetData>
  <autoFilter ref="A2:K32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8"/>
  <sheetViews>
    <sheetView zoomScale="85" zoomScaleNormal="85" workbookViewId="0">
      <selection activeCell="A29" sqref="A29:XFD104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8" ca="1" si="0">IF(B3="","",IF(A3="",NOW(),A3))</f>
        <v>46024.957672453696</v>
      </c>
      <c r="B3" s="5" t="s">
        <v>85</v>
      </c>
      <c r="C3" s="11">
        <v>0.95766203703703701</v>
      </c>
      <c r="D3" s="11" t="s">
        <v>62</v>
      </c>
      <c r="E3" s="11">
        <v>0.106111111111111</v>
      </c>
      <c r="F3" s="12">
        <f t="shared" ref="F3:F28" si="1">(IF(E3-C3&lt;0,"24:00"-C3+E3,E3-C3))*24</f>
        <v>3.5627777777777756</v>
      </c>
      <c r="G3" s="13">
        <f t="shared" ref="G3:G28" si="2">F3-H3</f>
        <v>1.0161111111111114</v>
      </c>
      <c r="H3" s="13">
        <f t="shared" ref="H3:H28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2.5466666666666642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46025.459691550903</v>
      </c>
      <c r="B4" s="5" t="s">
        <v>82</v>
      </c>
      <c r="C4" s="11">
        <v>0.45968750000000003</v>
      </c>
      <c r="D4" s="11" t="s">
        <v>62</v>
      </c>
      <c r="E4" s="11">
        <v>0.50512731481481499</v>
      </c>
      <c r="F4" s="12">
        <f t="shared" si="1"/>
        <v>1.0905555555555591</v>
      </c>
      <c r="G4" s="13">
        <f t="shared" si="2"/>
        <v>1.0905555555555591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30.775833333333338</v>
      </c>
      <c r="K4" s="23">
        <f>SUMIF(B:B,"西塔台管制席",G:G)+SUMIF(B:B,"东塔台管制席",G:G)</f>
        <v>18.628611111111098</v>
      </c>
      <c r="L4" s="23">
        <f>SUMIF(B:B,"西塔台管制席",H:H)+SUMIF(B:B,"东塔台管制席",H:H)</f>
        <v>12.14722222222224</v>
      </c>
      <c r="M4" s="19"/>
    </row>
    <row r="5" spans="1:16" ht="18.75" x14ac:dyDescent="0.25">
      <c r="A5" s="10">
        <f t="shared" ca="1" si="0"/>
        <v>46025.583146296303</v>
      </c>
      <c r="B5" s="5" t="s">
        <v>82</v>
      </c>
      <c r="C5" s="11">
        <v>0.58313657407407404</v>
      </c>
      <c r="D5" s="11" t="s">
        <v>62</v>
      </c>
      <c r="E5" s="11">
        <v>0.75163194444444403</v>
      </c>
      <c r="F5" s="12">
        <f t="shared" si="1"/>
        <v>4.0438888888888798</v>
      </c>
      <c r="G5" s="13">
        <f t="shared" si="2"/>
        <v>4.0438888888888798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22.023611111111066</v>
      </c>
      <c r="K5" s="23">
        <f>SUMIF(B:B,"西塔台协调席",G:G)+SUMIF(B:B,"东塔台协调席",G:G)</f>
        <v>13.08944444444441</v>
      </c>
      <c r="L5" s="23">
        <f>SUMIF(B:B,"西塔台协调席",H:H)+SUMIF(B:B,"东塔台协调席",H:H)</f>
        <v>8.934166666666659</v>
      </c>
      <c r="M5" s="19"/>
    </row>
    <row r="6" spans="1:16" ht="18.75" x14ac:dyDescent="0.25">
      <c r="A6" s="10">
        <f t="shared" ca="1" si="0"/>
        <v>46025.959158333302</v>
      </c>
      <c r="B6" s="5" t="s">
        <v>85</v>
      </c>
      <c r="C6" s="11">
        <v>0.95915509259259302</v>
      </c>
      <c r="D6" s="11" t="s">
        <v>62</v>
      </c>
      <c r="E6" s="11">
        <v>0.10820601851851901</v>
      </c>
      <c r="F6" s="12">
        <f t="shared" si="1"/>
        <v>3.5772222222222241</v>
      </c>
      <c r="G6" s="13">
        <f t="shared" si="2"/>
        <v>0.98027777777776803</v>
      </c>
      <c r="H6" s="13">
        <f t="shared" si="3"/>
        <v>2.596944444444456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46029.139070138903</v>
      </c>
      <c r="B7" s="5" t="s">
        <v>85</v>
      </c>
      <c r="C7" s="11">
        <v>0.13906250000000001</v>
      </c>
      <c r="D7" s="11" t="s">
        <v>62</v>
      </c>
      <c r="E7" s="11">
        <v>0.30401620370370402</v>
      </c>
      <c r="F7" s="12">
        <f t="shared" si="1"/>
        <v>3.9588888888888967</v>
      </c>
      <c r="G7" s="13">
        <f t="shared" si="2"/>
        <v>0</v>
      </c>
      <c r="H7" s="13">
        <f t="shared" si="3"/>
        <v>3.9588888888888967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46030.138294560202</v>
      </c>
      <c r="B8" s="5" t="s">
        <v>85</v>
      </c>
      <c r="C8" s="11">
        <v>0.13828703703703699</v>
      </c>
      <c r="D8" s="11" t="s">
        <v>62</v>
      </c>
      <c r="E8" s="11">
        <v>0.22693287037036999</v>
      </c>
      <c r="F8" s="12">
        <f t="shared" si="1"/>
        <v>2.1274999999999924</v>
      </c>
      <c r="G8" s="13">
        <f t="shared" si="2"/>
        <v>0</v>
      </c>
      <c r="H8" s="13">
        <f t="shared" si="3"/>
        <v>2.1274999999999924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46032.498766203702</v>
      </c>
      <c r="B9" s="5" t="s">
        <v>83</v>
      </c>
      <c r="C9" s="11">
        <v>0.49876157407407401</v>
      </c>
      <c r="D9" s="11" t="s">
        <v>62</v>
      </c>
      <c r="E9" s="11">
        <v>0.64953703703703702</v>
      </c>
      <c r="F9" s="12">
        <f t="shared" si="1"/>
        <v>3.6186111111111123</v>
      </c>
      <c r="G9" s="13">
        <f t="shared" si="2"/>
        <v>3.6186111111111123</v>
      </c>
      <c r="H9" s="13">
        <f t="shared" si="3"/>
        <v>0</v>
      </c>
      <c r="I9" s="21" t="s">
        <v>69</v>
      </c>
      <c r="J9" s="22">
        <f>SUMIF(B:B,"航班调度席",F:F)</f>
        <v>10.083055555555536</v>
      </c>
      <c r="K9" s="23">
        <f>SUMIF(B:B,"航班调度席",G:G)</f>
        <v>10.083055555555536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46032.748709606502</v>
      </c>
      <c r="B10" s="5" t="s">
        <v>81</v>
      </c>
      <c r="C10" s="11">
        <v>0.74870370370370398</v>
      </c>
      <c r="D10" s="11" t="s">
        <v>62</v>
      </c>
      <c r="E10" s="11">
        <v>0.87908564814814805</v>
      </c>
      <c r="F10" s="12">
        <f t="shared" si="1"/>
        <v>3.1291666666666575</v>
      </c>
      <c r="G10" s="13">
        <f t="shared" si="2"/>
        <v>3.1291666666666575</v>
      </c>
      <c r="H10" s="13">
        <f t="shared" si="3"/>
        <v>0</v>
      </c>
      <c r="I10" s="21" t="s">
        <v>70</v>
      </c>
      <c r="J10" s="22">
        <f>SUMIF(B:B,"综合协调席",F:F)</f>
        <v>2.0691666666666717</v>
      </c>
      <c r="K10" s="23">
        <f>SUMIF(B:B,"综合协调席",G:G)</f>
        <v>0</v>
      </c>
      <c r="L10" s="23">
        <f>SUMIF(B:B,"综合协调席",H:H)</f>
        <v>2.0691666666666717</v>
      </c>
      <c r="M10" s="19"/>
    </row>
    <row r="11" spans="1:16" ht="18.75" x14ac:dyDescent="0.25">
      <c r="A11" s="10">
        <f t="shared" ca="1" si="0"/>
        <v>46033.416068171297</v>
      </c>
      <c r="B11" s="5" t="s">
        <v>83</v>
      </c>
      <c r="C11" s="11">
        <v>0.416064814814815</v>
      </c>
      <c r="D11" s="11" t="s">
        <v>62</v>
      </c>
      <c r="E11" s="11">
        <v>0.50567129629629604</v>
      </c>
      <c r="F11" s="12">
        <f t="shared" si="1"/>
        <v>2.1505555555555449</v>
      </c>
      <c r="G11" s="13">
        <f t="shared" si="2"/>
        <v>2.1505555555555449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46033.624534027796</v>
      </c>
      <c r="B12" s="5" t="s">
        <v>81</v>
      </c>
      <c r="C12" s="11">
        <v>0.62452546296296296</v>
      </c>
      <c r="D12" s="11" t="s">
        <v>62</v>
      </c>
      <c r="E12" s="11">
        <v>0.75408564814814805</v>
      </c>
      <c r="F12" s="12">
        <f t="shared" si="1"/>
        <v>3.109444444444442</v>
      </c>
      <c r="G12" s="13">
        <f t="shared" si="2"/>
        <v>3.109444444444442</v>
      </c>
      <c r="H12" s="13">
        <f t="shared" si="3"/>
        <v>0</v>
      </c>
      <c r="I12" s="27" t="s">
        <v>72</v>
      </c>
      <c r="J12" s="28">
        <f>SUMIF(B:B,"管制教员席",F:F)</f>
        <v>13.22638888888889</v>
      </c>
      <c r="K12" s="29">
        <f>SUMIF(B:B,"管制教员席",G:G)</f>
        <v>1.9963888888888794</v>
      </c>
      <c r="L12" s="29">
        <f>SUMIF(B:B,"管制教员席",H:H)</f>
        <v>11.230000000000009</v>
      </c>
      <c r="M12" s="19"/>
    </row>
    <row r="13" spans="1:16" ht="18.75" x14ac:dyDescent="0.15">
      <c r="A13" s="10">
        <f t="shared" ca="1" si="0"/>
        <v>46033.832778009302</v>
      </c>
      <c r="B13" s="5" t="s">
        <v>81</v>
      </c>
      <c r="C13" s="11">
        <v>0.83277777777777795</v>
      </c>
      <c r="D13" s="11" t="s">
        <v>62</v>
      </c>
      <c r="E13" s="11">
        <v>0.96310185185185204</v>
      </c>
      <c r="F13" s="12">
        <f t="shared" si="1"/>
        <v>3.1277777777777782</v>
      </c>
      <c r="G13" s="13">
        <f t="shared" si="2"/>
        <v>3.1277777777777782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46034.298758449098</v>
      </c>
      <c r="B14" s="5" t="s">
        <v>83</v>
      </c>
      <c r="C14" s="11">
        <v>0.29875000000000002</v>
      </c>
      <c r="D14" s="11" t="s">
        <v>62</v>
      </c>
      <c r="E14" s="11">
        <v>0.36192129629629599</v>
      </c>
      <c r="F14" s="12">
        <f t="shared" si="1"/>
        <v>1.5161111111111034</v>
      </c>
      <c r="G14" s="13">
        <f t="shared" si="2"/>
        <v>0.68611111111111223</v>
      </c>
      <c r="H14" s="13">
        <f t="shared" si="3"/>
        <v>0.82999999999999119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46037.014777777797</v>
      </c>
      <c r="B15" s="5" t="s">
        <v>78</v>
      </c>
      <c r="C15" s="11">
        <v>1.47685185185185E-2</v>
      </c>
      <c r="D15" s="11" t="s">
        <v>62</v>
      </c>
      <c r="E15" s="11">
        <v>0.143761574074074</v>
      </c>
      <c r="F15" s="12">
        <f t="shared" si="1"/>
        <v>3.0958333333333323</v>
      </c>
      <c r="G15" s="13">
        <f t="shared" si="2"/>
        <v>0</v>
      </c>
      <c r="H15" s="13">
        <f t="shared" si="3"/>
        <v>3.0958333333333323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46038.013665625003</v>
      </c>
      <c r="B16" s="5" t="s">
        <v>83</v>
      </c>
      <c r="C16" s="11">
        <v>1.3657407407407399E-2</v>
      </c>
      <c r="D16" s="11" t="s">
        <v>62</v>
      </c>
      <c r="E16" s="11">
        <v>0.14372685185185199</v>
      </c>
      <c r="F16" s="12">
        <f t="shared" si="1"/>
        <v>3.1216666666666706</v>
      </c>
      <c r="G16" s="13">
        <f t="shared" si="2"/>
        <v>0</v>
      </c>
      <c r="H16" s="13">
        <f t="shared" si="3"/>
        <v>3.1216666666666706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46040.9574832176</v>
      </c>
      <c r="B17" s="5" t="s">
        <v>81</v>
      </c>
      <c r="C17" s="11">
        <v>0.95747685185185205</v>
      </c>
      <c r="D17" s="11" t="s">
        <v>62</v>
      </c>
      <c r="E17" s="11">
        <v>0.10376157407407401</v>
      </c>
      <c r="F17" s="12">
        <f t="shared" si="1"/>
        <v>3.5108333333333266</v>
      </c>
      <c r="G17" s="13">
        <f t="shared" si="2"/>
        <v>1.0205555555555503</v>
      </c>
      <c r="H17" s="13">
        <f t="shared" si="3"/>
        <v>2.4902777777777763</v>
      </c>
      <c r="I17" s="35" t="s">
        <v>75</v>
      </c>
      <c r="J17" s="36">
        <f>J4+J5+J6+J7+J10</f>
        <v>54.868611111111079</v>
      </c>
      <c r="K17" s="37">
        <f>K4+K5+K6+K7+K10</f>
        <v>31.718055555555509</v>
      </c>
      <c r="L17" s="38">
        <f>L4+L5+L6+L7+L10</f>
        <v>23.15055555555557</v>
      </c>
      <c r="M17" s="39"/>
    </row>
    <row r="18" spans="1:13" ht="20.25" x14ac:dyDescent="0.25">
      <c r="A18" s="10">
        <f t="shared" ca="1" si="0"/>
        <v>46042.140010416697</v>
      </c>
      <c r="B18" s="5" t="s">
        <v>80</v>
      </c>
      <c r="C18" s="11">
        <v>0.13953703703703699</v>
      </c>
      <c r="D18" s="11" t="s">
        <v>62</v>
      </c>
      <c r="E18" s="11">
        <v>0.30633101851851902</v>
      </c>
      <c r="F18" s="12">
        <f t="shared" si="1"/>
        <v>4.0030555555555685</v>
      </c>
      <c r="G18" s="13">
        <f t="shared" si="2"/>
        <v>0</v>
      </c>
      <c r="H18" s="13">
        <f t="shared" si="3"/>
        <v>4.0030555555555685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46044.502747569401</v>
      </c>
      <c r="B19" s="5" t="s">
        <v>78</v>
      </c>
      <c r="C19" s="11">
        <v>0.50274305555555598</v>
      </c>
      <c r="D19" s="11" t="s">
        <v>62</v>
      </c>
      <c r="E19" s="11">
        <v>0.65067129629629605</v>
      </c>
      <c r="F19" s="12">
        <f t="shared" si="1"/>
        <v>3.5502777777777617</v>
      </c>
      <c r="G19" s="13">
        <f t="shared" si="2"/>
        <v>3.5502777777777617</v>
      </c>
      <c r="H19" s="13">
        <f t="shared" si="3"/>
        <v>0</v>
      </c>
      <c r="I19" s="35" t="s">
        <v>76</v>
      </c>
      <c r="J19" s="36">
        <f t="shared" ref="J19:L19" si="6">J12</f>
        <v>13.22638888888889</v>
      </c>
      <c r="K19" s="37">
        <f t="shared" si="6"/>
        <v>1.9963888888888794</v>
      </c>
      <c r="L19" s="38">
        <f t="shared" si="6"/>
        <v>11.230000000000009</v>
      </c>
      <c r="M19" s="39"/>
    </row>
    <row r="20" spans="1:13" ht="20.25" x14ac:dyDescent="0.15">
      <c r="A20" s="10">
        <f t="shared" ca="1" si="0"/>
        <v>46044.708183217597</v>
      </c>
      <c r="B20" s="5" t="s">
        <v>80</v>
      </c>
      <c r="C20" s="11">
        <v>0.70818287037036998</v>
      </c>
      <c r="D20" s="11" t="s">
        <v>62</v>
      </c>
      <c r="E20" s="11">
        <v>0.83858796296296301</v>
      </c>
      <c r="F20" s="12">
        <f t="shared" si="1"/>
        <v>3.1297222222222327</v>
      </c>
      <c r="G20" s="13">
        <f t="shared" si="2"/>
        <v>3.1297222222222327</v>
      </c>
      <c r="H20" s="13">
        <f t="shared" si="3"/>
        <v>0</v>
      </c>
      <c r="I20" s="40" t="s">
        <v>77</v>
      </c>
      <c r="J20" s="65">
        <f>J16+J17+J18+J19</f>
        <v>68.09499999999997</v>
      </c>
      <c r="K20" s="66"/>
      <c r="L20" s="67"/>
      <c r="M20" s="41"/>
    </row>
    <row r="21" spans="1:13" ht="20.25" x14ac:dyDescent="0.25">
      <c r="A21" s="10">
        <f t="shared" ca="1" si="0"/>
        <v>46045.957967476897</v>
      </c>
      <c r="B21" s="5" t="s">
        <v>81</v>
      </c>
      <c r="C21" s="11">
        <v>0.95796296296296302</v>
      </c>
      <c r="D21" s="11" t="s">
        <v>62</v>
      </c>
      <c r="E21" s="11">
        <v>0.121585648148148</v>
      </c>
      <c r="F21" s="12">
        <f t="shared" si="1"/>
        <v>3.9269444444444392</v>
      </c>
      <c r="G21" s="13">
        <f t="shared" si="2"/>
        <v>1.0088888888888872</v>
      </c>
      <c r="H21" s="13">
        <f t="shared" si="3"/>
        <v>2.9180555555555521</v>
      </c>
      <c r="I21" s="42" t="s">
        <v>4</v>
      </c>
      <c r="J21" s="43">
        <f>SUM(J8:J9)</f>
        <v>10.083055555555536</v>
      </c>
      <c r="K21" s="37">
        <f>SUM(K8:K9)</f>
        <v>10.083055555555536</v>
      </c>
      <c r="L21" s="38">
        <f>SUM(L8:L9)</f>
        <v>0</v>
      </c>
      <c r="M21" s="44"/>
    </row>
    <row r="22" spans="1:13" ht="18.75" x14ac:dyDescent="0.15">
      <c r="A22" s="10">
        <f t="shared" ca="1" si="0"/>
        <v>46048.373320717597</v>
      </c>
      <c r="B22" s="5" t="s">
        <v>82</v>
      </c>
      <c r="C22" s="11">
        <v>0.373310185185185</v>
      </c>
      <c r="D22" s="11" t="s">
        <v>62</v>
      </c>
      <c r="E22" s="11">
        <v>0.47834490740740698</v>
      </c>
      <c r="F22" s="12">
        <f t="shared" si="1"/>
        <v>2.5208333333333277</v>
      </c>
      <c r="G22" s="13">
        <f t="shared" si="2"/>
        <v>2.5208333333333277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46048.500010763899</v>
      </c>
      <c r="B23" s="5" t="s">
        <v>83</v>
      </c>
      <c r="C23" s="11">
        <v>0.5</v>
      </c>
      <c r="D23" s="11" t="s">
        <v>62</v>
      </c>
      <c r="E23" s="11">
        <v>0.62849537037036995</v>
      </c>
      <c r="F23" s="12">
        <f t="shared" si="1"/>
        <v>3.0838888888888789</v>
      </c>
      <c r="G23" s="13">
        <f t="shared" si="2"/>
        <v>3.0838888888888789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46048.628535648102</v>
      </c>
      <c r="B24" s="5" t="s">
        <v>82</v>
      </c>
      <c r="C24" s="11">
        <v>0.62853009259259296</v>
      </c>
      <c r="D24" s="11" t="s">
        <v>62</v>
      </c>
      <c r="E24" s="11">
        <v>0.72968750000000004</v>
      </c>
      <c r="F24" s="12">
        <f t="shared" si="1"/>
        <v>2.42777777777777</v>
      </c>
      <c r="G24" s="13">
        <f t="shared" si="2"/>
        <v>2.42777777777777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46048.750113194401</v>
      </c>
      <c r="B25" s="5" t="s">
        <v>81</v>
      </c>
      <c r="C25" s="11">
        <v>0.75010416666666702</v>
      </c>
      <c r="D25" s="11" t="s">
        <v>62</v>
      </c>
      <c r="E25" s="11">
        <v>0.87856481481481496</v>
      </c>
      <c r="F25" s="12">
        <f t="shared" si="1"/>
        <v>3.0830555555555508</v>
      </c>
      <c r="G25" s="13">
        <f t="shared" si="2"/>
        <v>3.0830555555555508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46049.957502546298</v>
      </c>
      <c r="B26" s="5" t="s">
        <v>81</v>
      </c>
      <c r="C26" s="11">
        <v>0.95750000000000002</v>
      </c>
      <c r="D26" s="11" t="s">
        <v>62</v>
      </c>
      <c r="E26" s="11">
        <v>0.113993055555556</v>
      </c>
      <c r="F26" s="12">
        <f t="shared" si="1"/>
        <v>3.7558333333333436</v>
      </c>
      <c r="G26" s="13">
        <f t="shared" si="2"/>
        <v>1.0199999999999996</v>
      </c>
      <c r="H26" s="13">
        <f t="shared" si="3"/>
        <v>2.735833333333344</v>
      </c>
      <c r="I26"/>
      <c r="J26"/>
    </row>
    <row r="27" spans="1:13" ht="18.75" x14ac:dyDescent="0.15">
      <c r="A27" s="10">
        <f t="shared" ca="1" si="0"/>
        <v>46053.139887963</v>
      </c>
      <c r="B27" s="5" t="s">
        <v>86</v>
      </c>
      <c r="C27" s="11">
        <v>0.139259259259259</v>
      </c>
      <c r="D27" s="11" t="s">
        <v>62</v>
      </c>
      <c r="E27" s="11">
        <v>0.22547453703703699</v>
      </c>
      <c r="F27" s="12">
        <f t="shared" si="1"/>
        <v>2.0691666666666717</v>
      </c>
      <c r="G27" s="13">
        <f t="shared" si="2"/>
        <v>0</v>
      </c>
      <c r="H27" s="13">
        <f t="shared" si="3"/>
        <v>2.0691666666666717</v>
      </c>
      <c r="I27"/>
      <c r="J27"/>
    </row>
    <row r="28" spans="1:13" ht="18.75" x14ac:dyDescent="0.15">
      <c r="A28" s="10">
        <f t="shared" ca="1" si="0"/>
        <v>46053.225511458302</v>
      </c>
      <c r="B28" s="5" t="s">
        <v>83</v>
      </c>
      <c r="C28" s="11">
        <v>0.22550925925925899</v>
      </c>
      <c r="D28" s="11" t="s">
        <v>62</v>
      </c>
      <c r="E28" s="11">
        <v>0.30412037037036999</v>
      </c>
      <c r="F28" s="12">
        <f t="shared" si="1"/>
        <v>1.8866666666666638</v>
      </c>
      <c r="G28" s="13">
        <f t="shared" si="2"/>
        <v>0</v>
      </c>
      <c r="H28" s="13">
        <f t="shared" si="3"/>
        <v>1.8866666666666638</v>
      </c>
      <c r="I28"/>
      <c r="J28"/>
    </row>
  </sheetData>
  <autoFilter ref="A2:K28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8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6"/>
  <sheetViews>
    <sheetView zoomScale="85" zoomScaleNormal="85" workbookViewId="0">
      <selection activeCell="D43" sqref="D4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6" ca="1" si="0">IF(B3="","",IF(A3="",NOW(),A3))</f>
        <v>46024.373510416699</v>
      </c>
      <c r="B3" s="5" t="s">
        <v>82</v>
      </c>
      <c r="C3" s="11">
        <v>0.37350694444444399</v>
      </c>
      <c r="D3" s="11" t="s">
        <v>62</v>
      </c>
      <c r="E3" s="11">
        <v>0.50562499999999999</v>
      </c>
      <c r="F3" s="12">
        <f t="shared" ref="F3:F26" si="1">(IF(E3-C3&lt;0,"24:00"-C3+E3,E3-C3))*24</f>
        <v>3.1708333333333441</v>
      </c>
      <c r="G3" s="13">
        <f t="shared" ref="G3:G26" si="2">F3-H3</f>
        <v>3.1708333333333441</v>
      </c>
      <c r="H3" s="13">
        <f t="shared" ref="H3:H2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46024.616310300902</v>
      </c>
      <c r="B4" s="5" t="s">
        <v>82</v>
      </c>
      <c r="C4" s="11">
        <v>0.61630787037037005</v>
      </c>
      <c r="D4" s="11" t="s">
        <v>62</v>
      </c>
      <c r="E4" s="11">
        <v>0.75629629629629602</v>
      </c>
      <c r="F4" s="12">
        <f t="shared" si="1"/>
        <v>3.3597222222222234</v>
      </c>
      <c r="G4" s="13">
        <f t="shared" si="2"/>
        <v>3.3597222222222234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27.663888888888849</v>
      </c>
      <c r="K4" s="23">
        <f>SUMIF(B:B,"西塔台管制席",G:G)+SUMIF(B:B,"东塔台管制席",G:G)</f>
        <v>10.306944444444454</v>
      </c>
      <c r="L4" s="23">
        <f>SUMIF(B:B,"西塔台管制席",H:H)+SUMIF(B:B,"东塔台管制席",H:H)</f>
        <v>17.356944444444398</v>
      </c>
      <c r="M4" s="19"/>
    </row>
    <row r="5" spans="1:16" ht="18.75" x14ac:dyDescent="0.25">
      <c r="A5" s="10">
        <f t="shared" ca="1" si="0"/>
        <v>46024.958753472201</v>
      </c>
      <c r="B5" s="5" t="s">
        <v>78</v>
      </c>
      <c r="C5" s="11">
        <v>0.95874999999999999</v>
      </c>
      <c r="D5" s="11" t="s">
        <v>62</v>
      </c>
      <c r="E5" s="11">
        <v>9.8645833333333294E-2</v>
      </c>
      <c r="F5" s="12">
        <f t="shared" si="1"/>
        <v>3.357499999999999</v>
      </c>
      <c r="G5" s="13">
        <f t="shared" si="2"/>
        <v>0.99000000000000021</v>
      </c>
      <c r="H5" s="13">
        <f t="shared" si="3"/>
        <v>2.3674999999999988</v>
      </c>
      <c r="I5" s="21" t="s">
        <v>65</v>
      </c>
      <c r="J5" s="22">
        <f>SUMIF(B:B,"西塔台协调席",F:F)+SUMIF(B:B,"东塔台协调席",F:F)</f>
        <v>17.573611111111063</v>
      </c>
      <c r="K5" s="23">
        <f>SUMIF(B:B,"西塔台协调席",G:G)+SUMIF(B:B,"东塔台协调席",G:G)</f>
        <v>13.193333333333307</v>
      </c>
      <c r="L5" s="23">
        <f>SUMIF(B:B,"西塔台协调席",H:H)+SUMIF(B:B,"东塔台协调席",H:H)</f>
        <v>4.3802777777777591</v>
      </c>
      <c r="M5" s="19"/>
    </row>
    <row r="6" spans="1:16" ht="18.75" x14ac:dyDescent="0.25">
      <c r="A6" s="10">
        <f t="shared" ca="1" si="0"/>
        <v>46026.013363773098</v>
      </c>
      <c r="B6" s="5" t="s">
        <v>81</v>
      </c>
      <c r="C6" s="11">
        <v>1.33564814814815E-2</v>
      </c>
      <c r="D6" s="11" t="s">
        <v>62</v>
      </c>
      <c r="E6" s="11">
        <v>0.114733796296296</v>
      </c>
      <c r="F6" s="12">
        <f t="shared" si="1"/>
        <v>2.4330555555555482</v>
      </c>
      <c r="G6" s="13">
        <f t="shared" si="2"/>
        <v>0</v>
      </c>
      <c r="H6" s="13">
        <f t="shared" si="3"/>
        <v>2.4330555555555482</v>
      </c>
      <c r="I6" s="21" t="s">
        <v>66</v>
      </c>
      <c r="J6" s="22">
        <f>SUMIF(B:B,"放行席",F:F)</f>
        <v>2.136666666666672</v>
      </c>
      <c r="K6" s="23">
        <f>SUMIF(B:B,"放行席",G:G)</f>
        <v>0</v>
      </c>
      <c r="L6" s="23">
        <f>SUMIF(B:B,"放行席",H:H)</f>
        <v>2.136666666666672</v>
      </c>
      <c r="M6" s="19"/>
    </row>
    <row r="7" spans="1:16" ht="18.75" x14ac:dyDescent="0.25">
      <c r="A7" s="10">
        <f t="shared" ca="1" si="0"/>
        <v>46026.114768287</v>
      </c>
      <c r="B7" s="5" t="s">
        <v>78</v>
      </c>
      <c r="C7" s="11">
        <v>0.11476851851851901</v>
      </c>
      <c r="D7" s="11" t="s">
        <v>62</v>
      </c>
      <c r="E7" s="11">
        <v>0.143761574074074</v>
      </c>
      <c r="F7" s="12">
        <f t="shared" si="1"/>
        <v>0.69583333333331987</v>
      </c>
      <c r="G7" s="13">
        <f t="shared" si="2"/>
        <v>0</v>
      </c>
      <c r="H7" s="13">
        <f t="shared" si="3"/>
        <v>0.69583333333331987</v>
      </c>
      <c r="I7" s="21" t="s">
        <v>67</v>
      </c>
      <c r="J7" s="22">
        <f>SUMIF(B:B,"地面席",F:F)</f>
        <v>8.5066666666666801</v>
      </c>
      <c r="K7" s="23">
        <f>SUMIF(B:B,"地面席",G:G)</f>
        <v>0</v>
      </c>
      <c r="L7" s="23">
        <f>SUMIF(B:B,"地面席",H:H)</f>
        <v>8.5066666666666801</v>
      </c>
      <c r="M7" s="19"/>
    </row>
    <row r="8" spans="1:16" ht="18.75" x14ac:dyDescent="0.25">
      <c r="A8" s="10">
        <f t="shared" ca="1" si="0"/>
        <v>46029.138662268502</v>
      </c>
      <c r="B8" s="5" t="s">
        <v>79</v>
      </c>
      <c r="C8" s="11">
        <v>0.13865740740740701</v>
      </c>
      <c r="D8" s="11" t="s">
        <v>62</v>
      </c>
      <c r="E8" s="11">
        <v>0.225428240740741</v>
      </c>
      <c r="F8" s="12">
        <f t="shared" si="1"/>
        <v>2.0825000000000156</v>
      </c>
      <c r="G8" s="13">
        <f t="shared" si="2"/>
        <v>0</v>
      </c>
      <c r="H8" s="13">
        <f t="shared" si="3"/>
        <v>2.0825000000000156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46030.138694097201</v>
      </c>
      <c r="B9" s="5" t="s">
        <v>81</v>
      </c>
      <c r="C9" s="11">
        <v>0.13869212962963001</v>
      </c>
      <c r="D9" s="11" t="s">
        <v>62</v>
      </c>
      <c r="E9" s="11">
        <v>0.30368055555555601</v>
      </c>
      <c r="F9" s="12">
        <f t="shared" si="1"/>
        <v>3.9597222222222239</v>
      </c>
      <c r="G9" s="13">
        <f t="shared" si="2"/>
        <v>0</v>
      </c>
      <c r="H9" s="13">
        <f t="shared" si="3"/>
        <v>3.9597222222222239</v>
      </c>
      <c r="I9" s="21" t="s">
        <v>69</v>
      </c>
      <c r="J9" s="22">
        <f>SUMIF(B:B,"航班调度席",F:F)</f>
        <v>6.5305555555555674</v>
      </c>
      <c r="K9" s="23">
        <f>SUMIF(B:B,"航班调度席",G:G)</f>
        <v>6.5305555555555674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46032.356078356497</v>
      </c>
      <c r="B10" s="5" t="s">
        <v>81</v>
      </c>
      <c r="C10" s="11">
        <v>0.35607638888888898</v>
      </c>
      <c r="D10" s="11" t="s">
        <v>62</v>
      </c>
      <c r="E10" s="11">
        <v>0.50491898148148195</v>
      </c>
      <c r="F10" s="12">
        <f t="shared" si="1"/>
        <v>3.5722222222222313</v>
      </c>
      <c r="G10" s="13">
        <f t="shared" si="2"/>
        <v>3.5722222222222313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46032.645912847198</v>
      </c>
      <c r="B11" s="5" t="s">
        <v>83</v>
      </c>
      <c r="C11" s="11">
        <v>0.64590277777777805</v>
      </c>
      <c r="D11" s="11" t="s">
        <v>62</v>
      </c>
      <c r="E11" s="11">
        <v>0.75563657407407403</v>
      </c>
      <c r="F11" s="12">
        <f t="shared" si="1"/>
        <v>2.6336111111111036</v>
      </c>
      <c r="G11" s="13">
        <f t="shared" si="2"/>
        <v>2.6336111111111036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46036.9579346065</v>
      </c>
      <c r="B12" s="5" t="s">
        <v>81</v>
      </c>
      <c r="C12" s="11">
        <v>0.95792824074074101</v>
      </c>
      <c r="D12" s="11" t="s">
        <v>62</v>
      </c>
      <c r="E12" s="11">
        <v>0.14538194444444399</v>
      </c>
      <c r="F12" s="12">
        <f t="shared" si="1"/>
        <v>4.4988888888888718</v>
      </c>
      <c r="G12" s="13">
        <f t="shared" si="2"/>
        <v>1.0097222222222157</v>
      </c>
      <c r="H12" s="13">
        <f t="shared" si="3"/>
        <v>3.4891666666666561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46038.139114004603</v>
      </c>
      <c r="B13" s="5" t="s">
        <v>79</v>
      </c>
      <c r="C13" s="11">
        <v>0.13910879629629599</v>
      </c>
      <c r="D13" s="11" t="s">
        <v>62</v>
      </c>
      <c r="E13" s="11">
        <v>0.22271990740740699</v>
      </c>
      <c r="F13" s="12">
        <f t="shared" si="1"/>
        <v>2.0066666666666642</v>
      </c>
      <c r="G13" s="13">
        <f t="shared" si="2"/>
        <v>0</v>
      </c>
      <c r="H13" s="13">
        <f t="shared" si="3"/>
        <v>2.0066666666666642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46041.137526157399</v>
      </c>
      <c r="B14" s="5" t="s">
        <v>80</v>
      </c>
      <c r="C14" s="11">
        <v>0.13803240740740699</v>
      </c>
      <c r="D14" s="11" t="s">
        <v>62</v>
      </c>
      <c r="E14" s="11">
        <v>0.21871527777777799</v>
      </c>
      <c r="F14" s="12">
        <f t="shared" si="1"/>
        <v>1.936388888888904</v>
      </c>
      <c r="G14" s="13">
        <f t="shared" si="2"/>
        <v>0</v>
      </c>
      <c r="H14" s="13">
        <f t="shared" si="3"/>
        <v>1.936388888888904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46042.137477777796</v>
      </c>
      <c r="B15" s="5" t="s">
        <v>79</v>
      </c>
      <c r="C15" s="11">
        <v>0.13747685185185199</v>
      </c>
      <c r="D15" s="11" t="s">
        <v>62</v>
      </c>
      <c r="E15" s="11">
        <v>0.32153935185185201</v>
      </c>
      <c r="F15" s="12">
        <f t="shared" si="1"/>
        <v>4.4175000000000004</v>
      </c>
      <c r="G15" s="13">
        <f t="shared" si="2"/>
        <v>0</v>
      </c>
      <c r="H15" s="13">
        <f t="shared" si="3"/>
        <v>4.4175000000000004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46044.356485185199</v>
      </c>
      <c r="B16" s="5" t="s">
        <v>80</v>
      </c>
      <c r="C16" s="11">
        <v>0.35658564814814803</v>
      </c>
      <c r="D16" s="11" t="s">
        <v>62</v>
      </c>
      <c r="E16" s="11">
        <v>0.50694444444444398</v>
      </c>
      <c r="F16" s="12">
        <f t="shared" si="1"/>
        <v>3.6086111111111028</v>
      </c>
      <c r="G16" s="13">
        <f t="shared" si="2"/>
        <v>3.6086111111111028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46044.646416203701</v>
      </c>
      <c r="B17" s="5" t="s">
        <v>78</v>
      </c>
      <c r="C17" s="11">
        <v>0.64641203703703698</v>
      </c>
      <c r="D17" s="11" t="s">
        <v>62</v>
      </c>
      <c r="E17" s="11">
        <v>0.75585648148148099</v>
      </c>
      <c r="F17" s="12">
        <f t="shared" si="1"/>
        <v>2.6266666666666563</v>
      </c>
      <c r="G17" s="13">
        <f t="shared" si="2"/>
        <v>2.6266666666666563</v>
      </c>
      <c r="H17" s="13">
        <f t="shared" si="3"/>
        <v>0</v>
      </c>
      <c r="I17" s="35" t="s">
        <v>75</v>
      </c>
      <c r="J17" s="36">
        <f>J4+J5+J6+J7+J10</f>
        <v>55.880833333333264</v>
      </c>
      <c r="K17" s="37">
        <f>K4+K5+K6+K7+K10</f>
        <v>23.500277777777761</v>
      </c>
      <c r="L17" s="38">
        <f>L4+L5+L6+L7+L10</f>
        <v>32.38055555555551</v>
      </c>
      <c r="M17" s="39"/>
    </row>
    <row r="18" spans="1:13" ht="20.25" x14ac:dyDescent="0.25">
      <c r="A18" s="10">
        <f t="shared" ca="1" si="0"/>
        <v>46044.874320717601</v>
      </c>
      <c r="B18" s="5" t="s">
        <v>78</v>
      </c>
      <c r="C18" s="11">
        <v>0.87431712962963004</v>
      </c>
      <c r="D18" s="11" t="s">
        <v>62</v>
      </c>
      <c r="E18" s="11">
        <v>0.96449074074074104</v>
      </c>
      <c r="F18" s="12">
        <f t="shared" si="1"/>
        <v>2.1641666666666639</v>
      </c>
      <c r="G18" s="13">
        <f t="shared" si="2"/>
        <v>2.1641666666666639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46045.299472222199</v>
      </c>
      <c r="B19" s="5" t="s">
        <v>81</v>
      </c>
      <c r="C19" s="11">
        <v>0.29946759259259298</v>
      </c>
      <c r="D19" s="11" t="s">
        <v>62</v>
      </c>
      <c r="E19" s="11">
        <v>0.42151620370370402</v>
      </c>
      <c r="F19" s="12">
        <f t="shared" si="1"/>
        <v>2.9291666666666649</v>
      </c>
      <c r="G19" s="13">
        <f t="shared" si="2"/>
        <v>2.1163888888889049</v>
      </c>
      <c r="H19" s="13">
        <f t="shared" si="3"/>
        <v>0.81277777777776006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46045.500190393497</v>
      </c>
      <c r="B20" s="5" t="s">
        <v>83</v>
      </c>
      <c r="C20" s="11">
        <v>0.50018518518518496</v>
      </c>
      <c r="D20" s="11" t="s">
        <v>62</v>
      </c>
      <c r="E20" s="11">
        <v>0.63086805555555603</v>
      </c>
      <c r="F20" s="12">
        <f t="shared" si="1"/>
        <v>3.1363888888889058</v>
      </c>
      <c r="G20" s="13">
        <f t="shared" si="2"/>
        <v>3.1363888888889058</v>
      </c>
      <c r="H20" s="13">
        <f t="shared" si="3"/>
        <v>0</v>
      </c>
      <c r="I20" s="40" t="s">
        <v>77</v>
      </c>
      <c r="J20" s="65">
        <f>J16+J17+J18+J19</f>
        <v>55.880833333333264</v>
      </c>
      <c r="K20" s="66"/>
      <c r="L20" s="67"/>
      <c r="M20" s="41"/>
    </row>
    <row r="21" spans="1:13" ht="20.25" x14ac:dyDescent="0.25">
      <c r="A21" s="10">
        <f t="shared" ca="1" si="0"/>
        <v>46045.748246296302</v>
      </c>
      <c r="B21" s="5" t="s">
        <v>83</v>
      </c>
      <c r="C21" s="11">
        <v>0.74824074074074098</v>
      </c>
      <c r="D21" s="11" t="s">
        <v>62</v>
      </c>
      <c r="E21" s="11">
        <v>0.76957175925925903</v>
      </c>
      <c r="F21" s="12">
        <f t="shared" si="1"/>
        <v>0.51194444444443299</v>
      </c>
      <c r="G21" s="13">
        <f t="shared" si="2"/>
        <v>0.51194444444443299</v>
      </c>
      <c r="H21" s="13">
        <f t="shared" si="3"/>
        <v>0</v>
      </c>
      <c r="I21" s="42" t="s">
        <v>4</v>
      </c>
      <c r="J21" s="43">
        <f>SUM(J8:J9)</f>
        <v>6.5305555555555674</v>
      </c>
      <c r="K21" s="37">
        <f>SUM(K8:K9)</f>
        <v>6.5305555555555674</v>
      </c>
      <c r="L21" s="38">
        <f>SUM(L8:L9)</f>
        <v>0</v>
      </c>
      <c r="M21" s="44"/>
    </row>
    <row r="22" spans="1:13" ht="18.75" x14ac:dyDescent="0.15">
      <c r="A22" s="10">
        <f t="shared" ca="1" si="0"/>
        <v>46045.790305439798</v>
      </c>
      <c r="B22" s="5" t="s">
        <v>83</v>
      </c>
      <c r="C22" s="11">
        <v>0.79030092592592605</v>
      </c>
      <c r="D22" s="11" t="s">
        <v>62</v>
      </c>
      <c r="E22" s="11">
        <v>0.83740740740740705</v>
      </c>
      <c r="F22" s="12">
        <f t="shared" si="1"/>
        <v>1.130555555555544</v>
      </c>
      <c r="G22" s="13">
        <f t="shared" si="2"/>
        <v>1.130555555555544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46049.139531713001</v>
      </c>
      <c r="B23" s="5" t="s">
        <v>80</v>
      </c>
      <c r="C23" s="11">
        <v>0.139525462962963</v>
      </c>
      <c r="D23" s="11" t="s">
        <v>62</v>
      </c>
      <c r="E23" s="11">
        <v>0.24989583333333301</v>
      </c>
      <c r="F23" s="12">
        <f t="shared" si="1"/>
        <v>2.6488888888888802</v>
      </c>
      <c r="G23" s="13">
        <f t="shared" si="2"/>
        <v>0</v>
      </c>
      <c r="H23" s="13">
        <f t="shared" si="3"/>
        <v>2.6488888888888802</v>
      </c>
      <c r="I23"/>
      <c r="J23"/>
    </row>
    <row r="24" spans="1:13" ht="18.75" x14ac:dyDescent="0.15">
      <c r="A24" s="10">
        <f t="shared" ca="1" si="0"/>
        <v>46049.249953587998</v>
      </c>
      <c r="B24" s="5" t="s">
        <v>83</v>
      </c>
      <c r="C24" s="11">
        <v>0.24995370370370401</v>
      </c>
      <c r="D24" s="11" t="s">
        <v>62</v>
      </c>
      <c r="E24" s="11">
        <v>0.30482638888888902</v>
      </c>
      <c r="F24" s="12">
        <f t="shared" si="1"/>
        <v>1.3169444444444403</v>
      </c>
      <c r="G24" s="13">
        <f t="shared" si="2"/>
        <v>0</v>
      </c>
      <c r="H24" s="13">
        <f t="shared" si="3"/>
        <v>1.3169444444444403</v>
      </c>
      <c r="I24"/>
      <c r="J24"/>
    </row>
    <row r="25" spans="1:13" ht="18.75" x14ac:dyDescent="0.15">
      <c r="A25" s="10">
        <f t="shared" ca="1" si="0"/>
        <v>46050.132314699098</v>
      </c>
      <c r="B25" s="5" t="s">
        <v>84</v>
      </c>
      <c r="C25" s="11">
        <v>0.132314814814815</v>
      </c>
      <c r="D25" s="11" t="s">
        <v>62</v>
      </c>
      <c r="E25" s="11">
        <v>0.22134259259259301</v>
      </c>
      <c r="F25" s="12">
        <f t="shared" si="1"/>
        <v>2.136666666666672</v>
      </c>
      <c r="G25" s="13">
        <f t="shared" si="2"/>
        <v>0</v>
      </c>
      <c r="H25" s="13">
        <f t="shared" si="3"/>
        <v>2.136666666666672</v>
      </c>
      <c r="I25"/>
      <c r="J25"/>
    </row>
    <row r="26" spans="1:13" ht="18.75" x14ac:dyDescent="0.15">
      <c r="A26" s="10">
        <f t="shared" ca="1" si="0"/>
        <v>46053.138839004598</v>
      </c>
      <c r="B26" s="5" t="s">
        <v>80</v>
      </c>
      <c r="C26" s="11">
        <v>0.13883101851851901</v>
      </c>
      <c r="D26" s="11" t="s">
        <v>62</v>
      </c>
      <c r="E26" s="11">
        <v>0.22537037037037</v>
      </c>
      <c r="F26" s="12">
        <f t="shared" si="1"/>
        <v>2.0769444444444236</v>
      </c>
      <c r="G26" s="13">
        <f t="shared" si="2"/>
        <v>0</v>
      </c>
      <c r="H26" s="13">
        <f t="shared" si="3"/>
        <v>2.0769444444444236</v>
      </c>
      <c r="I26"/>
      <c r="J26"/>
    </row>
  </sheetData>
  <autoFilter ref="A2:K26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6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7"/>
  <sheetViews>
    <sheetView zoomScale="85" zoomScaleNormal="85" workbookViewId="0">
      <selection activeCell="H77" sqref="H7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7" ca="1" si="0">IF(B3="","",IF(A3="",NOW(),A3))</f>
        <v>46024.358183449098</v>
      </c>
      <c r="B3" s="5" t="s">
        <v>80</v>
      </c>
      <c r="C3" s="11">
        <v>0.35818287037037</v>
      </c>
      <c r="D3" s="11" t="s">
        <v>62</v>
      </c>
      <c r="E3" s="11">
        <v>0.50609953703703703</v>
      </c>
      <c r="F3" s="12">
        <f t="shared" ref="F3:F37" si="1">(IF(E3-C3&lt;0,"24:00"-C3+E3,E3-C3))*24</f>
        <v>3.5500000000000087</v>
      </c>
      <c r="G3" s="13">
        <f t="shared" ref="G3:G37" si="2">F3-H3</f>
        <v>3.5500000000000087</v>
      </c>
      <c r="H3" s="13">
        <f t="shared" ref="H3:H37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46024.624331712999</v>
      </c>
      <c r="B4" s="5" t="s">
        <v>78</v>
      </c>
      <c r="C4" s="11">
        <v>0.62432870370370397</v>
      </c>
      <c r="D4" s="11" t="s">
        <v>62</v>
      </c>
      <c r="E4" s="11">
        <v>0.75812500000000005</v>
      </c>
      <c r="F4" s="12">
        <f t="shared" si="1"/>
        <v>3.2111111111111059</v>
      </c>
      <c r="G4" s="13">
        <f t="shared" si="2"/>
        <v>3.2111111111111059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53.734444444444492</v>
      </c>
      <c r="K4" s="23">
        <f>SUMIF(B:B,"西塔台管制席",G:G)+SUMIF(B:B,"东塔台管制席",G:G)</f>
        <v>33.854444444444496</v>
      </c>
      <c r="L4" s="23">
        <f>SUMIF(B:B,"西塔台管制席",H:H)+SUMIF(B:B,"东塔台管制席",H:H)</f>
        <v>19.880000000000006</v>
      </c>
      <c r="M4" s="19"/>
    </row>
    <row r="5" spans="1:16" ht="18.75" x14ac:dyDescent="0.25">
      <c r="A5" s="10">
        <f t="shared" ca="1" si="0"/>
        <v>46024.874815509298</v>
      </c>
      <c r="B5" s="5" t="s">
        <v>80</v>
      </c>
      <c r="C5" s="11">
        <v>0.87481481481481504</v>
      </c>
      <c r="D5" s="11" t="s">
        <v>62</v>
      </c>
      <c r="E5" s="11">
        <v>0.96232638888888899</v>
      </c>
      <c r="F5" s="12">
        <f t="shared" si="1"/>
        <v>2.1002777777777748</v>
      </c>
      <c r="G5" s="13">
        <f t="shared" si="2"/>
        <v>2.1002777777777748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19.463611111111128</v>
      </c>
      <c r="K5" s="23">
        <f>SUMIF(B:B,"西塔台协调席",G:G)+SUMIF(B:B,"东塔台协调席",G:G)</f>
        <v>17.375833333333368</v>
      </c>
      <c r="L5" s="23">
        <f>SUMIF(B:B,"西塔台协调席",H:H)+SUMIF(B:B,"东塔台协调席",H:H)</f>
        <v>2.0877777777777604</v>
      </c>
      <c r="M5" s="19"/>
    </row>
    <row r="6" spans="1:16" ht="18.75" x14ac:dyDescent="0.25">
      <c r="A6" s="10">
        <f t="shared" ca="1" si="0"/>
        <v>46025.298072685197</v>
      </c>
      <c r="B6" s="5" t="s">
        <v>80</v>
      </c>
      <c r="C6" s="11">
        <v>0.29806712962963</v>
      </c>
      <c r="D6" s="11" t="s">
        <v>62</v>
      </c>
      <c r="E6" s="11">
        <v>0.42392361111111099</v>
      </c>
      <c r="F6" s="12">
        <f t="shared" si="1"/>
        <v>3.0205555555555437</v>
      </c>
      <c r="G6" s="13">
        <f t="shared" si="2"/>
        <v>2.1741666666666721</v>
      </c>
      <c r="H6" s="13">
        <f t="shared" si="3"/>
        <v>0.84638888888887154</v>
      </c>
      <c r="I6" s="21" t="s">
        <v>66</v>
      </c>
      <c r="J6" s="22">
        <f>SUMIF(B:B,"放行席",F:F)</f>
        <v>4.437499999999968</v>
      </c>
      <c r="K6" s="23">
        <f>SUMIF(B:B,"放行席",G:G)</f>
        <v>0</v>
      </c>
      <c r="L6" s="23">
        <f>SUMIF(B:B,"放行席",H:H)</f>
        <v>4.437499999999968</v>
      </c>
      <c r="M6" s="19"/>
    </row>
    <row r="7" spans="1:16" ht="18.75" x14ac:dyDescent="0.25">
      <c r="A7" s="10">
        <f t="shared" ca="1" si="0"/>
        <v>46025.501139930602</v>
      </c>
      <c r="B7" s="5" t="s">
        <v>78</v>
      </c>
      <c r="C7" s="11">
        <v>0.50113425925925903</v>
      </c>
      <c r="D7" s="11" t="s">
        <v>62</v>
      </c>
      <c r="E7" s="11">
        <v>0.630428240740741</v>
      </c>
      <c r="F7" s="12">
        <f t="shared" si="1"/>
        <v>3.1030555555555672</v>
      </c>
      <c r="G7" s="13">
        <f t="shared" si="2"/>
        <v>3.1030555555555672</v>
      </c>
      <c r="H7" s="13">
        <f t="shared" si="3"/>
        <v>0</v>
      </c>
      <c r="I7" s="21" t="s">
        <v>67</v>
      </c>
      <c r="J7" s="22">
        <f>SUMIF(B:B,"地面席",F:F)</f>
        <v>1.9763888888888883</v>
      </c>
      <c r="K7" s="23">
        <f>SUMIF(B:B,"地面席",G:G)</f>
        <v>0</v>
      </c>
      <c r="L7" s="23">
        <f>SUMIF(B:B,"地面席",H:H)</f>
        <v>1.9763888888888883</v>
      </c>
      <c r="M7" s="19"/>
    </row>
    <row r="8" spans="1:16" ht="18.75" x14ac:dyDescent="0.25">
      <c r="A8" s="10">
        <f t="shared" ca="1" si="0"/>
        <v>46025.749270023101</v>
      </c>
      <c r="B8" s="5" t="s">
        <v>80</v>
      </c>
      <c r="C8" s="11">
        <v>0.74925925925925896</v>
      </c>
      <c r="D8" s="11" t="s">
        <v>62</v>
      </c>
      <c r="E8" s="11">
        <v>0.83872685185185203</v>
      </c>
      <c r="F8" s="12">
        <f t="shared" si="1"/>
        <v>2.1472222222222337</v>
      </c>
      <c r="G8" s="13">
        <f t="shared" si="2"/>
        <v>2.1472222222222337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46028.375216088003</v>
      </c>
      <c r="B9" s="5" t="s">
        <v>82</v>
      </c>
      <c r="C9" s="11">
        <v>0.37312499999999998</v>
      </c>
      <c r="D9" s="11" t="s">
        <v>62</v>
      </c>
      <c r="E9" s="11">
        <v>0.501655092592593</v>
      </c>
      <c r="F9" s="12">
        <f t="shared" si="1"/>
        <v>3.0847222222222324</v>
      </c>
      <c r="G9" s="13">
        <f t="shared" si="2"/>
        <v>3.0847222222222324</v>
      </c>
      <c r="H9" s="13">
        <f t="shared" si="3"/>
        <v>0</v>
      </c>
      <c r="I9" s="21" t="s">
        <v>69</v>
      </c>
      <c r="J9" s="22">
        <f>SUMIF(B:B,"航班调度席",F:F)</f>
        <v>10.476666666666695</v>
      </c>
      <c r="K9" s="23">
        <f>SUMIF(B:B,"航班调度席",G:G)</f>
        <v>10.476666666666695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46028.604593402801</v>
      </c>
      <c r="B10" s="5" t="s">
        <v>82</v>
      </c>
      <c r="C10" s="11">
        <v>0.60319444444444403</v>
      </c>
      <c r="D10" s="11" t="s">
        <v>62</v>
      </c>
      <c r="E10" s="11">
        <v>0.74077546296296304</v>
      </c>
      <c r="F10" s="12">
        <f t="shared" si="1"/>
        <v>3.3019444444444561</v>
      </c>
      <c r="G10" s="13">
        <f t="shared" si="2"/>
        <v>3.3019444444444561</v>
      </c>
      <c r="H10" s="13">
        <f t="shared" si="3"/>
        <v>0</v>
      </c>
      <c r="I10" s="21" t="s">
        <v>70</v>
      </c>
      <c r="J10" s="22">
        <f>SUMIF(B:B,"综合协调席",F:F)</f>
        <v>4.1547222222221993</v>
      </c>
      <c r="K10" s="23">
        <f>SUMIF(B:B,"综合协调席",G:G)</f>
        <v>0</v>
      </c>
      <c r="L10" s="23">
        <f>SUMIF(B:B,"综合协调席",H:H)</f>
        <v>4.1547222222221993</v>
      </c>
      <c r="M10" s="19"/>
    </row>
    <row r="11" spans="1:16" ht="18.75" x14ac:dyDescent="0.25">
      <c r="A11" s="10">
        <f t="shared" ca="1" si="0"/>
        <v>46029.013215277802</v>
      </c>
      <c r="B11" s="5" t="s">
        <v>80</v>
      </c>
      <c r="C11" s="11">
        <v>1.3206018518518501E-2</v>
      </c>
      <c r="D11" s="11" t="s">
        <v>62</v>
      </c>
      <c r="E11" s="11">
        <v>0.14388888888888901</v>
      </c>
      <c r="F11" s="12">
        <f t="shared" si="1"/>
        <v>3.1363888888888924</v>
      </c>
      <c r="G11" s="13">
        <f t="shared" si="2"/>
        <v>0</v>
      </c>
      <c r="H11" s="13">
        <f t="shared" si="3"/>
        <v>3.1363888888888924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46029.958273148099</v>
      </c>
      <c r="B12" s="5" t="s">
        <v>81</v>
      </c>
      <c r="C12" s="11">
        <v>0.95826388888888903</v>
      </c>
      <c r="D12" s="11" t="s">
        <v>62</v>
      </c>
      <c r="E12" s="11">
        <v>0.14407407407407399</v>
      </c>
      <c r="F12" s="12">
        <f t="shared" si="1"/>
        <v>4.459444444444439</v>
      </c>
      <c r="G12" s="13">
        <f t="shared" si="2"/>
        <v>1.0016666666666634</v>
      </c>
      <c r="H12" s="13">
        <f t="shared" si="3"/>
        <v>3.4577777777777756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46032.874792939801</v>
      </c>
      <c r="B13" s="5" t="s">
        <v>81</v>
      </c>
      <c r="C13" s="11">
        <v>0.87479166666666697</v>
      </c>
      <c r="D13" s="11" t="s">
        <v>62</v>
      </c>
      <c r="E13" s="11">
        <v>0.96548611111111104</v>
      </c>
      <c r="F13" s="12">
        <f t="shared" si="1"/>
        <v>2.1766666666666579</v>
      </c>
      <c r="G13" s="13">
        <f t="shared" si="2"/>
        <v>2.1766666666666579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46033.138210648103</v>
      </c>
      <c r="B14" s="5" t="s">
        <v>80</v>
      </c>
      <c r="C14" s="11">
        <v>0.13820601851851899</v>
      </c>
      <c r="D14" s="11" t="s">
        <v>62</v>
      </c>
      <c r="E14" s="11">
        <v>0.30324074074074098</v>
      </c>
      <c r="F14" s="12">
        <f t="shared" si="1"/>
        <v>3.9608333333333277</v>
      </c>
      <c r="G14" s="13">
        <f t="shared" si="2"/>
        <v>0</v>
      </c>
      <c r="H14" s="13">
        <f t="shared" si="3"/>
        <v>3.9608333333333277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46034.131043634297</v>
      </c>
      <c r="B15" s="5" t="s">
        <v>84</v>
      </c>
      <c r="C15" s="11">
        <v>0.131041666666667</v>
      </c>
      <c r="D15" s="11" t="s">
        <v>62</v>
      </c>
      <c r="E15" s="11">
        <v>0.23064814814814799</v>
      </c>
      <c r="F15" s="12">
        <f t="shared" si="1"/>
        <v>2.3905555555555438</v>
      </c>
      <c r="G15" s="13">
        <f t="shared" si="2"/>
        <v>0</v>
      </c>
      <c r="H15" s="13">
        <f t="shared" si="3"/>
        <v>2.3905555555555438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46036.478204629602</v>
      </c>
      <c r="B16" s="5" t="s">
        <v>83</v>
      </c>
      <c r="C16" s="11">
        <v>0.47819444444444398</v>
      </c>
      <c r="D16" s="11" t="s">
        <v>62</v>
      </c>
      <c r="E16" s="11">
        <v>0.61049768518518499</v>
      </c>
      <c r="F16" s="12">
        <f t="shared" si="1"/>
        <v>3.1752777777777843</v>
      </c>
      <c r="G16" s="13">
        <f t="shared" si="2"/>
        <v>3.1752777777777843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46036.750910995397</v>
      </c>
      <c r="B17" s="5" t="s">
        <v>81</v>
      </c>
      <c r="C17" s="11">
        <v>0.75090277777777803</v>
      </c>
      <c r="D17" s="11" t="s">
        <v>62</v>
      </c>
      <c r="E17" s="11">
        <v>0.87978009259259304</v>
      </c>
      <c r="F17" s="12">
        <f t="shared" si="1"/>
        <v>3.0930555555555603</v>
      </c>
      <c r="G17" s="13">
        <f t="shared" si="2"/>
        <v>3.0930555555555603</v>
      </c>
      <c r="H17" s="13">
        <f t="shared" si="3"/>
        <v>0</v>
      </c>
      <c r="I17" s="35" t="s">
        <v>75</v>
      </c>
      <c r="J17" s="36">
        <f>J4+J5+J6+J7+J10</f>
        <v>83.76666666666668</v>
      </c>
      <c r="K17" s="37">
        <f>K4+K5+K6+K7+K10</f>
        <v>51.230277777777864</v>
      </c>
      <c r="L17" s="38">
        <f>L4+L5+L6+L7+L10</f>
        <v>32.536388888888823</v>
      </c>
      <c r="M17" s="39"/>
    </row>
    <row r="18" spans="1:13" ht="20.25" x14ac:dyDescent="0.25">
      <c r="A18" s="10">
        <f t="shared" ca="1" si="0"/>
        <v>46037.416331018503</v>
      </c>
      <c r="B18" s="5" t="s">
        <v>81</v>
      </c>
      <c r="C18" s="11">
        <v>0.416331018518519</v>
      </c>
      <c r="D18" s="11" t="s">
        <v>62</v>
      </c>
      <c r="E18" s="11">
        <v>0.54894675925925895</v>
      </c>
      <c r="F18" s="12">
        <f t="shared" si="1"/>
        <v>3.1827777777777588</v>
      </c>
      <c r="G18" s="13">
        <f t="shared" si="2"/>
        <v>3.1827777777777588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46037.666941319403</v>
      </c>
      <c r="B19" s="5" t="s">
        <v>83</v>
      </c>
      <c r="C19" s="11">
        <v>0.66693287037036997</v>
      </c>
      <c r="D19" s="11" t="s">
        <v>62</v>
      </c>
      <c r="E19" s="11">
        <v>0.797569444444444</v>
      </c>
      <c r="F19" s="12">
        <f t="shared" si="1"/>
        <v>3.1352777777777767</v>
      </c>
      <c r="G19" s="13">
        <f t="shared" si="2"/>
        <v>3.1352777777777767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46037.875243287002</v>
      </c>
      <c r="B20" s="5" t="s">
        <v>81</v>
      </c>
      <c r="C20" s="11">
        <v>0.87524305555555504</v>
      </c>
      <c r="D20" s="11" t="s">
        <v>62</v>
      </c>
      <c r="E20" s="11">
        <v>0.96250000000000002</v>
      </c>
      <c r="F20" s="12">
        <f t="shared" si="1"/>
        <v>2.0941666666666796</v>
      </c>
      <c r="G20" s="13">
        <f t="shared" si="2"/>
        <v>2.0941666666666796</v>
      </c>
      <c r="H20" s="13">
        <f t="shared" si="3"/>
        <v>0</v>
      </c>
      <c r="I20" s="40" t="s">
        <v>77</v>
      </c>
      <c r="J20" s="65">
        <f>J16+J17+J18+J19</f>
        <v>83.76666666666668</v>
      </c>
      <c r="K20" s="66"/>
      <c r="L20" s="67"/>
      <c r="M20" s="41"/>
    </row>
    <row r="21" spans="1:13" ht="20.25" x14ac:dyDescent="0.25">
      <c r="A21" s="10">
        <f t="shared" ca="1" si="0"/>
        <v>46038.298631712998</v>
      </c>
      <c r="B21" s="5" t="s">
        <v>81</v>
      </c>
      <c r="C21" s="11">
        <v>0.29862268518518498</v>
      </c>
      <c r="D21" s="11" t="s">
        <v>62</v>
      </c>
      <c r="E21" s="11">
        <v>0.34841435185185199</v>
      </c>
      <c r="F21" s="12">
        <f t="shared" si="1"/>
        <v>1.1950000000000083</v>
      </c>
      <c r="G21" s="13">
        <f t="shared" si="2"/>
        <v>0.36194444444445617</v>
      </c>
      <c r="H21" s="13">
        <f t="shared" si="3"/>
        <v>0.83305555555555211</v>
      </c>
      <c r="I21" s="42" t="s">
        <v>4</v>
      </c>
      <c r="J21" s="43">
        <f>SUM(J8:J9)</f>
        <v>10.476666666666695</v>
      </c>
      <c r="K21" s="37">
        <f>SUM(K8:K9)</f>
        <v>10.476666666666695</v>
      </c>
      <c r="L21" s="38">
        <f>SUM(L8:L9)</f>
        <v>0</v>
      </c>
      <c r="M21" s="44"/>
    </row>
    <row r="22" spans="1:13" ht="18.75" x14ac:dyDescent="0.15">
      <c r="A22" s="10">
        <f t="shared" ca="1" si="0"/>
        <v>46038.348444560201</v>
      </c>
      <c r="B22" s="5" t="s">
        <v>78</v>
      </c>
      <c r="C22" s="11">
        <v>0.34843750000000001</v>
      </c>
      <c r="D22" s="11" t="s">
        <v>62</v>
      </c>
      <c r="E22" s="11">
        <v>0.36461805555555599</v>
      </c>
      <c r="F22" s="12">
        <f t="shared" si="1"/>
        <v>0.38833333333334341</v>
      </c>
      <c r="G22" s="13">
        <f t="shared" si="2"/>
        <v>0.38833333333334341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46042.041092939799</v>
      </c>
      <c r="B23" s="5" t="s">
        <v>86</v>
      </c>
      <c r="C23" s="11">
        <v>4.1087962962963E-2</v>
      </c>
      <c r="D23" s="11" t="s">
        <v>62</v>
      </c>
      <c r="E23" s="11">
        <v>0.176550925925926</v>
      </c>
      <c r="F23" s="12">
        <f t="shared" si="1"/>
        <v>3.2511111111111122</v>
      </c>
      <c r="G23" s="13">
        <f t="shared" si="2"/>
        <v>0</v>
      </c>
      <c r="H23" s="13">
        <f t="shared" si="3"/>
        <v>3.2511111111111122</v>
      </c>
      <c r="I23"/>
      <c r="J23"/>
    </row>
    <row r="24" spans="1:13" ht="18.75" x14ac:dyDescent="0.15">
      <c r="A24" s="10">
        <f t="shared" ca="1" si="0"/>
        <v>46042.264622222203</v>
      </c>
      <c r="B24" s="5" t="s">
        <v>86</v>
      </c>
      <c r="C24" s="11">
        <v>0.26461805555555601</v>
      </c>
      <c r="D24" s="11" t="s">
        <v>62</v>
      </c>
      <c r="E24" s="11">
        <v>0.30226851851851799</v>
      </c>
      <c r="F24" s="12">
        <f t="shared" si="1"/>
        <v>0.90361111111108761</v>
      </c>
      <c r="G24" s="13">
        <f t="shared" si="2"/>
        <v>0</v>
      </c>
      <c r="H24" s="13">
        <f t="shared" si="3"/>
        <v>0.90361111111108761</v>
      </c>
      <c r="I24"/>
      <c r="J24"/>
    </row>
    <row r="25" spans="1:13" ht="18.75" x14ac:dyDescent="0.15">
      <c r="A25" s="10">
        <f t="shared" ca="1" si="0"/>
        <v>46045.138358217599</v>
      </c>
      <c r="B25" s="5" t="s">
        <v>81</v>
      </c>
      <c r="C25" s="11">
        <v>0.138356481481481</v>
      </c>
      <c r="D25" s="11" t="s">
        <v>62</v>
      </c>
      <c r="E25" s="11">
        <v>0.304456018518519</v>
      </c>
      <c r="F25" s="12">
        <f t="shared" si="1"/>
        <v>3.9863888888889121</v>
      </c>
      <c r="G25" s="13">
        <f t="shared" si="2"/>
        <v>0</v>
      </c>
      <c r="H25" s="13">
        <f t="shared" si="3"/>
        <v>3.9863888888889121</v>
      </c>
      <c r="I25"/>
      <c r="J25"/>
    </row>
    <row r="26" spans="1:13" ht="18.75" x14ac:dyDescent="0.15">
      <c r="A26" s="10">
        <f t="shared" ca="1" si="0"/>
        <v>46046.131331481498</v>
      </c>
      <c r="B26" s="5" t="s">
        <v>84</v>
      </c>
      <c r="C26" s="11">
        <v>0.131331018518519</v>
      </c>
      <c r="D26" s="11" t="s">
        <v>62</v>
      </c>
      <c r="E26" s="11">
        <v>0.21662037037036999</v>
      </c>
      <c r="F26" s="12">
        <f t="shared" si="1"/>
        <v>2.0469444444444238</v>
      </c>
      <c r="G26" s="13">
        <f t="shared" si="2"/>
        <v>0</v>
      </c>
      <c r="H26" s="13">
        <f t="shared" si="3"/>
        <v>2.0469444444444238</v>
      </c>
      <c r="I26"/>
      <c r="J26"/>
    </row>
    <row r="27" spans="1:13" ht="18.75" x14ac:dyDescent="0.15">
      <c r="A27" s="10">
        <f t="shared" ca="1" si="0"/>
        <v>46046.216659837999</v>
      </c>
      <c r="B27" s="5" t="s">
        <v>83</v>
      </c>
      <c r="C27" s="11">
        <v>0.216655092592593</v>
      </c>
      <c r="D27" s="11" t="s">
        <v>62</v>
      </c>
      <c r="E27" s="11">
        <v>0.303645833333333</v>
      </c>
      <c r="F27" s="12">
        <f t="shared" si="1"/>
        <v>2.0877777777777604</v>
      </c>
      <c r="G27" s="13">
        <f t="shared" si="2"/>
        <v>0</v>
      </c>
      <c r="H27" s="13">
        <f t="shared" si="3"/>
        <v>2.0877777777777604</v>
      </c>
      <c r="I27"/>
      <c r="J27"/>
    </row>
    <row r="28" spans="1:13" ht="18.75" x14ac:dyDescent="0.15">
      <c r="A28" s="10">
        <f t="shared" ca="1" si="0"/>
        <v>46048.3571773148</v>
      </c>
      <c r="B28" s="5" t="s">
        <v>81</v>
      </c>
      <c r="C28" s="11">
        <v>0.35717592592592601</v>
      </c>
      <c r="D28" s="11" t="s">
        <v>62</v>
      </c>
      <c r="E28" s="11">
        <v>0.50587962962962996</v>
      </c>
      <c r="F28" s="12">
        <f t="shared" si="1"/>
        <v>3.5688888888888948</v>
      </c>
      <c r="G28" s="13">
        <f t="shared" si="2"/>
        <v>3.5688888888888948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46048.624393749997</v>
      </c>
      <c r="B29" s="5" t="s">
        <v>83</v>
      </c>
      <c r="C29" s="11">
        <v>0.62438657407407405</v>
      </c>
      <c r="D29" s="11" t="s">
        <v>62</v>
      </c>
      <c r="E29" s="11">
        <v>0.75559027777777799</v>
      </c>
      <c r="F29" s="12">
        <f t="shared" si="1"/>
        <v>3.1488888888888944</v>
      </c>
      <c r="G29" s="13">
        <f t="shared" si="2"/>
        <v>3.1488888888888944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46048.874584259298</v>
      </c>
      <c r="B30" s="5" t="s">
        <v>81</v>
      </c>
      <c r="C30" s="11">
        <v>0.87458333333333305</v>
      </c>
      <c r="D30" s="11" t="s">
        <v>62</v>
      </c>
      <c r="E30" s="11">
        <v>0.96311342592592597</v>
      </c>
      <c r="F30" s="12">
        <f t="shared" si="1"/>
        <v>2.1247222222222302</v>
      </c>
      <c r="G30" s="13">
        <f t="shared" si="2"/>
        <v>2.1247222222222302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46049.2989809028</v>
      </c>
      <c r="B31" s="5" t="s">
        <v>81</v>
      </c>
      <c r="C31" s="11">
        <v>0.29896990740740698</v>
      </c>
      <c r="D31" s="11" t="s">
        <v>62</v>
      </c>
      <c r="E31" s="11">
        <v>0.42150462962962998</v>
      </c>
      <c r="F31" s="12">
        <f t="shared" si="1"/>
        <v>2.9408333333333521</v>
      </c>
      <c r="G31" s="13">
        <f t="shared" si="2"/>
        <v>2.1161111111111279</v>
      </c>
      <c r="H31" s="13">
        <f t="shared" si="3"/>
        <v>0.82472222222222413</v>
      </c>
      <c r="I31"/>
      <c r="J31"/>
    </row>
    <row r="32" spans="1:13" ht="18.75" x14ac:dyDescent="0.15">
      <c r="A32" s="10">
        <f t="shared" ca="1" si="0"/>
        <v>46049.499045833298</v>
      </c>
      <c r="B32" s="5" t="s">
        <v>81</v>
      </c>
      <c r="C32" s="11">
        <v>0.499039351851852</v>
      </c>
      <c r="D32" s="11" t="s">
        <v>62</v>
      </c>
      <c r="E32" s="11">
        <v>0.63047453703703704</v>
      </c>
      <c r="F32" s="12">
        <f t="shared" si="1"/>
        <v>3.1544444444444411</v>
      </c>
      <c r="G32" s="13">
        <f t="shared" si="2"/>
        <v>3.1544444444444411</v>
      </c>
      <c r="H32" s="13">
        <f t="shared" si="3"/>
        <v>0</v>
      </c>
      <c r="I32"/>
      <c r="J32"/>
    </row>
    <row r="33" spans="1:10" ht="18.75" x14ac:dyDescent="0.15">
      <c r="A33" s="10">
        <f t="shared" ca="1" si="0"/>
        <v>46050.138957986099</v>
      </c>
      <c r="B33" s="5" t="s">
        <v>79</v>
      </c>
      <c r="C33" s="11">
        <v>0.13895833333333299</v>
      </c>
      <c r="D33" s="11" t="s">
        <v>62</v>
      </c>
      <c r="E33" s="11">
        <v>0.22130787037037</v>
      </c>
      <c r="F33" s="12">
        <f t="shared" si="1"/>
        <v>1.9763888888888883</v>
      </c>
      <c r="G33" s="13">
        <f t="shared" si="2"/>
        <v>0</v>
      </c>
      <c r="H33" s="13">
        <f t="shared" si="3"/>
        <v>1.9763888888888883</v>
      </c>
      <c r="I33"/>
      <c r="J33"/>
    </row>
    <row r="34" spans="1:10" ht="18.75" x14ac:dyDescent="0.15">
      <c r="A34" s="10">
        <f t="shared" ca="1" si="0"/>
        <v>46052.957987037</v>
      </c>
      <c r="B34" s="5" t="s">
        <v>81</v>
      </c>
      <c r="C34" s="11">
        <v>0.95798611111111098</v>
      </c>
      <c r="D34" s="11" t="s">
        <v>62</v>
      </c>
      <c r="E34" s="11">
        <v>0.118101851851852</v>
      </c>
      <c r="F34" s="12">
        <f t="shared" si="1"/>
        <v>3.8427777777777847</v>
      </c>
      <c r="G34" s="13">
        <f t="shared" si="2"/>
        <v>1.0083333333333369</v>
      </c>
      <c r="H34" s="13">
        <f t="shared" si="3"/>
        <v>2.8344444444444479</v>
      </c>
      <c r="I34"/>
      <c r="J34"/>
    </row>
    <row r="35" spans="1:10" ht="18.75" x14ac:dyDescent="0.15">
      <c r="A35" s="10">
        <f t="shared" ca="1" si="0"/>
        <v>46053.497856249996</v>
      </c>
      <c r="B35" s="5" t="s">
        <v>82</v>
      </c>
      <c r="C35" s="11">
        <v>0.497847222222222</v>
      </c>
      <c r="D35" s="11" t="s">
        <v>62</v>
      </c>
      <c r="E35" s="11">
        <v>0.62417824074074102</v>
      </c>
      <c r="F35" s="12">
        <f t="shared" si="1"/>
        <v>3.0319444444444565</v>
      </c>
      <c r="G35" s="13">
        <f t="shared" si="2"/>
        <v>3.0319444444444565</v>
      </c>
      <c r="H35" s="13">
        <f t="shared" si="3"/>
        <v>0</v>
      </c>
      <c r="I35"/>
      <c r="J35"/>
    </row>
    <row r="36" spans="1:10" ht="18.75" x14ac:dyDescent="0.15">
      <c r="A36" s="10">
        <f t="shared" ca="1" si="0"/>
        <v>46053.624213888899</v>
      </c>
      <c r="B36" s="5" t="s">
        <v>83</v>
      </c>
      <c r="C36" s="11">
        <v>0.62421296296296302</v>
      </c>
      <c r="D36" s="11" t="s">
        <v>62</v>
      </c>
      <c r="E36" s="11">
        <v>0.67479166666666701</v>
      </c>
      <c r="F36" s="12">
        <f t="shared" si="1"/>
        <v>1.2138888888888957</v>
      </c>
      <c r="G36" s="13">
        <f t="shared" si="2"/>
        <v>1.2138888888888957</v>
      </c>
      <c r="H36" s="13">
        <f t="shared" si="3"/>
        <v>0</v>
      </c>
      <c r="I36"/>
      <c r="J36"/>
    </row>
    <row r="37" spans="1:10" ht="18.75" x14ac:dyDescent="0.15">
      <c r="A37" s="10">
        <f t="shared" ca="1" si="0"/>
        <v>46053.674833217599</v>
      </c>
      <c r="B37" s="5" t="s">
        <v>82</v>
      </c>
      <c r="C37" s="11">
        <v>0.67482638888888902</v>
      </c>
      <c r="D37" s="11" t="s">
        <v>62</v>
      </c>
      <c r="E37" s="11">
        <v>0.71891203703703699</v>
      </c>
      <c r="F37" s="12">
        <f t="shared" si="1"/>
        <v>1.0580555555555513</v>
      </c>
      <c r="G37" s="13">
        <f t="shared" si="2"/>
        <v>1.0580555555555513</v>
      </c>
      <c r="H37" s="13">
        <f t="shared" si="3"/>
        <v>0</v>
      </c>
      <c r="I37"/>
      <c r="J37"/>
    </row>
  </sheetData>
  <autoFilter ref="A2:K37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7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9"/>
  <sheetViews>
    <sheetView zoomScale="85" zoomScaleNormal="85" workbookViewId="0">
      <selection activeCell="F41" sqref="F4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9" ca="1" si="0">IF(B3="","",IF(A3="",NOW(),A3))</f>
        <v>46023.013795717598</v>
      </c>
      <c r="B3" s="5" t="s">
        <v>80</v>
      </c>
      <c r="C3" s="11">
        <v>1.37847222222222E-2</v>
      </c>
      <c r="D3" s="11" t="s">
        <v>62</v>
      </c>
      <c r="E3" s="11">
        <v>0.147013888888889</v>
      </c>
      <c r="F3" s="12">
        <f t="shared" ref="F3:F29" si="1">(IF(E3-C3&lt;0,"24:00"-C3+E3,E3-C3))*24</f>
        <v>3.1975000000000029</v>
      </c>
      <c r="G3" s="13">
        <f t="shared" ref="G3:G29" si="2">F3-H3</f>
        <v>0</v>
      </c>
      <c r="H3" s="13">
        <f t="shared" ref="H3:H29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3.1975000000000029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46024.137117361097</v>
      </c>
      <c r="B4" s="5" t="s">
        <v>79</v>
      </c>
      <c r="C4" s="11">
        <v>0.137106481481481</v>
      </c>
      <c r="D4" s="11" t="s">
        <v>62</v>
      </c>
      <c r="E4" s="11">
        <v>0.20888888888888901</v>
      </c>
      <c r="F4" s="12">
        <f t="shared" si="1"/>
        <v>1.7227777777777924</v>
      </c>
      <c r="G4" s="13">
        <f t="shared" si="2"/>
        <v>0</v>
      </c>
      <c r="H4" s="13">
        <f t="shared" si="3"/>
        <v>1.7227777777777924</v>
      </c>
      <c r="I4" s="21" t="s">
        <v>64</v>
      </c>
      <c r="J4" s="22">
        <f>SUMIF(B:B,"西塔台管制席",F:F)+SUMIF(B:B,"东塔台管制席",F:F)</f>
        <v>47.394444444444389</v>
      </c>
      <c r="K4" s="23">
        <f>SUMIF(B:B,"西塔台管制席",G:G)+SUMIF(B:B,"东塔台管制席",G:G)</f>
        <v>28.272222222222169</v>
      </c>
      <c r="L4" s="23">
        <f>SUMIF(B:B,"西塔台管制席",H:H)+SUMIF(B:B,"东塔台管制席",H:H)</f>
        <v>19.12222222222222</v>
      </c>
      <c r="M4" s="19"/>
    </row>
    <row r="5" spans="1:16" ht="18.75" x14ac:dyDescent="0.25">
      <c r="A5" s="10">
        <f t="shared" ca="1" si="0"/>
        <v>46024.2089358796</v>
      </c>
      <c r="B5" s="5" t="s">
        <v>78</v>
      </c>
      <c r="C5" s="11">
        <v>0.208935185185185</v>
      </c>
      <c r="D5" s="11" t="s">
        <v>62</v>
      </c>
      <c r="E5" s="11">
        <v>0.29965277777777799</v>
      </c>
      <c r="F5" s="12">
        <f t="shared" si="1"/>
        <v>2.1772222222222317</v>
      </c>
      <c r="G5" s="13">
        <f t="shared" si="2"/>
        <v>0</v>
      </c>
      <c r="H5" s="13">
        <f t="shared" si="3"/>
        <v>2.1772222222222317</v>
      </c>
      <c r="I5" s="21" t="s">
        <v>65</v>
      </c>
      <c r="J5" s="22">
        <f>SUMIF(B:B,"西塔台协调席",F:F)+SUMIF(B:B,"东塔台协调席",F:F)</f>
        <v>17.157222222222217</v>
      </c>
      <c r="K5" s="23">
        <f>SUMIF(B:B,"西塔台协调席",G:G)+SUMIF(B:B,"东塔台协调席",G:G)</f>
        <v>7.223611111111083</v>
      </c>
      <c r="L5" s="23">
        <f>SUMIF(B:B,"西塔台协调席",H:H)+SUMIF(B:B,"东塔台协调席",H:H)</f>
        <v>9.9336111111111336</v>
      </c>
      <c r="M5" s="19"/>
    </row>
    <row r="6" spans="1:16" ht="18.75" x14ac:dyDescent="0.25">
      <c r="A6" s="10">
        <f t="shared" ca="1" si="0"/>
        <v>46027.013281365696</v>
      </c>
      <c r="B6" s="5" t="s">
        <v>81</v>
      </c>
      <c r="C6" s="11">
        <v>1.3275462962962999E-2</v>
      </c>
      <c r="D6" s="11" t="s">
        <v>62</v>
      </c>
      <c r="E6" s="11">
        <v>0.14336805555555601</v>
      </c>
      <c r="F6" s="12">
        <f t="shared" si="1"/>
        <v>3.1222222222222324</v>
      </c>
      <c r="G6" s="13">
        <f t="shared" si="2"/>
        <v>0</v>
      </c>
      <c r="H6" s="13">
        <f t="shared" si="3"/>
        <v>3.1222222222222324</v>
      </c>
      <c r="I6" s="21" t="s">
        <v>66</v>
      </c>
      <c r="J6" s="22">
        <f>SUMIF(B:B,"放行席",F:F)</f>
        <v>1.9508333333333279</v>
      </c>
      <c r="K6" s="23">
        <f>SUMIF(B:B,"放行席",G:G)</f>
        <v>0</v>
      </c>
      <c r="L6" s="23">
        <f>SUMIF(B:B,"放行席",H:H)</f>
        <v>1.9508333333333279</v>
      </c>
      <c r="M6" s="19"/>
    </row>
    <row r="7" spans="1:16" ht="18.75" x14ac:dyDescent="0.25">
      <c r="A7" s="10">
        <f t="shared" ca="1" si="0"/>
        <v>46027.950476388898</v>
      </c>
      <c r="B7" s="5" t="s">
        <v>83</v>
      </c>
      <c r="C7" s="11">
        <v>0.95047453703703699</v>
      </c>
      <c r="D7" s="11" t="s">
        <v>62</v>
      </c>
      <c r="E7" s="11">
        <v>0.118344907407407</v>
      </c>
      <c r="F7" s="12">
        <f t="shared" si="1"/>
        <v>4.0288888888888801</v>
      </c>
      <c r="G7" s="13">
        <f t="shared" si="2"/>
        <v>1.1886111111111122</v>
      </c>
      <c r="H7" s="13">
        <f t="shared" si="3"/>
        <v>2.8402777777777679</v>
      </c>
      <c r="I7" s="21" t="s">
        <v>67</v>
      </c>
      <c r="J7" s="22">
        <f>SUMIF(B:B,"地面席",F:F)</f>
        <v>5.4244444444444557</v>
      </c>
      <c r="K7" s="23">
        <f>SUMIF(B:B,"地面席",G:G)</f>
        <v>0</v>
      </c>
      <c r="L7" s="23">
        <f>SUMIF(B:B,"地面席",H:H)</f>
        <v>5.4244444444444557</v>
      </c>
      <c r="M7" s="19"/>
    </row>
    <row r="8" spans="1:16" ht="18.75" x14ac:dyDescent="0.25">
      <c r="A8" s="10">
        <f t="shared" ca="1" si="0"/>
        <v>46030.497305787001</v>
      </c>
      <c r="B8" s="5" t="s">
        <v>78</v>
      </c>
      <c r="C8" s="11">
        <v>0.497303240740741</v>
      </c>
      <c r="D8" s="11" t="s">
        <v>62</v>
      </c>
      <c r="E8" s="11">
        <v>0.65380787037037003</v>
      </c>
      <c r="F8" s="12">
        <f t="shared" si="1"/>
        <v>3.7561111111110965</v>
      </c>
      <c r="G8" s="13">
        <f t="shared" si="2"/>
        <v>3.7561111111110965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46030.769838078697</v>
      </c>
      <c r="B9" s="5" t="s">
        <v>80</v>
      </c>
      <c r="C9" s="11">
        <v>0.76983796296296303</v>
      </c>
      <c r="D9" s="11" t="s">
        <v>62</v>
      </c>
      <c r="E9" s="11">
        <v>0.902673611111111</v>
      </c>
      <c r="F9" s="12">
        <f t="shared" si="1"/>
        <v>3.1880555555555512</v>
      </c>
      <c r="G9" s="13">
        <f t="shared" si="2"/>
        <v>3.1880555555555512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46031.415710763897</v>
      </c>
      <c r="B10" s="5" t="s">
        <v>81</v>
      </c>
      <c r="C10" s="11">
        <v>0.41570601851851902</v>
      </c>
      <c r="D10" s="11" t="s">
        <v>62</v>
      </c>
      <c r="E10" s="11">
        <v>0.50736111111111104</v>
      </c>
      <c r="F10" s="12">
        <f t="shared" si="1"/>
        <v>2.1997222222222086</v>
      </c>
      <c r="G10" s="13">
        <f t="shared" si="2"/>
        <v>2.1997222222222086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46031.6458391204</v>
      </c>
      <c r="B11" s="5" t="s">
        <v>81</v>
      </c>
      <c r="C11" s="11">
        <v>0.64583333333333304</v>
      </c>
      <c r="D11" s="11" t="s">
        <v>62</v>
      </c>
      <c r="E11" s="11">
        <v>0.78328703703703695</v>
      </c>
      <c r="F11" s="12">
        <f t="shared" si="1"/>
        <v>3.2988888888888939</v>
      </c>
      <c r="G11" s="13">
        <f t="shared" si="2"/>
        <v>3.2988888888888939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46031.833926736101</v>
      </c>
      <c r="B12" s="5" t="s">
        <v>81</v>
      </c>
      <c r="C12" s="11">
        <v>0.83392361111111102</v>
      </c>
      <c r="D12" s="11" t="s">
        <v>62</v>
      </c>
      <c r="E12" s="11">
        <v>0.95751157407407395</v>
      </c>
      <c r="F12" s="12">
        <f t="shared" si="1"/>
        <v>2.9661111111111103</v>
      </c>
      <c r="G12" s="13">
        <f t="shared" si="2"/>
        <v>2.9661111111111103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46032.293698958303</v>
      </c>
      <c r="B13" s="5" t="s">
        <v>83</v>
      </c>
      <c r="C13" s="11">
        <v>0.29375000000000001</v>
      </c>
      <c r="D13" s="11" t="s">
        <v>62</v>
      </c>
      <c r="E13" s="11">
        <v>0.365069444444444</v>
      </c>
      <c r="F13" s="12">
        <f t="shared" si="1"/>
        <v>1.7116666666666558</v>
      </c>
      <c r="G13" s="13">
        <f t="shared" si="2"/>
        <v>0.76166666666666449</v>
      </c>
      <c r="H13" s="13">
        <f t="shared" si="3"/>
        <v>0.9499999999999913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46034.950201620399</v>
      </c>
      <c r="B14" s="5" t="s">
        <v>81</v>
      </c>
      <c r="C14" s="11">
        <v>0.95019675925925895</v>
      </c>
      <c r="D14" s="11" t="s">
        <v>62</v>
      </c>
      <c r="E14" s="11">
        <v>0.106365740740741</v>
      </c>
      <c r="F14" s="12">
        <f t="shared" si="1"/>
        <v>3.7480555555555695</v>
      </c>
      <c r="G14" s="13">
        <f t="shared" si="2"/>
        <v>1.1952777777777857</v>
      </c>
      <c r="H14" s="13">
        <f t="shared" si="3"/>
        <v>2.5527777777777838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46036.139508449101</v>
      </c>
      <c r="B15" s="5" t="s">
        <v>79</v>
      </c>
      <c r="C15" s="11">
        <v>0.13950231481481501</v>
      </c>
      <c r="D15" s="11" t="s">
        <v>62</v>
      </c>
      <c r="E15" s="11">
        <v>0.21902777777777799</v>
      </c>
      <c r="F15" s="12">
        <f t="shared" si="1"/>
        <v>1.9086111111111115</v>
      </c>
      <c r="G15" s="13">
        <f t="shared" si="2"/>
        <v>0</v>
      </c>
      <c r="H15" s="13">
        <f t="shared" si="3"/>
        <v>1.9086111111111115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46039.137278935203</v>
      </c>
      <c r="B16" s="5" t="s">
        <v>79</v>
      </c>
      <c r="C16" s="11">
        <v>0.13726851851851901</v>
      </c>
      <c r="D16" s="11" t="s">
        <v>62</v>
      </c>
      <c r="E16" s="11">
        <v>0.211979166666667</v>
      </c>
      <c r="F16" s="12">
        <f t="shared" si="1"/>
        <v>1.7930555555555516</v>
      </c>
      <c r="G16" s="13">
        <f t="shared" si="2"/>
        <v>0</v>
      </c>
      <c r="H16" s="13">
        <f t="shared" si="3"/>
        <v>1.7930555555555516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46039.215543286999</v>
      </c>
      <c r="B17" s="5" t="s">
        <v>83</v>
      </c>
      <c r="C17" s="11">
        <v>0.21553240740740701</v>
      </c>
      <c r="D17" s="11" t="s">
        <v>62</v>
      </c>
      <c r="E17" s="11">
        <v>0.29931712962962997</v>
      </c>
      <c r="F17" s="12">
        <f t="shared" si="1"/>
        <v>2.010833333333351</v>
      </c>
      <c r="G17" s="13">
        <f t="shared" si="2"/>
        <v>0</v>
      </c>
      <c r="H17" s="13">
        <f t="shared" si="3"/>
        <v>2.010833333333351</v>
      </c>
      <c r="I17" s="35" t="s">
        <v>75</v>
      </c>
      <c r="J17" s="36">
        <f>J4+J5+J6+J7+J10</f>
        <v>71.926944444444388</v>
      </c>
      <c r="K17" s="37">
        <f>K4+K5+K6+K7+K10</f>
        <v>35.495833333333252</v>
      </c>
      <c r="L17" s="38">
        <f>L4+L5+L6+L7+L10</f>
        <v>36.431111111111136</v>
      </c>
      <c r="M17" s="39"/>
    </row>
    <row r="18" spans="1:13" ht="20.25" x14ac:dyDescent="0.25">
      <c r="A18" s="10">
        <f t="shared" ca="1" si="0"/>
        <v>46040.014098495398</v>
      </c>
      <c r="B18" s="5" t="s">
        <v>80</v>
      </c>
      <c r="C18" s="11">
        <v>1.40972222222222E-2</v>
      </c>
      <c r="D18" s="11" t="s">
        <v>62</v>
      </c>
      <c r="E18" s="11">
        <v>0.147395833333333</v>
      </c>
      <c r="F18" s="12">
        <f t="shared" si="1"/>
        <v>3.1991666666666592</v>
      </c>
      <c r="G18" s="13">
        <f t="shared" si="2"/>
        <v>0</v>
      </c>
      <c r="H18" s="13">
        <f t="shared" si="3"/>
        <v>3.1991666666666592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46042.357082870403</v>
      </c>
      <c r="B19" s="5" t="s">
        <v>80</v>
      </c>
      <c r="C19" s="11">
        <v>0.35708333333333298</v>
      </c>
      <c r="D19" s="11" t="s">
        <v>62</v>
      </c>
      <c r="E19" s="11">
        <v>0.52878472222222195</v>
      </c>
      <c r="F19" s="12">
        <f t="shared" si="1"/>
        <v>4.1208333333333353</v>
      </c>
      <c r="G19" s="13">
        <f t="shared" si="2"/>
        <v>4.1208333333333353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46042.644651157403</v>
      </c>
      <c r="B20" s="5" t="s">
        <v>80</v>
      </c>
      <c r="C20" s="11">
        <v>0.64464120370370404</v>
      </c>
      <c r="D20" s="11" t="s">
        <v>62</v>
      </c>
      <c r="E20" s="11">
        <v>0.69284722222222195</v>
      </c>
      <c r="F20" s="12">
        <f t="shared" si="1"/>
        <v>1.1569444444444299</v>
      </c>
      <c r="G20" s="13">
        <f t="shared" si="2"/>
        <v>1.1569444444444299</v>
      </c>
      <c r="H20" s="13">
        <f t="shared" si="3"/>
        <v>0</v>
      </c>
      <c r="I20" s="40" t="s">
        <v>77</v>
      </c>
      <c r="J20" s="65">
        <f>J16+J17+J18+J19</f>
        <v>71.926944444444388</v>
      </c>
      <c r="K20" s="66"/>
      <c r="L20" s="67"/>
      <c r="M20" s="41"/>
    </row>
    <row r="21" spans="1:13" ht="20.25" x14ac:dyDescent="0.25">
      <c r="A21" s="10">
        <f t="shared" ca="1" si="0"/>
        <v>46042.692906249998</v>
      </c>
      <c r="B21" s="5" t="s">
        <v>81</v>
      </c>
      <c r="C21" s="11">
        <v>0.69290509259259303</v>
      </c>
      <c r="D21" s="11" t="s">
        <v>62</v>
      </c>
      <c r="E21" s="11">
        <v>0.77755787037037005</v>
      </c>
      <c r="F21" s="12">
        <f t="shared" si="1"/>
        <v>2.0316666666666485</v>
      </c>
      <c r="G21" s="13">
        <f t="shared" si="2"/>
        <v>2.0316666666666485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46042.895454282399</v>
      </c>
      <c r="B22" s="5" t="s">
        <v>83</v>
      </c>
      <c r="C22" s="11">
        <v>0.89545138888888898</v>
      </c>
      <c r="D22" s="11" t="s">
        <v>62</v>
      </c>
      <c r="E22" s="11">
        <v>0.95866898148148105</v>
      </c>
      <c r="F22" s="12">
        <f t="shared" si="1"/>
        <v>1.5172222222222098</v>
      </c>
      <c r="G22" s="13">
        <f t="shared" si="2"/>
        <v>1.5172222222222098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46043.294800000003</v>
      </c>
      <c r="B23" s="5" t="s">
        <v>81</v>
      </c>
      <c r="C23" s="11">
        <v>0.29479166666666701</v>
      </c>
      <c r="D23" s="11" t="s">
        <v>62</v>
      </c>
      <c r="E23" s="11">
        <v>0.42315972222222198</v>
      </c>
      <c r="F23" s="12">
        <f t="shared" si="1"/>
        <v>3.0808333333333193</v>
      </c>
      <c r="G23" s="13">
        <f t="shared" si="2"/>
        <v>2.1558333333333359</v>
      </c>
      <c r="H23" s="13">
        <f t="shared" si="3"/>
        <v>0.92499999999998339</v>
      </c>
      <c r="I23"/>
      <c r="J23"/>
    </row>
    <row r="24" spans="1:13" ht="18.75" x14ac:dyDescent="0.15">
      <c r="A24" s="10">
        <f t="shared" ca="1" si="0"/>
        <v>46043.524353356501</v>
      </c>
      <c r="B24" s="5" t="s">
        <v>81</v>
      </c>
      <c r="C24" s="11">
        <v>0.52435185185185196</v>
      </c>
      <c r="D24" s="11" t="s">
        <v>62</v>
      </c>
      <c r="E24" s="11">
        <v>0.65263888888888899</v>
      </c>
      <c r="F24" s="12">
        <f t="shared" si="1"/>
        <v>3.0788888888888888</v>
      </c>
      <c r="G24" s="13">
        <f t="shared" si="2"/>
        <v>3.0788888888888888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46043.770089351798</v>
      </c>
      <c r="B25" s="5" t="s">
        <v>81</v>
      </c>
      <c r="C25" s="11">
        <v>0.77008101851851896</v>
      </c>
      <c r="D25" s="11" t="s">
        <v>62</v>
      </c>
      <c r="E25" s="11">
        <v>0.84177083333333302</v>
      </c>
      <c r="F25" s="12">
        <f t="shared" si="1"/>
        <v>1.7205555555555376</v>
      </c>
      <c r="G25" s="13">
        <f t="shared" si="2"/>
        <v>1.7205555555555376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46048.137041435199</v>
      </c>
      <c r="B26" s="5" t="s">
        <v>84</v>
      </c>
      <c r="C26" s="11">
        <v>0.13703703703703701</v>
      </c>
      <c r="D26" s="11" t="s">
        <v>62</v>
      </c>
      <c r="E26" s="11">
        <v>0.21832175925925901</v>
      </c>
      <c r="F26" s="12">
        <f t="shared" si="1"/>
        <v>1.9508333333333279</v>
      </c>
      <c r="G26" s="13">
        <f t="shared" si="2"/>
        <v>0</v>
      </c>
      <c r="H26" s="13">
        <f t="shared" si="3"/>
        <v>1.9508333333333279</v>
      </c>
      <c r="I26"/>
      <c r="J26"/>
    </row>
    <row r="27" spans="1:13" ht="18.75" x14ac:dyDescent="0.15">
      <c r="A27" s="10">
        <f t="shared" ca="1" si="0"/>
        <v>46048.218366782399</v>
      </c>
      <c r="B27" s="5" t="s">
        <v>78</v>
      </c>
      <c r="C27" s="11">
        <v>0.21835648148148101</v>
      </c>
      <c r="D27" s="11" t="s">
        <v>62</v>
      </c>
      <c r="E27" s="11">
        <v>0.29982638888888902</v>
      </c>
      <c r="F27" s="12">
        <f t="shared" si="1"/>
        <v>1.9552777777777921</v>
      </c>
      <c r="G27" s="13">
        <f t="shared" si="2"/>
        <v>0</v>
      </c>
      <c r="H27" s="13">
        <f t="shared" si="3"/>
        <v>1.9552777777777921</v>
      </c>
      <c r="I27"/>
      <c r="J27"/>
    </row>
    <row r="28" spans="1:13" ht="18.75" x14ac:dyDescent="0.15">
      <c r="A28" s="10">
        <f t="shared" ca="1" si="0"/>
        <v>46051.013797800901</v>
      </c>
      <c r="B28" s="5" t="s">
        <v>80</v>
      </c>
      <c r="C28" s="11">
        <v>1.37962962962963E-2</v>
      </c>
      <c r="D28" s="11" t="s">
        <v>62</v>
      </c>
      <c r="E28" s="11">
        <v>0.14729166666666699</v>
      </c>
      <c r="F28" s="12">
        <f t="shared" si="1"/>
        <v>3.2038888888888963</v>
      </c>
      <c r="G28" s="13">
        <f t="shared" si="2"/>
        <v>0</v>
      </c>
      <c r="H28" s="13">
        <f t="shared" si="3"/>
        <v>3.2038888888888963</v>
      </c>
      <c r="I28"/>
      <c r="J28"/>
    </row>
    <row r="29" spans="1:13" ht="18.75" x14ac:dyDescent="0.15">
      <c r="A29" s="10">
        <f t="shared" ca="1" si="0"/>
        <v>46051.951693750001</v>
      </c>
      <c r="B29" s="5" t="s">
        <v>80</v>
      </c>
      <c r="C29" s="11">
        <v>0.95168981481481496</v>
      </c>
      <c r="D29" s="11" t="s">
        <v>62</v>
      </c>
      <c r="E29" s="11">
        <v>0.121736111111111</v>
      </c>
      <c r="F29" s="12">
        <f t="shared" si="1"/>
        <v>4.0811111111111043</v>
      </c>
      <c r="G29" s="13">
        <f t="shared" si="2"/>
        <v>1.1594444444444401</v>
      </c>
      <c r="H29" s="13">
        <f t="shared" si="3"/>
        <v>2.9216666666666642</v>
      </c>
      <c r="I29"/>
      <c r="J29"/>
    </row>
  </sheetData>
  <autoFilter ref="A2:K29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9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7"/>
  <sheetViews>
    <sheetView zoomScale="85" zoomScaleNormal="85" workbookViewId="0">
      <selection activeCell="J60" sqref="J6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7" ca="1" si="0">IF(B3="","",IF(A3="",NOW(),A3))</f>
        <v>46024.132614351904</v>
      </c>
      <c r="B3" s="5" t="s">
        <v>85</v>
      </c>
      <c r="C3" s="11">
        <v>0.13260416666666699</v>
      </c>
      <c r="D3" s="11" t="s">
        <v>62</v>
      </c>
      <c r="E3" s="11">
        <v>0.20703703703703699</v>
      </c>
      <c r="F3" s="12">
        <f t="shared" ref="F3:F27" si="1">(IF(E3-C3&lt;0,"24:00"-C3+E3,E3-C3))*24</f>
        <v>1.7863888888888799</v>
      </c>
      <c r="G3" s="13">
        <f t="shared" ref="G3:G27" si="2">F3-H3</f>
        <v>0</v>
      </c>
      <c r="H3" s="13">
        <f t="shared" ref="H3:H27" si="3">(IF(AND(C3&gt;=$O$3,C3&lt;$P$3,E3&gt;=$O$3,E3&lt;$P$3),E3-C3,IF(AND(C3&gt;=$O$3,C3&lt;$P$3,E3&gt;=$P$3,E3&lt;$N$3),$P$3-C3,IF(AND(C3&gt;=$P$3,C3&lt;$N$3,E3&gt;=$O$3,E3&lt;$P$3),E3,IF(AND(C3&gt;=$P$3,C3&lt;$N$3,E3&gt;=$P$3,E3&lt;$N$3),"0","none")))))*24</f>
        <v>1.7863888888888799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46027.139425115703</v>
      </c>
      <c r="B4" s="5" t="s">
        <v>85</v>
      </c>
      <c r="C4" s="11">
        <v>0.13942129629629599</v>
      </c>
      <c r="D4" s="11" t="s">
        <v>62</v>
      </c>
      <c r="E4" s="11">
        <v>0.29987268518518501</v>
      </c>
      <c r="F4" s="12">
        <f t="shared" si="1"/>
        <v>3.8508333333333367</v>
      </c>
      <c r="G4" s="13">
        <f t="shared" si="2"/>
        <v>0</v>
      </c>
      <c r="H4" s="13">
        <f t="shared" si="3"/>
        <v>3.8508333333333367</v>
      </c>
      <c r="I4" s="21" t="s">
        <v>64</v>
      </c>
      <c r="J4" s="22">
        <f>SUMIF(B:B,"西塔台管制席",F:F)+SUMIF(B:B,"东塔台管制席",F:F)</f>
        <v>8.6377777777777656</v>
      </c>
      <c r="K4" s="23">
        <f>SUMIF(B:B,"西塔台管制席",G:G)+SUMIF(B:B,"东塔台管制席",G:G)</f>
        <v>5.2191666666666485</v>
      </c>
      <c r="L4" s="23">
        <f>SUMIF(B:B,"西塔台管制席",H:H)+SUMIF(B:B,"东塔台管制席",H:H)</f>
        <v>3.418611111111117</v>
      </c>
      <c r="M4" s="19"/>
    </row>
    <row r="5" spans="1:16" ht="18.75" x14ac:dyDescent="0.25">
      <c r="A5" s="10">
        <f t="shared" ca="1" si="0"/>
        <v>46027.772929398103</v>
      </c>
      <c r="B5" s="5" t="s">
        <v>81</v>
      </c>
      <c r="C5" s="11">
        <v>0.77292824074074096</v>
      </c>
      <c r="D5" s="11" t="s">
        <v>62</v>
      </c>
      <c r="E5" s="11">
        <v>0.83825231481481499</v>
      </c>
      <c r="F5" s="12">
        <f t="shared" si="1"/>
        <v>1.5677777777777768</v>
      </c>
      <c r="G5" s="13">
        <f t="shared" si="2"/>
        <v>1.5677777777777768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5.7563888888888872</v>
      </c>
      <c r="K5" s="23">
        <f>SUMIF(B:B,"西塔台协调席",G:G)+SUMIF(B:B,"东塔台协调席",G:G)</f>
        <v>5.7563888888888872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46028.013591898103</v>
      </c>
      <c r="B6" s="5" t="s">
        <v>85</v>
      </c>
      <c r="C6" s="11">
        <v>1.3587962962963E-2</v>
      </c>
      <c r="D6" s="11" t="s">
        <v>62</v>
      </c>
      <c r="E6" s="11">
        <v>0.12287037037037001</v>
      </c>
      <c r="F6" s="12">
        <f t="shared" si="1"/>
        <v>2.6227777777777681</v>
      </c>
      <c r="G6" s="13">
        <f t="shared" si="2"/>
        <v>0</v>
      </c>
      <c r="H6" s="13">
        <f t="shared" si="3"/>
        <v>2.6227777777777681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46030.356013773096</v>
      </c>
      <c r="B7" s="5" t="s">
        <v>81</v>
      </c>
      <c r="C7" s="11">
        <v>0.353680555555556</v>
      </c>
      <c r="D7" s="11" t="s">
        <v>62</v>
      </c>
      <c r="E7" s="11">
        <v>0.50582175925925899</v>
      </c>
      <c r="F7" s="12">
        <f t="shared" si="1"/>
        <v>3.6513888888888717</v>
      </c>
      <c r="G7" s="13">
        <f t="shared" si="2"/>
        <v>3.6513888888888717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46030.647562036997</v>
      </c>
      <c r="B8" s="5" t="s">
        <v>78</v>
      </c>
      <c r="C8" s="11">
        <v>0.64755787037037005</v>
      </c>
      <c r="D8" s="11" t="s">
        <v>62</v>
      </c>
      <c r="E8" s="11">
        <v>0.77642361111111102</v>
      </c>
      <c r="F8" s="12">
        <f t="shared" si="1"/>
        <v>3.0927777777777834</v>
      </c>
      <c r="G8" s="13">
        <f t="shared" si="2"/>
        <v>3.0927777777777834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46030.895038425901</v>
      </c>
      <c r="B9" s="5" t="s">
        <v>85</v>
      </c>
      <c r="C9" s="11">
        <v>0.89503472222222202</v>
      </c>
      <c r="D9" s="11" t="s">
        <v>62</v>
      </c>
      <c r="E9" s="11">
        <v>0.95876157407407403</v>
      </c>
      <c r="F9" s="12">
        <f t="shared" si="1"/>
        <v>1.5294444444444482</v>
      </c>
      <c r="G9" s="13">
        <f t="shared" si="2"/>
        <v>1.5294444444444482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46031.2936350694</v>
      </c>
      <c r="B10" s="5" t="s">
        <v>81</v>
      </c>
      <c r="C10" s="11">
        <v>0.29363425925925901</v>
      </c>
      <c r="D10" s="11" t="s">
        <v>62</v>
      </c>
      <c r="E10" s="11">
        <v>0.304189814814815</v>
      </c>
      <c r="F10" s="12">
        <f t="shared" si="1"/>
        <v>0.25333333333334362</v>
      </c>
      <c r="G10" s="13">
        <f t="shared" si="2"/>
        <v>0</v>
      </c>
      <c r="H10" s="13">
        <f t="shared" si="3"/>
        <v>0.25333333333334362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46031.304234606498</v>
      </c>
      <c r="B11" s="5" t="s">
        <v>85</v>
      </c>
      <c r="C11" s="11">
        <v>0.304224537037037</v>
      </c>
      <c r="D11" s="11" t="s">
        <v>62</v>
      </c>
      <c r="E11" s="11">
        <v>0.42265046296296299</v>
      </c>
      <c r="F11" s="12">
        <f t="shared" si="1"/>
        <v>2.8422222222222238</v>
      </c>
      <c r="G11" s="13">
        <f t="shared" si="2"/>
        <v>2.1436111111111202</v>
      </c>
      <c r="H11" s="13">
        <f t="shared" si="3"/>
        <v>0.69861111111110352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46031.502802199102</v>
      </c>
      <c r="B12" s="5" t="s">
        <v>85</v>
      </c>
      <c r="C12" s="11">
        <v>0.50280092592592596</v>
      </c>
      <c r="D12" s="11" t="s">
        <v>62</v>
      </c>
      <c r="E12" s="11">
        <v>0.65113425925925905</v>
      </c>
      <c r="F12" s="12">
        <f t="shared" si="1"/>
        <v>3.5599999999999943</v>
      </c>
      <c r="G12" s="13">
        <f t="shared" si="2"/>
        <v>3.5599999999999943</v>
      </c>
      <c r="H12" s="13">
        <f t="shared" si="3"/>
        <v>0</v>
      </c>
      <c r="I12" s="27" t="s">
        <v>72</v>
      </c>
      <c r="J12" s="28">
        <f>SUMIF(B:B,"管制教员席",F:F)</f>
        <v>51.299722222222179</v>
      </c>
      <c r="K12" s="29">
        <f>SUMIF(B:B,"管制教员席",G:G)</f>
        <v>21.836388888888891</v>
      </c>
      <c r="L12" s="29">
        <f>SUMIF(B:B,"管制教员席",H:H)</f>
        <v>29.463333333333303</v>
      </c>
      <c r="M12" s="19"/>
    </row>
    <row r="13" spans="1:16" ht="18.75" x14ac:dyDescent="0.15">
      <c r="A13" s="10">
        <f t="shared" ca="1" si="0"/>
        <v>46035.012715393503</v>
      </c>
      <c r="B13" s="5" t="s">
        <v>85</v>
      </c>
      <c r="C13" s="11">
        <v>1.2708333333333301E-2</v>
      </c>
      <c r="D13" s="11" t="s">
        <v>62</v>
      </c>
      <c r="E13" s="11">
        <v>0.14447916666666699</v>
      </c>
      <c r="F13" s="12">
        <f t="shared" si="1"/>
        <v>3.1625000000000085</v>
      </c>
      <c r="G13" s="13">
        <f t="shared" si="2"/>
        <v>0</v>
      </c>
      <c r="H13" s="13">
        <f t="shared" si="3"/>
        <v>3.1625000000000085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46036.139258564799</v>
      </c>
      <c r="B14" s="5" t="s">
        <v>85</v>
      </c>
      <c r="C14" s="11">
        <v>0.13924768518518499</v>
      </c>
      <c r="D14" s="11" t="s">
        <v>62</v>
      </c>
      <c r="E14" s="11">
        <v>0.30020833333333302</v>
      </c>
      <c r="F14" s="12">
        <f t="shared" si="1"/>
        <v>3.8630555555555528</v>
      </c>
      <c r="G14" s="13">
        <f t="shared" si="2"/>
        <v>0</v>
      </c>
      <c r="H14" s="13">
        <f t="shared" si="3"/>
        <v>3.8630555555555528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46039.132934027803</v>
      </c>
      <c r="B15" s="5" t="s">
        <v>85</v>
      </c>
      <c r="C15" s="11">
        <v>0.132928240740741</v>
      </c>
      <c r="D15" s="11" t="s">
        <v>62</v>
      </c>
      <c r="E15" s="11">
        <v>0.21427083333333299</v>
      </c>
      <c r="F15" s="12">
        <f t="shared" si="1"/>
        <v>1.9522222222222079</v>
      </c>
      <c r="G15" s="13">
        <f t="shared" si="2"/>
        <v>0</v>
      </c>
      <c r="H15" s="13">
        <f t="shared" si="3"/>
        <v>1.9522222222222079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46039.953336342602</v>
      </c>
      <c r="B16" s="5" t="s">
        <v>85</v>
      </c>
      <c r="C16" s="11">
        <v>0.95194444444444404</v>
      </c>
      <c r="D16" s="11" t="s">
        <v>62</v>
      </c>
      <c r="E16" s="11">
        <v>8.8854166666666706E-2</v>
      </c>
      <c r="F16" s="12">
        <f t="shared" si="1"/>
        <v>3.2858333333333443</v>
      </c>
      <c r="G16" s="13">
        <f t="shared" si="2"/>
        <v>1.1533333333333431</v>
      </c>
      <c r="H16" s="13">
        <f t="shared" si="3"/>
        <v>2.1325000000000012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46042.521248032397</v>
      </c>
      <c r="B17" s="5" t="s">
        <v>85</v>
      </c>
      <c r="C17" s="11">
        <v>0.52127314814814796</v>
      </c>
      <c r="D17" s="11" t="s">
        <v>62</v>
      </c>
      <c r="E17" s="11">
        <v>0.60375000000000001</v>
      </c>
      <c r="F17" s="12">
        <f t="shared" si="1"/>
        <v>1.9794444444444492</v>
      </c>
      <c r="G17" s="13">
        <f t="shared" si="2"/>
        <v>1.9794444444444492</v>
      </c>
      <c r="H17" s="13">
        <f t="shared" si="3"/>
        <v>0</v>
      </c>
      <c r="I17" s="35" t="s">
        <v>75</v>
      </c>
      <c r="J17" s="36">
        <f>J4+J5+J6+J7+J10</f>
        <v>14.394166666666653</v>
      </c>
      <c r="K17" s="37">
        <f>K4+K5+K6+K7+K10</f>
        <v>10.975555555555536</v>
      </c>
      <c r="L17" s="38">
        <f>L4+L5+L6+L7+L10</f>
        <v>3.418611111111117</v>
      </c>
      <c r="M17" s="39"/>
    </row>
    <row r="18" spans="1:13" ht="20.25" x14ac:dyDescent="0.25">
      <c r="A18" s="10">
        <f t="shared" ca="1" si="0"/>
        <v>46042.639315509303</v>
      </c>
      <c r="B18" s="5" t="s">
        <v>85</v>
      </c>
      <c r="C18" s="11">
        <v>0.63930555555555602</v>
      </c>
      <c r="D18" s="11" t="s">
        <v>62</v>
      </c>
      <c r="E18" s="11">
        <v>0.65086805555555605</v>
      </c>
      <c r="F18" s="12">
        <f t="shared" si="1"/>
        <v>0.27750000000000075</v>
      </c>
      <c r="G18" s="13">
        <f t="shared" si="2"/>
        <v>0.27750000000000075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46042.7715559028</v>
      </c>
      <c r="B19" s="5" t="s">
        <v>85</v>
      </c>
      <c r="C19" s="11">
        <v>0.771550925925926</v>
      </c>
      <c r="D19" s="11" t="s">
        <v>62</v>
      </c>
      <c r="E19" s="11">
        <v>0.90288194444444403</v>
      </c>
      <c r="F19" s="12">
        <f t="shared" si="1"/>
        <v>3.1519444444444327</v>
      </c>
      <c r="G19" s="13">
        <f t="shared" si="2"/>
        <v>3.1519444444444327</v>
      </c>
      <c r="H19" s="13">
        <f t="shared" si="3"/>
        <v>0</v>
      </c>
      <c r="I19" s="35" t="s">
        <v>76</v>
      </c>
      <c r="J19" s="36">
        <f t="shared" ref="J19:L19" si="6">J12</f>
        <v>51.299722222222179</v>
      </c>
      <c r="K19" s="37">
        <f t="shared" si="6"/>
        <v>21.836388888888891</v>
      </c>
      <c r="L19" s="38">
        <f t="shared" si="6"/>
        <v>29.463333333333303</v>
      </c>
      <c r="M19" s="39"/>
    </row>
    <row r="20" spans="1:13" ht="20.25" x14ac:dyDescent="0.15">
      <c r="A20" s="10">
        <f t="shared" ca="1" si="0"/>
        <v>46043.417464236103</v>
      </c>
      <c r="B20" s="5" t="s">
        <v>83</v>
      </c>
      <c r="C20" s="11">
        <v>0.41745370370370399</v>
      </c>
      <c r="D20" s="11" t="s">
        <v>62</v>
      </c>
      <c r="E20" s="11">
        <v>0.5284375</v>
      </c>
      <c r="F20" s="12">
        <f t="shared" si="1"/>
        <v>2.6636111111111043</v>
      </c>
      <c r="G20" s="13">
        <f t="shared" si="2"/>
        <v>2.6636111111111043</v>
      </c>
      <c r="H20" s="13">
        <f t="shared" si="3"/>
        <v>0</v>
      </c>
      <c r="I20" s="40" t="s">
        <v>77</v>
      </c>
      <c r="J20" s="65">
        <f>J16+J17+J18+J19</f>
        <v>65.693888888888836</v>
      </c>
      <c r="K20" s="66"/>
      <c r="L20" s="67"/>
      <c r="M20" s="41"/>
    </row>
    <row r="21" spans="1:13" ht="20.25" x14ac:dyDescent="0.25">
      <c r="A21" s="10">
        <f t="shared" ca="1" si="0"/>
        <v>46043.645773726901</v>
      </c>
      <c r="B21" s="5" t="s">
        <v>85</v>
      </c>
      <c r="C21" s="11">
        <v>0.64576388888888903</v>
      </c>
      <c r="D21" s="11" t="s">
        <v>62</v>
      </c>
      <c r="E21" s="11">
        <v>0.77717592592592599</v>
      </c>
      <c r="F21" s="12">
        <f t="shared" si="1"/>
        <v>3.1538888888888872</v>
      </c>
      <c r="G21" s="13">
        <f t="shared" si="2"/>
        <v>3.1538888888888872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46043.834457870398</v>
      </c>
      <c r="B22" s="5" t="s">
        <v>85</v>
      </c>
      <c r="C22" s="11">
        <v>0.83445601851851903</v>
      </c>
      <c r="D22" s="11" t="s">
        <v>62</v>
      </c>
      <c r="E22" s="11">
        <v>0.95777777777777795</v>
      </c>
      <c r="F22" s="12">
        <f t="shared" si="1"/>
        <v>2.9597222222222141</v>
      </c>
      <c r="G22" s="13">
        <f t="shared" si="2"/>
        <v>2.9597222222222141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46044.291112963001</v>
      </c>
      <c r="B23" s="5" t="s">
        <v>85</v>
      </c>
      <c r="C23" s="11">
        <v>0.29111111111111099</v>
      </c>
      <c r="D23" s="11" t="s">
        <v>62</v>
      </c>
      <c r="E23" s="11">
        <v>0.366111111111111</v>
      </c>
      <c r="F23" s="12">
        <f t="shared" si="1"/>
        <v>1.8000000000000003</v>
      </c>
      <c r="G23" s="13">
        <f t="shared" si="2"/>
        <v>0.7866666666666724</v>
      </c>
      <c r="H23" s="13">
        <f t="shared" si="3"/>
        <v>1.0133333333333279</v>
      </c>
      <c r="I23"/>
      <c r="J23"/>
    </row>
    <row r="24" spans="1:13" ht="18.75" x14ac:dyDescent="0.15">
      <c r="A24" s="10">
        <f t="shared" ca="1" si="0"/>
        <v>46046.9524662037</v>
      </c>
      <c r="B24" s="5" t="s">
        <v>85</v>
      </c>
      <c r="C24" s="11">
        <v>0.95246527777777801</v>
      </c>
      <c r="D24" s="11" t="s">
        <v>62</v>
      </c>
      <c r="E24" s="11">
        <v>0.100439814814815</v>
      </c>
      <c r="F24" s="12">
        <f t="shared" si="1"/>
        <v>3.551388888888888</v>
      </c>
      <c r="G24" s="13">
        <f t="shared" si="2"/>
        <v>1.1408333333333283</v>
      </c>
      <c r="H24" s="13">
        <f t="shared" si="3"/>
        <v>2.4105555555555598</v>
      </c>
      <c r="I24"/>
      <c r="J24"/>
    </row>
    <row r="25" spans="1:13" ht="18.75" x14ac:dyDescent="0.15">
      <c r="A25" s="10">
        <f t="shared" ca="1" si="0"/>
        <v>46048.137642129601</v>
      </c>
      <c r="B25" s="5" t="s">
        <v>85</v>
      </c>
      <c r="C25" s="11">
        <v>0.137638888888889</v>
      </c>
      <c r="D25" s="11" t="s">
        <v>62</v>
      </c>
      <c r="E25" s="11">
        <v>0.2240625</v>
      </c>
      <c r="F25" s="12">
        <f t="shared" si="1"/>
        <v>2.074166666666664</v>
      </c>
      <c r="G25" s="13">
        <f t="shared" si="2"/>
        <v>0</v>
      </c>
      <c r="H25" s="13">
        <f t="shared" si="3"/>
        <v>2.074166666666664</v>
      </c>
      <c r="I25"/>
      <c r="J25"/>
    </row>
    <row r="26" spans="1:13" ht="18.75" x14ac:dyDescent="0.15">
      <c r="A26" s="10">
        <f t="shared" ca="1" si="0"/>
        <v>46051.137057986103</v>
      </c>
      <c r="B26" s="5" t="s">
        <v>85</v>
      </c>
      <c r="C26" s="11">
        <v>0.137048611111111</v>
      </c>
      <c r="D26" s="11" t="s">
        <v>62</v>
      </c>
      <c r="E26" s="11">
        <v>0.29939814814814802</v>
      </c>
      <c r="F26" s="12">
        <f t="shared" si="1"/>
        <v>3.8963888888888887</v>
      </c>
      <c r="G26" s="13">
        <f t="shared" si="2"/>
        <v>0</v>
      </c>
      <c r="H26" s="13">
        <f t="shared" si="3"/>
        <v>3.8963888888888887</v>
      </c>
      <c r="I26"/>
      <c r="J26"/>
    </row>
    <row r="27" spans="1:13" ht="18.75" x14ac:dyDescent="0.15">
      <c r="A27" s="10">
        <f t="shared" ca="1" si="0"/>
        <v>46052.012843750003</v>
      </c>
      <c r="B27" s="5" t="s">
        <v>80</v>
      </c>
      <c r="C27" s="11">
        <v>1.28356481481481E-2</v>
      </c>
      <c r="D27" s="11" t="s">
        <v>62</v>
      </c>
      <c r="E27" s="11">
        <v>0.144722222222222</v>
      </c>
      <c r="F27" s="12">
        <f t="shared" si="1"/>
        <v>3.1652777777777734</v>
      </c>
      <c r="G27" s="13">
        <f t="shared" si="2"/>
        <v>0</v>
      </c>
      <c r="H27" s="13">
        <f t="shared" si="3"/>
        <v>3.1652777777777734</v>
      </c>
      <c r="I27"/>
      <c r="J27"/>
    </row>
  </sheetData>
  <autoFilter ref="A2:K27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7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7"/>
  <sheetViews>
    <sheetView zoomScale="85" zoomScaleNormal="85" workbookViewId="0">
      <selection activeCell="J43" sqref="J4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7" ca="1" si="0">IF(B3="","",IF(A3="",NOW(),A3))</f>
        <v>46023.013672569403</v>
      </c>
      <c r="B3" s="5" t="s">
        <v>78</v>
      </c>
      <c r="C3" s="11">
        <v>1.3668981481481501E-2</v>
      </c>
      <c r="D3" s="11" t="s">
        <v>62</v>
      </c>
      <c r="E3" s="11">
        <v>0.14040509259259301</v>
      </c>
      <c r="F3" s="12">
        <f t="shared" ref="F3:F37" si="1">(IF(E3-C3&lt;0,"24:00"-C3+E3,E3-C3))*24</f>
        <v>3.0416666666666767</v>
      </c>
      <c r="G3" s="13">
        <f t="shared" ref="G3:G37" si="2">F3-H3</f>
        <v>0</v>
      </c>
      <c r="H3" s="13">
        <f t="shared" ref="H3:H37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3.0416666666666767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46024.132504398098</v>
      </c>
      <c r="B4" s="5" t="s">
        <v>80</v>
      </c>
      <c r="C4" s="11">
        <v>0.13250000000000001</v>
      </c>
      <c r="D4" s="11" t="s">
        <v>62</v>
      </c>
      <c r="E4" s="11">
        <v>0.25880787037037001</v>
      </c>
      <c r="F4" s="12">
        <f t="shared" si="1"/>
        <v>3.03138888888888</v>
      </c>
      <c r="G4" s="13">
        <f t="shared" si="2"/>
        <v>0</v>
      </c>
      <c r="H4" s="13">
        <f t="shared" si="3"/>
        <v>3.03138888888888</v>
      </c>
      <c r="I4" s="21" t="s">
        <v>64</v>
      </c>
      <c r="J4" s="22">
        <f>SUMIF(B:B,"西塔台管制席",F:F)+SUMIF(B:B,"东塔台管制席",F:F)</f>
        <v>22.452222222222197</v>
      </c>
      <c r="K4" s="23">
        <f>SUMIF(B:B,"西塔台管制席",G:G)+SUMIF(B:B,"东塔台管制席",G:G)</f>
        <v>7.4708333333333083</v>
      </c>
      <c r="L4" s="23">
        <f>SUMIF(B:B,"西塔台管制席",H:H)+SUMIF(B:B,"东塔台管制席",H:H)</f>
        <v>14.981388888888889</v>
      </c>
      <c r="M4" s="19"/>
    </row>
    <row r="5" spans="1:16" ht="18.75" x14ac:dyDescent="0.25">
      <c r="A5" s="10">
        <f t="shared" ca="1" si="0"/>
        <v>46024.269329050898</v>
      </c>
      <c r="B5" s="5" t="s">
        <v>80</v>
      </c>
      <c r="C5" s="11">
        <v>0.26932870370370399</v>
      </c>
      <c r="D5" s="11" t="s">
        <v>62</v>
      </c>
      <c r="E5" s="11">
        <v>0.29961805555555598</v>
      </c>
      <c r="F5" s="12">
        <f t="shared" si="1"/>
        <v>0.72694444444444795</v>
      </c>
      <c r="G5" s="13">
        <f t="shared" si="2"/>
        <v>0</v>
      </c>
      <c r="H5" s="13">
        <f t="shared" si="3"/>
        <v>0.72694444444444795</v>
      </c>
      <c r="I5" s="21" t="s">
        <v>65</v>
      </c>
      <c r="J5" s="22">
        <f>SUMIF(B:B,"西塔台协调席",F:F)+SUMIF(B:B,"东塔台协调席",F:F)</f>
        <v>51.369722222222222</v>
      </c>
      <c r="K5" s="23">
        <f>SUMIF(B:B,"西塔台协调席",G:G)+SUMIF(B:B,"东塔台协调席",G:G)</f>
        <v>36.951388888888921</v>
      </c>
      <c r="L5" s="23">
        <f>SUMIF(B:B,"西塔台协调席",H:H)+SUMIF(B:B,"东塔台协调席",H:H)</f>
        <v>14.418333333333301</v>
      </c>
      <c r="M5" s="19"/>
    </row>
    <row r="6" spans="1:16" ht="18.75" x14ac:dyDescent="0.25">
      <c r="A6" s="10">
        <f t="shared" ca="1" si="0"/>
        <v>46027.1391798611</v>
      </c>
      <c r="B6" s="5" t="s">
        <v>79</v>
      </c>
      <c r="C6" s="11">
        <v>0.13921296296296301</v>
      </c>
      <c r="D6" s="11" t="s">
        <v>62</v>
      </c>
      <c r="E6" s="11">
        <v>0.22526620370370401</v>
      </c>
      <c r="F6" s="12">
        <f t="shared" si="1"/>
        <v>2.065277777777784</v>
      </c>
      <c r="G6" s="13">
        <f t="shared" si="2"/>
        <v>0</v>
      </c>
      <c r="H6" s="13">
        <f t="shared" si="3"/>
        <v>2.065277777777784</v>
      </c>
      <c r="I6" s="21" t="s">
        <v>66</v>
      </c>
      <c r="J6" s="22">
        <f>SUMIF(B:B,"放行席",F:F)</f>
        <v>2.1452777777777765</v>
      </c>
      <c r="K6" s="23">
        <f>SUMIF(B:B,"放行席",G:G)</f>
        <v>0</v>
      </c>
      <c r="L6" s="23">
        <f>SUMIF(B:B,"放行席",H:H)</f>
        <v>2.1452777777777765</v>
      </c>
      <c r="M6" s="19"/>
    </row>
    <row r="7" spans="1:16" ht="18.75" x14ac:dyDescent="0.25">
      <c r="A7" s="10">
        <f t="shared" ca="1" si="0"/>
        <v>46027.951502546297</v>
      </c>
      <c r="B7" s="5" t="s">
        <v>81</v>
      </c>
      <c r="C7" s="11">
        <v>0.95149305555555597</v>
      </c>
      <c r="D7" s="11" t="s">
        <v>62</v>
      </c>
      <c r="E7" s="11">
        <v>0.11802083333333301</v>
      </c>
      <c r="F7" s="12">
        <f t="shared" si="1"/>
        <v>3.9966666666666493</v>
      </c>
      <c r="G7" s="13">
        <f t="shared" si="2"/>
        <v>1.1641666666666572</v>
      </c>
      <c r="H7" s="13">
        <f t="shared" si="3"/>
        <v>2.832499999999992</v>
      </c>
      <c r="I7" s="21" t="s">
        <v>67</v>
      </c>
      <c r="J7" s="22">
        <f>SUMIF(B:B,"地面席",F:F)</f>
        <v>3.9566666666666634</v>
      </c>
      <c r="K7" s="23">
        <f>SUMIF(B:B,"地面席",G:G)</f>
        <v>0</v>
      </c>
      <c r="L7" s="23">
        <f>SUMIF(B:B,"地面席",H:H)</f>
        <v>3.9566666666666634</v>
      </c>
      <c r="M7" s="19"/>
    </row>
    <row r="8" spans="1:16" ht="18.75" x14ac:dyDescent="0.25">
      <c r="A8" s="10">
        <f t="shared" ca="1" si="0"/>
        <v>46028.118288888902</v>
      </c>
      <c r="B8" s="5" t="s">
        <v>80</v>
      </c>
      <c r="C8" s="11">
        <v>0.118287037037037</v>
      </c>
      <c r="D8" s="11" t="s">
        <v>62</v>
      </c>
      <c r="E8" s="11">
        <v>0.14604166666666701</v>
      </c>
      <c r="F8" s="12">
        <f t="shared" si="1"/>
        <v>0.66611111111112042</v>
      </c>
      <c r="G8" s="13">
        <f t="shared" si="2"/>
        <v>0</v>
      </c>
      <c r="H8" s="13">
        <f t="shared" si="3"/>
        <v>0.66611111111112042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46030.356221990703</v>
      </c>
      <c r="B9" s="5" t="s">
        <v>83</v>
      </c>
      <c r="C9" s="11">
        <v>0.35621527777777801</v>
      </c>
      <c r="D9" s="11" t="s">
        <v>62</v>
      </c>
      <c r="E9" s="11">
        <v>0.42317129629629602</v>
      </c>
      <c r="F9" s="12">
        <f t="shared" si="1"/>
        <v>1.6069444444444323</v>
      </c>
      <c r="G9" s="13">
        <f t="shared" si="2"/>
        <v>1.6069444444444323</v>
      </c>
      <c r="H9" s="13">
        <f t="shared" si="3"/>
        <v>0</v>
      </c>
      <c r="I9" s="21" t="s">
        <v>69</v>
      </c>
      <c r="J9" s="22">
        <f>SUMIF(B:B,"航班调度席",F:F)</f>
        <v>1.6477777777777707</v>
      </c>
      <c r="K9" s="23">
        <f>SUMIF(B:B,"航班调度席",G:G)</f>
        <v>1.6477777777777707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46030.4313608796</v>
      </c>
      <c r="B10" s="5" t="s">
        <v>78</v>
      </c>
      <c r="C10" s="11">
        <v>0.43135416666666698</v>
      </c>
      <c r="D10" s="11" t="s">
        <v>62</v>
      </c>
      <c r="E10" s="11">
        <v>0.503310185185185</v>
      </c>
      <c r="F10" s="12">
        <f t="shared" si="1"/>
        <v>1.7269444444444324</v>
      </c>
      <c r="G10" s="13">
        <f t="shared" si="2"/>
        <v>1.7269444444444324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46030.6227701389</v>
      </c>
      <c r="B11" s="5" t="s">
        <v>80</v>
      </c>
      <c r="C11" s="11">
        <v>0.62276620370370395</v>
      </c>
      <c r="D11" s="11" t="s">
        <v>62</v>
      </c>
      <c r="E11" s="11">
        <v>0.62364583333333301</v>
      </c>
      <c r="F11" s="12">
        <f t="shared" si="1"/>
        <v>2.1111111111097536E-2</v>
      </c>
      <c r="G11" s="13">
        <f t="shared" si="2"/>
        <v>2.1111111111097536E-2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46030.626461689797</v>
      </c>
      <c r="B12" s="5" t="s">
        <v>80</v>
      </c>
      <c r="C12" s="11">
        <v>0.62645833333333301</v>
      </c>
      <c r="D12" s="11" t="s">
        <v>62</v>
      </c>
      <c r="E12" s="11">
        <v>0.67651620370370402</v>
      </c>
      <c r="F12" s="12">
        <f t="shared" si="1"/>
        <v>1.2013888888889044</v>
      </c>
      <c r="G12" s="13">
        <f t="shared" si="2"/>
        <v>1.2013888888889044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46030.769778240698</v>
      </c>
      <c r="B13" s="5" t="s">
        <v>78</v>
      </c>
      <c r="C13" s="11">
        <v>0.76976851851851802</v>
      </c>
      <c r="D13" s="11" t="s">
        <v>62</v>
      </c>
      <c r="E13" s="11">
        <v>0.84018518518518504</v>
      </c>
      <c r="F13" s="12">
        <f t="shared" si="1"/>
        <v>1.6900000000000084</v>
      </c>
      <c r="G13" s="13">
        <f t="shared" si="2"/>
        <v>1.6900000000000084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46031.419690740702</v>
      </c>
      <c r="B14" s="5" t="s">
        <v>83</v>
      </c>
      <c r="C14" s="11">
        <v>0.41968749999999999</v>
      </c>
      <c r="D14" s="11" t="s">
        <v>62</v>
      </c>
      <c r="E14" s="11">
        <v>0.52678240740740701</v>
      </c>
      <c r="F14" s="12">
        <f t="shared" si="1"/>
        <v>2.5702777777777683</v>
      </c>
      <c r="G14" s="13">
        <f t="shared" si="2"/>
        <v>2.5702777777777683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46031.647854513903</v>
      </c>
      <c r="B15" s="5" t="s">
        <v>83</v>
      </c>
      <c r="C15" s="11">
        <v>0.64784722222222202</v>
      </c>
      <c r="D15" s="11" t="s">
        <v>62</v>
      </c>
      <c r="E15" s="11">
        <v>0.77724537037037</v>
      </c>
      <c r="F15" s="12">
        <f t="shared" si="1"/>
        <v>3.1055555555555516</v>
      </c>
      <c r="G15" s="13">
        <f t="shared" si="2"/>
        <v>3.1055555555555516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46031.832876620399</v>
      </c>
      <c r="B16" s="5" t="s">
        <v>83</v>
      </c>
      <c r="C16" s="11">
        <v>0.83287037037037004</v>
      </c>
      <c r="D16" s="11" t="s">
        <v>62</v>
      </c>
      <c r="E16" s="11">
        <v>0.95681712962962995</v>
      </c>
      <c r="F16" s="12">
        <f t="shared" si="1"/>
        <v>2.9747222222222378</v>
      </c>
      <c r="G16" s="13">
        <f t="shared" si="2"/>
        <v>2.9747222222222378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46032.293650231499</v>
      </c>
      <c r="B17" s="5" t="s">
        <v>83</v>
      </c>
      <c r="C17" s="11">
        <v>0.293645833333333</v>
      </c>
      <c r="D17" s="11" t="s">
        <v>62</v>
      </c>
      <c r="E17" s="11">
        <v>0.36511574074074099</v>
      </c>
      <c r="F17" s="12">
        <f t="shared" si="1"/>
        <v>1.7152777777777919</v>
      </c>
      <c r="G17" s="13">
        <f t="shared" si="2"/>
        <v>0.76277777777779221</v>
      </c>
      <c r="H17" s="13">
        <f t="shared" si="3"/>
        <v>0.95249999999999968</v>
      </c>
      <c r="I17" s="35" t="s">
        <v>75</v>
      </c>
      <c r="J17" s="36">
        <f>J4+J5+J6+J7+J10</f>
        <v>79.923888888888868</v>
      </c>
      <c r="K17" s="37">
        <f>K4+K5+K6+K7+K10</f>
        <v>44.422222222222231</v>
      </c>
      <c r="L17" s="38">
        <f>L4+L5+L6+L7+L10</f>
        <v>35.50166666666663</v>
      </c>
      <c r="M17" s="39"/>
    </row>
    <row r="18" spans="1:13" ht="20.25" x14ac:dyDescent="0.25">
      <c r="A18" s="10">
        <f t="shared" ca="1" si="0"/>
        <v>46034.950147685202</v>
      </c>
      <c r="B18" s="5" t="s">
        <v>83</v>
      </c>
      <c r="C18" s="11">
        <v>0.95013888888888898</v>
      </c>
      <c r="D18" s="11" t="s">
        <v>62</v>
      </c>
      <c r="E18" s="11">
        <v>0.10630787037037</v>
      </c>
      <c r="F18" s="12">
        <f t="shared" si="1"/>
        <v>3.7480555555555441</v>
      </c>
      <c r="G18" s="13">
        <f t="shared" si="2"/>
        <v>1.1966666666666641</v>
      </c>
      <c r="H18" s="13">
        <f t="shared" si="3"/>
        <v>2.55138888888888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46036.139707407398</v>
      </c>
      <c r="B19" s="5" t="s">
        <v>79</v>
      </c>
      <c r="C19" s="11">
        <v>0.139699074074074</v>
      </c>
      <c r="D19" s="11" t="s">
        <v>62</v>
      </c>
      <c r="E19" s="11">
        <v>0.21850694444444399</v>
      </c>
      <c r="F19" s="12">
        <f t="shared" si="1"/>
        <v>1.8913888888888797</v>
      </c>
      <c r="G19" s="13">
        <f t="shared" si="2"/>
        <v>0</v>
      </c>
      <c r="H19" s="13">
        <f t="shared" si="3"/>
        <v>1.8913888888888797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46039.1381378472</v>
      </c>
      <c r="B20" s="5" t="s">
        <v>81</v>
      </c>
      <c r="C20" s="11">
        <v>0.13813657407407401</v>
      </c>
      <c r="D20" s="11" t="s">
        <v>62</v>
      </c>
      <c r="E20" s="11">
        <v>0.29927083333333299</v>
      </c>
      <c r="F20" s="12">
        <f t="shared" si="1"/>
        <v>3.8672222222222157</v>
      </c>
      <c r="G20" s="13">
        <f t="shared" si="2"/>
        <v>0</v>
      </c>
      <c r="H20" s="13">
        <f t="shared" si="3"/>
        <v>3.8672222222222157</v>
      </c>
      <c r="I20" s="40" t="s">
        <v>77</v>
      </c>
      <c r="J20" s="65">
        <f>J16+J17+J18+J19</f>
        <v>79.923888888888868</v>
      </c>
      <c r="K20" s="66"/>
      <c r="L20" s="67"/>
      <c r="M20" s="41"/>
    </row>
    <row r="21" spans="1:13" ht="20.25" x14ac:dyDescent="0.25">
      <c r="A21" s="10">
        <f t="shared" ca="1" si="0"/>
        <v>46040.014046527802</v>
      </c>
      <c r="B21" s="5" t="s">
        <v>78</v>
      </c>
      <c r="C21" s="11">
        <v>1.40393518518519E-2</v>
      </c>
      <c r="D21" s="11" t="s">
        <v>62</v>
      </c>
      <c r="E21" s="11">
        <v>0.14109953703703701</v>
      </c>
      <c r="F21" s="12">
        <f t="shared" si="1"/>
        <v>3.0494444444444424</v>
      </c>
      <c r="G21" s="13">
        <f t="shared" si="2"/>
        <v>0</v>
      </c>
      <c r="H21" s="13">
        <f t="shared" si="3"/>
        <v>3.0494444444444424</v>
      </c>
      <c r="I21" s="42" t="s">
        <v>4</v>
      </c>
      <c r="J21" s="43">
        <f>SUM(J8:J9)</f>
        <v>1.6477777777777707</v>
      </c>
      <c r="K21" s="37">
        <f>SUM(K8:K9)</f>
        <v>1.6477777777777707</v>
      </c>
      <c r="L21" s="38">
        <f>SUM(L8:L9)</f>
        <v>0</v>
      </c>
      <c r="M21" s="44"/>
    </row>
    <row r="22" spans="1:13" ht="18.75" x14ac:dyDescent="0.15">
      <c r="A22" s="10">
        <f t="shared" ca="1" si="0"/>
        <v>46042.357126620402</v>
      </c>
      <c r="B22" s="5" t="s">
        <v>81</v>
      </c>
      <c r="C22" s="11">
        <v>0.35711805555555598</v>
      </c>
      <c r="D22" s="11" t="s">
        <v>62</v>
      </c>
      <c r="E22" s="11">
        <v>0.388935185185185</v>
      </c>
      <c r="F22" s="12">
        <f t="shared" si="1"/>
        <v>0.76361111111109636</v>
      </c>
      <c r="G22" s="13">
        <f t="shared" si="2"/>
        <v>0.76361111111109636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46042.3889993056</v>
      </c>
      <c r="B23" s="5" t="s">
        <v>78</v>
      </c>
      <c r="C23" s="11">
        <v>0.38899305555555602</v>
      </c>
      <c r="D23" s="11" t="s">
        <v>62</v>
      </c>
      <c r="E23" s="11">
        <v>0.52884259259259303</v>
      </c>
      <c r="F23" s="12">
        <f t="shared" si="1"/>
        <v>3.3563888888888882</v>
      </c>
      <c r="G23" s="13">
        <f t="shared" si="2"/>
        <v>3.3563888888888882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46042.646423611099</v>
      </c>
      <c r="B24" s="5" t="s">
        <v>78</v>
      </c>
      <c r="C24" s="11">
        <v>0.64642361111111102</v>
      </c>
      <c r="D24" s="11" t="s">
        <v>62</v>
      </c>
      <c r="E24" s="11">
        <v>0.69275462962962997</v>
      </c>
      <c r="F24" s="12">
        <f t="shared" si="1"/>
        <v>1.1119444444444548</v>
      </c>
      <c r="G24" s="13">
        <f t="shared" si="2"/>
        <v>1.1119444444444548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46042.692801041703</v>
      </c>
      <c r="B25" s="5" t="s">
        <v>83</v>
      </c>
      <c r="C25" s="11">
        <v>0.69280092592592601</v>
      </c>
      <c r="D25" s="11" t="s">
        <v>62</v>
      </c>
      <c r="E25" s="11">
        <v>0.78062500000000001</v>
      </c>
      <c r="F25" s="12">
        <f t="shared" si="1"/>
        <v>2.107777777777776</v>
      </c>
      <c r="G25" s="13">
        <f t="shared" si="2"/>
        <v>2.107777777777776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46042.895503240703</v>
      </c>
      <c r="B26" s="5" t="s">
        <v>81</v>
      </c>
      <c r="C26" s="11">
        <v>0.89549768518518502</v>
      </c>
      <c r="D26" s="11" t="s">
        <v>62</v>
      </c>
      <c r="E26" s="11">
        <v>0.95874999999999999</v>
      </c>
      <c r="F26" s="12">
        <f t="shared" si="1"/>
        <v>1.5180555555555593</v>
      </c>
      <c r="G26" s="13">
        <f t="shared" si="2"/>
        <v>1.5180555555555593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46043.294895254599</v>
      </c>
      <c r="B27" s="5" t="s">
        <v>83</v>
      </c>
      <c r="C27" s="11">
        <v>0.29489583333333302</v>
      </c>
      <c r="D27" s="11" t="s">
        <v>62</v>
      </c>
      <c r="E27" s="11">
        <v>0.42166666666666702</v>
      </c>
      <c r="F27" s="12">
        <f t="shared" si="1"/>
        <v>3.042500000000016</v>
      </c>
      <c r="G27" s="13">
        <f t="shared" si="2"/>
        <v>2.120000000000017</v>
      </c>
      <c r="H27" s="13">
        <f t="shared" si="3"/>
        <v>0.92249999999999899</v>
      </c>
      <c r="I27"/>
      <c r="J27"/>
    </row>
    <row r="28" spans="1:13" ht="18.75" x14ac:dyDescent="0.15">
      <c r="A28" s="10">
        <f t="shared" ca="1" si="0"/>
        <v>46043.523742708298</v>
      </c>
      <c r="B28" s="5" t="s">
        <v>83</v>
      </c>
      <c r="C28" s="11">
        <v>0.52373842592592601</v>
      </c>
      <c r="D28" s="11" t="s">
        <v>62</v>
      </c>
      <c r="E28" s="11">
        <v>0.65019675925925902</v>
      </c>
      <c r="F28" s="12">
        <f t="shared" si="1"/>
        <v>3.0349999999999921</v>
      </c>
      <c r="G28" s="13">
        <f t="shared" si="2"/>
        <v>3.0349999999999921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46043.650285648102</v>
      </c>
      <c r="B29" s="5" t="s">
        <v>82</v>
      </c>
      <c r="C29" s="11">
        <v>0.65027777777777795</v>
      </c>
      <c r="D29" s="11" t="s">
        <v>62</v>
      </c>
      <c r="E29" s="11">
        <v>0.69234953703703705</v>
      </c>
      <c r="F29" s="12">
        <f t="shared" si="1"/>
        <v>1.0097222222222184</v>
      </c>
      <c r="G29" s="13">
        <f t="shared" si="2"/>
        <v>1.0097222222222184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46043.769947569403</v>
      </c>
      <c r="B30" s="5" t="s">
        <v>83</v>
      </c>
      <c r="C30" s="11">
        <v>0.76994212962963005</v>
      </c>
      <c r="D30" s="11" t="s">
        <v>62</v>
      </c>
      <c r="E30" s="11">
        <v>0.84122685185185198</v>
      </c>
      <c r="F30" s="12">
        <f t="shared" si="1"/>
        <v>1.7108333333333263</v>
      </c>
      <c r="G30" s="13">
        <f t="shared" si="2"/>
        <v>1.7108333333333263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46046.356590509298</v>
      </c>
      <c r="B31" s="5" t="s">
        <v>83</v>
      </c>
      <c r="C31" s="11">
        <v>0.35658564814814803</v>
      </c>
      <c r="D31" s="11" t="s">
        <v>62</v>
      </c>
      <c r="E31" s="11">
        <v>0.504965277777778</v>
      </c>
      <c r="F31" s="12">
        <f t="shared" si="1"/>
        <v>3.5611111111111193</v>
      </c>
      <c r="G31" s="13">
        <f t="shared" si="2"/>
        <v>3.5611111111111193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46046.610767245402</v>
      </c>
      <c r="B32" s="5" t="s">
        <v>82</v>
      </c>
      <c r="C32" s="11">
        <v>0.61076388888888899</v>
      </c>
      <c r="D32" s="11" t="s">
        <v>62</v>
      </c>
      <c r="E32" s="11">
        <v>0.63734953703703701</v>
      </c>
      <c r="F32" s="12">
        <f t="shared" si="1"/>
        <v>0.63805555555555227</v>
      </c>
      <c r="G32" s="13">
        <f t="shared" si="2"/>
        <v>0.63805555555555227</v>
      </c>
      <c r="H32" s="13">
        <f t="shared" si="3"/>
        <v>0</v>
      </c>
      <c r="I32"/>
      <c r="J32"/>
    </row>
    <row r="33" spans="1:10" ht="18.75" x14ac:dyDescent="0.15">
      <c r="A33" s="10">
        <f t="shared" ca="1" si="0"/>
        <v>46046.637380671302</v>
      </c>
      <c r="B33" s="5" t="s">
        <v>81</v>
      </c>
      <c r="C33" s="11">
        <v>0.63737268518518497</v>
      </c>
      <c r="D33" s="11" t="s">
        <v>62</v>
      </c>
      <c r="E33" s="11">
        <v>0.75414351851851802</v>
      </c>
      <c r="F33" s="12">
        <f t="shared" si="1"/>
        <v>2.8024999999999931</v>
      </c>
      <c r="G33" s="13">
        <f t="shared" si="2"/>
        <v>2.8024999999999931</v>
      </c>
      <c r="H33" s="13">
        <f t="shared" si="3"/>
        <v>0</v>
      </c>
      <c r="I33"/>
      <c r="J33"/>
    </row>
    <row r="34" spans="1:10" ht="18.75" x14ac:dyDescent="0.15">
      <c r="A34" s="10">
        <f t="shared" ca="1" si="0"/>
        <v>46047.292590277801</v>
      </c>
      <c r="B34" s="5" t="s">
        <v>83</v>
      </c>
      <c r="C34" s="11">
        <v>0.29258101851851898</v>
      </c>
      <c r="D34" s="11" t="s">
        <v>62</v>
      </c>
      <c r="E34" s="11">
        <v>0.464710648148148</v>
      </c>
      <c r="F34" s="12">
        <f t="shared" si="1"/>
        <v>4.1311111111110961</v>
      </c>
      <c r="G34" s="13">
        <f t="shared" si="2"/>
        <v>3.1530555555555599</v>
      </c>
      <c r="H34" s="13">
        <f t="shared" si="3"/>
        <v>0.97805555555553614</v>
      </c>
      <c r="I34"/>
      <c r="J34"/>
    </row>
    <row r="35" spans="1:10" ht="18.75" x14ac:dyDescent="0.15">
      <c r="A35" s="10">
        <f t="shared" ca="1" si="0"/>
        <v>46048.139222916703</v>
      </c>
      <c r="B35" s="5" t="s">
        <v>80</v>
      </c>
      <c r="C35" s="11">
        <v>0.13921296296296301</v>
      </c>
      <c r="D35" s="11" t="s">
        <v>62</v>
      </c>
      <c r="E35" s="11">
        <v>0.29993055555555598</v>
      </c>
      <c r="F35" s="12">
        <f t="shared" si="1"/>
        <v>3.857222222222231</v>
      </c>
      <c r="G35" s="13">
        <f t="shared" si="2"/>
        <v>0</v>
      </c>
      <c r="H35" s="13">
        <f t="shared" si="3"/>
        <v>3.857222222222231</v>
      </c>
      <c r="I35"/>
      <c r="J35"/>
    </row>
    <row r="36" spans="1:10" ht="18.75" x14ac:dyDescent="0.15">
      <c r="A36" s="10">
        <f t="shared" ca="1" si="0"/>
        <v>46051.133206018501</v>
      </c>
      <c r="B36" s="5" t="s">
        <v>84</v>
      </c>
      <c r="C36" s="11">
        <v>0.13320601851851899</v>
      </c>
      <c r="D36" s="11" t="s">
        <v>62</v>
      </c>
      <c r="E36" s="11">
        <v>0.22259259259259301</v>
      </c>
      <c r="F36" s="12">
        <f t="shared" si="1"/>
        <v>2.1452777777777765</v>
      </c>
      <c r="G36" s="13">
        <f t="shared" si="2"/>
        <v>0</v>
      </c>
      <c r="H36" s="13">
        <f t="shared" si="3"/>
        <v>2.1452777777777765</v>
      </c>
      <c r="I36"/>
      <c r="J36"/>
    </row>
    <row r="37" spans="1:10" ht="18.75" x14ac:dyDescent="0.15">
      <c r="A37" s="10">
        <f t="shared" ca="1" si="0"/>
        <v>46051.9516141204</v>
      </c>
      <c r="B37" s="5" t="s">
        <v>78</v>
      </c>
      <c r="C37" s="11">
        <v>0.95160879629629602</v>
      </c>
      <c r="D37" s="11" t="s">
        <v>62</v>
      </c>
      <c r="E37" s="11">
        <v>0.12178240740740701</v>
      </c>
      <c r="F37" s="12">
        <f t="shared" si="1"/>
        <v>4.0841666666666638</v>
      </c>
      <c r="G37" s="13">
        <f t="shared" si="2"/>
        <v>1.1613888888888955</v>
      </c>
      <c r="H37" s="13">
        <f t="shared" si="3"/>
        <v>2.9227777777777684</v>
      </c>
      <c r="I37"/>
      <c r="J37"/>
    </row>
  </sheetData>
  <autoFilter ref="A2:K37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7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4"/>
  <sheetViews>
    <sheetView zoomScale="85" zoomScaleNormal="85" workbookViewId="0">
      <selection activeCell="G46" sqref="G4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4" ca="1" si="0">IF(B3="","",IF(A3="",NOW(),A3))</f>
        <v>46023.131502314798</v>
      </c>
      <c r="B3" s="5" t="s">
        <v>84</v>
      </c>
      <c r="C3" s="11">
        <v>0.13149305555555599</v>
      </c>
      <c r="D3" s="11" t="s">
        <v>62</v>
      </c>
      <c r="E3" s="11">
        <v>0.23806712962963</v>
      </c>
      <c r="F3" s="12">
        <f t="shared" ref="F3:F24" si="1">(IF(E3-C3&lt;0,"24:00"-C3+E3,E3-C3))*24</f>
        <v>2.5577777777777762</v>
      </c>
      <c r="G3" s="13">
        <f t="shared" ref="G3:G24" si="2">F3-H3</f>
        <v>0</v>
      </c>
      <c r="H3" s="13">
        <f t="shared" ref="H3:H24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2.5577777777777762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46023.952535300901</v>
      </c>
      <c r="B4" s="5" t="s">
        <v>83</v>
      </c>
      <c r="C4" s="11">
        <v>0.95253472222222202</v>
      </c>
      <c r="D4" s="11" t="s">
        <v>62</v>
      </c>
      <c r="E4" s="11">
        <v>0.123865740740741</v>
      </c>
      <c r="F4" s="12">
        <f t="shared" si="1"/>
        <v>4.1119444444444557</v>
      </c>
      <c r="G4" s="13">
        <f t="shared" si="2"/>
        <v>1.1391666666666715</v>
      </c>
      <c r="H4" s="13">
        <f t="shared" si="3"/>
        <v>2.9727777777777842</v>
      </c>
      <c r="I4" s="21" t="s">
        <v>64</v>
      </c>
      <c r="J4" s="22">
        <f>SUMIF(B:B,"西塔台管制席",F:F)+SUMIF(B:B,"东塔台管制席",F:F)</f>
        <v>25.798333333333311</v>
      </c>
      <c r="K4" s="23">
        <f>SUMIF(B:B,"西塔台管制席",G:G)+SUMIF(B:B,"东塔台管制席",G:G)</f>
        <v>17.861111111111089</v>
      </c>
      <c r="L4" s="23">
        <f>SUMIF(B:B,"西塔台管制席",H:H)+SUMIF(B:B,"东塔台管制席",H:H)</f>
        <v>7.9372222222222248</v>
      </c>
      <c r="M4" s="19"/>
    </row>
    <row r="5" spans="1:16" ht="18.75" x14ac:dyDescent="0.25">
      <c r="A5" s="10">
        <f t="shared" ca="1" si="0"/>
        <v>46026.521721296303</v>
      </c>
      <c r="B5" s="5" t="s">
        <v>80</v>
      </c>
      <c r="C5" s="11">
        <v>0.52177083333333296</v>
      </c>
      <c r="D5" s="11" t="s">
        <v>62</v>
      </c>
      <c r="E5" s="11">
        <v>0.69920138888888905</v>
      </c>
      <c r="F5" s="12">
        <f t="shared" si="1"/>
        <v>4.2583333333333462</v>
      </c>
      <c r="G5" s="13">
        <f t="shared" si="2"/>
        <v>4.2583333333333462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33.134444444444455</v>
      </c>
      <c r="K5" s="23">
        <f>SUMIF(B:B,"西塔台协调席",G:G)+SUMIF(B:B,"东塔台协调席",G:G)</f>
        <v>23.61500000000002</v>
      </c>
      <c r="L5" s="23">
        <f>SUMIF(B:B,"西塔台协调席",H:H)+SUMIF(B:B,"东塔台协调席",H:H)</f>
        <v>9.5194444444444333</v>
      </c>
      <c r="M5" s="19"/>
    </row>
    <row r="6" spans="1:16" ht="18.75" x14ac:dyDescent="0.25">
      <c r="A6" s="10">
        <f t="shared" ca="1" si="0"/>
        <v>46026.7723633102</v>
      </c>
      <c r="B6" s="5" t="s">
        <v>78</v>
      </c>
      <c r="C6" s="11">
        <v>0.77236111111111105</v>
      </c>
      <c r="D6" s="11" t="s">
        <v>62</v>
      </c>
      <c r="E6" s="11">
        <v>0.86210648148148195</v>
      </c>
      <c r="F6" s="12">
        <f t="shared" si="1"/>
        <v>2.1538888888889014</v>
      </c>
      <c r="G6" s="13">
        <f t="shared" si="2"/>
        <v>2.1538888888889014</v>
      </c>
      <c r="H6" s="13">
        <f t="shared" si="3"/>
        <v>0</v>
      </c>
      <c r="I6" s="21" t="s">
        <v>66</v>
      </c>
      <c r="J6" s="22">
        <f>SUMIF(B:B,"放行席",F:F)</f>
        <v>2.5577777777777762</v>
      </c>
      <c r="K6" s="23">
        <f>SUMIF(B:B,"放行席",G:G)</f>
        <v>0</v>
      </c>
      <c r="L6" s="23">
        <f>SUMIF(B:B,"放行席",H:H)</f>
        <v>2.5577777777777762</v>
      </c>
      <c r="M6" s="19"/>
    </row>
    <row r="7" spans="1:16" ht="18.75" x14ac:dyDescent="0.25">
      <c r="A7" s="10">
        <f t="shared" ca="1" si="0"/>
        <v>46027.417825231503</v>
      </c>
      <c r="B7" s="5" t="s">
        <v>81</v>
      </c>
      <c r="C7" s="11">
        <v>0.41782407407407401</v>
      </c>
      <c r="D7" s="11" t="s">
        <v>62</v>
      </c>
      <c r="E7" s="11">
        <v>0.52609953703703705</v>
      </c>
      <c r="F7" s="12">
        <f t="shared" si="1"/>
        <v>2.5986111111111128</v>
      </c>
      <c r="G7" s="13">
        <f t="shared" si="2"/>
        <v>2.5986111111111128</v>
      </c>
      <c r="H7" s="13">
        <f t="shared" si="3"/>
        <v>0</v>
      </c>
      <c r="I7" s="21" t="s">
        <v>67</v>
      </c>
      <c r="J7" s="22">
        <f>SUMIF(B:B,"地面席",F:F)</f>
        <v>1.8994444444444314</v>
      </c>
      <c r="K7" s="23">
        <f>SUMIF(B:B,"地面席",G:G)</f>
        <v>0</v>
      </c>
      <c r="L7" s="23">
        <f>SUMIF(B:B,"地面席",H:H)</f>
        <v>1.8994444444444314</v>
      </c>
      <c r="M7" s="19"/>
    </row>
    <row r="8" spans="1:16" ht="18.75" x14ac:dyDescent="0.25">
      <c r="A8" s="10">
        <f t="shared" ca="1" si="0"/>
        <v>46027.646850578698</v>
      </c>
      <c r="B8" s="5" t="s">
        <v>83</v>
      </c>
      <c r="C8" s="11">
        <v>0.64684027777777797</v>
      </c>
      <c r="D8" s="11" t="s">
        <v>62</v>
      </c>
      <c r="E8" s="11">
        <v>0.778634259259259</v>
      </c>
      <c r="F8" s="12">
        <f t="shared" si="1"/>
        <v>3.1630555555555446</v>
      </c>
      <c r="G8" s="13">
        <f t="shared" si="2"/>
        <v>3.1630555555555446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46027.834154976903</v>
      </c>
      <c r="B9" s="5" t="s">
        <v>81</v>
      </c>
      <c r="C9" s="11">
        <v>0.83415509259259302</v>
      </c>
      <c r="D9" s="11" t="s">
        <v>62</v>
      </c>
      <c r="E9" s="11">
        <v>0.956898148148148</v>
      </c>
      <c r="F9" s="12">
        <f t="shared" si="1"/>
        <v>2.9458333333333195</v>
      </c>
      <c r="G9" s="13">
        <f t="shared" si="2"/>
        <v>2.9458333333333195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46028.292833217602</v>
      </c>
      <c r="B10" s="5" t="s">
        <v>83</v>
      </c>
      <c r="C10" s="11">
        <v>0.29282407407407401</v>
      </c>
      <c r="D10" s="11" t="s">
        <v>62</v>
      </c>
      <c r="E10" s="11">
        <v>0.36347222222222197</v>
      </c>
      <c r="F10" s="12">
        <f t="shared" si="1"/>
        <v>1.695555555555551</v>
      </c>
      <c r="G10" s="13">
        <f t="shared" si="2"/>
        <v>0.72333333333333583</v>
      </c>
      <c r="H10" s="13">
        <f t="shared" si="3"/>
        <v>0.97222222222221522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46031.014049189798</v>
      </c>
      <c r="B11" s="5" t="s">
        <v>83</v>
      </c>
      <c r="C11" s="11">
        <v>1.40393518518519E-2</v>
      </c>
      <c r="D11" s="11" t="s">
        <v>62</v>
      </c>
      <c r="E11" s="11">
        <v>0.145763888888889</v>
      </c>
      <c r="F11" s="12">
        <f t="shared" si="1"/>
        <v>3.1613888888888901</v>
      </c>
      <c r="G11" s="13">
        <f t="shared" si="2"/>
        <v>0</v>
      </c>
      <c r="H11" s="13">
        <f t="shared" si="3"/>
        <v>3.1613888888888901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46032.1396304398</v>
      </c>
      <c r="B12" s="5" t="s">
        <v>81</v>
      </c>
      <c r="C12" s="11">
        <v>0.13962962962962999</v>
      </c>
      <c r="D12" s="11" t="s">
        <v>62</v>
      </c>
      <c r="E12" s="11">
        <v>0.29839120370370398</v>
      </c>
      <c r="F12" s="12">
        <f t="shared" si="1"/>
        <v>3.8102777777777757</v>
      </c>
      <c r="G12" s="13">
        <f t="shared" si="2"/>
        <v>0</v>
      </c>
      <c r="H12" s="13">
        <f t="shared" si="3"/>
        <v>3.8102777777777757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46035.1382296296</v>
      </c>
      <c r="B13" s="5" t="s">
        <v>79</v>
      </c>
      <c r="C13" s="11">
        <v>0.13822916666666701</v>
      </c>
      <c r="D13" s="11" t="s">
        <v>62</v>
      </c>
      <c r="E13" s="11">
        <v>0.21737268518518499</v>
      </c>
      <c r="F13" s="12">
        <f t="shared" si="1"/>
        <v>1.8994444444444314</v>
      </c>
      <c r="G13" s="13">
        <f t="shared" si="2"/>
        <v>0</v>
      </c>
      <c r="H13" s="13">
        <f t="shared" si="3"/>
        <v>1.8994444444444314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46036.014734375</v>
      </c>
      <c r="B14" s="5" t="s">
        <v>80</v>
      </c>
      <c r="C14" s="11">
        <v>1.47337962962963E-2</v>
      </c>
      <c r="D14" s="11" t="s">
        <v>62</v>
      </c>
      <c r="E14" s="11">
        <v>0.146516203703704</v>
      </c>
      <c r="F14" s="12">
        <f t="shared" si="1"/>
        <v>3.162777777777785</v>
      </c>
      <c r="G14" s="13">
        <f t="shared" si="2"/>
        <v>0</v>
      </c>
      <c r="H14" s="13">
        <f t="shared" si="3"/>
        <v>3.162777777777785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46038.646917939797</v>
      </c>
      <c r="B15" s="5" t="s">
        <v>78</v>
      </c>
      <c r="C15" s="11">
        <v>0.64690972222222198</v>
      </c>
      <c r="D15" s="11" t="s">
        <v>62</v>
      </c>
      <c r="E15" s="11">
        <v>0.73611111111111105</v>
      </c>
      <c r="F15" s="12">
        <f t="shared" si="1"/>
        <v>2.1408333333333376</v>
      </c>
      <c r="G15" s="13">
        <f t="shared" si="2"/>
        <v>2.1408333333333376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46038.833999074101</v>
      </c>
      <c r="B16" s="5" t="s">
        <v>80</v>
      </c>
      <c r="C16" s="11">
        <v>0.83399305555555603</v>
      </c>
      <c r="D16" s="11" t="s">
        <v>62</v>
      </c>
      <c r="E16" s="11">
        <v>0.95743055555555501</v>
      </c>
      <c r="F16" s="12">
        <f t="shared" si="1"/>
        <v>2.9624999999999755</v>
      </c>
      <c r="G16" s="13">
        <f t="shared" si="2"/>
        <v>2.9624999999999755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46039.293161921298</v>
      </c>
      <c r="B17" s="5" t="s">
        <v>81</v>
      </c>
      <c r="C17" s="11">
        <v>0.29315972222222197</v>
      </c>
      <c r="D17" s="11" t="s">
        <v>62</v>
      </c>
      <c r="E17" s="11">
        <v>0.422916666666667</v>
      </c>
      <c r="F17" s="12">
        <f t="shared" si="1"/>
        <v>3.1141666666666805</v>
      </c>
      <c r="G17" s="13">
        <f t="shared" si="2"/>
        <v>2.1500000000000163</v>
      </c>
      <c r="H17" s="13">
        <f t="shared" si="3"/>
        <v>0.96416666666666417</v>
      </c>
      <c r="I17" s="35" t="s">
        <v>75</v>
      </c>
      <c r="J17" s="36">
        <f>J4+J5+J6+J7+J10</f>
        <v>63.389999999999979</v>
      </c>
      <c r="K17" s="37">
        <f>K4+K5+K6+K7+K10</f>
        <v>41.476111111111109</v>
      </c>
      <c r="L17" s="38">
        <f>L4+L5+L6+L7+L10</f>
        <v>21.913888888888863</v>
      </c>
      <c r="M17" s="39"/>
    </row>
    <row r="18" spans="1:13" ht="20.25" x14ac:dyDescent="0.25">
      <c r="A18" s="10">
        <f t="shared" ca="1" si="0"/>
        <v>46039.506324305599</v>
      </c>
      <c r="B18" s="5" t="s">
        <v>83</v>
      </c>
      <c r="C18" s="11">
        <v>0.50637731481481496</v>
      </c>
      <c r="D18" s="11" t="s">
        <v>62</v>
      </c>
      <c r="E18" s="11">
        <v>0.634467592592593</v>
      </c>
      <c r="F18" s="12">
        <f t="shared" si="1"/>
        <v>3.0741666666666729</v>
      </c>
      <c r="G18" s="13">
        <f t="shared" si="2"/>
        <v>3.0741666666666729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46046.9529899306</v>
      </c>
      <c r="B19" s="5" t="s">
        <v>83</v>
      </c>
      <c r="C19" s="11">
        <v>0.95298611111111098</v>
      </c>
      <c r="D19" s="11" t="s">
        <v>62</v>
      </c>
      <c r="E19" s="11">
        <v>0.100543981481481</v>
      </c>
      <c r="F19" s="12">
        <f t="shared" si="1"/>
        <v>3.5413888888888803</v>
      </c>
      <c r="G19" s="13">
        <f t="shared" si="2"/>
        <v>1.1283333333333365</v>
      </c>
      <c r="H19" s="13">
        <f t="shared" si="3"/>
        <v>2.4130555555555437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46050.646570023098</v>
      </c>
      <c r="B20" s="5" t="s">
        <v>83</v>
      </c>
      <c r="C20" s="11">
        <v>0.64656250000000004</v>
      </c>
      <c r="D20" s="11" t="s">
        <v>62</v>
      </c>
      <c r="E20" s="11">
        <v>0.73634259259259205</v>
      </c>
      <c r="F20" s="12">
        <f t="shared" si="1"/>
        <v>2.1547222222222082</v>
      </c>
      <c r="G20" s="13">
        <f t="shared" si="2"/>
        <v>2.1547222222222082</v>
      </c>
      <c r="H20" s="13">
        <f t="shared" si="3"/>
        <v>0</v>
      </c>
      <c r="I20" s="40" t="s">
        <v>77</v>
      </c>
      <c r="J20" s="65">
        <f>J16+J17+J18+J19</f>
        <v>63.389999999999979</v>
      </c>
      <c r="K20" s="66"/>
      <c r="L20" s="67"/>
      <c r="M20" s="41"/>
    </row>
    <row r="21" spans="1:13" ht="20.25" x14ac:dyDescent="0.25">
      <c r="A21" s="10">
        <f t="shared" ca="1" si="0"/>
        <v>46050.8351386574</v>
      </c>
      <c r="B21" s="5" t="s">
        <v>81</v>
      </c>
      <c r="C21" s="11">
        <v>0.83513888888888899</v>
      </c>
      <c r="D21" s="11" t="s">
        <v>62</v>
      </c>
      <c r="E21" s="11">
        <v>0.95788194444444397</v>
      </c>
      <c r="F21" s="12">
        <f t="shared" si="1"/>
        <v>2.9458333333333195</v>
      </c>
      <c r="G21" s="13">
        <f t="shared" si="2"/>
        <v>2.9458333333333195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46051.458462962997</v>
      </c>
      <c r="B22" s="5" t="s">
        <v>78</v>
      </c>
      <c r="C22" s="11">
        <v>0.45846064814814802</v>
      </c>
      <c r="D22" s="11" t="s">
        <v>62</v>
      </c>
      <c r="E22" s="11">
        <v>0.63452546296296297</v>
      </c>
      <c r="F22" s="12">
        <f t="shared" si="1"/>
        <v>4.2255555555555588</v>
      </c>
      <c r="G22" s="13">
        <f t="shared" si="2"/>
        <v>4.2255555555555588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46051.709845370402</v>
      </c>
      <c r="B23" s="5" t="s">
        <v>78</v>
      </c>
      <c r="C23" s="11">
        <v>0.70983796296296298</v>
      </c>
      <c r="D23" s="11" t="s">
        <v>62</v>
      </c>
      <c r="E23" s="11">
        <v>0.75200231481481505</v>
      </c>
      <c r="F23" s="12">
        <f t="shared" si="1"/>
        <v>1.0119444444444499</v>
      </c>
      <c r="G23" s="13">
        <f t="shared" si="2"/>
        <v>1.0119444444444499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46051.770807291701</v>
      </c>
      <c r="B24" s="5" t="s">
        <v>78</v>
      </c>
      <c r="C24" s="11">
        <v>0.77079861111111103</v>
      </c>
      <c r="D24" s="11" t="s">
        <v>62</v>
      </c>
      <c r="E24" s="11">
        <v>0.88329861111111097</v>
      </c>
      <c r="F24" s="12">
        <f t="shared" si="1"/>
        <v>2.6999999999999984</v>
      </c>
      <c r="G24" s="13">
        <f t="shared" si="2"/>
        <v>2.6999999999999984</v>
      </c>
      <c r="H24" s="13">
        <f t="shared" si="3"/>
        <v>0</v>
      </c>
      <c r="I24"/>
      <c r="J24"/>
    </row>
  </sheetData>
  <autoFilter ref="A2:K24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4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30"/>
  <sheetViews>
    <sheetView zoomScale="85" zoomScaleNormal="85" workbookViewId="0">
      <selection activeCell="F43" sqref="F4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30" ca="1" si="0">IF(B3="","",IF(A3="",NOW(),A3))</f>
        <v>46023.1402908565</v>
      </c>
      <c r="B3" s="5" t="s">
        <v>80</v>
      </c>
      <c r="C3" s="11">
        <v>0.14028935185185201</v>
      </c>
      <c r="D3" s="11" t="s">
        <v>62</v>
      </c>
      <c r="E3" s="11">
        <v>0.24039351851851901</v>
      </c>
      <c r="F3" s="12">
        <f t="shared" ref="F3:F30" si="1">(IF(E3-C3&lt;0,"24:00"-C3+E3,E3-C3))*24</f>
        <v>2.4025000000000079</v>
      </c>
      <c r="G3" s="13">
        <f t="shared" ref="G3:G30" si="2">F3-H3</f>
        <v>0</v>
      </c>
      <c r="H3" s="13">
        <f t="shared" ref="H3:H30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2.4025000000000079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46023.516033333297</v>
      </c>
      <c r="B4" s="5" t="s">
        <v>82</v>
      </c>
      <c r="C4" s="11">
        <v>0.51603009259259303</v>
      </c>
      <c r="D4" s="11" t="s">
        <v>62</v>
      </c>
      <c r="E4" s="11">
        <v>0.73863425925925896</v>
      </c>
      <c r="F4" s="12">
        <f t="shared" si="1"/>
        <v>5.3424999999999825</v>
      </c>
      <c r="G4" s="13">
        <f t="shared" si="2"/>
        <v>5.3424999999999825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29.145277777777736</v>
      </c>
      <c r="K4" s="23">
        <f>SUMIF(B:B,"西塔台管制席",G:G)+SUMIF(B:B,"东塔台管制席",G:G)</f>
        <v>13.151666666666666</v>
      </c>
      <c r="L4" s="23">
        <f>SUMIF(B:B,"西塔台管制席",H:H)+SUMIF(B:B,"东塔台管制席",H:H)</f>
        <v>15.993611111111072</v>
      </c>
      <c r="M4" s="19"/>
    </row>
    <row r="5" spans="1:16" ht="18.75" x14ac:dyDescent="0.25">
      <c r="A5" s="10">
        <f t="shared" ca="1" si="0"/>
        <v>46026.354885300898</v>
      </c>
      <c r="B5" s="5" t="s">
        <v>78</v>
      </c>
      <c r="C5" s="11">
        <v>0.35488425925925898</v>
      </c>
      <c r="D5" s="11" t="s">
        <v>62</v>
      </c>
      <c r="E5" s="11">
        <v>0.52806712962962998</v>
      </c>
      <c r="F5" s="12">
        <f t="shared" si="1"/>
        <v>4.1563888888889036</v>
      </c>
      <c r="G5" s="13">
        <f t="shared" si="2"/>
        <v>4.1563888888889036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29.996388888888937</v>
      </c>
      <c r="K5" s="23">
        <f>SUMIF(B:B,"西塔台协调席",G:G)+SUMIF(B:B,"东塔台协调席",G:G)</f>
        <v>25.451666666666739</v>
      </c>
      <c r="L5" s="23">
        <f>SUMIF(B:B,"西塔台协调席",H:H)+SUMIF(B:B,"东塔台协调席",H:H)</f>
        <v>4.5447222222221999</v>
      </c>
      <c r="M5" s="19"/>
    </row>
    <row r="6" spans="1:16" ht="18.75" x14ac:dyDescent="0.25">
      <c r="A6" s="10">
        <f t="shared" ca="1" si="0"/>
        <v>46026.696087847202</v>
      </c>
      <c r="B6" s="5" t="s">
        <v>80</v>
      </c>
      <c r="C6" s="11">
        <v>0.69608796296296305</v>
      </c>
      <c r="D6" s="11" t="s">
        <v>62</v>
      </c>
      <c r="E6" s="11">
        <v>0.77905092592592595</v>
      </c>
      <c r="F6" s="12">
        <f t="shared" si="1"/>
        <v>1.9911111111111097</v>
      </c>
      <c r="G6" s="13">
        <f t="shared" si="2"/>
        <v>1.9911111111111097</v>
      </c>
      <c r="H6" s="13">
        <f t="shared" si="3"/>
        <v>0</v>
      </c>
      <c r="I6" s="21" t="s">
        <v>66</v>
      </c>
      <c r="J6" s="22">
        <f>SUMIF(B:B,"放行席",F:F)</f>
        <v>2.034166666666656</v>
      </c>
      <c r="K6" s="23">
        <f>SUMIF(B:B,"放行席",G:G)</f>
        <v>0</v>
      </c>
      <c r="L6" s="23">
        <f>SUMIF(B:B,"放行席",H:H)</f>
        <v>2.034166666666656</v>
      </c>
      <c r="M6" s="19"/>
    </row>
    <row r="7" spans="1:16" ht="18.75" x14ac:dyDescent="0.25">
      <c r="A7" s="10">
        <f t="shared" ca="1" si="0"/>
        <v>46026.855146412003</v>
      </c>
      <c r="B7" s="5" t="s">
        <v>78</v>
      </c>
      <c r="C7" s="11">
        <v>0.855138888888889</v>
      </c>
      <c r="D7" s="11" t="s">
        <v>62</v>
      </c>
      <c r="E7" s="11">
        <v>0.95679398148148198</v>
      </c>
      <c r="F7" s="12">
        <f t="shared" si="1"/>
        <v>2.4397222222222315</v>
      </c>
      <c r="G7" s="13">
        <f t="shared" si="2"/>
        <v>2.4397222222222315</v>
      </c>
      <c r="H7" s="13">
        <f t="shared" si="3"/>
        <v>0</v>
      </c>
      <c r="I7" s="21" t="s">
        <v>67</v>
      </c>
      <c r="J7" s="22">
        <f>SUMIF(B:B,"地面席",F:F)</f>
        <v>4.2977777777777764</v>
      </c>
      <c r="K7" s="23">
        <f>SUMIF(B:B,"地面席",G:G)</f>
        <v>0</v>
      </c>
      <c r="L7" s="23">
        <f>SUMIF(B:B,"地面席",H:H)</f>
        <v>4.2977777777777764</v>
      </c>
      <c r="M7" s="19"/>
    </row>
    <row r="8" spans="1:16" ht="18.75" x14ac:dyDescent="0.25">
      <c r="A8" s="10">
        <f t="shared" ca="1" si="0"/>
        <v>46027.2921241898</v>
      </c>
      <c r="B8" s="5" t="s">
        <v>81</v>
      </c>
      <c r="C8" s="11">
        <v>0.29211805555555598</v>
      </c>
      <c r="D8" s="11" t="s">
        <v>62</v>
      </c>
      <c r="E8" s="11">
        <v>0.42350694444444398</v>
      </c>
      <c r="F8" s="12">
        <f t="shared" si="1"/>
        <v>3.153333333333312</v>
      </c>
      <c r="G8" s="13">
        <f t="shared" si="2"/>
        <v>2.1641666666666639</v>
      </c>
      <c r="H8" s="13">
        <f t="shared" si="3"/>
        <v>0.9891666666666481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46027.5217416667</v>
      </c>
      <c r="B9" s="5" t="s">
        <v>83</v>
      </c>
      <c r="C9" s="11">
        <v>0.52173611111111096</v>
      </c>
      <c r="D9" s="11" t="s">
        <v>62</v>
      </c>
      <c r="E9" s="11">
        <v>0.651516203703704</v>
      </c>
      <c r="F9" s="12">
        <f t="shared" si="1"/>
        <v>3.1147222222222331</v>
      </c>
      <c r="G9" s="13">
        <f t="shared" si="2"/>
        <v>3.1147222222222331</v>
      </c>
      <c r="H9" s="13">
        <f t="shared" si="3"/>
        <v>0</v>
      </c>
      <c r="I9" s="21" t="s">
        <v>69</v>
      </c>
      <c r="J9" s="22">
        <f>SUMIF(B:B,"航班调度席",F:F)</f>
        <v>8.0363888888888653</v>
      </c>
      <c r="K9" s="23">
        <f>SUMIF(B:B,"航班调度席",G:G)</f>
        <v>8.0363888888888653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46030.952325694401</v>
      </c>
      <c r="B10" s="5" t="s">
        <v>78</v>
      </c>
      <c r="C10" s="11">
        <v>0.95231481481481495</v>
      </c>
      <c r="D10" s="11" t="s">
        <v>62</v>
      </c>
      <c r="E10" s="11">
        <v>0.12678240740740701</v>
      </c>
      <c r="F10" s="12">
        <f t="shared" si="1"/>
        <v>4.1872222222222097</v>
      </c>
      <c r="G10" s="13">
        <f t="shared" si="2"/>
        <v>1.1444444444444413</v>
      </c>
      <c r="H10" s="13">
        <f t="shared" si="3"/>
        <v>3.0427777777777685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46031.772595833303</v>
      </c>
      <c r="B11" s="5" t="s">
        <v>83</v>
      </c>
      <c r="C11" s="11">
        <v>0.77259259259259305</v>
      </c>
      <c r="D11" s="11" t="s">
        <v>62</v>
      </c>
      <c r="E11" s="11">
        <v>0.83836805555555605</v>
      </c>
      <c r="F11" s="12">
        <f t="shared" si="1"/>
        <v>1.5786111111111119</v>
      </c>
      <c r="G11" s="13">
        <f t="shared" si="2"/>
        <v>1.5786111111111119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46032.138817245403</v>
      </c>
      <c r="B12" s="5" t="s">
        <v>79</v>
      </c>
      <c r="C12" s="11">
        <v>0.13880787037037001</v>
      </c>
      <c r="D12" s="11" t="s">
        <v>62</v>
      </c>
      <c r="E12" s="11">
        <v>0.22505787037037001</v>
      </c>
      <c r="F12" s="12">
        <f t="shared" si="1"/>
        <v>2.0699999999999998</v>
      </c>
      <c r="G12" s="13">
        <f t="shared" si="2"/>
        <v>0</v>
      </c>
      <c r="H12" s="13">
        <f t="shared" si="3"/>
        <v>2.0699999999999998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46035.138324421299</v>
      </c>
      <c r="B13" s="5" t="s">
        <v>81</v>
      </c>
      <c r="C13" s="11">
        <v>0.13832175925925899</v>
      </c>
      <c r="D13" s="11" t="s">
        <v>62</v>
      </c>
      <c r="E13" s="11">
        <v>0.23749999999999999</v>
      </c>
      <c r="F13" s="12">
        <f t="shared" si="1"/>
        <v>2.3802777777777839</v>
      </c>
      <c r="G13" s="13">
        <f t="shared" si="2"/>
        <v>0</v>
      </c>
      <c r="H13" s="13">
        <f t="shared" si="3"/>
        <v>2.3802777777777839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46035.237533217602</v>
      </c>
      <c r="B14" s="5" t="s">
        <v>78</v>
      </c>
      <c r="C14" s="11">
        <v>0.23758101851851901</v>
      </c>
      <c r="D14" s="11" t="s">
        <v>62</v>
      </c>
      <c r="E14" s="11">
        <v>0.30016203703703698</v>
      </c>
      <c r="F14" s="12">
        <f t="shared" si="1"/>
        <v>1.5019444444444312</v>
      </c>
      <c r="G14" s="13">
        <f t="shared" si="2"/>
        <v>0</v>
      </c>
      <c r="H14" s="13">
        <f t="shared" si="3"/>
        <v>1.5019444444444312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46036.137745138898</v>
      </c>
      <c r="B15" s="5" t="s">
        <v>84</v>
      </c>
      <c r="C15" s="11">
        <v>0.13774305555555599</v>
      </c>
      <c r="D15" s="11" t="s">
        <v>62</v>
      </c>
      <c r="E15" s="11">
        <v>0.2225</v>
      </c>
      <c r="F15" s="12">
        <f t="shared" si="1"/>
        <v>2.034166666666656</v>
      </c>
      <c r="G15" s="13">
        <f t="shared" si="2"/>
        <v>0</v>
      </c>
      <c r="H15" s="13">
        <f t="shared" si="3"/>
        <v>2.034166666666656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46038.356320601903</v>
      </c>
      <c r="B16" s="5" t="s">
        <v>78</v>
      </c>
      <c r="C16" s="11">
        <v>0.35631944444444402</v>
      </c>
      <c r="D16" s="11" t="s">
        <v>62</v>
      </c>
      <c r="E16" s="11">
        <v>0.50842592592592595</v>
      </c>
      <c r="F16" s="12">
        <f t="shared" si="1"/>
        <v>3.6505555555555662</v>
      </c>
      <c r="G16" s="13">
        <f t="shared" si="2"/>
        <v>3.6505555555555662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46038.833318518497</v>
      </c>
      <c r="B17" s="5" t="s">
        <v>78</v>
      </c>
      <c r="C17" s="11">
        <v>0.83331018518518496</v>
      </c>
      <c r="D17" s="11" t="s">
        <v>62</v>
      </c>
      <c r="E17" s="11">
        <v>0.86251157407407397</v>
      </c>
      <c r="F17" s="12">
        <f t="shared" si="1"/>
        <v>0.70083333333333631</v>
      </c>
      <c r="G17" s="13">
        <f t="shared" si="2"/>
        <v>0.70083333333333631</v>
      </c>
      <c r="H17" s="13">
        <f t="shared" si="3"/>
        <v>0</v>
      </c>
      <c r="I17" s="35" t="s">
        <v>75</v>
      </c>
      <c r="J17" s="36">
        <f>J4+J5+J6+J7+J10</f>
        <v>65.473611111111111</v>
      </c>
      <c r="K17" s="37">
        <f>K4+K5+K6+K7+K10</f>
        <v>38.603333333333403</v>
      </c>
      <c r="L17" s="38">
        <f>L4+L5+L6+L7+L10</f>
        <v>26.870277777777702</v>
      </c>
      <c r="M17" s="39"/>
    </row>
    <row r="18" spans="1:13" ht="20.25" x14ac:dyDescent="0.25">
      <c r="A18" s="10">
        <f t="shared" ca="1" si="0"/>
        <v>46038.870839351897</v>
      </c>
      <c r="B18" s="5" t="s">
        <v>78</v>
      </c>
      <c r="C18" s="11">
        <v>0.87083333333333302</v>
      </c>
      <c r="D18" s="11" t="s">
        <v>62</v>
      </c>
      <c r="E18" s="11">
        <v>0.95750000000000002</v>
      </c>
      <c r="F18" s="12">
        <f t="shared" si="1"/>
        <v>2.0800000000000081</v>
      </c>
      <c r="G18" s="13">
        <f t="shared" si="2"/>
        <v>2.0800000000000081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46039.624809838002</v>
      </c>
      <c r="B19" s="5" t="s">
        <v>81</v>
      </c>
      <c r="C19" s="11">
        <v>0.62480324074074101</v>
      </c>
      <c r="D19" s="11" t="s">
        <v>62</v>
      </c>
      <c r="E19" s="11">
        <v>0.71325231481481499</v>
      </c>
      <c r="F19" s="12">
        <f t="shared" si="1"/>
        <v>2.1227777777777757</v>
      </c>
      <c r="G19" s="13">
        <f t="shared" si="2"/>
        <v>2.1227777777777757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46039.757070023203</v>
      </c>
      <c r="B20" s="5" t="s">
        <v>83</v>
      </c>
      <c r="C20" s="11">
        <v>0.75706018518518503</v>
      </c>
      <c r="D20" s="11" t="s">
        <v>62</v>
      </c>
      <c r="E20" s="11">
        <v>0.88047453703703704</v>
      </c>
      <c r="F20" s="12">
        <f t="shared" si="1"/>
        <v>2.9619444444444483</v>
      </c>
      <c r="G20" s="13">
        <f t="shared" si="2"/>
        <v>2.9619444444444483</v>
      </c>
      <c r="H20" s="13">
        <f t="shared" si="3"/>
        <v>0</v>
      </c>
      <c r="I20" s="40" t="s">
        <v>77</v>
      </c>
      <c r="J20" s="65">
        <f>J16+J17+J18+J19</f>
        <v>65.473611111111111</v>
      </c>
      <c r="K20" s="66"/>
      <c r="L20" s="67"/>
      <c r="M20" s="41"/>
    </row>
    <row r="21" spans="1:13" ht="20.25" x14ac:dyDescent="0.25">
      <c r="A21" s="10">
        <f t="shared" ca="1" si="0"/>
        <v>46043.011563541702</v>
      </c>
      <c r="B21" s="5" t="s">
        <v>80</v>
      </c>
      <c r="C21" s="11">
        <v>1.15625E-2</v>
      </c>
      <c r="D21" s="11" t="s">
        <v>62</v>
      </c>
      <c r="E21" s="11">
        <v>0.122662037037037</v>
      </c>
      <c r="F21" s="12">
        <f t="shared" si="1"/>
        <v>2.6663888888888878</v>
      </c>
      <c r="G21" s="13">
        <f t="shared" si="2"/>
        <v>0</v>
      </c>
      <c r="H21" s="13">
        <f t="shared" si="3"/>
        <v>2.6663888888888878</v>
      </c>
      <c r="I21" s="42" t="s">
        <v>4</v>
      </c>
      <c r="J21" s="43">
        <f>SUM(J8:J9)</f>
        <v>8.0363888888888653</v>
      </c>
      <c r="K21" s="37">
        <f>SUM(K8:K9)</f>
        <v>8.0363888888888653</v>
      </c>
      <c r="L21" s="38">
        <f>SUM(L8:L9)</f>
        <v>0</v>
      </c>
      <c r="M21" s="44"/>
    </row>
    <row r="22" spans="1:13" ht="18.75" x14ac:dyDescent="0.15">
      <c r="A22" s="10">
        <f t="shared" ca="1" si="0"/>
        <v>46043.122763541702</v>
      </c>
      <c r="B22" s="5" t="s">
        <v>81</v>
      </c>
      <c r="C22" s="11">
        <v>0.12275462962963</v>
      </c>
      <c r="D22" s="11" t="s">
        <v>62</v>
      </c>
      <c r="E22" s="11">
        <v>0.146631944444444</v>
      </c>
      <c r="F22" s="12">
        <f t="shared" si="1"/>
        <v>0.57305555555553578</v>
      </c>
      <c r="G22" s="13">
        <f t="shared" si="2"/>
        <v>0</v>
      </c>
      <c r="H22" s="13">
        <f t="shared" si="3"/>
        <v>0.57305555555553578</v>
      </c>
      <c r="I22"/>
      <c r="J22"/>
    </row>
    <row r="23" spans="1:13" ht="18.75" x14ac:dyDescent="0.15">
      <c r="A23" s="10">
        <f t="shared" ca="1" si="0"/>
        <v>46044.139704976798</v>
      </c>
      <c r="B23" s="5" t="s">
        <v>80</v>
      </c>
      <c r="C23" s="11">
        <v>0.139699074074074</v>
      </c>
      <c r="D23" s="11" t="s">
        <v>62</v>
      </c>
      <c r="E23" s="11">
        <v>0.29908564814814798</v>
      </c>
      <c r="F23" s="12">
        <f t="shared" si="1"/>
        <v>3.8252777777777753</v>
      </c>
      <c r="G23" s="13">
        <f t="shared" si="2"/>
        <v>0</v>
      </c>
      <c r="H23" s="13">
        <f t="shared" si="3"/>
        <v>3.8252777777777753</v>
      </c>
      <c r="I23"/>
      <c r="J23"/>
    </row>
    <row r="24" spans="1:13" ht="18.75" x14ac:dyDescent="0.15">
      <c r="A24" s="10">
        <f t="shared" ca="1" si="0"/>
        <v>46047.135074421298</v>
      </c>
      <c r="B24" s="5" t="s">
        <v>79</v>
      </c>
      <c r="C24" s="11">
        <v>0.13506944444444399</v>
      </c>
      <c r="D24" s="11" t="s">
        <v>62</v>
      </c>
      <c r="E24" s="11">
        <v>0.227893518518518</v>
      </c>
      <c r="F24" s="12">
        <f t="shared" si="1"/>
        <v>2.2277777777777761</v>
      </c>
      <c r="G24" s="13">
        <f t="shared" si="2"/>
        <v>0</v>
      </c>
      <c r="H24" s="13">
        <f t="shared" si="3"/>
        <v>2.2277777777777761</v>
      </c>
      <c r="I24"/>
      <c r="J24"/>
    </row>
    <row r="25" spans="1:13" ht="18.75" x14ac:dyDescent="0.15">
      <c r="A25" s="10">
        <f t="shared" ca="1" si="0"/>
        <v>46048.014315162</v>
      </c>
      <c r="B25" s="5" t="s">
        <v>80</v>
      </c>
      <c r="C25" s="11">
        <v>1.4305555555555601E-2</v>
      </c>
      <c r="D25" s="11" t="s">
        <v>62</v>
      </c>
      <c r="E25" s="11">
        <v>0.14584490740740699</v>
      </c>
      <c r="F25" s="12">
        <f t="shared" si="1"/>
        <v>3.1569444444444335</v>
      </c>
      <c r="G25" s="13">
        <f t="shared" si="2"/>
        <v>0</v>
      </c>
      <c r="H25" s="13">
        <f t="shared" si="3"/>
        <v>3.1569444444444335</v>
      </c>
      <c r="I25"/>
      <c r="J25"/>
    </row>
    <row r="26" spans="1:13" ht="18.75" x14ac:dyDescent="0.15">
      <c r="A26" s="10">
        <f t="shared" ca="1" si="0"/>
        <v>46050.500537036998</v>
      </c>
      <c r="B26" s="5" t="s">
        <v>83</v>
      </c>
      <c r="C26" s="11">
        <v>0.50053240740740701</v>
      </c>
      <c r="D26" s="11" t="s">
        <v>62</v>
      </c>
      <c r="E26" s="11">
        <v>0.65155092592592601</v>
      </c>
      <c r="F26" s="12">
        <f t="shared" si="1"/>
        <v>3.6244444444444559</v>
      </c>
      <c r="G26" s="13">
        <f t="shared" si="2"/>
        <v>3.6244444444444559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46050.731257060201</v>
      </c>
      <c r="B27" s="5" t="s">
        <v>81</v>
      </c>
      <c r="C27" s="11">
        <v>0.73124999999999996</v>
      </c>
      <c r="D27" s="11" t="s">
        <v>62</v>
      </c>
      <c r="E27" s="11">
        <v>0.84031250000000002</v>
      </c>
      <c r="F27" s="12">
        <f t="shared" si="1"/>
        <v>2.6175000000000015</v>
      </c>
      <c r="G27" s="13">
        <f t="shared" si="2"/>
        <v>2.6175000000000015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46051.418003125</v>
      </c>
      <c r="B28" s="5" t="s">
        <v>80</v>
      </c>
      <c r="C28" s="11">
        <v>0.41799768518518499</v>
      </c>
      <c r="D28" s="11" t="s">
        <v>62</v>
      </c>
      <c r="E28" s="11">
        <v>0.50590277777777803</v>
      </c>
      <c r="F28" s="12">
        <f t="shared" si="1"/>
        <v>2.1097222222222332</v>
      </c>
      <c r="G28" s="13">
        <f t="shared" si="2"/>
        <v>2.1097222222222332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46051.624072569401</v>
      </c>
      <c r="B29" s="5" t="s">
        <v>82</v>
      </c>
      <c r="C29" s="11">
        <v>0.62406249999999996</v>
      </c>
      <c r="D29" s="11" t="s">
        <v>62</v>
      </c>
      <c r="E29" s="11">
        <v>0.73630787037037004</v>
      </c>
      <c r="F29" s="12">
        <f t="shared" si="1"/>
        <v>2.6938888888888819</v>
      </c>
      <c r="G29" s="13">
        <f t="shared" si="2"/>
        <v>2.6938888888888819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46051.754960532402</v>
      </c>
      <c r="B30" s="5" t="s">
        <v>80</v>
      </c>
      <c r="C30" s="11">
        <v>0.75495370370370396</v>
      </c>
      <c r="D30" s="11" t="s">
        <v>62</v>
      </c>
      <c r="E30" s="11">
        <v>0.84438657407407403</v>
      </c>
      <c r="F30" s="12">
        <f t="shared" si="1"/>
        <v>2.1463888888888816</v>
      </c>
      <c r="G30" s="13">
        <f t="shared" si="2"/>
        <v>2.1463888888888816</v>
      </c>
      <c r="H30" s="13">
        <f t="shared" si="3"/>
        <v>0</v>
      </c>
      <c r="I30"/>
      <c r="J30"/>
    </row>
  </sheetData>
  <autoFilter ref="A2:K30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30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9"/>
  <sheetViews>
    <sheetView zoomScale="85" zoomScaleNormal="85" workbookViewId="0">
      <selection activeCell="E71" sqref="E7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/>
      <c r="B3" s="5"/>
      <c r="C3" s="11"/>
      <c r="D3" s="11"/>
      <c r="E3" s="11"/>
      <c r="F3" s="12">
        <f t="shared" ref="F3:F29" si="0">(IF(E3-C3&lt;0,"24:00"-C3+E3,E3-C3))*24</f>
        <v>0</v>
      </c>
      <c r="G3" s="13">
        <f t="shared" ref="G3:G29" si="1">F3-H3</f>
        <v>0</v>
      </c>
      <c r="H3" s="13">
        <f t="shared" ref="H3:H29" si="2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97.360833333333318</v>
      </c>
      <c r="K3" s="18">
        <f>SUMIF(B:B,"带班主任",G:G)</f>
        <v>59.572222222222251</v>
      </c>
      <c r="L3" s="18">
        <f>SUMIF(B:B,"带班主任",H:H)</f>
        <v>37.788611111111031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29" ca="1" si="3">IF(B4="","",IF(A4="",NOW(),A4))</f>
        <v>46023.104115046299</v>
      </c>
      <c r="B4" s="5" t="s">
        <v>61</v>
      </c>
      <c r="C4" s="11">
        <v>1.1574074074074101E-5</v>
      </c>
      <c r="D4" s="11" t="s">
        <v>62</v>
      </c>
      <c r="E4" s="11">
        <v>0.139699074074074</v>
      </c>
      <c r="F4" s="12">
        <f t="shared" si="0"/>
        <v>3.3524999999999983</v>
      </c>
      <c r="G4" s="13">
        <f t="shared" si="1"/>
        <v>0</v>
      </c>
      <c r="H4" s="13">
        <f t="shared" si="2"/>
        <v>3.3524999999999983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3"/>
        <v>46023.540017129599</v>
      </c>
      <c r="B5" s="5" t="s">
        <v>61</v>
      </c>
      <c r="C5" s="11">
        <v>0.54001157407407396</v>
      </c>
      <c r="D5" s="11" t="s">
        <v>62</v>
      </c>
      <c r="E5" s="11">
        <v>0.79851851851851896</v>
      </c>
      <c r="F5" s="12">
        <f t="shared" si="0"/>
        <v>6.2041666666666799</v>
      </c>
      <c r="G5" s="13">
        <f t="shared" si="1"/>
        <v>6.2041666666666799</v>
      </c>
      <c r="H5" s="13">
        <f t="shared" si="2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3"/>
        <v>46024.129187268503</v>
      </c>
      <c r="B6" s="5" t="s">
        <v>61</v>
      </c>
      <c r="C6" s="11">
        <v>0.129178240740741</v>
      </c>
      <c r="D6" s="11" t="s">
        <v>62</v>
      </c>
      <c r="E6" s="11">
        <v>0.299456018518518</v>
      </c>
      <c r="F6" s="12">
        <f t="shared" si="0"/>
        <v>4.0866666666666482</v>
      </c>
      <c r="G6" s="13">
        <f t="shared" si="1"/>
        <v>0</v>
      </c>
      <c r="H6" s="13">
        <f t="shared" si="2"/>
        <v>4.0866666666666482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3"/>
        <v>46027.013196759297</v>
      </c>
      <c r="B7" s="5" t="s">
        <v>85</v>
      </c>
      <c r="C7" s="11">
        <v>1.3865740740740699E-2</v>
      </c>
      <c r="D7" s="11" t="s">
        <v>62</v>
      </c>
      <c r="E7" s="11">
        <v>0.142916666666667</v>
      </c>
      <c r="F7" s="12">
        <f t="shared" si="0"/>
        <v>3.0972222222222312</v>
      </c>
      <c r="G7" s="13">
        <f t="shared" si="1"/>
        <v>0</v>
      </c>
      <c r="H7" s="13">
        <f t="shared" si="2"/>
        <v>3.0972222222222312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3"/>
        <v>46028.138304976797</v>
      </c>
      <c r="B8" s="5" t="s">
        <v>85</v>
      </c>
      <c r="C8" s="11">
        <v>0.138298611111111</v>
      </c>
      <c r="D8" s="11" t="s">
        <v>62</v>
      </c>
      <c r="E8" s="11">
        <v>0.29888888888888898</v>
      </c>
      <c r="F8" s="12">
        <f t="shared" si="0"/>
        <v>3.8541666666666714</v>
      </c>
      <c r="G8" s="13">
        <f t="shared" si="1"/>
        <v>0</v>
      </c>
      <c r="H8" s="13">
        <f t="shared" si="2"/>
        <v>3.8541666666666714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3"/>
        <v>46030.349165856504</v>
      </c>
      <c r="B9" s="5" t="s">
        <v>61</v>
      </c>
      <c r="C9" s="11">
        <v>0.34915509259259297</v>
      </c>
      <c r="D9" s="11" t="s">
        <v>62</v>
      </c>
      <c r="E9" s="11">
        <v>0.549722222222222</v>
      </c>
      <c r="F9" s="12">
        <f t="shared" si="0"/>
        <v>4.8136111111110971</v>
      </c>
      <c r="G9" s="13">
        <f t="shared" si="1"/>
        <v>4.8136111111110971</v>
      </c>
      <c r="H9" s="13">
        <f t="shared" si="2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3"/>
        <v>46030.803705208302</v>
      </c>
      <c r="B10" s="5" t="s">
        <v>61</v>
      </c>
      <c r="C10" s="11">
        <v>0.80370370370370403</v>
      </c>
      <c r="D10" s="11" t="s">
        <v>62</v>
      </c>
      <c r="E10" s="11">
        <v>0.94460648148148196</v>
      </c>
      <c r="F10" s="12">
        <f t="shared" si="0"/>
        <v>3.3816666666666704</v>
      </c>
      <c r="G10" s="13">
        <f t="shared" si="1"/>
        <v>3.3816666666666704</v>
      </c>
      <c r="H10" s="13">
        <f t="shared" si="2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3"/>
        <v>46031.539678703703</v>
      </c>
      <c r="B11" s="5" t="s">
        <v>61</v>
      </c>
      <c r="C11" s="11">
        <v>0.53967592592592595</v>
      </c>
      <c r="D11" s="11" t="s">
        <v>62</v>
      </c>
      <c r="E11" s="11">
        <v>0.80837962962962995</v>
      </c>
      <c r="F11" s="12">
        <f t="shared" si="0"/>
        <v>6.448888888888896</v>
      </c>
      <c r="G11" s="13">
        <f t="shared" si="1"/>
        <v>6.448888888888896</v>
      </c>
      <c r="H11" s="13">
        <f t="shared" si="2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3"/>
        <v>46032.290340509302</v>
      </c>
      <c r="B12" s="5" t="s">
        <v>61</v>
      </c>
      <c r="C12" s="11">
        <v>0.290335648148148</v>
      </c>
      <c r="D12" s="11" t="s">
        <v>62</v>
      </c>
      <c r="E12" s="11">
        <v>0.36484953703703699</v>
      </c>
      <c r="F12" s="12">
        <f t="shared" si="0"/>
        <v>1.7883333333333358</v>
      </c>
      <c r="G12" s="13">
        <f t="shared" si="1"/>
        <v>0.7563888888888961</v>
      </c>
      <c r="H12" s="13">
        <f t="shared" si="2"/>
        <v>1.0319444444444397</v>
      </c>
      <c r="I12" s="27" t="s">
        <v>72</v>
      </c>
      <c r="J12" s="28">
        <f>SUMIF(B:B,"管制教员席",F:F)</f>
        <v>6.9513888888889026</v>
      </c>
      <c r="K12" s="29">
        <f>SUMIF(B:B,"管制教员席",G:G)</f>
        <v>0</v>
      </c>
      <c r="L12" s="29">
        <f>SUMIF(B:B,"管制教员席",H:H)</f>
        <v>6.9513888888889026</v>
      </c>
      <c r="M12" s="19"/>
    </row>
    <row r="13" spans="1:16" ht="18.75" x14ac:dyDescent="0.15">
      <c r="A13" s="10">
        <f t="shared" ca="1" si="3"/>
        <v>46035.129346990703</v>
      </c>
      <c r="B13" s="5" t="s">
        <v>61</v>
      </c>
      <c r="C13" s="11">
        <v>0.12934027777777801</v>
      </c>
      <c r="D13" s="11" t="s">
        <v>62</v>
      </c>
      <c r="E13" s="11">
        <v>0.29861111111111099</v>
      </c>
      <c r="F13" s="12">
        <f t="shared" si="0"/>
        <v>4.0624999999999911</v>
      </c>
      <c r="G13" s="13">
        <f t="shared" si="1"/>
        <v>0</v>
      </c>
      <c r="H13" s="13">
        <f t="shared" si="2"/>
        <v>4.0624999999999911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3"/>
        <v>46035.983440162003</v>
      </c>
      <c r="B14" s="5" t="s">
        <v>61</v>
      </c>
      <c r="C14" s="11">
        <v>0.98343749999999996</v>
      </c>
      <c r="D14" s="11" t="s">
        <v>62</v>
      </c>
      <c r="E14" s="11">
        <v>0.14206018518518501</v>
      </c>
      <c r="F14" s="12">
        <f t="shared" si="0"/>
        <v>3.8069444444444409</v>
      </c>
      <c r="G14" s="13">
        <f t="shared" si="1"/>
        <v>0.39750000000000085</v>
      </c>
      <c r="H14" s="13">
        <f t="shared" si="2"/>
        <v>3.4094444444444401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3"/>
        <v>46038.5426105324</v>
      </c>
      <c r="B15" s="5" t="s">
        <v>61</v>
      </c>
      <c r="C15" s="11">
        <v>0.542604166666667</v>
      </c>
      <c r="D15" s="11" t="s">
        <v>62</v>
      </c>
      <c r="E15" s="11">
        <v>0.79730324074074099</v>
      </c>
      <c r="F15" s="12">
        <f t="shared" si="0"/>
        <v>6.1127777777777759</v>
      </c>
      <c r="G15" s="13">
        <f t="shared" si="1"/>
        <v>6.1127777777777759</v>
      </c>
      <c r="H15" s="13">
        <f t="shared" si="2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3"/>
        <v>46039.128824768501</v>
      </c>
      <c r="B16" s="5" t="s">
        <v>61</v>
      </c>
      <c r="C16" s="11">
        <v>0.12881944444444399</v>
      </c>
      <c r="D16" s="11" t="s">
        <v>62</v>
      </c>
      <c r="E16" s="11">
        <v>0.298877314814815</v>
      </c>
      <c r="F16" s="12">
        <f t="shared" si="0"/>
        <v>4.0813888888889043</v>
      </c>
      <c r="G16" s="13">
        <f t="shared" si="1"/>
        <v>0</v>
      </c>
      <c r="H16" s="13">
        <f t="shared" si="2"/>
        <v>4.0813888888889043</v>
      </c>
      <c r="I16" s="35" t="s">
        <v>63</v>
      </c>
      <c r="J16" s="36">
        <f t="shared" ref="J16:L16" si="4">J3</f>
        <v>97.360833333333318</v>
      </c>
      <c r="K16" s="37">
        <f t="shared" si="4"/>
        <v>59.572222222222251</v>
      </c>
      <c r="L16" s="38">
        <f t="shared" si="4"/>
        <v>37.788611111111031</v>
      </c>
      <c r="M16" s="39"/>
    </row>
    <row r="17" spans="1:13" ht="20.25" x14ac:dyDescent="0.25">
      <c r="A17" s="10">
        <f t="shared" ca="1" si="3"/>
        <v>46039.791468750002</v>
      </c>
      <c r="B17" s="5" t="s">
        <v>61</v>
      </c>
      <c r="C17" s="11">
        <v>0.79145833333333304</v>
      </c>
      <c r="D17" s="11" t="s">
        <v>62</v>
      </c>
      <c r="E17" s="11">
        <v>0.94390046296296304</v>
      </c>
      <c r="F17" s="12">
        <f t="shared" si="0"/>
        <v>3.6586111111111199</v>
      </c>
      <c r="G17" s="13">
        <f t="shared" si="1"/>
        <v>3.6586111111111199</v>
      </c>
      <c r="H17" s="13">
        <f t="shared" si="2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3"/>
        <v>46040.290110532398</v>
      </c>
      <c r="B18" s="5" t="s">
        <v>61</v>
      </c>
      <c r="C18" s="11">
        <v>0.290104166666667</v>
      </c>
      <c r="D18" s="11" t="s">
        <v>62</v>
      </c>
      <c r="E18" s="11">
        <v>0.36396990740740698</v>
      </c>
      <c r="F18" s="12">
        <f t="shared" si="0"/>
        <v>1.7727777777777596</v>
      </c>
      <c r="G18" s="13">
        <f t="shared" si="1"/>
        <v>0.73527777777777592</v>
      </c>
      <c r="H18" s="13">
        <f t="shared" si="2"/>
        <v>1.0374999999999837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3"/>
        <v>46042.9215855324</v>
      </c>
      <c r="B19" s="5" t="s">
        <v>61</v>
      </c>
      <c r="C19" s="11">
        <v>0.92158564814814803</v>
      </c>
      <c r="D19" s="11" t="s">
        <v>62</v>
      </c>
      <c r="E19" s="11">
        <v>0.139201388888889</v>
      </c>
      <c r="F19" s="12">
        <f t="shared" si="0"/>
        <v>5.2227777777777833</v>
      </c>
      <c r="G19" s="13">
        <f t="shared" si="1"/>
        <v>1.8819444444444473</v>
      </c>
      <c r="H19" s="13">
        <f t="shared" si="2"/>
        <v>3.340833333333336</v>
      </c>
      <c r="I19" s="35" t="s">
        <v>76</v>
      </c>
      <c r="J19" s="36">
        <f t="shared" ref="J19:L19" si="6">J12</f>
        <v>6.9513888888889026</v>
      </c>
      <c r="K19" s="37">
        <f t="shared" si="6"/>
        <v>0</v>
      </c>
      <c r="L19" s="38">
        <f t="shared" si="6"/>
        <v>6.9513888888889026</v>
      </c>
      <c r="M19" s="39"/>
    </row>
    <row r="20" spans="1:13" ht="20.25" x14ac:dyDescent="0.15">
      <c r="A20" s="10">
        <f t="shared" ca="1" si="3"/>
        <v>46044.127952661998</v>
      </c>
      <c r="B20" s="5" t="s">
        <v>61</v>
      </c>
      <c r="C20" s="11">
        <v>0.12795138888888899</v>
      </c>
      <c r="D20" s="11" t="s">
        <v>62</v>
      </c>
      <c r="E20" s="11">
        <v>0.29913194444444402</v>
      </c>
      <c r="F20" s="12">
        <f t="shared" si="0"/>
        <v>4.108333333333321</v>
      </c>
      <c r="G20" s="13">
        <f t="shared" si="1"/>
        <v>0</v>
      </c>
      <c r="H20" s="13">
        <f t="shared" si="2"/>
        <v>4.108333333333321</v>
      </c>
      <c r="I20" s="40" t="s">
        <v>77</v>
      </c>
      <c r="J20" s="65">
        <f>J16+J17+J18+J19</f>
        <v>104.31222222222222</v>
      </c>
      <c r="K20" s="66"/>
      <c r="L20" s="67"/>
      <c r="M20" s="41"/>
    </row>
    <row r="21" spans="1:13" ht="20.25" x14ac:dyDescent="0.25">
      <c r="A21" s="10">
        <f t="shared" ca="1" si="3"/>
        <v>46046.349468287</v>
      </c>
      <c r="B21" s="5" t="s">
        <v>61</v>
      </c>
      <c r="C21" s="11">
        <v>0.34946759259259302</v>
      </c>
      <c r="D21" s="11" t="s">
        <v>62</v>
      </c>
      <c r="E21" s="11">
        <v>0.43328703703703703</v>
      </c>
      <c r="F21" s="12">
        <f t="shared" si="0"/>
        <v>2.0116666666666561</v>
      </c>
      <c r="G21" s="13">
        <f t="shared" si="1"/>
        <v>2.0116666666666561</v>
      </c>
      <c r="H21" s="13">
        <f t="shared" si="2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3"/>
        <v>46046.440160185201</v>
      </c>
      <c r="B22" s="5" t="s">
        <v>61</v>
      </c>
      <c r="C22" s="11">
        <v>0.44015046296296301</v>
      </c>
      <c r="D22" s="11" t="s">
        <v>62</v>
      </c>
      <c r="E22" s="11">
        <v>0.54684027777777799</v>
      </c>
      <c r="F22" s="12">
        <f t="shared" si="0"/>
        <v>2.5605555555555597</v>
      </c>
      <c r="G22" s="13">
        <f t="shared" si="1"/>
        <v>2.5605555555555597</v>
      </c>
      <c r="H22" s="13">
        <f t="shared" si="2"/>
        <v>0</v>
      </c>
      <c r="I22"/>
      <c r="J22"/>
    </row>
    <row r="23" spans="1:13" ht="18.75" x14ac:dyDescent="0.15">
      <c r="A23" s="10">
        <f t="shared" ca="1" si="3"/>
        <v>46046.7922092593</v>
      </c>
      <c r="B23" s="5" t="s">
        <v>61</v>
      </c>
      <c r="C23" s="11">
        <v>0.79219907407407397</v>
      </c>
      <c r="D23" s="11" t="s">
        <v>62</v>
      </c>
      <c r="E23" s="11">
        <v>0.947696759259259</v>
      </c>
      <c r="F23" s="12">
        <f t="shared" si="0"/>
        <v>3.7319444444444407</v>
      </c>
      <c r="G23" s="13">
        <f t="shared" si="1"/>
        <v>3.7319444444444407</v>
      </c>
      <c r="H23" s="13">
        <f t="shared" si="2"/>
        <v>0</v>
      </c>
      <c r="I23"/>
      <c r="J23"/>
    </row>
    <row r="24" spans="1:13" ht="18.75" x14ac:dyDescent="0.15">
      <c r="A24" s="10">
        <f t="shared" ca="1" si="3"/>
        <v>46047.292951273099</v>
      </c>
      <c r="B24" s="5" t="s">
        <v>61</v>
      </c>
      <c r="C24" s="11">
        <v>0.292951388888889</v>
      </c>
      <c r="D24" s="11" t="s">
        <v>62</v>
      </c>
      <c r="E24" s="11">
        <v>0.54612268518518503</v>
      </c>
      <c r="F24" s="12">
        <f t="shared" si="0"/>
        <v>6.0761111111111052</v>
      </c>
      <c r="G24" s="13">
        <f t="shared" si="1"/>
        <v>5.1069444444444496</v>
      </c>
      <c r="H24" s="13">
        <f t="shared" si="2"/>
        <v>0.96916666666665563</v>
      </c>
      <c r="I24"/>
      <c r="J24"/>
    </row>
    <row r="25" spans="1:13" ht="18.75" x14ac:dyDescent="0.15">
      <c r="A25" s="10">
        <f t="shared" ca="1" si="3"/>
        <v>46047.945704050901</v>
      </c>
      <c r="B25" s="5" t="s">
        <v>61</v>
      </c>
      <c r="C25" s="11">
        <v>0.94569444444444395</v>
      </c>
      <c r="D25" s="11" t="s">
        <v>62</v>
      </c>
      <c r="E25" s="11">
        <v>0.13866898148148099</v>
      </c>
      <c r="F25" s="12">
        <f t="shared" si="0"/>
        <v>4.631388888888889</v>
      </c>
      <c r="G25" s="13">
        <f t="shared" si="1"/>
        <v>1.3033333333333452</v>
      </c>
      <c r="H25" s="13">
        <f t="shared" si="2"/>
        <v>3.3280555555555438</v>
      </c>
      <c r="I25"/>
      <c r="J25"/>
    </row>
    <row r="26" spans="1:13" ht="18.75" x14ac:dyDescent="0.15">
      <c r="A26" s="10">
        <f t="shared" ca="1" si="3"/>
        <v>46050.538102777798</v>
      </c>
      <c r="B26" s="5" t="s">
        <v>61</v>
      </c>
      <c r="C26" s="11">
        <v>0.538101851851852</v>
      </c>
      <c r="D26" s="11" t="s">
        <v>62</v>
      </c>
      <c r="E26" s="11">
        <v>0.79395833333333299</v>
      </c>
      <c r="F26" s="12">
        <f t="shared" si="0"/>
        <v>6.1405555555555438</v>
      </c>
      <c r="G26" s="13">
        <f t="shared" si="1"/>
        <v>6.1405555555555438</v>
      </c>
      <c r="H26" s="13">
        <f t="shared" si="2"/>
        <v>0</v>
      </c>
      <c r="I26"/>
      <c r="J26"/>
    </row>
    <row r="27" spans="1:13" ht="18.75" x14ac:dyDescent="0.15">
      <c r="A27" s="10">
        <f t="shared" ca="1" si="3"/>
        <v>46051.133152777802</v>
      </c>
      <c r="B27" s="5" t="s">
        <v>61</v>
      </c>
      <c r="C27" s="11">
        <v>0.13314814814814799</v>
      </c>
      <c r="D27" s="11" t="s">
        <v>62</v>
      </c>
      <c r="E27" s="11">
        <v>0.29935185185185198</v>
      </c>
      <c r="F27" s="12">
        <f t="shared" si="0"/>
        <v>3.988888888888896</v>
      </c>
      <c r="G27" s="13">
        <f t="shared" si="1"/>
        <v>0</v>
      </c>
      <c r="H27" s="13">
        <f t="shared" si="2"/>
        <v>3.988888888888896</v>
      </c>
      <c r="I27"/>
      <c r="J27"/>
    </row>
    <row r="28" spans="1:13" ht="18.75" x14ac:dyDescent="0.15">
      <c r="A28" s="10">
        <f t="shared" ca="1" si="3"/>
        <v>46051.792505092599</v>
      </c>
      <c r="B28" s="5" t="s">
        <v>61</v>
      </c>
      <c r="C28" s="11">
        <v>0.79249999999999998</v>
      </c>
      <c r="D28" s="11" t="s">
        <v>62</v>
      </c>
      <c r="E28" s="11">
        <v>0.94381944444444399</v>
      </c>
      <c r="F28" s="12">
        <f t="shared" si="0"/>
        <v>3.6316666666666562</v>
      </c>
      <c r="G28" s="13">
        <f t="shared" si="1"/>
        <v>3.6316666666666562</v>
      </c>
      <c r="H28" s="13">
        <f t="shared" si="2"/>
        <v>0</v>
      </c>
      <c r="I28"/>
      <c r="J28"/>
    </row>
    <row r="29" spans="1:13" ht="18.75" x14ac:dyDescent="0.15">
      <c r="A29" s="10">
        <f t="shared" ca="1" si="3"/>
        <v>46052.292033796301</v>
      </c>
      <c r="B29" s="5" t="s">
        <v>61</v>
      </c>
      <c r="C29" s="11">
        <v>0.292025462962963</v>
      </c>
      <c r="D29" s="11" t="s">
        <v>62</v>
      </c>
      <c r="E29" s="11">
        <v>0.36228009259259297</v>
      </c>
      <c r="F29" s="12">
        <f t="shared" si="0"/>
        <v>1.6861111111111193</v>
      </c>
      <c r="G29" s="13">
        <f t="shared" si="1"/>
        <v>0.69472222222223978</v>
      </c>
      <c r="H29" s="13">
        <f t="shared" si="2"/>
        <v>0.99138888888887955</v>
      </c>
      <c r="I29"/>
      <c r="J29"/>
    </row>
  </sheetData>
  <autoFilter ref="A2:K29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9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24"/>
  <sheetViews>
    <sheetView zoomScale="85" zoomScaleNormal="85" workbookViewId="0">
      <selection activeCell="N64" sqref="N6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24" ca="1" si="0">IF(B3="","",IF(A3="",NOW(),A3))</f>
        <v>46023.293229629598</v>
      </c>
      <c r="B3" s="5" t="s">
        <v>85</v>
      </c>
      <c r="C3" s="11">
        <v>0.29322916666666698</v>
      </c>
      <c r="D3" s="11" t="s">
        <v>62</v>
      </c>
      <c r="E3" s="11">
        <v>0.46277777777777801</v>
      </c>
      <c r="F3" s="12">
        <f t="shared" ref="F3:F24" si="1">(IF(E3-C3&lt;0,"24:00"-C3+E3,E3-C3))*24</f>
        <v>4.0691666666666642</v>
      </c>
      <c r="G3" s="13">
        <f t="shared" ref="G3:G24" si="2">F3-H3</f>
        <v>3.1066666666666802</v>
      </c>
      <c r="H3" s="13">
        <f t="shared" ref="H3:H24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0.96249999999998392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46023.627488773098</v>
      </c>
      <c r="B4" s="5" t="s">
        <v>85</v>
      </c>
      <c r="C4" s="11">
        <v>0.62748842592592602</v>
      </c>
      <c r="D4" s="11" t="s">
        <v>62</v>
      </c>
      <c r="E4" s="11">
        <v>0.798564814814815</v>
      </c>
      <c r="F4" s="12">
        <f t="shared" si="1"/>
        <v>4.1058333333333357</v>
      </c>
      <c r="G4" s="13">
        <f t="shared" si="2"/>
        <v>4.1058333333333357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13.528055555555571</v>
      </c>
      <c r="K4" s="23">
        <f>SUMIF(B:B,"西塔台管制席",G:G)+SUMIF(B:B,"东塔台管制席",G:G)</f>
        <v>12.550833333333363</v>
      </c>
      <c r="L4" s="23">
        <f>SUMIF(B:B,"西塔台管制席",H:H)+SUMIF(B:B,"东塔台管制席",H:H)</f>
        <v>0.977222222222208</v>
      </c>
      <c r="M4" s="19"/>
    </row>
    <row r="5" spans="1:16" ht="18.75" x14ac:dyDescent="0.25">
      <c r="A5" s="10">
        <f t="shared" ca="1" si="0"/>
        <v>46026.373492476901</v>
      </c>
      <c r="B5" s="5" t="s">
        <v>82</v>
      </c>
      <c r="C5" s="11">
        <v>0.37348379629629602</v>
      </c>
      <c r="D5" s="11" t="s">
        <v>62</v>
      </c>
      <c r="E5" s="11">
        <v>0.50650462962963005</v>
      </c>
      <c r="F5" s="12">
        <f t="shared" si="1"/>
        <v>3.1925000000000168</v>
      </c>
      <c r="G5" s="13">
        <f t="shared" si="2"/>
        <v>3.1925000000000168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26.228055555555528</v>
      </c>
      <c r="K5" s="23">
        <f>SUMIF(B:B,"西塔台协调席",G:G)+SUMIF(B:B,"东塔台协调席",G:G)</f>
        <v>17.875833333333283</v>
      </c>
      <c r="L5" s="23">
        <f>SUMIF(B:B,"西塔台协调席",H:H)+SUMIF(B:B,"东塔台协调席",H:H)</f>
        <v>8.35222222222224</v>
      </c>
      <c r="M5" s="19"/>
    </row>
    <row r="6" spans="1:16" ht="18.75" x14ac:dyDescent="0.25">
      <c r="A6" s="10">
        <f t="shared" ca="1" si="0"/>
        <v>46026.521564467599</v>
      </c>
      <c r="B6" s="5" t="s">
        <v>82</v>
      </c>
      <c r="C6" s="11">
        <v>0.52156250000000004</v>
      </c>
      <c r="D6" s="11" t="s">
        <v>62</v>
      </c>
      <c r="E6" s="11">
        <v>0.53787037037037</v>
      </c>
      <c r="F6" s="12">
        <f t="shared" si="1"/>
        <v>0.39138888888887902</v>
      </c>
      <c r="G6" s="13">
        <f t="shared" si="2"/>
        <v>0.39138888888887902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46026.599226273102</v>
      </c>
      <c r="B7" s="5" t="s">
        <v>82</v>
      </c>
      <c r="C7" s="11">
        <v>0.59922453703703704</v>
      </c>
      <c r="D7" s="11" t="s">
        <v>62</v>
      </c>
      <c r="E7" s="11">
        <v>0.70686342592592599</v>
      </c>
      <c r="F7" s="12">
        <f t="shared" si="1"/>
        <v>2.5833333333333348</v>
      </c>
      <c r="G7" s="13">
        <f t="shared" si="2"/>
        <v>2.5833333333333348</v>
      </c>
      <c r="H7" s="13">
        <f t="shared" si="3"/>
        <v>0</v>
      </c>
      <c r="I7" s="21" t="s">
        <v>67</v>
      </c>
      <c r="J7" s="22">
        <f>SUMIF(B:B,"地面席",F:F)</f>
        <v>3.9936111111111359</v>
      </c>
      <c r="K7" s="23">
        <f>SUMIF(B:B,"地面席",G:G)</f>
        <v>0</v>
      </c>
      <c r="L7" s="23">
        <f>SUMIF(B:B,"地面席",H:H)</f>
        <v>3.9936111111111359</v>
      </c>
      <c r="M7" s="19"/>
    </row>
    <row r="8" spans="1:16" ht="18.75" x14ac:dyDescent="0.25">
      <c r="A8" s="10">
        <f t="shared" ca="1" si="0"/>
        <v>46027.374893402797</v>
      </c>
      <c r="B8" s="5" t="s">
        <v>82</v>
      </c>
      <c r="C8" s="11">
        <v>0.374884259259259</v>
      </c>
      <c r="D8" s="11" t="s">
        <v>62</v>
      </c>
      <c r="E8" s="11">
        <v>0.41697916666666701</v>
      </c>
      <c r="F8" s="12">
        <f t="shared" si="1"/>
        <v>1.0102777777777923</v>
      </c>
      <c r="G8" s="13">
        <f t="shared" si="2"/>
        <v>1.0102777777777923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46027.581750347199</v>
      </c>
      <c r="B9" s="5" t="s">
        <v>82</v>
      </c>
      <c r="C9" s="11">
        <v>0.58174768518518505</v>
      </c>
      <c r="D9" s="11" t="s">
        <v>62</v>
      </c>
      <c r="E9" s="11">
        <v>0.66478009259259296</v>
      </c>
      <c r="F9" s="12">
        <f t="shared" si="1"/>
        <v>1.99277777777779</v>
      </c>
      <c r="G9" s="13">
        <f t="shared" si="2"/>
        <v>1.99277777777779</v>
      </c>
      <c r="H9" s="13">
        <f t="shared" si="3"/>
        <v>0</v>
      </c>
      <c r="I9" s="21" t="s">
        <v>69</v>
      </c>
      <c r="J9" s="22">
        <f>SUMIF(B:B,"航班调度席",F:F)</f>
        <v>9.1702777777778124</v>
      </c>
      <c r="K9" s="23">
        <f>SUMIF(B:B,"航班调度席",G:G)</f>
        <v>9.1702777777778124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46031.134073726898</v>
      </c>
      <c r="B10" s="5" t="s">
        <v>79</v>
      </c>
      <c r="C10" s="11">
        <v>0.13407407407407401</v>
      </c>
      <c r="D10" s="11" t="s">
        <v>62</v>
      </c>
      <c r="E10" s="11">
        <v>0.216076388888889</v>
      </c>
      <c r="F10" s="12">
        <f t="shared" si="1"/>
        <v>1.9680555555555597</v>
      </c>
      <c r="G10" s="13">
        <f t="shared" si="2"/>
        <v>0</v>
      </c>
      <c r="H10" s="13">
        <f t="shared" si="3"/>
        <v>1.9680555555555597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46031.9525782407</v>
      </c>
      <c r="B11" s="5" t="s">
        <v>83</v>
      </c>
      <c r="C11" s="11">
        <v>0.95256944444444402</v>
      </c>
      <c r="D11" s="11" t="s">
        <v>62</v>
      </c>
      <c r="E11" s="11">
        <v>0.118738425925926</v>
      </c>
      <c r="F11" s="12">
        <f t="shared" si="1"/>
        <v>3.988055555555567</v>
      </c>
      <c r="G11" s="13">
        <f t="shared" si="2"/>
        <v>1.138333333333343</v>
      </c>
      <c r="H11" s="13">
        <f t="shared" si="3"/>
        <v>2.849722222222224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46034.499506597203</v>
      </c>
      <c r="B12" s="5" t="s">
        <v>83</v>
      </c>
      <c r="C12" s="11">
        <v>0.499502314814815</v>
      </c>
      <c r="D12" s="11" t="s">
        <v>62</v>
      </c>
      <c r="E12" s="11">
        <v>0.63052083333333298</v>
      </c>
      <c r="F12" s="12">
        <f t="shared" si="1"/>
        <v>3.1444444444444315</v>
      </c>
      <c r="G12" s="13">
        <f t="shared" si="2"/>
        <v>3.1444444444444315</v>
      </c>
      <c r="H12" s="13">
        <f t="shared" si="3"/>
        <v>0</v>
      </c>
      <c r="I12" s="27" t="s">
        <v>72</v>
      </c>
      <c r="J12" s="28">
        <f>SUMIF(B:B,"管制教员席",F:F)</f>
        <v>8.1750000000000007</v>
      </c>
      <c r="K12" s="29">
        <f>SUMIF(B:B,"管制教员席",G:G)</f>
        <v>7.2125000000000163</v>
      </c>
      <c r="L12" s="29">
        <f>SUMIF(B:B,"管制教员席",H:H)</f>
        <v>0.96249999999998392</v>
      </c>
      <c r="M12" s="19"/>
    </row>
    <row r="13" spans="1:16" ht="18.75" x14ac:dyDescent="0.15">
      <c r="A13" s="10">
        <f t="shared" ca="1" si="0"/>
        <v>46034.750845833303</v>
      </c>
      <c r="B13" s="5" t="s">
        <v>81</v>
      </c>
      <c r="C13" s="11">
        <v>0.75084490740740695</v>
      </c>
      <c r="D13" s="11" t="s">
        <v>62</v>
      </c>
      <c r="E13" s="11">
        <v>0.88219907407407405</v>
      </c>
      <c r="F13" s="12">
        <f t="shared" si="1"/>
        <v>3.1525000000000105</v>
      </c>
      <c r="G13" s="13">
        <f t="shared" si="2"/>
        <v>3.1525000000000105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46035.416962847201</v>
      </c>
      <c r="B14" s="5" t="s">
        <v>83</v>
      </c>
      <c r="C14" s="11">
        <v>0.41695601851851899</v>
      </c>
      <c r="D14" s="11" t="s">
        <v>62</v>
      </c>
      <c r="E14" s="11">
        <v>0.546145833333333</v>
      </c>
      <c r="F14" s="12">
        <f t="shared" si="1"/>
        <v>3.1005555555555362</v>
      </c>
      <c r="G14" s="13">
        <f t="shared" si="2"/>
        <v>3.1005555555555362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46035.667007291697</v>
      </c>
      <c r="B15" s="5" t="s">
        <v>81</v>
      </c>
      <c r="C15" s="11">
        <v>0.66700231481481498</v>
      </c>
      <c r="D15" s="11" t="s">
        <v>62</v>
      </c>
      <c r="E15" s="11">
        <v>0.80452546296296301</v>
      </c>
      <c r="F15" s="12">
        <f t="shared" si="1"/>
        <v>3.3005555555555528</v>
      </c>
      <c r="G15" s="13">
        <f t="shared" si="2"/>
        <v>3.3005555555555528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46035.876304166697</v>
      </c>
      <c r="B16" s="5" t="s">
        <v>83</v>
      </c>
      <c r="C16" s="11">
        <v>0.87629629629629602</v>
      </c>
      <c r="D16" s="11" t="s">
        <v>62</v>
      </c>
      <c r="E16" s="11">
        <v>0.95631944444444394</v>
      </c>
      <c r="F16" s="12">
        <f t="shared" si="1"/>
        <v>1.9205555555555502</v>
      </c>
      <c r="G16" s="13">
        <f t="shared" si="2"/>
        <v>1.9205555555555502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46036.292621412002</v>
      </c>
      <c r="B17" s="5" t="s">
        <v>81</v>
      </c>
      <c r="C17" s="11">
        <v>0.29261574074074098</v>
      </c>
      <c r="D17" s="11" t="s">
        <v>62</v>
      </c>
      <c r="E17" s="11">
        <v>0.36554398148148098</v>
      </c>
      <c r="F17" s="12">
        <f t="shared" si="1"/>
        <v>1.7502777777777601</v>
      </c>
      <c r="G17" s="13">
        <f t="shared" si="2"/>
        <v>0.77305555555555205</v>
      </c>
      <c r="H17" s="13">
        <f t="shared" si="3"/>
        <v>0.977222222222208</v>
      </c>
      <c r="I17" s="35" t="s">
        <v>75</v>
      </c>
      <c r="J17" s="36">
        <f>J4+J5+J6+J7+J10</f>
        <v>43.749722222222232</v>
      </c>
      <c r="K17" s="37">
        <f>K4+K5+K6+K7+K10</f>
        <v>30.426666666666648</v>
      </c>
      <c r="L17" s="38">
        <f>L4+L5+L6+L7+L10</f>
        <v>13.323055555555584</v>
      </c>
      <c r="M17" s="39"/>
    </row>
    <row r="18" spans="1:13" ht="20.25" x14ac:dyDescent="0.25">
      <c r="A18" s="10">
        <f t="shared" ca="1" si="0"/>
        <v>46038.952141203699</v>
      </c>
      <c r="B18" s="5" t="s">
        <v>78</v>
      </c>
      <c r="C18" s="11">
        <v>0.95214120370370403</v>
      </c>
      <c r="D18" s="11" t="s">
        <v>62</v>
      </c>
      <c r="E18" s="11">
        <v>0.109502314814815</v>
      </c>
      <c r="F18" s="12">
        <f t="shared" si="1"/>
        <v>3.7766666666666628</v>
      </c>
      <c r="G18" s="13">
        <f t="shared" si="2"/>
        <v>1.1486111111111028</v>
      </c>
      <c r="H18" s="13">
        <f t="shared" si="3"/>
        <v>2.62805555555556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46043.138665393497</v>
      </c>
      <c r="B19" s="5" t="s">
        <v>79</v>
      </c>
      <c r="C19" s="11">
        <v>0.13865740740740701</v>
      </c>
      <c r="D19" s="11" t="s">
        <v>62</v>
      </c>
      <c r="E19" s="11">
        <v>0.22305555555555601</v>
      </c>
      <c r="F19" s="12">
        <f t="shared" si="1"/>
        <v>2.025555555555576</v>
      </c>
      <c r="G19" s="13">
        <f t="shared" si="2"/>
        <v>0</v>
      </c>
      <c r="H19" s="13">
        <f t="shared" si="3"/>
        <v>2.025555555555576</v>
      </c>
      <c r="I19" s="35" t="s">
        <v>76</v>
      </c>
      <c r="J19" s="36">
        <f t="shared" ref="J19:L19" si="6">J12</f>
        <v>8.1750000000000007</v>
      </c>
      <c r="K19" s="37">
        <f t="shared" si="6"/>
        <v>7.2125000000000163</v>
      </c>
      <c r="L19" s="38">
        <f t="shared" si="6"/>
        <v>0.96249999999998392</v>
      </c>
      <c r="M19" s="39"/>
    </row>
    <row r="20" spans="1:13" ht="20.25" x14ac:dyDescent="0.15">
      <c r="A20" s="10">
        <f t="shared" ca="1" si="0"/>
        <v>46043.951159490702</v>
      </c>
      <c r="B20" s="5" t="s">
        <v>83</v>
      </c>
      <c r="C20" s="11">
        <v>0.95115740740740795</v>
      </c>
      <c r="D20" s="11" t="s">
        <v>62</v>
      </c>
      <c r="E20" s="11">
        <v>0.119768518518519</v>
      </c>
      <c r="F20" s="12">
        <f t="shared" si="1"/>
        <v>4.0466666666666651</v>
      </c>
      <c r="G20" s="13">
        <f t="shared" si="2"/>
        <v>1.1722222222222092</v>
      </c>
      <c r="H20" s="13">
        <f t="shared" si="3"/>
        <v>2.8744444444444559</v>
      </c>
      <c r="I20" s="40" t="s">
        <v>77</v>
      </c>
      <c r="J20" s="65">
        <f>J16+J17+J18+J19</f>
        <v>51.924722222222229</v>
      </c>
      <c r="K20" s="66"/>
      <c r="L20" s="67"/>
      <c r="M20" s="41"/>
    </row>
    <row r="21" spans="1:13" ht="20.25" x14ac:dyDescent="0.25">
      <c r="A21" s="10">
        <f t="shared" ca="1" si="0"/>
        <v>46046.500554745398</v>
      </c>
      <c r="B21" s="5" t="s">
        <v>83</v>
      </c>
      <c r="C21" s="11">
        <v>0.50054398148148105</v>
      </c>
      <c r="D21" s="11" t="s">
        <v>62</v>
      </c>
      <c r="E21" s="11">
        <v>0.63199074074074102</v>
      </c>
      <c r="F21" s="12">
        <f t="shared" si="1"/>
        <v>3.1547222222222393</v>
      </c>
      <c r="G21" s="13">
        <f t="shared" si="2"/>
        <v>3.1547222222222393</v>
      </c>
      <c r="H21" s="13">
        <f t="shared" si="3"/>
        <v>0</v>
      </c>
      <c r="I21" s="42" t="s">
        <v>4</v>
      </c>
      <c r="J21" s="43">
        <f>SUM(J8:J9)</f>
        <v>9.1702777777778124</v>
      </c>
      <c r="K21" s="37">
        <f>SUM(K8:K9)</f>
        <v>9.1702777777778124</v>
      </c>
      <c r="L21" s="38">
        <f>SUM(L8:L9)</f>
        <v>0</v>
      </c>
      <c r="M21" s="44"/>
    </row>
    <row r="22" spans="1:13" ht="18.75" x14ac:dyDescent="0.15">
      <c r="A22" s="10">
        <f t="shared" ca="1" si="0"/>
        <v>46046.749571180597</v>
      </c>
      <c r="B22" s="5" t="s">
        <v>81</v>
      </c>
      <c r="C22" s="11">
        <v>0.74956018518518497</v>
      </c>
      <c r="D22" s="11" t="s">
        <v>62</v>
      </c>
      <c r="E22" s="11">
        <v>0.83944444444444499</v>
      </c>
      <c r="F22" s="12">
        <f t="shared" si="1"/>
        <v>2.1572222222222406</v>
      </c>
      <c r="G22" s="13">
        <f t="shared" si="2"/>
        <v>2.1572222222222406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46047.4599445602</v>
      </c>
      <c r="B23" s="5" t="s">
        <v>83</v>
      </c>
      <c r="C23" s="11">
        <v>0.45994212962962999</v>
      </c>
      <c r="D23" s="11" t="s">
        <v>62</v>
      </c>
      <c r="E23" s="11">
        <v>0.58895833333333303</v>
      </c>
      <c r="F23" s="12">
        <f t="shared" si="1"/>
        <v>3.0963888888888729</v>
      </c>
      <c r="G23" s="13">
        <f t="shared" si="2"/>
        <v>3.0963888888888729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46047.708638194403</v>
      </c>
      <c r="B24" s="5" t="s">
        <v>81</v>
      </c>
      <c r="C24" s="11">
        <v>0.70863425925925905</v>
      </c>
      <c r="D24" s="11" t="s">
        <v>62</v>
      </c>
      <c r="E24" s="11">
        <v>0.84061342592592603</v>
      </c>
      <c r="F24" s="12">
        <f t="shared" si="1"/>
        <v>3.1675000000000075</v>
      </c>
      <c r="G24" s="13">
        <f t="shared" si="2"/>
        <v>3.1675000000000075</v>
      </c>
      <c r="H24" s="13">
        <f t="shared" si="3"/>
        <v>0</v>
      </c>
      <c r="I24"/>
      <c r="J24"/>
    </row>
  </sheetData>
  <autoFilter ref="A2:K24"/>
  <mergeCells count="3">
    <mergeCell ref="A1:K1"/>
    <mergeCell ref="J20:L20"/>
    <mergeCell ref="I13:M14"/>
  </mergeCells>
  <phoneticPr fontId="17" type="noConversion"/>
  <dataValidations count="2">
    <dataValidation type="list" allowBlank="1" showInputMessage="1" showErrorMessage="1" sqref="D3:D24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topLeftCell="A13" zoomScale="85" zoomScaleNormal="85" workbookViewId="0">
      <selection activeCell="D36" sqref="D3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46023.104484953699</v>
      </c>
      <c r="B3" s="5" t="s">
        <v>81</v>
      </c>
      <c r="C3" s="11">
        <v>1.1574074074074101E-5</v>
      </c>
      <c r="D3" s="11" t="s">
        <v>62</v>
      </c>
      <c r="E3" s="11">
        <v>0.112777777777778</v>
      </c>
      <c r="F3" s="12">
        <f t="shared" ref="F3:F42" si="1">(IF(E3-C3&lt;0,"24:00"-C3+E3,E3-C3))*24</f>
        <v>2.7063888888888941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2.7063888888888941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46023.458227661999</v>
      </c>
      <c r="B4" s="5" t="s">
        <v>83</v>
      </c>
      <c r="C4" s="11">
        <v>0.45821759259259298</v>
      </c>
      <c r="D4" s="11" t="s">
        <v>62</v>
      </c>
      <c r="E4" s="11">
        <v>0.63334490740740701</v>
      </c>
      <c r="F4" s="12">
        <f t="shared" si="1"/>
        <v>4.2030555555555367</v>
      </c>
      <c r="G4" s="13">
        <f t="shared" si="2"/>
        <v>4.2030555555555367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29.562777777777804</v>
      </c>
      <c r="K4" s="23">
        <f>SUMIF(B:B,"西塔台管制席",G:G)+SUMIF(B:B,"东塔台管制席",G:G)</f>
        <v>16.877499999999991</v>
      </c>
      <c r="L4" s="23">
        <f>SUMIF(B:B,"西塔台管制席",H:H)+SUMIF(B:B,"东塔台管制席",H:H)</f>
        <v>12.68527777777782</v>
      </c>
      <c r="M4" s="19"/>
    </row>
    <row r="5" spans="1:16" ht="18.75" x14ac:dyDescent="0.25">
      <c r="A5" s="10">
        <f t="shared" ca="1" si="0"/>
        <v>46023.792244328703</v>
      </c>
      <c r="B5" s="5" t="s">
        <v>83</v>
      </c>
      <c r="C5" s="11">
        <v>0.79223379629629598</v>
      </c>
      <c r="D5" s="11" t="s">
        <v>62</v>
      </c>
      <c r="E5" s="11">
        <v>0.96072916666666697</v>
      </c>
      <c r="F5" s="12">
        <f t="shared" si="1"/>
        <v>4.0438888888889037</v>
      </c>
      <c r="G5" s="13">
        <f t="shared" si="2"/>
        <v>4.0438888888889037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47.608888888888856</v>
      </c>
      <c r="K5" s="23">
        <f>SUMIF(B:B,"西塔台协调席",G:G)+SUMIF(B:B,"东塔台协调席",G:G)</f>
        <v>27.912500000000016</v>
      </c>
      <c r="L5" s="23">
        <f>SUMIF(B:B,"西塔台协调席",H:H)+SUMIF(B:B,"东塔台协调席",H:H)</f>
        <v>19.696388888888841</v>
      </c>
      <c r="M5" s="19"/>
    </row>
    <row r="6" spans="1:16" ht="18.75" x14ac:dyDescent="0.25">
      <c r="A6" s="10">
        <f t="shared" ca="1" si="0"/>
        <v>46024.292052430603</v>
      </c>
      <c r="B6" s="5" t="s">
        <v>80</v>
      </c>
      <c r="C6" s="11">
        <v>0.29204861111111102</v>
      </c>
      <c r="D6" s="11" t="s">
        <v>62</v>
      </c>
      <c r="E6" s="11">
        <v>0.36655092592592597</v>
      </c>
      <c r="F6" s="12">
        <f t="shared" si="1"/>
        <v>1.7880555555555588</v>
      </c>
      <c r="G6" s="13">
        <f t="shared" si="2"/>
        <v>0.79722222222223182</v>
      </c>
      <c r="H6" s="13">
        <f t="shared" si="3"/>
        <v>0.99083333333332702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46027.138514699102</v>
      </c>
      <c r="B7" s="5" t="s">
        <v>80</v>
      </c>
      <c r="C7" s="11">
        <v>0.138506944444444</v>
      </c>
      <c r="D7" s="11" t="s">
        <v>62</v>
      </c>
      <c r="E7" s="11">
        <v>0.222638888888889</v>
      </c>
      <c r="F7" s="12">
        <f t="shared" si="1"/>
        <v>2.0191666666666799</v>
      </c>
      <c r="G7" s="13">
        <f t="shared" si="2"/>
        <v>0</v>
      </c>
      <c r="H7" s="13">
        <f t="shared" si="3"/>
        <v>2.0191666666666799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46027.222587037002</v>
      </c>
      <c r="B8" s="5" t="s">
        <v>83</v>
      </c>
      <c r="C8" s="11">
        <v>0.222581018518519</v>
      </c>
      <c r="D8" s="11" t="s">
        <v>62</v>
      </c>
      <c r="E8" s="11">
        <v>0.299456018518518</v>
      </c>
      <c r="F8" s="12">
        <f t="shared" si="1"/>
        <v>1.844999999999976</v>
      </c>
      <c r="G8" s="13">
        <f t="shared" si="2"/>
        <v>0</v>
      </c>
      <c r="H8" s="13">
        <f t="shared" si="3"/>
        <v>1.844999999999976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46028.013708680599</v>
      </c>
      <c r="B9" s="5" t="s">
        <v>78</v>
      </c>
      <c r="C9" s="11">
        <v>1.3703703703703701E-2</v>
      </c>
      <c r="D9" s="11" t="s">
        <v>62</v>
      </c>
      <c r="E9" s="11">
        <v>0.145648148148148</v>
      </c>
      <c r="F9" s="12">
        <f t="shared" si="1"/>
        <v>3.1666666666666634</v>
      </c>
      <c r="G9" s="13">
        <f t="shared" si="2"/>
        <v>0</v>
      </c>
      <c r="H9" s="13">
        <f t="shared" si="3"/>
        <v>3.1666666666666634</v>
      </c>
      <c r="I9" s="21" t="s">
        <v>69</v>
      </c>
      <c r="J9" s="22">
        <f>SUMIF(B:B,"航班调度席",F:F)</f>
        <v>10.015833333333358</v>
      </c>
      <c r="K9" s="23">
        <f>SUMIF(B:B,"航班调度席",G:G)</f>
        <v>10.015833333333358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46030.500919675898</v>
      </c>
      <c r="B10" s="5" t="s">
        <v>80</v>
      </c>
      <c r="C10" s="11">
        <v>0.50091435185185196</v>
      </c>
      <c r="D10" s="11" t="s">
        <v>62</v>
      </c>
      <c r="E10" s="11">
        <v>0.63567129629629604</v>
      </c>
      <c r="F10" s="12">
        <f t="shared" si="1"/>
        <v>3.234166666666658</v>
      </c>
      <c r="G10" s="13">
        <f t="shared" si="2"/>
        <v>3.234166666666658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46030.6669131944</v>
      </c>
      <c r="B11" s="5" t="s">
        <v>80</v>
      </c>
      <c r="C11" s="11">
        <v>0.66693287037036997</v>
      </c>
      <c r="D11" s="11" t="s">
        <v>62</v>
      </c>
      <c r="E11" s="11">
        <v>0.77893518518518501</v>
      </c>
      <c r="F11" s="12">
        <f t="shared" si="1"/>
        <v>2.688055555555561</v>
      </c>
      <c r="G11" s="13">
        <f t="shared" si="2"/>
        <v>2.688055555555561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46030.834957754603</v>
      </c>
      <c r="B12" s="5" t="s">
        <v>78</v>
      </c>
      <c r="C12" s="11">
        <v>0.83495370370370403</v>
      </c>
      <c r="D12" s="11" t="s">
        <v>62</v>
      </c>
      <c r="E12" s="11">
        <v>0.95887731481481497</v>
      </c>
      <c r="F12" s="12">
        <f t="shared" si="1"/>
        <v>2.9741666666666626</v>
      </c>
      <c r="G12" s="13">
        <f t="shared" si="2"/>
        <v>2.9741666666666626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46031.292305671297</v>
      </c>
      <c r="B13" s="5" t="s">
        <v>83</v>
      </c>
      <c r="C13" s="11">
        <v>0.29230324074074099</v>
      </c>
      <c r="D13" s="11" t="s">
        <v>62</v>
      </c>
      <c r="E13" s="11">
        <v>0.424722222222222</v>
      </c>
      <c r="F13" s="12">
        <f t="shared" si="1"/>
        <v>3.1780555555555443</v>
      </c>
      <c r="G13" s="13">
        <f t="shared" si="2"/>
        <v>2.1933333333333365</v>
      </c>
      <c r="H13" s="13">
        <f t="shared" si="3"/>
        <v>0.98472222222220784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46031.521445023202</v>
      </c>
      <c r="B14" s="5" t="s">
        <v>83</v>
      </c>
      <c r="C14" s="11">
        <v>0.52143518518518495</v>
      </c>
      <c r="D14" s="11" t="s">
        <v>62</v>
      </c>
      <c r="E14" s="11">
        <v>0.65726851851851897</v>
      </c>
      <c r="F14" s="12">
        <f t="shared" si="1"/>
        <v>3.2600000000000167</v>
      </c>
      <c r="G14" s="13">
        <f t="shared" si="2"/>
        <v>3.2600000000000167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46031.778834606499</v>
      </c>
      <c r="B15" s="5" t="s">
        <v>81</v>
      </c>
      <c r="C15" s="11">
        <v>0.77883101851851899</v>
      </c>
      <c r="D15" s="11" t="s">
        <v>62</v>
      </c>
      <c r="E15" s="11">
        <v>0.841365740740741</v>
      </c>
      <c r="F15" s="12">
        <f t="shared" si="1"/>
        <v>1.5008333333333281</v>
      </c>
      <c r="G15" s="13">
        <f t="shared" si="2"/>
        <v>1.5008333333333281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46035.014134027799</v>
      </c>
      <c r="B16" s="5" t="s">
        <v>78</v>
      </c>
      <c r="C16" s="11">
        <v>1.41319444444444E-2</v>
      </c>
      <c r="D16" s="11" t="s">
        <v>62</v>
      </c>
      <c r="E16" s="11">
        <v>0.14452546296296301</v>
      </c>
      <c r="F16" s="12">
        <f t="shared" si="1"/>
        <v>3.1294444444444465</v>
      </c>
      <c r="G16" s="13">
        <f t="shared" si="2"/>
        <v>0</v>
      </c>
      <c r="H16" s="13">
        <f t="shared" si="3"/>
        <v>3.1294444444444465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46036.140317939797</v>
      </c>
      <c r="B17" s="5" t="s">
        <v>80</v>
      </c>
      <c r="C17" s="11">
        <v>0.14031250000000001</v>
      </c>
      <c r="D17" s="11" t="s">
        <v>62</v>
      </c>
      <c r="E17" s="11">
        <v>0.221365740740741</v>
      </c>
      <c r="F17" s="12">
        <f t="shared" si="1"/>
        <v>1.9452777777777839</v>
      </c>
      <c r="G17" s="13">
        <f t="shared" si="2"/>
        <v>0</v>
      </c>
      <c r="H17" s="13">
        <f t="shared" si="3"/>
        <v>1.9452777777777839</v>
      </c>
      <c r="I17" s="35" t="s">
        <v>75</v>
      </c>
      <c r="J17" s="36">
        <f>J4+J5+J6+J7+J10</f>
        <v>77.171666666666653</v>
      </c>
      <c r="K17" s="37">
        <f>K4+K5+K6+K7+K10</f>
        <v>44.790000000000006</v>
      </c>
      <c r="L17" s="38">
        <f>L4+L5+L6+L7+L10</f>
        <v>32.381666666666661</v>
      </c>
      <c r="M17" s="39"/>
    </row>
    <row r="18" spans="1:13" ht="20.25" x14ac:dyDescent="0.25">
      <c r="A18" s="10">
        <f t="shared" ca="1" si="0"/>
        <v>46036.221398148104</v>
      </c>
      <c r="B18" s="5" t="s">
        <v>83</v>
      </c>
      <c r="C18" s="11">
        <v>0.221388888888889</v>
      </c>
      <c r="D18" s="11" t="s">
        <v>62</v>
      </c>
      <c r="E18" s="11">
        <v>0.299340277777778</v>
      </c>
      <c r="F18" s="12">
        <f t="shared" si="1"/>
        <v>1.870833333333336</v>
      </c>
      <c r="G18" s="13">
        <f t="shared" si="2"/>
        <v>0</v>
      </c>
      <c r="H18" s="13">
        <f t="shared" si="3"/>
        <v>1.870833333333336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46038.368353240701</v>
      </c>
      <c r="B19" s="5" t="s">
        <v>82</v>
      </c>
      <c r="C19" s="11">
        <v>0.368344907407407</v>
      </c>
      <c r="D19" s="11" t="s">
        <v>62</v>
      </c>
      <c r="E19" s="11">
        <v>0.369189814814815</v>
      </c>
      <c r="F19" s="12">
        <f t="shared" si="1"/>
        <v>2.027777777779205E-2</v>
      </c>
      <c r="G19" s="13">
        <f t="shared" si="2"/>
        <v>2.027777777779205E-2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46038.386611111098</v>
      </c>
      <c r="B20" s="5" t="s">
        <v>82</v>
      </c>
      <c r="C20" s="11">
        <v>0.38660879629629602</v>
      </c>
      <c r="D20" s="11" t="s">
        <v>62</v>
      </c>
      <c r="E20" s="11">
        <v>0.49165509259259299</v>
      </c>
      <c r="F20" s="12">
        <f t="shared" si="1"/>
        <v>2.5211111111111273</v>
      </c>
      <c r="G20" s="13">
        <f t="shared" si="2"/>
        <v>2.5211111111111273</v>
      </c>
      <c r="H20" s="13">
        <f t="shared" si="3"/>
        <v>0</v>
      </c>
      <c r="I20" s="40" t="s">
        <v>77</v>
      </c>
      <c r="J20" s="65">
        <f>J16+J17+J18+J19</f>
        <v>77.171666666666653</v>
      </c>
      <c r="K20" s="66"/>
      <c r="L20" s="67"/>
      <c r="M20" s="41"/>
    </row>
    <row r="21" spans="1:13" ht="20.25" x14ac:dyDescent="0.25">
      <c r="A21" s="10">
        <f t="shared" ca="1" si="0"/>
        <v>46038.620003703698</v>
      </c>
      <c r="B21" s="5" t="s">
        <v>82</v>
      </c>
      <c r="C21" s="11">
        <v>0.62</v>
      </c>
      <c r="D21" s="11" t="s">
        <v>62</v>
      </c>
      <c r="E21" s="11">
        <v>0.76171296296296298</v>
      </c>
      <c r="F21" s="12">
        <f t="shared" si="1"/>
        <v>3.4011111111111116</v>
      </c>
      <c r="G21" s="13">
        <f t="shared" si="2"/>
        <v>3.4011111111111116</v>
      </c>
      <c r="H21" s="13">
        <f t="shared" si="3"/>
        <v>0</v>
      </c>
      <c r="I21" s="42" t="s">
        <v>4</v>
      </c>
      <c r="J21" s="43">
        <f>SUM(J8:J9)</f>
        <v>10.015833333333358</v>
      </c>
      <c r="K21" s="37">
        <f>SUM(K8:K9)</f>
        <v>10.015833333333358</v>
      </c>
      <c r="L21" s="38">
        <f>SUM(L8:L9)</f>
        <v>0</v>
      </c>
      <c r="M21" s="44"/>
    </row>
    <row r="22" spans="1:13" ht="18.75" x14ac:dyDescent="0.15">
      <c r="A22" s="10">
        <f t="shared" ca="1" si="0"/>
        <v>46039.367897800897</v>
      </c>
      <c r="B22" s="5" t="s">
        <v>82</v>
      </c>
      <c r="C22" s="11">
        <v>0.36789351851851898</v>
      </c>
      <c r="D22" s="11" t="s">
        <v>62</v>
      </c>
      <c r="E22" s="11">
        <v>0.46795138888888899</v>
      </c>
      <c r="F22" s="12">
        <f t="shared" si="1"/>
        <v>2.4013888888888801</v>
      </c>
      <c r="G22" s="13">
        <f t="shared" si="2"/>
        <v>2.4013888888888801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46039.627893750003</v>
      </c>
      <c r="B23" s="5" t="s">
        <v>82</v>
      </c>
      <c r="C23" s="11">
        <v>0.62789351851851805</v>
      </c>
      <c r="D23" s="11" t="s">
        <v>62</v>
      </c>
      <c r="E23" s="11">
        <v>0.69755787037036998</v>
      </c>
      <c r="F23" s="12">
        <f t="shared" si="1"/>
        <v>1.6719444444444465</v>
      </c>
      <c r="G23" s="13">
        <f t="shared" si="2"/>
        <v>1.6719444444444465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46039.754406365697</v>
      </c>
      <c r="B24" s="5" t="s">
        <v>81</v>
      </c>
      <c r="C24" s="11">
        <v>0.75439814814814798</v>
      </c>
      <c r="D24" s="11" t="s">
        <v>62</v>
      </c>
      <c r="E24" s="11">
        <v>0.88116898148148104</v>
      </c>
      <c r="F24" s="12">
        <f t="shared" si="1"/>
        <v>3.0424999999999933</v>
      </c>
      <c r="G24" s="13">
        <f t="shared" si="2"/>
        <v>3.0424999999999933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46042.522483101799</v>
      </c>
      <c r="B25" s="5" t="s">
        <v>78</v>
      </c>
      <c r="C25" s="11">
        <v>0.522476851851852</v>
      </c>
      <c r="D25" s="11" t="s">
        <v>62</v>
      </c>
      <c r="E25" s="11">
        <v>0.56626157407407396</v>
      </c>
      <c r="F25" s="12">
        <f t="shared" si="1"/>
        <v>1.0508333333333271</v>
      </c>
      <c r="G25" s="13">
        <f t="shared" si="2"/>
        <v>1.0508333333333271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46042.573759953702</v>
      </c>
      <c r="B26" s="5" t="s">
        <v>78</v>
      </c>
      <c r="C26" s="11">
        <v>0.57374999999999998</v>
      </c>
      <c r="D26" s="11" t="s">
        <v>62</v>
      </c>
      <c r="E26" s="11">
        <v>0.65549768518518503</v>
      </c>
      <c r="F26" s="12">
        <f t="shared" si="1"/>
        <v>1.9619444444444412</v>
      </c>
      <c r="G26" s="13">
        <f t="shared" si="2"/>
        <v>1.9619444444444412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46042.771695717602</v>
      </c>
      <c r="B27" s="5" t="s">
        <v>83</v>
      </c>
      <c r="C27" s="11">
        <v>0.77168981481481502</v>
      </c>
      <c r="D27" s="11" t="s">
        <v>62</v>
      </c>
      <c r="E27" s="11">
        <v>0.90274305555555501</v>
      </c>
      <c r="F27" s="12">
        <f t="shared" si="1"/>
        <v>3.1452777777777596</v>
      </c>
      <c r="G27" s="13">
        <f t="shared" si="2"/>
        <v>3.1452777777777596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46043.418404745396</v>
      </c>
      <c r="B28" s="5" t="s">
        <v>81</v>
      </c>
      <c r="C28" s="11">
        <v>0.41840277777777801</v>
      </c>
      <c r="D28" s="11" t="s">
        <v>62</v>
      </c>
      <c r="E28" s="11">
        <v>0.53090277777777795</v>
      </c>
      <c r="F28" s="12">
        <f t="shared" si="1"/>
        <v>2.6999999999999984</v>
      </c>
      <c r="G28" s="13">
        <f t="shared" si="2"/>
        <v>2.6999999999999984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46043.646005092603</v>
      </c>
      <c r="B29" s="5" t="s">
        <v>83</v>
      </c>
      <c r="C29" s="11">
        <v>0.64599537037037003</v>
      </c>
      <c r="D29" s="11" t="s">
        <v>62</v>
      </c>
      <c r="E29" s="11">
        <v>0.77730324074074097</v>
      </c>
      <c r="F29" s="12">
        <f t="shared" si="1"/>
        <v>3.1513888888889028</v>
      </c>
      <c r="G29" s="13">
        <f t="shared" si="2"/>
        <v>3.1513888888889028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46043.835302893502</v>
      </c>
      <c r="B30" s="5" t="s">
        <v>81</v>
      </c>
      <c r="C30" s="11">
        <v>0.83530092592592597</v>
      </c>
      <c r="D30" s="11" t="s">
        <v>62</v>
      </c>
      <c r="E30" s="11">
        <v>0.95674768518518505</v>
      </c>
      <c r="F30" s="12">
        <f t="shared" si="1"/>
        <v>2.9147222222222178</v>
      </c>
      <c r="G30" s="13">
        <f t="shared" si="2"/>
        <v>2.9147222222222178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46044.291257754601</v>
      </c>
      <c r="B31" s="5" t="s">
        <v>78</v>
      </c>
      <c r="C31" s="11">
        <v>0.29125000000000001</v>
      </c>
      <c r="D31" s="11" t="s">
        <v>62</v>
      </c>
      <c r="E31" s="11">
        <v>0.36511574074074099</v>
      </c>
      <c r="F31" s="12">
        <f t="shared" si="1"/>
        <v>1.7727777777777836</v>
      </c>
      <c r="G31" s="13">
        <f t="shared" si="2"/>
        <v>0.76277777777779221</v>
      </c>
      <c r="H31" s="13">
        <f t="shared" si="3"/>
        <v>1.0099999999999913</v>
      </c>
      <c r="I31"/>
      <c r="J31"/>
    </row>
    <row r="32" spans="1:13" ht="18.75" x14ac:dyDescent="0.15">
      <c r="A32" s="10">
        <f t="shared" ca="1" si="0"/>
        <v>46047.013978819399</v>
      </c>
      <c r="B32" s="5" t="s">
        <v>80</v>
      </c>
      <c r="C32" s="11">
        <v>1.39699074074074E-2</v>
      </c>
      <c r="D32" s="11" t="s">
        <v>62</v>
      </c>
      <c r="E32" s="11">
        <v>0.14418981481481499</v>
      </c>
      <c r="F32" s="12">
        <f t="shared" si="1"/>
        <v>3.1252777777777823</v>
      </c>
      <c r="G32" s="13">
        <f t="shared" si="2"/>
        <v>0</v>
      </c>
      <c r="H32" s="13">
        <f t="shared" si="3"/>
        <v>3.1252777777777823</v>
      </c>
      <c r="I32"/>
      <c r="J32"/>
    </row>
    <row r="33" spans="1:11" ht="18.75" x14ac:dyDescent="0.15">
      <c r="A33" s="10">
        <f t="shared" ca="1" si="0"/>
        <v>46047.9514344907</v>
      </c>
      <c r="B33" s="5" t="s">
        <v>83</v>
      </c>
      <c r="C33" s="11">
        <v>0.95142361111111096</v>
      </c>
      <c r="D33" s="11" t="s">
        <v>62</v>
      </c>
      <c r="E33" s="11">
        <v>0.107847222222222</v>
      </c>
      <c r="F33" s="12">
        <f t="shared" si="1"/>
        <v>3.7541666666666647</v>
      </c>
      <c r="G33" s="13">
        <f t="shared" si="2"/>
        <v>1.1658333333333366</v>
      </c>
      <c r="H33" s="13">
        <f t="shared" si="3"/>
        <v>2.588333333333328</v>
      </c>
      <c r="I33"/>
      <c r="J33"/>
    </row>
    <row r="34" spans="1:11" ht="18.75" x14ac:dyDescent="0.15">
      <c r="A34" s="10">
        <f t="shared" ca="1" si="0"/>
        <v>46051.139735416698</v>
      </c>
      <c r="B34" s="5" t="s">
        <v>81</v>
      </c>
      <c r="C34" s="11">
        <v>0.13973379629629601</v>
      </c>
      <c r="D34" s="11" t="s">
        <v>62</v>
      </c>
      <c r="E34" s="11">
        <v>0.21883101851851899</v>
      </c>
      <c r="F34" s="12">
        <f t="shared" si="1"/>
        <v>1.8983333333333516</v>
      </c>
      <c r="G34" s="13">
        <f t="shared" si="2"/>
        <v>0</v>
      </c>
      <c r="H34" s="13">
        <f t="shared" si="3"/>
        <v>1.8983333333333516</v>
      </c>
      <c r="I34"/>
      <c r="J34"/>
    </row>
    <row r="35" spans="1:11" ht="18.75" x14ac:dyDescent="0.15">
      <c r="A35" s="10">
        <f t="shared" ca="1" si="0"/>
        <v>46051.218872338002</v>
      </c>
      <c r="B35" s="5" t="s">
        <v>78</v>
      </c>
      <c r="C35" s="11">
        <v>0.218865740740741</v>
      </c>
      <c r="D35" s="11" t="s">
        <v>62</v>
      </c>
      <c r="E35" s="11">
        <v>0.29929398148148201</v>
      </c>
      <c r="F35" s="12">
        <f t="shared" si="1"/>
        <v>1.9302777777777842</v>
      </c>
      <c r="G35" s="13">
        <f t="shared" si="2"/>
        <v>0</v>
      </c>
      <c r="H35" s="13">
        <f t="shared" si="3"/>
        <v>1.9302777777777842</v>
      </c>
      <c r="I35"/>
      <c r="J35"/>
    </row>
    <row r="36" spans="1:11" ht="18.75" x14ac:dyDescent="0.15">
      <c r="A36" s="10">
        <f t="shared" ca="1" si="0"/>
        <v>46052.013983912002</v>
      </c>
      <c r="B36" s="5" t="s">
        <v>83</v>
      </c>
      <c r="C36" s="11">
        <v>1.3981481481481499E-2</v>
      </c>
      <c r="D36" s="11" t="s">
        <v>62</v>
      </c>
      <c r="E36" s="11">
        <v>0.146111111111111</v>
      </c>
      <c r="F36" s="12">
        <f t="shared" si="1"/>
        <v>3.1711111111111077</v>
      </c>
      <c r="G36" s="13">
        <f t="shared" si="2"/>
        <v>0</v>
      </c>
      <c r="H36" s="13">
        <f t="shared" si="3"/>
        <v>3.1711111111111077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topLeftCell="A3" zoomScale="85" zoomScaleNormal="85" workbookViewId="0">
      <selection activeCell="D30" sqref="D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46023.458437036999</v>
      </c>
      <c r="B3" s="5" t="s">
        <v>81</v>
      </c>
      <c r="C3" s="11">
        <v>0.45842592592592601</v>
      </c>
      <c r="D3" s="11" t="s">
        <v>62</v>
      </c>
      <c r="E3" s="11">
        <v>0.63341435185185202</v>
      </c>
      <c r="F3" s="12">
        <f t="shared" ref="F3:F42" si="1">(IF(E3-C3&lt;0,"24:00"-C3+E3,E3-C3))*24</f>
        <v>4.1997222222222241</v>
      </c>
      <c r="G3" s="13">
        <f t="shared" ref="G3:G42" si="2">F3-H3</f>
        <v>4.1997222222222241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46023.792811921303</v>
      </c>
      <c r="B4" s="5" t="s">
        <v>81</v>
      </c>
      <c r="C4" s="11">
        <v>0.79280092592592599</v>
      </c>
      <c r="D4" s="11" t="s">
        <v>62</v>
      </c>
      <c r="E4" s="11">
        <v>0.96079861111111098</v>
      </c>
      <c r="F4" s="12">
        <f t="shared" si="1"/>
        <v>4.0319444444444397</v>
      </c>
      <c r="G4" s="13">
        <f t="shared" si="2"/>
        <v>4.0319444444444397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30.95694444444446</v>
      </c>
      <c r="K4" s="23">
        <f>SUMIF(B:B,"西塔台管制席",G:G)+SUMIF(B:B,"东塔台管制席",G:G)</f>
        <v>22.072499999999977</v>
      </c>
      <c r="L4" s="23">
        <f>SUMIF(B:B,"西塔台管制席",H:H)+SUMIF(B:B,"东塔台管制席",H:H)</f>
        <v>8.8844444444444832</v>
      </c>
      <c r="M4" s="19"/>
    </row>
    <row r="5" spans="1:16" ht="18.75" x14ac:dyDescent="0.25">
      <c r="A5" s="10">
        <f t="shared" ca="1" si="0"/>
        <v>46024.2936416667</v>
      </c>
      <c r="B5" s="5" t="s">
        <v>78</v>
      </c>
      <c r="C5" s="11">
        <v>0.29363425925925901</v>
      </c>
      <c r="D5" s="11" t="s">
        <v>62</v>
      </c>
      <c r="E5" s="11">
        <v>0.36659722222222202</v>
      </c>
      <c r="F5" s="12">
        <f t="shared" si="1"/>
        <v>1.7511111111111122</v>
      </c>
      <c r="G5" s="13">
        <f t="shared" si="2"/>
        <v>0.79833333333333689</v>
      </c>
      <c r="H5" s="13">
        <f t="shared" si="3"/>
        <v>0.95277777777777528</v>
      </c>
      <c r="I5" s="21" t="s">
        <v>65</v>
      </c>
      <c r="J5" s="22">
        <f>SUMIF(B:B,"西塔台协调席",F:F)+SUMIF(B:B,"东塔台协调席",F:F)</f>
        <v>26.839166666666603</v>
      </c>
      <c r="K5" s="23">
        <f>SUMIF(B:B,"西塔台协调席",G:G)+SUMIF(B:B,"东塔台协调席",G:G)</f>
        <v>13.501944444444408</v>
      </c>
      <c r="L5" s="23">
        <f>SUMIF(B:B,"西塔台协调席",H:H)+SUMIF(B:B,"东塔台协调席",H:H)</f>
        <v>13.337222222222195</v>
      </c>
      <c r="M5" s="19"/>
    </row>
    <row r="6" spans="1:16" ht="18.75" x14ac:dyDescent="0.25">
      <c r="A6" s="10">
        <f t="shared" ca="1" si="0"/>
        <v>46026.952075925903</v>
      </c>
      <c r="B6" s="5" t="s">
        <v>78</v>
      </c>
      <c r="C6" s="11">
        <v>0.95207175925925902</v>
      </c>
      <c r="D6" s="11" t="s">
        <v>62</v>
      </c>
      <c r="E6" s="11">
        <v>0.10462962962963</v>
      </c>
      <c r="F6" s="12">
        <f t="shared" si="1"/>
        <v>3.6613888888889039</v>
      </c>
      <c r="G6" s="13">
        <f t="shared" si="2"/>
        <v>1.1502777777777839</v>
      </c>
      <c r="H6" s="13">
        <f t="shared" si="3"/>
        <v>2.51111111111112</v>
      </c>
      <c r="I6" s="21" t="s">
        <v>66</v>
      </c>
      <c r="J6" s="22">
        <f>SUMIF(B:B,"放行席",F:F)</f>
        <v>4.5250000000000083</v>
      </c>
      <c r="K6" s="23">
        <f>SUMIF(B:B,"放行席",G:G)</f>
        <v>0</v>
      </c>
      <c r="L6" s="23">
        <f>SUMIF(B:B,"放行席",H:H)</f>
        <v>4.5250000000000083</v>
      </c>
      <c r="M6" s="19"/>
    </row>
    <row r="7" spans="1:16" ht="18.75" x14ac:dyDescent="0.25">
      <c r="A7" s="10">
        <f t="shared" ca="1" si="0"/>
        <v>46028.139162152802</v>
      </c>
      <c r="B7" s="5" t="s">
        <v>79</v>
      </c>
      <c r="C7" s="11">
        <v>0.13915509259259301</v>
      </c>
      <c r="D7" s="11" t="s">
        <v>62</v>
      </c>
      <c r="E7" s="11">
        <v>0.21809027777777801</v>
      </c>
      <c r="F7" s="12">
        <f t="shared" si="1"/>
        <v>1.8944444444444399</v>
      </c>
      <c r="G7" s="13">
        <f t="shared" si="2"/>
        <v>0</v>
      </c>
      <c r="H7" s="13">
        <f t="shared" si="3"/>
        <v>1.8944444444444399</v>
      </c>
      <c r="I7" s="21" t="s">
        <v>67</v>
      </c>
      <c r="J7" s="22">
        <f>SUMIF(B:B,"地面席",F:F)</f>
        <v>3.7702777777777681</v>
      </c>
      <c r="K7" s="23">
        <f>SUMIF(B:B,"地面席",G:G)</f>
        <v>0</v>
      </c>
      <c r="L7" s="23">
        <f>SUMIF(B:B,"地面席",H:H)</f>
        <v>3.7702777777777681</v>
      </c>
      <c r="M7" s="19"/>
    </row>
    <row r="8" spans="1:16" ht="18.75" x14ac:dyDescent="0.25">
      <c r="A8" s="10">
        <f t="shared" ca="1" si="0"/>
        <v>46031.138983217599</v>
      </c>
      <c r="B8" s="5" t="s">
        <v>80</v>
      </c>
      <c r="C8" s="11">
        <v>0.13898148148148101</v>
      </c>
      <c r="D8" s="11" t="s">
        <v>62</v>
      </c>
      <c r="E8" s="11">
        <v>0.21839120370370399</v>
      </c>
      <c r="F8" s="12">
        <f t="shared" si="1"/>
        <v>1.9058333333333515</v>
      </c>
      <c r="G8" s="13">
        <f t="shared" si="2"/>
        <v>0</v>
      </c>
      <c r="H8" s="13">
        <f t="shared" si="3"/>
        <v>1.9058333333333515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46031.218430439803</v>
      </c>
      <c r="B9" s="5" t="s">
        <v>83</v>
      </c>
      <c r="C9" s="11">
        <v>0.218425925925926</v>
      </c>
      <c r="D9" s="11" t="s">
        <v>62</v>
      </c>
      <c r="E9" s="11">
        <v>0.29861111111111099</v>
      </c>
      <c r="F9" s="12">
        <f t="shared" si="1"/>
        <v>1.92444444444444</v>
      </c>
      <c r="G9" s="13">
        <f t="shared" si="2"/>
        <v>0</v>
      </c>
      <c r="H9" s="13">
        <f t="shared" si="3"/>
        <v>1.92444444444444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46032.013630092602</v>
      </c>
      <c r="B10" s="5" t="s">
        <v>80</v>
      </c>
      <c r="C10" s="11">
        <v>1.3622685185185199E-2</v>
      </c>
      <c r="D10" s="11" t="s">
        <v>62</v>
      </c>
      <c r="E10" s="11">
        <v>0.113831018518519</v>
      </c>
      <c r="F10" s="12">
        <f t="shared" si="1"/>
        <v>2.4050000000000114</v>
      </c>
      <c r="G10" s="13">
        <f t="shared" si="2"/>
        <v>0</v>
      </c>
      <c r="H10" s="13">
        <f t="shared" si="3"/>
        <v>2.4050000000000114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46032.113975115702</v>
      </c>
      <c r="B11" s="5" t="s">
        <v>80</v>
      </c>
      <c r="C11" s="11">
        <v>0.11396990740740701</v>
      </c>
      <c r="D11" s="11" t="s">
        <v>62</v>
      </c>
      <c r="E11" s="11">
        <v>0.14561342592592599</v>
      </c>
      <c r="F11" s="12">
        <f t="shared" si="1"/>
        <v>0.75944444444445569</v>
      </c>
      <c r="G11" s="13">
        <f t="shared" si="2"/>
        <v>0</v>
      </c>
      <c r="H11" s="13">
        <f t="shared" si="3"/>
        <v>0.75944444444445569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46034.353829398096</v>
      </c>
      <c r="B12" s="5" t="s">
        <v>83</v>
      </c>
      <c r="C12" s="11">
        <v>0.35381944444444402</v>
      </c>
      <c r="D12" s="11" t="s">
        <v>62</v>
      </c>
      <c r="E12" s="11">
        <v>0.46740740740740699</v>
      </c>
      <c r="F12" s="12">
        <f t="shared" si="1"/>
        <v>2.7261111111111114</v>
      </c>
      <c r="G12" s="13">
        <f t="shared" si="2"/>
        <v>2.7261111111111114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46034.477614583302</v>
      </c>
      <c r="B13" s="5" t="s">
        <v>83</v>
      </c>
      <c r="C13" s="11">
        <v>0.477604166666667</v>
      </c>
      <c r="D13" s="11" t="s">
        <v>62</v>
      </c>
      <c r="E13" s="11">
        <v>0.50489583333333299</v>
      </c>
      <c r="F13" s="12">
        <f t="shared" si="1"/>
        <v>0.65499999999998382</v>
      </c>
      <c r="G13" s="13">
        <f t="shared" si="2"/>
        <v>0.65499999999998382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46034.625928935202</v>
      </c>
      <c r="B14" s="5" t="s">
        <v>81</v>
      </c>
      <c r="C14" s="11">
        <v>0.625925925925926</v>
      </c>
      <c r="D14" s="11" t="s">
        <v>62</v>
      </c>
      <c r="E14" s="11">
        <v>0.75655092592592599</v>
      </c>
      <c r="F14" s="12">
        <f t="shared" si="1"/>
        <v>3.1349999999999998</v>
      </c>
      <c r="G14" s="13">
        <f t="shared" si="2"/>
        <v>3.1349999999999998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46034.874864814803</v>
      </c>
      <c r="B15" s="5" t="s">
        <v>83</v>
      </c>
      <c r="C15" s="11">
        <v>0.87486111111111098</v>
      </c>
      <c r="D15" s="11" t="s">
        <v>62</v>
      </c>
      <c r="E15" s="11">
        <v>0.95818287037036998</v>
      </c>
      <c r="F15" s="12">
        <f t="shared" si="1"/>
        <v>1.999722222222216</v>
      </c>
      <c r="G15" s="13">
        <f t="shared" si="2"/>
        <v>1.999722222222216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46035.2922322917</v>
      </c>
      <c r="B16" s="5" t="s">
        <v>81</v>
      </c>
      <c r="C16" s="11">
        <v>0.29222222222222199</v>
      </c>
      <c r="D16" s="11" t="s">
        <v>62</v>
      </c>
      <c r="E16" s="11">
        <v>0.42490740740740701</v>
      </c>
      <c r="F16" s="12">
        <f t="shared" si="1"/>
        <v>3.1844444444444404</v>
      </c>
      <c r="G16" s="13">
        <f t="shared" si="2"/>
        <v>2.1977777777777767</v>
      </c>
      <c r="H16" s="13">
        <f t="shared" si="3"/>
        <v>0.98666666666666369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46035.541686226898</v>
      </c>
      <c r="B17" s="5" t="s">
        <v>83</v>
      </c>
      <c r="C17" s="11">
        <v>0.541678240740741</v>
      </c>
      <c r="D17" s="11" t="s">
        <v>62</v>
      </c>
      <c r="E17" s="11">
        <v>0.67144675925925901</v>
      </c>
      <c r="F17" s="12">
        <f t="shared" si="1"/>
        <v>3.1144444444444321</v>
      </c>
      <c r="G17" s="13">
        <f t="shared" si="2"/>
        <v>3.1144444444444321</v>
      </c>
      <c r="H17" s="13">
        <f t="shared" si="3"/>
        <v>0</v>
      </c>
      <c r="I17" s="35" t="s">
        <v>75</v>
      </c>
      <c r="J17" s="36">
        <f>J4+J5+J6+J7+J10</f>
        <v>66.091388888888829</v>
      </c>
      <c r="K17" s="37">
        <f>K4+K5+K6+K7+K10</f>
        <v>35.574444444444381</v>
      </c>
      <c r="L17" s="38">
        <f>L4+L5+L6+L7+L10</f>
        <v>30.516944444444455</v>
      </c>
      <c r="M17" s="39"/>
    </row>
    <row r="18" spans="1:13" ht="20.25" x14ac:dyDescent="0.25">
      <c r="A18" s="10">
        <f t="shared" ca="1" si="0"/>
        <v>46035.791598495402</v>
      </c>
      <c r="B18" s="5" t="s">
        <v>81</v>
      </c>
      <c r="C18" s="11">
        <v>0.79159722222222195</v>
      </c>
      <c r="D18" s="11" t="s">
        <v>62</v>
      </c>
      <c r="E18" s="11">
        <v>0.88232638888888903</v>
      </c>
      <c r="F18" s="12">
        <f t="shared" si="1"/>
        <v>2.17750000000001</v>
      </c>
      <c r="G18" s="13">
        <f t="shared" si="2"/>
        <v>2.17750000000001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46039.138342361097</v>
      </c>
      <c r="B19" s="5" t="s">
        <v>80</v>
      </c>
      <c r="C19" s="11">
        <v>0.138333333333333</v>
      </c>
      <c r="D19" s="11" t="s">
        <v>62</v>
      </c>
      <c r="E19" s="11">
        <v>0.21626157407407401</v>
      </c>
      <c r="F19" s="12">
        <f t="shared" si="1"/>
        <v>1.8702777777777841</v>
      </c>
      <c r="G19" s="13">
        <f t="shared" si="2"/>
        <v>0</v>
      </c>
      <c r="H19" s="13">
        <f t="shared" si="3"/>
        <v>1.8702777777777841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46040.139710185198</v>
      </c>
      <c r="B20" s="5" t="s">
        <v>79</v>
      </c>
      <c r="C20" s="11">
        <v>0.13971064814814799</v>
      </c>
      <c r="D20" s="11" t="s">
        <v>62</v>
      </c>
      <c r="E20" s="11">
        <v>0.21787037037036999</v>
      </c>
      <c r="F20" s="12">
        <f t="shared" si="1"/>
        <v>1.8758333333333281</v>
      </c>
      <c r="G20" s="13">
        <f t="shared" si="2"/>
        <v>0</v>
      </c>
      <c r="H20" s="13">
        <f t="shared" si="3"/>
        <v>1.8758333333333281</v>
      </c>
      <c r="I20" s="40" t="s">
        <v>77</v>
      </c>
      <c r="J20" s="65">
        <f>J16+J17+J18+J19</f>
        <v>66.091388888888829</v>
      </c>
      <c r="K20" s="66"/>
      <c r="L20" s="67"/>
      <c r="M20" s="41"/>
    </row>
    <row r="21" spans="1:13" ht="20.25" x14ac:dyDescent="0.25">
      <c r="A21" s="10">
        <f t="shared" ca="1" si="0"/>
        <v>46040.217902662</v>
      </c>
      <c r="B21" s="5" t="s">
        <v>78</v>
      </c>
      <c r="C21" s="11">
        <v>0.21789351851851901</v>
      </c>
      <c r="D21" s="11" t="s">
        <v>62</v>
      </c>
      <c r="E21" s="11">
        <v>0.297106481481481</v>
      </c>
      <c r="F21" s="12">
        <f t="shared" si="1"/>
        <v>1.9011111111110877</v>
      </c>
      <c r="G21" s="13">
        <f t="shared" si="2"/>
        <v>0</v>
      </c>
      <c r="H21" s="13">
        <f t="shared" si="3"/>
        <v>1.9011111111110877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46043.132781713</v>
      </c>
      <c r="B22" s="5" t="s">
        <v>84</v>
      </c>
      <c r="C22" s="11">
        <v>0.13277777777777799</v>
      </c>
      <c r="D22" s="11" t="s">
        <v>62</v>
      </c>
      <c r="E22" s="11">
        <v>0.22275462962963</v>
      </c>
      <c r="F22" s="12">
        <f t="shared" si="1"/>
        <v>2.1594444444444481</v>
      </c>
      <c r="G22" s="13">
        <f t="shared" si="2"/>
        <v>0</v>
      </c>
      <c r="H22" s="13">
        <f t="shared" si="3"/>
        <v>2.1594444444444481</v>
      </c>
      <c r="I22"/>
      <c r="J22"/>
    </row>
    <row r="23" spans="1:13" ht="18.75" x14ac:dyDescent="0.15">
      <c r="A23" s="10">
        <f t="shared" ca="1" si="0"/>
        <v>46044.0151392361</v>
      </c>
      <c r="B23" s="5" t="s">
        <v>78</v>
      </c>
      <c r="C23" s="11">
        <v>1.51388888888889E-2</v>
      </c>
      <c r="D23" s="11" t="s">
        <v>62</v>
      </c>
      <c r="E23" s="11">
        <v>0.14048611111111101</v>
      </c>
      <c r="F23" s="12">
        <f t="shared" si="1"/>
        <v>3.0083333333333306</v>
      </c>
      <c r="G23" s="13">
        <f t="shared" si="2"/>
        <v>0</v>
      </c>
      <c r="H23" s="13">
        <f t="shared" si="3"/>
        <v>3.0083333333333306</v>
      </c>
      <c r="I23"/>
      <c r="J23"/>
    </row>
    <row r="24" spans="1:13" ht="18.75" x14ac:dyDescent="0.15">
      <c r="A24" s="10">
        <f t="shared" ca="1" si="0"/>
        <v>46046.356663425897</v>
      </c>
      <c r="B24" s="5" t="s">
        <v>81</v>
      </c>
      <c r="C24" s="11">
        <v>0.35665509259259298</v>
      </c>
      <c r="D24" s="11" t="s">
        <v>62</v>
      </c>
      <c r="E24" s="11">
        <v>0.39179398148148098</v>
      </c>
      <c r="F24" s="12">
        <f t="shared" si="1"/>
        <v>0.84333333333331195</v>
      </c>
      <c r="G24" s="13">
        <f t="shared" si="2"/>
        <v>0.84333333333331195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46046.397929629602</v>
      </c>
      <c r="B25" s="5" t="s">
        <v>81</v>
      </c>
      <c r="C25" s="11">
        <v>0.39792824074074101</v>
      </c>
      <c r="D25" s="11" t="s">
        <v>62</v>
      </c>
      <c r="E25" s="11">
        <v>0.50626157407407402</v>
      </c>
      <c r="F25" s="12">
        <f t="shared" si="1"/>
        <v>2.5999999999999921</v>
      </c>
      <c r="G25" s="13">
        <f t="shared" si="2"/>
        <v>2.5999999999999921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46046.626655555599</v>
      </c>
      <c r="B26" s="5" t="s">
        <v>83</v>
      </c>
      <c r="C26" s="11">
        <v>0.626655092592593</v>
      </c>
      <c r="D26" s="11" t="s">
        <v>62</v>
      </c>
      <c r="E26" s="11">
        <v>0.75407407407407401</v>
      </c>
      <c r="F26" s="12">
        <f t="shared" si="1"/>
        <v>3.0580555555555442</v>
      </c>
      <c r="G26" s="13">
        <f t="shared" si="2"/>
        <v>3.0580555555555442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46047.293036226903</v>
      </c>
      <c r="B27" s="5" t="s">
        <v>81</v>
      </c>
      <c r="C27" s="11">
        <v>0.293449074074074</v>
      </c>
      <c r="D27" s="11" t="s">
        <v>62</v>
      </c>
      <c r="E27" s="11">
        <v>0.34379629629629599</v>
      </c>
      <c r="F27" s="12">
        <f t="shared" si="1"/>
        <v>1.2083333333333277</v>
      </c>
      <c r="G27" s="13">
        <f t="shared" si="2"/>
        <v>0.25111111111111217</v>
      </c>
      <c r="H27" s="13">
        <f t="shared" si="3"/>
        <v>0.95722222222221554</v>
      </c>
      <c r="I27"/>
      <c r="J27"/>
    </row>
    <row r="28" spans="1:13" ht="18.75" x14ac:dyDescent="0.15">
      <c r="A28" s="10">
        <f t="shared" ca="1" si="0"/>
        <v>46047.355036226902</v>
      </c>
      <c r="B28" s="5" t="s">
        <v>81</v>
      </c>
      <c r="C28" s="11">
        <v>0.35503472222222199</v>
      </c>
      <c r="D28" s="11" t="s">
        <v>62</v>
      </c>
      <c r="E28" s="11">
        <v>0.46487268518518499</v>
      </c>
      <c r="F28" s="12">
        <f t="shared" si="1"/>
        <v>2.636111111111112</v>
      </c>
      <c r="G28" s="13">
        <f t="shared" si="2"/>
        <v>2.636111111111112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46051.013700463001</v>
      </c>
      <c r="B29" s="5" t="s">
        <v>78</v>
      </c>
      <c r="C29" s="11">
        <v>1.3692129629629599E-2</v>
      </c>
      <c r="D29" s="11" t="s">
        <v>62</v>
      </c>
      <c r="E29" s="11">
        <v>0.140335648148148</v>
      </c>
      <c r="F29" s="12">
        <f t="shared" si="1"/>
        <v>3.0394444444444417</v>
      </c>
      <c r="G29" s="13">
        <f t="shared" si="2"/>
        <v>0</v>
      </c>
      <c r="H29" s="13">
        <f t="shared" si="3"/>
        <v>3.0394444444444417</v>
      </c>
      <c r="I29"/>
      <c r="J29"/>
    </row>
    <row r="30" spans="1:13" ht="18.75" x14ac:dyDescent="0.15">
      <c r="A30" s="10">
        <f t="shared" ca="1" si="0"/>
        <v>46052.130017361102</v>
      </c>
      <c r="B30" s="5" t="s">
        <v>84</v>
      </c>
      <c r="C30" s="11">
        <v>0.13001157407407399</v>
      </c>
      <c r="D30" s="11" t="s">
        <v>62</v>
      </c>
      <c r="E30" s="11">
        <v>0.22857638888888901</v>
      </c>
      <c r="F30" s="12">
        <f t="shared" si="1"/>
        <v>2.3655555555555603</v>
      </c>
      <c r="G30" s="13">
        <f t="shared" si="2"/>
        <v>0</v>
      </c>
      <c r="H30" s="13">
        <f t="shared" si="3"/>
        <v>2.3655555555555603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46026.9526386574</v>
      </c>
      <c r="B3" s="5" t="s">
        <v>80</v>
      </c>
      <c r="C3" s="11">
        <v>0.95263888888888903</v>
      </c>
      <c r="D3" s="11" t="s">
        <v>62</v>
      </c>
      <c r="E3" s="11">
        <v>0.10552083333333299</v>
      </c>
      <c r="F3" s="12">
        <f t="shared" ref="F3:F42" si="1">(IF(E3-C3&lt;0,"24:00"-C3+E3,E3-C3))*24</f>
        <v>3.6691666666666554</v>
      </c>
      <c r="G3" s="13">
        <f t="shared" ref="G3:G42" si="2">F3-H3</f>
        <v>1.1366666666666636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2.5324999999999918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46028.135692708303</v>
      </c>
      <c r="B4" s="5" t="s">
        <v>84</v>
      </c>
      <c r="C4" s="11">
        <v>0.13568287037037</v>
      </c>
      <c r="D4" s="11" t="s">
        <v>62</v>
      </c>
      <c r="E4" s="11">
        <v>0.21814814814814801</v>
      </c>
      <c r="F4" s="12">
        <f t="shared" si="1"/>
        <v>1.9791666666666723</v>
      </c>
      <c r="G4" s="13">
        <f t="shared" si="2"/>
        <v>0</v>
      </c>
      <c r="H4" s="13">
        <f t="shared" si="3"/>
        <v>1.9791666666666723</v>
      </c>
      <c r="I4" s="21" t="s">
        <v>64</v>
      </c>
      <c r="J4" s="22">
        <f>SUMIF(B:B,"西塔台管制席",F:F)+SUMIF(B:B,"东塔台管制席",F:F)</f>
        <v>36.050000000000004</v>
      </c>
      <c r="K4" s="23">
        <f>SUMIF(B:B,"西塔台管制席",G:G)+SUMIF(B:B,"东塔台管制席",G:G)</f>
        <v>15.810555555555551</v>
      </c>
      <c r="L4" s="23">
        <f>SUMIF(B:B,"西塔台管制席",H:H)+SUMIF(B:B,"东塔台管制席",H:H)</f>
        <v>20.239444444444459</v>
      </c>
      <c r="M4" s="19"/>
    </row>
    <row r="5" spans="1:16" ht="18.75" x14ac:dyDescent="0.25">
      <c r="A5" s="10">
        <f t="shared" ca="1" si="0"/>
        <v>46031.141626851902</v>
      </c>
      <c r="B5" s="5" t="s">
        <v>81</v>
      </c>
      <c r="C5" s="11">
        <v>0.14162037037037001</v>
      </c>
      <c r="D5" s="11" t="s">
        <v>62</v>
      </c>
      <c r="E5" s="11">
        <v>0.299571759259259</v>
      </c>
      <c r="F5" s="12">
        <f t="shared" si="1"/>
        <v>3.7908333333333357</v>
      </c>
      <c r="G5" s="13">
        <f t="shared" si="2"/>
        <v>0</v>
      </c>
      <c r="H5" s="13">
        <f t="shared" si="3"/>
        <v>3.7908333333333357</v>
      </c>
      <c r="I5" s="21" t="s">
        <v>65</v>
      </c>
      <c r="J5" s="22">
        <f>SUMIF(B:B,"西塔台协调席",F:F)+SUMIF(B:B,"东塔台协调席",F:F)</f>
        <v>19.763055555555557</v>
      </c>
      <c r="K5" s="23">
        <f>SUMIF(B:B,"西塔台协调席",G:G)+SUMIF(B:B,"东塔台协调席",G:G)</f>
        <v>12.229166666666714</v>
      </c>
      <c r="L5" s="23">
        <f>SUMIF(B:B,"西塔台协调席",H:H)+SUMIF(B:B,"东塔台协调席",H:H)</f>
        <v>7.5338888888888409</v>
      </c>
      <c r="M5" s="19"/>
    </row>
    <row r="6" spans="1:16" ht="18.75" x14ac:dyDescent="0.25">
      <c r="A6" s="10">
        <f t="shared" ca="1" si="0"/>
        <v>46032.014361226902</v>
      </c>
      <c r="B6" s="5" t="s">
        <v>78</v>
      </c>
      <c r="C6" s="11">
        <v>1.43518518518519E-2</v>
      </c>
      <c r="D6" s="11" t="s">
        <v>62</v>
      </c>
      <c r="E6" s="11">
        <v>0.11391203703703701</v>
      </c>
      <c r="F6" s="12">
        <f t="shared" si="1"/>
        <v>2.3894444444444427</v>
      </c>
      <c r="G6" s="13">
        <f t="shared" si="2"/>
        <v>0</v>
      </c>
      <c r="H6" s="13">
        <f t="shared" si="3"/>
        <v>2.3894444444444427</v>
      </c>
      <c r="I6" s="21" t="s">
        <v>66</v>
      </c>
      <c r="J6" s="22">
        <f>SUMIF(B:B,"放行席",F:F)</f>
        <v>1.9791666666666723</v>
      </c>
      <c r="K6" s="23">
        <f>SUMIF(B:B,"放行席",G:G)</f>
        <v>0</v>
      </c>
      <c r="L6" s="23">
        <f>SUMIF(B:B,"放行席",H:H)</f>
        <v>1.9791666666666723</v>
      </c>
      <c r="M6" s="19"/>
    </row>
    <row r="7" spans="1:16" ht="18.75" x14ac:dyDescent="0.25">
      <c r="A7" s="10">
        <f t="shared" ca="1" si="0"/>
        <v>46032.114034259299</v>
      </c>
      <c r="B7" s="5" t="s">
        <v>78</v>
      </c>
      <c r="C7" s="11">
        <v>0.11402777777777801</v>
      </c>
      <c r="D7" s="11" t="s">
        <v>62</v>
      </c>
      <c r="E7" s="11">
        <v>0.14344907407407401</v>
      </c>
      <c r="F7" s="12">
        <f t="shared" si="1"/>
        <v>0.70611111111110403</v>
      </c>
      <c r="G7" s="13">
        <f t="shared" si="2"/>
        <v>0</v>
      </c>
      <c r="H7" s="13">
        <f t="shared" si="3"/>
        <v>0.70611111111110403</v>
      </c>
      <c r="I7" s="21" t="s">
        <v>67</v>
      </c>
      <c r="J7" s="22">
        <f>SUMIF(B:B,"地面席",F:F)</f>
        <v>2.3241666666666716</v>
      </c>
      <c r="K7" s="23">
        <f>SUMIF(B:B,"地面席",G:G)</f>
        <v>0</v>
      </c>
      <c r="L7" s="23">
        <f>SUMIF(B:B,"地面席",H:H)</f>
        <v>2.3241666666666716</v>
      </c>
      <c r="M7" s="19"/>
    </row>
    <row r="8" spans="1:16" ht="18.75" x14ac:dyDescent="0.25">
      <c r="A8" s="10">
        <f t="shared" ca="1" si="0"/>
        <v>46034.353878588001</v>
      </c>
      <c r="B8" s="5" t="s">
        <v>81</v>
      </c>
      <c r="C8" s="11">
        <v>0.35387731481481499</v>
      </c>
      <c r="D8" s="11" t="s">
        <v>62</v>
      </c>
      <c r="E8" s="11">
        <v>0.50616898148148104</v>
      </c>
      <c r="F8" s="12">
        <f t="shared" si="1"/>
        <v>3.6549999999999851</v>
      </c>
      <c r="G8" s="13">
        <f t="shared" si="2"/>
        <v>3.6549999999999851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46034.625990046297</v>
      </c>
      <c r="B9" s="5" t="s">
        <v>83</v>
      </c>
      <c r="C9" s="11">
        <v>0.62598379629629597</v>
      </c>
      <c r="D9" s="11" t="s">
        <v>62</v>
      </c>
      <c r="E9" s="11">
        <v>0.75539351851851899</v>
      </c>
      <c r="F9" s="12">
        <f t="shared" si="1"/>
        <v>3.1058333333333525</v>
      </c>
      <c r="G9" s="13">
        <f t="shared" si="2"/>
        <v>3.1058333333333525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46034.877523958297</v>
      </c>
      <c r="B10" s="5" t="s">
        <v>81</v>
      </c>
      <c r="C10" s="11">
        <v>0.87752314814814802</v>
      </c>
      <c r="D10" s="11" t="s">
        <v>62</v>
      </c>
      <c r="E10" s="11">
        <v>0.95954861111111101</v>
      </c>
      <c r="F10" s="12">
        <f t="shared" si="1"/>
        <v>1.9686111111111115</v>
      </c>
      <c r="G10" s="13">
        <f t="shared" si="2"/>
        <v>1.9686111111111115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46035.293674305598</v>
      </c>
      <c r="B11" s="5" t="s">
        <v>83</v>
      </c>
      <c r="C11" s="11">
        <v>0.29366898148148202</v>
      </c>
      <c r="D11" s="11" t="s">
        <v>62</v>
      </c>
      <c r="E11" s="11">
        <v>0.35792824074074098</v>
      </c>
      <c r="F11" s="12">
        <f t="shared" si="1"/>
        <v>1.5422222222222151</v>
      </c>
      <c r="G11" s="13">
        <f t="shared" si="2"/>
        <v>0.59027777777779189</v>
      </c>
      <c r="H11" s="13">
        <f t="shared" si="3"/>
        <v>0.95194444444442317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46035.364017939799</v>
      </c>
      <c r="B12" s="5" t="s">
        <v>83</v>
      </c>
      <c r="C12" s="11">
        <v>0.36401620370370402</v>
      </c>
      <c r="D12" s="11" t="s">
        <v>62</v>
      </c>
      <c r="E12" s="11">
        <v>0.42190972222222201</v>
      </c>
      <c r="F12" s="12">
        <f t="shared" si="1"/>
        <v>1.3894444444444316</v>
      </c>
      <c r="G12" s="13">
        <f t="shared" si="2"/>
        <v>1.3894444444444316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46035.5431991898</v>
      </c>
      <c r="B13" s="5" t="s">
        <v>81</v>
      </c>
      <c r="C13" s="11">
        <v>0.54319444444444398</v>
      </c>
      <c r="D13" s="11" t="s">
        <v>62</v>
      </c>
      <c r="E13" s="11">
        <v>0.67263888888888901</v>
      </c>
      <c r="F13" s="12">
        <f t="shared" si="1"/>
        <v>3.1066666666666807</v>
      </c>
      <c r="G13" s="13">
        <f t="shared" si="2"/>
        <v>3.1066666666666807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46035.792905208298</v>
      </c>
      <c r="B14" s="5" t="s">
        <v>83</v>
      </c>
      <c r="C14" s="11">
        <v>0.79298611111111095</v>
      </c>
      <c r="D14" s="11" t="s">
        <v>62</v>
      </c>
      <c r="E14" s="11">
        <v>0.88062499999999999</v>
      </c>
      <c r="F14" s="12">
        <f t="shared" si="1"/>
        <v>2.1033333333333371</v>
      </c>
      <c r="G14" s="13">
        <f t="shared" si="2"/>
        <v>2.1033333333333371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46039.0139122685</v>
      </c>
      <c r="B15" s="5" t="s">
        <v>81</v>
      </c>
      <c r="C15" s="11">
        <v>1.3912037037037001E-2</v>
      </c>
      <c r="D15" s="11" t="s">
        <v>62</v>
      </c>
      <c r="E15" s="11">
        <v>0.142337962962963</v>
      </c>
      <c r="F15" s="12">
        <f t="shared" si="1"/>
        <v>3.082222222222224</v>
      </c>
      <c r="G15" s="13">
        <f t="shared" si="2"/>
        <v>0</v>
      </c>
      <c r="H15" s="13">
        <f t="shared" si="3"/>
        <v>3.082222222222224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46040.217821759303</v>
      </c>
      <c r="B16" s="5" t="s">
        <v>80</v>
      </c>
      <c r="C16" s="11">
        <v>0.138645833333333</v>
      </c>
      <c r="D16" s="11" t="s">
        <v>62</v>
      </c>
      <c r="E16" s="11">
        <v>0.29776620370370399</v>
      </c>
      <c r="F16" s="12">
        <f t="shared" si="1"/>
        <v>3.8188888888889041</v>
      </c>
      <c r="G16" s="13">
        <f t="shared" si="2"/>
        <v>0</v>
      </c>
      <c r="H16" s="13">
        <f t="shared" si="3"/>
        <v>3.8188888888889041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46043.142042939799</v>
      </c>
      <c r="B17" s="5" t="s">
        <v>81</v>
      </c>
      <c r="C17" s="11">
        <v>0.14203703703703699</v>
      </c>
      <c r="D17" s="11" t="s">
        <v>62</v>
      </c>
      <c r="E17" s="11">
        <v>0.30401620370370402</v>
      </c>
      <c r="F17" s="12">
        <f t="shared" si="1"/>
        <v>3.8875000000000091</v>
      </c>
      <c r="G17" s="13">
        <f t="shared" si="2"/>
        <v>0</v>
      </c>
      <c r="H17" s="13">
        <f t="shared" si="3"/>
        <v>3.8875000000000091</v>
      </c>
      <c r="I17" s="35" t="s">
        <v>75</v>
      </c>
      <c r="J17" s="36">
        <f>J4+J5+J6+J7+J10</f>
        <v>60.116388888888906</v>
      </c>
      <c r="K17" s="37">
        <f>K4+K5+K6+K7+K10</f>
        <v>28.039722222222267</v>
      </c>
      <c r="L17" s="38">
        <f>L4+L5+L6+L7+L10</f>
        <v>32.07666666666664</v>
      </c>
      <c r="M17" s="39"/>
    </row>
    <row r="18" spans="1:13" ht="20.25" x14ac:dyDescent="0.25">
      <c r="A18" s="10">
        <f t="shared" ca="1" si="0"/>
        <v>46044.0152101852</v>
      </c>
      <c r="B18" s="5" t="s">
        <v>80</v>
      </c>
      <c r="C18" s="11">
        <v>1.5208333333333299E-2</v>
      </c>
      <c r="D18" s="11" t="s">
        <v>62</v>
      </c>
      <c r="E18" s="11">
        <v>0.14552083333333299</v>
      </c>
      <c r="F18" s="12">
        <f t="shared" si="1"/>
        <v>3.1274999999999924</v>
      </c>
      <c r="G18" s="13">
        <f t="shared" si="2"/>
        <v>0</v>
      </c>
      <c r="H18" s="13">
        <f t="shared" si="3"/>
        <v>3.1274999999999924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46046.833409606501</v>
      </c>
      <c r="B19" s="5" t="s">
        <v>81</v>
      </c>
      <c r="C19" s="11">
        <v>0.83340277777777805</v>
      </c>
      <c r="D19" s="11" t="s">
        <v>62</v>
      </c>
      <c r="E19" s="11">
        <v>0.95765046296296297</v>
      </c>
      <c r="F19" s="12">
        <f t="shared" si="1"/>
        <v>2.9819444444444381</v>
      </c>
      <c r="G19" s="13">
        <f t="shared" si="2"/>
        <v>2.9819444444444381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46047.584847800899</v>
      </c>
      <c r="B20" s="5" t="s">
        <v>83</v>
      </c>
      <c r="C20" s="11">
        <v>0.58483796296296298</v>
      </c>
      <c r="D20" s="11" t="s">
        <v>62</v>
      </c>
      <c r="E20" s="11">
        <v>0.71501157407407401</v>
      </c>
      <c r="F20" s="12">
        <f t="shared" si="1"/>
        <v>3.1241666666666648</v>
      </c>
      <c r="G20" s="13">
        <f t="shared" si="2"/>
        <v>3.1241666666666648</v>
      </c>
      <c r="H20" s="13">
        <f t="shared" si="3"/>
        <v>0</v>
      </c>
      <c r="I20" s="40" t="s">
        <v>77</v>
      </c>
      <c r="J20" s="65">
        <f>J16+J17+J18+J19</f>
        <v>60.116388888888906</v>
      </c>
      <c r="K20" s="66"/>
      <c r="L20" s="67"/>
      <c r="M20" s="41"/>
    </row>
    <row r="21" spans="1:13" ht="20.25" x14ac:dyDescent="0.25">
      <c r="A21" s="10">
        <f t="shared" ca="1" si="0"/>
        <v>46047.834290393497</v>
      </c>
      <c r="B21" s="5" t="s">
        <v>81</v>
      </c>
      <c r="C21" s="11">
        <v>0.834282407407407</v>
      </c>
      <c r="D21" s="11" t="s">
        <v>62</v>
      </c>
      <c r="E21" s="11">
        <v>0.95768518518518497</v>
      </c>
      <c r="F21" s="12">
        <f t="shared" si="1"/>
        <v>2.9616666666666713</v>
      </c>
      <c r="G21" s="13">
        <f t="shared" si="2"/>
        <v>2.9616666666666713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46048.292976157398</v>
      </c>
      <c r="B22" s="5" t="s">
        <v>78</v>
      </c>
      <c r="C22" s="11">
        <v>0.29297453703703702</v>
      </c>
      <c r="D22" s="11" t="s">
        <v>62</v>
      </c>
      <c r="E22" s="11">
        <v>0.36606481481481501</v>
      </c>
      <c r="F22" s="12">
        <f t="shared" si="1"/>
        <v>1.7541666666666718</v>
      </c>
      <c r="G22" s="13">
        <f t="shared" si="2"/>
        <v>0.78555555555556866</v>
      </c>
      <c r="H22" s="13">
        <f t="shared" si="3"/>
        <v>0.9686111111111031</v>
      </c>
      <c r="I22"/>
      <c r="J22"/>
    </row>
    <row r="23" spans="1:13" ht="18.75" x14ac:dyDescent="0.15">
      <c r="A23" s="10">
        <f t="shared" ca="1" si="0"/>
        <v>46050.952902777797</v>
      </c>
      <c r="B23" s="5" t="s">
        <v>83</v>
      </c>
      <c r="C23" s="11">
        <v>0.952893518518518</v>
      </c>
      <c r="D23" s="11" t="s">
        <v>62</v>
      </c>
      <c r="E23" s="11">
        <v>0.10490740740740701</v>
      </c>
      <c r="F23" s="12">
        <f t="shared" si="1"/>
        <v>3.6483333333333361</v>
      </c>
      <c r="G23" s="13">
        <f t="shared" si="2"/>
        <v>1.130555555555568</v>
      </c>
      <c r="H23" s="13">
        <f t="shared" si="3"/>
        <v>2.5177777777777681</v>
      </c>
      <c r="I23"/>
      <c r="J23"/>
    </row>
    <row r="24" spans="1:13" ht="18.75" x14ac:dyDescent="0.15">
      <c r="A24" s="10">
        <f t="shared" ca="1" si="0"/>
        <v>46052.131550231497</v>
      </c>
      <c r="B24" s="5" t="s">
        <v>79</v>
      </c>
      <c r="C24" s="11">
        <v>0.131539351851852</v>
      </c>
      <c r="D24" s="11" t="s">
        <v>62</v>
      </c>
      <c r="E24" s="11">
        <v>0.22837962962962999</v>
      </c>
      <c r="F24" s="12">
        <f t="shared" si="1"/>
        <v>2.3241666666666716</v>
      </c>
      <c r="G24" s="13">
        <f t="shared" si="2"/>
        <v>0</v>
      </c>
      <c r="H24" s="13">
        <f t="shared" si="3"/>
        <v>2.3241666666666716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46023.138228588003</v>
      </c>
      <c r="B3" s="5" t="s">
        <v>81</v>
      </c>
      <c r="C3" s="11">
        <v>0.138217592592593</v>
      </c>
      <c r="D3" s="11" t="s">
        <v>62</v>
      </c>
      <c r="E3" s="11">
        <v>0.30090277777777802</v>
      </c>
      <c r="F3" s="12">
        <f t="shared" ref="F3:F42" si="1">(IF(E3-C3&lt;0,"24:00"-C3+E3,E3-C3))*24</f>
        <v>3.9044444444444402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3.9044444444444402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46024.014062731498</v>
      </c>
      <c r="B4" s="5" t="s">
        <v>80</v>
      </c>
      <c r="C4" s="11">
        <v>1.40625E-2</v>
      </c>
      <c r="D4" s="11" t="s">
        <v>62</v>
      </c>
      <c r="E4" s="11">
        <v>0.139895833333333</v>
      </c>
      <c r="F4" s="12">
        <f t="shared" si="1"/>
        <v>3.0199999999999916</v>
      </c>
      <c r="G4" s="13">
        <f t="shared" si="2"/>
        <v>0</v>
      </c>
      <c r="H4" s="13">
        <f t="shared" si="3"/>
        <v>3.0199999999999916</v>
      </c>
      <c r="I4" s="21" t="s">
        <v>64</v>
      </c>
      <c r="J4" s="22">
        <f>SUMIF(B:B,"西塔台管制席",F:F)+SUMIF(B:B,"东塔台管制席",F:F)</f>
        <v>25.432222222222226</v>
      </c>
      <c r="K4" s="23">
        <f>SUMIF(B:B,"西塔台管制席",G:G)+SUMIF(B:B,"东塔台管制席",G:G)</f>
        <v>6.5336111111111279</v>
      </c>
      <c r="L4" s="23">
        <f>SUMIF(B:B,"西塔台管制席",H:H)+SUMIF(B:B,"东塔台管制席",H:H)</f>
        <v>18.898611111111094</v>
      </c>
      <c r="M4" s="19"/>
    </row>
    <row r="5" spans="1:16" ht="18.75" x14ac:dyDescent="0.25">
      <c r="A5" s="10">
        <f t="shared" ca="1" si="0"/>
        <v>46026.354793055601</v>
      </c>
      <c r="B5" s="5" t="s">
        <v>85</v>
      </c>
      <c r="C5" s="11">
        <v>0.354791666666667</v>
      </c>
      <c r="D5" s="11" t="s">
        <v>62</v>
      </c>
      <c r="E5" s="11">
        <v>0.52869212962962997</v>
      </c>
      <c r="F5" s="12">
        <f t="shared" si="1"/>
        <v>4.1736111111111107</v>
      </c>
      <c r="G5" s="13">
        <f t="shared" si="2"/>
        <v>4.1736111111111107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37.82527777777775</v>
      </c>
      <c r="K5" s="23">
        <f>SUMIF(B:B,"西塔台协调席",G:G)+SUMIF(B:B,"东塔台协调席",G:G)</f>
        <v>26.346111111111117</v>
      </c>
      <c r="L5" s="23">
        <f>SUMIF(B:B,"西塔台协调席",H:H)+SUMIF(B:B,"东塔台协调席",H:H)</f>
        <v>11.479166666666639</v>
      </c>
      <c r="M5" s="19"/>
    </row>
    <row r="6" spans="1:16" ht="18.75" x14ac:dyDescent="0.25">
      <c r="A6" s="10">
        <f t="shared" ca="1" si="0"/>
        <v>46026.687001273101</v>
      </c>
      <c r="B6" s="5" t="s">
        <v>85</v>
      </c>
      <c r="C6" s="11">
        <v>0.68699074074074096</v>
      </c>
      <c r="D6" s="11" t="s">
        <v>62</v>
      </c>
      <c r="E6" s="11">
        <v>0.77736111111111095</v>
      </c>
      <c r="F6" s="12">
        <f t="shared" si="1"/>
        <v>2.1688888888888798</v>
      </c>
      <c r="G6" s="13">
        <f t="shared" si="2"/>
        <v>2.1688888888888798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46026.855213310198</v>
      </c>
      <c r="B7" s="5" t="s">
        <v>85</v>
      </c>
      <c r="C7" s="11">
        <v>0.85520833333333302</v>
      </c>
      <c r="D7" s="11" t="s">
        <v>62</v>
      </c>
      <c r="E7" s="11">
        <v>0.95861111111111097</v>
      </c>
      <c r="F7" s="12">
        <f t="shared" si="1"/>
        <v>2.4816666666666709</v>
      </c>
      <c r="G7" s="13">
        <f t="shared" si="2"/>
        <v>2.4816666666666709</v>
      </c>
      <c r="H7" s="13">
        <f t="shared" si="3"/>
        <v>0</v>
      </c>
      <c r="I7" s="21" t="s">
        <v>67</v>
      </c>
      <c r="J7" s="22">
        <f>SUMIF(B:B,"地面席",F:F)</f>
        <v>4.335277777777776</v>
      </c>
      <c r="K7" s="23">
        <f>SUMIF(B:B,"地面席",G:G)</f>
        <v>0</v>
      </c>
      <c r="L7" s="23">
        <f>SUMIF(B:B,"地面席",H:H)</f>
        <v>4.335277777777776</v>
      </c>
      <c r="M7" s="19"/>
    </row>
    <row r="8" spans="1:16" ht="18.75" x14ac:dyDescent="0.25">
      <c r="A8" s="10">
        <f t="shared" ca="1" si="0"/>
        <v>46027.292540162001</v>
      </c>
      <c r="B8" s="5" t="s">
        <v>85</v>
      </c>
      <c r="C8" s="11">
        <v>0.29253472222222199</v>
      </c>
      <c r="D8" s="11" t="s">
        <v>62</v>
      </c>
      <c r="E8" s="11">
        <v>0.42326388888888899</v>
      </c>
      <c r="F8" s="12">
        <f t="shared" si="1"/>
        <v>3.1375000000000082</v>
      </c>
      <c r="G8" s="13">
        <f t="shared" si="2"/>
        <v>2.1583333333333443</v>
      </c>
      <c r="H8" s="13">
        <f t="shared" si="3"/>
        <v>0.97916666666666385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46027.521560069399</v>
      </c>
      <c r="B9" s="5" t="s">
        <v>85</v>
      </c>
      <c r="C9" s="11">
        <v>0.521550925925926</v>
      </c>
      <c r="D9" s="11" t="s">
        <v>62</v>
      </c>
      <c r="E9" s="11">
        <v>0.65355324074074095</v>
      </c>
      <c r="F9" s="12">
        <f t="shared" si="1"/>
        <v>3.1680555555555587</v>
      </c>
      <c r="G9" s="13">
        <f t="shared" si="2"/>
        <v>3.1680555555555587</v>
      </c>
      <c r="H9" s="13">
        <f t="shared" si="3"/>
        <v>0</v>
      </c>
      <c r="I9" s="21" t="s">
        <v>69</v>
      </c>
      <c r="J9" s="22">
        <f>SUMIF(B:B,"航班调度席",F:F)</f>
        <v>2.1691666666666807</v>
      </c>
      <c r="K9" s="23">
        <f>SUMIF(B:B,"航班调度席",G:G)</f>
        <v>2.1691666666666807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46027.772045949103</v>
      </c>
      <c r="B10" s="5" t="s">
        <v>85</v>
      </c>
      <c r="C10" s="11">
        <v>0.77203703703703697</v>
      </c>
      <c r="D10" s="11" t="s">
        <v>62</v>
      </c>
      <c r="E10" s="11">
        <v>0.83797453703703695</v>
      </c>
      <c r="F10" s="12">
        <f t="shared" si="1"/>
        <v>1.5824999999999996</v>
      </c>
      <c r="G10" s="13">
        <f t="shared" si="2"/>
        <v>1.5824999999999996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46030.9515844907</v>
      </c>
      <c r="B11" s="5" t="s">
        <v>80</v>
      </c>
      <c r="C11" s="11">
        <v>0.95157407407407402</v>
      </c>
      <c r="D11" s="11" t="s">
        <v>62</v>
      </c>
      <c r="E11" s="11">
        <v>0.12685185185185199</v>
      </c>
      <c r="F11" s="12">
        <f t="shared" si="1"/>
        <v>4.2066666666666714</v>
      </c>
      <c r="G11" s="13">
        <f t="shared" si="2"/>
        <v>1.1622222222222236</v>
      </c>
      <c r="H11" s="13">
        <f t="shared" si="3"/>
        <v>3.0444444444444478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46032.138694560199</v>
      </c>
      <c r="B12" s="5" t="s">
        <v>79</v>
      </c>
      <c r="C12" s="11">
        <v>0.13869212962963001</v>
      </c>
      <c r="D12" s="11" t="s">
        <v>62</v>
      </c>
      <c r="E12" s="11">
        <v>0.22721064814814801</v>
      </c>
      <c r="F12" s="12">
        <f t="shared" si="1"/>
        <v>2.1244444444444319</v>
      </c>
      <c r="G12" s="13">
        <f t="shared" si="2"/>
        <v>0</v>
      </c>
      <c r="H12" s="13">
        <f t="shared" si="3"/>
        <v>2.1244444444444319</v>
      </c>
      <c r="I12" s="27" t="s">
        <v>72</v>
      </c>
      <c r="J12" s="28">
        <f>SUMIF(B:B,"管制教员席",F:F)</f>
        <v>16.712222222222227</v>
      </c>
      <c r="K12" s="29">
        <f>SUMIF(B:B,"管制教员席",G:G)</f>
        <v>15.733055555555563</v>
      </c>
      <c r="L12" s="29">
        <f>SUMIF(B:B,"管制教员席",H:H)</f>
        <v>0.97916666666666385</v>
      </c>
      <c r="M12" s="19"/>
    </row>
    <row r="13" spans="1:16" ht="18.75" x14ac:dyDescent="0.15">
      <c r="A13" s="10">
        <f t="shared" ca="1" si="0"/>
        <v>46035.139288541701</v>
      </c>
      <c r="B13" s="5" t="s">
        <v>80</v>
      </c>
      <c r="C13" s="11">
        <v>0.13928240740740699</v>
      </c>
      <c r="D13" s="11" t="s">
        <v>62</v>
      </c>
      <c r="E13" s="11">
        <v>0.30026620370370399</v>
      </c>
      <c r="F13" s="12">
        <f t="shared" si="1"/>
        <v>3.863611111111128</v>
      </c>
      <c r="G13" s="13">
        <f t="shared" si="2"/>
        <v>0</v>
      </c>
      <c r="H13" s="13">
        <f t="shared" si="3"/>
        <v>3.863611111111128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46035.950165856499</v>
      </c>
      <c r="B14" s="5" t="s">
        <v>83</v>
      </c>
      <c r="C14" s="11">
        <v>0.95016203703703705</v>
      </c>
      <c r="D14" s="11" t="s">
        <v>62</v>
      </c>
      <c r="E14" s="11">
        <v>0.137048611111111</v>
      </c>
      <c r="F14" s="12">
        <f t="shared" si="1"/>
        <v>4.4852777777777746</v>
      </c>
      <c r="G14" s="13">
        <f t="shared" si="2"/>
        <v>1.1961111111111107</v>
      </c>
      <c r="H14" s="13">
        <f t="shared" si="3"/>
        <v>3.2891666666666639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46038.500680555597</v>
      </c>
      <c r="B15" s="5" t="s">
        <v>78</v>
      </c>
      <c r="C15" s="11">
        <v>0.50067129629629603</v>
      </c>
      <c r="D15" s="11" t="s">
        <v>62</v>
      </c>
      <c r="E15" s="11">
        <v>0.65646990740740696</v>
      </c>
      <c r="F15" s="12">
        <f t="shared" si="1"/>
        <v>3.7391666666666623</v>
      </c>
      <c r="G15" s="13">
        <f t="shared" si="2"/>
        <v>3.7391666666666623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46038.730839930598</v>
      </c>
      <c r="B16" s="5" t="s">
        <v>80</v>
      </c>
      <c r="C16" s="11">
        <v>0.730833333333333</v>
      </c>
      <c r="D16" s="11" t="s">
        <v>62</v>
      </c>
      <c r="E16" s="11">
        <v>0.84204861111111096</v>
      </c>
      <c r="F16" s="12">
        <f t="shared" si="1"/>
        <v>2.6691666666666709</v>
      </c>
      <c r="G16" s="13">
        <f t="shared" si="2"/>
        <v>2.6691666666666709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46039.417796875001</v>
      </c>
      <c r="B17" s="5" t="s">
        <v>83</v>
      </c>
      <c r="C17" s="11">
        <v>0.41778935185185201</v>
      </c>
      <c r="D17" s="11" t="s">
        <v>62</v>
      </c>
      <c r="E17" s="11">
        <v>0.51623842592592595</v>
      </c>
      <c r="F17" s="12">
        <f t="shared" si="1"/>
        <v>2.3627777777777745</v>
      </c>
      <c r="G17" s="13">
        <f t="shared" si="2"/>
        <v>2.3627777777777745</v>
      </c>
      <c r="H17" s="13">
        <f t="shared" si="3"/>
        <v>0</v>
      </c>
      <c r="I17" s="35" t="s">
        <v>75</v>
      </c>
      <c r="J17" s="36">
        <f>J4+J5+J6+J7+J10</f>
        <v>67.592777777777755</v>
      </c>
      <c r="K17" s="37">
        <f>K4+K5+K6+K7+K10</f>
        <v>32.879722222222242</v>
      </c>
      <c r="L17" s="38">
        <f>L4+L5+L6+L7+L10</f>
        <v>34.713055555555513</v>
      </c>
      <c r="M17" s="39"/>
    </row>
    <row r="18" spans="1:13" ht="20.25" x14ac:dyDescent="0.25">
      <c r="A18" s="10">
        <f t="shared" ca="1" si="0"/>
        <v>46039.626408449098</v>
      </c>
      <c r="B18" s="5" t="s">
        <v>83</v>
      </c>
      <c r="C18" s="11">
        <v>0.62640046296296303</v>
      </c>
      <c r="D18" s="11" t="s">
        <v>62</v>
      </c>
      <c r="E18" s="11">
        <v>0.76243055555555606</v>
      </c>
      <c r="F18" s="12">
        <f t="shared" si="1"/>
        <v>3.2647222222222325</v>
      </c>
      <c r="G18" s="13">
        <f t="shared" si="2"/>
        <v>3.2647222222222325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46039.875128125001</v>
      </c>
      <c r="B19" s="5" t="s">
        <v>81</v>
      </c>
      <c r="C19" s="11">
        <v>0.87512731481481498</v>
      </c>
      <c r="D19" s="11" t="s">
        <v>62</v>
      </c>
      <c r="E19" s="11">
        <v>0.95657407407407402</v>
      </c>
      <c r="F19" s="12">
        <f t="shared" si="1"/>
        <v>1.9547222222222169</v>
      </c>
      <c r="G19" s="13">
        <f t="shared" si="2"/>
        <v>1.9547222222222169</v>
      </c>
      <c r="H19" s="13">
        <f t="shared" si="3"/>
        <v>0</v>
      </c>
      <c r="I19" s="35" t="s">
        <v>76</v>
      </c>
      <c r="J19" s="36">
        <f t="shared" ref="J19:L19" si="6">J12</f>
        <v>16.712222222222227</v>
      </c>
      <c r="K19" s="37">
        <f t="shared" si="6"/>
        <v>15.733055555555563</v>
      </c>
      <c r="L19" s="38">
        <f t="shared" si="6"/>
        <v>0.97916666666666385</v>
      </c>
      <c r="M19" s="39"/>
    </row>
    <row r="20" spans="1:13" ht="20.25" x14ac:dyDescent="0.15">
      <c r="A20" s="10">
        <f t="shared" ca="1" si="0"/>
        <v>46040.292452777801</v>
      </c>
      <c r="B20" s="5" t="s">
        <v>78</v>
      </c>
      <c r="C20" s="11">
        <v>0.29251157407407402</v>
      </c>
      <c r="D20" s="11" t="s">
        <v>62</v>
      </c>
      <c r="E20" s="11">
        <v>0.36405092592592603</v>
      </c>
      <c r="F20" s="12">
        <f t="shared" si="1"/>
        <v>1.7169444444444482</v>
      </c>
      <c r="G20" s="13">
        <f t="shared" si="2"/>
        <v>0.7372222222222331</v>
      </c>
      <c r="H20" s="13">
        <f t="shared" si="3"/>
        <v>0.97972222222221506</v>
      </c>
      <c r="I20" s="40" t="s">
        <v>77</v>
      </c>
      <c r="J20" s="65">
        <f>J16+J17+J18+J19</f>
        <v>84.304999999999978</v>
      </c>
      <c r="K20" s="66"/>
      <c r="L20" s="67"/>
      <c r="M20" s="41"/>
    </row>
    <row r="21" spans="1:13" ht="20.25" x14ac:dyDescent="0.25">
      <c r="A21" s="10">
        <f t="shared" ca="1" si="0"/>
        <v>46042.951167824103</v>
      </c>
      <c r="B21" s="5" t="s">
        <v>83</v>
      </c>
      <c r="C21" s="11">
        <v>0.95115740740740795</v>
      </c>
      <c r="D21" s="11" t="s">
        <v>62</v>
      </c>
      <c r="E21" s="11">
        <v>0.128483796296296</v>
      </c>
      <c r="F21" s="12">
        <f t="shared" si="1"/>
        <v>4.2558333333333129</v>
      </c>
      <c r="G21" s="13">
        <f t="shared" si="2"/>
        <v>1.1722222222222092</v>
      </c>
      <c r="H21" s="13">
        <f t="shared" si="3"/>
        <v>3.0836111111111038</v>
      </c>
      <c r="I21" s="42" t="s">
        <v>4</v>
      </c>
      <c r="J21" s="43">
        <f>SUM(J8:J9)</f>
        <v>2.1691666666666807</v>
      </c>
      <c r="K21" s="37">
        <f>SUM(K8:K9)</f>
        <v>2.1691666666666807</v>
      </c>
      <c r="L21" s="38">
        <f>SUM(L8:L9)</f>
        <v>0</v>
      </c>
      <c r="M21" s="44"/>
    </row>
    <row r="22" spans="1:13" ht="18.75" x14ac:dyDescent="0.15">
      <c r="A22" s="10">
        <f t="shared" ca="1" si="0"/>
        <v>46044.135387268499</v>
      </c>
      <c r="B22" s="5" t="s">
        <v>79</v>
      </c>
      <c r="C22" s="11">
        <v>0.13538194444444401</v>
      </c>
      <c r="D22" s="11" t="s">
        <v>62</v>
      </c>
      <c r="E22" s="11">
        <v>0.22750000000000001</v>
      </c>
      <c r="F22" s="12">
        <f t="shared" si="1"/>
        <v>2.2108333333333441</v>
      </c>
      <c r="G22" s="13">
        <f t="shared" si="2"/>
        <v>0</v>
      </c>
      <c r="H22" s="13">
        <f t="shared" si="3"/>
        <v>2.2108333333333441</v>
      </c>
      <c r="I22"/>
      <c r="J22"/>
    </row>
    <row r="23" spans="1:13" ht="18.75" x14ac:dyDescent="0.15">
      <c r="A23" s="10">
        <f t="shared" ca="1" si="0"/>
        <v>46047.1356548611</v>
      </c>
      <c r="B23" s="5" t="s">
        <v>80</v>
      </c>
      <c r="C23" s="11">
        <v>0.13564814814814799</v>
      </c>
      <c r="D23" s="11" t="s">
        <v>62</v>
      </c>
      <c r="E23" s="11">
        <v>0.30585648148148098</v>
      </c>
      <c r="F23" s="12">
        <f t="shared" si="1"/>
        <v>4.084999999999992</v>
      </c>
      <c r="G23" s="13">
        <f t="shared" si="2"/>
        <v>0</v>
      </c>
      <c r="H23" s="13">
        <f t="shared" si="3"/>
        <v>4.084999999999992</v>
      </c>
      <c r="I23"/>
      <c r="J23"/>
    </row>
    <row r="24" spans="1:13" ht="18.75" x14ac:dyDescent="0.15">
      <c r="A24" s="10">
        <f t="shared" ca="1" si="0"/>
        <v>46048.014228587999</v>
      </c>
      <c r="B24" s="5" t="s">
        <v>78</v>
      </c>
      <c r="C24" s="11">
        <v>1.4224537037037001E-2</v>
      </c>
      <c r="D24" s="11" t="s">
        <v>62</v>
      </c>
      <c r="E24" s="11">
        <v>0.144976851851852</v>
      </c>
      <c r="F24" s="12">
        <f t="shared" si="1"/>
        <v>3.1380555555555603</v>
      </c>
      <c r="G24" s="13">
        <f t="shared" si="2"/>
        <v>0</v>
      </c>
      <c r="H24" s="13">
        <f t="shared" si="3"/>
        <v>3.1380555555555603</v>
      </c>
      <c r="I24"/>
      <c r="J24"/>
    </row>
    <row r="25" spans="1:13" ht="18.75" x14ac:dyDescent="0.15">
      <c r="A25" s="10">
        <f t="shared" ca="1" si="0"/>
        <v>46050.353453124997</v>
      </c>
      <c r="B25" s="5" t="s">
        <v>83</v>
      </c>
      <c r="C25" s="11">
        <v>0.353449074074074</v>
      </c>
      <c r="D25" s="11" t="s">
        <v>62</v>
      </c>
      <c r="E25" s="11">
        <v>0.50606481481481502</v>
      </c>
      <c r="F25" s="12">
        <f t="shared" si="1"/>
        <v>3.6627777777777846</v>
      </c>
      <c r="G25" s="13">
        <f t="shared" si="2"/>
        <v>3.6627777777777846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46050.6929989583</v>
      </c>
      <c r="B26" s="5" t="s">
        <v>82</v>
      </c>
      <c r="C26" s="11">
        <v>0.69299768518518501</v>
      </c>
      <c r="D26" s="11" t="s">
        <v>62</v>
      </c>
      <c r="E26" s="11">
        <v>0.78337962962963004</v>
      </c>
      <c r="F26" s="12">
        <f t="shared" si="1"/>
        <v>2.1691666666666807</v>
      </c>
      <c r="G26" s="13">
        <f t="shared" si="2"/>
        <v>2.1691666666666807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46050.834012384301</v>
      </c>
      <c r="B27" s="5" t="s">
        <v>83</v>
      </c>
      <c r="C27" s="11">
        <v>0.83400462962962996</v>
      </c>
      <c r="D27" s="11" t="s">
        <v>62</v>
      </c>
      <c r="E27" s="11">
        <v>0.95754629629629595</v>
      </c>
      <c r="F27" s="12">
        <f t="shared" si="1"/>
        <v>2.9649999999999839</v>
      </c>
      <c r="G27" s="13">
        <f t="shared" si="2"/>
        <v>2.9649999999999839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46051.292111111099</v>
      </c>
      <c r="B28" s="5" t="s">
        <v>78</v>
      </c>
      <c r="C28" s="11">
        <v>0.292141203703704</v>
      </c>
      <c r="D28" s="11" t="s">
        <v>62</v>
      </c>
      <c r="E28" s="11">
        <v>0.46393518518518501</v>
      </c>
      <c r="F28" s="12">
        <f t="shared" si="1"/>
        <v>4.1230555555555437</v>
      </c>
      <c r="G28" s="13">
        <f t="shared" si="2"/>
        <v>3.1344444444444481</v>
      </c>
      <c r="H28" s="13">
        <f t="shared" si="3"/>
        <v>0.98861111111109556</v>
      </c>
      <c r="I28"/>
      <c r="J28"/>
    </row>
    <row r="29" spans="1:13" ht="18.75" x14ac:dyDescent="0.15">
      <c r="A29" s="10">
        <f t="shared" ca="1" si="0"/>
        <v>46051.625409259301</v>
      </c>
      <c r="B29" s="5" t="s">
        <v>78</v>
      </c>
      <c r="C29" s="11">
        <v>0.62540509259259303</v>
      </c>
      <c r="D29" s="11" t="s">
        <v>62</v>
      </c>
      <c r="E29" s="11">
        <v>0.714976851851852</v>
      </c>
      <c r="F29" s="12">
        <f t="shared" si="1"/>
        <v>2.1497222222222154</v>
      </c>
      <c r="G29" s="13">
        <f t="shared" si="2"/>
        <v>2.1497222222222154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46051.875837963002</v>
      </c>
      <c r="B30" s="5" t="s">
        <v>78</v>
      </c>
      <c r="C30" s="11">
        <v>0.87583333333333302</v>
      </c>
      <c r="D30" s="11" t="s">
        <v>62</v>
      </c>
      <c r="E30" s="11">
        <v>0.95758101851851896</v>
      </c>
      <c r="F30" s="12">
        <f t="shared" si="1"/>
        <v>1.9619444444444625</v>
      </c>
      <c r="G30" s="13">
        <f t="shared" si="2"/>
        <v>1.9619444444444625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46052.292458449097</v>
      </c>
      <c r="B31" s="5" t="s">
        <v>81</v>
      </c>
      <c r="C31" s="11">
        <v>0.29245370370370399</v>
      </c>
      <c r="D31" s="11" t="s">
        <v>62</v>
      </c>
      <c r="E31" s="11">
        <v>0.36447916666666702</v>
      </c>
      <c r="F31" s="12">
        <f t="shared" si="1"/>
        <v>1.7286111111111127</v>
      </c>
      <c r="G31" s="13">
        <f t="shared" si="2"/>
        <v>0.74750000000001693</v>
      </c>
      <c r="H31" s="13">
        <f t="shared" si="3"/>
        <v>0.98111111111109572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46023.140233796301</v>
      </c>
      <c r="B3" s="5" t="s">
        <v>79</v>
      </c>
      <c r="C3" s="11">
        <v>0.14023148148148101</v>
      </c>
      <c r="D3" s="11" t="s">
        <v>62</v>
      </c>
      <c r="E3" s="11">
        <v>0.216689814814815</v>
      </c>
      <c r="F3" s="12">
        <f t="shared" ref="F3:F42" si="1">(IF(E3-C3&lt;0,"24:00"-C3+E3,E3-C3))*24</f>
        <v>1.8350000000000157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1.8350000000000157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46023.222567824101</v>
      </c>
      <c r="B4" s="5" t="s">
        <v>83</v>
      </c>
      <c r="C4" s="11">
        <v>0.22255787037037</v>
      </c>
      <c r="D4" s="11" t="s">
        <v>62</v>
      </c>
      <c r="E4" s="11">
        <v>0.30004629629629598</v>
      </c>
      <c r="F4" s="12">
        <f t="shared" si="1"/>
        <v>1.8597222222222234</v>
      </c>
      <c r="G4" s="13">
        <f t="shared" si="2"/>
        <v>0</v>
      </c>
      <c r="H4" s="13">
        <f t="shared" si="3"/>
        <v>1.8597222222222234</v>
      </c>
      <c r="I4" s="21" t="s">
        <v>64</v>
      </c>
      <c r="J4" s="22">
        <f>SUMIF(B:B,"西塔台管制席",F:F)+SUMIF(B:B,"东塔台管制席",F:F)</f>
        <v>37.170833333333299</v>
      </c>
      <c r="K4" s="23">
        <f>SUMIF(B:B,"西塔台管制席",G:G)+SUMIF(B:B,"东塔台管制席",G:G)</f>
        <v>25.772222222222211</v>
      </c>
      <c r="L4" s="23">
        <f>SUMIF(B:B,"西塔台管制席",H:H)+SUMIF(B:B,"东塔台管制席",H:H)</f>
        <v>11.398611111111089</v>
      </c>
      <c r="M4" s="19"/>
    </row>
    <row r="5" spans="1:16" ht="18.75" x14ac:dyDescent="0.25">
      <c r="A5" s="10">
        <f t="shared" ca="1" si="0"/>
        <v>46023.9526253472</v>
      </c>
      <c r="B5" s="5" t="s">
        <v>81</v>
      </c>
      <c r="C5" s="11">
        <v>0.95261574074074096</v>
      </c>
      <c r="D5" s="11" t="s">
        <v>62</v>
      </c>
      <c r="E5" s="11">
        <v>0.123796296296296</v>
      </c>
      <c r="F5" s="12">
        <f t="shared" si="1"/>
        <v>4.1083333333333218</v>
      </c>
      <c r="G5" s="13">
        <f t="shared" si="2"/>
        <v>1.1372222222222179</v>
      </c>
      <c r="H5" s="13">
        <f t="shared" si="3"/>
        <v>2.9711111111111039</v>
      </c>
      <c r="I5" s="21" t="s">
        <v>65</v>
      </c>
      <c r="J5" s="22">
        <f>SUMIF(B:B,"西塔台协调席",F:F)+SUMIF(B:B,"东塔台协调席",F:F)</f>
        <v>30.60277777777781</v>
      </c>
      <c r="K5" s="23">
        <f>SUMIF(B:B,"西塔台协调席",G:G)+SUMIF(B:B,"东塔台协调席",G:G)</f>
        <v>14.758611111111147</v>
      </c>
      <c r="L5" s="23">
        <f>SUMIF(B:B,"西塔台协调席",H:H)+SUMIF(B:B,"东塔台协调席",H:H)</f>
        <v>15.844166666666663</v>
      </c>
      <c r="M5" s="19"/>
    </row>
    <row r="6" spans="1:16" ht="18.75" x14ac:dyDescent="0.25">
      <c r="A6" s="10">
        <f t="shared" ca="1" si="0"/>
        <v>46026.521870254597</v>
      </c>
      <c r="B6" s="5" t="s">
        <v>78</v>
      </c>
      <c r="C6" s="11">
        <v>0.52186342592592605</v>
      </c>
      <c r="D6" s="11" t="s">
        <v>62</v>
      </c>
      <c r="E6" s="11">
        <v>0.69231481481481505</v>
      </c>
      <c r="F6" s="12">
        <f t="shared" si="1"/>
        <v>4.090833333333336</v>
      </c>
      <c r="G6" s="13">
        <f t="shared" si="2"/>
        <v>4.090833333333336</v>
      </c>
      <c r="H6" s="13">
        <f t="shared" si="3"/>
        <v>0</v>
      </c>
      <c r="I6" s="21" t="s">
        <v>66</v>
      </c>
      <c r="J6" s="22">
        <f>SUMIF(B:B,"放行席",F:F)</f>
        <v>1.8030555555555599</v>
      </c>
      <c r="K6" s="23">
        <f>SUMIF(B:B,"放行席",G:G)</f>
        <v>0</v>
      </c>
      <c r="L6" s="23">
        <f>SUMIF(B:B,"放行席",H:H)</f>
        <v>1.8030555555555599</v>
      </c>
      <c r="M6" s="19"/>
    </row>
    <row r="7" spans="1:16" ht="18.75" x14ac:dyDescent="0.25">
      <c r="A7" s="10">
        <f t="shared" ca="1" si="0"/>
        <v>46026.772414583298</v>
      </c>
      <c r="B7" s="5" t="s">
        <v>80</v>
      </c>
      <c r="C7" s="11">
        <v>0.77240740740740699</v>
      </c>
      <c r="D7" s="11" t="s">
        <v>62</v>
      </c>
      <c r="E7" s="11">
        <v>0.86200231481481504</v>
      </c>
      <c r="F7" s="12">
        <f t="shared" si="1"/>
        <v>2.1502777777777933</v>
      </c>
      <c r="G7" s="13">
        <f t="shared" si="2"/>
        <v>2.1502777777777933</v>
      </c>
      <c r="H7" s="13">
        <f t="shared" si="3"/>
        <v>0</v>
      </c>
      <c r="I7" s="21" t="s">
        <v>67</v>
      </c>
      <c r="J7" s="22">
        <f>SUMIF(B:B,"地面席",F:F)</f>
        <v>3.6977777777777994</v>
      </c>
      <c r="K7" s="23">
        <f>SUMIF(B:B,"地面席",G:G)</f>
        <v>0</v>
      </c>
      <c r="L7" s="23">
        <f>SUMIF(B:B,"地面席",H:H)</f>
        <v>3.6977777777777994</v>
      </c>
      <c r="M7" s="19"/>
    </row>
    <row r="8" spans="1:16" ht="18.75" x14ac:dyDescent="0.25">
      <c r="A8" s="10">
        <f t="shared" ca="1" si="0"/>
        <v>46027.417735185198</v>
      </c>
      <c r="B8" s="5" t="s">
        <v>83</v>
      </c>
      <c r="C8" s="11">
        <v>0.41773148148148098</v>
      </c>
      <c r="D8" s="11" t="s">
        <v>62</v>
      </c>
      <c r="E8" s="11">
        <v>0.52599537037037003</v>
      </c>
      <c r="F8" s="12">
        <f t="shared" si="1"/>
        <v>2.5983333333333372</v>
      </c>
      <c r="G8" s="13">
        <f t="shared" si="2"/>
        <v>2.5983333333333372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46027.646766088001</v>
      </c>
      <c r="B9" s="5" t="s">
        <v>81</v>
      </c>
      <c r="C9" s="11">
        <v>0.64675925925925903</v>
      </c>
      <c r="D9" s="11" t="s">
        <v>62</v>
      </c>
      <c r="E9" s="11">
        <v>0.77856481481481499</v>
      </c>
      <c r="F9" s="12">
        <f t="shared" si="1"/>
        <v>3.1633333333333429</v>
      </c>
      <c r="G9" s="13">
        <f t="shared" si="2"/>
        <v>3.1633333333333429</v>
      </c>
      <c r="H9" s="13">
        <f t="shared" si="3"/>
        <v>0</v>
      </c>
      <c r="I9" s="21" t="s">
        <v>69</v>
      </c>
      <c r="J9" s="22">
        <f>SUMIF(B:B,"航班调度席",F:F)</f>
        <v>1.3616666666666637</v>
      </c>
      <c r="K9" s="23">
        <f>SUMIF(B:B,"航班调度席",G:G)</f>
        <v>1.3616666666666637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46027.833273958298</v>
      </c>
      <c r="B10" s="5" t="s">
        <v>83</v>
      </c>
      <c r="C10" s="11">
        <v>0.83326388888888903</v>
      </c>
      <c r="D10" s="11" t="s">
        <v>62</v>
      </c>
      <c r="E10" s="11">
        <v>0.95586805555555598</v>
      </c>
      <c r="F10" s="12">
        <f t="shared" si="1"/>
        <v>2.942500000000007</v>
      </c>
      <c r="G10" s="13">
        <f t="shared" si="2"/>
        <v>2.942500000000007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46028.292930902797</v>
      </c>
      <c r="B11" s="5" t="s">
        <v>81</v>
      </c>
      <c r="C11" s="11">
        <v>0.29292824074074097</v>
      </c>
      <c r="D11" s="11" t="s">
        <v>62</v>
      </c>
      <c r="E11" s="11">
        <v>0.368032407407407</v>
      </c>
      <c r="F11" s="12">
        <f t="shared" si="1"/>
        <v>1.8024999999999847</v>
      </c>
      <c r="G11" s="13">
        <f t="shared" si="2"/>
        <v>0.83277777777777651</v>
      </c>
      <c r="H11" s="13">
        <f t="shared" si="3"/>
        <v>0.96972222222220816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46031.0141105324</v>
      </c>
      <c r="B12" s="5" t="s">
        <v>81</v>
      </c>
      <c r="C12" s="11">
        <v>1.41087962962963E-2</v>
      </c>
      <c r="D12" s="11" t="s">
        <v>62</v>
      </c>
      <c r="E12" s="11">
        <v>0.14587962962963</v>
      </c>
      <c r="F12" s="12">
        <f t="shared" si="1"/>
        <v>3.1625000000000085</v>
      </c>
      <c r="G12" s="13">
        <f t="shared" si="2"/>
        <v>0</v>
      </c>
      <c r="H12" s="13">
        <f t="shared" si="3"/>
        <v>3.1625000000000085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46032.139574189801</v>
      </c>
      <c r="B13" s="5" t="s">
        <v>80</v>
      </c>
      <c r="C13" s="11">
        <v>0.13957175925925899</v>
      </c>
      <c r="D13" s="11" t="s">
        <v>62</v>
      </c>
      <c r="E13" s="11">
        <v>0.22270833333333301</v>
      </c>
      <c r="F13" s="12">
        <f t="shared" si="1"/>
        <v>1.9952777777777764</v>
      </c>
      <c r="G13" s="13">
        <f t="shared" si="2"/>
        <v>0</v>
      </c>
      <c r="H13" s="13">
        <f t="shared" si="3"/>
        <v>1.9952777777777764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46032.2227524306</v>
      </c>
      <c r="B14" s="5" t="s">
        <v>83</v>
      </c>
      <c r="C14" s="11">
        <v>0.22274305555555601</v>
      </c>
      <c r="D14" s="11" t="s">
        <v>62</v>
      </c>
      <c r="E14" s="11">
        <v>0.29813657407407401</v>
      </c>
      <c r="F14" s="12">
        <f t="shared" si="1"/>
        <v>1.809444444444432</v>
      </c>
      <c r="G14" s="13">
        <f t="shared" si="2"/>
        <v>0</v>
      </c>
      <c r="H14" s="13">
        <f t="shared" si="3"/>
        <v>1.809444444444432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46035.1398178241</v>
      </c>
      <c r="B15" s="5" t="s">
        <v>79</v>
      </c>
      <c r="C15" s="11">
        <v>0.139814814814815</v>
      </c>
      <c r="D15" s="11" t="s">
        <v>62</v>
      </c>
      <c r="E15" s="11">
        <v>0.21743055555555599</v>
      </c>
      <c r="F15" s="12">
        <f t="shared" si="1"/>
        <v>1.8627777777777836</v>
      </c>
      <c r="G15" s="13">
        <f t="shared" si="2"/>
        <v>0</v>
      </c>
      <c r="H15" s="13">
        <f t="shared" si="3"/>
        <v>1.8627777777777836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46036.011916319403</v>
      </c>
      <c r="B16" s="5" t="s">
        <v>78</v>
      </c>
      <c r="C16" s="11">
        <v>1.19097222222222E-2</v>
      </c>
      <c r="D16" s="11" t="s">
        <v>62</v>
      </c>
      <c r="E16" s="11">
        <v>0.12980324074074101</v>
      </c>
      <c r="F16" s="12">
        <f t="shared" si="1"/>
        <v>2.8294444444444515</v>
      </c>
      <c r="G16" s="13">
        <f t="shared" si="2"/>
        <v>0</v>
      </c>
      <c r="H16" s="13">
        <f t="shared" si="3"/>
        <v>2.8294444444444515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46036.129838078698</v>
      </c>
      <c r="B17" s="5" t="s">
        <v>81</v>
      </c>
      <c r="C17" s="11">
        <v>0.12983796296296299</v>
      </c>
      <c r="D17" s="11" t="s">
        <v>62</v>
      </c>
      <c r="E17" s="11">
        <v>0.14379629629629601</v>
      </c>
      <c r="F17" s="12">
        <f t="shared" si="1"/>
        <v>0.33499999999999241</v>
      </c>
      <c r="G17" s="13">
        <f t="shared" si="2"/>
        <v>0</v>
      </c>
      <c r="H17" s="13">
        <f t="shared" si="3"/>
        <v>0.33499999999999241</v>
      </c>
      <c r="I17" s="35" t="s">
        <v>75</v>
      </c>
      <c r="J17" s="36">
        <f>J4+J5+J6+J7+J10</f>
        <v>73.27444444444447</v>
      </c>
      <c r="K17" s="37">
        <f>K4+K5+K6+K7+K10</f>
        <v>40.530833333333362</v>
      </c>
      <c r="L17" s="38">
        <f>L4+L5+L6+L7+L10</f>
        <v>32.743611111111115</v>
      </c>
      <c r="M17" s="39"/>
    </row>
    <row r="18" spans="1:13" ht="20.25" x14ac:dyDescent="0.25">
      <c r="A18" s="10">
        <f t="shared" ca="1" si="0"/>
        <v>46038.356256018502</v>
      </c>
      <c r="B18" s="5" t="s">
        <v>80</v>
      </c>
      <c r="C18" s="11">
        <v>0.35625000000000001</v>
      </c>
      <c r="D18" s="11" t="s">
        <v>62</v>
      </c>
      <c r="E18" s="11">
        <v>0.50914351851851902</v>
      </c>
      <c r="F18" s="12">
        <f t="shared" si="1"/>
        <v>3.6694444444444563</v>
      </c>
      <c r="G18" s="13">
        <f t="shared" si="2"/>
        <v>3.6694444444444563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46038.646989467597</v>
      </c>
      <c r="B19" s="5" t="s">
        <v>80</v>
      </c>
      <c r="C19" s="11">
        <v>0.64697916666666699</v>
      </c>
      <c r="D19" s="11" t="s">
        <v>62</v>
      </c>
      <c r="E19" s="11">
        <v>0.73740740740740696</v>
      </c>
      <c r="F19" s="12">
        <f t="shared" si="1"/>
        <v>2.1702777777777591</v>
      </c>
      <c r="G19" s="13">
        <f t="shared" si="2"/>
        <v>2.1702777777777591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46039.293112500003</v>
      </c>
      <c r="B20" s="5" t="s">
        <v>83</v>
      </c>
      <c r="C20" s="11">
        <v>0.293101851851852</v>
      </c>
      <c r="D20" s="11" t="s">
        <v>62</v>
      </c>
      <c r="E20" s="11">
        <v>0.42270833333333302</v>
      </c>
      <c r="F20" s="12">
        <f t="shared" si="1"/>
        <v>3.1105555555555444</v>
      </c>
      <c r="G20" s="13">
        <f t="shared" si="2"/>
        <v>2.1450000000000009</v>
      </c>
      <c r="H20" s="13">
        <f t="shared" si="3"/>
        <v>0.96555555555554351</v>
      </c>
      <c r="I20" s="40" t="s">
        <v>77</v>
      </c>
      <c r="J20" s="65">
        <f>J16+J17+J18+J19</f>
        <v>73.27444444444447</v>
      </c>
      <c r="K20" s="66"/>
      <c r="L20" s="67"/>
      <c r="M20" s="41"/>
    </row>
    <row r="21" spans="1:13" ht="20.25" x14ac:dyDescent="0.25">
      <c r="A21" s="10">
        <f t="shared" ca="1" si="0"/>
        <v>46039.502424421298</v>
      </c>
      <c r="B21" s="5" t="s">
        <v>81</v>
      </c>
      <c r="C21" s="11">
        <v>0.50241898148148101</v>
      </c>
      <c r="D21" s="11" t="s">
        <v>62</v>
      </c>
      <c r="E21" s="11">
        <v>0.63314814814814802</v>
      </c>
      <c r="F21" s="12">
        <f t="shared" si="1"/>
        <v>3.1375000000000082</v>
      </c>
      <c r="G21" s="13">
        <f t="shared" si="2"/>
        <v>3.1375000000000082</v>
      </c>
      <c r="H21" s="13">
        <f t="shared" si="3"/>
        <v>0</v>
      </c>
      <c r="I21" s="42" t="s">
        <v>4</v>
      </c>
      <c r="J21" s="43">
        <f>SUM(J8:J9)</f>
        <v>1.3616666666666637</v>
      </c>
      <c r="K21" s="37">
        <f>SUM(K8:K9)</f>
        <v>1.3616666666666637</v>
      </c>
      <c r="L21" s="38">
        <f>SUM(L8:L9)</f>
        <v>0</v>
      </c>
      <c r="M21" s="44"/>
    </row>
    <row r="22" spans="1:13" ht="18.75" x14ac:dyDescent="0.15">
      <c r="A22" s="10">
        <f t="shared" ca="1" si="0"/>
        <v>46043.011843171298</v>
      </c>
      <c r="B22" s="5" t="s">
        <v>78</v>
      </c>
      <c r="C22" s="11">
        <v>1.18402777777778E-2</v>
      </c>
      <c r="D22" s="11" t="s">
        <v>62</v>
      </c>
      <c r="E22" s="11">
        <v>0.122615740740741</v>
      </c>
      <c r="F22" s="12">
        <f t="shared" si="1"/>
        <v>2.6586111111111168</v>
      </c>
      <c r="G22" s="13">
        <f t="shared" si="2"/>
        <v>0</v>
      </c>
      <c r="H22" s="13">
        <f t="shared" si="3"/>
        <v>2.6586111111111168</v>
      </c>
      <c r="I22"/>
      <c r="J22"/>
    </row>
    <row r="23" spans="1:13" ht="18.75" x14ac:dyDescent="0.15">
      <c r="A23" s="10">
        <f t="shared" ca="1" si="0"/>
        <v>46043.122836805604</v>
      </c>
      <c r="B23" s="5" t="s">
        <v>83</v>
      </c>
      <c r="C23" s="11">
        <v>0.122835648148148</v>
      </c>
      <c r="D23" s="11" t="s">
        <v>62</v>
      </c>
      <c r="E23" s="11">
        <v>0.14652777777777801</v>
      </c>
      <c r="F23" s="12">
        <f t="shared" si="1"/>
        <v>0.56861111111112017</v>
      </c>
      <c r="G23" s="13">
        <f t="shared" si="2"/>
        <v>0</v>
      </c>
      <c r="H23" s="13">
        <f t="shared" si="3"/>
        <v>0.56861111111112017</v>
      </c>
      <c r="I23"/>
      <c r="J23"/>
    </row>
    <row r="24" spans="1:13" ht="18.75" x14ac:dyDescent="0.15">
      <c r="A24" s="10">
        <f t="shared" ca="1" si="0"/>
        <v>46044.139786689797</v>
      </c>
      <c r="B24" s="5" t="s">
        <v>81</v>
      </c>
      <c r="C24" s="11">
        <v>0.139780092592593</v>
      </c>
      <c r="D24" s="11" t="s">
        <v>62</v>
      </c>
      <c r="E24" s="11">
        <v>0.221655092592593</v>
      </c>
      <c r="F24" s="12">
        <f t="shared" si="1"/>
        <v>1.9650000000000001</v>
      </c>
      <c r="G24" s="13">
        <f t="shared" si="2"/>
        <v>0</v>
      </c>
      <c r="H24" s="13">
        <f t="shared" si="3"/>
        <v>1.9650000000000001</v>
      </c>
      <c r="I24"/>
      <c r="J24"/>
    </row>
    <row r="25" spans="1:13" ht="18.75" x14ac:dyDescent="0.15">
      <c r="A25" s="10">
        <f t="shared" ca="1" si="0"/>
        <v>46044.2217803241</v>
      </c>
      <c r="B25" s="5" t="s">
        <v>78</v>
      </c>
      <c r="C25" s="11">
        <v>0.221770833333333</v>
      </c>
      <c r="D25" s="11" t="s">
        <v>62</v>
      </c>
      <c r="E25" s="11">
        <v>0.29804398148148098</v>
      </c>
      <c r="F25" s="12">
        <f t="shared" si="1"/>
        <v>1.8305555555555515</v>
      </c>
      <c r="G25" s="13">
        <f t="shared" si="2"/>
        <v>0</v>
      </c>
      <c r="H25" s="13">
        <f t="shared" si="3"/>
        <v>1.8305555555555515</v>
      </c>
      <c r="I25"/>
      <c r="J25"/>
    </row>
    <row r="26" spans="1:13" ht="18.75" x14ac:dyDescent="0.15">
      <c r="A26" s="10">
        <f t="shared" ca="1" si="0"/>
        <v>46047.133145138898</v>
      </c>
      <c r="B26" s="5" t="s">
        <v>84</v>
      </c>
      <c r="C26" s="11">
        <v>0.133136574074074</v>
      </c>
      <c r="D26" s="11" t="s">
        <v>62</v>
      </c>
      <c r="E26" s="11">
        <v>0.208263888888889</v>
      </c>
      <c r="F26" s="12">
        <f t="shared" si="1"/>
        <v>1.8030555555555599</v>
      </c>
      <c r="G26" s="13">
        <f t="shared" si="2"/>
        <v>0</v>
      </c>
      <c r="H26" s="13">
        <f t="shared" si="3"/>
        <v>1.8030555555555599</v>
      </c>
      <c r="I26"/>
      <c r="J26"/>
    </row>
    <row r="27" spans="1:13" ht="18.75" x14ac:dyDescent="0.15">
      <c r="A27" s="10">
        <f t="shared" ca="1" si="0"/>
        <v>46047.208302199098</v>
      </c>
      <c r="B27" s="5" t="s">
        <v>78</v>
      </c>
      <c r="C27" s="11">
        <v>0.208298611111111</v>
      </c>
      <c r="D27" s="11" t="s">
        <v>62</v>
      </c>
      <c r="E27" s="11">
        <v>0.30594907407407401</v>
      </c>
      <c r="F27" s="12">
        <f t="shared" si="1"/>
        <v>2.3436111111111124</v>
      </c>
      <c r="G27" s="13">
        <f t="shared" si="2"/>
        <v>0</v>
      </c>
      <c r="H27" s="13">
        <f t="shared" si="3"/>
        <v>2.3436111111111124</v>
      </c>
      <c r="I27"/>
      <c r="J27"/>
    </row>
    <row r="28" spans="1:13" ht="18.75" x14ac:dyDescent="0.15">
      <c r="A28" s="10">
        <f t="shared" ca="1" si="0"/>
        <v>46050.376360185197</v>
      </c>
      <c r="B28" s="5" t="s">
        <v>82</v>
      </c>
      <c r="C28" s="11">
        <v>0.37635416666666699</v>
      </c>
      <c r="D28" s="11" t="s">
        <v>62</v>
      </c>
      <c r="E28" s="11">
        <v>0.43309027777777798</v>
      </c>
      <c r="F28" s="12">
        <f t="shared" si="1"/>
        <v>1.3616666666666637</v>
      </c>
      <c r="G28" s="13">
        <f t="shared" si="2"/>
        <v>1.3616666666666637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46050.500487384299</v>
      </c>
      <c r="B29" s="5" t="s">
        <v>81</v>
      </c>
      <c r="C29" s="11">
        <v>0.50048611111111097</v>
      </c>
      <c r="D29" s="11" t="s">
        <v>62</v>
      </c>
      <c r="E29" s="11">
        <v>0.65256944444444398</v>
      </c>
      <c r="F29" s="12">
        <f t="shared" si="1"/>
        <v>3.6499999999999924</v>
      </c>
      <c r="G29" s="13">
        <f t="shared" si="2"/>
        <v>3.6499999999999924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46050.731164930599</v>
      </c>
      <c r="B30" s="5" t="s">
        <v>83</v>
      </c>
      <c r="C30" s="11">
        <v>0.73115740740740698</v>
      </c>
      <c r="D30" s="11" t="s">
        <v>62</v>
      </c>
      <c r="E30" s="11">
        <v>0.76336805555555598</v>
      </c>
      <c r="F30" s="12">
        <f t="shared" si="1"/>
        <v>0.77305555555557603</v>
      </c>
      <c r="G30" s="13">
        <f t="shared" si="2"/>
        <v>0.77305555555557603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46050.777108912</v>
      </c>
      <c r="B31" s="5" t="s">
        <v>83</v>
      </c>
      <c r="C31" s="11">
        <v>0.77710648148148198</v>
      </c>
      <c r="D31" s="11" t="s">
        <v>62</v>
      </c>
      <c r="E31" s="11">
        <v>0.83906250000000004</v>
      </c>
      <c r="F31" s="12">
        <f t="shared" si="1"/>
        <v>1.4869444444444335</v>
      </c>
      <c r="G31" s="13">
        <f t="shared" si="2"/>
        <v>1.4869444444444335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46051.625186111101</v>
      </c>
      <c r="B32" s="5" t="s">
        <v>80</v>
      </c>
      <c r="C32" s="11">
        <v>0.62518518518518496</v>
      </c>
      <c r="D32" s="11" t="s">
        <v>62</v>
      </c>
      <c r="E32" s="11">
        <v>0.76005787037036998</v>
      </c>
      <c r="F32" s="12">
        <f t="shared" si="1"/>
        <v>3.2369444444444406</v>
      </c>
      <c r="G32" s="13">
        <f t="shared" si="2"/>
        <v>3.2369444444444406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46051.837932291703</v>
      </c>
      <c r="B33" s="5" t="s">
        <v>80</v>
      </c>
      <c r="C33" s="11">
        <v>0.83792824074074101</v>
      </c>
      <c r="D33" s="11" t="s">
        <v>62</v>
      </c>
      <c r="E33" s="11">
        <v>0.94728009259259205</v>
      </c>
      <c r="F33" s="12">
        <f t="shared" si="1"/>
        <v>2.6244444444444248</v>
      </c>
      <c r="G33" s="13">
        <f t="shared" si="2"/>
        <v>2.6244444444444248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46052.2925666667</v>
      </c>
      <c r="B34" s="5" t="s">
        <v>83</v>
      </c>
      <c r="C34" s="11">
        <v>0.29255787037037001</v>
      </c>
      <c r="D34" s="11" t="s">
        <v>62</v>
      </c>
      <c r="E34" s="11">
        <v>0.363414351851852</v>
      </c>
      <c r="F34" s="12">
        <f t="shared" si="1"/>
        <v>1.7005555555555678</v>
      </c>
      <c r="G34" s="13">
        <f t="shared" si="2"/>
        <v>0.72194444444445649</v>
      </c>
      <c r="H34" s="13">
        <f t="shared" si="3"/>
        <v>0.97861111111111132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46024.356876041697</v>
      </c>
      <c r="B3" s="5" t="s">
        <v>61</v>
      </c>
      <c r="C3" s="11">
        <v>0.356875</v>
      </c>
      <c r="D3" s="11" t="s">
        <v>62</v>
      </c>
      <c r="E3" s="11">
        <v>0.49486111111111097</v>
      </c>
      <c r="F3" s="12">
        <f t="shared" ref="F3:F42" si="1">(IF(E3-C3&lt;0,"24:00"-C3+E3,E3-C3))*24</f>
        <v>3.3116666666666634</v>
      </c>
      <c r="G3" s="13">
        <f t="shared" ref="G3:G42" si="2">F3-H3</f>
        <v>3.3116666666666634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86.367222222222296</v>
      </c>
      <c r="K3" s="18">
        <f>SUMIF(B:B,"带班主任",G:G)</f>
        <v>57.616388888888984</v>
      </c>
      <c r="L3" s="18">
        <f>SUMIF(B:B,"带班主任",H:H)</f>
        <v>28.750833333333283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46024.501879976902</v>
      </c>
      <c r="B4" s="5" t="s">
        <v>61</v>
      </c>
      <c r="C4" s="11">
        <v>0.50187499999999996</v>
      </c>
      <c r="D4" s="11" t="s">
        <v>62</v>
      </c>
      <c r="E4" s="11">
        <v>0.54874999999999996</v>
      </c>
      <c r="F4" s="12">
        <f t="shared" si="1"/>
        <v>1.125</v>
      </c>
      <c r="G4" s="13">
        <f t="shared" si="2"/>
        <v>1.125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3.7116666666666585</v>
      </c>
      <c r="K4" s="23">
        <f>SUMIF(B:B,"西塔台管制席",G:G)+SUMIF(B:B,"东塔台管制席",G:G)</f>
        <v>0.96166666666665668</v>
      </c>
      <c r="L4" s="23">
        <f>SUMIF(B:B,"西塔台管制席",H:H)+SUMIF(B:B,"东塔台管制席",H:H)</f>
        <v>2.7500000000000018</v>
      </c>
      <c r="M4" s="19"/>
    </row>
    <row r="5" spans="1:16" ht="18.75" x14ac:dyDescent="0.25">
      <c r="A5" s="10">
        <f t="shared" ca="1" si="0"/>
        <v>46024.790729976798</v>
      </c>
      <c r="B5" s="5" t="s">
        <v>61</v>
      </c>
      <c r="C5" s="11">
        <v>0.79072916666666704</v>
      </c>
      <c r="D5" s="11" t="s">
        <v>62</v>
      </c>
      <c r="E5" s="11">
        <v>0.94047453703703698</v>
      </c>
      <c r="F5" s="12">
        <f t="shared" si="1"/>
        <v>3.5938888888888787</v>
      </c>
      <c r="G5" s="13">
        <f t="shared" si="2"/>
        <v>3.5938888888888787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2.4030555555555626</v>
      </c>
      <c r="K5" s="23">
        <f>SUMIF(B:B,"西塔台协调席",G:G)+SUMIF(B:B,"东塔台协调席",G:G)</f>
        <v>0</v>
      </c>
      <c r="L5" s="23">
        <f>SUMIF(B:B,"西塔台协调席",H:H)+SUMIF(B:B,"东塔台协调席",H:H)</f>
        <v>2.4030555555555626</v>
      </c>
      <c r="M5" s="19"/>
    </row>
    <row r="6" spans="1:16" ht="18.75" x14ac:dyDescent="0.25">
      <c r="A6" s="10">
        <f t="shared" ca="1" si="0"/>
        <v>46025.2929351852</v>
      </c>
      <c r="B6" s="5" t="s">
        <v>61</v>
      </c>
      <c r="C6" s="11">
        <v>0.29292824074074097</v>
      </c>
      <c r="D6" s="11" t="s">
        <v>62</v>
      </c>
      <c r="E6" s="11">
        <v>0.49905092592592598</v>
      </c>
      <c r="F6" s="12">
        <f t="shared" si="1"/>
        <v>4.9469444444444406</v>
      </c>
      <c r="G6" s="13">
        <f t="shared" si="2"/>
        <v>3.9772222222222324</v>
      </c>
      <c r="H6" s="13">
        <f t="shared" si="3"/>
        <v>0.96972222222220816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46025.506837731496</v>
      </c>
      <c r="B7" s="5" t="s">
        <v>61</v>
      </c>
      <c r="C7" s="11">
        <v>0.50682870370370403</v>
      </c>
      <c r="D7" s="11" t="s">
        <v>62</v>
      </c>
      <c r="E7" s="11">
        <v>0.544490740740741</v>
      </c>
      <c r="F7" s="12">
        <f t="shared" si="1"/>
        <v>0.90388888888888719</v>
      </c>
      <c r="G7" s="13">
        <f t="shared" si="2"/>
        <v>0.90388888888888719</v>
      </c>
      <c r="H7" s="13">
        <f t="shared" si="3"/>
        <v>0</v>
      </c>
      <c r="I7" s="21" t="s">
        <v>67</v>
      </c>
      <c r="J7" s="22">
        <f>SUMIF(B:B,"地面席",F:F)</f>
        <v>1.8949999999999918</v>
      </c>
      <c r="K7" s="23">
        <f>SUMIF(B:B,"地面席",G:G)</f>
        <v>0</v>
      </c>
      <c r="L7" s="23">
        <f>SUMIF(B:B,"地面席",H:H)</f>
        <v>1.8949999999999918</v>
      </c>
      <c r="M7" s="19"/>
    </row>
    <row r="8" spans="1:16" ht="18.75" x14ac:dyDescent="0.25">
      <c r="A8" s="10">
        <f t="shared" ca="1" si="0"/>
        <v>46025.939520023101</v>
      </c>
      <c r="B8" s="5" t="s">
        <v>61</v>
      </c>
      <c r="C8" s="11">
        <v>0.93951388888888898</v>
      </c>
      <c r="D8" s="11" t="s">
        <v>62</v>
      </c>
      <c r="E8" s="11">
        <v>0.13703703703703701</v>
      </c>
      <c r="F8" s="12">
        <f t="shared" si="1"/>
        <v>4.7405555555555523</v>
      </c>
      <c r="G8" s="13">
        <f t="shared" si="2"/>
        <v>1.451666666666664</v>
      </c>
      <c r="H8" s="13">
        <f t="shared" si="3"/>
        <v>3.2888888888888883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46028.544769212996</v>
      </c>
      <c r="B9" s="5" t="s">
        <v>61</v>
      </c>
      <c r="C9" s="11">
        <v>0.54476851851851804</v>
      </c>
      <c r="D9" s="11" t="s">
        <v>62</v>
      </c>
      <c r="E9" s="11">
        <v>0.76226851851851896</v>
      </c>
      <c r="F9" s="12">
        <f t="shared" si="1"/>
        <v>5.220000000000022</v>
      </c>
      <c r="G9" s="13">
        <f t="shared" si="2"/>
        <v>5.220000000000022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46028.7848756944</v>
      </c>
      <c r="B10" s="5" t="s">
        <v>61</v>
      </c>
      <c r="C10" s="11">
        <v>0.78487268518518505</v>
      </c>
      <c r="D10" s="11" t="s">
        <v>62</v>
      </c>
      <c r="E10" s="11">
        <v>0.796875</v>
      </c>
      <c r="F10" s="12">
        <f t="shared" si="1"/>
        <v>0.28805555555555884</v>
      </c>
      <c r="G10" s="13">
        <f t="shared" si="2"/>
        <v>0.28805555555555884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46029.132963541699</v>
      </c>
      <c r="B11" s="5" t="s">
        <v>61</v>
      </c>
      <c r="C11" s="11">
        <v>0.132962962962963</v>
      </c>
      <c r="D11" s="11" t="s">
        <v>62</v>
      </c>
      <c r="E11" s="11">
        <v>0.298032407407407</v>
      </c>
      <c r="F11" s="12">
        <f t="shared" si="1"/>
        <v>3.9616666666666558</v>
      </c>
      <c r="G11" s="13">
        <f t="shared" si="2"/>
        <v>0</v>
      </c>
      <c r="H11" s="13">
        <f t="shared" si="3"/>
        <v>3.9616666666666558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46029.788624305598</v>
      </c>
      <c r="B12" s="5" t="s">
        <v>61</v>
      </c>
      <c r="C12" s="11">
        <v>0.78862268518518497</v>
      </c>
      <c r="D12" s="11" t="s">
        <v>62</v>
      </c>
      <c r="E12" s="11">
        <v>0.94120370370370399</v>
      </c>
      <c r="F12" s="12">
        <f t="shared" si="1"/>
        <v>3.6619444444444564</v>
      </c>
      <c r="G12" s="13">
        <f t="shared" si="2"/>
        <v>3.6619444444444564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46030.292862384304</v>
      </c>
      <c r="B13" s="5" t="s">
        <v>61</v>
      </c>
      <c r="C13" s="11">
        <v>0.29285879629629602</v>
      </c>
      <c r="D13" s="11" t="s">
        <v>62</v>
      </c>
      <c r="E13" s="11">
        <v>0.35623842592592603</v>
      </c>
      <c r="F13" s="12">
        <f t="shared" si="1"/>
        <v>1.5211111111111202</v>
      </c>
      <c r="G13" s="13">
        <f t="shared" si="2"/>
        <v>0.5497222222222331</v>
      </c>
      <c r="H13" s="13">
        <f t="shared" si="3"/>
        <v>0.97138888888888708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46032.938716898097</v>
      </c>
      <c r="B14" s="5" t="s">
        <v>61</v>
      </c>
      <c r="C14" s="11">
        <v>0.93871527777777797</v>
      </c>
      <c r="D14" s="11" t="s">
        <v>62</v>
      </c>
      <c r="E14" s="11">
        <v>0.13659722222222201</v>
      </c>
      <c r="F14" s="12">
        <f t="shared" si="1"/>
        <v>4.7491666666666568</v>
      </c>
      <c r="G14" s="13">
        <f t="shared" si="2"/>
        <v>1.4708333333333288</v>
      </c>
      <c r="H14" s="13">
        <f t="shared" si="3"/>
        <v>3.278333333333328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46033.542464930601</v>
      </c>
      <c r="B15" s="5" t="s">
        <v>61</v>
      </c>
      <c r="C15" s="11">
        <v>0.54246527777777798</v>
      </c>
      <c r="D15" s="11" t="s">
        <v>62</v>
      </c>
      <c r="E15" s="11">
        <v>0.74495370370370395</v>
      </c>
      <c r="F15" s="12">
        <f t="shared" si="1"/>
        <v>4.8597222222222234</v>
      </c>
      <c r="G15" s="13">
        <f t="shared" si="2"/>
        <v>4.8597222222222234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46033.769513888903</v>
      </c>
      <c r="B16" s="5" t="s">
        <v>61</v>
      </c>
      <c r="C16" s="11">
        <v>0.76951388888888905</v>
      </c>
      <c r="D16" s="11" t="s">
        <v>62</v>
      </c>
      <c r="E16" s="11">
        <v>0.79572916666666704</v>
      </c>
      <c r="F16" s="12">
        <f t="shared" si="1"/>
        <v>0.62916666666667176</v>
      </c>
      <c r="G16" s="13">
        <f t="shared" si="2"/>
        <v>0.62916666666667176</v>
      </c>
      <c r="H16" s="13">
        <f t="shared" si="3"/>
        <v>0</v>
      </c>
      <c r="I16" s="35" t="s">
        <v>63</v>
      </c>
      <c r="J16" s="36">
        <f t="shared" ref="J16:L16" si="4">J3</f>
        <v>86.367222222222296</v>
      </c>
      <c r="K16" s="37">
        <f t="shared" si="4"/>
        <v>57.616388888888984</v>
      </c>
      <c r="L16" s="38">
        <f t="shared" si="4"/>
        <v>28.750833333333283</v>
      </c>
      <c r="M16" s="39"/>
    </row>
    <row r="17" spans="1:13" ht="20.25" x14ac:dyDescent="0.25">
      <c r="A17" s="10">
        <f t="shared" ca="1" si="0"/>
        <v>46033.959940624998</v>
      </c>
      <c r="B17" s="5" t="s">
        <v>81</v>
      </c>
      <c r="C17" s="11">
        <v>0.95993055555555595</v>
      </c>
      <c r="D17" s="11" t="s">
        <v>62</v>
      </c>
      <c r="E17" s="11">
        <v>8.5057870370370395E-2</v>
      </c>
      <c r="F17" s="12">
        <f t="shared" si="1"/>
        <v>3.0030555555555463</v>
      </c>
      <c r="G17" s="13">
        <f t="shared" si="2"/>
        <v>0.96166666666665668</v>
      </c>
      <c r="H17" s="13">
        <f t="shared" si="3"/>
        <v>2.0413888888888896</v>
      </c>
      <c r="I17" s="35" t="s">
        <v>75</v>
      </c>
      <c r="J17" s="36">
        <f>J4+J5+J6+J7+J10</f>
        <v>8.009722222222214</v>
      </c>
      <c r="K17" s="37">
        <f>K4+K5+K6+K7+K10</f>
        <v>0.96166666666665668</v>
      </c>
      <c r="L17" s="38">
        <f>L4+L5+L6+L7+L10</f>
        <v>7.048055555555556</v>
      </c>
      <c r="M17" s="39"/>
    </row>
    <row r="18" spans="1:13" ht="20.25" x14ac:dyDescent="0.25">
      <c r="A18" s="10">
        <f t="shared" ca="1" si="0"/>
        <v>46037.141767476904</v>
      </c>
      <c r="B18" s="5" t="s">
        <v>79</v>
      </c>
      <c r="C18" s="11">
        <v>0.13900462962963001</v>
      </c>
      <c r="D18" s="11" t="s">
        <v>62</v>
      </c>
      <c r="E18" s="11">
        <v>0.217962962962963</v>
      </c>
      <c r="F18" s="12">
        <f t="shared" si="1"/>
        <v>1.8949999999999918</v>
      </c>
      <c r="G18" s="13">
        <f t="shared" si="2"/>
        <v>0</v>
      </c>
      <c r="H18" s="13">
        <f t="shared" si="3"/>
        <v>1.8949999999999918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46037.938140046303</v>
      </c>
      <c r="B19" s="5" t="s">
        <v>61</v>
      </c>
      <c r="C19" s="11">
        <v>0.93813657407407403</v>
      </c>
      <c r="D19" s="11" t="s">
        <v>62</v>
      </c>
      <c r="E19" s="11">
        <v>0.13517361111111101</v>
      </c>
      <c r="F19" s="12">
        <f t="shared" si="1"/>
        <v>4.7288888888888874</v>
      </c>
      <c r="G19" s="13">
        <f t="shared" si="2"/>
        <v>1.4847222222222234</v>
      </c>
      <c r="H19" s="13">
        <f t="shared" si="3"/>
        <v>3.244166666666664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46040.542100810198</v>
      </c>
      <c r="B20" s="5" t="s">
        <v>61</v>
      </c>
      <c r="C20" s="11">
        <v>0.54209490740740696</v>
      </c>
      <c r="D20" s="11" t="s">
        <v>62</v>
      </c>
      <c r="E20" s="11">
        <v>0.74188657407407399</v>
      </c>
      <c r="F20" s="12">
        <f t="shared" si="1"/>
        <v>4.7950000000000088</v>
      </c>
      <c r="G20" s="13">
        <f t="shared" si="2"/>
        <v>4.7950000000000088</v>
      </c>
      <c r="H20" s="13">
        <f t="shared" si="3"/>
        <v>0</v>
      </c>
      <c r="I20" s="40" t="s">
        <v>77</v>
      </c>
      <c r="J20" s="65">
        <f>J16+J17+J18+J19</f>
        <v>94.376944444444504</v>
      </c>
      <c r="K20" s="66"/>
      <c r="L20" s="67"/>
      <c r="M20" s="41"/>
    </row>
    <row r="21" spans="1:13" ht="20.25" x14ac:dyDescent="0.25">
      <c r="A21" s="10">
        <f t="shared" ca="1" si="0"/>
        <v>46041.132614583301</v>
      </c>
      <c r="B21" s="5" t="s">
        <v>61</v>
      </c>
      <c r="C21" s="11">
        <v>0.13260416666666699</v>
      </c>
      <c r="D21" s="11" t="s">
        <v>62</v>
      </c>
      <c r="E21" s="11">
        <v>0.29593750000000002</v>
      </c>
      <c r="F21" s="12">
        <f t="shared" si="1"/>
        <v>3.9199999999999928</v>
      </c>
      <c r="G21" s="13">
        <f t="shared" si="2"/>
        <v>0</v>
      </c>
      <c r="H21" s="13">
        <f t="shared" si="3"/>
        <v>3.9199999999999928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46041.771762268501</v>
      </c>
      <c r="B22" s="5" t="s">
        <v>61</v>
      </c>
      <c r="C22" s="11">
        <v>0.77175925925925903</v>
      </c>
      <c r="D22" s="11" t="s">
        <v>62</v>
      </c>
      <c r="E22" s="11">
        <v>0.81982638888888903</v>
      </c>
      <c r="F22" s="12">
        <f t="shared" si="1"/>
        <v>1.15361111111112</v>
      </c>
      <c r="G22" s="13">
        <f t="shared" si="2"/>
        <v>1.15361111111112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46041.842213657401</v>
      </c>
      <c r="B23" s="5" t="s">
        <v>61</v>
      </c>
      <c r="C23" s="11">
        <v>0.84221064814814794</v>
      </c>
      <c r="D23" s="11" t="s">
        <v>62</v>
      </c>
      <c r="E23" s="11">
        <v>0.94276620370370401</v>
      </c>
      <c r="F23" s="12">
        <f t="shared" si="1"/>
        <v>2.4133333333333455</v>
      </c>
      <c r="G23" s="13">
        <f t="shared" si="2"/>
        <v>2.4133333333333455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46042.292980324099</v>
      </c>
      <c r="B24" s="5" t="s">
        <v>61</v>
      </c>
      <c r="C24" s="11">
        <v>0.29297453703703702</v>
      </c>
      <c r="D24" s="11" t="s">
        <v>62</v>
      </c>
      <c r="E24" s="11">
        <v>0.36155092592592603</v>
      </c>
      <c r="F24" s="12">
        <f t="shared" si="1"/>
        <v>1.6458333333333361</v>
      </c>
      <c r="G24" s="13">
        <f t="shared" si="2"/>
        <v>0.67722222222223305</v>
      </c>
      <c r="H24" s="13">
        <f t="shared" si="3"/>
        <v>0.9686111111111031</v>
      </c>
      <c r="I24"/>
      <c r="J24"/>
    </row>
    <row r="25" spans="1:13" ht="18.75" x14ac:dyDescent="0.15">
      <c r="A25" s="10">
        <f t="shared" ca="1" si="0"/>
        <v>46044.541659143499</v>
      </c>
      <c r="B25" s="5" t="s">
        <v>61</v>
      </c>
      <c r="C25" s="11">
        <v>0.54165509259259303</v>
      </c>
      <c r="D25" s="11" t="s">
        <v>62</v>
      </c>
      <c r="E25" s="11">
        <v>0.73876157407407395</v>
      </c>
      <c r="F25" s="12">
        <f t="shared" si="1"/>
        <v>4.7305555555555419</v>
      </c>
      <c r="G25" s="13">
        <f t="shared" si="2"/>
        <v>4.7305555555555419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46044.767115162002</v>
      </c>
      <c r="B26" s="5" t="s">
        <v>61</v>
      </c>
      <c r="C26" s="11">
        <v>0.76710648148148097</v>
      </c>
      <c r="D26" s="11" t="s">
        <v>62</v>
      </c>
      <c r="E26" s="11">
        <v>0.79496527777777803</v>
      </c>
      <c r="F26" s="12">
        <f t="shared" si="1"/>
        <v>0.66861111111112947</v>
      </c>
      <c r="G26" s="13">
        <f t="shared" si="2"/>
        <v>0.66861111111112947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46045.133492592598</v>
      </c>
      <c r="B27" s="5" t="s">
        <v>61</v>
      </c>
      <c r="C27" s="11">
        <v>0.133483796296296</v>
      </c>
      <c r="D27" s="11" t="s">
        <v>62</v>
      </c>
      <c r="E27" s="11">
        <v>0.29697916666666702</v>
      </c>
      <c r="F27" s="12">
        <f t="shared" si="1"/>
        <v>3.9238888888889045</v>
      </c>
      <c r="G27" s="13">
        <f t="shared" si="2"/>
        <v>0</v>
      </c>
      <c r="H27" s="13">
        <f t="shared" si="3"/>
        <v>3.9238888888889045</v>
      </c>
      <c r="I27"/>
      <c r="J27"/>
    </row>
    <row r="28" spans="1:13" ht="18.75" x14ac:dyDescent="0.15">
      <c r="A28" s="10">
        <f t="shared" ca="1" si="0"/>
        <v>46045.791510648101</v>
      </c>
      <c r="B28" s="5" t="s">
        <v>61</v>
      </c>
      <c r="C28" s="11">
        <v>0.79150462962962997</v>
      </c>
      <c r="D28" s="11" t="s">
        <v>62</v>
      </c>
      <c r="E28" s="11">
        <v>0.93570601851851898</v>
      </c>
      <c r="F28" s="12">
        <f t="shared" si="1"/>
        <v>3.4608333333333361</v>
      </c>
      <c r="G28" s="13">
        <f t="shared" si="2"/>
        <v>3.4608333333333361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46046.293118402798</v>
      </c>
      <c r="B29" s="5" t="s">
        <v>61</v>
      </c>
      <c r="C29" s="11">
        <v>0.29311342592592599</v>
      </c>
      <c r="D29" s="11" t="s">
        <v>62</v>
      </c>
      <c r="E29" s="11">
        <v>0.35572916666666698</v>
      </c>
      <c r="F29" s="12">
        <f t="shared" si="1"/>
        <v>1.502777777777784</v>
      </c>
      <c r="G29" s="13">
        <f t="shared" si="2"/>
        <v>0.53750000000001608</v>
      </c>
      <c r="H29" s="13">
        <f t="shared" si="3"/>
        <v>0.96527777777776791</v>
      </c>
      <c r="I29"/>
      <c r="J29"/>
    </row>
    <row r="30" spans="1:13" ht="18.75" x14ac:dyDescent="0.15">
      <c r="A30" s="10">
        <f t="shared" ca="1" si="0"/>
        <v>46048.939533680597</v>
      </c>
      <c r="B30" s="5" t="s">
        <v>61</v>
      </c>
      <c r="C30" s="11">
        <v>0.93952546296296302</v>
      </c>
      <c r="D30" s="11" t="s">
        <v>62</v>
      </c>
      <c r="E30" s="11">
        <v>0.13578703703703701</v>
      </c>
      <c r="F30" s="12">
        <f t="shared" si="1"/>
        <v>4.710277777777776</v>
      </c>
      <c r="G30" s="13">
        <f t="shared" si="2"/>
        <v>1.4513888888888875</v>
      </c>
      <c r="H30" s="13">
        <f t="shared" si="3"/>
        <v>3.2588888888888885</v>
      </c>
      <c r="I30"/>
      <c r="J30"/>
    </row>
    <row r="31" spans="1:13" ht="18.75" x14ac:dyDescent="0.15">
      <c r="A31" s="10">
        <f t="shared" ca="1" si="0"/>
        <v>46052.791885995401</v>
      </c>
      <c r="B31" s="5" t="s">
        <v>61</v>
      </c>
      <c r="C31" s="11">
        <v>0.79188657407407403</v>
      </c>
      <c r="D31" s="11" t="s">
        <v>62</v>
      </c>
      <c r="E31" s="11">
        <v>0.84032407407407395</v>
      </c>
      <c r="F31" s="12">
        <f t="shared" si="1"/>
        <v>1.1624999999999979</v>
      </c>
      <c r="G31" s="13">
        <f t="shared" si="2"/>
        <v>1.1624999999999979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46053.014211111098</v>
      </c>
      <c r="B32" s="5" t="s">
        <v>78</v>
      </c>
      <c r="C32" s="11">
        <v>1.4201388888888901E-2</v>
      </c>
      <c r="D32" s="11" t="s">
        <v>62</v>
      </c>
      <c r="E32" s="11">
        <v>0.114328703703704</v>
      </c>
      <c r="F32" s="12">
        <f t="shared" si="1"/>
        <v>2.4030555555555626</v>
      </c>
      <c r="G32" s="13">
        <f t="shared" si="2"/>
        <v>0</v>
      </c>
      <c r="H32" s="13">
        <f t="shared" si="3"/>
        <v>2.4030555555555626</v>
      </c>
      <c r="I32"/>
      <c r="J32"/>
    </row>
    <row r="33" spans="1:11" ht="18.75" x14ac:dyDescent="0.15">
      <c r="A33" s="10">
        <f t="shared" ca="1" si="0"/>
        <v>46053.114358217601</v>
      </c>
      <c r="B33" s="5" t="s">
        <v>81</v>
      </c>
      <c r="C33" s="11">
        <v>0.114351851851852</v>
      </c>
      <c r="D33" s="11" t="s">
        <v>62</v>
      </c>
      <c r="E33" s="11">
        <v>0.143877314814815</v>
      </c>
      <c r="F33" s="12">
        <f t="shared" si="1"/>
        <v>0.70861111111111208</v>
      </c>
      <c r="G33" s="13">
        <f t="shared" si="2"/>
        <v>0</v>
      </c>
      <c r="H33" s="13">
        <f t="shared" si="3"/>
        <v>0.70861111111111208</v>
      </c>
      <c r="I33"/>
      <c r="J33"/>
    </row>
    <row r="34" spans="1:11" ht="18.75" x14ac:dyDescent="0.15">
      <c r="A34" s="10">
        <f t="shared" ca="1" si="0"/>
        <v>46053.7732733796</v>
      </c>
      <c r="B34" s="5" t="s">
        <v>61</v>
      </c>
      <c r="C34" s="11">
        <v>0.77326388888888897</v>
      </c>
      <c r="D34" s="11" t="s">
        <v>62</v>
      </c>
      <c r="E34" s="11">
        <v>0.94152777777777796</v>
      </c>
      <c r="F34" s="12">
        <f t="shared" si="1"/>
        <v>4.0383333333333358</v>
      </c>
      <c r="G34" s="13">
        <f t="shared" si="2"/>
        <v>4.0383333333333358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46029.138532060198</v>
      </c>
      <c r="B3" s="5" t="s">
        <v>80</v>
      </c>
      <c r="C3" s="11">
        <v>0.138530092592593</v>
      </c>
      <c r="D3" s="11" t="s">
        <v>62</v>
      </c>
      <c r="E3" s="11">
        <v>0.23181712962963</v>
      </c>
      <c r="F3" s="12">
        <f t="shared" ref="F3:F42" si="1">(IF(E3-C3&lt;0,"24:00"-C3+E3,E3-C3))*24</f>
        <v>2.238888888888888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2.238888888888888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46029.231855787002</v>
      </c>
      <c r="B4" s="5" t="s">
        <v>83</v>
      </c>
      <c r="C4" s="11">
        <v>0.231851851851852</v>
      </c>
      <c r="D4" s="11" t="s">
        <v>62</v>
      </c>
      <c r="E4" s="11">
        <v>0.30712962962962997</v>
      </c>
      <c r="F4" s="12">
        <f t="shared" si="1"/>
        <v>1.8066666666666713</v>
      </c>
      <c r="G4" s="13">
        <f t="shared" si="2"/>
        <v>0</v>
      </c>
      <c r="H4" s="13">
        <f t="shared" si="3"/>
        <v>1.8066666666666713</v>
      </c>
      <c r="I4" s="21" t="s">
        <v>64</v>
      </c>
      <c r="J4" s="22">
        <f>SUMIF(B:B,"西塔台管制席",F:F)+SUMIF(B:B,"东塔台管制席",F:F)</f>
        <v>33.416388888888861</v>
      </c>
      <c r="K4" s="23">
        <f>SUMIF(B:B,"西塔台管制席",G:G)+SUMIF(B:B,"东塔台管制席",G:G)</f>
        <v>14.953333333333342</v>
      </c>
      <c r="L4" s="23">
        <f>SUMIF(B:B,"西塔台管制席",H:H)+SUMIF(B:B,"东塔台管制席",H:H)</f>
        <v>18.46305555555552</v>
      </c>
      <c r="M4" s="19"/>
    </row>
    <row r="5" spans="1:16" ht="18.75" x14ac:dyDescent="0.25">
      <c r="A5" s="10">
        <f t="shared" ca="1" si="0"/>
        <v>46030.132053819398</v>
      </c>
      <c r="B5" s="5" t="s">
        <v>84</v>
      </c>
      <c r="C5" s="11">
        <v>0.13204861111111099</v>
      </c>
      <c r="D5" s="11" t="s">
        <v>62</v>
      </c>
      <c r="E5" s="11">
        <v>0.22131944444444401</v>
      </c>
      <c r="F5" s="12">
        <f t="shared" si="1"/>
        <v>2.1424999999999925</v>
      </c>
      <c r="G5" s="13">
        <f t="shared" si="2"/>
        <v>0</v>
      </c>
      <c r="H5" s="13">
        <f t="shared" si="3"/>
        <v>2.1424999999999925</v>
      </c>
      <c r="I5" s="21" t="s">
        <v>65</v>
      </c>
      <c r="J5" s="22">
        <f>SUMIF(B:B,"西塔台协调席",F:F)+SUMIF(B:B,"东塔台协调席",F:F)</f>
        <v>19.727777777777774</v>
      </c>
      <c r="K5" s="23">
        <f>SUMIF(B:B,"西塔台协调席",G:G)+SUMIF(B:B,"东塔台协调席",G:G)</f>
        <v>13.948888888888897</v>
      </c>
      <c r="L5" s="23">
        <f>SUMIF(B:B,"西塔台协调席",H:H)+SUMIF(B:B,"东塔台协调席",H:H)</f>
        <v>5.7788888888888774</v>
      </c>
      <c r="M5" s="19"/>
    </row>
    <row r="6" spans="1:16" ht="18.75" x14ac:dyDescent="0.25">
      <c r="A6" s="10">
        <f t="shared" ca="1" si="0"/>
        <v>46032.356180902803</v>
      </c>
      <c r="B6" s="5" t="s">
        <v>83</v>
      </c>
      <c r="C6" s="11">
        <v>0.356180555555556</v>
      </c>
      <c r="D6" s="11" t="s">
        <v>62</v>
      </c>
      <c r="E6" s="11">
        <v>0.50505787037036998</v>
      </c>
      <c r="F6" s="12">
        <f t="shared" si="1"/>
        <v>3.5730555555555354</v>
      </c>
      <c r="G6" s="13">
        <f t="shared" si="2"/>
        <v>3.5730555555555354</v>
      </c>
      <c r="H6" s="13">
        <f t="shared" si="3"/>
        <v>0</v>
      </c>
      <c r="I6" s="21" t="s">
        <v>66</v>
      </c>
      <c r="J6" s="22">
        <f>SUMIF(B:B,"放行席",F:F)</f>
        <v>4.2172222222222082</v>
      </c>
      <c r="K6" s="23">
        <f>SUMIF(B:B,"放行席",G:G)</f>
        <v>0</v>
      </c>
      <c r="L6" s="23">
        <f>SUMIF(B:B,"放行席",H:H)</f>
        <v>4.2172222222222082</v>
      </c>
      <c r="M6" s="19"/>
    </row>
    <row r="7" spans="1:16" ht="18.75" x14ac:dyDescent="0.25">
      <c r="A7" s="10">
        <f t="shared" ca="1" si="0"/>
        <v>46032.647564467603</v>
      </c>
      <c r="B7" s="5" t="s">
        <v>81</v>
      </c>
      <c r="C7" s="11">
        <v>0.64755787037037005</v>
      </c>
      <c r="D7" s="11" t="s">
        <v>62</v>
      </c>
      <c r="E7" s="11">
        <v>0.755694444444444</v>
      </c>
      <c r="F7" s="12">
        <f t="shared" si="1"/>
        <v>2.5952777777777749</v>
      </c>
      <c r="G7" s="13">
        <f t="shared" si="2"/>
        <v>2.5952777777777749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46032.874701851899</v>
      </c>
      <c r="B8" s="5" t="s">
        <v>83</v>
      </c>
      <c r="C8" s="11">
        <v>0.87469907407407399</v>
      </c>
      <c r="D8" s="11" t="s">
        <v>62</v>
      </c>
      <c r="E8" s="11">
        <v>0.96540509259259299</v>
      </c>
      <c r="F8" s="12">
        <f t="shared" si="1"/>
        <v>2.1769444444444561</v>
      </c>
      <c r="G8" s="13">
        <f t="shared" si="2"/>
        <v>2.1769444444444561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46033.2994622685</v>
      </c>
      <c r="B9" s="5" t="s">
        <v>78</v>
      </c>
      <c r="C9" s="11">
        <v>0.299456018518518</v>
      </c>
      <c r="D9" s="11" t="s">
        <v>62</v>
      </c>
      <c r="E9" s="11">
        <v>0.34173611111111102</v>
      </c>
      <c r="F9" s="12">
        <f t="shared" si="1"/>
        <v>1.0147222222222325</v>
      </c>
      <c r="G9" s="13">
        <f t="shared" si="2"/>
        <v>0.20166666666667288</v>
      </c>
      <c r="H9" s="13">
        <f t="shared" si="3"/>
        <v>0.81305555555555964</v>
      </c>
      <c r="I9" s="21" t="s">
        <v>69</v>
      </c>
      <c r="J9" s="22">
        <f>SUMIF(B:B,"航班调度席",F:F)</f>
        <v>12.293611111111105</v>
      </c>
      <c r="K9" s="23">
        <f>SUMIF(B:B,"航班调度席",G:G)</f>
        <v>12.293611111111105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46033.341782291704</v>
      </c>
      <c r="B10" s="5" t="s">
        <v>83</v>
      </c>
      <c r="C10" s="11">
        <v>0.34178240740740701</v>
      </c>
      <c r="D10" s="11" t="s">
        <v>62</v>
      </c>
      <c r="E10" s="11">
        <v>0.42240740740740701</v>
      </c>
      <c r="F10" s="12">
        <f t="shared" si="1"/>
        <v>1.9350000000000001</v>
      </c>
      <c r="G10" s="13">
        <f t="shared" si="2"/>
        <v>1.9350000000000001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46033.5003490741</v>
      </c>
      <c r="B11" s="5" t="s">
        <v>83</v>
      </c>
      <c r="C11" s="11">
        <v>0.50068287037036996</v>
      </c>
      <c r="D11" s="11" t="s">
        <v>62</v>
      </c>
      <c r="E11" s="11">
        <v>0.62925925925925896</v>
      </c>
      <c r="F11" s="12">
        <f t="shared" si="1"/>
        <v>3.0858333333333361</v>
      </c>
      <c r="G11" s="13">
        <f t="shared" si="2"/>
        <v>3.0858333333333361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46033.749085763899</v>
      </c>
      <c r="B12" s="5" t="s">
        <v>81</v>
      </c>
      <c r="C12" s="11">
        <v>0.74908564814814804</v>
      </c>
      <c r="D12" s="11" t="s">
        <v>62</v>
      </c>
      <c r="E12" s="11">
        <v>0.84178240740740795</v>
      </c>
      <c r="F12" s="12">
        <f t="shared" si="1"/>
        <v>2.2247222222222378</v>
      </c>
      <c r="G12" s="13">
        <f t="shared" si="2"/>
        <v>2.2247222222222378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46036.370346990698</v>
      </c>
      <c r="B13" s="5" t="s">
        <v>82</v>
      </c>
      <c r="C13" s="11">
        <v>0.37034722222222199</v>
      </c>
      <c r="D13" s="11" t="s">
        <v>62</v>
      </c>
      <c r="E13" s="11">
        <v>0.66818287037037005</v>
      </c>
      <c r="F13" s="12">
        <f t="shared" si="1"/>
        <v>7.1480555555555529</v>
      </c>
      <c r="G13" s="13">
        <f t="shared" si="2"/>
        <v>7.1480555555555529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46037.958403819401</v>
      </c>
      <c r="B14" s="5" t="s">
        <v>81</v>
      </c>
      <c r="C14" s="11">
        <v>0.95840277777777805</v>
      </c>
      <c r="D14" s="11" t="s">
        <v>62</v>
      </c>
      <c r="E14" s="11">
        <v>0.10553240740740701</v>
      </c>
      <c r="F14" s="12">
        <f t="shared" si="1"/>
        <v>3.5311111111110947</v>
      </c>
      <c r="G14" s="13">
        <f t="shared" si="2"/>
        <v>0.99833333333332641</v>
      </c>
      <c r="H14" s="13">
        <f t="shared" si="3"/>
        <v>2.5327777777777682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46041.127303703703</v>
      </c>
      <c r="B15" s="5" t="s">
        <v>84</v>
      </c>
      <c r="C15" s="11">
        <v>0.12730324074074101</v>
      </c>
      <c r="D15" s="11" t="s">
        <v>62</v>
      </c>
      <c r="E15" s="11">
        <v>0.21375</v>
      </c>
      <c r="F15" s="12">
        <f t="shared" si="1"/>
        <v>2.0747222222222157</v>
      </c>
      <c r="G15" s="13">
        <f t="shared" si="2"/>
        <v>0</v>
      </c>
      <c r="H15" s="13">
        <f t="shared" si="3"/>
        <v>2.0747222222222157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46041.213838425901</v>
      </c>
      <c r="B16" s="5" t="s">
        <v>80</v>
      </c>
      <c r="C16" s="11">
        <v>0.21385416666666701</v>
      </c>
      <c r="D16" s="11" t="s">
        <v>62</v>
      </c>
      <c r="E16" s="11">
        <v>0.30489583333333298</v>
      </c>
      <c r="F16" s="12">
        <f t="shared" si="1"/>
        <v>2.1849999999999832</v>
      </c>
      <c r="G16" s="13">
        <f t="shared" si="2"/>
        <v>0</v>
      </c>
      <c r="H16" s="13">
        <f t="shared" si="3"/>
        <v>2.1849999999999832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46042.139713078701</v>
      </c>
      <c r="B17" s="5" t="s">
        <v>81</v>
      </c>
      <c r="C17" s="11">
        <v>0.140011574074074</v>
      </c>
      <c r="D17" s="11" t="s">
        <v>62</v>
      </c>
      <c r="E17" s="11">
        <v>0.28596064814814798</v>
      </c>
      <c r="F17" s="12">
        <f t="shared" si="1"/>
        <v>3.5027777777777755</v>
      </c>
      <c r="G17" s="13">
        <f t="shared" si="2"/>
        <v>0</v>
      </c>
      <c r="H17" s="13">
        <f t="shared" si="3"/>
        <v>3.5027777777777755</v>
      </c>
      <c r="I17" s="35" t="s">
        <v>75</v>
      </c>
      <c r="J17" s="36">
        <f>J4+J5+J6+J7+J10</f>
        <v>57.36138888888884</v>
      </c>
      <c r="K17" s="37">
        <f>K4+K5+K6+K7+K10</f>
        <v>28.902222222222239</v>
      </c>
      <c r="L17" s="38">
        <f>L4+L5+L6+L7+L10</f>
        <v>28.459166666666608</v>
      </c>
      <c r="M17" s="39"/>
    </row>
    <row r="18" spans="1:13" ht="20.25" x14ac:dyDescent="0.25">
      <c r="A18" s="10">
        <f t="shared" ca="1" si="0"/>
        <v>46045.414950578699</v>
      </c>
      <c r="B18" s="5" t="s">
        <v>83</v>
      </c>
      <c r="C18" s="11">
        <v>0.41494212962963001</v>
      </c>
      <c r="D18" s="11" t="s">
        <v>62</v>
      </c>
      <c r="E18" s="11">
        <v>0.50591435185185196</v>
      </c>
      <c r="F18" s="12">
        <f t="shared" si="1"/>
        <v>2.1833333333333269</v>
      </c>
      <c r="G18" s="13">
        <f t="shared" si="2"/>
        <v>2.1833333333333269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46045.668217824103</v>
      </c>
      <c r="B19" s="5" t="s">
        <v>81</v>
      </c>
      <c r="C19" s="11">
        <v>0.66821759259259295</v>
      </c>
      <c r="D19" s="11" t="s">
        <v>62</v>
      </c>
      <c r="E19" s="11">
        <v>0.755462962962963</v>
      </c>
      <c r="F19" s="12">
        <f t="shared" si="1"/>
        <v>2.0938888888888814</v>
      </c>
      <c r="G19" s="13">
        <f t="shared" si="2"/>
        <v>2.0938888888888814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46045.790926967602</v>
      </c>
      <c r="B20" s="5" t="s">
        <v>81</v>
      </c>
      <c r="C20" s="11">
        <v>0.79092592592592603</v>
      </c>
      <c r="D20" s="11" t="s">
        <v>62</v>
      </c>
      <c r="E20" s="11">
        <v>0.96523148148148197</v>
      </c>
      <c r="F20" s="12">
        <f t="shared" si="1"/>
        <v>4.1833333333333425</v>
      </c>
      <c r="G20" s="13">
        <f t="shared" si="2"/>
        <v>4.1833333333333425</v>
      </c>
      <c r="H20" s="13">
        <f t="shared" si="3"/>
        <v>0</v>
      </c>
      <c r="I20" s="40" t="s">
        <v>77</v>
      </c>
      <c r="J20" s="65">
        <f>J16+J17+J18+J19</f>
        <v>57.36138888888884</v>
      </c>
      <c r="K20" s="66"/>
      <c r="L20" s="67"/>
      <c r="M20" s="41"/>
    </row>
    <row r="21" spans="1:13" ht="20.25" x14ac:dyDescent="0.25">
      <c r="A21" s="10">
        <f t="shared" ca="1" si="0"/>
        <v>46046.299029745402</v>
      </c>
      <c r="B21" s="5" t="s">
        <v>83</v>
      </c>
      <c r="C21" s="11">
        <v>0.299027777777778</v>
      </c>
      <c r="D21" s="11" t="s">
        <v>62</v>
      </c>
      <c r="E21" s="11">
        <v>0.366377314814815</v>
      </c>
      <c r="F21" s="12">
        <f t="shared" si="1"/>
        <v>1.616388888888888</v>
      </c>
      <c r="G21" s="13">
        <f t="shared" si="2"/>
        <v>0.7930555555555685</v>
      </c>
      <c r="H21" s="13">
        <f t="shared" si="3"/>
        <v>0.82333333333331948</v>
      </c>
      <c r="I21" s="42" t="s">
        <v>4</v>
      </c>
      <c r="J21" s="43">
        <f>SUM(J8:J9)</f>
        <v>12.293611111111105</v>
      </c>
      <c r="K21" s="37">
        <f>SUM(K8:K9)</f>
        <v>12.293611111111105</v>
      </c>
      <c r="L21" s="38">
        <f>SUM(L8:L9)</f>
        <v>0</v>
      </c>
      <c r="M21" s="44"/>
    </row>
    <row r="22" spans="1:13" ht="18.75" x14ac:dyDescent="0.15">
      <c r="A22" s="10">
        <f t="shared" ca="1" si="0"/>
        <v>46048.967220370403</v>
      </c>
      <c r="B22" s="5" t="s">
        <v>81</v>
      </c>
      <c r="C22" s="11">
        <v>0.96721064814814794</v>
      </c>
      <c r="D22" s="11" t="s">
        <v>62</v>
      </c>
      <c r="E22" s="11">
        <v>0.129849537037037</v>
      </c>
      <c r="F22" s="12">
        <f t="shared" si="1"/>
        <v>3.9033333333333373</v>
      </c>
      <c r="G22" s="13">
        <f t="shared" si="2"/>
        <v>0.78694444444444933</v>
      </c>
      <c r="H22" s="13">
        <f t="shared" si="3"/>
        <v>3.116388888888888</v>
      </c>
      <c r="I22"/>
      <c r="J22"/>
    </row>
    <row r="23" spans="1:13" ht="18.75" x14ac:dyDescent="0.15">
      <c r="A23" s="10">
        <f t="shared" ca="1" si="0"/>
        <v>46049.497276504597</v>
      </c>
      <c r="B23" s="5" t="s">
        <v>82</v>
      </c>
      <c r="C23" s="11">
        <v>0.497268518518519</v>
      </c>
      <c r="D23" s="11" t="s">
        <v>62</v>
      </c>
      <c r="E23" s="11">
        <v>0.711666666666667</v>
      </c>
      <c r="F23" s="12">
        <f t="shared" si="1"/>
        <v>5.1455555555555517</v>
      </c>
      <c r="G23" s="13">
        <f t="shared" si="2"/>
        <v>5.1455555555555517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46049.752768286999</v>
      </c>
      <c r="B24" s="5" t="s">
        <v>81</v>
      </c>
      <c r="C24" s="11">
        <v>0.75276620370370395</v>
      </c>
      <c r="D24" s="11" t="s">
        <v>62</v>
      </c>
      <c r="E24" s="11">
        <v>0.83905092592592601</v>
      </c>
      <c r="F24" s="12">
        <f t="shared" si="1"/>
        <v>2.0708333333333293</v>
      </c>
      <c r="G24" s="13">
        <f t="shared" si="2"/>
        <v>2.0708333333333293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46050.011636805597</v>
      </c>
      <c r="B25" s="5" t="s">
        <v>78</v>
      </c>
      <c r="C25" s="11">
        <v>1.16319444444444E-2</v>
      </c>
      <c r="D25" s="11" t="s">
        <v>62</v>
      </c>
      <c r="E25" s="11">
        <v>0.108958333333333</v>
      </c>
      <c r="F25" s="12">
        <f t="shared" si="1"/>
        <v>2.3358333333333263</v>
      </c>
      <c r="G25" s="13">
        <f t="shared" si="2"/>
        <v>0</v>
      </c>
      <c r="H25" s="13">
        <f t="shared" si="3"/>
        <v>2.3358333333333263</v>
      </c>
      <c r="I25"/>
      <c r="J25"/>
    </row>
    <row r="26" spans="1:13" ht="18.75" x14ac:dyDescent="0.15">
      <c r="A26" s="10">
        <f t="shared" ca="1" si="0"/>
        <v>46050.109001157398</v>
      </c>
      <c r="B26" s="5" t="s">
        <v>81</v>
      </c>
      <c r="C26" s="11">
        <v>0.108993055555556</v>
      </c>
      <c r="D26" s="11" t="s">
        <v>62</v>
      </c>
      <c r="E26" s="11">
        <v>0.145763888888889</v>
      </c>
      <c r="F26" s="12">
        <f t="shared" si="1"/>
        <v>0.88249999999999207</v>
      </c>
      <c r="G26" s="13">
        <f t="shared" si="2"/>
        <v>0</v>
      </c>
      <c r="H26" s="13">
        <f t="shared" si="3"/>
        <v>0.88249999999999207</v>
      </c>
      <c r="I26"/>
      <c r="J26"/>
    </row>
    <row r="27" spans="1:13" ht="18.75" x14ac:dyDescent="0.15">
      <c r="A27" s="10">
        <f t="shared" ca="1" si="0"/>
        <v>46053.137640740701</v>
      </c>
      <c r="B27" s="5" t="s">
        <v>81</v>
      </c>
      <c r="C27" s="11">
        <v>0.137986111111111</v>
      </c>
      <c r="D27" s="11" t="s">
        <v>62</v>
      </c>
      <c r="E27" s="11">
        <v>0.30484953703703699</v>
      </c>
      <c r="F27" s="12">
        <f t="shared" si="1"/>
        <v>4.0047222222222238</v>
      </c>
      <c r="G27" s="13">
        <f t="shared" si="2"/>
        <v>0</v>
      </c>
      <c r="H27" s="13">
        <f t="shared" si="3"/>
        <v>4.0047222222222238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46023.291770949101</v>
      </c>
      <c r="B3" s="5" t="s">
        <v>61</v>
      </c>
      <c r="C3" s="11">
        <v>0.29177083333333298</v>
      </c>
      <c r="D3" s="11" t="s">
        <v>62</v>
      </c>
      <c r="E3" s="11">
        <v>0.54768518518518505</v>
      </c>
      <c r="F3" s="12">
        <f t="shared" ref="F3:F42" si="1">(IF(E3-C3&lt;0,"24:00"-C3+E3,E3-C3))*24</f>
        <v>6.1419444444444498</v>
      </c>
      <c r="G3" s="13">
        <f t="shared" ref="G3:G42" si="2">F3-H3</f>
        <v>5.1444444444444493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0.99750000000000005</v>
      </c>
      <c r="I3" s="16" t="s">
        <v>63</v>
      </c>
      <c r="J3" s="17">
        <f>SUMIF(B:B,"带班主任",F:F)</f>
        <v>83.001944444444391</v>
      </c>
      <c r="K3" s="18">
        <f>SUMIF(B:B,"带班主任",G:G)</f>
        <v>56.218333333333348</v>
      </c>
      <c r="L3" s="18">
        <f>SUMIF(B:B,"带班主任",H:H)</f>
        <v>26.783611111111053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46023.935321527802</v>
      </c>
      <c r="B4" s="5" t="s">
        <v>61</v>
      </c>
      <c r="C4" s="11">
        <v>0.93531249999999999</v>
      </c>
      <c r="D4" s="11" t="s">
        <v>62</v>
      </c>
      <c r="E4" s="11">
        <v>0.13361111111111099</v>
      </c>
      <c r="F4" s="12">
        <f t="shared" si="1"/>
        <v>4.7591666666666637</v>
      </c>
      <c r="G4" s="13">
        <f t="shared" si="2"/>
        <v>1.5525000000000002</v>
      </c>
      <c r="H4" s="13">
        <f t="shared" si="3"/>
        <v>3.2066666666666634</v>
      </c>
      <c r="I4" s="21" t="s">
        <v>64</v>
      </c>
      <c r="J4" s="22">
        <f>SUMIF(B:B,"西塔台管制席",F:F)+SUMIF(B:B,"东塔台管制席",F:F)</f>
        <v>5.6741666666666681</v>
      </c>
      <c r="K4" s="23">
        <f>SUMIF(B:B,"西塔台管制席",G:G)+SUMIF(B:B,"东塔台管制席",G:G)</f>
        <v>1.1883333333333352</v>
      </c>
      <c r="L4" s="23">
        <f>SUMIF(B:B,"西塔台管制席",H:H)+SUMIF(B:B,"东塔台管制席",H:H)</f>
        <v>4.4858333333333329</v>
      </c>
      <c r="M4" s="19"/>
    </row>
    <row r="5" spans="1:16" ht="18.75" x14ac:dyDescent="0.25">
      <c r="A5" s="10">
        <f t="shared" ca="1" si="0"/>
        <v>46026.539421643502</v>
      </c>
      <c r="B5" s="5" t="s">
        <v>61</v>
      </c>
      <c r="C5" s="11">
        <v>0.53942129629629598</v>
      </c>
      <c r="D5" s="11" t="s">
        <v>62</v>
      </c>
      <c r="E5" s="11">
        <v>0.79912037037036998</v>
      </c>
      <c r="F5" s="12">
        <f t="shared" si="1"/>
        <v>6.232777777777776</v>
      </c>
      <c r="G5" s="13">
        <f t="shared" si="2"/>
        <v>6.232777777777776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1.2772222222222316</v>
      </c>
      <c r="K5" s="23">
        <f>SUMIF(B:B,"西塔台协调席",G:G)+SUMIF(B:B,"东塔台协调席",G:G)</f>
        <v>0</v>
      </c>
      <c r="L5" s="23">
        <f>SUMIF(B:B,"西塔台协调席",H:H)+SUMIF(B:B,"东塔台协调席",H:H)</f>
        <v>1.2772222222222316</v>
      </c>
      <c r="M5" s="19"/>
    </row>
    <row r="6" spans="1:16" ht="18.75" x14ac:dyDescent="0.25">
      <c r="A6" s="10">
        <f t="shared" ca="1" si="0"/>
        <v>46027.129971296301</v>
      </c>
      <c r="B6" s="5" t="s">
        <v>61</v>
      </c>
      <c r="C6" s="11">
        <v>0.129965277777778</v>
      </c>
      <c r="D6" s="11" t="s">
        <v>62</v>
      </c>
      <c r="E6" s="11">
        <v>0.29950231481481498</v>
      </c>
      <c r="F6" s="12">
        <f t="shared" si="1"/>
        <v>4.0688888888888872</v>
      </c>
      <c r="G6" s="13">
        <f t="shared" si="2"/>
        <v>0</v>
      </c>
      <c r="H6" s="13">
        <f t="shared" si="3"/>
        <v>4.0688888888888872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46027.791066550897</v>
      </c>
      <c r="B7" s="5" t="s">
        <v>61</v>
      </c>
      <c r="C7" s="11">
        <v>0.79106481481481505</v>
      </c>
      <c r="D7" s="11" t="s">
        <v>62</v>
      </c>
      <c r="E7" s="11">
        <v>0.94381944444444399</v>
      </c>
      <c r="F7" s="12">
        <f t="shared" si="1"/>
        <v>3.6661111111110944</v>
      </c>
      <c r="G7" s="13">
        <f t="shared" si="2"/>
        <v>3.6661111111110944</v>
      </c>
      <c r="H7" s="13">
        <f t="shared" si="3"/>
        <v>0</v>
      </c>
      <c r="I7" s="21" t="s">
        <v>67</v>
      </c>
      <c r="J7" s="22">
        <f>SUMIF(B:B,"地面席",F:F)</f>
        <v>3.9724999999999917</v>
      </c>
      <c r="K7" s="23">
        <f>SUMIF(B:B,"地面席",G:G)</f>
        <v>0</v>
      </c>
      <c r="L7" s="23">
        <f>SUMIF(B:B,"地面席",H:H)</f>
        <v>3.9724999999999917</v>
      </c>
      <c r="M7" s="19"/>
    </row>
    <row r="8" spans="1:16" ht="18.75" x14ac:dyDescent="0.25">
      <c r="A8" s="10">
        <f t="shared" ca="1" si="0"/>
        <v>46028.297899884303</v>
      </c>
      <c r="B8" s="5" t="s">
        <v>61</v>
      </c>
      <c r="C8" s="11">
        <v>0.29789351851851897</v>
      </c>
      <c r="D8" s="11" t="s">
        <v>62</v>
      </c>
      <c r="E8" s="11">
        <v>0.35774305555555602</v>
      </c>
      <c r="F8" s="12">
        <f t="shared" si="1"/>
        <v>1.4363888888888892</v>
      </c>
      <c r="G8" s="13">
        <f t="shared" si="2"/>
        <v>0.58583333333335297</v>
      </c>
      <c r="H8" s="13">
        <f t="shared" si="3"/>
        <v>0.85055555555553619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46030.9365777778</v>
      </c>
      <c r="B9" s="5" t="s">
        <v>61</v>
      </c>
      <c r="C9" s="11">
        <v>0.936574074074074</v>
      </c>
      <c r="D9" s="11" t="s">
        <v>62</v>
      </c>
      <c r="E9" s="11">
        <v>0.13765046296296299</v>
      </c>
      <c r="F9" s="12">
        <f t="shared" si="1"/>
        <v>4.8258333333333354</v>
      </c>
      <c r="G9" s="13">
        <f t="shared" si="2"/>
        <v>1.5222222222222239</v>
      </c>
      <c r="H9" s="13">
        <f t="shared" si="3"/>
        <v>3.3036111111111115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46032.132162731497</v>
      </c>
      <c r="B10" s="5" t="s">
        <v>61</v>
      </c>
      <c r="C10" s="11">
        <v>0.13215277777777801</v>
      </c>
      <c r="D10" s="11" t="s">
        <v>62</v>
      </c>
      <c r="E10" s="11">
        <v>0.30136574074074102</v>
      </c>
      <c r="F10" s="12">
        <f t="shared" si="1"/>
        <v>4.0611111111111118</v>
      </c>
      <c r="G10" s="13">
        <f t="shared" si="2"/>
        <v>0</v>
      </c>
      <c r="H10" s="13">
        <f t="shared" si="3"/>
        <v>4.0611111111111118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46034.353234953698</v>
      </c>
      <c r="B11" s="5" t="s">
        <v>61</v>
      </c>
      <c r="C11" s="11">
        <v>0.35322916666666698</v>
      </c>
      <c r="D11" s="11" t="s">
        <v>62</v>
      </c>
      <c r="E11" s="11">
        <v>0.54680555555555599</v>
      </c>
      <c r="F11" s="12">
        <f t="shared" si="1"/>
        <v>4.6458333333333357</v>
      </c>
      <c r="G11" s="13">
        <f t="shared" si="2"/>
        <v>4.6458333333333357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46034.793495254598</v>
      </c>
      <c r="B12" s="5" t="s">
        <v>61</v>
      </c>
      <c r="C12" s="11">
        <v>0.79349537037036999</v>
      </c>
      <c r="D12" s="11" t="s">
        <v>62</v>
      </c>
      <c r="E12" s="11">
        <v>0.94833333333333303</v>
      </c>
      <c r="F12" s="12">
        <f t="shared" si="1"/>
        <v>3.7161111111111129</v>
      </c>
      <c r="G12" s="13">
        <f t="shared" si="2"/>
        <v>3.7161111111111129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46035.5421474537</v>
      </c>
      <c r="B13" s="5" t="s">
        <v>61</v>
      </c>
      <c r="C13" s="11">
        <v>0.542141203703704</v>
      </c>
      <c r="D13" s="11" t="s">
        <v>62</v>
      </c>
      <c r="E13" s="11">
        <v>0.80255787037036996</v>
      </c>
      <c r="F13" s="12">
        <f t="shared" si="1"/>
        <v>6.2499999999999831</v>
      </c>
      <c r="G13" s="13">
        <f t="shared" si="2"/>
        <v>6.2499999999999831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46036.292921412001</v>
      </c>
      <c r="B14" s="5" t="s">
        <v>61</v>
      </c>
      <c r="C14" s="11">
        <v>0.29291666666666699</v>
      </c>
      <c r="D14" s="11" t="s">
        <v>62</v>
      </c>
      <c r="E14" s="11">
        <v>0.36542824074074098</v>
      </c>
      <c r="F14" s="12">
        <f t="shared" si="1"/>
        <v>1.7402777777777758</v>
      </c>
      <c r="G14" s="13">
        <f t="shared" si="2"/>
        <v>0.77027777777779205</v>
      </c>
      <c r="H14" s="13">
        <f t="shared" si="3"/>
        <v>0.96999999999998376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46039.138895486103</v>
      </c>
      <c r="B15" s="5" t="s">
        <v>79</v>
      </c>
      <c r="C15" s="11">
        <v>0.13888888888888901</v>
      </c>
      <c r="D15" s="11" t="s">
        <v>62</v>
      </c>
      <c r="E15" s="11">
        <v>0.21875</v>
      </c>
      <c r="F15" s="12">
        <f t="shared" si="1"/>
        <v>1.9166666666666639</v>
      </c>
      <c r="G15" s="13">
        <f t="shared" si="2"/>
        <v>0</v>
      </c>
      <c r="H15" s="13">
        <f t="shared" si="3"/>
        <v>1.9166666666666639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46039.950492708303</v>
      </c>
      <c r="B16" s="5" t="s">
        <v>81</v>
      </c>
      <c r="C16" s="11">
        <v>0.95048611111111103</v>
      </c>
      <c r="D16" s="11" t="s">
        <v>62</v>
      </c>
      <c r="E16" s="11">
        <v>9.0509259259259206E-2</v>
      </c>
      <c r="F16" s="12">
        <f t="shared" si="1"/>
        <v>3.360555555555556</v>
      </c>
      <c r="G16" s="13">
        <f t="shared" si="2"/>
        <v>1.1883333333333352</v>
      </c>
      <c r="H16" s="13">
        <f t="shared" si="3"/>
        <v>2.1722222222222207</v>
      </c>
      <c r="I16" s="35" t="s">
        <v>63</v>
      </c>
      <c r="J16" s="36">
        <f t="shared" ref="J16:L16" si="4">J3</f>
        <v>83.001944444444391</v>
      </c>
      <c r="K16" s="37">
        <f t="shared" si="4"/>
        <v>56.218333333333348</v>
      </c>
      <c r="L16" s="38">
        <f t="shared" si="4"/>
        <v>26.783611111111053</v>
      </c>
      <c r="M16" s="39"/>
    </row>
    <row r="17" spans="1:13" ht="20.25" x14ac:dyDescent="0.25">
      <c r="A17" s="10">
        <f t="shared" ca="1" si="0"/>
        <v>46042.541110300903</v>
      </c>
      <c r="B17" s="5" t="s">
        <v>61</v>
      </c>
      <c r="C17" s="11">
        <v>0.54109953703703695</v>
      </c>
      <c r="D17" s="11" t="s">
        <v>62</v>
      </c>
      <c r="E17" s="11">
        <v>0.79951388888888897</v>
      </c>
      <c r="F17" s="12">
        <f t="shared" si="1"/>
        <v>6.2019444444444485</v>
      </c>
      <c r="G17" s="13">
        <f t="shared" si="2"/>
        <v>6.2019444444444485</v>
      </c>
      <c r="H17" s="13">
        <f t="shared" si="3"/>
        <v>0</v>
      </c>
      <c r="I17" s="35" t="s">
        <v>75</v>
      </c>
      <c r="J17" s="36">
        <f>J4+J5+J6+J7+J10</f>
        <v>10.923888888888891</v>
      </c>
      <c r="K17" s="37">
        <f>K4+K5+K6+K7+K10</f>
        <v>1.1883333333333352</v>
      </c>
      <c r="L17" s="38">
        <f>L4+L5+L6+L7+L10</f>
        <v>9.7355555555555569</v>
      </c>
      <c r="M17" s="39"/>
    </row>
    <row r="18" spans="1:13" ht="20.25" x14ac:dyDescent="0.25">
      <c r="A18" s="10">
        <f t="shared" ca="1" si="0"/>
        <v>46043.292413773102</v>
      </c>
      <c r="B18" s="5" t="s">
        <v>61</v>
      </c>
      <c r="C18" s="11">
        <v>0.29240740740740701</v>
      </c>
      <c r="D18" s="11" t="s">
        <v>62</v>
      </c>
      <c r="E18" s="11">
        <v>0.54621527777777801</v>
      </c>
      <c r="F18" s="12">
        <f t="shared" si="1"/>
        <v>6.0913888888889041</v>
      </c>
      <c r="G18" s="13">
        <f t="shared" si="2"/>
        <v>5.1091666666666811</v>
      </c>
      <c r="H18" s="13">
        <f t="shared" si="3"/>
        <v>0.98222222222222344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46043.848243749999</v>
      </c>
      <c r="B19" s="5" t="s">
        <v>61</v>
      </c>
      <c r="C19" s="11">
        <v>0.84824074074074096</v>
      </c>
      <c r="D19" s="11" t="s">
        <v>62</v>
      </c>
      <c r="E19" s="11">
        <v>0.94233796296296302</v>
      </c>
      <c r="F19" s="12">
        <f t="shared" si="1"/>
        <v>2.2583333333333293</v>
      </c>
      <c r="G19" s="13">
        <f t="shared" si="2"/>
        <v>2.2583333333333293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46044.291814236101</v>
      </c>
      <c r="B20" s="5" t="s">
        <v>61</v>
      </c>
      <c r="C20" s="11">
        <v>0.29180555555555598</v>
      </c>
      <c r="D20" s="11" t="s">
        <v>62</v>
      </c>
      <c r="E20" s="11">
        <v>0.365034722222222</v>
      </c>
      <c r="F20" s="12">
        <f t="shared" si="1"/>
        <v>1.7574999999999843</v>
      </c>
      <c r="G20" s="13">
        <f t="shared" si="2"/>
        <v>0.76083333333333636</v>
      </c>
      <c r="H20" s="13">
        <f t="shared" si="3"/>
        <v>0.99666666666664794</v>
      </c>
      <c r="I20" s="40" t="s">
        <v>77</v>
      </c>
      <c r="J20" s="65">
        <f>J16+J17+J18+J19</f>
        <v>93.925833333333287</v>
      </c>
      <c r="K20" s="66"/>
      <c r="L20" s="67"/>
      <c r="M20" s="41"/>
    </row>
    <row r="21" spans="1:13" ht="20.25" x14ac:dyDescent="0.25">
      <c r="A21" s="10">
        <f t="shared" ca="1" si="0"/>
        <v>46046.937806018497</v>
      </c>
      <c r="B21" s="5" t="s">
        <v>61</v>
      </c>
      <c r="C21" s="11">
        <v>0.93780092592592601</v>
      </c>
      <c r="D21" s="11" t="s">
        <v>62</v>
      </c>
      <c r="E21" s="11">
        <v>0.13745370370370399</v>
      </c>
      <c r="F21" s="12">
        <f t="shared" si="1"/>
        <v>4.7916666666666714</v>
      </c>
      <c r="G21" s="13">
        <f t="shared" si="2"/>
        <v>1.4927777777777758</v>
      </c>
      <c r="H21" s="13">
        <f t="shared" si="3"/>
        <v>3.2988888888888956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46047.538299305597</v>
      </c>
      <c r="B22" s="5" t="s">
        <v>61</v>
      </c>
      <c r="C22" s="11">
        <v>0.53829861111111099</v>
      </c>
      <c r="D22" s="11" t="s">
        <v>62</v>
      </c>
      <c r="E22" s="11">
        <v>0.80118055555555501</v>
      </c>
      <c r="F22" s="12">
        <f t="shared" si="1"/>
        <v>6.3091666666666564</v>
      </c>
      <c r="G22" s="13">
        <f t="shared" si="2"/>
        <v>6.3091666666666564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46048.130943981501</v>
      </c>
      <c r="B23" s="5" t="s">
        <v>61</v>
      </c>
      <c r="C23" s="11">
        <v>0.13093750000000001</v>
      </c>
      <c r="D23" s="11" t="s">
        <v>62</v>
      </c>
      <c r="E23" s="11">
        <v>0.29958333333333298</v>
      </c>
      <c r="F23" s="12">
        <f t="shared" si="1"/>
        <v>4.0474999999999914</v>
      </c>
      <c r="G23" s="13">
        <f t="shared" si="2"/>
        <v>0</v>
      </c>
      <c r="H23" s="13">
        <f t="shared" si="3"/>
        <v>4.0474999999999914</v>
      </c>
      <c r="I23"/>
      <c r="J23"/>
    </row>
    <row r="24" spans="1:13" ht="18.75" x14ac:dyDescent="0.15">
      <c r="A24" s="10">
        <f t="shared" ca="1" si="0"/>
        <v>46051.136284027802</v>
      </c>
      <c r="B24" s="5" t="s">
        <v>79</v>
      </c>
      <c r="C24" s="11">
        <v>0.136273148148148</v>
      </c>
      <c r="D24" s="11" t="s">
        <v>62</v>
      </c>
      <c r="E24" s="11">
        <v>0.22193287037036999</v>
      </c>
      <c r="F24" s="12">
        <f t="shared" si="1"/>
        <v>2.0558333333333279</v>
      </c>
      <c r="G24" s="13">
        <f t="shared" si="2"/>
        <v>0</v>
      </c>
      <c r="H24" s="13">
        <f t="shared" si="3"/>
        <v>2.0558333333333279</v>
      </c>
      <c r="I24"/>
      <c r="J24"/>
    </row>
    <row r="25" spans="1:13" ht="18.75" x14ac:dyDescent="0.15">
      <c r="A25" s="10">
        <f t="shared" ca="1" si="0"/>
        <v>46052.139128009301</v>
      </c>
      <c r="B25" s="5" t="s">
        <v>80</v>
      </c>
      <c r="C25" s="11">
        <v>0.13912037037037001</v>
      </c>
      <c r="D25" s="11" t="s">
        <v>62</v>
      </c>
      <c r="E25" s="11">
        <v>0.23552083333333301</v>
      </c>
      <c r="F25" s="12">
        <f t="shared" si="1"/>
        <v>2.3136111111111122</v>
      </c>
      <c r="G25" s="13">
        <f t="shared" si="2"/>
        <v>0</v>
      </c>
      <c r="H25" s="13">
        <f t="shared" si="3"/>
        <v>2.3136111111111122</v>
      </c>
      <c r="I25"/>
      <c r="J25"/>
    </row>
    <row r="26" spans="1:13" ht="18.75" x14ac:dyDescent="0.15">
      <c r="A26" s="10">
        <f t="shared" ca="1" si="0"/>
        <v>46052.245639930603</v>
      </c>
      <c r="B26" s="5" t="s">
        <v>83</v>
      </c>
      <c r="C26" s="11">
        <v>0.24563657407407399</v>
      </c>
      <c r="D26" s="11" t="s">
        <v>62</v>
      </c>
      <c r="E26" s="11">
        <v>0.29885416666666698</v>
      </c>
      <c r="F26" s="12">
        <f t="shared" si="1"/>
        <v>1.2772222222222316</v>
      </c>
      <c r="G26" s="13">
        <f t="shared" si="2"/>
        <v>0</v>
      </c>
      <c r="H26" s="13">
        <f t="shared" si="3"/>
        <v>1.2772222222222316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46028.936447916698</v>
      </c>
      <c r="B3" s="5" t="s">
        <v>61</v>
      </c>
      <c r="C3" s="11">
        <v>0.93644675925925902</v>
      </c>
      <c r="D3" s="11" t="s">
        <v>62</v>
      </c>
      <c r="E3" s="11">
        <v>0.14015046296296299</v>
      </c>
      <c r="F3" s="12">
        <f t="shared" ref="F3:F42" si="1">(IF(E3-C3&lt;0,"24:00"-C3+E3,E3-C3))*24</f>
        <v>4.8888888888888955</v>
      </c>
      <c r="G3" s="13">
        <f t="shared" ref="G3:G42" si="2">F3-H3</f>
        <v>1.5252777777777835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3.363611111111112</v>
      </c>
      <c r="I3" s="16" t="s">
        <v>63</v>
      </c>
      <c r="J3" s="17">
        <f>SUMIF(B:B,"带班主任",F:F)</f>
        <v>84.749166666666653</v>
      </c>
      <c r="K3" s="18">
        <f>SUMIF(B:B,"带班主任",G:G)</f>
        <v>52.706388888888917</v>
      </c>
      <c r="L3" s="18">
        <f>SUMIF(B:B,"带班主任",H:H)</f>
        <v>32.042777777777737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46029.5409327546</v>
      </c>
      <c r="B4" s="5" t="s">
        <v>61</v>
      </c>
      <c r="C4" s="11">
        <v>0.54092592592592603</v>
      </c>
      <c r="D4" s="11" t="s">
        <v>62</v>
      </c>
      <c r="E4" s="11">
        <v>0.797141203703704</v>
      </c>
      <c r="F4" s="12">
        <f t="shared" si="1"/>
        <v>6.1491666666666713</v>
      </c>
      <c r="G4" s="13">
        <f t="shared" si="2"/>
        <v>6.1491666666666713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10.216666666666677</v>
      </c>
      <c r="K4" s="23">
        <f>SUMIF(B:B,"西塔台管制席",G:G)+SUMIF(B:B,"东塔台管制席",G:G)</f>
        <v>0.97805555555556056</v>
      </c>
      <c r="L4" s="23">
        <f>SUMIF(B:B,"西塔台管制席",H:H)+SUMIF(B:B,"东塔台管制席",H:H)</f>
        <v>9.2386111111111173</v>
      </c>
      <c r="M4" s="19"/>
    </row>
    <row r="5" spans="1:16" ht="18.75" x14ac:dyDescent="0.25">
      <c r="A5" s="10">
        <f t="shared" ca="1" si="0"/>
        <v>46030.134342013902</v>
      </c>
      <c r="B5" s="5" t="s">
        <v>61</v>
      </c>
      <c r="C5" s="11">
        <v>0.13434027777777799</v>
      </c>
      <c r="D5" s="11" t="s">
        <v>62</v>
      </c>
      <c r="E5" s="11">
        <v>0.299027777777778</v>
      </c>
      <c r="F5" s="12">
        <f t="shared" si="1"/>
        <v>3.9525000000000006</v>
      </c>
      <c r="G5" s="13">
        <f t="shared" si="2"/>
        <v>0</v>
      </c>
      <c r="H5" s="13">
        <f t="shared" si="3"/>
        <v>3.9525000000000006</v>
      </c>
      <c r="I5" s="21" t="s">
        <v>65</v>
      </c>
      <c r="J5" s="22">
        <f>SUMIF(B:B,"西塔台协调席",F:F)+SUMIF(B:B,"东塔台协调席",F:F)</f>
        <v>1.3624999999999952</v>
      </c>
      <c r="K5" s="23">
        <f>SUMIF(B:B,"西塔台协调席",G:G)+SUMIF(B:B,"东塔台协调席",G:G)</f>
        <v>0.96472222222221682</v>
      </c>
      <c r="L5" s="23">
        <f>SUMIF(B:B,"西塔台协调席",H:H)+SUMIF(B:B,"东塔台协调席",H:H)</f>
        <v>0.39777777777777834</v>
      </c>
      <c r="M5" s="19"/>
    </row>
    <row r="6" spans="1:16" ht="18.75" x14ac:dyDescent="0.25">
      <c r="A6" s="10">
        <f t="shared" ca="1" si="0"/>
        <v>46032.959251736102</v>
      </c>
      <c r="B6" s="5" t="s">
        <v>81</v>
      </c>
      <c r="C6" s="11">
        <v>0.959247685185185</v>
      </c>
      <c r="D6" s="11" t="s">
        <v>62</v>
      </c>
      <c r="E6" s="11">
        <v>0.123333333333333</v>
      </c>
      <c r="F6" s="12">
        <f t="shared" si="1"/>
        <v>3.9380555555555525</v>
      </c>
      <c r="G6" s="13">
        <f t="shared" si="2"/>
        <v>0.97805555555556056</v>
      </c>
      <c r="H6" s="13">
        <f t="shared" si="3"/>
        <v>2.959999999999992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46034.132165625</v>
      </c>
      <c r="B7" s="5" t="s">
        <v>61</v>
      </c>
      <c r="C7" s="11">
        <v>0.13216435185185199</v>
      </c>
      <c r="D7" s="11" t="s">
        <v>62</v>
      </c>
      <c r="E7" s="11">
        <v>0.29885416666666698</v>
      </c>
      <c r="F7" s="12">
        <f t="shared" si="1"/>
        <v>4.0005555555555592</v>
      </c>
      <c r="G7" s="13">
        <f t="shared" si="2"/>
        <v>0</v>
      </c>
      <c r="H7" s="13">
        <f t="shared" si="3"/>
        <v>4.0005555555555592</v>
      </c>
      <c r="I7" s="21" t="s">
        <v>67</v>
      </c>
      <c r="J7" s="22">
        <f>SUMIF(B:B,"地面席",F:F)</f>
        <v>1.2722222222222168</v>
      </c>
      <c r="K7" s="23">
        <f>SUMIF(B:B,"地面席",G:G)</f>
        <v>0.72250000000000902</v>
      </c>
      <c r="L7" s="23">
        <f>SUMIF(B:B,"地面席",H:H)</f>
        <v>0.54972222222220779</v>
      </c>
      <c r="M7" s="19"/>
    </row>
    <row r="8" spans="1:16" ht="18.75" x14ac:dyDescent="0.25">
      <c r="A8" s="10">
        <f t="shared" ca="1" si="0"/>
        <v>46036.356419097203</v>
      </c>
      <c r="B8" s="5" t="s">
        <v>61</v>
      </c>
      <c r="C8" s="11">
        <v>0.356412037037037</v>
      </c>
      <c r="D8" s="11" t="s">
        <v>62</v>
      </c>
      <c r="E8" s="11">
        <v>0.55012731481481503</v>
      </c>
      <c r="F8" s="12">
        <f t="shared" si="1"/>
        <v>4.6491666666666731</v>
      </c>
      <c r="G8" s="13">
        <f t="shared" si="2"/>
        <v>4.6491666666666731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46036.852315162003</v>
      </c>
      <c r="B9" s="5" t="s">
        <v>61</v>
      </c>
      <c r="C9" s="11">
        <v>0.79884259259259205</v>
      </c>
      <c r="D9" s="11" t="s">
        <v>62</v>
      </c>
      <c r="E9" s="11">
        <v>0.94486111111111104</v>
      </c>
      <c r="F9" s="12">
        <f t="shared" si="1"/>
        <v>3.5044444444444558</v>
      </c>
      <c r="G9" s="13">
        <f t="shared" si="2"/>
        <v>3.5044444444444558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46037.293297222197</v>
      </c>
      <c r="B10" s="5" t="s">
        <v>61</v>
      </c>
      <c r="C10" s="11">
        <v>0.29328703703703701</v>
      </c>
      <c r="D10" s="11" t="s">
        <v>62</v>
      </c>
      <c r="E10" s="11">
        <v>0.54990740740740696</v>
      </c>
      <c r="F10" s="12">
        <f t="shared" si="1"/>
        <v>6.1588888888888782</v>
      </c>
      <c r="G10" s="13">
        <f t="shared" si="2"/>
        <v>5.1977777777777749</v>
      </c>
      <c r="H10" s="13">
        <f t="shared" si="3"/>
        <v>0.96111111111110326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46037.959810069398</v>
      </c>
      <c r="B11" s="5" t="s">
        <v>83</v>
      </c>
      <c r="C11" s="11">
        <v>0.95980324074074097</v>
      </c>
      <c r="D11" s="11" t="s">
        <v>62</v>
      </c>
      <c r="E11" s="11">
        <v>1.6574074074074099E-2</v>
      </c>
      <c r="F11" s="12">
        <f t="shared" si="1"/>
        <v>1.3624999999999952</v>
      </c>
      <c r="G11" s="13">
        <f t="shared" si="2"/>
        <v>0.96472222222221682</v>
      </c>
      <c r="H11" s="13">
        <f t="shared" si="3"/>
        <v>0.39777777777777834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46038.145485995403</v>
      </c>
      <c r="B12" s="5" t="s">
        <v>80</v>
      </c>
      <c r="C12" s="11">
        <v>1.63194444444444E-2</v>
      </c>
      <c r="D12" s="11" t="s">
        <v>62</v>
      </c>
      <c r="E12" s="11">
        <v>0.14561342592592599</v>
      </c>
      <c r="F12" s="12">
        <f t="shared" si="1"/>
        <v>3.1030555555555579</v>
      </c>
      <c r="G12" s="13">
        <f t="shared" si="2"/>
        <v>0</v>
      </c>
      <c r="H12" s="13">
        <f t="shared" si="3"/>
        <v>3.1030555555555579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46040.356812268503</v>
      </c>
      <c r="B13" s="5" t="s">
        <v>61</v>
      </c>
      <c r="C13" s="11">
        <v>0.35680555555555599</v>
      </c>
      <c r="D13" s="11" t="s">
        <v>62</v>
      </c>
      <c r="E13" s="11">
        <v>0.54881944444444397</v>
      </c>
      <c r="F13" s="12">
        <f t="shared" si="1"/>
        <v>4.6083333333333112</v>
      </c>
      <c r="G13" s="13">
        <f t="shared" si="2"/>
        <v>4.6083333333333112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46040.768035995403</v>
      </c>
      <c r="B14" s="5" t="s">
        <v>61</v>
      </c>
      <c r="C14" s="11">
        <v>0.76803240740740697</v>
      </c>
      <c r="D14" s="11" t="s">
        <v>62</v>
      </c>
      <c r="E14" s="11">
        <v>0.944583333333333</v>
      </c>
      <c r="F14" s="12">
        <f t="shared" si="1"/>
        <v>4.2372222222222247</v>
      </c>
      <c r="G14" s="13">
        <f t="shared" si="2"/>
        <v>4.2372222222222247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46041.292991666698</v>
      </c>
      <c r="B16" s="5" t="s">
        <v>61</v>
      </c>
      <c r="C16" s="11">
        <v>0.292986111111111</v>
      </c>
      <c r="D16" s="11" t="s">
        <v>62</v>
      </c>
      <c r="E16" s="11">
        <v>0.54918981481481499</v>
      </c>
      <c r="F16" s="12">
        <f t="shared" si="1"/>
        <v>6.1488888888888962</v>
      </c>
      <c r="G16" s="13">
        <f t="shared" si="2"/>
        <v>5.1805555555555687</v>
      </c>
      <c r="H16" s="13">
        <f t="shared" si="3"/>
        <v>0.9683333333333275</v>
      </c>
      <c r="I16" s="35" t="s">
        <v>63</v>
      </c>
      <c r="J16" s="36">
        <f t="shared" ref="J16:L16" si="4">J3</f>
        <v>84.749166666666653</v>
      </c>
      <c r="K16" s="37">
        <f t="shared" si="4"/>
        <v>52.706388888888917</v>
      </c>
      <c r="L16" s="38">
        <f t="shared" si="4"/>
        <v>32.042777777777737</v>
      </c>
      <c r="M16" s="39"/>
    </row>
    <row r="17" spans="1:13" ht="20.25" x14ac:dyDescent="0.25">
      <c r="A17" s="10">
        <f t="shared" ca="1" si="0"/>
        <v>46041.939081365701</v>
      </c>
      <c r="B17" s="5" t="s">
        <v>61</v>
      </c>
      <c r="C17" s="11">
        <v>0.93907407407407395</v>
      </c>
      <c r="D17" s="11" t="s">
        <v>62</v>
      </c>
      <c r="E17" s="11">
        <v>0.14099537037036999</v>
      </c>
      <c r="F17" s="12">
        <f t="shared" si="1"/>
        <v>4.8461111111111048</v>
      </c>
      <c r="G17" s="13">
        <f t="shared" si="2"/>
        <v>1.4622222222222252</v>
      </c>
      <c r="H17" s="13">
        <f t="shared" si="3"/>
        <v>3.3838888888888796</v>
      </c>
      <c r="I17" s="35" t="s">
        <v>75</v>
      </c>
      <c r="J17" s="36">
        <f>J4+J5+J6+J7+J10</f>
        <v>12.85138888888889</v>
      </c>
      <c r="K17" s="37">
        <f>K4+K5+K6+K7+K10</f>
        <v>2.6652777777777863</v>
      </c>
      <c r="L17" s="38">
        <f>L4+L5+L6+L7+L10</f>
        <v>10.186111111111103</v>
      </c>
      <c r="M17" s="39"/>
    </row>
    <row r="18" spans="1:13" ht="20.25" x14ac:dyDescent="0.25">
      <c r="A18" s="10">
        <f t="shared" ca="1" si="0"/>
        <v>46042.310439004599</v>
      </c>
      <c r="B18" s="5" t="s">
        <v>79</v>
      </c>
      <c r="C18" s="11">
        <v>0.31042824074074099</v>
      </c>
      <c r="D18" s="11" t="s">
        <v>62</v>
      </c>
      <c r="E18" s="11">
        <v>0.36343750000000002</v>
      </c>
      <c r="F18" s="12">
        <f t="shared" si="1"/>
        <v>1.2722222222222168</v>
      </c>
      <c r="G18" s="13">
        <f t="shared" si="2"/>
        <v>0.72250000000000902</v>
      </c>
      <c r="H18" s="13">
        <f t="shared" si="3"/>
        <v>0.54972222222220779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46044.935626388899</v>
      </c>
      <c r="B19" s="5" t="s">
        <v>61</v>
      </c>
      <c r="C19" s="11">
        <v>0.93562500000000004</v>
      </c>
      <c r="D19" s="11" t="s">
        <v>62</v>
      </c>
      <c r="E19" s="11">
        <v>0.140219907407407</v>
      </c>
      <c r="F19" s="12">
        <f t="shared" si="1"/>
        <v>4.9102777777777673</v>
      </c>
      <c r="G19" s="13">
        <f t="shared" si="2"/>
        <v>1.544999999999999</v>
      </c>
      <c r="H19" s="13">
        <f t="shared" si="3"/>
        <v>3.3652777777777683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46045.930636111101</v>
      </c>
      <c r="B20" s="5" t="s">
        <v>61</v>
      </c>
      <c r="C20" s="11">
        <v>0.93062500000000004</v>
      </c>
      <c r="D20" s="11" t="s">
        <v>62</v>
      </c>
      <c r="E20" s="11">
        <v>0.14013888888888901</v>
      </c>
      <c r="F20" s="12">
        <f t="shared" si="1"/>
        <v>5.0283333333333351</v>
      </c>
      <c r="G20" s="13">
        <f t="shared" si="2"/>
        <v>1.6649999999999991</v>
      </c>
      <c r="H20" s="13">
        <f t="shared" si="3"/>
        <v>3.363333333333336</v>
      </c>
      <c r="I20" s="40" t="s">
        <v>77</v>
      </c>
      <c r="J20" s="65">
        <f>J16+J17+J18+J19</f>
        <v>97.600555555555545</v>
      </c>
      <c r="K20" s="66"/>
      <c r="L20" s="67"/>
      <c r="M20" s="41"/>
    </row>
    <row r="21" spans="1:13" ht="20.25" x14ac:dyDescent="0.25">
      <c r="A21" s="10">
        <f t="shared" ca="1" si="0"/>
        <v>46049.013874305601</v>
      </c>
      <c r="B21" s="5" t="s">
        <v>80</v>
      </c>
      <c r="C21" s="11">
        <v>1.3865740740740699E-2</v>
      </c>
      <c r="D21" s="11" t="s">
        <v>62</v>
      </c>
      <c r="E21" s="11">
        <v>0.14618055555555601</v>
      </c>
      <c r="F21" s="12">
        <f t="shared" si="1"/>
        <v>3.175555555555567</v>
      </c>
      <c r="G21" s="13">
        <f t="shared" si="2"/>
        <v>0</v>
      </c>
      <c r="H21" s="13">
        <f t="shared" si="3"/>
        <v>3.175555555555567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46049.545468286997</v>
      </c>
      <c r="B22" s="5" t="s">
        <v>61</v>
      </c>
      <c r="C22" s="11">
        <v>0.54546296296296304</v>
      </c>
      <c r="D22" s="11" t="s">
        <v>62</v>
      </c>
      <c r="E22" s="11">
        <v>0.79910879629629605</v>
      </c>
      <c r="F22" s="12">
        <f t="shared" si="1"/>
        <v>6.0874999999999924</v>
      </c>
      <c r="G22" s="13">
        <f t="shared" si="2"/>
        <v>6.0874999999999924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46050.133150463</v>
      </c>
      <c r="B23" s="5" t="s">
        <v>61</v>
      </c>
      <c r="C23" s="11">
        <v>0.13314814814814799</v>
      </c>
      <c r="D23" s="11" t="s">
        <v>62</v>
      </c>
      <c r="E23" s="11">
        <v>0.36131944444444403</v>
      </c>
      <c r="F23" s="12">
        <f t="shared" si="1"/>
        <v>5.4761111111111047</v>
      </c>
      <c r="G23" s="13">
        <f t="shared" si="2"/>
        <v>0.67166666666666508</v>
      </c>
      <c r="H23" s="13">
        <f t="shared" si="3"/>
        <v>4.8044444444444396</v>
      </c>
      <c r="I23"/>
      <c r="J23"/>
    </row>
    <row r="24" spans="1:13" ht="18.75" x14ac:dyDescent="0.15">
      <c r="A24" s="10">
        <f t="shared" ca="1" si="0"/>
        <v>46052.539401620401</v>
      </c>
      <c r="B24" s="5" t="s">
        <v>61</v>
      </c>
      <c r="C24" s="11">
        <v>0.53939814814814802</v>
      </c>
      <c r="D24" s="11" t="s">
        <v>62</v>
      </c>
      <c r="E24" s="11">
        <v>0.79869212962962999</v>
      </c>
      <c r="F24" s="12">
        <f t="shared" si="1"/>
        <v>6.2230555555555673</v>
      </c>
      <c r="G24" s="13">
        <f t="shared" si="2"/>
        <v>6.2230555555555673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46053.136982870397</v>
      </c>
      <c r="B25" s="5" t="s">
        <v>61</v>
      </c>
      <c r="C25" s="11">
        <v>0.13697916666666701</v>
      </c>
      <c r="D25" s="11" t="s">
        <v>62</v>
      </c>
      <c r="E25" s="11">
        <v>0.29863425925925902</v>
      </c>
      <c r="F25" s="12">
        <f t="shared" si="1"/>
        <v>3.8797222222222079</v>
      </c>
      <c r="G25" s="13">
        <f t="shared" si="2"/>
        <v>0</v>
      </c>
      <c r="H25" s="13">
        <f t="shared" si="3"/>
        <v>3.8797222222222079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46023.130562615697</v>
      </c>
      <c r="B3" s="5" t="s">
        <v>61</v>
      </c>
      <c r="C3" s="11">
        <v>0.13055555555555601</v>
      </c>
      <c r="D3" s="11" t="s">
        <v>62</v>
      </c>
      <c r="E3" s="11">
        <v>0.299108796296296</v>
      </c>
      <c r="F3" s="12">
        <f t="shared" ref="F3:F42" si="1">(IF(E3-C3&lt;0,"24:00"-C3+E3,E3-C3))*24</f>
        <v>4.04527777777776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4.04527777777776</v>
      </c>
      <c r="I3" s="16" t="s">
        <v>63</v>
      </c>
      <c r="J3" s="17">
        <f>SUMIF(B:B,"带班主任",F:F)</f>
        <v>104.8486111111111</v>
      </c>
      <c r="K3" s="18">
        <f>SUMIF(B:B,"带班主任",G:G)</f>
        <v>75.406111111111144</v>
      </c>
      <c r="L3" s="18">
        <f>SUMIF(B:B,"带班主任",H:H)</f>
        <v>29.442499999999971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46023.790079513899</v>
      </c>
      <c r="B4" s="5" t="s">
        <v>61</v>
      </c>
      <c r="C4" s="11">
        <v>0.79006944444444405</v>
      </c>
      <c r="D4" s="11" t="s">
        <v>62</v>
      </c>
      <c r="E4" s="11">
        <v>0.94239583333333299</v>
      </c>
      <c r="F4" s="12">
        <f t="shared" si="1"/>
        <v>3.6558333333333346</v>
      </c>
      <c r="G4" s="13">
        <f t="shared" si="2"/>
        <v>3.6558333333333346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3.7538888888888886</v>
      </c>
      <c r="K4" s="23">
        <f>SUMIF(B:B,"西塔台管制席",G:G)+SUMIF(B:B,"东塔台管制席",G:G)</f>
        <v>1.1625000000000005</v>
      </c>
      <c r="L4" s="23">
        <f>SUMIF(B:B,"西塔台管制席",H:H)+SUMIF(B:B,"东塔台管制席",H:H)</f>
        <v>2.5913888888888881</v>
      </c>
      <c r="M4" s="19"/>
    </row>
    <row r="5" spans="1:16" ht="18.75" x14ac:dyDescent="0.25">
      <c r="A5" s="10">
        <f t="shared" ca="1" si="0"/>
        <v>46024.291034027803</v>
      </c>
      <c r="B5" s="5" t="s">
        <v>61</v>
      </c>
      <c r="C5" s="11">
        <v>0.29103009259259299</v>
      </c>
      <c r="D5" s="11" t="s">
        <v>62</v>
      </c>
      <c r="E5" s="11">
        <v>0.36398148148148102</v>
      </c>
      <c r="F5" s="12">
        <f t="shared" si="1"/>
        <v>1.7508333333333126</v>
      </c>
      <c r="G5" s="13">
        <f t="shared" si="2"/>
        <v>0.73555555555555285</v>
      </c>
      <c r="H5" s="13">
        <f t="shared" si="3"/>
        <v>1.0152777777777597</v>
      </c>
      <c r="I5" s="21" t="s">
        <v>65</v>
      </c>
      <c r="J5" s="22">
        <f>SUMIF(B:B,"西塔台协调席",F:F)+SUMIF(B:B,"东塔台协调席",F:F)</f>
        <v>3.0474999999999888</v>
      </c>
      <c r="K5" s="23">
        <f>SUMIF(B:B,"西塔台协调席",G:G)+SUMIF(B:B,"东塔台协调席",G:G)</f>
        <v>0</v>
      </c>
      <c r="L5" s="23">
        <f>SUMIF(B:B,"西塔台协调席",H:H)+SUMIF(B:B,"东塔台协调席",H:H)</f>
        <v>3.0474999999999888</v>
      </c>
      <c r="M5" s="19"/>
    </row>
    <row r="6" spans="1:16" ht="18.75" x14ac:dyDescent="0.25">
      <c r="A6" s="10">
        <f t="shared" ca="1" si="0"/>
        <v>46026.354524536997</v>
      </c>
      <c r="B6" s="5" t="s">
        <v>61</v>
      </c>
      <c r="C6" s="11">
        <v>0.35451388888888902</v>
      </c>
      <c r="D6" s="11" t="s">
        <v>62</v>
      </c>
      <c r="E6" s="11">
        <v>0.54635416666666703</v>
      </c>
      <c r="F6" s="12">
        <f t="shared" si="1"/>
        <v>4.6041666666666723</v>
      </c>
      <c r="G6" s="13">
        <f t="shared" si="2"/>
        <v>4.6041666666666723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46026.790763657402</v>
      </c>
      <c r="B7" s="5" t="s">
        <v>61</v>
      </c>
      <c r="C7" s="11">
        <v>0.79076388888888904</v>
      </c>
      <c r="D7" s="11" t="s">
        <v>62</v>
      </c>
      <c r="E7" s="11">
        <v>0.94390046296296304</v>
      </c>
      <c r="F7" s="12">
        <f t="shared" si="1"/>
        <v>3.6752777777777759</v>
      </c>
      <c r="G7" s="13">
        <f t="shared" si="2"/>
        <v>3.6752777777777759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46027.291374537002</v>
      </c>
      <c r="B8" s="5" t="s">
        <v>61</v>
      </c>
      <c r="C8" s="11">
        <v>0.29136574074074101</v>
      </c>
      <c r="D8" s="11" t="s">
        <v>62</v>
      </c>
      <c r="E8" s="11">
        <v>0.54758101851851804</v>
      </c>
      <c r="F8" s="12">
        <f t="shared" si="1"/>
        <v>6.1491666666666482</v>
      </c>
      <c r="G8" s="13">
        <f t="shared" si="2"/>
        <v>5.1419444444444409</v>
      </c>
      <c r="H8" s="13">
        <f t="shared" si="3"/>
        <v>1.0072222222222074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46027.937349305597</v>
      </c>
      <c r="B9" s="5" t="s">
        <v>61</v>
      </c>
      <c r="C9" s="11">
        <v>0.93734953703703705</v>
      </c>
      <c r="D9" s="11" t="s">
        <v>62</v>
      </c>
      <c r="E9" s="11">
        <v>0.13945601851851899</v>
      </c>
      <c r="F9" s="12">
        <f t="shared" si="1"/>
        <v>4.8505555555555668</v>
      </c>
      <c r="G9" s="13">
        <f t="shared" si="2"/>
        <v>1.5036111111111108</v>
      </c>
      <c r="H9" s="13">
        <f t="shared" si="3"/>
        <v>3.346944444444456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46031.130392708299</v>
      </c>
      <c r="B10" s="5" t="s">
        <v>61</v>
      </c>
      <c r="C10" s="11">
        <v>0.13038194444444401</v>
      </c>
      <c r="D10" s="11" t="s">
        <v>62</v>
      </c>
      <c r="E10" s="11">
        <v>0.29839120370370398</v>
      </c>
      <c r="F10" s="12">
        <f t="shared" si="1"/>
        <v>4.0322222222222397</v>
      </c>
      <c r="G10" s="13">
        <f t="shared" si="2"/>
        <v>0</v>
      </c>
      <c r="H10" s="13">
        <f t="shared" si="3"/>
        <v>4.0322222222222397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46031.935958680602</v>
      </c>
      <c r="B11" s="5" t="s">
        <v>61</v>
      </c>
      <c r="C11" s="11">
        <v>0.93594907407407402</v>
      </c>
      <c r="D11" s="11" t="s">
        <v>62</v>
      </c>
      <c r="E11" s="11">
        <v>0.13922453703703699</v>
      </c>
      <c r="F11" s="12">
        <f t="shared" si="1"/>
        <v>4.8786111111111117</v>
      </c>
      <c r="G11" s="13">
        <f t="shared" si="2"/>
        <v>1.5372222222222236</v>
      </c>
      <c r="H11" s="13">
        <f t="shared" si="3"/>
        <v>3.3413888888888881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46034.540061805601</v>
      </c>
      <c r="B12" s="5" t="s">
        <v>61</v>
      </c>
      <c r="C12" s="11">
        <v>0.54005787037037001</v>
      </c>
      <c r="D12" s="11" t="s">
        <v>62</v>
      </c>
      <c r="E12" s="11">
        <v>0.80035879629629603</v>
      </c>
      <c r="F12" s="12">
        <f t="shared" si="1"/>
        <v>6.2472222222222245</v>
      </c>
      <c r="G12" s="13">
        <f t="shared" si="2"/>
        <v>6.2472222222222245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46035.291810648101</v>
      </c>
      <c r="B13" s="5" t="s">
        <v>61</v>
      </c>
      <c r="C13" s="11">
        <v>0.29111111111111099</v>
      </c>
      <c r="D13" s="11" t="s">
        <v>62</v>
      </c>
      <c r="E13" s="11">
        <v>0.54920138888888903</v>
      </c>
      <c r="F13" s="12">
        <f t="shared" si="1"/>
        <v>6.194166666666673</v>
      </c>
      <c r="G13" s="13">
        <f t="shared" si="2"/>
        <v>5.1808333333333447</v>
      </c>
      <c r="H13" s="13">
        <f t="shared" si="3"/>
        <v>1.0133333333333279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46035.790082638901</v>
      </c>
      <c r="B14" s="5" t="s">
        <v>61</v>
      </c>
      <c r="C14" s="11">
        <v>0.79008101851851897</v>
      </c>
      <c r="D14" s="11" t="s">
        <v>62</v>
      </c>
      <c r="E14" s="11">
        <v>0.99045138888888895</v>
      </c>
      <c r="F14" s="12">
        <f t="shared" si="1"/>
        <v>4.8088888888888794</v>
      </c>
      <c r="G14" s="13">
        <f t="shared" si="2"/>
        <v>4.8088888888888794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46038.937354861097</v>
      </c>
      <c r="B15" s="5" t="s">
        <v>61</v>
      </c>
      <c r="C15" s="11">
        <v>0.93734953703703705</v>
      </c>
      <c r="D15" s="11" t="s">
        <v>62</v>
      </c>
      <c r="E15" s="11">
        <v>0.13575231481481501</v>
      </c>
      <c r="F15" s="12">
        <f t="shared" si="1"/>
        <v>4.7616666666666712</v>
      </c>
      <c r="G15" s="13">
        <f t="shared" si="2"/>
        <v>1.5036111111111108</v>
      </c>
      <c r="H15" s="13">
        <f t="shared" si="3"/>
        <v>3.2580555555555604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46039.540910300901</v>
      </c>
      <c r="B16" s="5" t="s">
        <v>61</v>
      </c>
      <c r="C16" s="11">
        <v>0.54090277777777795</v>
      </c>
      <c r="D16" s="11" t="s">
        <v>62</v>
      </c>
      <c r="E16" s="11">
        <v>0.79843750000000002</v>
      </c>
      <c r="F16" s="12">
        <f t="shared" si="1"/>
        <v>6.1808333333333296</v>
      </c>
      <c r="G16" s="13">
        <f t="shared" si="2"/>
        <v>6.1808333333333296</v>
      </c>
      <c r="H16" s="13">
        <f t="shared" si="3"/>
        <v>0</v>
      </c>
      <c r="I16" s="35" t="s">
        <v>63</v>
      </c>
      <c r="J16" s="36">
        <f t="shared" ref="J16:L16" si="4">J3</f>
        <v>104.8486111111111</v>
      </c>
      <c r="K16" s="37">
        <f t="shared" si="4"/>
        <v>75.406111111111144</v>
      </c>
      <c r="L16" s="38">
        <f t="shared" si="4"/>
        <v>29.442499999999971</v>
      </c>
      <c r="M16" s="39"/>
    </row>
    <row r="17" spans="1:13" ht="20.25" x14ac:dyDescent="0.25">
      <c r="A17" s="10">
        <f t="shared" ca="1" si="0"/>
        <v>46040.131059375002</v>
      </c>
      <c r="B17" s="5" t="s">
        <v>61</v>
      </c>
      <c r="C17" s="11">
        <v>0.13105324074074101</v>
      </c>
      <c r="D17" s="11" t="s">
        <v>62</v>
      </c>
      <c r="E17" s="11">
        <v>0.29815972222222198</v>
      </c>
      <c r="F17" s="12">
        <f t="shared" si="1"/>
        <v>4.010555555555543</v>
      </c>
      <c r="G17" s="13">
        <f t="shared" si="2"/>
        <v>0</v>
      </c>
      <c r="H17" s="13">
        <f t="shared" si="3"/>
        <v>4.010555555555543</v>
      </c>
      <c r="I17" s="35" t="s">
        <v>75</v>
      </c>
      <c r="J17" s="36">
        <f>J4+J5+J6+J7+J10</f>
        <v>6.8013888888888774</v>
      </c>
      <c r="K17" s="37">
        <f>K4+K5+K6+K7+K10</f>
        <v>1.1625000000000005</v>
      </c>
      <c r="L17" s="38">
        <f>L4+L5+L6+L7+L10</f>
        <v>5.6388888888888768</v>
      </c>
      <c r="M17" s="39"/>
    </row>
    <row r="18" spans="1:13" ht="20.25" x14ac:dyDescent="0.25">
      <c r="A18" s="10">
        <f t="shared" ca="1" si="0"/>
        <v>46042.3529114583</v>
      </c>
      <c r="B18" s="5" t="s">
        <v>61</v>
      </c>
      <c r="C18" s="11">
        <v>0.35290509259259301</v>
      </c>
      <c r="D18" s="11" t="s">
        <v>62</v>
      </c>
      <c r="E18" s="11">
        <v>0.54807870370370404</v>
      </c>
      <c r="F18" s="12">
        <f t="shared" si="1"/>
        <v>4.6841666666666644</v>
      </c>
      <c r="G18" s="13">
        <f t="shared" si="2"/>
        <v>4.6841666666666644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46042.7910239583</v>
      </c>
      <c r="B19" s="5" t="s">
        <v>61</v>
      </c>
      <c r="C19" s="11">
        <v>0.79101851851851901</v>
      </c>
      <c r="D19" s="11" t="s">
        <v>62</v>
      </c>
      <c r="E19" s="11">
        <v>0.93259259259259297</v>
      </c>
      <c r="F19" s="12">
        <f t="shared" si="1"/>
        <v>3.3977777777777751</v>
      </c>
      <c r="G19" s="13">
        <f t="shared" si="2"/>
        <v>3.3977777777777751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46043.540042013898</v>
      </c>
      <c r="B20" s="5" t="s">
        <v>61</v>
      </c>
      <c r="C20" s="11">
        <v>0.54003472222222204</v>
      </c>
      <c r="D20" s="11" t="s">
        <v>62</v>
      </c>
      <c r="E20" s="11">
        <v>0.85534722222222204</v>
      </c>
      <c r="F20" s="12">
        <f t="shared" si="1"/>
        <v>7.5674999999999999</v>
      </c>
      <c r="G20" s="13">
        <f t="shared" si="2"/>
        <v>7.5674999999999999</v>
      </c>
      <c r="H20" s="13">
        <f t="shared" si="3"/>
        <v>0</v>
      </c>
      <c r="I20" s="40" t="s">
        <v>77</v>
      </c>
      <c r="J20" s="65">
        <f>J16+J17+J18+J19</f>
        <v>111.64999999999998</v>
      </c>
      <c r="K20" s="66"/>
      <c r="L20" s="67"/>
      <c r="M20" s="41"/>
    </row>
    <row r="21" spans="1:13" ht="20.25" x14ac:dyDescent="0.25">
      <c r="A21" s="10">
        <f t="shared" ca="1" si="0"/>
        <v>46047.014821874996</v>
      </c>
      <c r="B21" s="5" t="s">
        <v>78</v>
      </c>
      <c r="C21" s="11">
        <v>1.48148148148148E-2</v>
      </c>
      <c r="D21" s="11" t="s">
        <v>62</v>
      </c>
      <c r="E21" s="11">
        <v>0.14179398148148101</v>
      </c>
      <c r="F21" s="12">
        <f t="shared" si="1"/>
        <v>3.0474999999999888</v>
      </c>
      <c r="G21" s="13">
        <f t="shared" si="2"/>
        <v>0</v>
      </c>
      <c r="H21" s="13">
        <f t="shared" si="3"/>
        <v>3.0474999999999888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46047.9515678241</v>
      </c>
      <c r="B22" s="5" t="s">
        <v>81</v>
      </c>
      <c r="C22" s="11">
        <v>0.95156249999999998</v>
      </c>
      <c r="D22" s="11" t="s">
        <v>62</v>
      </c>
      <c r="E22" s="11">
        <v>0.10797453703703699</v>
      </c>
      <c r="F22" s="12">
        <f t="shared" si="1"/>
        <v>3.7538888888888886</v>
      </c>
      <c r="G22" s="13">
        <f t="shared" si="2"/>
        <v>1.1625000000000005</v>
      </c>
      <c r="H22" s="13">
        <f t="shared" si="3"/>
        <v>2.5913888888888881</v>
      </c>
      <c r="I22"/>
      <c r="J22"/>
    </row>
    <row r="23" spans="1:13" ht="18.75" x14ac:dyDescent="0.15">
      <c r="A23" s="10">
        <f t="shared" ca="1" si="0"/>
        <v>46050.354977546303</v>
      </c>
      <c r="B23" s="5" t="s">
        <v>61</v>
      </c>
      <c r="C23" s="11">
        <v>0.35497685185185202</v>
      </c>
      <c r="D23" s="11" t="s">
        <v>62</v>
      </c>
      <c r="E23" s="11">
        <v>0.54726851851851899</v>
      </c>
      <c r="F23" s="12">
        <f t="shared" si="1"/>
        <v>4.6150000000000073</v>
      </c>
      <c r="G23" s="13">
        <f t="shared" si="2"/>
        <v>4.6150000000000073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46050.7885096065</v>
      </c>
      <c r="B24" s="5" t="s">
        <v>61</v>
      </c>
      <c r="C24" s="11">
        <v>0.78850694444444402</v>
      </c>
      <c r="D24" s="11" t="s">
        <v>62</v>
      </c>
      <c r="E24" s="11">
        <v>0.94402777777777802</v>
      </c>
      <c r="F24" s="12">
        <f t="shared" si="1"/>
        <v>3.7325000000000159</v>
      </c>
      <c r="G24" s="13">
        <f t="shared" si="2"/>
        <v>3.7325000000000159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46051.2912194444</v>
      </c>
      <c r="B25" s="5" t="s">
        <v>61</v>
      </c>
      <c r="C25" s="11">
        <v>0.29131944444444402</v>
      </c>
      <c r="D25" s="11" t="s">
        <v>62</v>
      </c>
      <c r="E25" s="11">
        <v>0.54692129629629604</v>
      </c>
      <c r="F25" s="12">
        <f t="shared" si="1"/>
        <v>6.1344444444444486</v>
      </c>
      <c r="G25" s="13">
        <f t="shared" si="2"/>
        <v>5.1261111111111131</v>
      </c>
      <c r="H25" s="13">
        <f t="shared" si="3"/>
        <v>1.0083333333333351</v>
      </c>
      <c r="I25"/>
      <c r="J25"/>
    </row>
    <row r="26" spans="1:13" ht="18.75" x14ac:dyDescent="0.15">
      <c r="A26" s="10">
        <f t="shared" ca="1" si="0"/>
        <v>46051.937165740703</v>
      </c>
      <c r="B26" s="5" t="s">
        <v>61</v>
      </c>
      <c r="C26" s="11">
        <v>0.93716435185185198</v>
      </c>
      <c r="D26" s="11" t="s">
        <v>62</v>
      </c>
      <c r="E26" s="11">
        <v>0.140162037037037</v>
      </c>
      <c r="F26" s="12">
        <f t="shared" si="1"/>
        <v>4.8719444444444404</v>
      </c>
      <c r="G26" s="13">
        <f t="shared" si="2"/>
        <v>1.5080555555555524</v>
      </c>
      <c r="H26" s="13">
        <f t="shared" si="3"/>
        <v>3.363888888888888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zoomScale="85" zoomScaleNormal="85" workbookViewId="0">
      <selection activeCell="Q24" sqref="Q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46023.1047511574</v>
      </c>
      <c r="B3" s="5" t="s">
        <v>83</v>
      </c>
      <c r="C3" s="11">
        <v>1.1574074074074101E-5</v>
      </c>
      <c r="D3" s="11" t="s">
        <v>62</v>
      </c>
      <c r="E3" s="11">
        <v>0.11254629629629601</v>
      </c>
      <c r="F3" s="12">
        <f t="shared" ref="F3:F42" si="1">(IF(E3-C3&lt;0,"24:00"-C3+E3,E3-C3))*24</f>
        <v>2.7008333333333261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2.7008333333333261</v>
      </c>
      <c r="I3" s="16" t="s">
        <v>63</v>
      </c>
      <c r="J3" s="17">
        <f>SUMIF(B:B,"带班主任",F:F)</f>
        <v>99.321111111111023</v>
      </c>
      <c r="K3" s="18">
        <f>SUMIF(B:B,"带班主任",G:G)</f>
        <v>59.57222222222218</v>
      </c>
      <c r="L3" s="18">
        <f>SUMIF(B:B,"带班主任",H:H)</f>
        <v>39.748888888888843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46024.0145134259</v>
      </c>
      <c r="B4" s="5" t="s">
        <v>78</v>
      </c>
      <c r="C4" s="11">
        <v>1.4502314814814799E-2</v>
      </c>
      <c r="D4" s="11" t="s">
        <v>62</v>
      </c>
      <c r="E4" s="11">
        <v>0.14082175925925899</v>
      </c>
      <c r="F4" s="12">
        <f t="shared" si="1"/>
        <v>3.031666666666661</v>
      </c>
      <c r="G4" s="13">
        <f t="shared" si="2"/>
        <v>0</v>
      </c>
      <c r="H4" s="13">
        <f t="shared" si="3"/>
        <v>3.031666666666661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46026.936503124998</v>
      </c>
      <c r="B5" s="5" t="s">
        <v>61</v>
      </c>
      <c r="C5" s="11">
        <v>0.93649305555555595</v>
      </c>
      <c r="D5" s="11" t="s">
        <v>62</v>
      </c>
      <c r="E5" s="11">
        <v>0.139895833333333</v>
      </c>
      <c r="F5" s="12">
        <f t="shared" si="1"/>
        <v>4.8816666666666491</v>
      </c>
      <c r="G5" s="13">
        <f t="shared" si="2"/>
        <v>1.5241666666666571</v>
      </c>
      <c r="H5" s="13">
        <f t="shared" si="3"/>
        <v>3.3574999999999919</v>
      </c>
      <c r="I5" s="21" t="s">
        <v>65</v>
      </c>
      <c r="J5" s="22">
        <f>SUMIF(B:B,"西塔台协调席",F:F)+SUMIF(B:B,"东塔台协调席",F:F)</f>
        <v>5.7324999999999875</v>
      </c>
      <c r="K5" s="23">
        <f>SUMIF(B:B,"西塔台协调席",G:G)+SUMIF(B:B,"东塔台协调席",G:G)</f>
        <v>0</v>
      </c>
      <c r="L5" s="23">
        <f>SUMIF(B:B,"西塔台协调席",H:H)+SUMIF(B:B,"东塔台协调席",H:H)</f>
        <v>5.7324999999999875</v>
      </c>
      <c r="M5" s="19"/>
    </row>
    <row r="6" spans="1:16" ht="18.75" x14ac:dyDescent="0.25">
      <c r="A6" s="10">
        <f t="shared" ca="1" si="0"/>
        <v>46027.540700463003</v>
      </c>
      <c r="B6" s="5" t="s">
        <v>61</v>
      </c>
      <c r="C6" s="11">
        <v>0.54069444444444403</v>
      </c>
      <c r="D6" s="11" t="s">
        <v>62</v>
      </c>
      <c r="E6" s="11">
        <v>0.799259259259259</v>
      </c>
      <c r="F6" s="12">
        <f t="shared" si="1"/>
        <v>6.2055555555555593</v>
      </c>
      <c r="G6" s="13">
        <f t="shared" si="2"/>
        <v>6.2055555555555593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46028.131953356497</v>
      </c>
      <c r="B7" s="5" t="s">
        <v>61</v>
      </c>
      <c r="C7" s="11">
        <v>0.131944444444444</v>
      </c>
      <c r="D7" s="11" t="s">
        <v>62</v>
      </c>
      <c r="E7" s="11">
        <v>0.305150462962963</v>
      </c>
      <c r="F7" s="12">
        <f t="shared" si="1"/>
        <v>4.1569444444444557</v>
      </c>
      <c r="G7" s="13">
        <f t="shared" si="2"/>
        <v>0</v>
      </c>
      <c r="H7" s="13">
        <f t="shared" si="3"/>
        <v>4.1569444444444557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46030.540198611103</v>
      </c>
      <c r="B8" s="5" t="s">
        <v>61</v>
      </c>
      <c r="C8" s="11">
        <v>0.54019675925925903</v>
      </c>
      <c r="D8" s="11" t="s">
        <v>62</v>
      </c>
      <c r="E8" s="11">
        <v>0.81143518518518498</v>
      </c>
      <c r="F8" s="12">
        <f t="shared" si="1"/>
        <v>6.5097222222222229</v>
      </c>
      <c r="G8" s="13">
        <f t="shared" si="2"/>
        <v>6.5097222222222229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46031.291554629599</v>
      </c>
      <c r="B9" s="5" t="s">
        <v>61</v>
      </c>
      <c r="C9" s="11">
        <v>0.29155092592592602</v>
      </c>
      <c r="D9" s="11" t="s">
        <v>62</v>
      </c>
      <c r="E9" s="11">
        <v>0.54894675925925895</v>
      </c>
      <c r="F9" s="12">
        <f t="shared" si="1"/>
        <v>6.1774999999999904</v>
      </c>
      <c r="G9" s="13">
        <f t="shared" si="2"/>
        <v>5.1747222222222238</v>
      </c>
      <c r="H9" s="13">
        <f t="shared" si="3"/>
        <v>1.0027777777777671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46031.801668287</v>
      </c>
      <c r="B10" s="5" t="s">
        <v>61</v>
      </c>
      <c r="C10" s="11">
        <v>0.80166666666666697</v>
      </c>
      <c r="D10" s="11" t="s">
        <v>62</v>
      </c>
      <c r="E10" s="11">
        <v>0.94381944444444399</v>
      </c>
      <c r="F10" s="12">
        <f t="shared" si="1"/>
        <v>3.4116666666666484</v>
      </c>
      <c r="G10" s="13">
        <f t="shared" si="2"/>
        <v>3.4116666666666484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46034.938565393502</v>
      </c>
      <c r="B11" s="5" t="s">
        <v>61</v>
      </c>
      <c r="C11" s="11">
        <v>0.93856481481481502</v>
      </c>
      <c r="D11" s="11" t="s">
        <v>62</v>
      </c>
      <c r="E11" s="11">
        <v>0.13616898148148099</v>
      </c>
      <c r="F11" s="12">
        <f t="shared" si="1"/>
        <v>4.7424999999999837</v>
      </c>
      <c r="G11" s="13">
        <f t="shared" si="2"/>
        <v>1.47444444444444</v>
      </c>
      <c r="H11" s="13">
        <f t="shared" si="3"/>
        <v>3.2680555555555437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46036.132530555602</v>
      </c>
      <c r="B12" s="5" t="s">
        <v>61</v>
      </c>
      <c r="C12" s="11">
        <v>0.132523148148148</v>
      </c>
      <c r="D12" s="11" t="s">
        <v>62</v>
      </c>
      <c r="E12" s="11">
        <v>0.29958333333333298</v>
      </c>
      <c r="F12" s="12">
        <f t="shared" si="1"/>
        <v>4.0094444444444397</v>
      </c>
      <c r="G12" s="13">
        <f t="shared" si="2"/>
        <v>0</v>
      </c>
      <c r="H12" s="13">
        <f t="shared" si="3"/>
        <v>4.0094444444444397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46038.355497800898</v>
      </c>
      <c r="B13" s="5" t="s">
        <v>61</v>
      </c>
      <c r="C13" s="11">
        <v>0.35549768518518499</v>
      </c>
      <c r="D13" s="11" t="s">
        <v>62</v>
      </c>
      <c r="E13" s="11">
        <v>0.55281250000000004</v>
      </c>
      <c r="F13" s="12">
        <f t="shared" si="1"/>
        <v>4.7355555555555613</v>
      </c>
      <c r="G13" s="13">
        <f t="shared" si="2"/>
        <v>4.7355555555555613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46038.789752893499</v>
      </c>
      <c r="B14" s="5" t="s">
        <v>61</v>
      </c>
      <c r="C14" s="11">
        <v>0.78974537037036996</v>
      </c>
      <c r="D14" s="11" t="s">
        <v>62</v>
      </c>
      <c r="E14" s="11">
        <v>0.94468750000000001</v>
      </c>
      <c r="F14" s="12">
        <f t="shared" si="1"/>
        <v>3.7186111111111213</v>
      </c>
      <c r="G14" s="13">
        <f t="shared" si="2"/>
        <v>3.7186111111111213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46039.292036921302</v>
      </c>
      <c r="B16" s="5" t="s">
        <v>61</v>
      </c>
      <c r="C16" s="11">
        <v>0.29203703703703698</v>
      </c>
      <c r="D16" s="11" t="s">
        <v>62</v>
      </c>
      <c r="E16" s="11">
        <v>0.54959490740740702</v>
      </c>
      <c r="F16" s="12">
        <f t="shared" si="1"/>
        <v>6.1813888888888808</v>
      </c>
      <c r="G16" s="13">
        <f t="shared" si="2"/>
        <v>5.1902777777777764</v>
      </c>
      <c r="H16" s="13">
        <f t="shared" si="3"/>
        <v>0.99111111111110395</v>
      </c>
      <c r="I16" s="35" t="s">
        <v>63</v>
      </c>
      <c r="J16" s="36">
        <f t="shared" ref="J16:L16" si="4">J3</f>
        <v>99.321111111111023</v>
      </c>
      <c r="K16" s="37">
        <f t="shared" si="4"/>
        <v>59.57222222222218</v>
      </c>
      <c r="L16" s="38">
        <f t="shared" si="4"/>
        <v>39.748888888888843</v>
      </c>
      <c r="M16" s="39"/>
    </row>
    <row r="17" spans="1:13" ht="20.25" x14ac:dyDescent="0.25">
      <c r="A17" s="10">
        <f t="shared" ca="1" si="0"/>
        <v>46039.935927083301</v>
      </c>
      <c r="B17" s="5" t="s">
        <v>61</v>
      </c>
      <c r="C17" s="11">
        <v>0.93592592592592605</v>
      </c>
      <c r="D17" s="11" t="s">
        <v>62</v>
      </c>
      <c r="E17" s="11">
        <v>0.13875000000000001</v>
      </c>
      <c r="F17" s="12">
        <f t="shared" si="1"/>
        <v>4.8677777777777749</v>
      </c>
      <c r="G17" s="13">
        <f t="shared" si="2"/>
        <v>1.5377777777777748</v>
      </c>
      <c r="H17" s="13">
        <f t="shared" si="3"/>
        <v>3.33</v>
      </c>
      <c r="I17" s="35" t="s">
        <v>75</v>
      </c>
      <c r="J17" s="36">
        <f>J4+J5+J6+J7+J10</f>
        <v>5.7324999999999875</v>
      </c>
      <c r="K17" s="37">
        <f>K4+K5+K6+K7+K10</f>
        <v>0</v>
      </c>
      <c r="L17" s="38">
        <f>L4+L5+L6+L7+L10</f>
        <v>5.7324999999999875</v>
      </c>
      <c r="M17" s="39"/>
    </row>
    <row r="18" spans="1:13" ht="20.25" x14ac:dyDescent="0.25">
      <c r="A18" s="10">
        <f t="shared" ca="1" si="0"/>
        <v>46043.131927430601</v>
      </c>
      <c r="B18" s="5" t="s">
        <v>61</v>
      </c>
      <c r="C18" s="11">
        <v>0.13192129629629601</v>
      </c>
      <c r="D18" s="11" t="s">
        <v>62</v>
      </c>
      <c r="E18" s="11">
        <v>0.29893518518518503</v>
      </c>
      <c r="F18" s="12">
        <f t="shared" si="1"/>
        <v>4.0083333333333364</v>
      </c>
      <c r="G18" s="13">
        <f t="shared" si="2"/>
        <v>0</v>
      </c>
      <c r="H18" s="13">
        <f t="shared" si="3"/>
        <v>4.0083333333333364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46043.937659374998</v>
      </c>
      <c r="B19" s="5" t="s">
        <v>61</v>
      </c>
      <c r="C19" s="11">
        <v>0.93765046296296295</v>
      </c>
      <c r="D19" s="11" t="s">
        <v>62</v>
      </c>
      <c r="E19" s="11">
        <v>0.13460648148148099</v>
      </c>
      <c r="F19" s="12">
        <f t="shared" si="1"/>
        <v>4.7269444444444328</v>
      </c>
      <c r="G19" s="13">
        <f t="shared" si="2"/>
        <v>1.4963888888888892</v>
      </c>
      <c r="H19" s="13">
        <f t="shared" si="3"/>
        <v>3.2305555555555436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46046.5398377315</v>
      </c>
      <c r="B20" s="5" t="s">
        <v>61</v>
      </c>
      <c r="C20" s="11">
        <v>0.53983796296296305</v>
      </c>
      <c r="D20" s="11" t="s">
        <v>62</v>
      </c>
      <c r="E20" s="11">
        <v>0.799224537037037</v>
      </c>
      <c r="F20" s="12">
        <f t="shared" si="1"/>
        <v>6.2252777777777748</v>
      </c>
      <c r="G20" s="13">
        <f t="shared" si="2"/>
        <v>6.2252777777777748</v>
      </c>
      <c r="H20" s="13">
        <f t="shared" si="3"/>
        <v>0</v>
      </c>
      <c r="I20" s="40" t="s">
        <v>77</v>
      </c>
      <c r="J20" s="65">
        <f>J16+J17+J18+J19</f>
        <v>105.05361111111101</v>
      </c>
      <c r="K20" s="66"/>
      <c r="L20" s="67"/>
      <c r="M20" s="41"/>
    </row>
    <row r="21" spans="1:13" ht="20.25" x14ac:dyDescent="0.25">
      <c r="A21" s="10">
        <f t="shared" ca="1" si="0"/>
        <v>46047.132923148201</v>
      </c>
      <c r="B21" s="5" t="s">
        <v>61</v>
      </c>
      <c r="C21" s="11">
        <v>0.13291666666666699</v>
      </c>
      <c r="D21" s="11" t="s">
        <v>62</v>
      </c>
      <c r="E21" s="11">
        <v>0.30015046296296299</v>
      </c>
      <c r="F21" s="12">
        <f t="shared" si="1"/>
        <v>4.0136111111111044</v>
      </c>
      <c r="G21" s="13">
        <f t="shared" si="2"/>
        <v>0</v>
      </c>
      <c r="H21" s="13">
        <f t="shared" si="3"/>
        <v>4.0136111111111044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46047.790096064797</v>
      </c>
      <c r="B22" s="5" t="s">
        <v>61</v>
      </c>
      <c r="C22" s="11">
        <v>0.79009259259259301</v>
      </c>
      <c r="D22" s="11" t="s">
        <v>62</v>
      </c>
      <c r="E22" s="11">
        <v>0.95237268518518503</v>
      </c>
      <c r="F22" s="12">
        <f t="shared" si="1"/>
        <v>3.8947222222222084</v>
      </c>
      <c r="G22" s="13">
        <f t="shared" si="2"/>
        <v>3.8947222222222084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46048.292367013899</v>
      </c>
      <c r="B23" s="5" t="s">
        <v>61</v>
      </c>
      <c r="C23" s="11">
        <v>0.29236111111111102</v>
      </c>
      <c r="D23" s="11" t="s">
        <v>62</v>
      </c>
      <c r="E23" s="11">
        <v>0.36287037037037001</v>
      </c>
      <c r="F23" s="12">
        <f t="shared" si="1"/>
        <v>1.6922222222222159</v>
      </c>
      <c r="G23" s="13">
        <f t="shared" si="2"/>
        <v>0.70888888888888868</v>
      </c>
      <c r="H23" s="13">
        <f t="shared" si="3"/>
        <v>0.98333333333332718</v>
      </c>
      <c r="I23"/>
      <c r="J23"/>
    </row>
    <row r="24" spans="1:13" ht="18.75" x14ac:dyDescent="0.15">
      <c r="A24" s="10">
        <f t="shared" ca="1" si="0"/>
        <v>46050.936638194398</v>
      </c>
      <c r="B24" s="5" t="s">
        <v>61</v>
      </c>
      <c r="C24" s="11">
        <v>0.93663194444444497</v>
      </c>
      <c r="D24" s="11" t="s">
        <v>62</v>
      </c>
      <c r="E24" s="11">
        <v>0.14200231481481501</v>
      </c>
      <c r="F24" s="12">
        <f t="shared" si="1"/>
        <v>4.9288888888888813</v>
      </c>
      <c r="G24" s="13">
        <f t="shared" si="2"/>
        <v>1.520833333333321</v>
      </c>
      <c r="H24" s="13">
        <f t="shared" si="3"/>
        <v>3.4080555555555603</v>
      </c>
      <c r="I24"/>
      <c r="J24"/>
    </row>
    <row r="25" spans="1:13" ht="18.75" x14ac:dyDescent="0.15">
      <c r="A25" s="10">
        <f t="shared" ca="1" si="0"/>
        <v>46051.540032291698</v>
      </c>
      <c r="B25" s="5" t="s">
        <v>61</v>
      </c>
      <c r="C25" s="11">
        <v>0.540023148148148</v>
      </c>
      <c r="D25" s="11" t="s">
        <v>62</v>
      </c>
      <c r="E25" s="11">
        <v>0.80017361111111096</v>
      </c>
      <c r="F25" s="12">
        <f t="shared" si="1"/>
        <v>6.243611111111111</v>
      </c>
      <c r="G25" s="13">
        <f t="shared" si="2"/>
        <v>6.243611111111111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46052.132328125001</v>
      </c>
      <c r="B26" s="5" t="s">
        <v>61</v>
      </c>
      <c r="C26" s="11">
        <v>0.13232638888888901</v>
      </c>
      <c r="D26" s="11" t="s">
        <v>62</v>
      </c>
      <c r="E26" s="11">
        <v>0.29854166666666698</v>
      </c>
      <c r="F26" s="12">
        <f t="shared" si="1"/>
        <v>3.9891666666666712</v>
      </c>
      <c r="G26" s="13">
        <f t="shared" si="2"/>
        <v>0</v>
      </c>
      <c r="H26" s="13">
        <f t="shared" si="3"/>
        <v>3.9891666666666712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zoomScale="85" zoomScaleNormal="85" workbookViewId="0">
      <selection activeCell="Q15" sqref="Q1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46028.364006597199</v>
      </c>
      <c r="B3" s="5" t="s">
        <v>86</v>
      </c>
      <c r="C3" s="11">
        <v>0.36400462962962998</v>
      </c>
      <c r="D3" s="11" t="s">
        <v>62</v>
      </c>
      <c r="E3" s="11">
        <v>0.48335648148148103</v>
      </c>
      <c r="F3" s="12">
        <f t="shared" ref="F3:F42" si="1">(IF(E3-C3&lt;0,"24:00"-C3+E3,E3-C3))*24</f>
        <v>2.864444444444425</v>
      </c>
      <c r="G3" s="13">
        <f t="shared" ref="G3:G42" si="2">F3-H3</f>
        <v>2.864444444444425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3.0697222222222074</v>
      </c>
      <c r="K3" s="18">
        <f>SUMIF(B:B,"带班主任",G:G)</f>
        <v>3.0697222222222074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46029.393797338002</v>
      </c>
      <c r="B4" s="5" t="s">
        <v>86</v>
      </c>
      <c r="C4" s="11">
        <v>0.39379629629629598</v>
      </c>
      <c r="D4" s="11" t="s">
        <v>62</v>
      </c>
      <c r="E4" s="11">
        <v>0.72620370370370402</v>
      </c>
      <c r="F4" s="12">
        <f t="shared" si="1"/>
        <v>7.977777777777793</v>
      </c>
      <c r="G4" s="13">
        <f t="shared" si="2"/>
        <v>7.977777777777793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46033.373290277799</v>
      </c>
      <c r="B5" s="5" t="s">
        <v>86</v>
      </c>
      <c r="C5" s="11">
        <v>0.37328703703703697</v>
      </c>
      <c r="D5" s="11" t="s">
        <v>62</v>
      </c>
      <c r="E5" s="11">
        <v>0.44912037037037</v>
      </c>
      <c r="F5" s="12">
        <f t="shared" si="1"/>
        <v>1.8199999999999927</v>
      </c>
      <c r="G5" s="13">
        <f t="shared" si="2"/>
        <v>1.8199999999999927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46033.766780902799</v>
      </c>
      <c r="B6" s="5" t="s">
        <v>86</v>
      </c>
      <c r="C6" s="11">
        <v>0.76677083333333296</v>
      </c>
      <c r="D6" s="11" t="s">
        <v>62</v>
      </c>
      <c r="E6" s="11">
        <v>0.81055555555555603</v>
      </c>
      <c r="F6" s="12">
        <f t="shared" si="1"/>
        <v>1.0508333333333537</v>
      </c>
      <c r="G6" s="13">
        <f t="shared" si="2"/>
        <v>1.0508333333333537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46034.4468619213</v>
      </c>
      <c r="B7" s="5" t="s">
        <v>86</v>
      </c>
      <c r="C7" s="11">
        <v>0.44689814814814799</v>
      </c>
      <c r="D7" s="11" t="s">
        <v>62</v>
      </c>
      <c r="E7" s="11">
        <v>0.49072916666666699</v>
      </c>
      <c r="F7" s="12">
        <f t="shared" si="1"/>
        <v>1.0519444444444561</v>
      </c>
      <c r="G7" s="13">
        <f t="shared" si="2"/>
        <v>1.0519444444444561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46044.789894097201</v>
      </c>
      <c r="B8" s="5" t="s">
        <v>86</v>
      </c>
      <c r="C8" s="11">
        <v>0.78988425925925898</v>
      </c>
      <c r="D8" s="11" t="s">
        <v>62</v>
      </c>
      <c r="E8" s="11">
        <v>4.8020833333333297E-2</v>
      </c>
      <c r="F8" s="12">
        <f t="shared" si="1"/>
        <v>6.1952777777777834</v>
      </c>
      <c r="G8" s="13">
        <f t="shared" si="2"/>
        <v>5.0427777777777845</v>
      </c>
      <c r="H8" s="13">
        <f t="shared" si="3"/>
        <v>1.1524999999999992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46045.413401041696</v>
      </c>
      <c r="B9" s="5" t="s">
        <v>86</v>
      </c>
      <c r="C9" s="11">
        <v>0.41339120370370402</v>
      </c>
      <c r="D9" s="11" t="s">
        <v>62</v>
      </c>
      <c r="E9" s="11">
        <v>0.42600694444444398</v>
      </c>
      <c r="F9" s="12">
        <f t="shared" si="1"/>
        <v>0.30277777777775894</v>
      </c>
      <c r="G9" s="13">
        <f t="shared" si="2"/>
        <v>0.30277777777775894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46045.426046759298</v>
      </c>
      <c r="B10" s="5" t="s">
        <v>61</v>
      </c>
      <c r="C10" s="11">
        <v>0.42604166666666698</v>
      </c>
      <c r="D10" s="11" t="s">
        <v>62</v>
      </c>
      <c r="E10" s="11">
        <v>0.55394675925925896</v>
      </c>
      <c r="F10" s="12">
        <f t="shared" si="1"/>
        <v>3.0697222222222074</v>
      </c>
      <c r="G10" s="13">
        <f t="shared" si="2"/>
        <v>3.0697222222222074</v>
      </c>
      <c r="H10" s="13">
        <f t="shared" si="3"/>
        <v>0</v>
      </c>
      <c r="I10" s="21" t="s">
        <v>70</v>
      </c>
      <c r="J10" s="22">
        <f>SUMIF(B:B,"综合协调席",F:F)</f>
        <v>29.749166666666675</v>
      </c>
      <c r="K10" s="23">
        <f>SUMIF(B:B,"综合协调席",G:G)</f>
        <v>28.596666666666678</v>
      </c>
      <c r="L10" s="23">
        <f>SUMIF(B:B,"综合协调席",H:H)</f>
        <v>1.1524999999999992</v>
      </c>
      <c r="M10" s="19"/>
    </row>
    <row r="11" spans="1:16" ht="18.75" x14ac:dyDescent="0.25">
      <c r="A11" s="10">
        <f t="shared" ca="1" si="0"/>
        <v>46050.364289236102</v>
      </c>
      <c r="B11" s="5" t="s">
        <v>86</v>
      </c>
      <c r="C11" s="11">
        <v>0.36428240740740703</v>
      </c>
      <c r="D11" s="11" t="s">
        <v>62</v>
      </c>
      <c r="E11" s="11">
        <v>0.71787037037037005</v>
      </c>
      <c r="F11" s="12">
        <f t="shared" si="1"/>
        <v>8.4861111111111125</v>
      </c>
      <c r="G11" s="13">
        <f t="shared" si="2"/>
        <v>8.4861111111111125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3.0697222222222074</v>
      </c>
      <c r="K16" s="37">
        <f t="shared" si="4"/>
        <v>3.0697222222222074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29.749166666666675</v>
      </c>
      <c r="K17" s="37">
        <f>K4+K5+K6+K7+K10</f>
        <v>28.596666666666678</v>
      </c>
      <c r="L17" s="38">
        <f>L4+L5+L6+L7+L10</f>
        <v>1.1524999999999992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32.818888888888878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46028.418260069397</v>
      </c>
      <c r="B3" s="5" t="s">
        <v>86</v>
      </c>
      <c r="C3" s="11">
        <v>0.41825231481481501</v>
      </c>
      <c r="D3" s="11" t="s">
        <v>62</v>
      </c>
      <c r="E3" s="11">
        <v>0.48342592592592598</v>
      </c>
      <c r="F3" s="12">
        <f t="shared" ref="F3:F42" si="1">(IF(E3-C3&lt;0,"24:00"-C3+E3,E3-C3))*24</f>
        <v>1.5641666666666634</v>
      </c>
      <c r="G3" s="13">
        <f t="shared" ref="G3:G42" si="2">F3-H3</f>
        <v>1.5641666666666634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46031.824802777803</v>
      </c>
      <c r="B4" s="5" t="s">
        <v>86</v>
      </c>
      <c r="C4" s="11">
        <v>0.82479166666666703</v>
      </c>
      <c r="D4" s="11" t="s">
        <v>62</v>
      </c>
      <c r="E4" s="11">
        <v>0.97130787037037003</v>
      </c>
      <c r="F4" s="12">
        <f t="shared" si="1"/>
        <v>3.5163888888888719</v>
      </c>
      <c r="G4" s="13">
        <f t="shared" si="2"/>
        <v>3.5163888888888719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46035.576695486103</v>
      </c>
      <c r="B5" s="5" t="s">
        <v>86</v>
      </c>
      <c r="C5" s="11">
        <v>0.36835648148148098</v>
      </c>
      <c r="D5" s="11" t="s">
        <v>62</v>
      </c>
      <c r="E5" s="11">
        <v>0.49349537037037</v>
      </c>
      <c r="F5" s="12">
        <f t="shared" si="1"/>
        <v>3.0033333333333365</v>
      </c>
      <c r="G5" s="13">
        <f t="shared" si="2"/>
        <v>3.0033333333333365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46035.576952430602</v>
      </c>
      <c r="B6" s="5" t="s">
        <v>86</v>
      </c>
      <c r="C6" s="11">
        <v>0.57694444444444404</v>
      </c>
      <c r="D6" s="11" t="s">
        <v>62</v>
      </c>
      <c r="E6" s="11">
        <v>0.74604166666666705</v>
      </c>
      <c r="F6" s="12">
        <f t="shared" si="1"/>
        <v>4.0583333333333522</v>
      </c>
      <c r="G6" s="13">
        <f t="shared" si="2"/>
        <v>4.0583333333333522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46042.154219097203</v>
      </c>
      <c r="B7" s="5" t="s">
        <v>86</v>
      </c>
      <c r="C7" s="11">
        <v>2.9212962962963E-2</v>
      </c>
      <c r="D7" s="11" t="s">
        <v>62</v>
      </c>
      <c r="E7" s="11">
        <v>0.283287037037037</v>
      </c>
      <c r="F7" s="12">
        <f t="shared" si="1"/>
        <v>6.0977777777777762</v>
      </c>
      <c r="G7" s="13">
        <f t="shared" si="2"/>
        <v>0</v>
      </c>
      <c r="H7" s="13">
        <f t="shared" si="3"/>
        <v>6.0977777777777762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46042.599126273097</v>
      </c>
      <c r="B8" s="5" t="s">
        <v>86</v>
      </c>
      <c r="C8" s="11">
        <v>0.59912037037037003</v>
      </c>
      <c r="D8" s="11" t="s">
        <v>62</v>
      </c>
      <c r="E8" s="11">
        <v>0.65306712962962998</v>
      </c>
      <c r="F8" s="12">
        <f t="shared" si="1"/>
        <v>1.294722222222239</v>
      </c>
      <c r="G8" s="13">
        <f t="shared" si="2"/>
        <v>1.294722222222239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46042.694959606502</v>
      </c>
      <c r="B9" s="5" t="s">
        <v>86</v>
      </c>
      <c r="C9" s="11">
        <v>0.69495370370370402</v>
      </c>
      <c r="D9" s="11" t="s">
        <v>62</v>
      </c>
      <c r="E9" s="11">
        <v>0.79123842592592597</v>
      </c>
      <c r="F9" s="12">
        <f t="shared" si="1"/>
        <v>2.3108333333333269</v>
      </c>
      <c r="G9" s="13">
        <f t="shared" si="2"/>
        <v>2.3108333333333269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46042.899236689802</v>
      </c>
      <c r="B10" s="5" t="s">
        <v>86</v>
      </c>
      <c r="C10" s="11">
        <v>0.89923611111111101</v>
      </c>
      <c r="D10" s="11" t="s">
        <v>62</v>
      </c>
      <c r="E10" s="11">
        <v>0.94629629629629597</v>
      </c>
      <c r="F10" s="12">
        <f t="shared" si="1"/>
        <v>1.1294444444444389</v>
      </c>
      <c r="G10" s="13">
        <f t="shared" si="2"/>
        <v>1.1294444444444389</v>
      </c>
      <c r="H10" s="13">
        <f t="shared" si="3"/>
        <v>0</v>
      </c>
      <c r="I10" s="21" t="s">
        <v>70</v>
      </c>
      <c r="J10" s="22">
        <f>SUMIF(B:B,"综合协调席",F:F)</f>
        <v>31.292222222222229</v>
      </c>
      <c r="K10" s="23">
        <f>SUMIF(B:B,"综合协调席",G:G)</f>
        <v>25.194444444444454</v>
      </c>
      <c r="L10" s="23">
        <f>SUMIF(B:B,"综合协调席",H:H)</f>
        <v>6.0977777777777762</v>
      </c>
      <c r="M10" s="19"/>
    </row>
    <row r="11" spans="1:16" ht="18.75" x14ac:dyDescent="0.25">
      <c r="A11" s="10">
        <f t="shared" ca="1" si="0"/>
        <v>46043.587981712997</v>
      </c>
      <c r="B11" s="5" t="s">
        <v>86</v>
      </c>
      <c r="C11" s="11">
        <v>0.58797453703703695</v>
      </c>
      <c r="D11" s="11" t="s">
        <v>62</v>
      </c>
      <c r="E11" s="11">
        <v>0.65504629629629596</v>
      </c>
      <c r="F11" s="12">
        <f t="shared" si="1"/>
        <v>1.6097222222222163</v>
      </c>
      <c r="G11" s="13">
        <f t="shared" si="2"/>
        <v>1.6097222222222163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46046.5156180556</v>
      </c>
      <c r="B12" s="5" t="s">
        <v>86</v>
      </c>
      <c r="C12" s="11">
        <v>0.51561342592592596</v>
      </c>
      <c r="D12" s="11" t="s">
        <v>62</v>
      </c>
      <c r="E12" s="11">
        <v>0.63540509259259303</v>
      </c>
      <c r="F12" s="12">
        <f t="shared" si="1"/>
        <v>2.8750000000000098</v>
      </c>
      <c r="G12" s="13">
        <f t="shared" si="2"/>
        <v>2.8750000000000098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46052.374992939804</v>
      </c>
      <c r="B13" s="5" t="s">
        <v>86</v>
      </c>
      <c r="C13" s="11">
        <v>0.37498842592592602</v>
      </c>
      <c r="D13" s="11" t="s">
        <v>62</v>
      </c>
      <c r="E13" s="11">
        <v>0.53467592592592605</v>
      </c>
      <c r="F13" s="12">
        <f t="shared" si="1"/>
        <v>3.8325000000000009</v>
      </c>
      <c r="G13" s="13">
        <f t="shared" si="2"/>
        <v>3.8325000000000009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31.292222222222229</v>
      </c>
      <c r="K17" s="37">
        <f>K4+K5+K6+K7+K10</f>
        <v>25.194444444444454</v>
      </c>
      <c r="L17" s="38">
        <f>L4+L5+L6+L7+L10</f>
        <v>6.0977777777777762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31.292222222222229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46023.293326388899</v>
      </c>
      <c r="B3" s="5" t="s">
        <v>87</v>
      </c>
      <c r="C3" s="11">
        <v>0.29332175925925902</v>
      </c>
      <c r="D3" s="11" t="s">
        <v>62</v>
      </c>
      <c r="E3" s="11">
        <v>0.462858796296296</v>
      </c>
      <c r="F3" s="12">
        <f t="shared" ref="F3:F42" si="1">(IF(E3-C3&lt;0,"24:00"-C3+E3,E3-C3))*24</f>
        <v>4.0688888888888872</v>
      </c>
      <c r="G3" s="13">
        <f t="shared" ref="G3:G42" si="2">F3-H3</f>
        <v>3.1086111111111121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0.96027777777777512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46023.627584953698</v>
      </c>
      <c r="B4" s="5" t="s">
        <v>87</v>
      </c>
      <c r="C4" s="11">
        <v>0.627581018518519</v>
      </c>
      <c r="D4" s="11" t="s">
        <v>62</v>
      </c>
      <c r="E4" s="11">
        <v>0.79894675925925895</v>
      </c>
      <c r="F4" s="12">
        <f t="shared" si="1"/>
        <v>4.112777777777759</v>
      </c>
      <c r="G4" s="13">
        <f t="shared" si="2"/>
        <v>4.112777777777759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23.634444444444426</v>
      </c>
      <c r="K4" s="23">
        <f>SUMIF(B:B,"西塔台管制席",G:G)+SUMIF(B:B,"东塔台管制席",G:G)</f>
        <v>12.756666666666669</v>
      </c>
      <c r="L4" s="23">
        <f>SUMIF(B:B,"西塔台管制席",H:H)+SUMIF(B:B,"东塔台管制席",H:H)</f>
        <v>10.877777777777759</v>
      </c>
      <c r="M4" s="19"/>
    </row>
    <row r="5" spans="1:16" ht="18.75" x14ac:dyDescent="0.25">
      <c r="A5" s="10">
        <f t="shared" ca="1" si="0"/>
        <v>46027.013458911999</v>
      </c>
      <c r="B5" s="5" t="s">
        <v>87</v>
      </c>
      <c r="C5" s="11">
        <v>1.3449074074074099E-2</v>
      </c>
      <c r="D5" s="11" t="s">
        <v>62</v>
      </c>
      <c r="E5" s="11">
        <v>0.14298611111111101</v>
      </c>
      <c r="F5" s="12">
        <f t="shared" si="1"/>
        <v>3.1088888888888855</v>
      </c>
      <c r="G5" s="13">
        <f t="shared" si="2"/>
        <v>0</v>
      </c>
      <c r="H5" s="13">
        <f t="shared" si="3"/>
        <v>3.1088888888888855</v>
      </c>
      <c r="I5" s="21" t="s">
        <v>65</v>
      </c>
      <c r="J5" s="22">
        <f>SUMIF(B:B,"西塔台协调席",F:F)+SUMIF(B:B,"东塔台协调席",F:F)</f>
        <v>5.1533333333333289</v>
      </c>
      <c r="K5" s="23">
        <f>SUMIF(B:B,"西塔台协调席",G:G)+SUMIF(B:B,"东塔台协调席",G:G)</f>
        <v>5.1533333333333289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46028.138170486098</v>
      </c>
      <c r="B6" s="5" t="s">
        <v>87</v>
      </c>
      <c r="C6" s="11">
        <v>0.138159722222222</v>
      </c>
      <c r="D6" s="11" t="s">
        <v>62</v>
      </c>
      <c r="E6" s="11">
        <v>0.29895833333333299</v>
      </c>
      <c r="F6" s="12">
        <f t="shared" si="1"/>
        <v>3.8591666666666637</v>
      </c>
      <c r="G6" s="13">
        <f t="shared" si="2"/>
        <v>0</v>
      </c>
      <c r="H6" s="13">
        <f t="shared" si="3"/>
        <v>3.8591666666666637</v>
      </c>
      <c r="I6" s="21" t="s">
        <v>66</v>
      </c>
      <c r="J6" s="22">
        <f>SUMIF(B:B,"放行席",F:F)</f>
        <v>4.0644444444444243</v>
      </c>
      <c r="K6" s="23">
        <f>SUMIF(B:B,"放行席",G:G)</f>
        <v>0</v>
      </c>
      <c r="L6" s="23">
        <f>SUMIF(B:B,"放行席",H:H)</f>
        <v>4.0644444444444243</v>
      </c>
      <c r="M6" s="19"/>
    </row>
    <row r="7" spans="1:16" ht="18.75" x14ac:dyDescent="0.25">
      <c r="A7" s="10">
        <f t="shared" ca="1" si="0"/>
        <v>46031.134150347199</v>
      </c>
      <c r="B7" s="5" t="s">
        <v>84</v>
      </c>
      <c r="C7" s="11">
        <v>0.13414351851851899</v>
      </c>
      <c r="D7" s="11" t="s">
        <v>62</v>
      </c>
      <c r="E7" s="11">
        <v>0.21615740740740699</v>
      </c>
      <c r="F7" s="12">
        <f t="shared" si="1"/>
        <v>1.968333333333312</v>
      </c>
      <c r="G7" s="13">
        <f t="shared" si="2"/>
        <v>0</v>
      </c>
      <c r="H7" s="13">
        <f t="shared" si="3"/>
        <v>1.968333333333312</v>
      </c>
      <c r="I7" s="21" t="s">
        <v>67</v>
      </c>
      <c r="J7" s="22">
        <f>SUMIF(B:B,"地面席",F:F)</f>
        <v>4.0866666666666722</v>
      </c>
      <c r="K7" s="23">
        <f>SUMIF(B:B,"地面席",G:G)</f>
        <v>0</v>
      </c>
      <c r="L7" s="23">
        <f>SUMIF(B:B,"地面席",H:H)</f>
        <v>4.0866666666666722</v>
      </c>
      <c r="M7" s="19"/>
    </row>
    <row r="8" spans="1:16" ht="18.75" x14ac:dyDescent="0.25">
      <c r="A8" s="10">
        <f t="shared" ca="1" si="0"/>
        <v>46031.952476620398</v>
      </c>
      <c r="B8" s="5" t="s">
        <v>81</v>
      </c>
      <c r="C8" s="11">
        <v>0.95247685185185205</v>
      </c>
      <c r="D8" s="11" t="s">
        <v>62</v>
      </c>
      <c r="E8" s="11">
        <v>0.11880787037036999</v>
      </c>
      <c r="F8" s="12">
        <f t="shared" si="1"/>
        <v>3.9919444444444308</v>
      </c>
      <c r="G8" s="13">
        <f t="shared" si="2"/>
        <v>1.1405555555555509</v>
      </c>
      <c r="H8" s="13">
        <f t="shared" si="3"/>
        <v>2.8513888888888799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46034.501296990697</v>
      </c>
      <c r="B9" s="5" t="s">
        <v>81</v>
      </c>
      <c r="C9" s="11">
        <v>0.50129629629629602</v>
      </c>
      <c r="D9" s="11" t="s">
        <v>62</v>
      </c>
      <c r="E9" s="11">
        <v>0.63269675925925895</v>
      </c>
      <c r="F9" s="12">
        <f t="shared" si="1"/>
        <v>3.1536111111111103</v>
      </c>
      <c r="G9" s="13">
        <f t="shared" si="2"/>
        <v>3.1536111111111103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46034.750940161997</v>
      </c>
      <c r="B10" s="5" t="s">
        <v>83</v>
      </c>
      <c r="C10" s="11">
        <v>0.75093750000000004</v>
      </c>
      <c r="D10" s="11" t="s">
        <v>62</v>
      </c>
      <c r="E10" s="11">
        <v>0.87924768518518504</v>
      </c>
      <c r="F10" s="12">
        <f t="shared" si="1"/>
        <v>3.07944444444444</v>
      </c>
      <c r="G10" s="13">
        <f t="shared" si="2"/>
        <v>3.07944444444444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46035.418021643498</v>
      </c>
      <c r="B11" s="5" t="s">
        <v>81</v>
      </c>
      <c r="C11" s="11">
        <v>0.41802083333333301</v>
      </c>
      <c r="D11" s="11" t="s">
        <v>62</v>
      </c>
      <c r="E11" s="11">
        <v>0.547141203703704</v>
      </c>
      <c r="F11" s="12">
        <f t="shared" si="1"/>
        <v>3.0988888888889039</v>
      </c>
      <c r="G11" s="13">
        <f t="shared" si="2"/>
        <v>3.0988888888889039</v>
      </c>
      <c r="H11" s="13">
        <f t="shared" si="3"/>
        <v>0</v>
      </c>
      <c r="I11" s="24" t="s">
        <v>71</v>
      </c>
      <c r="J11" s="25">
        <f>SUMIF(B:B,"见习管制员",F:F)</f>
        <v>15.149722222222195</v>
      </c>
      <c r="K11" s="26">
        <f>SUMIF(B:B,"见习管制员",G:G)</f>
        <v>7.2213888888888711</v>
      </c>
      <c r="L11" s="26">
        <f>SUMIF(B:B,"见习管制员",H:H)</f>
        <v>7.9283333333333239</v>
      </c>
      <c r="M11" s="19"/>
    </row>
    <row r="12" spans="1:16" ht="18.75" x14ac:dyDescent="0.25">
      <c r="A12" s="10">
        <f t="shared" ca="1" si="0"/>
        <v>46035.667762500001</v>
      </c>
      <c r="B12" s="5" t="s">
        <v>83</v>
      </c>
      <c r="C12" s="11">
        <v>0.66775462962962995</v>
      </c>
      <c r="D12" s="11" t="s">
        <v>62</v>
      </c>
      <c r="E12" s="11">
        <v>0.75416666666666698</v>
      </c>
      <c r="F12" s="12">
        <f t="shared" si="1"/>
        <v>2.0738888888888889</v>
      </c>
      <c r="G12" s="13">
        <f t="shared" si="2"/>
        <v>2.0738888888888889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46035.876381249996</v>
      </c>
      <c r="B13" s="5" t="s">
        <v>81</v>
      </c>
      <c r="C13" s="11">
        <v>0.87637731481481496</v>
      </c>
      <c r="D13" s="11" t="s">
        <v>62</v>
      </c>
      <c r="E13" s="11">
        <v>0.95641203703703703</v>
      </c>
      <c r="F13" s="12">
        <f t="shared" si="1"/>
        <v>1.9208333333333298</v>
      </c>
      <c r="G13" s="13">
        <f t="shared" si="2"/>
        <v>1.9208333333333298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46038.952220949097</v>
      </c>
      <c r="B14" s="5" t="s">
        <v>80</v>
      </c>
      <c r="C14" s="11">
        <v>0.95221064814814804</v>
      </c>
      <c r="D14" s="11" t="s">
        <v>62</v>
      </c>
      <c r="E14" s="11">
        <v>0.109594907407407</v>
      </c>
      <c r="F14" s="12">
        <f t="shared" si="1"/>
        <v>3.7772222222222154</v>
      </c>
      <c r="G14" s="13">
        <f t="shared" si="2"/>
        <v>1.1469444444444474</v>
      </c>
      <c r="H14" s="13">
        <f t="shared" si="3"/>
        <v>2.6302777777777679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46040.131793402797</v>
      </c>
      <c r="B15" s="5" t="s">
        <v>84</v>
      </c>
      <c r="C15" s="11">
        <v>0.131793981481481</v>
      </c>
      <c r="D15" s="11" t="s">
        <v>62</v>
      </c>
      <c r="E15" s="11">
        <v>0.219131944444444</v>
      </c>
      <c r="F15" s="12">
        <f t="shared" si="1"/>
        <v>2.0961111111111119</v>
      </c>
      <c r="G15" s="13">
        <f t="shared" si="2"/>
        <v>0</v>
      </c>
      <c r="H15" s="13">
        <f t="shared" si="3"/>
        <v>2.0961111111111119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46043.132118634298</v>
      </c>
      <c r="B16" s="5" t="s">
        <v>79</v>
      </c>
      <c r="C16" s="11">
        <v>0.13906250000000001</v>
      </c>
      <c r="D16" s="11" t="s">
        <v>62</v>
      </c>
      <c r="E16" s="11">
        <v>0.22293981481481501</v>
      </c>
      <c r="F16" s="12">
        <f t="shared" si="1"/>
        <v>2.0130555555555603</v>
      </c>
      <c r="G16" s="13">
        <f t="shared" si="2"/>
        <v>0</v>
      </c>
      <c r="H16" s="13">
        <f t="shared" si="3"/>
        <v>2.0130555555555603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46043.951348263901</v>
      </c>
      <c r="B17" s="5" t="s">
        <v>81</v>
      </c>
      <c r="C17" s="11">
        <v>0.95134259259259302</v>
      </c>
      <c r="D17" s="11" t="s">
        <v>62</v>
      </c>
      <c r="E17" s="11">
        <v>0.119861111111111</v>
      </c>
      <c r="F17" s="12">
        <f t="shared" si="1"/>
        <v>4.0444444444444319</v>
      </c>
      <c r="G17" s="13">
        <f t="shared" si="2"/>
        <v>1.1677777777777676</v>
      </c>
      <c r="H17" s="13">
        <f t="shared" si="3"/>
        <v>2.8766666666666643</v>
      </c>
      <c r="I17" s="35" t="s">
        <v>75</v>
      </c>
      <c r="J17" s="36">
        <f>J4+J5+J6+J7+J10</f>
        <v>36.938888888888854</v>
      </c>
      <c r="K17" s="37">
        <f>K4+K5+K6+K7+K10</f>
        <v>17.909999999999997</v>
      </c>
      <c r="L17" s="38">
        <f>L4+L5+L6+L7+L10</f>
        <v>19.028888888888854</v>
      </c>
      <c r="M17" s="39"/>
    </row>
    <row r="18" spans="1:13" ht="20.25" x14ac:dyDescent="0.25">
      <c r="A18" s="10">
        <f t="shared" ca="1" si="0"/>
        <v>46050.953003588002</v>
      </c>
      <c r="B18" s="5" t="s">
        <v>81</v>
      </c>
      <c r="C18" s="11">
        <v>0.95299768518518502</v>
      </c>
      <c r="D18" s="11" t="s">
        <v>62</v>
      </c>
      <c r="E18" s="11">
        <v>0.104976851851852</v>
      </c>
      <c r="F18" s="12">
        <f t="shared" si="1"/>
        <v>3.647500000000008</v>
      </c>
      <c r="G18" s="13">
        <f t="shared" si="2"/>
        <v>1.12805555555556</v>
      </c>
      <c r="H18" s="13">
        <f t="shared" si="3"/>
        <v>2.5194444444444479</v>
      </c>
      <c r="I18" s="35" t="s">
        <v>71</v>
      </c>
      <c r="J18" s="36">
        <f t="shared" ref="J18:L18" si="5">J11</f>
        <v>15.149722222222195</v>
      </c>
      <c r="K18" s="37">
        <f t="shared" si="5"/>
        <v>7.2213888888888711</v>
      </c>
      <c r="L18" s="38">
        <f t="shared" si="5"/>
        <v>7.9283333333333239</v>
      </c>
      <c r="M18" s="39"/>
    </row>
    <row r="19" spans="1:13" ht="20.25" x14ac:dyDescent="0.25">
      <c r="A19" s="10">
        <f t="shared" ca="1" si="0"/>
        <v>46052.1390082176</v>
      </c>
      <c r="B19" s="5" t="s">
        <v>79</v>
      </c>
      <c r="C19" s="11">
        <v>0.13900462962963001</v>
      </c>
      <c r="D19" s="11" t="s">
        <v>62</v>
      </c>
      <c r="E19" s="11">
        <v>0.225405092592593</v>
      </c>
      <c r="F19" s="12">
        <f t="shared" si="1"/>
        <v>2.073611111111112</v>
      </c>
      <c r="G19" s="13">
        <f t="shared" si="2"/>
        <v>0</v>
      </c>
      <c r="H19" s="13">
        <f t="shared" si="3"/>
        <v>2.073611111111112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52.088611111111049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46024.132719097201</v>
      </c>
      <c r="B3" s="5" t="s">
        <v>87</v>
      </c>
      <c r="C3" s="11">
        <v>0.13270833333333301</v>
      </c>
      <c r="D3" s="11" t="s">
        <v>62</v>
      </c>
      <c r="E3" s="11">
        <v>0.20748842592592601</v>
      </c>
      <c r="F3" s="12">
        <f t="shared" ref="F3:F42" si="1">(IF(E3-C3&lt;0,"24:00"-C3+E3,E3-C3))*24</f>
        <v>1.7947222222222319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1.7947222222222319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46027.139536226903</v>
      </c>
      <c r="B4" s="5" t="s">
        <v>87</v>
      </c>
      <c r="C4" s="11">
        <v>0.139525462962963</v>
      </c>
      <c r="D4" s="11" t="s">
        <v>62</v>
      </c>
      <c r="E4" s="11">
        <v>0.299722222222222</v>
      </c>
      <c r="F4" s="12">
        <f t="shared" si="1"/>
        <v>3.8447222222222157</v>
      </c>
      <c r="G4" s="13">
        <f t="shared" si="2"/>
        <v>0</v>
      </c>
      <c r="H4" s="13">
        <f t="shared" si="3"/>
        <v>3.8447222222222157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46028.013789583303</v>
      </c>
      <c r="B5" s="5" t="s">
        <v>87</v>
      </c>
      <c r="C5" s="11">
        <v>1.37847222222222E-2</v>
      </c>
      <c r="D5" s="11" t="s">
        <v>62</v>
      </c>
      <c r="E5" s="11">
        <v>0.122951388888889</v>
      </c>
      <c r="F5" s="12">
        <f t="shared" si="1"/>
        <v>2.6200000000000032</v>
      </c>
      <c r="G5" s="13">
        <f t="shared" si="2"/>
        <v>0</v>
      </c>
      <c r="H5" s="13">
        <f t="shared" si="3"/>
        <v>2.6200000000000032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46030.8951243056</v>
      </c>
      <c r="B6" s="5" t="s">
        <v>87</v>
      </c>
      <c r="C6" s="11">
        <v>0.89511574074074096</v>
      </c>
      <c r="D6" s="11" t="s">
        <v>62</v>
      </c>
      <c r="E6" s="11">
        <v>0.95899305555555603</v>
      </c>
      <c r="F6" s="12">
        <f t="shared" si="1"/>
        <v>1.5330555555555616</v>
      </c>
      <c r="G6" s="13">
        <f t="shared" si="2"/>
        <v>1.5330555555555616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46031.304321296302</v>
      </c>
      <c r="B7" s="5" t="s">
        <v>87</v>
      </c>
      <c r="C7" s="11">
        <v>0.30431712962962998</v>
      </c>
      <c r="D7" s="11" t="s">
        <v>62</v>
      </c>
      <c r="E7" s="11">
        <v>0.42274305555555602</v>
      </c>
      <c r="F7" s="12">
        <f t="shared" si="1"/>
        <v>2.8422222222222251</v>
      </c>
      <c r="G7" s="13">
        <f t="shared" si="2"/>
        <v>2.145833333333353</v>
      </c>
      <c r="H7" s="13">
        <f t="shared" si="3"/>
        <v>0.69638888888887207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46031.502697222197</v>
      </c>
      <c r="B8" s="5" t="s">
        <v>87</v>
      </c>
      <c r="C8" s="11">
        <v>0.50269675925925905</v>
      </c>
      <c r="D8" s="11" t="s">
        <v>62</v>
      </c>
      <c r="E8" s="11">
        <v>0.65119212962963002</v>
      </c>
      <c r="F8" s="12">
        <f t="shared" si="1"/>
        <v>3.5638888888889033</v>
      </c>
      <c r="G8" s="13">
        <f t="shared" si="2"/>
        <v>3.5638888888889033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46035.0128050926</v>
      </c>
      <c r="B9" s="5" t="s">
        <v>87</v>
      </c>
      <c r="C9" s="11">
        <v>1.28009259259259E-2</v>
      </c>
      <c r="D9" s="11" t="s">
        <v>62</v>
      </c>
      <c r="E9" s="11">
        <v>0.14456018518518499</v>
      </c>
      <c r="F9" s="12">
        <f t="shared" si="1"/>
        <v>3.1622222222222178</v>
      </c>
      <c r="G9" s="13">
        <f t="shared" si="2"/>
        <v>0</v>
      </c>
      <c r="H9" s="13">
        <f t="shared" si="3"/>
        <v>3.1622222222222178</v>
      </c>
      <c r="I9" s="21" t="s">
        <v>69</v>
      </c>
      <c r="J9" s="22">
        <f>SUMIF(B:B,"航班调度席",F:F)</f>
        <v>4.0555555555555447</v>
      </c>
      <c r="K9" s="23">
        <f>SUMIF(B:B,"航班调度席",G:G)</f>
        <v>4.0555555555555447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46036.139381365698</v>
      </c>
      <c r="B10" s="5" t="s">
        <v>87</v>
      </c>
      <c r="C10" s="11">
        <v>0.139375</v>
      </c>
      <c r="D10" s="11" t="s">
        <v>62</v>
      </c>
      <c r="E10" s="11">
        <v>0.29942129629629599</v>
      </c>
      <c r="F10" s="12">
        <f t="shared" si="1"/>
        <v>3.841111111111104</v>
      </c>
      <c r="G10" s="13">
        <f t="shared" si="2"/>
        <v>0</v>
      </c>
      <c r="H10" s="13">
        <f t="shared" si="3"/>
        <v>3.841111111111104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46039.133024768496</v>
      </c>
      <c r="B11" s="5" t="s">
        <v>87</v>
      </c>
      <c r="C11" s="11">
        <v>0.13302083333333301</v>
      </c>
      <c r="D11" s="11" t="s">
        <v>62</v>
      </c>
      <c r="E11" s="11">
        <v>0.21435185185185199</v>
      </c>
      <c r="F11" s="12">
        <f t="shared" si="1"/>
        <v>1.9519444444444556</v>
      </c>
      <c r="G11" s="13">
        <f t="shared" si="2"/>
        <v>0</v>
      </c>
      <c r="H11" s="13">
        <f t="shared" si="3"/>
        <v>1.9519444444444556</v>
      </c>
      <c r="I11" s="24" t="s">
        <v>71</v>
      </c>
      <c r="J11" s="25">
        <f>SUMIF(B:B,"见习管制员",F:F)</f>
        <v>51.086944444444477</v>
      </c>
      <c r="K11" s="26">
        <f>SUMIF(B:B,"见习管制员",G:G)</f>
        <v>21.730277777777832</v>
      </c>
      <c r="L11" s="26">
        <f>SUMIF(B:B,"见习管制员",H:H)</f>
        <v>29.356666666666634</v>
      </c>
      <c r="M11" s="19"/>
    </row>
    <row r="12" spans="1:16" ht="18.75" x14ac:dyDescent="0.25">
      <c r="A12" s="10">
        <f t="shared" ca="1" si="0"/>
        <v>46039.9532475694</v>
      </c>
      <c r="B12" s="5" t="s">
        <v>87</v>
      </c>
      <c r="C12" s="11">
        <v>0.95324074074074105</v>
      </c>
      <c r="D12" s="11" t="s">
        <v>62</v>
      </c>
      <c r="E12" s="11">
        <v>8.89351851851852E-2</v>
      </c>
      <c r="F12" s="12">
        <f t="shared" si="1"/>
        <v>3.2566666666666597</v>
      </c>
      <c r="G12" s="13">
        <f t="shared" si="2"/>
        <v>1.1222222222222147</v>
      </c>
      <c r="H12" s="13">
        <f t="shared" si="3"/>
        <v>2.134444444444445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46042.373598495396</v>
      </c>
      <c r="B13" s="5" t="s">
        <v>82</v>
      </c>
      <c r="C13" s="11">
        <v>0.37358796296296298</v>
      </c>
      <c r="D13" s="11" t="s">
        <v>62</v>
      </c>
      <c r="E13" s="11">
        <v>0.44878472222222199</v>
      </c>
      <c r="F13" s="12">
        <f t="shared" si="1"/>
        <v>1.8047222222222161</v>
      </c>
      <c r="G13" s="13">
        <f t="shared" si="2"/>
        <v>1.8047222222222161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46042.521382523097</v>
      </c>
      <c r="B14" s="5" t="s">
        <v>87</v>
      </c>
      <c r="C14" s="11">
        <v>0.52137731481481497</v>
      </c>
      <c r="D14" s="11" t="s">
        <v>62</v>
      </c>
      <c r="E14" s="11">
        <v>0.60384259259259299</v>
      </c>
      <c r="F14" s="12">
        <f t="shared" si="1"/>
        <v>1.9791666666666723</v>
      </c>
      <c r="G14" s="13">
        <f t="shared" si="2"/>
        <v>1.9791666666666723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46042.639402546301</v>
      </c>
      <c r="B15" s="5" t="s">
        <v>87</v>
      </c>
      <c r="C15" s="11">
        <v>0.63939814814814799</v>
      </c>
      <c r="D15" s="11" t="s">
        <v>62</v>
      </c>
      <c r="E15" s="11">
        <v>0.65096064814814802</v>
      </c>
      <c r="F15" s="12">
        <f t="shared" si="1"/>
        <v>0.27750000000000075</v>
      </c>
      <c r="G15" s="13">
        <f t="shared" si="2"/>
        <v>0.27750000000000075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46042.772742708301</v>
      </c>
      <c r="B16" s="5" t="s">
        <v>87</v>
      </c>
      <c r="C16" s="11">
        <v>0.772743055555556</v>
      </c>
      <c r="D16" s="11" t="s">
        <v>62</v>
      </c>
      <c r="E16" s="11">
        <v>0.90281250000000002</v>
      </c>
      <c r="F16" s="12">
        <f t="shared" si="1"/>
        <v>3.1216666666666564</v>
      </c>
      <c r="G16" s="13">
        <f t="shared" si="2"/>
        <v>3.1216666666666564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46043.375259490698</v>
      </c>
      <c r="B17" s="5" t="s">
        <v>82</v>
      </c>
      <c r="C17" s="11">
        <v>0.37525462962963002</v>
      </c>
      <c r="D17" s="11" t="s">
        <v>62</v>
      </c>
      <c r="E17" s="11">
        <v>0.46903935185185203</v>
      </c>
      <c r="F17" s="12">
        <f t="shared" si="1"/>
        <v>2.2508333333333281</v>
      </c>
      <c r="G17" s="13">
        <f t="shared" si="2"/>
        <v>2.2508333333333281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46043.646090856499</v>
      </c>
      <c r="B18" s="5" t="s">
        <v>87</v>
      </c>
      <c r="C18" s="11">
        <v>0.646087962962963</v>
      </c>
      <c r="D18" s="11" t="s">
        <v>62</v>
      </c>
      <c r="E18" s="11">
        <v>0.77738425925925903</v>
      </c>
      <c r="F18" s="12">
        <f t="shared" si="1"/>
        <v>3.1511111111111045</v>
      </c>
      <c r="G18" s="13">
        <f t="shared" si="2"/>
        <v>3.1511111111111045</v>
      </c>
      <c r="H18" s="13">
        <f t="shared" si="3"/>
        <v>0</v>
      </c>
      <c r="I18" s="35" t="s">
        <v>71</v>
      </c>
      <c r="J18" s="36">
        <f t="shared" ref="J18:L18" si="5">J11</f>
        <v>51.086944444444477</v>
      </c>
      <c r="K18" s="37">
        <f t="shared" si="5"/>
        <v>21.730277777777832</v>
      </c>
      <c r="L18" s="38">
        <f t="shared" si="5"/>
        <v>29.356666666666634</v>
      </c>
      <c r="M18" s="39"/>
    </row>
    <row r="19" spans="1:13" ht="20.25" x14ac:dyDescent="0.25">
      <c r="A19" s="10">
        <f t="shared" ca="1" si="0"/>
        <v>46043.834616898203</v>
      </c>
      <c r="B19" s="5" t="s">
        <v>87</v>
      </c>
      <c r="C19" s="11">
        <v>0.83460648148148098</v>
      </c>
      <c r="D19" s="11" t="s">
        <v>62</v>
      </c>
      <c r="E19" s="11">
        <v>0.95656249999999998</v>
      </c>
      <c r="F19" s="12">
        <f t="shared" si="1"/>
        <v>2.9269444444444561</v>
      </c>
      <c r="G19" s="13">
        <f t="shared" si="2"/>
        <v>2.9269444444444561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46044.291348842598</v>
      </c>
      <c r="B20" s="5" t="s">
        <v>87</v>
      </c>
      <c r="C20" s="11">
        <v>0.29134259259259299</v>
      </c>
      <c r="D20" s="11" t="s">
        <v>62</v>
      </c>
      <c r="E20" s="11">
        <v>0.36543981481481502</v>
      </c>
      <c r="F20" s="12">
        <f t="shared" si="1"/>
        <v>1.7783333333333289</v>
      </c>
      <c r="G20" s="13">
        <f t="shared" si="2"/>
        <v>0.77055555555556898</v>
      </c>
      <c r="H20" s="13">
        <f t="shared" si="3"/>
        <v>1.0077777777777599</v>
      </c>
      <c r="I20" s="40" t="s">
        <v>77</v>
      </c>
      <c r="J20" s="65">
        <f>J16+J17+J18+J19</f>
        <v>51.086944444444477</v>
      </c>
      <c r="K20" s="66"/>
      <c r="L20" s="67"/>
      <c r="M20" s="41"/>
    </row>
    <row r="21" spans="1:13" ht="20.25" x14ac:dyDescent="0.25">
      <c r="A21" s="10">
        <f t="shared" ca="1" si="0"/>
        <v>46046.952577430602</v>
      </c>
      <c r="B21" s="5" t="s">
        <v>87</v>
      </c>
      <c r="C21" s="11">
        <v>0.95256944444444402</v>
      </c>
      <c r="D21" s="11" t="s">
        <v>62</v>
      </c>
      <c r="E21" s="11">
        <v>0.10061342592592599</v>
      </c>
      <c r="F21" s="12">
        <f t="shared" si="1"/>
        <v>3.553055555555567</v>
      </c>
      <c r="G21" s="13">
        <f t="shared" si="2"/>
        <v>1.138333333333343</v>
      </c>
      <c r="H21" s="13">
        <f t="shared" si="3"/>
        <v>2.414722222222224</v>
      </c>
      <c r="I21" s="42" t="s">
        <v>4</v>
      </c>
      <c r="J21" s="43">
        <f>SUM(J8:J9)</f>
        <v>4.0555555555555447</v>
      </c>
      <c r="K21" s="37">
        <f>SUM(K8:K9)</f>
        <v>4.0555555555555447</v>
      </c>
      <c r="L21" s="38">
        <f>SUM(L8:L9)</f>
        <v>0</v>
      </c>
      <c r="M21" s="44"/>
    </row>
    <row r="22" spans="1:13" ht="18.75" x14ac:dyDescent="0.15">
      <c r="A22" s="10">
        <f t="shared" ca="1" si="0"/>
        <v>46048.140460648101</v>
      </c>
      <c r="B22" s="5" t="s">
        <v>87</v>
      </c>
      <c r="C22" s="11">
        <v>0.140451388888889</v>
      </c>
      <c r="D22" s="11" t="s">
        <v>62</v>
      </c>
      <c r="E22" s="11">
        <v>0.224270833333333</v>
      </c>
      <c r="F22" s="12">
        <f t="shared" si="1"/>
        <v>2.0116666666666561</v>
      </c>
      <c r="G22" s="13">
        <f t="shared" si="2"/>
        <v>0</v>
      </c>
      <c r="H22" s="13">
        <f t="shared" si="3"/>
        <v>2.0116666666666561</v>
      </c>
      <c r="I22"/>
      <c r="J22"/>
    </row>
    <row r="23" spans="1:13" ht="18.75" x14ac:dyDescent="0.15">
      <c r="A23" s="10">
        <f t="shared" ca="1" si="0"/>
        <v>46051.137690625001</v>
      </c>
      <c r="B23" s="5" t="s">
        <v>87</v>
      </c>
      <c r="C23" s="11">
        <v>0.13768518518518499</v>
      </c>
      <c r="D23" s="11" t="s">
        <v>62</v>
      </c>
      <c r="E23" s="11">
        <v>0.299224537037037</v>
      </c>
      <c r="F23" s="12">
        <f t="shared" si="1"/>
        <v>3.8769444444444483</v>
      </c>
      <c r="G23" s="13">
        <f t="shared" si="2"/>
        <v>0</v>
      </c>
      <c r="H23" s="13">
        <f t="shared" si="3"/>
        <v>3.8769444444444483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topLeftCell="A10" zoomScale="85" zoomScaleNormal="85" workbookViewId="0">
      <selection activeCell="E34" sqref="E3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46026.355131018499</v>
      </c>
      <c r="B3" s="5" t="s">
        <v>87</v>
      </c>
      <c r="C3" s="11">
        <v>0.35512731481481502</v>
      </c>
      <c r="D3" s="11" t="s">
        <v>62</v>
      </c>
      <c r="E3" s="11">
        <v>0.528865740740741</v>
      </c>
      <c r="F3" s="12">
        <f t="shared" ref="F3:F42" si="1">(IF(E3-C3&lt;0,"24:00"-C3+E3,E3-C3))*24</f>
        <v>4.169722222222223</v>
      </c>
      <c r="G3" s="13">
        <f t="shared" ref="G3:G42" si="2">F3-H3</f>
        <v>4.169722222222223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46026.687158217603</v>
      </c>
      <c r="B4" s="5" t="s">
        <v>87</v>
      </c>
      <c r="C4" s="11">
        <v>0.68715277777777795</v>
      </c>
      <c r="D4" s="11" t="s">
        <v>62</v>
      </c>
      <c r="E4" s="11">
        <v>0.77728009259259301</v>
      </c>
      <c r="F4" s="12">
        <f t="shared" si="1"/>
        <v>2.1630555555555615</v>
      </c>
      <c r="G4" s="13">
        <f t="shared" si="2"/>
        <v>2.1630555555555615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36.008333333333354</v>
      </c>
      <c r="K4" s="23">
        <f>SUMIF(B:B,"西塔台管制席",G:G)+SUMIF(B:B,"东塔台管制席",G:G)</f>
        <v>27.658888888888921</v>
      </c>
      <c r="L4" s="23">
        <f>SUMIF(B:B,"西塔台管制席",H:H)+SUMIF(B:B,"东塔台管制席",H:H)</f>
        <v>8.3494444444444316</v>
      </c>
      <c r="M4" s="19"/>
    </row>
    <row r="5" spans="1:16" ht="18.75" x14ac:dyDescent="0.25">
      <c r="A5" s="10">
        <f t="shared" ca="1" si="0"/>
        <v>46026.855334143504</v>
      </c>
      <c r="B5" s="5" t="s">
        <v>87</v>
      </c>
      <c r="C5" s="11">
        <v>0.85532407407407396</v>
      </c>
      <c r="D5" s="11" t="s">
        <v>62</v>
      </c>
      <c r="E5" s="11">
        <v>0.95871527777777799</v>
      </c>
      <c r="F5" s="12">
        <f t="shared" si="1"/>
        <v>2.4813888888888966</v>
      </c>
      <c r="G5" s="13">
        <f t="shared" si="2"/>
        <v>2.4813888888888966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9.8513888888888879</v>
      </c>
      <c r="K5" s="23">
        <f>SUMIF(B:B,"西塔台协调席",G:G)+SUMIF(B:B,"东塔台协调席",G:G)</f>
        <v>9.8513888888888879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46027.292681944396</v>
      </c>
      <c r="B6" s="5" t="s">
        <v>87</v>
      </c>
      <c r="C6" s="11">
        <v>0.29267361111111101</v>
      </c>
      <c r="D6" s="11" t="s">
        <v>62</v>
      </c>
      <c r="E6" s="11">
        <v>0.42332175925925902</v>
      </c>
      <c r="F6" s="12">
        <f t="shared" si="1"/>
        <v>3.1355555555555523</v>
      </c>
      <c r="G6" s="13">
        <f t="shared" si="2"/>
        <v>2.159722222222225</v>
      </c>
      <c r="H6" s="13">
        <f t="shared" si="3"/>
        <v>0.97583333333332734</v>
      </c>
      <c r="I6" s="21" t="s">
        <v>66</v>
      </c>
      <c r="J6" s="22">
        <f>SUMIF(B:B,"放行席",F:F)</f>
        <v>2.0808333333333362</v>
      </c>
      <c r="K6" s="23">
        <f>SUMIF(B:B,"放行席",G:G)</f>
        <v>0</v>
      </c>
      <c r="L6" s="23">
        <f>SUMIF(B:B,"放行席",H:H)</f>
        <v>2.0808333333333362</v>
      </c>
      <c r="M6" s="19"/>
    </row>
    <row r="7" spans="1:16" ht="18.75" x14ac:dyDescent="0.25">
      <c r="A7" s="10">
        <f t="shared" ca="1" si="0"/>
        <v>46027.522416666703</v>
      </c>
      <c r="B7" s="5" t="s">
        <v>87</v>
      </c>
      <c r="C7" s="11">
        <v>0.52240740740740699</v>
      </c>
      <c r="D7" s="11" t="s">
        <v>62</v>
      </c>
      <c r="E7" s="11">
        <v>0.65348379629629605</v>
      </c>
      <c r="F7" s="12">
        <f t="shared" si="1"/>
        <v>3.1458333333333375</v>
      </c>
      <c r="G7" s="13">
        <f t="shared" si="2"/>
        <v>3.1458333333333375</v>
      </c>
      <c r="H7" s="13">
        <f t="shared" si="3"/>
        <v>0</v>
      </c>
      <c r="I7" s="21" t="s">
        <v>67</v>
      </c>
      <c r="J7" s="22">
        <f>SUMIF(B:B,"地面席",F:F)</f>
        <v>2.079444444444456</v>
      </c>
      <c r="K7" s="23">
        <f>SUMIF(B:B,"地面席",G:G)</f>
        <v>0</v>
      </c>
      <c r="L7" s="23">
        <f>SUMIF(B:B,"地面席",H:H)</f>
        <v>2.079444444444456</v>
      </c>
      <c r="M7" s="19"/>
    </row>
    <row r="8" spans="1:16" ht="18.75" x14ac:dyDescent="0.25">
      <c r="A8" s="10">
        <f t="shared" ca="1" si="0"/>
        <v>46027.772235416698</v>
      </c>
      <c r="B8" s="5" t="s">
        <v>87</v>
      </c>
      <c r="C8" s="11">
        <v>0.77223379629629596</v>
      </c>
      <c r="D8" s="11" t="s">
        <v>62</v>
      </c>
      <c r="E8" s="11">
        <v>0.83810185185185204</v>
      </c>
      <c r="F8" s="12">
        <f t="shared" si="1"/>
        <v>1.580833333333346</v>
      </c>
      <c r="G8" s="13">
        <f t="shared" si="2"/>
        <v>1.580833333333346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46030.383958217601</v>
      </c>
      <c r="B9" s="5" t="s">
        <v>82</v>
      </c>
      <c r="C9" s="11">
        <v>0.38395833333333301</v>
      </c>
      <c r="D9" s="11" t="s">
        <v>62</v>
      </c>
      <c r="E9" s="11">
        <v>0.50296296296296295</v>
      </c>
      <c r="F9" s="12">
        <f t="shared" si="1"/>
        <v>2.8561111111111184</v>
      </c>
      <c r="G9" s="13">
        <f t="shared" si="2"/>
        <v>2.8561111111111184</v>
      </c>
      <c r="H9" s="13">
        <f t="shared" si="3"/>
        <v>0</v>
      </c>
      <c r="I9" s="21" t="s">
        <v>69</v>
      </c>
      <c r="J9" s="22">
        <f>SUMIF(B:B,"航班调度席",F:F)</f>
        <v>13.706111111111113</v>
      </c>
      <c r="K9" s="23">
        <f>SUMIF(B:B,"航班调度席",G:G)</f>
        <v>13.706111111111113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46030.585173379601</v>
      </c>
      <c r="B10" s="5" t="s">
        <v>82</v>
      </c>
      <c r="C10" s="11">
        <v>0.58516203703703695</v>
      </c>
      <c r="D10" s="11" t="s">
        <v>62</v>
      </c>
      <c r="E10" s="11">
        <v>0.73502314814814795</v>
      </c>
      <c r="F10" s="12">
        <f t="shared" si="1"/>
        <v>3.596666666666664</v>
      </c>
      <c r="G10" s="13">
        <f t="shared" si="2"/>
        <v>3.596666666666664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46031.376728703697</v>
      </c>
      <c r="B11" s="5" t="s">
        <v>82</v>
      </c>
      <c r="C11" s="11">
        <v>0.37672453703703701</v>
      </c>
      <c r="D11" s="11" t="s">
        <v>62</v>
      </c>
      <c r="E11" s="11">
        <v>0.48082175925925902</v>
      </c>
      <c r="F11" s="12">
        <f t="shared" si="1"/>
        <v>2.4983333333333282</v>
      </c>
      <c r="G11" s="13">
        <f t="shared" si="2"/>
        <v>2.4983333333333282</v>
      </c>
      <c r="H11" s="13">
        <f t="shared" si="3"/>
        <v>0</v>
      </c>
      <c r="I11" s="24" t="s">
        <v>71</v>
      </c>
      <c r="J11" s="25">
        <f>SUMIF(B:B,"见习管制员",F:F)</f>
        <v>16.676388888888916</v>
      </c>
      <c r="K11" s="26">
        <f>SUMIF(B:B,"见习管制员",G:G)</f>
        <v>15.700555555555589</v>
      </c>
      <c r="L11" s="26">
        <f>SUMIF(B:B,"见习管制员",H:H)</f>
        <v>0.97583333333332734</v>
      </c>
      <c r="M11" s="19"/>
    </row>
    <row r="12" spans="1:16" ht="18.75" x14ac:dyDescent="0.25">
      <c r="A12" s="10">
        <f t="shared" ca="1" si="0"/>
        <v>46031.587248148098</v>
      </c>
      <c r="B12" s="5" t="s">
        <v>82</v>
      </c>
      <c r="C12" s="11">
        <v>0.58724537037036995</v>
      </c>
      <c r="D12" s="11" t="s">
        <v>62</v>
      </c>
      <c r="E12" s="11">
        <v>0.74415509259259205</v>
      </c>
      <c r="F12" s="12">
        <f t="shared" si="1"/>
        <v>3.7658333333333305</v>
      </c>
      <c r="G12" s="13">
        <f t="shared" si="2"/>
        <v>3.7658333333333305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46035.130256018499</v>
      </c>
      <c r="B13" s="5" t="s">
        <v>84</v>
      </c>
      <c r="C13" s="11">
        <v>0.13025462962963</v>
      </c>
      <c r="D13" s="11" t="s">
        <v>62</v>
      </c>
      <c r="E13" s="11">
        <v>0.21695601851851901</v>
      </c>
      <c r="F13" s="12">
        <f t="shared" si="1"/>
        <v>2.0808333333333362</v>
      </c>
      <c r="G13" s="13">
        <f t="shared" si="2"/>
        <v>0</v>
      </c>
      <c r="H13" s="13">
        <f t="shared" si="3"/>
        <v>2.0808333333333362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46035.950248148103</v>
      </c>
      <c r="B14" s="5" t="s">
        <v>81</v>
      </c>
      <c r="C14" s="11">
        <v>0.95024305555555599</v>
      </c>
      <c r="D14" s="11" t="s">
        <v>62</v>
      </c>
      <c r="E14" s="11">
        <v>0.13712962962962999</v>
      </c>
      <c r="F14" s="12">
        <f t="shared" si="1"/>
        <v>4.4852777777777764</v>
      </c>
      <c r="G14" s="13">
        <f t="shared" si="2"/>
        <v>1.1941666666666566</v>
      </c>
      <c r="H14" s="13">
        <f t="shared" si="3"/>
        <v>3.2911111111111198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46038.500876041697</v>
      </c>
      <c r="B15" s="5" t="s">
        <v>80</v>
      </c>
      <c r="C15" s="11">
        <v>0.50086805555555602</v>
      </c>
      <c r="D15" s="11" t="s">
        <v>62</v>
      </c>
      <c r="E15" s="11">
        <v>0.65653935185185197</v>
      </c>
      <c r="F15" s="12">
        <f t="shared" si="1"/>
        <v>3.7361111111111027</v>
      </c>
      <c r="G15" s="13">
        <f t="shared" si="2"/>
        <v>3.7361111111111027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46038.730782638901</v>
      </c>
      <c r="B16" s="5" t="s">
        <v>78</v>
      </c>
      <c r="C16" s="11">
        <v>0.73077546296296303</v>
      </c>
      <c r="D16" s="11" t="s">
        <v>62</v>
      </c>
      <c r="E16" s="11">
        <v>0.84216435185185201</v>
      </c>
      <c r="F16" s="12">
        <f t="shared" si="1"/>
        <v>2.6733333333333356</v>
      </c>
      <c r="G16" s="13">
        <f t="shared" si="2"/>
        <v>2.6733333333333356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46039.417922106499</v>
      </c>
      <c r="B17" s="5" t="s">
        <v>81</v>
      </c>
      <c r="C17" s="11">
        <v>0.41791666666666699</v>
      </c>
      <c r="D17" s="11" t="s">
        <v>62</v>
      </c>
      <c r="E17" s="11">
        <v>0.50987268518518503</v>
      </c>
      <c r="F17" s="12">
        <f t="shared" si="1"/>
        <v>2.2069444444444328</v>
      </c>
      <c r="G17" s="13">
        <f t="shared" si="2"/>
        <v>2.2069444444444328</v>
      </c>
      <c r="H17" s="13">
        <f t="shared" si="3"/>
        <v>0</v>
      </c>
      <c r="I17" s="35" t="s">
        <v>75</v>
      </c>
      <c r="J17" s="36">
        <f>J4+J5+J6+J7+J10</f>
        <v>50.020000000000039</v>
      </c>
      <c r="K17" s="37">
        <f>K4+K5+K6+K7+K10</f>
        <v>37.510277777777809</v>
      </c>
      <c r="L17" s="38">
        <f>L4+L5+L6+L7+L10</f>
        <v>12.509722222222223</v>
      </c>
      <c r="M17" s="39"/>
    </row>
    <row r="18" spans="1:13" ht="20.25" x14ac:dyDescent="0.25">
      <c r="A18" s="10">
        <f t="shared" ca="1" si="0"/>
        <v>46039.709189351903</v>
      </c>
      <c r="B18" s="5" t="s">
        <v>81</v>
      </c>
      <c r="C18" s="11">
        <v>0.70917824074074098</v>
      </c>
      <c r="D18" s="11" t="s">
        <v>62</v>
      </c>
      <c r="E18" s="11">
        <v>0.75876157407407396</v>
      </c>
      <c r="F18" s="12">
        <f t="shared" si="1"/>
        <v>1.1899999999999915</v>
      </c>
      <c r="G18" s="13">
        <f t="shared" si="2"/>
        <v>1.1899999999999915</v>
      </c>
      <c r="H18" s="13">
        <f t="shared" si="3"/>
        <v>0</v>
      </c>
      <c r="I18" s="35" t="s">
        <v>71</v>
      </c>
      <c r="J18" s="36">
        <f t="shared" ref="J18:L18" si="5">J11</f>
        <v>16.676388888888916</v>
      </c>
      <c r="K18" s="37">
        <f t="shared" si="5"/>
        <v>15.700555555555589</v>
      </c>
      <c r="L18" s="38">
        <f t="shared" si="5"/>
        <v>0.97583333333332734</v>
      </c>
      <c r="M18" s="39"/>
    </row>
    <row r="19" spans="1:13" ht="20.25" x14ac:dyDescent="0.25">
      <c r="A19" s="10">
        <f t="shared" ca="1" si="0"/>
        <v>46039.875288310199</v>
      </c>
      <c r="B19" s="5" t="s">
        <v>83</v>
      </c>
      <c r="C19" s="11">
        <v>0.87527777777777804</v>
      </c>
      <c r="D19" s="11" t="s">
        <v>62</v>
      </c>
      <c r="E19" s="11">
        <v>0.95690972222222204</v>
      </c>
      <c r="F19" s="12">
        <f t="shared" si="1"/>
        <v>1.9591666666666558</v>
      </c>
      <c r="G19" s="13">
        <f t="shared" si="2"/>
        <v>1.9591666666666558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46040.292586805597</v>
      </c>
      <c r="B20" s="5" t="s">
        <v>80</v>
      </c>
      <c r="C20" s="11">
        <v>0.29258101851851898</v>
      </c>
      <c r="D20" s="11" t="s">
        <v>62</v>
      </c>
      <c r="E20" s="11">
        <v>0.36415509259259299</v>
      </c>
      <c r="F20" s="12">
        <f t="shared" si="1"/>
        <v>1.7177777777777763</v>
      </c>
      <c r="G20" s="13">
        <f t="shared" si="2"/>
        <v>0.73972222222224016</v>
      </c>
      <c r="H20" s="13">
        <f t="shared" si="3"/>
        <v>0.97805555555553614</v>
      </c>
      <c r="I20" s="40" t="s">
        <v>77</v>
      </c>
      <c r="J20" s="65">
        <f>J16+J17+J18+J19</f>
        <v>66.696388888888947</v>
      </c>
      <c r="K20" s="66"/>
      <c r="L20" s="67"/>
      <c r="M20" s="41"/>
    </row>
    <row r="21" spans="1:13" ht="20.25" x14ac:dyDescent="0.25">
      <c r="A21" s="10">
        <f t="shared" ca="1" si="0"/>
        <v>46042.951277893502</v>
      </c>
      <c r="B21" s="5" t="s">
        <v>81</v>
      </c>
      <c r="C21" s="11">
        <v>0.95127314814814801</v>
      </c>
      <c r="D21" s="11" t="s">
        <v>62</v>
      </c>
      <c r="E21" s="11">
        <v>0.12890046296296301</v>
      </c>
      <c r="F21" s="12">
        <f t="shared" si="1"/>
        <v>4.2630555555555603</v>
      </c>
      <c r="G21" s="13">
        <f t="shared" si="2"/>
        <v>1.1694444444444478</v>
      </c>
      <c r="H21" s="13">
        <f t="shared" si="3"/>
        <v>3.0936111111111124</v>
      </c>
      <c r="I21" s="42" t="s">
        <v>4</v>
      </c>
      <c r="J21" s="43">
        <f>SUM(J8:J9)</f>
        <v>13.706111111111113</v>
      </c>
      <c r="K21" s="37">
        <f>SUM(K8:K9)</f>
        <v>13.706111111111113</v>
      </c>
      <c r="L21" s="38">
        <f>SUM(L8:L9)</f>
        <v>0</v>
      </c>
      <c r="M21" s="44"/>
    </row>
    <row r="22" spans="1:13" ht="18.75" x14ac:dyDescent="0.15">
      <c r="A22" s="10">
        <f t="shared" ca="1" si="0"/>
        <v>46044.1355140046</v>
      </c>
      <c r="B22" s="5" t="s">
        <v>79</v>
      </c>
      <c r="C22" s="11">
        <v>0.135509259259259</v>
      </c>
      <c r="D22" s="11" t="s">
        <v>62</v>
      </c>
      <c r="E22" s="11">
        <v>0.222152777777778</v>
      </c>
      <c r="F22" s="12">
        <f t="shared" si="1"/>
        <v>2.079444444444456</v>
      </c>
      <c r="G22" s="13">
        <f t="shared" si="2"/>
        <v>0</v>
      </c>
      <c r="H22" s="13">
        <f t="shared" si="3"/>
        <v>2.079444444444456</v>
      </c>
      <c r="I22"/>
      <c r="J22"/>
    </row>
    <row r="23" spans="1:13" ht="18.75" x14ac:dyDescent="0.15">
      <c r="A23" s="10">
        <f t="shared" ca="1" si="0"/>
        <v>46046.5006230324</v>
      </c>
      <c r="B23" s="5" t="s">
        <v>81</v>
      </c>
      <c r="C23" s="11">
        <v>0.50061342592592595</v>
      </c>
      <c r="D23" s="11" t="s">
        <v>62</v>
      </c>
      <c r="E23" s="11">
        <v>0.64124999999999999</v>
      </c>
      <c r="F23" s="12">
        <f t="shared" si="1"/>
        <v>3.3752777777777769</v>
      </c>
      <c r="G23" s="13">
        <f t="shared" si="2"/>
        <v>3.3752777777777769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46046.749494213</v>
      </c>
      <c r="B24" s="5" t="s">
        <v>83</v>
      </c>
      <c r="C24" s="11">
        <v>0.74949074074074096</v>
      </c>
      <c r="D24" s="11" t="s">
        <v>62</v>
      </c>
      <c r="E24" s="11">
        <v>0.83831018518518496</v>
      </c>
      <c r="F24" s="12">
        <f t="shared" si="1"/>
        <v>2.1316666666666562</v>
      </c>
      <c r="G24" s="13">
        <f t="shared" si="2"/>
        <v>2.1316666666666562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46047.460026041699</v>
      </c>
      <c r="B25" s="5" t="s">
        <v>81</v>
      </c>
      <c r="C25" s="11">
        <v>0.46002314814814799</v>
      </c>
      <c r="D25" s="11" t="s">
        <v>62</v>
      </c>
      <c r="E25" s="11">
        <v>0.58981481481481501</v>
      </c>
      <c r="F25" s="12">
        <f t="shared" si="1"/>
        <v>3.1150000000000087</v>
      </c>
      <c r="G25" s="13">
        <f t="shared" si="2"/>
        <v>3.1150000000000087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46047.710547569397</v>
      </c>
      <c r="B26" s="5" t="s">
        <v>83</v>
      </c>
      <c r="C26" s="11">
        <v>0.71054398148148101</v>
      </c>
      <c r="D26" s="11" t="s">
        <v>62</v>
      </c>
      <c r="E26" s="11">
        <v>0.83917824074074099</v>
      </c>
      <c r="F26" s="12">
        <f t="shared" si="1"/>
        <v>3.0872222222222394</v>
      </c>
      <c r="G26" s="13">
        <f t="shared" si="2"/>
        <v>3.0872222222222394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46050.356329861097</v>
      </c>
      <c r="B27" s="5" t="s">
        <v>81</v>
      </c>
      <c r="C27" s="11">
        <v>0.35631944444444402</v>
      </c>
      <c r="D27" s="11" t="s">
        <v>62</v>
      </c>
      <c r="E27" s="11">
        <v>0.50715277777777801</v>
      </c>
      <c r="F27" s="12">
        <f t="shared" si="1"/>
        <v>3.6200000000000156</v>
      </c>
      <c r="G27" s="13">
        <f t="shared" si="2"/>
        <v>3.6200000000000156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46050.648473611102</v>
      </c>
      <c r="B28" s="5" t="s">
        <v>81</v>
      </c>
      <c r="C28" s="11">
        <v>0.64847222222222201</v>
      </c>
      <c r="D28" s="11" t="s">
        <v>62</v>
      </c>
      <c r="E28" s="11">
        <v>0.73640046296296302</v>
      </c>
      <c r="F28" s="12">
        <f t="shared" si="1"/>
        <v>2.1102777777777844</v>
      </c>
      <c r="G28" s="13">
        <f t="shared" si="2"/>
        <v>2.1102777777777844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46051.292231018502</v>
      </c>
      <c r="B29" s="5" t="s">
        <v>80</v>
      </c>
      <c r="C29" s="11">
        <v>0.29222222222222199</v>
      </c>
      <c r="D29" s="11" t="s">
        <v>62</v>
      </c>
      <c r="E29" s="11">
        <v>0.42277777777777797</v>
      </c>
      <c r="F29" s="12">
        <f t="shared" si="1"/>
        <v>3.1333333333333435</v>
      </c>
      <c r="G29" s="13">
        <f t="shared" si="2"/>
        <v>2.1466666666666798</v>
      </c>
      <c r="H29" s="13">
        <f t="shared" si="3"/>
        <v>0.98666666666666369</v>
      </c>
      <c r="I29"/>
      <c r="J29"/>
    </row>
    <row r="30" spans="1:13" ht="18.75" x14ac:dyDescent="0.15">
      <c r="A30" s="10">
        <f t="shared" ca="1" si="0"/>
        <v>46051.422814236103</v>
      </c>
      <c r="B30" s="5" t="s">
        <v>82</v>
      </c>
      <c r="C30" s="11">
        <v>0.42281249999999998</v>
      </c>
      <c r="D30" s="11" t="s">
        <v>62</v>
      </c>
      <c r="E30" s="11">
        <v>0.46402777777777798</v>
      </c>
      <c r="F30" s="12">
        <f t="shared" si="1"/>
        <v>0.98916666666667208</v>
      </c>
      <c r="G30" s="13">
        <f t="shared" si="2"/>
        <v>0.98916666666667208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46051.501727430601</v>
      </c>
      <c r="B31" s="5" t="s">
        <v>80</v>
      </c>
      <c r="C31" s="11">
        <v>0.50172453703703701</v>
      </c>
      <c r="D31" s="11" t="s">
        <v>62</v>
      </c>
      <c r="E31" s="11">
        <v>0.62902777777777796</v>
      </c>
      <c r="F31" s="12">
        <f t="shared" si="1"/>
        <v>3.0552777777777829</v>
      </c>
      <c r="G31" s="13">
        <f t="shared" si="2"/>
        <v>3.0552777777777829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zoomScale="85" zoomScaleNormal="85" workbookViewId="0">
      <selection activeCell="D31" sqref="D3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46025.134052893503</v>
      </c>
      <c r="B3" s="5" t="s">
        <v>87</v>
      </c>
      <c r="C3" s="11">
        <v>0.13405092592592599</v>
      </c>
      <c r="D3" s="11" t="s">
        <v>62</v>
      </c>
      <c r="E3" s="11">
        <v>0.21402777777777801</v>
      </c>
      <c r="F3" s="12">
        <f t="shared" ref="F3:F42" si="1">(IF(E3-C3&lt;0,"24:00"-C3+E3,E3-C3))*24</f>
        <v>1.9194444444444485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1.9194444444444485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46026.139862384298</v>
      </c>
      <c r="B4" s="5" t="s">
        <v>87</v>
      </c>
      <c r="C4" s="11">
        <v>0.13986111111111099</v>
      </c>
      <c r="D4" s="11" t="s">
        <v>62</v>
      </c>
      <c r="E4" s="11">
        <v>0.30259259259259302</v>
      </c>
      <c r="F4" s="12">
        <f t="shared" si="1"/>
        <v>3.9055555555555688</v>
      </c>
      <c r="G4" s="13">
        <f t="shared" si="2"/>
        <v>0</v>
      </c>
      <c r="H4" s="13">
        <f t="shared" si="3"/>
        <v>3.9055555555555688</v>
      </c>
      <c r="I4" s="21" t="s">
        <v>64</v>
      </c>
      <c r="J4" s="22">
        <f>SUMIF(B:B,"西塔台管制席",F:F)+SUMIF(B:B,"东塔台管制席",F:F)</f>
        <v>26.476944444444435</v>
      </c>
      <c r="K4" s="23">
        <f>SUMIF(B:B,"西塔台管制席",G:G)+SUMIF(B:B,"东塔台管制席",G:G)</f>
        <v>16.843055555555569</v>
      </c>
      <c r="L4" s="23">
        <f>SUMIF(B:B,"西塔台管制席",H:H)+SUMIF(B:B,"东塔台管制席",H:H)</f>
        <v>9.633888888888869</v>
      </c>
      <c r="M4" s="19"/>
    </row>
    <row r="5" spans="1:16" ht="18.75" x14ac:dyDescent="0.25">
      <c r="A5" s="10">
        <f t="shared" ca="1" si="0"/>
        <v>46028.500937152799</v>
      </c>
      <c r="B5" s="5" t="s">
        <v>87</v>
      </c>
      <c r="C5" s="11">
        <v>0.50093750000000004</v>
      </c>
      <c r="D5" s="11" t="s">
        <v>62</v>
      </c>
      <c r="E5" s="11">
        <v>0.63056712962963002</v>
      </c>
      <c r="F5" s="12">
        <f t="shared" si="1"/>
        <v>3.1111111111111196</v>
      </c>
      <c r="G5" s="13">
        <f t="shared" si="2"/>
        <v>3.1111111111111196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19.638611111111111</v>
      </c>
      <c r="K5" s="23">
        <f>SUMIF(B:B,"西塔台协调席",G:G)+SUMIF(B:B,"东塔台协调席",G:G)</f>
        <v>16.942499999999995</v>
      </c>
      <c r="L5" s="23">
        <f>SUMIF(B:B,"西塔台协调席",H:H)+SUMIF(B:B,"东塔台协调席",H:H)</f>
        <v>2.696111111111112</v>
      </c>
      <c r="M5" s="19"/>
    </row>
    <row r="6" spans="1:16" ht="18.75" x14ac:dyDescent="0.25">
      <c r="A6" s="10">
        <f t="shared" ca="1" si="0"/>
        <v>46028.760039351902</v>
      </c>
      <c r="B6" s="5" t="s">
        <v>87</v>
      </c>
      <c r="C6" s="11">
        <v>0.75170138888888904</v>
      </c>
      <c r="D6" s="11" t="s">
        <v>62</v>
      </c>
      <c r="E6" s="11">
        <v>0.87997685185185204</v>
      </c>
      <c r="F6" s="12">
        <f t="shared" si="1"/>
        <v>3.0786111111111119</v>
      </c>
      <c r="G6" s="13">
        <f t="shared" si="2"/>
        <v>3.0786111111111119</v>
      </c>
      <c r="H6" s="13">
        <f t="shared" si="3"/>
        <v>0</v>
      </c>
      <c r="I6" s="21" t="s">
        <v>66</v>
      </c>
      <c r="J6" s="22">
        <f>SUMIF(B:B,"放行席",F:F)</f>
        <v>2.133611111111112</v>
      </c>
      <c r="K6" s="23">
        <f>SUMIF(B:B,"放行席",G:G)</f>
        <v>0</v>
      </c>
      <c r="L6" s="23">
        <f>SUMIF(B:B,"放行席",H:H)</f>
        <v>2.133611111111112</v>
      </c>
      <c r="M6" s="19"/>
    </row>
    <row r="7" spans="1:16" ht="18.75" x14ac:dyDescent="0.25">
      <c r="A7" s="10">
        <f t="shared" ca="1" si="0"/>
        <v>46029.418090277803</v>
      </c>
      <c r="B7" s="5" t="s">
        <v>87</v>
      </c>
      <c r="C7" s="11">
        <v>0.41809027777777802</v>
      </c>
      <c r="D7" s="11" t="s">
        <v>62</v>
      </c>
      <c r="E7" s="11">
        <v>0.54667824074074101</v>
      </c>
      <c r="F7" s="12">
        <f t="shared" si="1"/>
        <v>3.0861111111111117</v>
      </c>
      <c r="G7" s="13">
        <f t="shared" si="2"/>
        <v>3.0861111111111117</v>
      </c>
      <c r="H7" s="13">
        <f t="shared" si="3"/>
        <v>0</v>
      </c>
      <c r="I7" s="21" t="s">
        <v>67</v>
      </c>
      <c r="J7" s="22">
        <f>SUMIF(B:B,"地面席",F:F)</f>
        <v>3.9808333333333201</v>
      </c>
      <c r="K7" s="23">
        <f>SUMIF(B:B,"地面席",G:G)</f>
        <v>0</v>
      </c>
      <c r="L7" s="23">
        <f>SUMIF(B:B,"地面席",H:H)</f>
        <v>3.9808333333333201</v>
      </c>
      <c r="M7" s="19"/>
    </row>
    <row r="8" spans="1:16" ht="18.75" x14ac:dyDescent="0.25">
      <c r="A8" s="10">
        <f t="shared" ca="1" si="0"/>
        <v>46029.625551736099</v>
      </c>
      <c r="B8" s="5" t="s">
        <v>87</v>
      </c>
      <c r="C8" s="11">
        <v>0.62554398148148105</v>
      </c>
      <c r="D8" s="11" t="s">
        <v>62</v>
      </c>
      <c r="E8" s="11">
        <v>0.758969907407407</v>
      </c>
      <c r="F8" s="12">
        <f t="shared" si="1"/>
        <v>3.2022222222222227</v>
      </c>
      <c r="G8" s="13">
        <f t="shared" si="2"/>
        <v>3.2022222222222227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46030.139544444399</v>
      </c>
      <c r="B9" s="5" t="s">
        <v>87</v>
      </c>
      <c r="C9" s="11">
        <v>0.13953703703703699</v>
      </c>
      <c r="D9" s="11" t="s">
        <v>62</v>
      </c>
      <c r="E9" s="11">
        <v>0.14777777777777801</v>
      </c>
      <c r="F9" s="12">
        <f t="shared" si="1"/>
        <v>0.19777777777778449</v>
      </c>
      <c r="G9" s="13">
        <f t="shared" si="2"/>
        <v>0</v>
      </c>
      <c r="H9" s="13">
        <f t="shared" si="3"/>
        <v>0.19777777777778449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46030.148051967597</v>
      </c>
      <c r="B10" s="5" t="s">
        <v>87</v>
      </c>
      <c r="C10" s="11">
        <v>0.14804398148148101</v>
      </c>
      <c r="D10" s="11" t="s">
        <v>62</v>
      </c>
      <c r="E10" s="11">
        <v>0.30221064814814802</v>
      </c>
      <c r="F10" s="12">
        <f t="shared" si="1"/>
        <v>3.7000000000000082</v>
      </c>
      <c r="G10" s="13">
        <f t="shared" si="2"/>
        <v>0</v>
      </c>
      <c r="H10" s="13">
        <f t="shared" si="3"/>
        <v>3.7000000000000082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46033.016042476898</v>
      </c>
      <c r="B11" s="5" t="s">
        <v>80</v>
      </c>
      <c r="C11" s="11">
        <v>1.6041666666666701E-2</v>
      </c>
      <c r="D11" s="11" t="s">
        <v>62</v>
      </c>
      <c r="E11" s="11">
        <v>0.14388888888888901</v>
      </c>
      <c r="F11" s="12">
        <f t="shared" si="1"/>
        <v>3.0683333333333351</v>
      </c>
      <c r="G11" s="13">
        <f t="shared" si="2"/>
        <v>0</v>
      </c>
      <c r="H11" s="13">
        <f t="shared" si="3"/>
        <v>3.0683333333333351</v>
      </c>
      <c r="I11" s="24" t="s">
        <v>71</v>
      </c>
      <c r="J11" s="25">
        <f>SUMIF(B:B,"见习管制员",F:F)</f>
        <v>22.200833333333378</v>
      </c>
      <c r="K11" s="26">
        <f>SUMIF(B:B,"见习管制员",G:G)</f>
        <v>12.478055555555567</v>
      </c>
      <c r="L11" s="26">
        <f>SUMIF(B:B,"见习管制员",H:H)</f>
        <v>9.7227777777778108</v>
      </c>
      <c r="M11" s="19"/>
    </row>
    <row r="12" spans="1:16" ht="18.75" x14ac:dyDescent="0.25">
      <c r="A12" s="10">
        <f t="shared" ca="1" si="0"/>
        <v>46037.139993286997</v>
      </c>
      <c r="B12" s="5" t="s">
        <v>80</v>
      </c>
      <c r="C12" s="11">
        <v>0.139988425925926</v>
      </c>
      <c r="D12" s="11" t="s">
        <v>62</v>
      </c>
      <c r="E12" s="11">
        <v>0.22306712962962999</v>
      </c>
      <c r="F12" s="12">
        <f t="shared" si="1"/>
        <v>1.9938888888888957</v>
      </c>
      <c r="G12" s="13">
        <f t="shared" si="2"/>
        <v>0</v>
      </c>
      <c r="H12" s="13">
        <f t="shared" si="3"/>
        <v>1.9938888888888957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46038.134823379602</v>
      </c>
      <c r="B13" s="5" t="s">
        <v>84</v>
      </c>
      <c r="C13" s="11">
        <v>0.134814814814815</v>
      </c>
      <c r="D13" s="11" t="s">
        <v>62</v>
      </c>
      <c r="E13" s="11">
        <v>0.223715277777778</v>
      </c>
      <c r="F13" s="12">
        <f t="shared" si="1"/>
        <v>2.133611111111112</v>
      </c>
      <c r="G13" s="13">
        <f t="shared" si="2"/>
        <v>0</v>
      </c>
      <c r="H13" s="13">
        <f t="shared" si="3"/>
        <v>2.133611111111112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46040.356709027801</v>
      </c>
      <c r="B14" s="5" t="s">
        <v>78</v>
      </c>
      <c r="C14" s="11">
        <v>0.35670138888888903</v>
      </c>
      <c r="D14" s="11" t="s">
        <v>62</v>
      </c>
      <c r="E14" s="11">
        <v>0.42322916666666699</v>
      </c>
      <c r="F14" s="12">
        <f t="shared" si="1"/>
        <v>1.5966666666666711</v>
      </c>
      <c r="G14" s="13">
        <f t="shared" si="2"/>
        <v>1.5966666666666711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46040.423548958301</v>
      </c>
      <c r="B15" s="5" t="s">
        <v>81</v>
      </c>
      <c r="C15" s="11">
        <v>0.42354166666666698</v>
      </c>
      <c r="D15" s="11" t="s">
        <v>62</v>
      </c>
      <c r="E15" s="11">
        <v>0.50381944444444404</v>
      </c>
      <c r="F15" s="12">
        <f t="shared" si="1"/>
        <v>1.9266666666666494</v>
      </c>
      <c r="G15" s="13">
        <f t="shared" si="2"/>
        <v>1.9266666666666494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46040.755780787003</v>
      </c>
      <c r="B16" s="5" t="s">
        <v>81</v>
      </c>
      <c r="C16" s="11">
        <v>0.62521990740740696</v>
      </c>
      <c r="D16" s="11" t="s">
        <v>62</v>
      </c>
      <c r="E16" s="11">
        <v>0.75591435185185196</v>
      </c>
      <c r="F16" s="12">
        <f t="shared" si="1"/>
        <v>3.13666666666668</v>
      </c>
      <c r="G16" s="13">
        <f t="shared" si="2"/>
        <v>3.13666666666668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46040.876191782401</v>
      </c>
      <c r="B17" s="5" t="s">
        <v>83</v>
      </c>
      <c r="C17" s="11">
        <v>0.87619212962963</v>
      </c>
      <c r="D17" s="11" t="s">
        <v>62</v>
      </c>
      <c r="E17" s="11">
        <v>0.96265046296296297</v>
      </c>
      <c r="F17" s="12">
        <f t="shared" si="1"/>
        <v>2.0749999999999913</v>
      </c>
      <c r="G17" s="13">
        <f t="shared" si="2"/>
        <v>2.0749999999999913</v>
      </c>
      <c r="H17" s="13">
        <f t="shared" si="3"/>
        <v>0</v>
      </c>
      <c r="I17" s="35" t="s">
        <v>75</v>
      </c>
      <c r="J17" s="36">
        <f>J4+J5+J6+J7+J10</f>
        <v>52.229999999999983</v>
      </c>
      <c r="K17" s="37">
        <f>K4+K5+K6+K7+K10</f>
        <v>33.785555555555561</v>
      </c>
      <c r="L17" s="38">
        <f>L4+L5+L6+L7+L10</f>
        <v>18.444444444444411</v>
      </c>
      <c r="M17" s="39"/>
    </row>
    <row r="18" spans="1:13" ht="20.25" x14ac:dyDescent="0.25">
      <c r="A18" s="10">
        <f t="shared" ca="1" si="0"/>
        <v>46041.299200925903</v>
      </c>
      <c r="B18" s="5" t="s">
        <v>80</v>
      </c>
      <c r="C18" s="11">
        <v>0.29924768518518502</v>
      </c>
      <c r="D18" s="11" t="s">
        <v>62</v>
      </c>
      <c r="E18" s="11">
        <v>0.354606481481481</v>
      </c>
      <c r="F18" s="12">
        <f t="shared" si="1"/>
        <v>1.3286111111111034</v>
      </c>
      <c r="G18" s="13">
        <f t="shared" si="2"/>
        <v>0.51055555555555232</v>
      </c>
      <c r="H18" s="13">
        <f t="shared" si="3"/>
        <v>0.81805555555555109</v>
      </c>
      <c r="I18" s="35" t="s">
        <v>71</v>
      </c>
      <c r="J18" s="36">
        <f t="shared" ref="J18:L18" si="5">J11</f>
        <v>22.200833333333378</v>
      </c>
      <c r="K18" s="37">
        <f t="shared" si="5"/>
        <v>12.478055555555567</v>
      </c>
      <c r="L18" s="38">
        <f t="shared" si="5"/>
        <v>9.7227777777778108</v>
      </c>
      <c r="M18" s="39"/>
    </row>
    <row r="19" spans="1:13" ht="20.25" x14ac:dyDescent="0.25">
      <c r="A19" s="10">
        <f t="shared" ca="1" si="0"/>
        <v>46041.354634837997</v>
      </c>
      <c r="B19" s="5" t="s">
        <v>83</v>
      </c>
      <c r="C19" s="11">
        <v>0.35462962962963002</v>
      </c>
      <c r="D19" s="11" t="s">
        <v>62</v>
      </c>
      <c r="E19" s="11">
        <v>0.46261574074074102</v>
      </c>
      <c r="F19" s="12">
        <f t="shared" si="1"/>
        <v>2.5916666666666641</v>
      </c>
      <c r="G19" s="13">
        <f t="shared" si="2"/>
        <v>2.5916666666666641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46041.542879513901</v>
      </c>
      <c r="B20" s="5" t="s">
        <v>81</v>
      </c>
      <c r="C20" s="11">
        <v>0.54287037037037</v>
      </c>
      <c r="D20" s="11" t="s">
        <v>62</v>
      </c>
      <c r="E20" s="11">
        <v>0.62913194444444398</v>
      </c>
      <c r="F20" s="12">
        <f t="shared" si="1"/>
        <v>2.0702777777777754</v>
      </c>
      <c r="G20" s="13">
        <f t="shared" si="2"/>
        <v>2.0702777777777754</v>
      </c>
      <c r="H20" s="13">
        <f t="shared" si="3"/>
        <v>0</v>
      </c>
      <c r="I20" s="40" t="s">
        <v>77</v>
      </c>
      <c r="J20" s="65">
        <f>J16+J17+J18+J19</f>
        <v>74.430833333333368</v>
      </c>
      <c r="K20" s="66"/>
      <c r="L20" s="67"/>
      <c r="M20" s="41"/>
    </row>
    <row r="21" spans="1:13" ht="20.25" x14ac:dyDescent="0.25">
      <c r="A21" s="10">
        <f t="shared" ca="1" si="0"/>
        <v>46041.755149999997</v>
      </c>
      <c r="B21" s="5" t="s">
        <v>83</v>
      </c>
      <c r="C21" s="11">
        <v>0.75513888888888903</v>
      </c>
      <c r="D21" s="11" t="s">
        <v>62</v>
      </c>
      <c r="E21" s="11">
        <v>0.83614583333333303</v>
      </c>
      <c r="F21" s="12">
        <f t="shared" si="1"/>
        <v>1.9441666666666562</v>
      </c>
      <c r="G21" s="13">
        <f t="shared" si="2"/>
        <v>1.9441666666666562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46044.960053009301</v>
      </c>
      <c r="B22" s="5" t="s">
        <v>80</v>
      </c>
      <c r="C22" s="11">
        <v>0.96004629629629601</v>
      </c>
      <c r="D22" s="11" t="s">
        <v>62</v>
      </c>
      <c r="E22" s="11">
        <v>0.12189814814814801</v>
      </c>
      <c r="F22" s="12">
        <f t="shared" si="1"/>
        <v>3.8844444444444477</v>
      </c>
      <c r="G22" s="13">
        <f t="shared" si="2"/>
        <v>0.95888888888889579</v>
      </c>
      <c r="H22" s="13">
        <f t="shared" si="3"/>
        <v>2.9255555555555519</v>
      </c>
      <c r="I22"/>
      <c r="J22"/>
    </row>
    <row r="23" spans="1:13" ht="18.75" x14ac:dyDescent="0.15">
      <c r="A23" s="10">
        <f t="shared" ca="1" si="0"/>
        <v>46046.140403009304</v>
      </c>
      <c r="B23" s="5" t="s">
        <v>79</v>
      </c>
      <c r="C23" s="11">
        <v>0.140393518518519</v>
      </c>
      <c r="D23" s="11" t="s">
        <v>62</v>
      </c>
      <c r="E23" s="11">
        <v>0.21643518518518501</v>
      </c>
      <c r="F23" s="12">
        <f t="shared" si="1"/>
        <v>1.8249999999999842</v>
      </c>
      <c r="G23" s="13">
        <f t="shared" si="2"/>
        <v>0</v>
      </c>
      <c r="H23" s="13">
        <f t="shared" si="3"/>
        <v>1.8249999999999842</v>
      </c>
      <c r="I23"/>
      <c r="J23"/>
    </row>
    <row r="24" spans="1:13" ht="18.75" x14ac:dyDescent="0.15">
      <c r="A24" s="10">
        <f t="shared" ca="1" si="0"/>
        <v>46049.140579166698</v>
      </c>
      <c r="B24" s="5" t="s">
        <v>79</v>
      </c>
      <c r="C24" s="11">
        <v>0.14057870370370401</v>
      </c>
      <c r="D24" s="11" t="s">
        <v>62</v>
      </c>
      <c r="E24" s="11">
        <v>0.23040509259259301</v>
      </c>
      <c r="F24" s="12">
        <f t="shared" si="1"/>
        <v>2.1558333333333359</v>
      </c>
      <c r="G24" s="13">
        <f t="shared" si="2"/>
        <v>0</v>
      </c>
      <c r="H24" s="13">
        <f t="shared" si="3"/>
        <v>2.1558333333333359</v>
      </c>
      <c r="I24"/>
      <c r="J24"/>
    </row>
    <row r="25" spans="1:13" ht="18.75" x14ac:dyDescent="0.15">
      <c r="A25" s="10">
        <f t="shared" ca="1" si="0"/>
        <v>46049.959600347203</v>
      </c>
      <c r="B25" s="5" t="s">
        <v>83</v>
      </c>
      <c r="C25" s="11">
        <v>0.95959490740740705</v>
      </c>
      <c r="D25" s="11" t="s">
        <v>62</v>
      </c>
      <c r="E25" s="11">
        <v>0.112337962962963</v>
      </c>
      <c r="F25" s="12">
        <f t="shared" si="1"/>
        <v>3.6658333333333428</v>
      </c>
      <c r="G25" s="13">
        <f t="shared" si="2"/>
        <v>0.96972222222223081</v>
      </c>
      <c r="H25" s="13">
        <f t="shared" si="3"/>
        <v>2.696111111111112</v>
      </c>
      <c r="I25"/>
      <c r="J25"/>
    </row>
    <row r="26" spans="1:13" ht="18.75" x14ac:dyDescent="0.15">
      <c r="A26" s="10">
        <f t="shared" ca="1" si="0"/>
        <v>46052.355215625001</v>
      </c>
      <c r="B26" s="5" t="s">
        <v>83</v>
      </c>
      <c r="C26" s="11">
        <v>0.35520833333333302</v>
      </c>
      <c r="D26" s="11" t="s">
        <v>62</v>
      </c>
      <c r="E26" s="11">
        <v>0.50642361111111101</v>
      </c>
      <c r="F26" s="12">
        <f t="shared" si="1"/>
        <v>3.6291666666666718</v>
      </c>
      <c r="G26" s="13">
        <f t="shared" si="2"/>
        <v>3.6291666666666718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46052.626672222199</v>
      </c>
      <c r="B27" s="5" t="s">
        <v>81</v>
      </c>
      <c r="C27" s="11">
        <v>0.62666666666666704</v>
      </c>
      <c r="D27" s="11" t="s">
        <v>62</v>
      </c>
      <c r="E27" s="11">
        <v>0.75513888888888903</v>
      </c>
      <c r="F27" s="12">
        <f t="shared" si="1"/>
        <v>3.0833333333333277</v>
      </c>
      <c r="G27" s="13">
        <f t="shared" si="2"/>
        <v>3.0833333333333277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46052.875741782402</v>
      </c>
      <c r="B28" s="5" t="s">
        <v>83</v>
      </c>
      <c r="C28" s="11">
        <v>0.87574074074074104</v>
      </c>
      <c r="D28" s="11" t="s">
        <v>62</v>
      </c>
      <c r="E28" s="11">
        <v>0.96339120370370401</v>
      </c>
      <c r="F28" s="12">
        <f t="shared" si="1"/>
        <v>2.1036111111111113</v>
      </c>
      <c r="G28" s="13">
        <f t="shared" si="2"/>
        <v>2.1036111111111113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46053.465503703701</v>
      </c>
      <c r="B29" s="5" t="s">
        <v>81</v>
      </c>
      <c r="C29" s="11">
        <v>0.29883101851851901</v>
      </c>
      <c r="D29" s="11" t="s">
        <v>62</v>
      </c>
      <c r="E29" s="11">
        <v>0.46568287037036998</v>
      </c>
      <c r="F29" s="12">
        <f t="shared" si="1"/>
        <v>4.0044444444444238</v>
      </c>
      <c r="G29" s="13">
        <f t="shared" si="2"/>
        <v>3.1763888888888885</v>
      </c>
      <c r="H29" s="13">
        <f t="shared" si="3"/>
        <v>0.82805555555553534</v>
      </c>
      <c r="I29"/>
      <c r="J29"/>
    </row>
    <row r="30" spans="1:13" ht="18.75" x14ac:dyDescent="0.15">
      <c r="A30" s="10">
        <f t="shared" ca="1" si="0"/>
        <v>46053.543238657403</v>
      </c>
      <c r="B30" s="5" t="s">
        <v>83</v>
      </c>
      <c r="C30" s="11">
        <v>0.54322916666666698</v>
      </c>
      <c r="D30" s="11" t="s">
        <v>62</v>
      </c>
      <c r="E30" s="11">
        <v>0.62791666666666701</v>
      </c>
      <c r="F30" s="12">
        <f t="shared" si="1"/>
        <v>2.0325000000000006</v>
      </c>
      <c r="G30" s="13">
        <f t="shared" si="2"/>
        <v>2.0325000000000006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46053.755069791703</v>
      </c>
      <c r="B31" s="5" t="s">
        <v>81</v>
      </c>
      <c r="C31" s="11">
        <v>0.75506944444444402</v>
      </c>
      <c r="D31" s="11" t="s">
        <v>62</v>
      </c>
      <c r="E31" s="11">
        <v>0.83758101851851896</v>
      </c>
      <c r="F31" s="12">
        <f t="shared" si="1"/>
        <v>1.9802777777777987</v>
      </c>
      <c r="G31" s="13">
        <f t="shared" si="2"/>
        <v>1.9802777777777987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46024.957772453701</v>
      </c>
      <c r="B3" s="5" t="s">
        <v>87</v>
      </c>
      <c r="C3" s="11">
        <v>0.95776620370370402</v>
      </c>
      <c r="D3" s="11" t="s">
        <v>62</v>
      </c>
      <c r="E3" s="11">
        <v>0.10621527777777801</v>
      </c>
      <c r="F3" s="12">
        <f t="shared" ref="F3:F42" si="1">(IF(E3-C3&lt;0,"24:00"-C3+E3,E3-C3))*24</f>
        <v>3.5627777777777756</v>
      </c>
      <c r="G3" s="13">
        <f t="shared" ref="G3:G42" si="2">F3-H3</f>
        <v>1.0136111111111035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2.5491666666666721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46025.9592364583</v>
      </c>
      <c r="B4" s="5" t="s">
        <v>87</v>
      </c>
      <c r="C4" s="11">
        <v>0.95923611111111096</v>
      </c>
      <c r="D4" s="11" t="s">
        <v>62</v>
      </c>
      <c r="E4" s="11">
        <v>0.108310185185185</v>
      </c>
      <c r="F4" s="12">
        <f t="shared" si="1"/>
        <v>3.5777777777777766</v>
      </c>
      <c r="G4" s="13">
        <f t="shared" si="2"/>
        <v>0.97833333333333661</v>
      </c>
      <c r="H4" s="13">
        <f t="shared" si="3"/>
        <v>2.59944444444444</v>
      </c>
      <c r="I4" s="21" t="s">
        <v>64</v>
      </c>
      <c r="J4" s="22">
        <f>SUMIF(B:B,"西塔台管制席",F:F)+SUMIF(B:B,"东塔台管制席",F:F)</f>
        <v>28.978888888888889</v>
      </c>
      <c r="K4" s="23">
        <f>SUMIF(B:B,"西塔台管制席",G:G)+SUMIF(B:B,"东塔台管制席",G:G)</f>
        <v>16.432500000000022</v>
      </c>
      <c r="L4" s="23">
        <f>SUMIF(B:B,"西塔台管制席",H:H)+SUMIF(B:B,"东塔台管制席",H:H)</f>
        <v>12.546388888888863</v>
      </c>
      <c r="M4" s="19"/>
    </row>
    <row r="5" spans="1:16" ht="18.75" x14ac:dyDescent="0.25">
      <c r="A5" s="10">
        <f t="shared" ca="1" si="0"/>
        <v>46029.139134259298</v>
      </c>
      <c r="B5" s="5" t="s">
        <v>87</v>
      </c>
      <c r="C5" s="11">
        <v>0.13913194444444399</v>
      </c>
      <c r="D5" s="11" t="s">
        <v>62</v>
      </c>
      <c r="E5" s="11">
        <v>0.304108796296296</v>
      </c>
      <c r="F5" s="12">
        <f t="shared" si="1"/>
        <v>3.9594444444444483</v>
      </c>
      <c r="G5" s="13">
        <f t="shared" si="2"/>
        <v>0</v>
      </c>
      <c r="H5" s="13">
        <f t="shared" si="3"/>
        <v>3.9594444444444483</v>
      </c>
      <c r="I5" s="21" t="s">
        <v>65</v>
      </c>
      <c r="J5" s="22">
        <f>SUMIF(B:B,"西塔台协调席",F:F)+SUMIF(B:B,"东塔台协调席",F:F)</f>
        <v>20.864722222222206</v>
      </c>
      <c r="K5" s="23">
        <f>SUMIF(B:B,"西塔台协调席",G:G)+SUMIF(B:B,"东塔台协调席",G:G)</f>
        <v>14.579166666666648</v>
      </c>
      <c r="L5" s="23">
        <f>SUMIF(B:B,"西塔台协调席",H:H)+SUMIF(B:B,"东塔台协调席",H:H)</f>
        <v>6.2855555555555576</v>
      </c>
      <c r="M5" s="19"/>
    </row>
    <row r="6" spans="1:16" ht="18.75" x14ac:dyDescent="0.25">
      <c r="A6" s="10">
        <f t="shared" ca="1" si="0"/>
        <v>46030.138442476898</v>
      </c>
      <c r="B6" s="5" t="s">
        <v>87</v>
      </c>
      <c r="C6" s="11">
        <v>0.13843749999999999</v>
      </c>
      <c r="D6" s="11" t="s">
        <v>62</v>
      </c>
      <c r="E6" s="11">
        <v>0.227025462962963</v>
      </c>
      <c r="F6" s="12">
        <f t="shared" si="1"/>
        <v>2.1261111111111122</v>
      </c>
      <c r="G6" s="13">
        <f t="shared" si="2"/>
        <v>0</v>
      </c>
      <c r="H6" s="13">
        <f t="shared" si="3"/>
        <v>2.1261111111111122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46032.4989690972</v>
      </c>
      <c r="B7" s="5" t="s">
        <v>81</v>
      </c>
      <c r="C7" s="11">
        <v>0.498958333333333</v>
      </c>
      <c r="D7" s="11" t="s">
        <v>62</v>
      </c>
      <c r="E7" s="11">
        <v>0.65203703703703697</v>
      </c>
      <c r="F7" s="12">
        <f t="shared" si="1"/>
        <v>3.6738888888888952</v>
      </c>
      <c r="G7" s="13">
        <f t="shared" si="2"/>
        <v>3.6738888888888952</v>
      </c>
      <c r="H7" s="13">
        <f t="shared" si="3"/>
        <v>0</v>
      </c>
      <c r="I7" s="21" t="s">
        <v>67</v>
      </c>
      <c r="J7" s="22">
        <f>SUMIF(B:B,"地面席",F:F)</f>
        <v>4.3705555555555682</v>
      </c>
      <c r="K7" s="23">
        <f>SUMIF(B:B,"地面席",G:G)</f>
        <v>0</v>
      </c>
      <c r="L7" s="23">
        <f>SUMIF(B:B,"地面席",H:H)</f>
        <v>4.3705555555555682</v>
      </c>
      <c r="M7" s="19"/>
    </row>
    <row r="8" spans="1:16" ht="18.75" x14ac:dyDescent="0.25">
      <c r="A8" s="10">
        <f t="shared" ca="1" si="0"/>
        <v>46032.751133449099</v>
      </c>
      <c r="B8" s="5" t="s">
        <v>83</v>
      </c>
      <c r="C8" s="11">
        <v>0.75112268518518499</v>
      </c>
      <c r="D8" s="11" t="s">
        <v>62</v>
      </c>
      <c r="E8" s="11">
        <v>0.87901620370370404</v>
      </c>
      <c r="F8" s="12">
        <f t="shared" si="1"/>
        <v>3.0694444444444571</v>
      </c>
      <c r="G8" s="13">
        <f t="shared" si="2"/>
        <v>3.0694444444444571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46033.298662499998</v>
      </c>
      <c r="B9" s="5" t="s">
        <v>80</v>
      </c>
      <c r="C9" s="11">
        <v>0.29865740740740698</v>
      </c>
      <c r="D9" s="11" t="s">
        <v>62</v>
      </c>
      <c r="E9" s="11">
        <v>0.341828703703704</v>
      </c>
      <c r="F9" s="12">
        <f t="shared" si="1"/>
        <v>1.0361111111111283</v>
      </c>
      <c r="G9" s="13">
        <f t="shared" si="2"/>
        <v>0.20388888888890433</v>
      </c>
      <c r="H9" s="13">
        <f t="shared" si="3"/>
        <v>0.83222222222222397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46033.341860879598</v>
      </c>
      <c r="B10" s="5" t="s">
        <v>81</v>
      </c>
      <c r="C10" s="11">
        <v>0.34185185185185202</v>
      </c>
      <c r="D10" s="11" t="s">
        <v>62</v>
      </c>
      <c r="E10" s="11">
        <v>0.42247685185185202</v>
      </c>
      <c r="F10" s="12">
        <f t="shared" si="1"/>
        <v>1.9350000000000001</v>
      </c>
      <c r="G10" s="13">
        <f t="shared" si="2"/>
        <v>1.9350000000000001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46033.500634027798</v>
      </c>
      <c r="B11" s="5" t="s">
        <v>81</v>
      </c>
      <c r="C11" s="11">
        <v>0.50062499999999999</v>
      </c>
      <c r="D11" s="11" t="s">
        <v>62</v>
      </c>
      <c r="E11" s="11">
        <v>0.62932870370370397</v>
      </c>
      <c r="F11" s="12">
        <f t="shared" si="1"/>
        <v>3.0888888888888957</v>
      </c>
      <c r="G11" s="13">
        <f t="shared" si="2"/>
        <v>3.0888888888888957</v>
      </c>
      <c r="H11" s="13">
        <f t="shared" si="3"/>
        <v>0</v>
      </c>
      <c r="I11" s="24" t="s">
        <v>71</v>
      </c>
      <c r="J11" s="25">
        <f>SUMIF(B:B,"见习管制员",F:F)</f>
        <v>13.226111111111113</v>
      </c>
      <c r="K11" s="26">
        <f>SUMIF(B:B,"见习管制员",G:G)</f>
        <v>1.9919444444444401</v>
      </c>
      <c r="L11" s="26">
        <f>SUMIF(B:B,"见习管制员",H:H)</f>
        <v>11.234166666666674</v>
      </c>
      <c r="M11" s="19"/>
    </row>
    <row r="12" spans="1:16" ht="18.75" x14ac:dyDescent="0.25">
      <c r="A12" s="10">
        <f t="shared" ca="1" si="0"/>
        <v>46033.749159490697</v>
      </c>
      <c r="B12" s="5" t="s">
        <v>83</v>
      </c>
      <c r="C12" s="11">
        <v>0.74915509259259305</v>
      </c>
      <c r="D12" s="11" t="s">
        <v>62</v>
      </c>
      <c r="E12" s="11">
        <v>0.841863425925926</v>
      </c>
      <c r="F12" s="12">
        <f t="shared" si="1"/>
        <v>2.2249999999999908</v>
      </c>
      <c r="G12" s="13">
        <f t="shared" si="2"/>
        <v>2.2249999999999908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ca="1">IF(C13="","",IF(A13="",NOW(),A13))</f>
        <v/>
      </c>
      <c r="C13" s="5"/>
      <c r="D13" s="11"/>
      <c r="E13" s="11"/>
      <c r="F13" s="12" t="e">
        <f>(IF(E13-#REF!&lt;0,"24:00"-#REF!+E13,E13-#REF!))*24</f>
        <v>#REF!</v>
      </c>
      <c r="G13" s="13" t="e">
        <f t="shared" si="2"/>
        <v>#REF!</v>
      </c>
      <c r="H13" s="13" t="e">
        <f>(IF(AND(#REF!&gt;=$O$3,#REF!&lt;$P$3,E13&gt;=$O$3,E13&lt;$P$3),E13-#REF!,IF(AND(#REF!&gt;=$O$3,#REF!&lt;$P$3,E13&gt;=$P$3,E13&lt;$N$3),$P$3-#REF!,IF(AND(#REF!&gt;=$P$3,#REF!&lt;$N$3,E13&gt;=$O$3,E13&lt;$P$3),E13,IF(AND(#REF!&gt;=$P$3,#REF!&lt;$N$3,E13&gt;=$P$3,E13&lt;$N$3),"0","none")))))*24</f>
        <v>#REF!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46037.015037384299</v>
      </c>
      <c r="B14" s="5" t="s">
        <v>80</v>
      </c>
      <c r="C14" s="11">
        <v>1.5034722222222199E-2</v>
      </c>
      <c r="D14" s="11" t="s">
        <v>62</v>
      </c>
      <c r="E14" s="11">
        <v>0.145474537037037</v>
      </c>
      <c r="F14" s="12">
        <f t="shared" si="1"/>
        <v>3.1305555555555555</v>
      </c>
      <c r="G14" s="13">
        <f t="shared" si="2"/>
        <v>0</v>
      </c>
      <c r="H14" s="13">
        <f t="shared" si="3"/>
        <v>3.1305555555555555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46038.013889120397</v>
      </c>
      <c r="B15" s="5" t="s">
        <v>78</v>
      </c>
      <c r="C15" s="11">
        <v>1.38888888888889E-2</v>
      </c>
      <c r="D15" s="11" t="s">
        <v>62</v>
      </c>
      <c r="E15" s="11">
        <v>9.6446759259259301E-2</v>
      </c>
      <c r="F15" s="12">
        <f t="shared" si="1"/>
        <v>1.9813888888888898</v>
      </c>
      <c r="G15" s="13">
        <f t="shared" si="2"/>
        <v>0</v>
      </c>
      <c r="H15" s="13">
        <f t="shared" si="3"/>
        <v>1.9813888888888898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46038.101652314799</v>
      </c>
      <c r="B16" s="5" t="s">
        <v>81</v>
      </c>
      <c r="C16" s="11">
        <v>0.10164351851851899</v>
      </c>
      <c r="D16" s="11" t="s">
        <v>62</v>
      </c>
      <c r="E16" s="11">
        <v>0.14436342592592599</v>
      </c>
      <c r="F16" s="12">
        <f t="shared" si="1"/>
        <v>1.025277777777768</v>
      </c>
      <c r="G16" s="13">
        <f t="shared" si="2"/>
        <v>0</v>
      </c>
      <c r="H16" s="13">
        <f t="shared" si="3"/>
        <v>1.025277777777768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46041.0138806713</v>
      </c>
      <c r="B17" s="5" t="s">
        <v>80</v>
      </c>
      <c r="C17" s="11">
        <v>1.39351851851852E-2</v>
      </c>
      <c r="D17" s="11" t="s">
        <v>62</v>
      </c>
      <c r="E17" s="11">
        <v>0.1434375</v>
      </c>
      <c r="F17" s="12">
        <f t="shared" si="1"/>
        <v>3.1080555555555556</v>
      </c>
      <c r="G17" s="13">
        <f t="shared" si="2"/>
        <v>0</v>
      </c>
      <c r="H17" s="13">
        <f t="shared" si="3"/>
        <v>3.1080555555555556</v>
      </c>
      <c r="I17" s="35" t="s">
        <v>75</v>
      </c>
      <c r="J17" s="36">
        <f>J4+J5+J6+J7+J10</f>
        <v>54.214166666666664</v>
      </c>
      <c r="K17" s="37">
        <f>K4+K5+K6+K7+K10</f>
        <v>31.01166666666667</v>
      </c>
      <c r="L17" s="38">
        <f>L4+L5+L6+L7+L10</f>
        <v>23.20249999999999</v>
      </c>
      <c r="M17" s="39"/>
    </row>
    <row r="18" spans="1:13" ht="20.25" x14ac:dyDescent="0.25">
      <c r="A18" s="10">
        <f t="shared" ca="1" si="0"/>
        <v>46042.142474768501</v>
      </c>
      <c r="B18" s="5" t="s">
        <v>78</v>
      </c>
      <c r="C18" s="11">
        <v>0.14246527777777801</v>
      </c>
      <c r="D18" s="11" t="s">
        <v>62</v>
      </c>
      <c r="E18" s="11">
        <v>0.203912037037037</v>
      </c>
      <c r="F18" s="12">
        <f t="shared" si="1"/>
        <v>1.4747222222222158</v>
      </c>
      <c r="G18" s="13">
        <f t="shared" si="2"/>
        <v>0</v>
      </c>
      <c r="H18" s="13">
        <f t="shared" si="3"/>
        <v>1.4747222222222158</v>
      </c>
      <c r="I18" s="35" t="s">
        <v>71</v>
      </c>
      <c r="J18" s="36">
        <f t="shared" ref="J18:L18" si="5">J11</f>
        <v>13.226111111111113</v>
      </c>
      <c r="K18" s="37">
        <f t="shared" si="5"/>
        <v>1.9919444444444401</v>
      </c>
      <c r="L18" s="38">
        <f t="shared" si="5"/>
        <v>11.234166666666674</v>
      </c>
      <c r="M18" s="39"/>
    </row>
    <row r="19" spans="1:13" ht="20.25" x14ac:dyDescent="0.25">
      <c r="A19" s="10">
        <f t="shared" ca="1" si="0"/>
        <v>46042.204132523097</v>
      </c>
      <c r="B19" s="5" t="s">
        <v>79</v>
      </c>
      <c r="C19" s="11">
        <v>0.20343749999999999</v>
      </c>
      <c r="D19" s="11" t="s">
        <v>62</v>
      </c>
      <c r="E19" s="11">
        <v>0.295104166666667</v>
      </c>
      <c r="F19" s="12">
        <f t="shared" si="1"/>
        <v>2.2000000000000082</v>
      </c>
      <c r="G19" s="13">
        <f t="shared" si="2"/>
        <v>0</v>
      </c>
      <c r="H19" s="13">
        <f t="shared" si="3"/>
        <v>2.2000000000000082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46042.311249189799</v>
      </c>
      <c r="B20" s="5" t="s">
        <v>81</v>
      </c>
      <c r="C20" s="11">
        <v>0.295104166666667</v>
      </c>
      <c r="D20" s="11" t="s">
        <v>62</v>
      </c>
      <c r="E20" s="11">
        <v>0.31129629629629602</v>
      </c>
      <c r="F20" s="12">
        <f t="shared" si="1"/>
        <v>0.38861111111109636</v>
      </c>
      <c r="G20" s="13">
        <f t="shared" si="2"/>
        <v>0</v>
      </c>
      <c r="H20" s="13">
        <f t="shared" si="3"/>
        <v>0.38861111111109636</v>
      </c>
      <c r="I20" s="40" t="s">
        <v>77</v>
      </c>
      <c r="J20" s="65">
        <f>J16+J17+J18+J19</f>
        <v>67.44027777777778</v>
      </c>
      <c r="K20" s="66"/>
      <c r="L20" s="67"/>
      <c r="M20" s="41"/>
    </row>
    <row r="21" spans="1:13" ht="20.25" x14ac:dyDescent="0.25">
      <c r="A21" s="10">
        <f t="shared" ca="1" si="0"/>
        <v>46044.500651157403</v>
      </c>
      <c r="B21" s="5" t="s">
        <v>80</v>
      </c>
      <c r="C21" s="11">
        <v>0.50064814814814795</v>
      </c>
      <c r="D21" s="11" t="s">
        <v>62</v>
      </c>
      <c r="E21" s="11">
        <v>0.65177083333333297</v>
      </c>
      <c r="F21" s="12">
        <f t="shared" si="1"/>
        <v>3.6269444444444403</v>
      </c>
      <c r="G21" s="13">
        <f t="shared" si="2"/>
        <v>3.6269444444444403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46044.754975347198</v>
      </c>
      <c r="B22" s="5" t="s">
        <v>78</v>
      </c>
      <c r="C22" s="11">
        <v>0.75010416666666702</v>
      </c>
      <c r="D22" s="11" t="s">
        <v>62</v>
      </c>
      <c r="E22" s="11">
        <v>0.87862268518518505</v>
      </c>
      <c r="F22" s="12">
        <f t="shared" si="1"/>
        <v>3.0844444444444328</v>
      </c>
      <c r="G22" s="13">
        <f t="shared" si="2"/>
        <v>3.0844444444444328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46045.417519097202</v>
      </c>
      <c r="B23" s="5" t="s">
        <v>81</v>
      </c>
      <c r="C23" s="11">
        <v>0.41751157407407402</v>
      </c>
      <c r="D23" s="11" t="s">
        <v>62</v>
      </c>
      <c r="E23" s="11">
        <v>0.50584490740740695</v>
      </c>
      <c r="F23" s="12">
        <f t="shared" si="1"/>
        <v>2.1199999999999903</v>
      </c>
      <c r="G23" s="13">
        <f t="shared" si="2"/>
        <v>2.1199999999999903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46045.625249536999</v>
      </c>
      <c r="B24" s="5" t="s">
        <v>83</v>
      </c>
      <c r="C24" s="11">
        <v>0.62524305555555604</v>
      </c>
      <c r="D24" s="11" t="s">
        <v>62</v>
      </c>
      <c r="E24" s="11">
        <v>0.75332175925925904</v>
      </c>
      <c r="F24" s="12">
        <f t="shared" si="1"/>
        <v>3.073888888888872</v>
      </c>
      <c r="G24" s="13">
        <f t="shared" si="2"/>
        <v>3.073888888888872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46045.833350115703</v>
      </c>
      <c r="B25" s="5" t="s">
        <v>83</v>
      </c>
      <c r="C25" s="11">
        <v>0.83334490740740697</v>
      </c>
      <c r="D25" s="11" t="s">
        <v>62</v>
      </c>
      <c r="E25" s="11">
        <v>0.96361111111111097</v>
      </c>
      <c r="F25" s="12">
        <f t="shared" si="1"/>
        <v>3.1263888888888962</v>
      </c>
      <c r="G25" s="13">
        <f t="shared" si="2"/>
        <v>3.1263888888888962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46046.298333217601</v>
      </c>
      <c r="B26" s="5" t="s">
        <v>81</v>
      </c>
      <c r="C26" s="11">
        <v>0.29833333333333301</v>
      </c>
      <c r="D26" s="11" t="s">
        <v>62</v>
      </c>
      <c r="E26" s="11">
        <v>0.36597222222222198</v>
      </c>
      <c r="F26" s="12">
        <f t="shared" si="1"/>
        <v>1.6233333333333353</v>
      </c>
      <c r="G26" s="13">
        <f t="shared" si="2"/>
        <v>0.78333333333333588</v>
      </c>
      <c r="H26" s="13">
        <f t="shared" si="3"/>
        <v>0.83999999999999941</v>
      </c>
      <c r="I26"/>
      <c r="J26"/>
    </row>
    <row r="27" spans="1:13" ht="18.75" x14ac:dyDescent="0.15">
      <c r="A27" s="10">
        <f t="shared" ca="1" si="0"/>
        <v>46049.014088773103</v>
      </c>
      <c r="B27" s="5" t="s">
        <v>78</v>
      </c>
      <c r="C27" s="11">
        <v>1.40856481481482E-2</v>
      </c>
      <c r="D27" s="11" t="s">
        <v>62</v>
      </c>
      <c r="E27" s="11">
        <v>0.13197916666666701</v>
      </c>
      <c r="F27" s="12">
        <f t="shared" si="1"/>
        <v>2.8294444444444515</v>
      </c>
      <c r="G27" s="13">
        <f t="shared" si="2"/>
        <v>0</v>
      </c>
      <c r="H27" s="13">
        <f t="shared" si="3"/>
        <v>2.8294444444444515</v>
      </c>
      <c r="I27"/>
      <c r="J27"/>
    </row>
    <row r="28" spans="1:13" ht="18.75" x14ac:dyDescent="0.15">
      <c r="A28" s="10">
        <f t="shared" ca="1" si="0"/>
        <v>46050.011707060199</v>
      </c>
      <c r="B28" s="5" t="s">
        <v>80</v>
      </c>
      <c r="C28" s="11">
        <v>1.17013888888889E-2</v>
      </c>
      <c r="D28" s="11" t="s">
        <v>62</v>
      </c>
      <c r="E28" s="11">
        <v>0.1459375</v>
      </c>
      <c r="F28" s="12">
        <f t="shared" si="1"/>
        <v>3.2216666666666667</v>
      </c>
      <c r="G28" s="13">
        <f t="shared" si="2"/>
        <v>0</v>
      </c>
      <c r="H28" s="13">
        <f t="shared" si="3"/>
        <v>3.2216666666666667</v>
      </c>
      <c r="I28"/>
      <c r="J28"/>
    </row>
    <row r="29" spans="1:13" ht="18.75" x14ac:dyDescent="0.15">
      <c r="A29" s="10">
        <f t="shared" ca="1" si="0"/>
        <v>46053.138114814799</v>
      </c>
      <c r="B29" s="5" t="s">
        <v>79</v>
      </c>
      <c r="C29" s="11">
        <v>0.13811342592592599</v>
      </c>
      <c r="D29" s="11" t="s">
        <v>62</v>
      </c>
      <c r="E29" s="11">
        <v>0.22855324074074099</v>
      </c>
      <c r="F29" s="12">
        <f t="shared" si="1"/>
        <v>2.17055555555556</v>
      </c>
      <c r="G29" s="13">
        <f t="shared" si="2"/>
        <v>0</v>
      </c>
      <c r="H29" s="13">
        <f t="shared" si="3"/>
        <v>2.17055555555556</v>
      </c>
      <c r="I29"/>
      <c r="J29"/>
    </row>
    <row r="30" spans="1:13" ht="18.75" x14ac:dyDescent="0.15">
      <c r="A30" s="10">
        <f t="shared" ca="1" si="0"/>
        <v>46053.958297106503</v>
      </c>
      <c r="B30" s="5" t="s">
        <v>81</v>
      </c>
      <c r="C30" s="11">
        <v>0.95828703703703699</v>
      </c>
      <c r="D30" s="11" t="s">
        <v>62</v>
      </c>
      <c r="E30" s="11">
        <v>0.99997685185185203</v>
      </c>
      <c r="F30" s="12">
        <f t="shared" si="1"/>
        <v>1.000555555555561</v>
      </c>
      <c r="G30" s="13">
        <f t="shared" si="2"/>
        <v>1.000555555555561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C13 B1:B12 B14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tabSelected="1" workbookViewId="0">
      <selection activeCell="T94" sqref="T94"/>
    </sheetView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刘国莲</vt:lpstr>
      <vt:lpstr>马莲花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王风瑞</vt:lpstr>
      <vt:lpstr>金鼎</vt:lpstr>
      <vt:lpstr>董志华</vt:lpstr>
      <vt:lpstr>姜文夫</vt:lpstr>
      <vt:lpstr>郭永杰</vt:lpstr>
      <vt:lpstr>吴疆</vt:lpstr>
      <vt:lpstr>朱永春</vt:lpstr>
      <vt:lpstr>刘琦</vt:lpstr>
      <vt:lpstr>巴富毅</vt:lpstr>
      <vt:lpstr>陈宏伟</vt:lpstr>
      <vt:lpstr>蒋露裕</vt:lpstr>
      <vt:lpstr>蓝宇航</vt:lpstr>
      <vt:lpstr>程卓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