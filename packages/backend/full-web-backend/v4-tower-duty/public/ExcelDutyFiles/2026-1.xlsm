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All-js-project\packages\frontend\atc-duty-front-react-js\dist\"/>
    </mc:Choice>
  </mc:AlternateContent>
  <bookViews>
    <workbookView xWindow="0" yWindow="0" windowWidth="15360" windowHeight="13500" tabRatio="913"/>
  </bookViews>
  <sheets>
    <sheet name="sheet1" sheetId="123" r:id="rId1"/>
    <sheet name="温若春" sheetId="57" r:id="rId2"/>
    <sheet name="明嘉" sheetId="79" r:id="rId3"/>
    <sheet name="徐万友" sheetId="80" r:id="rId4"/>
    <sheet name="耿若岩" sheetId="82" r:id="rId5"/>
    <sheet name="李明" sheetId="83" r:id="rId6"/>
    <sheet name="张虎" sheetId="85" r:id="rId7"/>
    <sheet name="马莲花" sheetId="86" r:id="rId8"/>
    <sheet name="刘国莲" sheetId="87" r:id="rId9"/>
    <sheet name="杜涛" sheetId="88" r:id="rId10"/>
    <sheet name="张文中" sheetId="89" r:id="rId11"/>
    <sheet name="李秋实" sheetId="90" r:id="rId12"/>
    <sheet name="周岸" sheetId="91" r:id="rId13"/>
    <sheet name="詹泽彬" sheetId="92" r:id="rId14"/>
    <sheet name="张笑延" sheetId="93" r:id="rId15"/>
    <sheet name="沈宁" sheetId="94" r:id="rId16"/>
    <sheet name="胡鑫" sheetId="95" r:id="rId17"/>
    <sheet name="邓心豪" sheetId="96" r:id="rId18"/>
    <sheet name="黄恩" sheetId="97" r:id="rId19"/>
    <sheet name="严亮" sheetId="98" r:id="rId20"/>
    <sheet name="边昊" sheetId="99" r:id="rId21"/>
    <sheet name="张宗根" sheetId="100" r:id="rId22"/>
    <sheet name="潘伟生" sheetId="105" r:id="rId23"/>
    <sheet name="蔡昊霖" sheetId="102" r:id="rId24"/>
    <sheet name="叶大鹏" sheetId="103" r:id="rId25"/>
    <sheet name="王建超" sheetId="104" r:id="rId26"/>
    <sheet name="姜文夫" sheetId="109" r:id="rId27"/>
    <sheet name="王风瑞" sheetId="106" r:id="rId28"/>
    <sheet name="金鼎" sheetId="107" r:id="rId29"/>
    <sheet name="董志华" sheetId="108" r:id="rId30"/>
    <sheet name="郭永杰" sheetId="110" r:id="rId31"/>
    <sheet name="吴疆" sheetId="113" r:id="rId32"/>
    <sheet name="朱永春" sheetId="111" r:id="rId33"/>
    <sheet name="刘琦" sheetId="112" r:id="rId34"/>
    <sheet name="巴富毅" sheetId="114" r:id="rId35"/>
    <sheet name="陈宏伟" sheetId="118" r:id="rId36"/>
    <sheet name="蓝宇航" sheetId="120" r:id="rId37"/>
    <sheet name="蒋露裕" sheetId="119" r:id="rId38"/>
    <sheet name="程卓" sheetId="121" r:id="rId39"/>
    <sheet name="Sheet5" sheetId="127" r:id="rId40"/>
    <sheet name="郑文卓" sheetId="122" r:id="rId41"/>
    <sheet name="王维华" sheetId="115" r:id="rId42"/>
    <sheet name="何飞" sheetId="116" r:id="rId43"/>
    <sheet name="宋天霖" sheetId="101" r:id="rId44"/>
    <sheet name="Sheet2" sheetId="124" r:id="rId45"/>
    <sheet name="Sheet3" sheetId="125" r:id="rId46"/>
    <sheet name="Sheet4" sheetId="126" r:id="rId47"/>
  </sheets>
  <definedNames>
    <definedName name="_xlnm._FilterDatabase" localSheetId="34" hidden="1">巴富毅!$A$2:$K$42</definedName>
    <definedName name="_xlnm._FilterDatabase" localSheetId="20" hidden="1">边昊!$A$2:$K$42</definedName>
    <definedName name="_xlnm._FilterDatabase" localSheetId="23" hidden="1">蔡昊霖!$A$2:$K$42</definedName>
    <definedName name="_xlnm._FilterDatabase" localSheetId="35" hidden="1">陈宏伟!$A$2:$K$42</definedName>
    <definedName name="_xlnm._FilterDatabase" localSheetId="38" hidden="1">程卓!$A$2:$K$42</definedName>
    <definedName name="_xlnm._FilterDatabase" localSheetId="17" hidden="1">邓心豪!$A$2:$K$42</definedName>
    <definedName name="_xlnm._FilterDatabase" localSheetId="29" hidden="1">董志华!$A$2:$K$42</definedName>
    <definedName name="_xlnm._FilterDatabase" localSheetId="9" hidden="1">杜涛!$A$2:$K$42</definedName>
    <definedName name="_xlnm._FilterDatabase" localSheetId="4" hidden="1">耿若岩!$A$2:$K$42</definedName>
    <definedName name="_xlnm._FilterDatabase" localSheetId="30" hidden="1">郭永杰!$A$2:$K$42</definedName>
    <definedName name="_xlnm._FilterDatabase" localSheetId="42" hidden="1">何飞!$A$2:$K$42</definedName>
    <definedName name="_xlnm._FilterDatabase" localSheetId="16" hidden="1">胡鑫!$A$2:$K$42</definedName>
    <definedName name="_xlnm._FilterDatabase" localSheetId="18" hidden="1">黄恩!$A$2:$K$42</definedName>
    <definedName name="_xlnm._FilterDatabase" localSheetId="26" hidden="1">姜文夫!$A$2:$K$42</definedName>
    <definedName name="_xlnm._FilterDatabase" localSheetId="37" hidden="1">蒋露裕!$A$2:$K$42</definedName>
    <definedName name="_xlnm._FilterDatabase" localSheetId="28" hidden="1">金鼎!$A$2:$K$42</definedName>
    <definedName name="_xlnm._FilterDatabase" localSheetId="36" hidden="1">蓝宇航!$A$2:$K$42</definedName>
    <definedName name="_xlnm._FilterDatabase" localSheetId="5" hidden="1">李明!$A$2:$K$42</definedName>
    <definedName name="_xlnm._FilterDatabase" localSheetId="11" hidden="1">李秋实!$A$2:$K$42</definedName>
    <definedName name="_xlnm._FilterDatabase" localSheetId="8" hidden="1">刘国莲!$A$2:$K$42</definedName>
    <definedName name="_xlnm._FilterDatabase" localSheetId="33" hidden="1">刘琦!$A$2:$K$42</definedName>
    <definedName name="_xlnm._FilterDatabase" localSheetId="7" hidden="1">马莲花!$A$2:$K$42</definedName>
    <definedName name="_xlnm._FilterDatabase" localSheetId="2" hidden="1">明嘉!$A$2:$K$42</definedName>
    <definedName name="_xlnm._FilterDatabase" localSheetId="22" hidden="1">潘伟生!$A$2:$K$42</definedName>
    <definedName name="_xlnm._FilterDatabase" localSheetId="15" hidden="1">沈宁!$A$2:$K$42</definedName>
    <definedName name="_xlnm._FilterDatabase" localSheetId="43" hidden="1">宋天霖!$A$2:$K$42</definedName>
    <definedName name="_xlnm._FilterDatabase" localSheetId="27" hidden="1">王风瑞!$A$2:$K$42</definedName>
    <definedName name="_xlnm._FilterDatabase" localSheetId="25" hidden="1">王建超!$A$2:$K$42</definedName>
    <definedName name="_xlnm._FilterDatabase" localSheetId="41" hidden="1">王维华!$A$2:$K$42</definedName>
    <definedName name="_xlnm._FilterDatabase" localSheetId="1" hidden="1">温若春!$A$2:$K$42</definedName>
    <definedName name="_xlnm._FilterDatabase" localSheetId="31" hidden="1">吴疆!$A$2:$K$42</definedName>
    <definedName name="_xlnm._FilterDatabase" localSheetId="3" hidden="1">徐万友!$A$2:$K$42</definedName>
    <definedName name="_xlnm._FilterDatabase" localSheetId="19" hidden="1">严亮!$A$2:$K$42</definedName>
    <definedName name="_xlnm._FilterDatabase" localSheetId="24" hidden="1">叶大鹏!$A$2:$K$42</definedName>
    <definedName name="_xlnm._FilterDatabase" localSheetId="13" hidden="1">詹泽彬!$A$2:$K$42</definedName>
    <definedName name="_xlnm._FilterDatabase" localSheetId="6" hidden="1">张虎!$A$2:$K$42</definedName>
    <definedName name="_xlnm._FilterDatabase" localSheetId="10" hidden="1">张文中!$A$2:$K$42</definedName>
    <definedName name="_xlnm._FilterDatabase" localSheetId="14" hidden="1">张笑延!$A$2:$K$42</definedName>
    <definedName name="_xlnm._FilterDatabase" localSheetId="21" hidden="1">张宗根!$A$2:$K$42</definedName>
    <definedName name="_xlnm._FilterDatabase" localSheetId="40" hidden="1">郑文卓!$A$2:$K$42</definedName>
    <definedName name="_xlnm._FilterDatabase" localSheetId="12" hidden="1">周岸!$A$2:$K$42</definedName>
    <definedName name="_xlnm._FilterDatabase" localSheetId="32" hidden="1">朱永春!$A$2:$K$42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" i="101" l="1"/>
  <c r="F42" i="101"/>
  <c r="G42" i="101" s="1"/>
  <c r="A42" i="101"/>
  <c r="H41" i="101"/>
  <c r="F41" i="101"/>
  <c r="G41" i="101" s="1"/>
  <c r="A41" i="101"/>
  <c r="H40" i="101"/>
  <c r="G40" i="101" s="1"/>
  <c r="F40" i="101"/>
  <c r="A40" i="101"/>
  <c r="H39" i="101"/>
  <c r="F39" i="101"/>
  <c r="G39" i="101" s="1"/>
  <c r="A39" i="101"/>
  <c r="H38" i="101"/>
  <c r="F38" i="101"/>
  <c r="G38" i="101" s="1"/>
  <c r="A38" i="101"/>
  <c r="H37" i="101"/>
  <c r="F37" i="101"/>
  <c r="G37" i="101" s="1"/>
  <c r="A37" i="101"/>
  <c r="H36" i="101"/>
  <c r="F36" i="101"/>
  <c r="G36" i="101" s="1"/>
  <c r="A36" i="101"/>
  <c r="H35" i="101"/>
  <c r="F35" i="101"/>
  <c r="G35" i="101" s="1"/>
  <c r="A35" i="101"/>
  <c r="H34" i="101"/>
  <c r="F34" i="101"/>
  <c r="G34" i="101" s="1"/>
  <c r="A34" i="101"/>
  <c r="H33" i="101"/>
  <c r="F33" i="101"/>
  <c r="G33" i="101" s="1"/>
  <c r="A33" i="101"/>
  <c r="H32" i="101"/>
  <c r="G32" i="101" s="1"/>
  <c r="F32" i="101"/>
  <c r="A32" i="101"/>
  <c r="H31" i="101"/>
  <c r="F31" i="101"/>
  <c r="G31" i="101" s="1"/>
  <c r="A31" i="101"/>
  <c r="H30" i="101"/>
  <c r="F30" i="101"/>
  <c r="G30" i="101" s="1"/>
  <c r="A30" i="101"/>
  <c r="H29" i="101"/>
  <c r="F29" i="101"/>
  <c r="G29" i="101" s="1"/>
  <c r="A29" i="101"/>
  <c r="H28" i="101"/>
  <c r="F28" i="101"/>
  <c r="G28" i="101" s="1"/>
  <c r="A28" i="101"/>
  <c r="H27" i="101"/>
  <c r="F27" i="101"/>
  <c r="G27" i="101" s="1"/>
  <c r="A27" i="101"/>
  <c r="H26" i="101"/>
  <c r="F26" i="101"/>
  <c r="G26" i="101" s="1"/>
  <c r="A26" i="101"/>
  <c r="H25" i="101"/>
  <c r="F25" i="101"/>
  <c r="G25" i="101" s="1"/>
  <c r="A25" i="101"/>
  <c r="H24" i="101"/>
  <c r="G24" i="101" s="1"/>
  <c r="F24" i="101"/>
  <c r="A24" i="101"/>
  <c r="H23" i="101"/>
  <c r="F23" i="101"/>
  <c r="G23" i="101" s="1"/>
  <c r="A23" i="101"/>
  <c r="H22" i="101"/>
  <c r="F22" i="101"/>
  <c r="G22" i="101" s="1"/>
  <c r="A22" i="101"/>
  <c r="H21" i="101"/>
  <c r="F21" i="101"/>
  <c r="G21" i="101" s="1"/>
  <c r="A21" i="101"/>
  <c r="H20" i="101"/>
  <c r="F20" i="101"/>
  <c r="G20" i="101" s="1"/>
  <c r="A20" i="101"/>
  <c r="H19" i="101"/>
  <c r="F19" i="101"/>
  <c r="G19" i="101" s="1"/>
  <c r="A19" i="101"/>
  <c r="H18" i="101"/>
  <c r="F18" i="101"/>
  <c r="G18" i="101" s="1"/>
  <c r="A18" i="101"/>
  <c r="H17" i="101"/>
  <c r="G17" i="101"/>
  <c r="F17" i="101"/>
  <c r="A17" i="101"/>
  <c r="L16" i="101"/>
  <c r="J16" i="101"/>
  <c r="H16" i="101"/>
  <c r="F16" i="101"/>
  <c r="G16" i="101" s="1"/>
  <c r="A16" i="101"/>
  <c r="H15" i="101"/>
  <c r="F15" i="101"/>
  <c r="G15" i="101" s="1"/>
  <c r="A15" i="101"/>
  <c r="H14" i="101"/>
  <c r="F14" i="101"/>
  <c r="G14" i="101" s="1"/>
  <c r="A14" i="101"/>
  <c r="H13" i="101"/>
  <c r="F13" i="101"/>
  <c r="G13" i="101" s="1"/>
  <c r="A13" i="101"/>
  <c r="L12" i="101"/>
  <c r="L19" i="101" s="1"/>
  <c r="G26" i="123" s="1"/>
  <c r="K12" i="101"/>
  <c r="K19" i="101" s="1"/>
  <c r="D26" i="123" s="1"/>
  <c r="J12" i="101"/>
  <c r="J19" i="101" s="1"/>
  <c r="H12" i="101"/>
  <c r="F12" i="101"/>
  <c r="G12" i="101" s="1"/>
  <c r="A12" i="101"/>
  <c r="L11" i="101"/>
  <c r="L18" i="101" s="1"/>
  <c r="K11" i="101"/>
  <c r="K18" i="101" s="1"/>
  <c r="J11" i="101"/>
  <c r="J18" i="101" s="1"/>
  <c r="H11" i="101"/>
  <c r="F11" i="101"/>
  <c r="G11" i="101" s="1"/>
  <c r="A11" i="101"/>
  <c r="L10" i="101"/>
  <c r="K10" i="101"/>
  <c r="J10" i="101"/>
  <c r="H10" i="101"/>
  <c r="F10" i="101"/>
  <c r="G10" i="101" s="1"/>
  <c r="A10" i="101"/>
  <c r="L9" i="101"/>
  <c r="L21" i="101" s="1"/>
  <c r="K9" i="101"/>
  <c r="K21" i="101" s="1"/>
  <c r="J9" i="101"/>
  <c r="J21" i="101" s="1"/>
  <c r="I26" i="123" s="1"/>
  <c r="H9" i="101"/>
  <c r="F9" i="101"/>
  <c r="G9" i="101" s="1"/>
  <c r="A9" i="101"/>
  <c r="L8" i="101"/>
  <c r="K8" i="101"/>
  <c r="J8" i="101"/>
  <c r="H8" i="101"/>
  <c r="G8" i="101"/>
  <c r="F8" i="101"/>
  <c r="A8" i="101"/>
  <c r="L7" i="101"/>
  <c r="K7" i="101"/>
  <c r="J7" i="101"/>
  <c r="H7" i="101"/>
  <c r="F7" i="101"/>
  <c r="G7" i="101" s="1"/>
  <c r="A7" i="101"/>
  <c r="L6" i="101"/>
  <c r="K6" i="101"/>
  <c r="J6" i="101"/>
  <c r="H6" i="101"/>
  <c r="F6" i="101"/>
  <c r="G6" i="101" s="1"/>
  <c r="A6" i="101"/>
  <c r="L5" i="101"/>
  <c r="L17" i="101" s="1"/>
  <c r="F26" i="123" s="1"/>
  <c r="K5" i="101"/>
  <c r="K17" i="101" s="1"/>
  <c r="C26" i="123" s="1"/>
  <c r="J5" i="101"/>
  <c r="J17" i="101" s="1"/>
  <c r="H5" i="101"/>
  <c r="F5" i="101"/>
  <c r="G5" i="101" s="1"/>
  <c r="A5" i="101"/>
  <c r="L4" i="101"/>
  <c r="K4" i="101"/>
  <c r="J4" i="101"/>
  <c r="H4" i="101"/>
  <c r="F4" i="101"/>
  <c r="G4" i="101" s="1"/>
  <c r="A4" i="101"/>
  <c r="L3" i="101"/>
  <c r="K3" i="101"/>
  <c r="K16" i="101" s="1"/>
  <c r="B26" i="123" s="1"/>
  <c r="J3" i="101"/>
  <c r="H3" i="101"/>
  <c r="G3" i="101" s="1"/>
  <c r="F3" i="101"/>
  <c r="A3" i="101"/>
  <c r="H42" i="116"/>
  <c r="F42" i="116"/>
  <c r="G42" i="116" s="1"/>
  <c r="A42" i="116"/>
  <c r="H41" i="116"/>
  <c r="F41" i="116"/>
  <c r="G41" i="116" s="1"/>
  <c r="A41" i="116"/>
  <c r="H40" i="116"/>
  <c r="G40" i="116" s="1"/>
  <c r="F40" i="116"/>
  <c r="A40" i="116"/>
  <c r="H39" i="116"/>
  <c r="F39" i="116"/>
  <c r="G39" i="116" s="1"/>
  <c r="A39" i="116"/>
  <c r="H38" i="116"/>
  <c r="F38" i="116"/>
  <c r="G38" i="116" s="1"/>
  <c r="A38" i="116"/>
  <c r="H37" i="116"/>
  <c r="G37" i="116"/>
  <c r="F37" i="116"/>
  <c r="A37" i="116"/>
  <c r="H36" i="116"/>
  <c r="G36" i="116"/>
  <c r="F36" i="116"/>
  <c r="A36" i="116"/>
  <c r="H35" i="116"/>
  <c r="G35" i="116"/>
  <c r="F35" i="116"/>
  <c r="A35" i="116"/>
  <c r="H34" i="116"/>
  <c r="F34" i="116"/>
  <c r="G34" i="116" s="1"/>
  <c r="A34" i="116"/>
  <c r="H33" i="116"/>
  <c r="F33" i="116"/>
  <c r="G33" i="116" s="1"/>
  <c r="A33" i="116"/>
  <c r="H32" i="116"/>
  <c r="G32" i="116" s="1"/>
  <c r="F32" i="116"/>
  <c r="A32" i="116"/>
  <c r="H31" i="116"/>
  <c r="F31" i="116"/>
  <c r="G31" i="116" s="1"/>
  <c r="A31" i="116"/>
  <c r="H30" i="116"/>
  <c r="F30" i="116"/>
  <c r="G30" i="116" s="1"/>
  <c r="A30" i="116"/>
  <c r="H29" i="116"/>
  <c r="G29" i="116"/>
  <c r="F29" i="116"/>
  <c r="A29" i="116"/>
  <c r="H28" i="116"/>
  <c r="G28" i="116"/>
  <c r="F28" i="116"/>
  <c r="A28" i="116"/>
  <c r="H27" i="116"/>
  <c r="G27" i="116"/>
  <c r="F27" i="116"/>
  <c r="A27" i="116"/>
  <c r="H26" i="116"/>
  <c r="F26" i="116"/>
  <c r="G26" i="116" s="1"/>
  <c r="A26" i="116"/>
  <c r="H25" i="116"/>
  <c r="F25" i="116"/>
  <c r="G25" i="116" s="1"/>
  <c r="A25" i="116"/>
  <c r="H24" i="116"/>
  <c r="G24" i="116" s="1"/>
  <c r="F24" i="116"/>
  <c r="A24" i="116"/>
  <c r="H23" i="116"/>
  <c r="F23" i="116"/>
  <c r="G23" i="116" s="1"/>
  <c r="A23" i="116"/>
  <c r="H22" i="116"/>
  <c r="F22" i="116"/>
  <c r="G22" i="116" s="1"/>
  <c r="A22" i="116"/>
  <c r="H21" i="116"/>
  <c r="F21" i="116"/>
  <c r="G21" i="116" s="1"/>
  <c r="A21" i="116"/>
  <c r="H20" i="116"/>
  <c r="G20" i="116"/>
  <c r="F20" i="116"/>
  <c r="A20" i="116"/>
  <c r="K19" i="116"/>
  <c r="D41" i="123" s="1"/>
  <c r="J19" i="116"/>
  <c r="H19" i="116"/>
  <c r="G19" i="116"/>
  <c r="F19" i="116"/>
  <c r="A19" i="116"/>
  <c r="H18" i="116"/>
  <c r="F18" i="116"/>
  <c r="G18" i="116" s="1"/>
  <c r="A18" i="116"/>
  <c r="J17" i="116"/>
  <c r="H17" i="116"/>
  <c r="F17" i="116"/>
  <c r="G17" i="116" s="1"/>
  <c r="A17" i="116"/>
  <c r="H16" i="116"/>
  <c r="G16" i="116"/>
  <c r="F16" i="116"/>
  <c r="A16" i="116"/>
  <c r="H15" i="116"/>
  <c r="G15" i="116"/>
  <c r="F15" i="116"/>
  <c r="A15" i="116"/>
  <c r="H14" i="116"/>
  <c r="F14" i="116"/>
  <c r="G14" i="116" s="1"/>
  <c r="A14" i="116"/>
  <c r="H13" i="116"/>
  <c r="F13" i="116"/>
  <c r="G13" i="116" s="1"/>
  <c r="A13" i="116"/>
  <c r="L12" i="116"/>
  <c r="L19" i="116" s="1"/>
  <c r="G41" i="123" s="1"/>
  <c r="K12" i="116"/>
  <c r="J12" i="116"/>
  <c r="H12" i="116"/>
  <c r="F12" i="116"/>
  <c r="G12" i="116" s="1"/>
  <c r="A12" i="116"/>
  <c r="L11" i="116"/>
  <c r="L18" i="116" s="1"/>
  <c r="K11" i="116"/>
  <c r="K18" i="116" s="1"/>
  <c r="J11" i="116"/>
  <c r="J18" i="116" s="1"/>
  <c r="H11" i="116"/>
  <c r="G11" i="116"/>
  <c r="F11" i="116"/>
  <c r="A11" i="116"/>
  <c r="L10" i="116"/>
  <c r="K10" i="116"/>
  <c r="J10" i="116"/>
  <c r="H10" i="116"/>
  <c r="F10" i="116"/>
  <c r="G10" i="116" s="1"/>
  <c r="A10" i="116"/>
  <c r="L9" i="116"/>
  <c r="K9" i="116"/>
  <c r="J9" i="116"/>
  <c r="H9" i="116"/>
  <c r="F9" i="116"/>
  <c r="G9" i="116" s="1"/>
  <c r="A9" i="116"/>
  <c r="L8" i="116"/>
  <c r="L21" i="116" s="1"/>
  <c r="K8" i="116"/>
  <c r="K21" i="116" s="1"/>
  <c r="J8" i="116"/>
  <c r="J21" i="116" s="1"/>
  <c r="I41" i="123" s="1"/>
  <c r="H8" i="116"/>
  <c r="G8" i="116"/>
  <c r="F8" i="116"/>
  <c r="A8" i="116"/>
  <c r="L7" i="116"/>
  <c r="K7" i="116"/>
  <c r="J7" i="116"/>
  <c r="H7" i="116"/>
  <c r="F7" i="116"/>
  <c r="G7" i="116" s="1"/>
  <c r="A7" i="116"/>
  <c r="L6" i="116"/>
  <c r="L17" i="116" s="1"/>
  <c r="F41" i="123" s="1"/>
  <c r="K6" i="116"/>
  <c r="K17" i="116" s="1"/>
  <c r="C41" i="123" s="1"/>
  <c r="J6" i="116"/>
  <c r="H6" i="116"/>
  <c r="F6" i="116"/>
  <c r="G6" i="116" s="1"/>
  <c r="A6" i="116"/>
  <c r="L5" i="116"/>
  <c r="K5" i="116"/>
  <c r="J5" i="116"/>
  <c r="H5" i="116"/>
  <c r="G5" i="116"/>
  <c r="F5" i="116"/>
  <c r="A5" i="116"/>
  <c r="L4" i="116"/>
  <c r="K4" i="116"/>
  <c r="J4" i="116"/>
  <c r="H4" i="116"/>
  <c r="G4" i="116"/>
  <c r="F4" i="116"/>
  <c r="A4" i="116"/>
  <c r="L3" i="116"/>
  <c r="L16" i="116" s="1"/>
  <c r="E41" i="123" s="1"/>
  <c r="K3" i="116"/>
  <c r="K16" i="116" s="1"/>
  <c r="B41" i="123" s="1"/>
  <c r="J3" i="116"/>
  <c r="J16" i="116" s="1"/>
  <c r="H3" i="116"/>
  <c r="F3" i="116"/>
  <c r="G3" i="116" s="1"/>
  <c r="A3" i="116"/>
  <c r="H42" i="115"/>
  <c r="F42" i="115"/>
  <c r="G42" i="115" s="1"/>
  <c r="A42" i="115"/>
  <c r="H41" i="115"/>
  <c r="F41" i="115"/>
  <c r="G41" i="115" s="1"/>
  <c r="A41" i="115"/>
  <c r="H40" i="115"/>
  <c r="G40" i="115"/>
  <c r="F40" i="115"/>
  <c r="A40" i="115"/>
  <c r="H39" i="115"/>
  <c r="G39" i="115"/>
  <c r="F39" i="115"/>
  <c r="A39" i="115"/>
  <c r="H38" i="115"/>
  <c r="G38" i="115"/>
  <c r="F38" i="115"/>
  <c r="A38" i="115"/>
  <c r="H37" i="115"/>
  <c r="F37" i="115"/>
  <c r="G37" i="115" s="1"/>
  <c r="A37" i="115"/>
  <c r="H36" i="115"/>
  <c r="F36" i="115"/>
  <c r="G36" i="115" s="1"/>
  <c r="A36" i="115"/>
  <c r="H35" i="115"/>
  <c r="F35" i="115"/>
  <c r="G35" i="115" s="1"/>
  <c r="A35" i="115"/>
  <c r="H34" i="115"/>
  <c r="F34" i="115"/>
  <c r="G34" i="115" s="1"/>
  <c r="A34" i="115"/>
  <c r="H33" i="115"/>
  <c r="F33" i="115"/>
  <c r="G33" i="115" s="1"/>
  <c r="A33" i="115"/>
  <c r="H32" i="115"/>
  <c r="G32" i="115"/>
  <c r="F32" i="115"/>
  <c r="A32" i="115"/>
  <c r="H31" i="115"/>
  <c r="G31" i="115"/>
  <c r="F31" i="115"/>
  <c r="A31" i="115"/>
  <c r="H30" i="115"/>
  <c r="G30" i="115"/>
  <c r="F30" i="115"/>
  <c r="A30" i="115"/>
  <c r="H29" i="115"/>
  <c r="F29" i="115"/>
  <c r="G29" i="115" s="1"/>
  <c r="A29" i="115"/>
  <c r="H28" i="115"/>
  <c r="F28" i="115"/>
  <c r="G28" i="115" s="1"/>
  <c r="A28" i="115"/>
  <c r="H27" i="115"/>
  <c r="F27" i="115"/>
  <c r="G27" i="115" s="1"/>
  <c r="A27" i="115"/>
  <c r="H26" i="115"/>
  <c r="F26" i="115"/>
  <c r="G26" i="115" s="1"/>
  <c r="A26" i="115"/>
  <c r="H25" i="115"/>
  <c r="F25" i="115"/>
  <c r="G25" i="115" s="1"/>
  <c r="A25" i="115"/>
  <c r="H24" i="115"/>
  <c r="G24" i="115"/>
  <c r="F24" i="115"/>
  <c r="A24" i="115"/>
  <c r="H23" i="115"/>
  <c r="G23" i="115"/>
  <c r="F23" i="115"/>
  <c r="A23" i="115"/>
  <c r="H22" i="115"/>
  <c r="G22" i="115"/>
  <c r="F22" i="115"/>
  <c r="A22" i="115"/>
  <c r="H21" i="115"/>
  <c r="F21" i="115"/>
  <c r="G21" i="115" s="1"/>
  <c r="A21" i="115"/>
  <c r="H20" i="115"/>
  <c r="F20" i="115"/>
  <c r="G20" i="115" s="1"/>
  <c r="A20" i="115"/>
  <c r="L19" i="115"/>
  <c r="G40" i="123" s="1"/>
  <c r="K19" i="115"/>
  <c r="J19" i="115"/>
  <c r="H19" i="115"/>
  <c r="F19" i="115"/>
  <c r="G19" i="115" s="1"/>
  <c r="A19" i="115"/>
  <c r="L18" i="115"/>
  <c r="H18" i="115"/>
  <c r="G18" i="115"/>
  <c r="F18" i="115"/>
  <c r="A18" i="115"/>
  <c r="H17" i="115"/>
  <c r="F17" i="115"/>
  <c r="G17" i="115" s="1"/>
  <c r="A17" i="115"/>
  <c r="K16" i="115"/>
  <c r="B40" i="123" s="1"/>
  <c r="J16" i="115"/>
  <c r="H16" i="115"/>
  <c r="F16" i="115"/>
  <c r="G16" i="115" s="1"/>
  <c r="A16" i="115"/>
  <c r="H15" i="115"/>
  <c r="F15" i="115"/>
  <c r="G15" i="115" s="1"/>
  <c r="A15" i="115"/>
  <c r="H14" i="115"/>
  <c r="F14" i="115"/>
  <c r="G14" i="115" s="1"/>
  <c r="A14" i="115"/>
  <c r="H13" i="115"/>
  <c r="F13" i="115"/>
  <c r="G13" i="115" s="1"/>
  <c r="A13" i="115"/>
  <c r="L12" i="115"/>
  <c r="K12" i="115"/>
  <c r="J12" i="115"/>
  <c r="H12" i="115"/>
  <c r="F12" i="115"/>
  <c r="G12" i="115" s="1"/>
  <c r="A12" i="115"/>
  <c r="L11" i="115"/>
  <c r="K11" i="115"/>
  <c r="K18" i="115" s="1"/>
  <c r="J11" i="115"/>
  <c r="J18" i="115" s="1"/>
  <c r="H11" i="115"/>
  <c r="F11" i="115"/>
  <c r="G11" i="115" s="1"/>
  <c r="A11" i="115"/>
  <c r="L10" i="115"/>
  <c r="K10" i="115"/>
  <c r="J10" i="115"/>
  <c r="H10" i="115"/>
  <c r="G10" i="115"/>
  <c r="F10" i="115"/>
  <c r="A10" i="115"/>
  <c r="L9" i="115"/>
  <c r="K9" i="115"/>
  <c r="J9" i="115"/>
  <c r="H9" i="115"/>
  <c r="F9" i="115"/>
  <c r="G9" i="115" s="1"/>
  <c r="A9" i="115"/>
  <c r="L8" i="115"/>
  <c r="L21" i="115" s="1"/>
  <c r="K8" i="115"/>
  <c r="K21" i="115" s="1"/>
  <c r="J8" i="115"/>
  <c r="J21" i="115" s="1"/>
  <c r="I40" i="123" s="1"/>
  <c r="H8" i="115"/>
  <c r="F8" i="115"/>
  <c r="G8" i="115" s="1"/>
  <c r="A8" i="115"/>
  <c r="L7" i="115"/>
  <c r="K7" i="115"/>
  <c r="J7" i="115"/>
  <c r="H7" i="115"/>
  <c r="G7" i="115"/>
  <c r="F7" i="115"/>
  <c r="A7" i="115"/>
  <c r="L6" i="115"/>
  <c r="K6" i="115"/>
  <c r="J6" i="115"/>
  <c r="H6" i="115"/>
  <c r="F6" i="115"/>
  <c r="G6" i="115" s="1"/>
  <c r="A6" i="115"/>
  <c r="L5" i="115"/>
  <c r="K5" i="115"/>
  <c r="J5" i="115"/>
  <c r="H5" i="115"/>
  <c r="F5" i="115"/>
  <c r="G5" i="115" s="1"/>
  <c r="A5" i="115"/>
  <c r="L4" i="115"/>
  <c r="L17" i="115" s="1"/>
  <c r="F40" i="123" s="1"/>
  <c r="K4" i="115"/>
  <c r="K17" i="115" s="1"/>
  <c r="C40" i="123" s="1"/>
  <c r="J4" i="115"/>
  <c r="J17" i="115" s="1"/>
  <c r="H4" i="115"/>
  <c r="F4" i="115"/>
  <c r="G4" i="115" s="1"/>
  <c r="A4" i="115"/>
  <c r="L3" i="115"/>
  <c r="L16" i="115" s="1"/>
  <c r="E40" i="123" s="1"/>
  <c r="K3" i="115"/>
  <c r="J3" i="115"/>
  <c r="H3" i="115"/>
  <c r="G3" i="115"/>
  <c r="F3" i="115"/>
  <c r="A3" i="115"/>
  <c r="H42" i="122"/>
  <c r="G42" i="122"/>
  <c r="F42" i="122"/>
  <c r="A42" i="122"/>
  <c r="H41" i="122"/>
  <c r="G41" i="122"/>
  <c r="F41" i="122"/>
  <c r="A41" i="122"/>
  <c r="H40" i="122"/>
  <c r="F40" i="122"/>
  <c r="G40" i="122" s="1"/>
  <c r="A40" i="122"/>
  <c r="H39" i="122"/>
  <c r="F39" i="122"/>
  <c r="G39" i="122" s="1"/>
  <c r="A39" i="122"/>
  <c r="H38" i="122"/>
  <c r="F38" i="122"/>
  <c r="G38" i="122" s="1"/>
  <c r="A38" i="122"/>
  <c r="H37" i="122"/>
  <c r="F37" i="122"/>
  <c r="G37" i="122" s="1"/>
  <c r="A37" i="122"/>
  <c r="H36" i="122"/>
  <c r="F36" i="122"/>
  <c r="G36" i="122" s="1"/>
  <c r="A36" i="122"/>
  <c r="H35" i="122"/>
  <c r="G35" i="122"/>
  <c r="F35" i="122"/>
  <c r="A35" i="122"/>
  <c r="H34" i="122"/>
  <c r="G34" i="122"/>
  <c r="F34" i="122"/>
  <c r="A34" i="122"/>
  <c r="H33" i="122"/>
  <c r="G33" i="122"/>
  <c r="F33" i="122"/>
  <c r="A33" i="122"/>
  <c r="H32" i="122"/>
  <c r="F32" i="122"/>
  <c r="G32" i="122" s="1"/>
  <c r="A32" i="122"/>
  <c r="H31" i="122"/>
  <c r="F31" i="122"/>
  <c r="G31" i="122" s="1"/>
  <c r="A31" i="122"/>
  <c r="H30" i="122"/>
  <c r="F30" i="122"/>
  <c r="G30" i="122" s="1"/>
  <c r="A30" i="122"/>
  <c r="H29" i="122"/>
  <c r="F29" i="122"/>
  <c r="G29" i="122" s="1"/>
  <c r="A29" i="122"/>
  <c r="H28" i="122"/>
  <c r="F28" i="122"/>
  <c r="G28" i="122" s="1"/>
  <c r="A28" i="122"/>
  <c r="H27" i="122"/>
  <c r="G27" i="122"/>
  <c r="F27" i="122"/>
  <c r="A27" i="122"/>
  <c r="H26" i="122"/>
  <c r="G26" i="122"/>
  <c r="F26" i="122"/>
  <c r="A26" i="122"/>
  <c r="H25" i="122"/>
  <c r="G25" i="122"/>
  <c r="F25" i="122"/>
  <c r="A25" i="122"/>
  <c r="H24" i="122"/>
  <c r="F24" i="122"/>
  <c r="G24" i="122" s="1"/>
  <c r="A24" i="122"/>
  <c r="H23" i="122"/>
  <c r="F23" i="122"/>
  <c r="G23" i="122" s="1"/>
  <c r="A23" i="122"/>
  <c r="H22" i="122"/>
  <c r="F22" i="122"/>
  <c r="G22" i="122" s="1"/>
  <c r="H21" i="122"/>
  <c r="F21" i="122"/>
  <c r="G21" i="122" s="1"/>
  <c r="H20" i="122"/>
  <c r="G20" i="122"/>
  <c r="F20" i="122"/>
  <c r="L19" i="122"/>
  <c r="H19" i="122"/>
  <c r="G19" i="122"/>
  <c r="F19" i="122"/>
  <c r="J18" i="122"/>
  <c r="H18" i="122"/>
  <c r="F18" i="122"/>
  <c r="G18" i="122" s="1"/>
  <c r="H17" i="122"/>
  <c r="F17" i="122"/>
  <c r="G17" i="122" s="1"/>
  <c r="H16" i="122"/>
  <c r="F16" i="122"/>
  <c r="G16" i="122" s="1"/>
  <c r="H15" i="122"/>
  <c r="F15" i="122"/>
  <c r="G15" i="122" s="1"/>
  <c r="H14" i="122"/>
  <c r="F14" i="122"/>
  <c r="G14" i="122" s="1"/>
  <c r="H13" i="122"/>
  <c r="F13" i="122"/>
  <c r="G13" i="122" s="1"/>
  <c r="L12" i="122"/>
  <c r="K12" i="122"/>
  <c r="K19" i="122" s="1"/>
  <c r="J12" i="122"/>
  <c r="J19" i="122" s="1"/>
  <c r="H12" i="122"/>
  <c r="L7" i="122" s="1"/>
  <c r="F12" i="122"/>
  <c r="G12" i="122" s="1"/>
  <c r="K7" i="122" s="1"/>
  <c r="L11" i="122"/>
  <c r="L18" i="122" s="1"/>
  <c r="K11" i="122"/>
  <c r="K18" i="122" s="1"/>
  <c r="J11" i="122"/>
  <c r="H11" i="122"/>
  <c r="F11" i="122"/>
  <c r="G11" i="122" s="1"/>
  <c r="L10" i="122"/>
  <c r="K10" i="122"/>
  <c r="J10" i="122"/>
  <c r="H10" i="122"/>
  <c r="G10" i="122"/>
  <c r="F10" i="122"/>
  <c r="L9" i="122"/>
  <c r="K9" i="122"/>
  <c r="J9" i="122"/>
  <c r="H9" i="122"/>
  <c r="F9" i="122"/>
  <c r="G9" i="122" s="1"/>
  <c r="L8" i="122"/>
  <c r="L21" i="122" s="1"/>
  <c r="K8" i="122"/>
  <c r="K21" i="122" s="1"/>
  <c r="J8" i="122"/>
  <c r="J21" i="122" s="1"/>
  <c r="H8" i="122"/>
  <c r="L5" i="122" s="1"/>
  <c r="F8" i="122"/>
  <c r="J5" i="122" s="1"/>
  <c r="J7" i="122"/>
  <c r="H7" i="122"/>
  <c r="F7" i="122"/>
  <c r="G7" i="122" s="1"/>
  <c r="L6" i="122"/>
  <c r="K6" i="122"/>
  <c r="J6" i="122"/>
  <c r="H6" i="122"/>
  <c r="G6" i="122" s="1"/>
  <c r="F6" i="122"/>
  <c r="H5" i="122"/>
  <c r="G5" i="122"/>
  <c r="F5" i="122"/>
  <c r="H4" i="122"/>
  <c r="F4" i="122"/>
  <c r="G4" i="122" s="1"/>
  <c r="L3" i="122"/>
  <c r="L16" i="122" s="1"/>
  <c r="K3" i="122"/>
  <c r="K16" i="122" s="1"/>
  <c r="J3" i="122"/>
  <c r="J16" i="122" s="1"/>
  <c r="H3" i="122"/>
  <c r="L4" i="122" s="1"/>
  <c r="F3" i="122"/>
  <c r="G3" i="122" s="1"/>
  <c r="H42" i="121"/>
  <c r="F42" i="121"/>
  <c r="G42" i="121" s="1"/>
  <c r="A42" i="121"/>
  <c r="H41" i="121"/>
  <c r="G41" i="121"/>
  <c r="F41" i="121"/>
  <c r="A41" i="121"/>
  <c r="H40" i="121"/>
  <c r="G40" i="121"/>
  <c r="F40" i="121"/>
  <c r="A40" i="121"/>
  <c r="H39" i="121"/>
  <c r="G39" i="121"/>
  <c r="F39" i="121"/>
  <c r="A39" i="121"/>
  <c r="H38" i="121"/>
  <c r="F38" i="121"/>
  <c r="G38" i="121" s="1"/>
  <c r="A38" i="121"/>
  <c r="H37" i="121"/>
  <c r="F37" i="121"/>
  <c r="G37" i="121" s="1"/>
  <c r="A37" i="121"/>
  <c r="H36" i="121"/>
  <c r="F36" i="121"/>
  <c r="G36" i="121" s="1"/>
  <c r="A36" i="121"/>
  <c r="H35" i="121"/>
  <c r="F35" i="121"/>
  <c r="G35" i="121" s="1"/>
  <c r="A35" i="121"/>
  <c r="H34" i="121"/>
  <c r="F34" i="121"/>
  <c r="G34" i="121" s="1"/>
  <c r="A34" i="121"/>
  <c r="H33" i="121"/>
  <c r="G33" i="121"/>
  <c r="F33" i="121"/>
  <c r="A33" i="121"/>
  <c r="H32" i="121"/>
  <c r="G32" i="121"/>
  <c r="F32" i="121"/>
  <c r="A32" i="121"/>
  <c r="H31" i="121"/>
  <c r="G31" i="121"/>
  <c r="F31" i="121"/>
  <c r="A31" i="121"/>
  <c r="H30" i="121"/>
  <c r="F30" i="121"/>
  <c r="G30" i="121" s="1"/>
  <c r="A30" i="121"/>
  <c r="H29" i="121"/>
  <c r="F29" i="121"/>
  <c r="G29" i="121" s="1"/>
  <c r="A29" i="121"/>
  <c r="H28" i="121"/>
  <c r="F28" i="121"/>
  <c r="G28" i="121" s="1"/>
  <c r="A28" i="121"/>
  <c r="H27" i="121"/>
  <c r="F27" i="121"/>
  <c r="G27" i="121" s="1"/>
  <c r="H26" i="121"/>
  <c r="F26" i="121"/>
  <c r="G26" i="121" s="1"/>
  <c r="H25" i="121"/>
  <c r="G25" i="121"/>
  <c r="F25" i="121"/>
  <c r="H24" i="121"/>
  <c r="F24" i="121"/>
  <c r="G24" i="121" s="1"/>
  <c r="H23" i="121"/>
  <c r="G23" i="121"/>
  <c r="F23" i="121"/>
  <c r="H22" i="121"/>
  <c r="F22" i="121"/>
  <c r="G22" i="121" s="1"/>
  <c r="H21" i="121"/>
  <c r="F21" i="121"/>
  <c r="J9" i="121" s="1"/>
  <c r="H20" i="121"/>
  <c r="L9" i="121" s="1"/>
  <c r="G20" i="121"/>
  <c r="F20" i="121"/>
  <c r="H19" i="121"/>
  <c r="F19" i="121"/>
  <c r="G19" i="121" s="1"/>
  <c r="H18" i="121"/>
  <c r="F18" i="121"/>
  <c r="G18" i="121" s="1"/>
  <c r="H17" i="121"/>
  <c r="F17" i="121"/>
  <c r="G17" i="121" s="1"/>
  <c r="H16" i="121"/>
  <c r="F16" i="121"/>
  <c r="G16" i="121" s="1"/>
  <c r="H15" i="121"/>
  <c r="F15" i="121"/>
  <c r="G15" i="121" s="1"/>
  <c r="H14" i="121"/>
  <c r="F14" i="121"/>
  <c r="G14" i="121" s="1"/>
  <c r="H13" i="121"/>
  <c r="G13" i="121" s="1"/>
  <c r="F13" i="121"/>
  <c r="L12" i="121"/>
  <c r="L19" i="121" s="1"/>
  <c r="K12" i="121"/>
  <c r="K19" i="121" s="1"/>
  <c r="J12" i="121"/>
  <c r="J19" i="121" s="1"/>
  <c r="H12" i="121"/>
  <c r="F12" i="121"/>
  <c r="G12" i="121" s="1"/>
  <c r="L11" i="121"/>
  <c r="L18" i="121" s="1"/>
  <c r="K11" i="121"/>
  <c r="K18" i="121" s="1"/>
  <c r="J11" i="121"/>
  <c r="J18" i="121" s="1"/>
  <c r="H11" i="121"/>
  <c r="G11" i="121"/>
  <c r="F11" i="121"/>
  <c r="L10" i="121"/>
  <c r="K10" i="121"/>
  <c r="J10" i="121"/>
  <c r="H10" i="121"/>
  <c r="G10" i="121"/>
  <c r="F10" i="121"/>
  <c r="H9" i="121"/>
  <c r="F9" i="121"/>
  <c r="J5" i="121" s="1"/>
  <c r="L8" i="121"/>
  <c r="K8" i="121"/>
  <c r="J8" i="121"/>
  <c r="H8" i="121"/>
  <c r="F8" i="121"/>
  <c r="G8" i="121" s="1"/>
  <c r="K6" i="121" s="1"/>
  <c r="H7" i="121"/>
  <c r="F7" i="121"/>
  <c r="J4" i="121" s="1"/>
  <c r="L6" i="121"/>
  <c r="J6" i="121"/>
  <c r="H6" i="121"/>
  <c r="L7" i="121" s="1"/>
  <c r="F6" i="121"/>
  <c r="G6" i="121" s="1"/>
  <c r="K7" i="121" s="1"/>
  <c r="L5" i="121"/>
  <c r="H5" i="121"/>
  <c r="G5" i="121"/>
  <c r="F5" i="121"/>
  <c r="H4" i="121"/>
  <c r="G4" i="121"/>
  <c r="F4" i="121"/>
  <c r="L3" i="121"/>
  <c r="L16" i="121" s="1"/>
  <c r="K3" i="121"/>
  <c r="K16" i="121" s="1"/>
  <c r="J3" i="121"/>
  <c r="J16" i="121" s="1"/>
  <c r="H3" i="121"/>
  <c r="L4" i="121" s="1"/>
  <c r="L17" i="121" s="1"/>
  <c r="G3" i="121"/>
  <c r="F3" i="121"/>
  <c r="H42" i="119"/>
  <c r="F42" i="119"/>
  <c r="G42" i="119" s="1"/>
  <c r="A42" i="119"/>
  <c r="H41" i="119"/>
  <c r="G41" i="119"/>
  <c r="F41" i="119"/>
  <c r="A41" i="119"/>
  <c r="H40" i="119"/>
  <c r="F40" i="119"/>
  <c r="G40" i="119" s="1"/>
  <c r="A40" i="119"/>
  <c r="H39" i="119"/>
  <c r="F39" i="119"/>
  <c r="G39" i="119" s="1"/>
  <c r="A39" i="119"/>
  <c r="H38" i="119"/>
  <c r="F38" i="119"/>
  <c r="G38" i="119" s="1"/>
  <c r="A38" i="119"/>
  <c r="H37" i="119"/>
  <c r="F37" i="119"/>
  <c r="G37" i="119" s="1"/>
  <c r="A37" i="119"/>
  <c r="H36" i="119"/>
  <c r="F36" i="119"/>
  <c r="G36" i="119" s="1"/>
  <c r="A36" i="119"/>
  <c r="H35" i="119"/>
  <c r="G35" i="119"/>
  <c r="F35" i="119"/>
  <c r="A35" i="119"/>
  <c r="H34" i="119"/>
  <c r="F34" i="119"/>
  <c r="G34" i="119" s="1"/>
  <c r="A34" i="119"/>
  <c r="H33" i="119"/>
  <c r="G33" i="119"/>
  <c r="F33" i="119"/>
  <c r="A33" i="119"/>
  <c r="H32" i="119"/>
  <c r="F32" i="119"/>
  <c r="G32" i="119" s="1"/>
  <c r="A32" i="119"/>
  <c r="H31" i="119"/>
  <c r="F31" i="119"/>
  <c r="G31" i="119" s="1"/>
  <c r="A31" i="119"/>
  <c r="H30" i="119"/>
  <c r="F30" i="119"/>
  <c r="G30" i="119" s="1"/>
  <c r="A30" i="119"/>
  <c r="H29" i="119"/>
  <c r="F29" i="119"/>
  <c r="G29" i="119" s="1"/>
  <c r="A29" i="119"/>
  <c r="H28" i="119"/>
  <c r="F28" i="119"/>
  <c r="G28" i="119" s="1"/>
  <c r="A28" i="119"/>
  <c r="H27" i="119"/>
  <c r="G27" i="119"/>
  <c r="F27" i="119"/>
  <c r="H26" i="119"/>
  <c r="F26" i="119"/>
  <c r="G26" i="119" s="1"/>
  <c r="H25" i="119"/>
  <c r="G25" i="119"/>
  <c r="F25" i="119"/>
  <c r="H24" i="119"/>
  <c r="G24" i="119" s="1"/>
  <c r="F24" i="119"/>
  <c r="H23" i="119"/>
  <c r="F23" i="119"/>
  <c r="G23" i="119" s="1"/>
  <c r="H22" i="119"/>
  <c r="F22" i="119"/>
  <c r="G22" i="119" s="1"/>
  <c r="H21" i="119"/>
  <c r="G21" i="119"/>
  <c r="F21" i="119"/>
  <c r="H20" i="119"/>
  <c r="G20" i="119"/>
  <c r="F20" i="119"/>
  <c r="H19" i="119"/>
  <c r="F19" i="119"/>
  <c r="G19" i="119" s="1"/>
  <c r="H18" i="119"/>
  <c r="F18" i="119"/>
  <c r="G18" i="119" s="1"/>
  <c r="H17" i="119"/>
  <c r="F17" i="119"/>
  <c r="G17" i="119" s="1"/>
  <c r="J16" i="119"/>
  <c r="J20" i="119" s="1"/>
  <c r="H16" i="119"/>
  <c r="F16" i="119"/>
  <c r="G16" i="119" s="1"/>
  <c r="H15" i="119"/>
  <c r="L9" i="119" s="1"/>
  <c r="L21" i="119" s="1"/>
  <c r="F15" i="119"/>
  <c r="G15" i="119" s="1"/>
  <c r="H14" i="119"/>
  <c r="G14" i="119"/>
  <c r="F14" i="119"/>
  <c r="H13" i="119"/>
  <c r="F13" i="119"/>
  <c r="G13" i="119" s="1"/>
  <c r="L12" i="119"/>
  <c r="L19" i="119" s="1"/>
  <c r="K12" i="119"/>
  <c r="K19" i="119" s="1"/>
  <c r="J12" i="119"/>
  <c r="J19" i="119" s="1"/>
  <c r="H12" i="119"/>
  <c r="G12" i="119"/>
  <c r="F12" i="119"/>
  <c r="H11" i="119"/>
  <c r="G11" i="119"/>
  <c r="F11" i="119"/>
  <c r="L10" i="119"/>
  <c r="K10" i="119"/>
  <c r="J10" i="119"/>
  <c r="H10" i="119"/>
  <c r="F10" i="119"/>
  <c r="G10" i="119" s="1"/>
  <c r="H9" i="119"/>
  <c r="F9" i="119"/>
  <c r="G9" i="119" s="1"/>
  <c r="L8" i="119"/>
  <c r="K8" i="119"/>
  <c r="J8" i="119"/>
  <c r="H8" i="119"/>
  <c r="F8" i="119"/>
  <c r="G8" i="119" s="1"/>
  <c r="L7" i="119"/>
  <c r="K7" i="119"/>
  <c r="J7" i="119"/>
  <c r="H7" i="119"/>
  <c r="G7" i="119"/>
  <c r="F7" i="119"/>
  <c r="L6" i="119"/>
  <c r="K6" i="119"/>
  <c r="J6" i="119"/>
  <c r="H6" i="119"/>
  <c r="F6" i="119"/>
  <c r="G6" i="119" s="1"/>
  <c r="L5" i="119"/>
  <c r="K5" i="119"/>
  <c r="J5" i="119"/>
  <c r="H5" i="119"/>
  <c r="F5" i="119"/>
  <c r="G5" i="119" s="1"/>
  <c r="L4" i="119"/>
  <c r="L17" i="119" s="1"/>
  <c r="K4" i="119"/>
  <c r="K17" i="119" s="1"/>
  <c r="J4" i="119"/>
  <c r="J17" i="119" s="1"/>
  <c r="H4" i="119"/>
  <c r="L11" i="119" s="1"/>
  <c r="L18" i="119" s="1"/>
  <c r="F4" i="119"/>
  <c r="J11" i="119" s="1"/>
  <c r="J18" i="119" s="1"/>
  <c r="L3" i="119"/>
  <c r="L16" i="119" s="1"/>
  <c r="K3" i="119"/>
  <c r="K16" i="119" s="1"/>
  <c r="J3" i="119"/>
  <c r="H3" i="119"/>
  <c r="G3" i="119" s="1"/>
  <c r="F3" i="119"/>
  <c r="H42" i="120"/>
  <c r="F42" i="120"/>
  <c r="G42" i="120" s="1"/>
  <c r="A42" i="120"/>
  <c r="H41" i="120"/>
  <c r="G41" i="120"/>
  <c r="F41" i="120"/>
  <c r="A41" i="120"/>
  <c r="H40" i="120"/>
  <c r="F40" i="120"/>
  <c r="G40" i="120" s="1"/>
  <c r="A40" i="120"/>
  <c r="H39" i="120"/>
  <c r="F39" i="120"/>
  <c r="G39" i="120" s="1"/>
  <c r="A39" i="120"/>
  <c r="H38" i="120"/>
  <c r="F38" i="120"/>
  <c r="G38" i="120" s="1"/>
  <c r="A38" i="120"/>
  <c r="H37" i="120"/>
  <c r="F37" i="120"/>
  <c r="G37" i="120" s="1"/>
  <c r="A37" i="120"/>
  <c r="H36" i="120"/>
  <c r="F36" i="120"/>
  <c r="G36" i="120" s="1"/>
  <c r="A36" i="120"/>
  <c r="H35" i="120"/>
  <c r="G35" i="120"/>
  <c r="F35" i="120"/>
  <c r="A35" i="120"/>
  <c r="H34" i="120"/>
  <c r="F34" i="120"/>
  <c r="G34" i="120" s="1"/>
  <c r="A34" i="120"/>
  <c r="H33" i="120"/>
  <c r="G33" i="120"/>
  <c r="F33" i="120"/>
  <c r="A33" i="120"/>
  <c r="H32" i="120"/>
  <c r="F32" i="120"/>
  <c r="G32" i="120" s="1"/>
  <c r="A32" i="120"/>
  <c r="H31" i="120"/>
  <c r="F31" i="120"/>
  <c r="G31" i="120" s="1"/>
  <c r="A31" i="120"/>
  <c r="H30" i="120"/>
  <c r="F30" i="120"/>
  <c r="G30" i="120" s="1"/>
  <c r="A30" i="120"/>
  <c r="H29" i="120"/>
  <c r="F29" i="120"/>
  <c r="G29" i="120" s="1"/>
  <c r="A29" i="120"/>
  <c r="H28" i="120"/>
  <c r="F28" i="120"/>
  <c r="G28" i="120" s="1"/>
  <c r="A28" i="120"/>
  <c r="H27" i="120"/>
  <c r="L7" i="120" s="1"/>
  <c r="G27" i="120"/>
  <c r="F27" i="120"/>
  <c r="H26" i="120"/>
  <c r="F26" i="120"/>
  <c r="G26" i="120" s="1"/>
  <c r="H25" i="120"/>
  <c r="G25" i="120"/>
  <c r="F25" i="120"/>
  <c r="H24" i="120"/>
  <c r="F24" i="120"/>
  <c r="G24" i="120" s="1"/>
  <c r="H23" i="120"/>
  <c r="F23" i="120"/>
  <c r="G23" i="120" s="1"/>
  <c r="H22" i="120"/>
  <c r="F22" i="120"/>
  <c r="G22" i="120" s="1"/>
  <c r="L21" i="120"/>
  <c r="J21" i="120"/>
  <c r="H21" i="120"/>
  <c r="G21" i="120"/>
  <c r="F21" i="120"/>
  <c r="H20" i="120"/>
  <c r="F20" i="120"/>
  <c r="G20" i="120" s="1"/>
  <c r="H19" i="120"/>
  <c r="F19" i="120"/>
  <c r="G19" i="120" s="1"/>
  <c r="K18" i="120"/>
  <c r="H18" i="120"/>
  <c r="F18" i="120"/>
  <c r="G18" i="120" s="1"/>
  <c r="H17" i="120"/>
  <c r="F17" i="120"/>
  <c r="G17" i="120" s="1"/>
  <c r="J16" i="120"/>
  <c r="H16" i="120"/>
  <c r="F16" i="120"/>
  <c r="G16" i="120" s="1"/>
  <c r="K7" i="120" s="1"/>
  <c r="H15" i="120"/>
  <c r="F15" i="120"/>
  <c r="G15" i="120" s="1"/>
  <c r="H14" i="120"/>
  <c r="F14" i="120"/>
  <c r="G14" i="120" s="1"/>
  <c r="H13" i="120"/>
  <c r="F13" i="120"/>
  <c r="G13" i="120" s="1"/>
  <c r="L12" i="120"/>
  <c r="L19" i="120" s="1"/>
  <c r="K12" i="120"/>
  <c r="K19" i="120" s="1"/>
  <c r="J12" i="120"/>
  <c r="J19" i="120" s="1"/>
  <c r="H12" i="120"/>
  <c r="G12" i="120"/>
  <c r="F12" i="120"/>
  <c r="L11" i="120"/>
  <c r="L18" i="120" s="1"/>
  <c r="K11" i="120"/>
  <c r="J11" i="120"/>
  <c r="J18" i="120" s="1"/>
  <c r="H11" i="120"/>
  <c r="G11" i="120"/>
  <c r="F11" i="120"/>
  <c r="L10" i="120"/>
  <c r="K10" i="120"/>
  <c r="J10" i="120"/>
  <c r="H10" i="120"/>
  <c r="F10" i="120"/>
  <c r="G10" i="120" s="1"/>
  <c r="L9" i="120"/>
  <c r="J9" i="120"/>
  <c r="H9" i="120"/>
  <c r="F9" i="120"/>
  <c r="G9" i="120" s="1"/>
  <c r="L8" i="120"/>
  <c r="K8" i="120"/>
  <c r="J8" i="120"/>
  <c r="H8" i="120"/>
  <c r="F8" i="120"/>
  <c r="G8" i="120" s="1"/>
  <c r="K9" i="120" s="1"/>
  <c r="K21" i="120" s="1"/>
  <c r="J7" i="120"/>
  <c r="H7" i="120"/>
  <c r="L4" i="120" s="1"/>
  <c r="F7" i="120"/>
  <c r="J4" i="120" s="1"/>
  <c r="L6" i="120"/>
  <c r="H6" i="120"/>
  <c r="F6" i="120"/>
  <c r="G6" i="120" s="1"/>
  <c r="H5" i="120"/>
  <c r="G5" i="120"/>
  <c r="F5" i="120"/>
  <c r="H4" i="120"/>
  <c r="F4" i="120"/>
  <c r="J6" i="120" s="1"/>
  <c r="L3" i="120"/>
  <c r="L16" i="120" s="1"/>
  <c r="K3" i="120"/>
  <c r="K16" i="120" s="1"/>
  <c r="J3" i="120"/>
  <c r="H3" i="120"/>
  <c r="L5" i="120" s="1"/>
  <c r="F3" i="120"/>
  <c r="J5" i="120" s="1"/>
  <c r="H42" i="118"/>
  <c r="F42" i="118"/>
  <c r="G42" i="118" s="1"/>
  <c r="A42" i="118"/>
  <c r="H41" i="118"/>
  <c r="F41" i="118"/>
  <c r="G41" i="118" s="1"/>
  <c r="A41" i="118"/>
  <c r="H40" i="118"/>
  <c r="F40" i="118"/>
  <c r="G40" i="118" s="1"/>
  <c r="A40" i="118"/>
  <c r="H39" i="118"/>
  <c r="F39" i="118"/>
  <c r="G39" i="118" s="1"/>
  <c r="A39" i="118"/>
  <c r="H38" i="118"/>
  <c r="F38" i="118"/>
  <c r="G38" i="118" s="1"/>
  <c r="A38" i="118"/>
  <c r="H37" i="118"/>
  <c r="F37" i="118"/>
  <c r="G37" i="118" s="1"/>
  <c r="A37" i="118"/>
  <c r="H36" i="118"/>
  <c r="F36" i="118"/>
  <c r="G36" i="118" s="1"/>
  <c r="A36" i="118"/>
  <c r="H35" i="118"/>
  <c r="G35" i="118"/>
  <c r="F35" i="118"/>
  <c r="A35" i="118"/>
  <c r="H34" i="118"/>
  <c r="F34" i="118"/>
  <c r="G34" i="118" s="1"/>
  <c r="A34" i="118"/>
  <c r="H33" i="118"/>
  <c r="F33" i="118"/>
  <c r="G33" i="118" s="1"/>
  <c r="A33" i="118"/>
  <c r="H32" i="118"/>
  <c r="F32" i="118"/>
  <c r="G32" i="118" s="1"/>
  <c r="H31" i="118"/>
  <c r="G31" i="118"/>
  <c r="F31" i="118"/>
  <c r="H30" i="118"/>
  <c r="F30" i="118"/>
  <c r="G30" i="118" s="1"/>
  <c r="H29" i="118"/>
  <c r="G29" i="118"/>
  <c r="F29" i="118"/>
  <c r="H28" i="118"/>
  <c r="F28" i="118"/>
  <c r="G28" i="118" s="1"/>
  <c r="H27" i="118"/>
  <c r="F27" i="118"/>
  <c r="G27" i="118" s="1"/>
  <c r="H26" i="118"/>
  <c r="F26" i="118"/>
  <c r="G26" i="118" s="1"/>
  <c r="H25" i="118"/>
  <c r="G25" i="118" s="1"/>
  <c r="F25" i="118"/>
  <c r="H24" i="118"/>
  <c r="F24" i="118"/>
  <c r="G24" i="118" s="1"/>
  <c r="H23" i="118"/>
  <c r="F23" i="118"/>
  <c r="G23" i="118" s="1"/>
  <c r="H22" i="118"/>
  <c r="F22" i="118"/>
  <c r="J4" i="118" s="1"/>
  <c r="L21" i="118"/>
  <c r="H21" i="118"/>
  <c r="F21" i="118"/>
  <c r="G21" i="118" s="1"/>
  <c r="H20" i="118"/>
  <c r="F20" i="118"/>
  <c r="G20" i="118" s="1"/>
  <c r="K19" i="118"/>
  <c r="H19" i="118"/>
  <c r="F19" i="118"/>
  <c r="G19" i="118" s="1"/>
  <c r="H18" i="118"/>
  <c r="G18" i="118"/>
  <c r="F18" i="118"/>
  <c r="H17" i="118"/>
  <c r="F17" i="118"/>
  <c r="G17" i="118" s="1"/>
  <c r="K16" i="118"/>
  <c r="B42" i="123" s="1"/>
  <c r="J16" i="118"/>
  <c r="H16" i="118"/>
  <c r="L6" i="118" s="1"/>
  <c r="F16" i="118"/>
  <c r="G16" i="118" s="1"/>
  <c r="K6" i="118" s="1"/>
  <c r="H15" i="118"/>
  <c r="G15" i="118"/>
  <c r="F15" i="118"/>
  <c r="H14" i="118"/>
  <c r="F14" i="118"/>
  <c r="G14" i="118" s="1"/>
  <c r="H13" i="118"/>
  <c r="G13" i="118"/>
  <c r="F13" i="118"/>
  <c r="L12" i="118"/>
  <c r="L19" i="118" s="1"/>
  <c r="G42" i="123" s="1"/>
  <c r="K12" i="118"/>
  <c r="J12" i="118"/>
  <c r="J19" i="118" s="1"/>
  <c r="H12" i="118"/>
  <c r="F12" i="118"/>
  <c r="G12" i="118" s="1"/>
  <c r="L11" i="118"/>
  <c r="L18" i="118" s="1"/>
  <c r="K11" i="118"/>
  <c r="K18" i="118" s="1"/>
  <c r="J11" i="118"/>
  <c r="J18" i="118" s="1"/>
  <c r="H11" i="118"/>
  <c r="G11" i="118" s="1"/>
  <c r="F11" i="118"/>
  <c r="L10" i="118"/>
  <c r="K10" i="118"/>
  <c r="J10" i="118"/>
  <c r="H10" i="118"/>
  <c r="F10" i="118"/>
  <c r="G10" i="118" s="1"/>
  <c r="L9" i="118"/>
  <c r="J9" i="118"/>
  <c r="H9" i="118"/>
  <c r="L4" i="118" s="1"/>
  <c r="G9" i="118"/>
  <c r="F9" i="118"/>
  <c r="L8" i="118"/>
  <c r="K8" i="118"/>
  <c r="J8" i="118"/>
  <c r="J21" i="118" s="1"/>
  <c r="I42" i="123" s="1"/>
  <c r="H8" i="118"/>
  <c r="G8" i="118"/>
  <c r="F8" i="118"/>
  <c r="L7" i="118"/>
  <c r="K7" i="118"/>
  <c r="J7" i="118"/>
  <c r="H7" i="118"/>
  <c r="G7" i="118"/>
  <c r="F7" i="118"/>
  <c r="H6" i="118"/>
  <c r="F6" i="118"/>
  <c r="G6" i="118" s="1"/>
  <c r="H5" i="118"/>
  <c r="F5" i="118"/>
  <c r="G5" i="118" s="1"/>
  <c r="H4" i="118"/>
  <c r="L5" i="118" s="1"/>
  <c r="F4" i="118"/>
  <c r="G4" i="118" s="1"/>
  <c r="L3" i="118"/>
  <c r="L16" i="118" s="1"/>
  <c r="E42" i="123" s="1"/>
  <c r="K3" i="118"/>
  <c r="J3" i="118"/>
  <c r="H3" i="118"/>
  <c r="G3" i="118"/>
  <c r="F3" i="118"/>
  <c r="H42" i="114"/>
  <c r="F42" i="114"/>
  <c r="G42" i="114" s="1"/>
  <c r="A42" i="114"/>
  <c r="H41" i="114"/>
  <c r="F41" i="114"/>
  <c r="G41" i="114" s="1"/>
  <c r="A41" i="114"/>
  <c r="H40" i="114"/>
  <c r="F40" i="114"/>
  <c r="G40" i="114" s="1"/>
  <c r="A40" i="114"/>
  <c r="H39" i="114"/>
  <c r="F39" i="114"/>
  <c r="G39" i="114" s="1"/>
  <c r="A39" i="114"/>
  <c r="H38" i="114"/>
  <c r="G38" i="114"/>
  <c r="F38" i="114"/>
  <c r="A38" i="114"/>
  <c r="H37" i="114"/>
  <c r="F37" i="114"/>
  <c r="G37" i="114" s="1"/>
  <c r="A37" i="114"/>
  <c r="H36" i="114"/>
  <c r="F36" i="114"/>
  <c r="G36" i="114" s="1"/>
  <c r="A36" i="114"/>
  <c r="H35" i="114"/>
  <c r="F35" i="114"/>
  <c r="G35" i="114" s="1"/>
  <c r="A35" i="114"/>
  <c r="H34" i="114"/>
  <c r="F34" i="114"/>
  <c r="G34" i="114" s="1"/>
  <c r="A34" i="114"/>
  <c r="H33" i="114"/>
  <c r="F33" i="114"/>
  <c r="G33" i="114" s="1"/>
  <c r="A33" i="114"/>
  <c r="H32" i="114"/>
  <c r="F32" i="114"/>
  <c r="G32" i="114" s="1"/>
  <c r="A32" i="114"/>
  <c r="H31" i="114"/>
  <c r="F31" i="114"/>
  <c r="G31" i="114" s="1"/>
  <c r="A31" i="114"/>
  <c r="H30" i="114"/>
  <c r="G30" i="114"/>
  <c r="F30" i="114"/>
  <c r="A30" i="114"/>
  <c r="H29" i="114"/>
  <c r="F29" i="114"/>
  <c r="G29" i="114" s="1"/>
  <c r="A29" i="114"/>
  <c r="H28" i="114"/>
  <c r="F28" i="114"/>
  <c r="G28" i="114" s="1"/>
  <c r="A28" i="114"/>
  <c r="H27" i="114"/>
  <c r="F27" i="114"/>
  <c r="G27" i="114" s="1"/>
  <c r="A27" i="114"/>
  <c r="H26" i="114"/>
  <c r="F26" i="114"/>
  <c r="G26" i="114" s="1"/>
  <c r="A26" i="114"/>
  <c r="H25" i="114"/>
  <c r="F25" i="114"/>
  <c r="G25" i="114" s="1"/>
  <c r="A25" i="114"/>
  <c r="H24" i="114"/>
  <c r="F24" i="114"/>
  <c r="G24" i="114" s="1"/>
  <c r="A24" i="114"/>
  <c r="H23" i="114"/>
  <c r="F23" i="114"/>
  <c r="G23" i="114" s="1"/>
  <c r="A23" i="114"/>
  <c r="H22" i="114"/>
  <c r="G22" i="114"/>
  <c r="F22" i="114"/>
  <c r="A22" i="114"/>
  <c r="H21" i="114"/>
  <c r="F21" i="114"/>
  <c r="G21" i="114" s="1"/>
  <c r="A21" i="114"/>
  <c r="H20" i="114"/>
  <c r="F20" i="114"/>
  <c r="G20" i="114" s="1"/>
  <c r="A20" i="114"/>
  <c r="H19" i="114"/>
  <c r="G19" i="114"/>
  <c r="F19" i="114"/>
  <c r="A19" i="114"/>
  <c r="K18" i="114"/>
  <c r="H18" i="114"/>
  <c r="F18" i="114"/>
  <c r="G18" i="114" s="1"/>
  <c r="A18" i="114"/>
  <c r="H17" i="114"/>
  <c r="G17" i="114" s="1"/>
  <c r="F17" i="114"/>
  <c r="A17" i="114"/>
  <c r="L16" i="114"/>
  <c r="E39" i="123" s="1"/>
  <c r="K16" i="114"/>
  <c r="B39" i="123" s="1"/>
  <c r="J16" i="114"/>
  <c r="H16" i="114"/>
  <c r="F16" i="114"/>
  <c r="G16" i="114" s="1"/>
  <c r="A16" i="114"/>
  <c r="H15" i="114"/>
  <c r="F15" i="114"/>
  <c r="G15" i="114" s="1"/>
  <c r="A15" i="114"/>
  <c r="H14" i="114"/>
  <c r="F14" i="114"/>
  <c r="G14" i="114" s="1"/>
  <c r="A14" i="114"/>
  <c r="H13" i="114"/>
  <c r="F13" i="114"/>
  <c r="G13" i="114" s="1"/>
  <c r="A13" i="114"/>
  <c r="L12" i="114"/>
  <c r="L19" i="114" s="1"/>
  <c r="G39" i="123" s="1"/>
  <c r="K12" i="114"/>
  <c r="K19" i="114" s="1"/>
  <c r="D39" i="123" s="1"/>
  <c r="J12" i="114"/>
  <c r="J19" i="114" s="1"/>
  <c r="H12" i="114"/>
  <c r="F12" i="114"/>
  <c r="G12" i="114" s="1"/>
  <c r="A12" i="114"/>
  <c r="L11" i="114"/>
  <c r="L18" i="114" s="1"/>
  <c r="K11" i="114"/>
  <c r="J11" i="114"/>
  <c r="J18" i="114" s="1"/>
  <c r="H11" i="114"/>
  <c r="F11" i="114"/>
  <c r="G11" i="114" s="1"/>
  <c r="H10" i="114"/>
  <c r="F10" i="114"/>
  <c r="G10" i="114" s="1"/>
  <c r="L9" i="114"/>
  <c r="L21" i="114" s="1"/>
  <c r="K9" i="114"/>
  <c r="K21" i="114" s="1"/>
  <c r="H9" i="114"/>
  <c r="F9" i="114"/>
  <c r="G9" i="114" s="1"/>
  <c r="L8" i="114"/>
  <c r="K8" i="114"/>
  <c r="J8" i="114"/>
  <c r="H8" i="114"/>
  <c r="F8" i="114"/>
  <c r="G8" i="114" s="1"/>
  <c r="L7" i="114"/>
  <c r="K7" i="114"/>
  <c r="J7" i="114"/>
  <c r="H7" i="114"/>
  <c r="F7" i="114"/>
  <c r="G7" i="114" s="1"/>
  <c r="L6" i="114"/>
  <c r="K6" i="114"/>
  <c r="J6" i="114"/>
  <c r="H6" i="114"/>
  <c r="G6" i="114"/>
  <c r="F6" i="114"/>
  <c r="J9" i="114" s="1"/>
  <c r="J21" i="114" s="1"/>
  <c r="I39" i="123" s="1"/>
  <c r="L5" i="114"/>
  <c r="K5" i="114"/>
  <c r="J5" i="114"/>
  <c r="H5" i="114"/>
  <c r="F5" i="114"/>
  <c r="J10" i="114" s="1"/>
  <c r="L4" i="114"/>
  <c r="K4" i="114"/>
  <c r="J4" i="114"/>
  <c r="J17" i="114" s="1"/>
  <c r="H4" i="114"/>
  <c r="G4" i="114" s="1"/>
  <c r="F4" i="114"/>
  <c r="L3" i="114"/>
  <c r="K3" i="114"/>
  <c r="J3" i="114"/>
  <c r="H3" i="114"/>
  <c r="F3" i="114"/>
  <c r="G3" i="114" s="1"/>
  <c r="H42" i="112"/>
  <c r="G42" i="112"/>
  <c r="F42" i="112"/>
  <c r="A42" i="112"/>
  <c r="H41" i="112"/>
  <c r="F41" i="112"/>
  <c r="G41" i="112" s="1"/>
  <c r="A41" i="112"/>
  <c r="H40" i="112"/>
  <c r="F40" i="112"/>
  <c r="G40" i="112" s="1"/>
  <c r="A40" i="112"/>
  <c r="H39" i="112"/>
  <c r="F39" i="112"/>
  <c r="G39" i="112" s="1"/>
  <c r="A39" i="112"/>
  <c r="H38" i="112"/>
  <c r="F38" i="112"/>
  <c r="G38" i="112" s="1"/>
  <c r="A38" i="112"/>
  <c r="H37" i="112"/>
  <c r="F37" i="112"/>
  <c r="G37" i="112" s="1"/>
  <c r="A37" i="112"/>
  <c r="H36" i="112"/>
  <c r="G36" i="112"/>
  <c r="F36" i="112"/>
  <c r="A36" i="112"/>
  <c r="H35" i="112"/>
  <c r="G35" i="112"/>
  <c r="F35" i="112"/>
  <c r="A35" i="112"/>
  <c r="H34" i="112"/>
  <c r="G34" i="112"/>
  <c r="F34" i="112"/>
  <c r="A34" i="112"/>
  <c r="H33" i="112"/>
  <c r="F33" i="112"/>
  <c r="G33" i="112" s="1"/>
  <c r="A33" i="112"/>
  <c r="H32" i="112"/>
  <c r="F32" i="112"/>
  <c r="G32" i="112" s="1"/>
  <c r="A32" i="112"/>
  <c r="H31" i="112"/>
  <c r="F31" i="112"/>
  <c r="G31" i="112" s="1"/>
  <c r="A31" i="112"/>
  <c r="H30" i="112"/>
  <c r="F30" i="112"/>
  <c r="G30" i="112" s="1"/>
  <c r="A30" i="112"/>
  <c r="H29" i="112"/>
  <c r="F29" i="112"/>
  <c r="G29" i="112" s="1"/>
  <c r="A29" i="112"/>
  <c r="H28" i="112"/>
  <c r="G28" i="112"/>
  <c r="F28" i="112"/>
  <c r="A28" i="112"/>
  <c r="H27" i="112"/>
  <c r="G27" i="112"/>
  <c r="F27" i="112"/>
  <c r="A27" i="112"/>
  <c r="H26" i="112"/>
  <c r="G26" i="112"/>
  <c r="F26" i="112"/>
  <c r="A26" i="112"/>
  <c r="H25" i="112"/>
  <c r="F25" i="112"/>
  <c r="G25" i="112" s="1"/>
  <c r="A25" i="112"/>
  <c r="H24" i="112"/>
  <c r="F24" i="112"/>
  <c r="G24" i="112" s="1"/>
  <c r="A24" i="112"/>
  <c r="H23" i="112"/>
  <c r="F23" i="112"/>
  <c r="G23" i="112" s="1"/>
  <c r="A23" i="112"/>
  <c r="H22" i="112"/>
  <c r="F22" i="112"/>
  <c r="G22" i="112" s="1"/>
  <c r="A22" i="112"/>
  <c r="K21" i="112"/>
  <c r="J21" i="112"/>
  <c r="I37" i="123" s="1"/>
  <c r="H21" i="112"/>
  <c r="F21" i="112"/>
  <c r="G21" i="112" s="1"/>
  <c r="A21" i="112"/>
  <c r="H20" i="112"/>
  <c r="G20" i="112"/>
  <c r="F20" i="112"/>
  <c r="A20" i="112"/>
  <c r="H19" i="112"/>
  <c r="F19" i="112"/>
  <c r="G19" i="112" s="1"/>
  <c r="A19" i="112"/>
  <c r="L18" i="112"/>
  <c r="K18" i="112"/>
  <c r="J18" i="112"/>
  <c r="H18" i="112"/>
  <c r="F18" i="112"/>
  <c r="G18" i="112" s="1"/>
  <c r="A18" i="112"/>
  <c r="H17" i="112"/>
  <c r="F17" i="112"/>
  <c r="G17" i="112" s="1"/>
  <c r="A17" i="112"/>
  <c r="L16" i="112"/>
  <c r="E37" i="123" s="1"/>
  <c r="K16" i="112"/>
  <c r="B37" i="123" s="1"/>
  <c r="J16" i="112"/>
  <c r="H16" i="112"/>
  <c r="G16" i="112"/>
  <c r="F16" i="112"/>
  <c r="A16" i="112"/>
  <c r="H15" i="112"/>
  <c r="G15" i="112"/>
  <c r="F15" i="112"/>
  <c r="A15" i="112"/>
  <c r="H14" i="112"/>
  <c r="G14" i="112"/>
  <c r="F14" i="112"/>
  <c r="A14" i="112"/>
  <c r="H13" i="112"/>
  <c r="F13" i="112"/>
  <c r="G13" i="112" s="1"/>
  <c r="L12" i="112"/>
  <c r="L19" i="112" s="1"/>
  <c r="G37" i="123" s="1"/>
  <c r="K12" i="112"/>
  <c r="K19" i="112" s="1"/>
  <c r="D37" i="123" s="1"/>
  <c r="J12" i="112"/>
  <c r="J19" i="112" s="1"/>
  <c r="H12" i="112"/>
  <c r="F12" i="112"/>
  <c r="G12" i="112" s="1"/>
  <c r="L11" i="112"/>
  <c r="K11" i="112"/>
  <c r="J11" i="112"/>
  <c r="H11" i="112"/>
  <c r="F11" i="112"/>
  <c r="G11" i="112" s="1"/>
  <c r="H10" i="112"/>
  <c r="F10" i="112"/>
  <c r="G10" i="112" s="1"/>
  <c r="L9" i="112"/>
  <c r="L21" i="112" s="1"/>
  <c r="K9" i="112"/>
  <c r="J9" i="112"/>
  <c r="H9" i="112"/>
  <c r="G9" i="112"/>
  <c r="F9" i="112"/>
  <c r="L8" i="112"/>
  <c r="K8" i="112"/>
  <c r="J8" i="112"/>
  <c r="H8" i="112"/>
  <c r="G8" i="112"/>
  <c r="F8" i="112"/>
  <c r="L7" i="112"/>
  <c r="K7" i="112"/>
  <c r="J7" i="112"/>
  <c r="H7" i="112"/>
  <c r="F7" i="112"/>
  <c r="G7" i="112" s="1"/>
  <c r="L6" i="112"/>
  <c r="K6" i="112"/>
  <c r="J6" i="112"/>
  <c r="H6" i="112"/>
  <c r="G6" i="112" s="1"/>
  <c r="F6" i="112"/>
  <c r="L5" i="112"/>
  <c r="K5" i="112"/>
  <c r="J5" i="112"/>
  <c r="H5" i="112"/>
  <c r="L10" i="112" s="1"/>
  <c r="F5" i="112"/>
  <c r="G5" i="112" s="1"/>
  <c r="L4" i="112"/>
  <c r="L17" i="112" s="1"/>
  <c r="F37" i="123" s="1"/>
  <c r="K4" i="112"/>
  <c r="J4" i="112"/>
  <c r="H4" i="112"/>
  <c r="G4" i="112"/>
  <c r="F4" i="112"/>
  <c r="L3" i="112"/>
  <c r="K3" i="112"/>
  <c r="J3" i="112"/>
  <c r="H3" i="112"/>
  <c r="G3" i="112"/>
  <c r="F3" i="112"/>
  <c r="H42" i="111"/>
  <c r="F42" i="111"/>
  <c r="G42" i="111" s="1"/>
  <c r="A42" i="111"/>
  <c r="H41" i="111"/>
  <c r="F41" i="111"/>
  <c r="G41" i="111" s="1"/>
  <c r="A41" i="111"/>
  <c r="H40" i="111"/>
  <c r="F40" i="111"/>
  <c r="G40" i="111" s="1"/>
  <c r="A40" i="111"/>
  <c r="H39" i="111"/>
  <c r="F39" i="111"/>
  <c r="G39" i="111" s="1"/>
  <c r="A39" i="111"/>
  <c r="H38" i="111"/>
  <c r="F38" i="111"/>
  <c r="G38" i="111" s="1"/>
  <c r="A38" i="111"/>
  <c r="H37" i="111"/>
  <c r="F37" i="111"/>
  <c r="G37" i="111" s="1"/>
  <c r="A37" i="111"/>
  <c r="H36" i="111"/>
  <c r="F36" i="111"/>
  <c r="G36" i="111" s="1"/>
  <c r="A36" i="111"/>
  <c r="H35" i="111"/>
  <c r="F35" i="111"/>
  <c r="G35" i="111" s="1"/>
  <c r="A35" i="111"/>
  <c r="H34" i="111"/>
  <c r="F34" i="111"/>
  <c r="G34" i="111" s="1"/>
  <c r="A34" i="111"/>
  <c r="H33" i="111"/>
  <c r="F33" i="111"/>
  <c r="G33" i="111" s="1"/>
  <c r="A33" i="111"/>
  <c r="H32" i="111"/>
  <c r="F32" i="111"/>
  <c r="G32" i="111" s="1"/>
  <c r="A32" i="111"/>
  <c r="H31" i="111"/>
  <c r="F31" i="111"/>
  <c r="G31" i="111" s="1"/>
  <c r="A31" i="111"/>
  <c r="H30" i="111"/>
  <c r="F30" i="111"/>
  <c r="G30" i="111" s="1"/>
  <c r="A30" i="111"/>
  <c r="H29" i="111"/>
  <c r="F29" i="111"/>
  <c r="G29" i="111" s="1"/>
  <c r="A29" i="111"/>
  <c r="H28" i="111"/>
  <c r="F28" i="111"/>
  <c r="G28" i="111" s="1"/>
  <c r="A28" i="111"/>
  <c r="H27" i="111"/>
  <c r="F27" i="111"/>
  <c r="G27" i="111" s="1"/>
  <c r="A27" i="111"/>
  <c r="H26" i="111"/>
  <c r="F26" i="111"/>
  <c r="G26" i="111" s="1"/>
  <c r="A26" i="111"/>
  <c r="H25" i="111"/>
  <c r="F25" i="111"/>
  <c r="G25" i="111" s="1"/>
  <c r="H24" i="111"/>
  <c r="F24" i="111"/>
  <c r="G24" i="111" s="1"/>
  <c r="H23" i="111"/>
  <c r="G23" i="111"/>
  <c r="F23" i="111"/>
  <c r="H22" i="111"/>
  <c r="G22" i="111"/>
  <c r="F22" i="111"/>
  <c r="H21" i="111"/>
  <c r="F21" i="111"/>
  <c r="G21" i="111" s="1"/>
  <c r="H20" i="111"/>
  <c r="G20" i="111"/>
  <c r="F20" i="111"/>
  <c r="H19" i="111"/>
  <c r="G19" i="111"/>
  <c r="F19" i="111"/>
  <c r="H18" i="111"/>
  <c r="F18" i="111"/>
  <c r="G18" i="111" s="1"/>
  <c r="H17" i="111"/>
  <c r="F17" i="111"/>
  <c r="G17" i="111" s="1"/>
  <c r="H16" i="111"/>
  <c r="F16" i="111"/>
  <c r="G16" i="111" s="1"/>
  <c r="H15" i="111"/>
  <c r="F15" i="111"/>
  <c r="G15" i="111" s="1"/>
  <c r="A15" i="111"/>
  <c r="H14" i="111"/>
  <c r="F14" i="111"/>
  <c r="G14" i="111" s="1"/>
  <c r="H13" i="111"/>
  <c r="G13" i="111"/>
  <c r="F13" i="111"/>
  <c r="L12" i="111"/>
  <c r="L19" i="111" s="1"/>
  <c r="G36" i="123" s="1"/>
  <c r="K12" i="111"/>
  <c r="K19" i="111" s="1"/>
  <c r="D36" i="123" s="1"/>
  <c r="J12" i="111"/>
  <c r="J19" i="111" s="1"/>
  <c r="H12" i="111"/>
  <c r="G12" i="111"/>
  <c r="F12" i="111"/>
  <c r="L11" i="111"/>
  <c r="L18" i="111" s="1"/>
  <c r="K11" i="111"/>
  <c r="K18" i="111" s="1"/>
  <c r="J11" i="111"/>
  <c r="J18" i="111" s="1"/>
  <c r="H11" i="111"/>
  <c r="F11" i="111"/>
  <c r="G11" i="111" s="1"/>
  <c r="L10" i="111"/>
  <c r="K10" i="111"/>
  <c r="J10" i="111"/>
  <c r="H10" i="111"/>
  <c r="G10" i="111" s="1"/>
  <c r="F10" i="111"/>
  <c r="L9" i="111"/>
  <c r="K9" i="111"/>
  <c r="J9" i="111"/>
  <c r="H9" i="111"/>
  <c r="F9" i="111"/>
  <c r="G9" i="111" s="1"/>
  <c r="L8" i="111"/>
  <c r="L21" i="111" s="1"/>
  <c r="K8" i="111"/>
  <c r="K21" i="111" s="1"/>
  <c r="J8" i="111"/>
  <c r="J21" i="111" s="1"/>
  <c r="I36" i="123" s="1"/>
  <c r="H8" i="111"/>
  <c r="G8" i="111"/>
  <c r="F8" i="111"/>
  <c r="L7" i="111"/>
  <c r="K7" i="111"/>
  <c r="J7" i="111"/>
  <c r="H7" i="111"/>
  <c r="G7" i="111"/>
  <c r="F7" i="111"/>
  <c r="L6" i="111"/>
  <c r="K6" i="111"/>
  <c r="J6" i="111"/>
  <c r="H6" i="111"/>
  <c r="F6" i="111"/>
  <c r="G6" i="111" s="1"/>
  <c r="L5" i="111"/>
  <c r="L17" i="111" s="1"/>
  <c r="F36" i="123" s="1"/>
  <c r="K5" i="111"/>
  <c r="K17" i="111" s="1"/>
  <c r="C36" i="123" s="1"/>
  <c r="J5" i="111"/>
  <c r="J17" i="111" s="1"/>
  <c r="H5" i="111"/>
  <c r="F5" i="111"/>
  <c r="G5" i="111" s="1"/>
  <c r="L4" i="111"/>
  <c r="K4" i="111"/>
  <c r="J4" i="111"/>
  <c r="H4" i="111"/>
  <c r="F4" i="111"/>
  <c r="G4" i="111" s="1"/>
  <c r="H3" i="111"/>
  <c r="L3" i="111" s="1"/>
  <c r="L16" i="111" s="1"/>
  <c r="E36" i="123" s="1"/>
  <c r="F3" i="111"/>
  <c r="J3" i="111" s="1"/>
  <c r="J16" i="111" s="1"/>
  <c r="H42" i="113"/>
  <c r="F42" i="113"/>
  <c r="G42" i="113" s="1"/>
  <c r="A42" i="113"/>
  <c r="H41" i="113"/>
  <c r="F41" i="113"/>
  <c r="G41" i="113" s="1"/>
  <c r="A41" i="113"/>
  <c r="H40" i="113"/>
  <c r="F40" i="113"/>
  <c r="G40" i="113" s="1"/>
  <c r="A40" i="113"/>
  <c r="H39" i="113"/>
  <c r="F39" i="113"/>
  <c r="G39" i="113" s="1"/>
  <c r="A39" i="113"/>
  <c r="H38" i="113"/>
  <c r="F38" i="113"/>
  <c r="G38" i="113" s="1"/>
  <c r="A38" i="113"/>
  <c r="H37" i="113"/>
  <c r="G37" i="113"/>
  <c r="F37" i="113"/>
  <c r="A37" i="113"/>
  <c r="H36" i="113"/>
  <c r="F36" i="113"/>
  <c r="G36" i="113" s="1"/>
  <c r="A36" i="113"/>
  <c r="H35" i="113"/>
  <c r="F35" i="113"/>
  <c r="G35" i="113" s="1"/>
  <c r="A35" i="113"/>
  <c r="H34" i="113"/>
  <c r="F34" i="113"/>
  <c r="G34" i="113" s="1"/>
  <c r="A34" i="113"/>
  <c r="H33" i="113"/>
  <c r="F33" i="113"/>
  <c r="G33" i="113" s="1"/>
  <c r="A33" i="113"/>
  <c r="H32" i="113"/>
  <c r="F32" i="113"/>
  <c r="G32" i="113" s="1"/>
  <c r="A32" i="113"/>
  <c r="H31" i="113"/>
  <c r="F31" i="113"/>
  <c r="G31" i="113" s="1"/>
  <c r="A31" i="113"/>
  <c r="H30" i="113"/>
  <c r="F30" i="113"/>
  <c r="G30" i="113" s="1"/>
  <c r="A30" i="113"/>
  <c r="H29" i="113"/>
  <c r="G29" i="113"/>
  <c r="F29" i="113"/>
  <c r="A29" i="113"/>
  <c r="H28" i="113"/>
  <c r="F28" i="113"/>
  <c r="G28" i="113" s="1"/>
  <c r="A28" i="113"/>
  <c r="H27" i="113"/>
  <c r="F27" i="113"/>
  <c r="G27" i="113" s="1"/>
  <c r="A27" i="113"/>
  <c r="H26" i="113"/>
  <c r="F26" i="113"/>
  <c r="G26" i="113" s="1"/>
  <c r="A26" i="113"/>
  <c r="H25" i="113"/>
  <c r="F25" i="113"/>
  <c r="G25" i="113" s="1"/>
  <c r="A25" i="113"/>
  <c r="H24" i="113"/>
  <c r="F24" i="113"/>
  <c r="G24" i="113" s="1"/>
  <c r="H23" i="113"/>
  <c r="G23" i="113"/>
  <c r="F23" i="113"/>
  <c r="H22" i="113"/>
  <c r="F22" i="113"/>
  <c r="G22" i="113" s="1"/>
  <c r="K21" i="113"/>
  <c r="J21" i="113"/>
  <c r="H21" i="113"/>
  <c r="G21" i="113"/>
  <c r="F21" i="113"/>
  <c r="H20" i="113"/>
  <c r="F20" i="113"/>
  <c r="G20" i="113" s="1"/>
  <c r="H19" i="113"/>
  <c r="F19" i="113"/>
  <c r="G19" i="113" s="1"/>
  <c r="L18" i="113"/>
  <c r="K18" i="113"/>
  <c r="H18" i="113"/>
  <c r="F18" i="113"/>
  <c r="G18" i="113" s="1"/>
  <c r="H17" i="113"/>
  <c r="F17" i="113"/>
  <c r="G17" i="113" s="1"/>
  <c r="H16" i="113"/>
  <c r="F16" i="113"/>
  <c r="G16" i="113" s="1"/>
  <c r="H15" i="113"/>
  <c r="F15" i="113"/>
  <c r="G15" i="113" s="1"/>
  <c r="A15" i="113"/>
  <c r="H14" i="113"/>
  <c r="G14" i="113" s="1"/>
  <c r="F14" i="113"/>
  <c r="H13" i="113"/>
  <c r="F13" i="113"/>
  <c r="G13" i="113" s="1"/>
  <c r="L12" i="113"/>
  <c r="L19" i="113" s="1"/>
  <c r="G38" i="123" s="1"/>
  <c r="K12" i="113"/>
  <c r="K19" i="113" s="1"/>
  <c r="D38" i="123" s="1"/>
  <c r="J12" i="113"/>
  <c r="J19" i="113" s="1"/>
  <c r="H12" i="113"/>
  <c r="F12" i="113"/>
  <c r="G12" i="113" s="1"/>
  <c r="L11" i="113"/>
  <c r="K11" i="113"/>
  <c r="J11" i="113"/>
  <c r="J18" i="113" s="1"/>
  <c r="H11" i="113"/>
  <c r="F11" i="113"/>
  <c r="G11" i="113" s="1"/>
  <c r="K5" i="113" s="1"/>
  <c r="L10" i="113"/>
  <c r="K10" i="113"/>
  <c r="J10" i="113"/>
  <c r="H10" i="113"/>
  <c r="L4" i="113" s="1"/>
  <c r="L17" i="113" s="1"/>
  <c r="F38" i="123" s="1"/>
  <c r="F10" i="113"/>
  <c r="G10" i="113" s="1"/>
  <c r="K4" i="113" s="1"/>
  <c r="L9" i="113"/>
  <c r="K9" i="113"/>
  <c r="J9" i="113"/>
  <c r="H9" i="113"/>
  <c r="F9" i="113"/>
  <c r="G9" i="113" s="1"/>
  <c r="L8" i="113"/>
  <c r="L21" i="113" s="1"/>
  <c r="K8" i="113"/>
  <c r="J8" i="113"/>
  <c r="H8" i="113"/>
  <c r="F8" i="113"/>
  <c r="G8" i="113" s="1"/>
  <c r="L7" i="113"/>
  <c r="K7" i="113"/>
  <c r="J7" i="113"/>
  <c r="H7" i="113"/>
  <c r="L3" i="113" s="1"/>
  <c r="L16" i="113" s="1"/>
  <c r="E38" i="123" s="1"/>
  <c r="F7" i="113"/>
  <c r="G7" i="113" s="1"/>
  <c r="L6" i="113"/>
  <c r="K6" i="113"/>
  <c r="J6" i="113"/>
  <c r="H6" i="113"/>
  <c r="F6" i="113"/>
  <c r="G6" i="113" s="1"/>
  <c r="L5" i="113"/>
  <c r="J5" i="113"/>
  <c r="H5" i="113"/>
  <c r="F5" i="113"/>
  <c r="G5" i="113" s="1"/>
  <c r="J4" i="113"/>
  <c r="J17" i="113" s="1"/>
  <c r="H4" i="113"/>
  <c r="F4" i="113"/>
  <c r="G4" i="113" s="1"/>
  <c r="K3" i="113" s="1"/>
  <c r="K16" i="113" s="1"/>
  <c r="B38" i="123" s="1"/>
  <c r="H3" i="113"/>
  <c r="G3" i="113"/>
  <c r="F3" i="113"/>
  <c r="H42" i="110"/>
  <c r="G42" i="110" s="1"/>
  <c r="F42" i="110"/>
  <c r="A42" i="110"/>
  <c r="H41" i="110"/>
  <c r="F41" i="110"/>
  <c r="G41" i="110" s="1"/>
  <c r="A41" i="110"/>
  <c r="H40" i="110"/>
  <c r="F40" i="110"/>
  <c r="G40" i="110" s="1"/>
  <c r="A40" i="110"/>
  <c r="H39" i="110"/>
  <c r="G39" i="110"/>
  <c r="F39" i="110"/>
  <c r="A39" i="110"/>
  <c r="H38" i="110"/>
  <c r="G38" i="110"/>
  <c r="F38" i="110"/>
  <c r="A38" i="110"/>
  <c r="H37" i="110"/>
  <c r="G37" i="110"/>
  <c r="F37" i="110"/>
  <c r="A37" i="110"/>
  <c r="H36" i="110"/>
  <c r="F36" i="110"/>
  <c r="G36" i="110" s="1"/>
  <c r="A36" i="110"/>
  <c r="H35" i="110"/>
  <c r="F35" i="110"/>
  <c r="G35" i="110" s="1"/>
  <c r="A35" i="110"/>
  <c r="H34" i="110"/>
  <c r="G34" i="110" s="1"/>
  <c r="F34" i="110"/>
  <c r="A34" i="110"/>
  <c r="H33" i="110"/>
  <c r="F33" i="110"/>
  <c r="G33" i="110" s="1"/>
  <c r="A33" i="110"/>
  <c r="H32" i="110"/>
  <c r="F32" i="110"/>
  <c r="G32" i="110" s="1"/>
  <c r="A32" i="110"/>
  <c r="H31" i="110"/>
  <c r="G31" i="110"/>
  <c r="F31" i="110"/>
  <c r="A31" i="110"/>
  <c r="H30" i="110"/>
  <c r="G30" i="110"/>
  <c r="F30" i="110"/>
  <c r="A30" i="110"/>
  <c r="H29" i="110"/>
  <c r="G29" i="110"/>
  <c r="F29" i="110"/>
  <c r="A29" i="110"/>
  <c r="H28" i="110"/>
  <c r="F28" i="110"/>
  <c r="G28" i="110" s="1"/>
  <c r="A28" i="110"/>
  <c r="H27" i="110"/>
  <c r="F27" i="110"/>
  <c r="G27" i="110" s="1"/>
  <c r="A27" i="110"/>
  <c r="H26" i="110"/>
  <c r="G26" i="110" s="1"/>
  <c r="F26" i="110"/>
  <c r="A26" i="110"/>
  <c r="H25" i="110"/>
  <c r="F25" i="110"/>
  <c r="G25" i="110" s="1"/>
  <c r="A25" i="110"/>
  <c r="H24" i="110"/>
  <c r="F24" i="110"/>
  <c r="G24" i="110" s="1"/>
  <c r="A24" i="110"/>
  <c r="H23" i="110"/>
  <c r="G23" i="110"/>
  <c r="F23" i="110"/>
  <c r="A23" i="110"/>
  <c r="H22" i="110"/>
  <c r="G22" i="110"/>
  <c r="F22" i="110"/>
  <c r="A22" i="110"/>
  <c r="H21" i="110"/>
  <c r="F21" i="110"/>
  <c r="J5" i="110" s="1"/>
  <c r="H20" i="110"/>
  <c r="F20" i="110"/>
  <c r="G20" i="110" s="1"/>
  <c r="K7" i="110" s="1"/>
  <c r="L19" i="110"/>
  <c r="J19" i="110"/>
  <c r="H19" i="110"/>
  <c r="F19" i="110"/>
  <c r="G19" i="110" s="1"/>
  <c r="H18" i="110"/>
  <c r="F18" i="110"/>
  <c r="G18" i="110" s="1"/>
  <c r="H17" i="110"/>
  <c r="F17" i="110"/>
  <c r="G17" i="110" s="1"/>
  <c r="H16" i="110"/>
  <c r="F16" i="110"/>
  <c r="G16" i="110" s="1"/>
  <c r="H15" i="110"/>
  <c r="F15" i="110"/>
  <c r="G15" i="110" s="1"/>
  <c r="A15" i="110"/>
  <c r="H14" i="110"/>
  <c r="F14" i="110"/>
  <c r="G14" i="110" s="1"/>
  <c r="H13" i="110"/>
  <c r="G13" i="110"/>
  <c r="F13" i="110"/>
  <c r="L12" i="110"/>
  <c r="K12" i="110"/>
  <c r="K19" i="110" s="1"/>
  <c r="D35" i="123" s="1"/>
  <c r="J12" i="110"/>
  <c r="H12" i="110"/>
  <c r="F12" i="110"/>
  <c r="G12" i="110" s="1"/>
  <c r="L11" i="110"/>
  <c r="L18" i="110" s="1"/>
  <c r="K11" i="110"/>
  <c r="K18" i="110" s="1"/>
  <c r="J11" i="110"/>
  <c r="J18" i="110" s="1"/>
  <c r="H11" i="110"/>
  <c r="F11" i="110"/>
  <c r="G11" i="110" s="1"/>
  <c r="L10" i="110"/>
  <c r="K10" i="110"/>
  <c r="J10" i="110"/>
  <c r="H10" i="110"/>
  <c r="F10" i="110"/>
  <c r="G10" i="110" s="1"/>
  <c r="L9" i="110"/>
  <c r="K9" i="110"/>
  <c r="J9" i="110"/>
  <c r="H9" i="110"/>
  <c r="F9" i="110"/>
  <c r="G9" i="110" s="1"/>
  <c r="L8" i="110"/>
  <c r="L21" i="110" s="1"/>
  <c r="K8" i="110"/>
  <c r="K21" i="110" s="1"/>
  <c r="J8" i="110"/>
  <c r="J21" i="110" s="1"/>
  <c r="I35" i="123" s="1"/>
  <c r="H8" i="110"/>
  <c r="F8" i="110"/>
  <c r="G8" i="110" s="1"/>
  <c r="L7" i="110"/>
  <c r="H7" i="110"/>
  <c r="F7" i="110"/>
  <c r="G7" i="110" s="1"/>
  <c r="L6" i="110"/>
  <c r="K6" i="110"/>
  <c r="J6" i="110"/>
  <c r="H6" i="110"/>
  <c r="F6" i="110"/>
  <c r="G6" i="110" s="1"/>
  <c r="L5" i="110"/>
  <c r="L17" i="110" s="1"/>
  <c r="F35" i="123" s="1"/>
  <c r="H5" i="110"/>
  <c r="G5" i="110" s="1"/>
  <c r="F5" i="110"/>
  <c r="L4" i="110"/>
  <c r="K4" i="110"/>
  <c r="J4" i="110"/>
  <c r="H4" i="110"/>
  <c r="F4" i="110"/>
  <c r="G4" i="110" s="1"/>
  <c r="H3" i="110"/>
  <c r="L3" i="110" s="1"/>
  <c r="L16" i="110" s="1"/>
  <c r="E35" i="123" s="1"/>
  <c r="F3" i="110"/>
  <c r="G3" i="110" s="1"/>
  <c r="H42" i="108"/>
  <c r="F42" i="108"/>
  <c r="G42" i="108" s="1"/>
  <c r="A42" i="108"/>
  <c r="H41" i="108"/>
  <c r="F41" i="108"/>
  <c r="G41" i="108" s="1"/>
  <c r="A41" i="108"/>
  <c r="H40" i="108"/>
  <c r="F40" i="108"/>
  <c r="G40" i="108" s="1"/>
  <c r="A40" i="108"/>
  <c r="H39" i="108"/>
  <c r="F39" i="108"/>
  <c r="G39" i="108" s="1"/>
  <c r="A39" i="108"/>
  <c r="H38" i="108"/>
  <c r="G38" i="108"/>
  <c r="F38" i="108"/>
  <c r="A38" i="108"/>
  <c r="H37" i="108"/>
  <c r="F37" i="108"/>
  <c r="G37" i="108" s="1"/>
  <c r="A37" i="108"/>
  <c r="H36" i="108"/>
  <c r="G36" i="108"/>
  <c r="F36" i="108"/>
  <c r="A36" i="108"/>
  <c r="H35" i="108"/>
  <c r="F35" i="108"/>
  <c r="G35" i="108" s="1"/>
  <c r="A35" i="108"/>
  <c r="H34" i="108"/>
  <c r="F34" i="108"/>
  <c r="G34" i="108" s="1"/>
  <c r="A34" i="108"/>
  <c r="H33" i="108"/>
  <c r="F33" i="108"/>
  <c r="G33" i="108" s="1"/>
  <c r="A33" i="108"/>
  <c r="H32" i="108"/>
  <c r="F32" i="108"/>
  <c r="G32" i="108" s="1"/>
  <c r="A32" i="108"/>
  <c r="H31" i="108"/>
  <c r="F31" i="108"/>
  <c r="G31" i="108" s="1"/>
  <c r="A31" i="108"/>
  <c r="H30" i="108"/>
  <c r="G30" i="108"/>
  <c r="F30" i="108"/>
  <c r="A30" i="108"/>
  <c r="H29" i="108"/>
  <c r="F29" i="108"/>
  <c r="G29" i="108" s="1"/>
  <c r="A29" i="108"/>
  <c r="H28" i="108"/>
  <c r="G28" i="108"/>
  <c r="F28" i="108"/>
  <c r="A28" i="108"/>
  <c r="H27" i="108"/>
  <c r="F27" i="108"/>
  <c r="G27" i="108" s="1"/>
  <c r="H26" i="108"/>
  <c r="F26" i="108"/>
  <c r="G26" i="108" s="1"/>
  <c r="H25" i="108"/>
  <c r="F25" i="108"/>
  <c r="G25" i="108" s="1"/>
  <c r="H24" i="108"/>
  <c r="F24" i="108"/>
  <c r="G24" i="108" s="1"/>
  <c r="H23" i="108"/>
  <c r="F23" i="108"/>
  <c r="G23" i="108" s="1"/>
  <c r="H22" i="108"/>
  <c r="F22" i="108"/>
  <c r="G22" i="108" s="1"/>
  <c r="K21" i="108"/>
  <c r="J21" i="108"/>
  <c r="I33" i="123" s="1"/>
  <c r="H21" i="108"/>
  <c r="F21" i="108"/>
  <c r="G21" i="108" s="1"/>
  <c r="H20" i="108"/>
  <c r="F20" i="108"/>
  <c r="G20" i="108" s="1"/>
  <c r="H19" i="108"/>
  <c r="F19" i="108"/>
  <c r="G19" i="108" s="1"/>
  <c r="H18" i="108"/>
  <c r="F18" i="108"/>
  <c r="G18" i="108" s="1"/>
  <c r="H17" i="108"/>
  <c r="F17" i="108"/>
  <c r="G17" i="108" s="1"/>
  <c r="H16" i="108"/>
  <c r="F16" i="108"/>
  <c r="G16" i="108" s="1"/>
  <c r="H15" i="108"/>
  <c r="G15" i="108"/>
  <c r="F15" i="108"/>
  <c r="H14" i="108"/>
  <c r="F14" i="108"/>
  <c r="G14" i="108" s="1"/>
  <c r="H13" i="108"/>
  <c r="G13" i="108"/>
  <c r="F13" i="108"/>
  <c r="L12" i="108"/>
  <c r="L19" i="108" s="1"/>
  <c r="G33" i="123" s="1"/>
  <c r="K12" i="108"/>
  <c r="K19" i="108" s="1"/>
  <c r="D33" i="123" s="1"/>
  <c r="J12" i="108"/>
  <c r="J19" i="108" s="1"/>
  <c r="H12" i="108"/>
  <c r="F12" i="108"/>
  <c r="G12" i="108" s="1"/>
  <c r="L11" i="108"/>
  <c r="L18" i="108" s="1"/>
  <c r="K11" i="108"/>
  <c r="K18" i="108" s="1"/>
  <c r="J11" i="108"/>
  <c r="J18" i="108" s="1"/>
  <c r="H11" i="108"/>
  <c r="F11" i="108"/>
  <c r="G11" i="108" s="1"/>
  <c r="L10" i="108"/>
  <c r="K10" i="108"/>
  <c r="J10" i="108"/>
  <c r="H10" i="108"/>
  <c r="F10" i="108"/>
  <c r="G10" i="108" s="1"/>
  <c r="L9" i="108"/>
  <c r="K9" i="108"/>
  <c r="J9" i="108"/>
  <c r="H9" i="108"/>
  <c r="L4" i="108" s="1"/>
  <c r="L17" i="108" s="1"/>
  <c r="F33" i="123" s="1"/>
  <c r="F9" i="108"/>
  <c r="J4" i="108" s="1"/>
  <c r="J17" i="108" s="1"/>
  <c r="L8" i="108"/>
  <c r="L21" i="108" s="1"/>
  <c r="K8" i="108"/>
  <c r="J8" i="108"/>
  <c r="H8" i="108"/>
  <c r="F8" i="108"/>
  <c r="G8" i="108" s="1"/>
  <c r="L7" i="108"/>
  <c r="J7" i="108"/>
  <c r="H7" i="108"/>
  <c r="F7" i="108"/>
  <c r="G7" i="108" s="1"/>
  <c r="L6" i="108"/>
  <c r="K6" i="108"/>
  <c r="J6" i="108"/>
  <c r="H6" i="108"/>
  <c r="F6" i="108"/>
  <c r="G6" i="108" s="1"/>
  <c r="L5" i="108"/>
  <c r="H5" i="108"/>
  <c r="G5" i="108"/>
  <c r="F5" i="108"/>
  <c r="H4" i="108"/>
  <c r="F4" i="108"/>
  <c r="J5" i="108" s="1"/>
  <c r="L3" i="108"/>
  <c r="L16" i="108" s="1"/>
  <c r="E33" i="123" s="1"/>
  <c r="K3" i="108"/>
  <c r="K16" i="108" s="1"/>
  <c r="B33" i="123" s="1"/>
  <c r="J3" i="108"/>
  <c r="J16" i="108" s="1"/>
  <c r="H3" i="108"/>
  <c r="G3" i="108" s="1"/>
  <c r="K7" i="108" s="1"/>
  <c r="F3" i="108"/>
  <c r="H42" i="107"/>
  <c r="F42" i="107"/>
  <c r="G42" i="107" s="1"/>
  <c r="A42" i="107"/>
  <c r="H41" i="107"/>
  <c r="F41" i="107"/>
  <c r="G41" i="107" s="1"/>
  <c r="H40" i="107"/>
  <c r="F40" i="107"/>
  <c r="G40" i="107" s="1"/>
  <c r="H39" i="107"/>
  <c r="F39" i="107"/>
  <c r="G39" i="107" s="1"/>
  <c r="H38" i="107"/>
  <c r="F38" i="107"/>
  <c r="G38" i="107" s="1"/>
  <c r="H37" i="107"/>
  <c r="G37" i="107"/>
  <c r="F37" i="107"/>
  <c r="H36" i="107"/>
  <c r="F36" i="107"/>
  <c r="G36" i="107" s="1"/>
  <c r="H35" i="107"/>
  <c r="F35" i="107"/>
  <c r="G35" i="107" s="1"/>
  <c r="H34" i="107"/>
  <c r="F34" i="107"/>
  <c r="G34" i="107" s="1"/>
  <c r="H33" i="107"/>
  <c r="F33" i="107"/>
  <c r="G33" i="107" s="1"/>
  <c r="H32" i="107"/>
  <c r="G32" i="107"/>
  <c r="F32" i="107"/>
  <c r="H31" i="107"/>
  <c r="F31" i="107"/>
  <c r="G31" i="107" s="1"/>
  <c r="H30" i="107"/>
  <c r="G30" i="107"/>
  <c r="F30" i="107"/>
  <c r="H29" i="107"/>
  <c r="F29" i="107"/>
  <c r="G29" i="107" s="1"/>
  <c r="H28" i="107"/>
  <c r="F28" i="107"/>
  <c r="G28" i="107" s="1"/>
  <c r="H27" i="107"/>
  <c r="G27" i="107"/>
  <c r="F27" i="107"/>
  <c r="H26" i="107"/>
  <c r="G26" i="107" s="1"/>
  <c r="F26" i="107"/>
  <c r="H25" i="107"/>
  <c r="G25" i="107"/>
  <c r="F25" i="107"/>
  <c r="H24" i="107"/>
  <c r="F24" i="107"/>
  <c r="G24" i="107" s="1"/>
  <c r="H23" i="107"/>
  <c r="F23" i="107"/>
  <c r="G23" i="107" s="1"/>
  <c r="H22" i="107"/>
  <c r="G22" i="107"/>
  <c r="F22" i="107"/>
  <c r="J21" i="107"/>
  <c r="H21" i="107"/>
  <c r="G21" i="107"/>
  <c r="F21" i="107"/>
  <c r="H20" i="107"/>
  <c r="F20" i="107"/>
  <c r="G20" i="107" s="1"/>
  <c r="H19" i="107"/>
  <c r="F19" i="107"/>
  <c r="G19" i="107" s="1"/>
  <c r="K18" i="107"/>
  <c r="H18" i="107"/>
  <c r="F18" i="107"/>
  <c r="G18" i="107" s="1"/>
  <c r="H17" i="107"/>
  <c r="F17" i="107"/>
  <c r="G17" i="107" s="1"/>
  <c r="H16" i="107"/>
  <c r="G16" i="107"/>
  <c r="F16" i="107"/>
  <c r="H15" i="107"/>
  <c r="F15" i="107"/>
  <c r="G15" i="107" s="1"/>
  <c r="H14" i="107"/>
  <c r="G14" i="107"/>
  <c r="F14" i="107"/>
  <c r="H13" i="107"/>
  <c r="F13" i="107"/>
  <c r="G13" i="107" s="1"/>
  <c r="L12" i="107"/>
  <c r="L19" i="107" s="1"/>
  <c r="G32" i="123" s="1"/>
  <c r="K12" i="107"/>
  <c r="K19" i="107" s="1"/>
  <c r="D32" i="123" s="1"/>
  <c r="J12" i="107"/>
  <c r="J19" i="107" s="1"/>
  <c r="H12" i="107"/>
  <c r="G12" i="107"/>
  <c r="F12" i="107"/>
  <c r="L11" i="107"/>
  <c r="L18" i="107" s="1"/>
  <c r="K11" i="107"/>
  <c r="J11" i="107"/>
  <c r="J18" i="107" s="1"/>
  <c r="H11" i="107"/>
  <c r="G11" i="107"/>
  <c r="F11" i="107"/>
  <c r="L10" i="107"/>
  <c r="K10" i="107"/>
  <c r="J10" i="107"/>
  <c r="H10" i="107"/>
  <c r="F10" i="107"/>
  <c r="G10" i="107" s="1"/>
  <c r="L9" i="107"/>
  <c r="L21" i="107" s="1"/>
  <c r="K9" i="107"/>
  <c r="J9" i="107"/>
  <c r="H9" i="107"/>
  <c r="F9" i="107"/>
  <c r="G9" i="107" s="1"/>
  <c r="L8" i="107"/>
  <c r="K8" i="107"/>
  <c r="K21" i="107" s="1"/>
  <c r="J8" i="107"/>
  <c r="H8" i="107"/>
  <c r="F8" i="107"/>
  <c r="G8" i="107" s="1"/>
  <c r="L7" i="107"/>
  <c r="K7" i="107"/>
  <c r="J7" i="107"/>
  <c r="H7" i="107"/>
  <c r="F7" i="107"/>
  <c r="G7" i="107" s="1"/>
  <c r="L6" i="107"/>
  <c r="K6" i="107"/>
  <c r="J6" i="107"/>
  <c r="H6" i="107"/>
  <c r="F6" i="107"/>
  <c r="G6" i="107" s="1"/>
  <c r="L5" i="107"/>
  <c r="K5" i="107"/>
  <c r="J5" i="107"/>
  <c r="H5" i="107"/>
  <c r="F5" i="107"/>
  <c r="G5" i="107" s="1"/>
  <c r="L4" i="107"/>
  <c r="L17" i="107" s="1"/>
  <c r="F32" i="123" s="1"/>
  <c r="K4" i="107"/>
  <c r="K17" i="107" s="1"/>
  <c r="C32" i="123" s="1"/>
  <c r="J4" i="107"/>
  <c r="J17" i="107" s="1"/>
  <c r="H4" i="107"/>
  <c r="F4" i="107"/>
  <c r="G4" i="107" s="1"/>
  <c r="H3" i="107"/>
  <c r="L3" i="107" s="1"/>
  <c r="L16" i="107" s="1"/>
  <c r="E32" i="123" s="1"/>
  <c r="F3" i="107"/>
  <c r="J3" i="107" s="1"/>
  <c r="J16" i="107" s="1"/>
  <c r="J20" i="107" s="1"/>
  <c r="H42" i="106"/>
  <c r="F42" i="106"/>
  <c r="G42" i="106" s="1"/>
  <c r="A42" i="106"/>
  <c r="H41" i="106"/>
  <c r="F41" i="106"/>
  <c r="G41" i="106" s="1"/>
  <c r="A41" i="106"/>
  <c r="H40" i="106"/>
  <c r="F40" i="106"/>
  <c r="G40" i="106" s="1"/>
  <c r="A40" i="106"/>
  <c r="H39" i="106"/>
  <c r="G39" i="106" s="1"/>
  <c r="F39" i="106"/>
  <c r="A39" i="106"/>
  <c r="H38" i="106"/>
  <c r="F38" i="106"/>
  <c r="G38" i="106" s="1"/>
  <c r="A38" i="106"/>
  <c r="H37" i="106"/>
  <c r="F37" i="106"/>
  <c r="G37" i="106" s="1"/>
  <c r="A37" i="106"/>
  <c r="H36" i="106"/>
  <c r="G36" i="106"/>
  <c r="F36" i="106"/>
  <c r="A36" i="106"/>
  <c r="H35" i="106"/>
  <c r="G35" i="106"/>
  <c r="F35" i="106"/>
  <c r="A35" i="106"/>
  <c r="H34" i="106"/>
  <c r="F34" i="106"/>
  <c r="G34" i="106" s="1"/>
  <c r="A34" i="106"/>
  <c r="H33" i="106"/>
  <c r="F33" i="106"/>
  <c r="G33" i="106" s="1"/>
  <c r="A33" i="106"/>
  <c r="H32" i="106"/>
  <c r="F32" i="106"/>
  <c r="G32" i="106" s="1"/>
  <c r="A32" i="106"/>
  <c r="H31" i="106"/>
  <c r="G31" i="106" s="1"/>
  <c r="F31" i="106"/>
  <c r="A31" i="106"/>
  <c r="H30" i="106"/>
  <c r="F30" i="106"/>
  <c r="G30" i="106" s="1"/>
  <c r="A30" i="106"/>
  <c r="H29" i="106"/>
  <c r="F29" i="106"/>
  <c r="G29" i="106" s="1"/>
  <c r="A29" i="106"/>
  <c r="H28" i="106"/>
  <c r="G28" i="106"/>
  <c r="F28" i="106"/>
  <c r="A28" i="106"/>
  <c r="H27" i="106"/>
  <c r="G27" i="106"/>
  <c r="F27" i="106"/>
  <c r="A27" i="106"/>
  <c r="H26" i="106"/>
  <c r="F26" i="106"/>
  <c r="G26" i="106" s="1"/>
  <c r="A26" i="106"/>
  <c r="H25" i="106"/>
  <c r="F25" i="106"/>
  <c r="G25" i="106" s="1"/>
  <c r="A25" i="106"/>
  <c r="H24" i="106"/>
  <c r="F24" i="106"/>
  <c r="G24" i="106" s="1"/>
  <c r="A24" i="106"/>
  <c r="H23" i="106"/>
  <c r="G23" i="106" s="1"/>
  <c r="F23" i="106"/>
  <c r="H22" i="106"/>
  <c r="F22" i="106"/>
  <c r="G22" i="106" s="1"/>
  <c r="H21" i="106"/>
  <c r="F21" i="106"/>
  <c r="G21" i="106" s="1"/>
  <c r="H20" i="106"/>
  <c r="F20" i="106"/>
  <c r="G20" i="106" s="1"/>
  <c r="H19" i="106"/>
  <c r="F19" i="106"/>
  <c r="G19" i="106" s="1"/>
  <c r="L18" i="106"/>
  <c r="J18" i="106"/>
  <c r="H18" i="106"/>
  <c r="F18" i="106"/>
  <c r="G18" i="106" s="1"/>
  <c r="H17" i="106"/>
  <c r="G17" i="106"/>
  <c r="F17" i="106"/>
  <c r="H16" i="106"/>
  <c r="F16" i="106"/>
  <c r="G16" i="106" s="1"/>
  <c r="H15" i="106"/>
  <c r="F15" i="106"/>
  <c r="G15" i="106" s="1"/>
  <c r="H14" i="106"/>
  <c r="F14" i="106"/>
  <c r="J5" i="106" s="1"/>
  <c r="H13" i="106"/>
  <c r="G13" i="106"/>
  <c r="F13" i="106"/>
  <c r="L12" i="106"/>
  <c r="L19" i="106" s="1"/>
  <c r="G31" i="123" s="1"/>
  <c r="K12" i="106"/>
  <c r="K19" i="106" s="1"/>
  <c r="D31" i="123" s="1"/>
  <c r="J12" i="106"/>
  <c r="J19" i="106" s="1"/>
  <c r="H12" i="106"/>
  <c r="F12" i="106"/>
  <c r="G12" i="106" s="1"/>
  <c r="L11" i="106"/>
  <c r="K11" i="106"/>
  <c r="K18" i="106" s="1"/>
  <c r="J11" i="106"/>
  <c r="H11" i="106"/>
  <c r="F11" i="106"/>
  <c r="G11" i="106" s="1"/>
  <c r="L10" i="106"/>
  <c r="K10" i="106"/>
  <c r="J10" i="106"/>
  <c r="H10" i="106"/>
  <c r="G10" i="106" s="1"/>
  <c r="F10" i="106"/>
  <c r="L9" i="106"/>
  <c r="K9" i="106"/>
  <c r="J9" i="106"/>
  <c r="H9" i="106"/>
  <c r="L6" i="106" s="1"/>
  <c r="F9" i="106"/>
  <c r="G9" i="106" s="1"/>
  <c r="K6" i="106" s="1"/>
  <c r="L8" i="106"/>
  <c r="L21" i="106" s="1"/>
  <c r="K8" i="106"/>
  <c r="K21" i="106" s="1"/>
  <c r="J8" i="106"/>
  <c r="J21" i="106" s="1"/>
  <c r="I31" i="123" s="1"/>
  <c r="H8" i="106"/>
  <c r="L5" i="106" s="1"/>
  <c r="G8" i="106"/>
  <c r="F8" i="106"/>
  <c r="L7" i="106"/>
  <c r="K7" i="106"/>
  <c r="J7" i="106"/>
  <c r="H7" i="106"/>
  <c r="G7" i="106"/>
  <c r="F7" i="106"/>
  <c r="H6" i="106"/>
  <c r="F6" i="106"/>
  <c r="G6" i="106" s="1"/>
  <c r="H5" i="106"/>
  <c r="F5" i="106"/>
  <c r="G5" i="106" s="1"/>
  <c r="H4" i="106"/>
  <c r="L4" i="106" s="1"/>
  <c r="F4" i="106"/>
  <c r="J4" i="106" s="1"/>
  <c r="L3" i="106"/>
  <c r="L16" i="106" s="1"/>
  <c r="E31" i="123" s="1"/>
  <c r="K3" i="106"/>
  <c r="K16" i="106" s="1"/>
  <c r="B31" i="123" s="1"/>
  <c r="J3" i="106"/>
  <c r="J16" i="106" s="1"/>
  <c r="H3" i="106"/>
  <c r="F3" i="106"/>
  <c r="G3" i="106" s="1"/>
  <c r="H42" i="109"/>
  <c r="F42" i="109"/>
  <c r="G42" i="109" s="1"/>
  <c r="A42" i="109"/>
  <c r="H41" i="109"/>
  <c r="F41" i="109"/>
  <c r="G41" i="109" s="1"/>
  <c r="A41" i="109"/>
  <c r="H40" i="109"/>
  <c r="F40" i="109"/>
  <c r="G40" i="109" s="1"/>
  <c r="A40" i="109"/>
  <c r="H39" i="109"/>
  <c r="F39" i="109"/>
  <c r="G39" i="109" s="1"/>
  <c r="A39" i="109"/>
  <c r="H38" i="109"/>
  <c r="F38" i="109"/>
  <c r="G38" i="109" s="1"/>
  <c r="A38" i="109"/>
  <c r="H37" i="109"/>
  <c r="G37" i="109"/>
  <c r="F37" i="109"/>
  <c r="A37" i="109"/>
  <c r="H36" i="109"/>
  <c r="F36" i="109"/>
  <c r="G36" i="109" s="1"/>
  <c r="A36" i="109"/>
  <c r="H35" i="109"/>
  <c r="F35" i="109"/>
  <c r="G35" i="109" s="1"/>
  <c r="A35" i="109"/>
  <c r="H34" i="109"/>
  <c r="F34" i="109"/>
  <c r="G34" i="109" s="1"/>
  <c r="A34" i="109"/>
  <c r="H33" i="109"/>
  <c r="F33" i="109"/>
  <c r="G33" i="109" s="1"/>
  <c r="A33" i="109"/>
  <c r="H32" i="109"/>
  <c r="F32" i="109"/>
  <c r="G32" i="109" s="1"/>
  <c r="A32" i="109"/>
  <c r="H31" i="109"/>
  <c r="F31" i="109"/>
  <c r="G31" i="109" s="1"/>
  <c r="A31" i="109"/>
  <c r="H30" i="109"/>
  <c r="F30" i="109"/>
  <c r="G30" i="109" s="1"/>
  <c r="A30" i="109"/>
  <c r="H29" i="109"/>
  <c r="G29" i="109"/>
  <c r="F29" i="109"/>
  <c r="A29" i="109"/>
  <c r="H28" i="109"/>
  <c r="F28" i="109"/>
  <c r="G28" i="109" s="1"/>
  <c r="A28" i="109"/>
  <c r="H27" i="109"/>
  <c r="F27" i="109"/>
  <c r="G27" i="109" s="1"/>
  <c r="H26" i="109"/>
  <c r="F26" i="109"/>
  <c r="G26" i="109" s="1"/>
  <c r="H25" i="109"/>
  <c r="F25" i="109"/>
  <c r="G25" i="109" s="1"/>
  <c r="H24" i="109"/>
  <c r="G24" i="109"/>
  <c r="F24" i="109"/>
  <c r="H23" i="109"/>
  <c r="F23" i="109"/>
  <c r="G23" i="109" s="1"/>
  <c r="H22" i="109"/>
  <c r="G22" i="109"/>
  <c r="F22" i="109"/>
  <c r="H21" i="109"/>
  <c r="F21" i="109"/>
  <c r="G21" i="109" s="1"/>
  <c r="H20" i="109"/>
  <c r="G20" i="109" s="1"/>
  <c r="F20" i="109"/>
  <c r="H19" i="109"/>
  <c r="F19" i="109"/>
  <c r="G19" i="109" s="1"/>
  <c r="H18" i="109"/>
  <c r="G18" i="109"/>
  <c r="F18" i="109"/>
  <c r="H17" i="109"/>
  <c r="G17" i="109"/>
  <c r="F17" i="109"/>
  <c r="H16" i="109"/>
  <c r="F16" i="109"/>
  <c r="G16" i="109" s="1"/>
  <c r="H15" i="109"/>
  <c r="F15" i="109"/>
  <c r="G15" i="109" s="1"/>
  <c r="H14" i="109"/>
  <c r="F14" i="109"/>
  <c r="G14" i="109" s="1"/>
  <c r="H13" i="109"/>
  <c r="F13" i="109"/>
  <c r="G13" i="109" s="1"/>
  <c r="K6" i="109" s="1"/>
  <c r="L12" i="109"/>
  <c r="L19" i="109" s="1"/>
  <c r="G34" i="123" s="1"/>
  <c r="K12" i="109"/>
  <c r="K19" i="109" s="1"/>
  <c r="D34" i="123" s="1"/>
  <c r="J12" i="109"/>
  <c r="J19" i="109" s="1"/>
  <c r="H12" i="109"/>
  <c r="F12" i="109"/>
  <c r="G12" i="109" s="1"/>
  <c r="L11" i="109"/>
  <c r="L18" i="109" s="1"/>
  <c r="K11" i="109"/>
  <c r="K18" i="109" s="1"/>
  <c r="J11" i="109"/>
  <c r="J18" i="109" s="1"/>
  <c r="H11" i="109"/>
  <c r="F11" i="109"/>
  <c r="G11" i="109" s="1"/>
  <c r="L10" i="109"/>
  <c r="K10" i="109"/>
  <c r="J10" i="109"/>
  <c r="H10" i="109"/>
  <c r="F10" i="109"/>
  <c r="G10" i="109" s="1"/>
  <c r="L9" i="109"/>
  <c r="K9" i="109"/>
  <c r="J9" i="109"/>
  <c r="H9" i="109"/>
  <c r="F9" i="109"/>
  <c r="G9" i="109" s="1"/>
  <c r="L8" i="109"/>
  <c r="L21" i="109" s="1"/>
  <c r="K8" i="109"/>
  <c r="K21" i="109" s="1"/>
  <c r="J8" i="109"/>
  <c r="J21" i="109" s="1"/>
  <c r="I34" i="123" s="1"/>
  <c r="H8" i="109"/>
  <c r="G8" i="109"/>
  <c r="F8" i="109"/>
  <c r="L7" i="109"/>
  <c r="K7" i="109"/>
  <c r="J7" i="109"/>
  <c r="H7" i="109"/>
  <c r="F7" i="109"/>
  <c r="G7" i="109" s="1"/>
  <c r="L6" i="109"/>
  <c r="J6" i="109"/>
  <c r="H6" i="109"/>
  <c r="F6" i="109"/>
  <c r="G6" i="109" s="1"/>
  <c r="L5" i="109"/>
  <c r="K5" i="109"/>
  <c r="J5" i="109"/>
  <c r="H5" i="109"/>
  <c r="F5" i="109"/>
  <c r="G5" i="109" s="1"/>
  <c r="L4" i="109"/>
  <c r="L17" i="109" s="1"/>
  <c r="F34" i="123" s="1"/>
  <c r="K4" i="109"/>
  <c r="J4" i="109"/>
  <c r="J17" i="109" s="1"/>
  <c r="H4" i="109"/>
  <c r="F4" i="109"/>
  <c r="G4" i="109" s="1"/>
  <c r="H3" i="109"/>
  <c r="L3" i="109" s="1"/>
  <c r="L16" i="109" s="1"/>
  <c r="E34" i="123" s="1"/>
  <c r="G3" i="109"/>
  <c r="F3" i="109"/>
  <c r="H42" i="104"/>
  <c r="F42" i="104"/>
  <c r="G42" i="104" s="1"/>
  <c r="A42" i="104"/>
  <c r="H41" i="104"/>
  <c r="G41" i="104"/>
  <c r="F41" i="104"/>
  <c r="A41" i="104"/>
  <c r="H40" i="104"/>
  <c r="F40" i="104"/>
  <c r="G40" i="104" s="1"/>
  <c r="A40" i="104"/>
  <c r="H39" i="104"/>
  <c r="F39" i="104"/>
  <c r="G39" i="104" s="1"/>
  <c r="A39" i="104"/>
  <c r="H38" i="104"/>
  <c r="G38" i="104"/>
  <c r="F38" i="104"/>
  <c r="A38" i="104"/>
  <c r="H37" i="104"/>
  <c r="G37" i="104"/>
  <c r="F37" i="104"/>
  <c r="A37" i="104"/>
  <c r="H36" i="104"/>
  <c r="F36" i="104"/>
  <c r="G36" i="104" s="1"/>
  <c r="A36" i="104"/>
  <c r="H35" i="104"/>
  <c r="F35" i="104"/>
  <c r="G35" i="104" s="1"/>
  <c r="A35" i="104"/>
  <c r="H34" i="104"/>
  <c r="F34" i="104"/>
  <c r="G34" i="104" s="1"/>
  <c r="A34" i="104"/>
  <c r="H33" i="104"/>
  <c r="G33" i="104"/>
  <c r="F33" i="104"/>
  <c r="A33" i="104"/>
  <c r="H32" i="104"/>
  <c r="F32" i="104"/>
  <c r="G32" i="104" s="1"/>
  <c r="A32" i="104"/>
  <c r="H31" i="104"/>
  <c r="F31" i="104"/>
  <c r="G31" i="104" s="1"/>
  <c r="A31" i="104"/>
  <c r="H30" i="104"/>
  <c r="G30" i="104"/>
  <c r="F30" i="104"/>
  <c r="A30" i="104"/>
  <c r="H29" i="104"/>
  <c r="G29" i="104"/>
  <c r="F29" i="104"/>
  <c r="A29" i="104"/>
  <c r="H28" i="104"/>
  <c r="F28" i="104"/>
  <c r="G28" i="104" s="1"/>
  <c r="A28" i="104"/>
  <c r="H27" i="104"/>
  <c r="F27" i="104"/>
  <c r="G27" i="104" s="1"/>
  <c r="A27" i="104"/>
  <c r="H26" i="104"/>
  <c r="F26" i="104"/>
  <c r="G26" i="104" s="1"/>
  <c r="A26" i="104"/>
  <c r="H25" i="104"/>
  <c r="G25" i="104"/>
  <c r="F25" i="104"/>
  <c r="A25" i="104"/>
  <c r="H24" i="104"/>
  <c r="F24" i="104"/>
  <c r="G24" i="104" s="1"/>
  <c r="H23" i="104"/>
  <c r="F23" i="104"/>
  <c r="G23" i="104" s="1"/>
  <c r="H22" i="104"/>
  <c r="G22" i="104"/>
  <c r="F22" i="104"/>
  <c r="H21" i="104"/>
  <c r="G21" i="104"/>
  <c r="F21" i="104"/>
  <c r="H20" i="104"/>
  <c r="F20" i="104"/>
  <c r="G20" i="104" s="1"/>
  <c r="H19" i="104"/>
  <c r="F19" i="104"/>
  <c r="G19" i="104" s="1"/>
  <c r="K18" i="104"/>
  <c r="H18" i="104"/>
  <c r="G18" i="104"/>
  <c r="F18" i="104"/>
  <c r="H17" i="104"/>
  <c r="F17" i="104"/>
  <c r="G17" i="104" s="1"/>
  <c r="L16" i="104"/>
  <c r="E29" i="123" s="1"/>
  <c r="K16" i="104"/>
  <c r="B29" i="123" s="1"/>
  <c r="J16" i="104"/>
  <c r="H16" i="104"/>
  <c r="G16" i="104"/>
  <c r="F16" i="104"/>
  <c r="H15" i="104"/>
  <c r="F15" i="104"/>
  <c r="G15" i="104" s="1"/>
  <c r="H14" i="104"/>
  <c r="G14" i="104"/>
  <c r="F14" i="104"/>
  <c r="H13" i="104"/>
  <c r="F13" i="104"/>
  <c r="J9" i="104" s="1"/>
  <c r="L12" i="104"/>
  <c r="L19" i="104" s="1"/>
  <c r="G29" i="123" s="1"/>
  <c r="K12" i="104"/>
  <c r="K19" i="104" s="1"/>
  <c r="D29" i="123" s="1"/>
  <c r="J12" i="104"/>
  <c r="J19" i="104" s="1"/>
  <c r="H12" i="104"/>
  <c r="G12" i="104"/>
  <c r="F12" i="104"/>
  <c r="L11" i="104"/>
  <c r="L18" i="104" s="1"/>
  <c r="K11" i="104"/>
  <c r="J11" i="104"/>
  <c r="J18" i="104" s="1"/>
  <c r="H11" i="104"/>
  <c r="F11" i="104"/>
  <c r="G11" i="104" s="1"/>
  <c r="L10" i="104"/>
  <c r="K10" i="104"/>
  <c r="J10" i="104"/>
  <c r="H10" i="104"/>
  <c r="F10" i="104"/>
  <c r="G10" i="104" s="1"/>
  <c r="L9" i="104"/>
  <c r="H9" i="104"/>
  <c r="F9" i="104"/>
  <c r="G9" i="104" s="1"/>
  <c r="L8" i="104"/>
  <c r="L21" i="104" s="1"/>
  <c r="K8" i="104"/>
  <c r="J8" i="104"/>
  <c r="H8" i="104"/>
  <c r="F8" i="104"/>
  <c r="G8" i="104" s="1"/>
  <c r="K6" i="104" s="1"/>
  <c r="L7" i="104"/>
  <c r="K7" i="104"/>
  <c r="J7" i="104"/>
  <c r="H7" i="104"/>
  <c r="F7" i="104"/>
  <c r="G7" i="104" s="1"/>
  <c r="L6" i="104"/>
  <c r="J6" i="104"/>
  <c r="H6" i="104"/>
  <c r="F6" i="104"/>
  <c r="G6" i="104" s="1"/>
  <c r="H5" i="104"/>
  <c r="L5" i="104" s="1"/>
  <c r="F5" i="104"/>
  <c r="J5" i="104" s="1"/>
  <c r="J4" i="104"/>
  <c r="J17" i="104" s="1"/>
  <c r="H4" i="104"/>
  <c r="G4" i="104" s="1"/>
  <c r="F4" i="104"/>
  <c r="L3" i="104"/>
  <c r="K3" i="104"/>
  <c r="J3" i="104"/>
  <c r="H3" i="104"/>
  <c r="G3" i="104" s="1"/>
  <c r="F3" i="104"/>
  <c r="H42" i="103"/>
  <c r="G42" i="103"/>
  <c r="F42" i="103"/>
  <c r="A42" i="103"/>
  <c r="H41" i="103"/>
  <c r="F41" i="103"/>
  <c r="G41" i="103" s="1"/>
  <c r="A41" i="103"/>
  <c r="H40" i="103"/>
  <c r="F40" i="103"/>
  <c r="G40" i="103" s="1"/>
  <c r="A40" i="103"/>
  <c r="H39" i="103"/>
  <c r="F39" i="103"/>
  <c r="G39" i="103" s="1"/>
  <c r="A39" i="103"/>
  <c r="H38" i="103"/>
  <c r="G38" i="103" s="1"/>
  <c r="F38" i="103"/>
  <c r="A38" i="103"/>
  <c r="H37" i="103"/>
  <c r="F37" i="103"/>
  <c r="G37" i="103" s="1"/>
  <c r="A37" i="103"/>
  <c r="H36" i="103"/>
  <c r="G36" i="103"/>
  <c r="F36" i="103"/>
  <c r="A36" i="103"/>
  <c r="H35" i="103"/>
  <c r="F35" i="103"/>
  <c r="G35" i="103" s="1"/>
  <c r="A35" i="103"/>
  <c r="H34" i="103"/>
  <c r="G34" i="103"/>
  <c r="F34" i="103"/>
  <c r="A34" i="103"/>
  <c r="H33" i="103"/>
  <c r="F33" i="103"/>
  <c r="G33" i="103" s="1"/>
  <c r="A33" i="103"/>
  <c r="H32" i="103"/>
  <c r="F32" i="103"/>
  <c r="G32" i="103" s="1"/>
  <c r="A32" i="103"/>
  <c r="H31" i="103"/>
  <c r="F31" i="103"/>
  <c r="G31" i="103" s="1"/>
  <c r="A31" i="103"/>
  <c r="H30" i="103"/>
  <c r="G30" i="103" s="1"/>
  <c r="F30" i="103"/>
  <c r="A30" i="103"/>
  <c r="H29" i="103"/>
  <c r="F29" i="103"/>
  <c r="G29" i="103" s="1"/>
  <c r="A29" i="103"/>
  <c r="H28" i="103"/>
  <c r="G28" i="103"/>
  <c r="F28" i="103"/>
  <c r="A28" i="103"/>
  <c r="H27" i="103"/>
  <c r="F27" i="103"/>
  <c r="G27" i="103" s="1"/>
  <c r="A27" i="103"/>
  <c r="H26" i="103"/>
  <c r="G26" i="103"/>
  <c r="F26" i="103"/>
  <c r="A26" i="103"/>
  <c r="H25" i="103"/>
  <c r="F25" i="103"/>
  <c r="G25" i="103" s="1"/>
  <c r="A25" i="103"/>
  <c r="H24" i="103"/>
  <c r="F24" i="103"/>
  <c r="G24" i="103" s="1"/>
  <c r="A24" i="103"/>
  <c r="H23" i="103"/>
  <c r="F23" i="103"/>
  <c r="G23" i="103" s="1"/>
  <c r="A23" i="103"/>
  <c r="H22" i="103"/>
  <c r="G22" i="103" s="1"/>
  <c r="F22" i="103"/>
  <c r="A22" i="103"/>
  <c r="J21" i="103"/>
  <c r="I28" i="123" s="1"/>
  <c r="H21" i="103"/>
  <c r="F21" i="103"/>
  <c r="G21" i="103" s="1"/>
  <c r="A21" i="103"/>
  <c r="H20" i="103"/>
  <c r="F20" i="103"/>
  <c r="G20" i="103" s="1"/>
  <c r="L19" i="103"/>
  <c r="J19" i="103"/>
  <c r="H19" i="103"/>
  <c r="G19" i="103"/>
  <c r="F19" i="103"/>
  <c r="H18" i="103"/>
  <c r="L6" i="103" s="1"/>
  <c r="F18" i="103"/>
  <c r="J6" i="103" s="1"/>
  <c r="H17" i="103"/>
  <c r="F17" i="103"/>
  <c r="G17" i="103" s="1"/>
  <c r="H16" i="103"/>
  <c r="F16" i="103"/>
  <c r="G16" i="103" s="1"/>
  <c r="H15" i="103"/>
  <c r="F15" i="103"/>
  <c r="G15" i="103" s="1"/>
  <c r="H14" i="103"/>
  <c r="G14" i="103"/>
  <c r="F14" i="103"/>
  <c r="H13" i="103"/>
  <c r="F13" i="103"/>
  <c r="G13" i="103" s="1"/>
  <c r="L12" i="103"/>
  <c r="K12" i="103"/>
  <c r="K19" i="103" s="1"/>
  <c r="D28" i="123" s="1"/>
  <c r="J12" i="103"/>
  <c r="H12" i="103"/>
  <c r="F12" i="103"/>
  <c r="J7" i="103" s="1"/>
  <c r="L11" i="103"/>
  <c r="L18" i="103" s="1"/>
  <c r="K11" i="103"/>
  <c r="K18" i="103" s="1"/>
  <c r="J11" i="103"/>
  <c r="J18" i="103" s="1"/>
  <c r="H11" i="103"/>
  <c r="G11" i="103"/>
  <c r="F11" i="103"/>
  <c r="L10" i="103"/>
  <c r="K10" i="103"/>
  <c r="J10" i="103"/>
  <c r="H10" i="103"/>
  <c r="G10" i="103"/>
  <c r="F10" i="103"/>
  <c r="L9" i="103"/>
  <c r="K9" i="103"/>
  <c r="J9" i="103"/>
  <c r="H9" i="103"/>
  <c r="L4" i="103" s="1"/>
  <c r="L17" i="103" s="1"/>
  <c r="F28" i="123" s="1"/>
  <c r="F9" i="103"/>
  <c r="G9" i="103" s="1"/>
  <c r="L8" i="103"/>
  <c r="L21" i="103" s="1"/>
  <c r="K8" i="103"/>
  <c r="K21" i="103" s="1"/>
  <c r="J8" i="103"/>
  <c r="H8" i="103"/>
  <c r="G8" i="103" s="1"/>
  <c r="F8" i="103"/>
  <c r="H7" i="103"/>
  <c r="F7" i="103"/>
  <c r="G7" i="103" s="1"/>
  <c r="H6" i="103"/>
  <c r="F6" i="103"/>
  <c r="G6" i="103" s="1"/>
  <c r="L5" i="103"/>
  <c r="H5" i="103"/>
  <c r="G5" i="103"/>
  <c r="F5" i="103"/>
  <c r="H4" i="103"/>
  <c r="F4" i="103"/>
  <c r="G4" i="103" s="1"/>
  <c r="L3" i="103"/>
  <c r="L16" i="103" s="1"/>
  <c r="E28" i="123" s="1"/>
  <c r="K3" i="103"/>
  <c r="K16" i="103" s="1"/>
  <c r="B28" i="123" s="1"/>
  <c r="J3" i="103"/>
  <c r="J16" i="103" s="1"/>
  <c r="H3" i="103"/>
  <c r="L7" i="103" s="1"/>
  <c r="F3" i="103"/>
  <c r="G3" i="103" s="1"/>
  <c r="H42" i="102"/>
  <c r="G42" i="102"/>
  <c r="F42" i="102"/>
  <c r="A42" i="102"/>
  <c r="H41" i="102"/>
  <c r="G41" i="102"/>
  <c r="F41" i="102"/>
  <c r="A41" i="102"/>
  <c r="H40" i="102"/>
  <c r="G40" i="102"/>
  <c r="F40" i="102"/>
  <c r="A40" i="102"/>
  <c r="H39" i="102"/>
  <c r="F39" i="102"/>
  <c r="G39" i="102" s="1"/>
  <c r="A39" i="102"/>
  <c r="H38" i="102"/>
  <c r="F38" i="102"/>
  <c r="G38" i="102" s="1"/>
  <c r="A38" i="102"/>
  <c r="H37" i="102"/>
  <c r="F37" i="102"/>
  <c r="G37" i="102" s="1"/>
  <c r="A37" i="102"/>
  <c r="H36" i="102"/>
  <c r="F36" i="102"/>
  <c r="G36" i="102" s="1"/>
  <c r="A36" i="102"/>
  <c r="H35" i="102"/>
  <c r="F35" i="102"/>
  <c r="G35" i="102" s="1"/>
  <c r="A35" i="102"/>
  <c r="H34" i="102"/>
  <c r="G34" i="102"/>
  <c r="F34" i="102"/>
  <c r="A34" i="102"/>
  <c r="H33" i="102"/>
  <c r="G33" i="102"/>
  <c r="F33" i="102"/>
  <c r="A33" i="102"/>
  <c r="H32" i="102"/>
  <c r="G32" i="102"/>
  <c r="F32" i="102"/>
  <c r="A32" i="102"/>
  <c r="H31" i="102"/>
  <c r="F31" i="102"/>
  <c r="G31" i="102" s="1"/>
  <c r="A31" i="102"/>
  <c r="H30" i="102"/>
  <c r="F30" i="102"/>
  <c r="G30" i="102" s="1"/>
  <c r="A30" i="102"/>
  <c r="H29" i="102"/>
  <c r="F29" i="102"/>
  <c r="G29" i="102" s="1"/>
  <c r="A29" i="102"/>
  <c r="H28" i="102"/>
  <c r="F28" i="102"/>
  <c r="G28" i="102" s="1"/>
  <c r="A28" i="102"/>
  <c r="H27" i="102"/>
  <c r="F27" i="102"/>
  <c r="G27" i="102" s="1"/>
  <c r="A27" i="102"/>
  <c r="H26" i="102"/>
  <c r="G26" i="102"/>
  <c r="F26" i="102"/>
  <c r="A26" i="102"/>
  <c r="H25" i="102"/>
  <c r="G25" i="102"/>
  <c r="F25" i="102"/>
  <c r="A25" i="102"/>
  <c r="H24" i="102"/>
  <c r="G24" i="102"/>
  <c r="F24" i="102"/>
  <c r="A24" i="102"/>
  <c r="H23" i="102"/>
  <c r="F23" i="102"/>
  <c r="G23" i="102" s="1"/>
  <c r="A23" i="102"/>
  <c r="H22" i="102"/>
  <c r="F22" i="102"/>
  <c r="G22" i="102" s="1"/>
  <c r="A22" i="102"/>
  <c r="H21" i="102"/>
  <c r="F21" i="102"/>
  <c r="G21" i="102" s="1"/>
  <c r="A21" i="102"/>
  <c r="H20" i="102"/>
  <c r="F20" i="102"/>
  <c r="G20" i="102" s="1"/>
  <c r="A20" i="102"/>
  <c r="K19" i="102"/>
  <c r="H19" i="102"/>
  <c r="F19" i="102"/>
  <c r="G19" i="102" s="1"/>
  <c r="K18" i="102"/>
  <c r="H18" i="102"/>
  <c r="F18" i="102"/>
  <c r="G18" i="102" s="1"/>
  <c r="H17" i="102"/>
  <c r="F17" i="102"/>
  <c r="G17" i="102" s="1"/>
  <c r="L16" i="102"/>
  <c r="E27" i="123" s="1"/>
  <c r="H16" i="102"/>
  <c r="F16" i="102"/>
  <c r="G16" i="102" s="1"/>
  <c r="H15" i="102"/>
  <c r="F15" i="102"/>
  <c r="G15" i="102" s="1"/>
  <c r="H14" i="102"/>
  <c r="F14" i="102"/>
  <c r="G14" i="102" s="1"/>
  <c r="H13" i="102"/>
  <c r="L4" i="102" s="1"/>
  <c r="L17" i="102" s="1"/>
  <c r="F27" i="123" s="1"/>
  <c r="G13" i="102"/>
  <c r="F13" i="102"/>
  <c r="L12" i="102"/>
  <c r="L19" i="102" s="1"/>
  <c r="G27" i="123" s="1"/>
  <c r="K12" i="102"/>
  <c r="J12" i="102"/>
  <c r="J19" i="102" s="1"/>
  <c r="H12" i="102"/>
  <c r="G12" i="102"/>
  <c r="F12" i="102"/>
  <c r="L11" i="102"/>
  <c r="L18" i="102" s="1"/>
  <c r="K11" i="102"/>
  <c r="J11" i="102"/>
  <c r="J18" i="102" s="1"/>
  <c r="H11" i="102"/>
  <c r="G11" i="102"/>
  <c r="F11" i="102"/>
  <c r="L10" i="102"/>
  <c r="K10" i="102"/>
  <c r="J10" i="102"/>
  <c r="H10" i="102"/>
  <c r="F10" i="102"/>
  <c r="G10" i="102" s="1"/>
  <c r="L9" i="102"/>
  <c r="K9" i="102"/>
  <c r="J9" i="102"/>
  <c r="H9" i="102"/>
  <c r="F9" i="102"/>
  <c r="G9" i="102" s="1"/>
  <c r="L8" i="102"/>
  <c r="L21" i="102" s="1"/>
  <c r="K8" i="102"/>
  <c r="K21" i="102" s="1"/>
  <c r="J8" i="102"/>
  <c r="J21" i="102" s="1"/>
  <c r="I27" i="123" s="1"/>
  <c r="H8" i="102"/>
  <c r="F8" i="102"/>
  <c r="G8" i="102" s="1"/>
  <c r="L7" i="102"/>
  <c r="H7" i="102"/>
  <c r="G7" i="102"/>
  <c r="F7" i="102"/>
  <c r="L6" i="102"/>
  <c r="K6" i="102"/>
  <c r="J6" i="102"/>
  <c r="H6" i="102"/>
  <c r="G6" i="102"/>
  <c r="F6" i="102"/>
  <c r="H5" i="102"/>
  <c r="F5" i="102"/>
  <c r="J7" i="102" s="1"/>
  <c r="H4" i="102"/>
  <c r="F4" i="102"/>
  <c r="J4" i="102" s="1"/>
  <c r="L3" i="102"/>
  <c r="K3" i="102"/>
  <c r="K16" i="102" s="1"/>
  <c r="B27" i="123" s="1"/>
  <c r="J3" i="102"/>
  <c r="J16" i="102" s="1"/>
  <c r="H3" i="102"/>
  <c r="L5" i="102" s="1"/>
  <c r="F3" i="102"/>
  <c r="G3" i="102" s="1"/>
  <c r="H42" i="105"/>
  <c r="F42" i="105"/>
  <c r="G42" i="105" s="1"/>
  <c r="A42" i="105"/>
  <c r="H41" i="105"/>
  <c r="F41" i="105"/>
  <c r="G41" i="105" s="1"/>
  <c r="A41" i="105"/>
  <c r="H40" i="105"/>
  <c r="F40" i="105"/>
  <c r="G40" i="105" s="1"/>
  <c r="A40" i="105"/>
  <c r="H39" i="105"/>
  <c r="F39" i="105"/>
  <c r="G39" i="105" s="1"/>
  <c r="A39" i="105"/>
  <c r="H38" i="105"/>
  <c r="F38" i="105"/>
  <c r="G38" i="105" s="1"/>
  <c r="A38" i="105"/>
  <c r="H37" i="105"/>
  <c r="F37" i="105"/>
  <c r="G37" i="105" s="1"/>
  <c r="A37" i="105"/>
  <c r="H36" i="105"/>
  <c r="G36" i="105"/>
  <c r="F36" i="105"/>
  <c r="A36" i="105"/>
  <c r="H35" i="105"/>
  <c r="F35" i="105"/>
  <c r="G35" i="105" s="1"/>
  <c r="A35" i="105"/>
  <c r="H34" i="105"/>
  <c r="F34" i="105"/>
  <c r="G34" i="105" s="1"/>
  <c r="A34" i="105"/>
  <c r="H33" i="105"/>
  <c r="F33" i="105"/>
  <c r="G33" i="105" s="1"/>
  <c r="A33" i="105"/>
  <c r="H32" i="105"/>
  <c r="F32" i="105"/>
  <c r="G32" i="105" s="1"/>
  <c r="A32" i="105"/>
  <c r="H31" i="105"/>
  <c r="F31" i="105"/>
  <c r="G31" i="105" s="1"/>
  <c r="A31" i="105"/>
  <c r="H30" i="105"/>
  <c r="F30" i="105"/>
  <c r="G30" i="105" s="1"/>
  <c r="A30" i="105"/>
  <c r="H29" i="105"/>
  <c r="F29" i="105"/>
  <c r="G29" i="105" s="1"/>
  <c r="A29" i="105"/>
  <c r="H28" i="105"/>
  <c r="G28" i="105"/>
  <c r="F28" i="105"/>
  <c r="A28" i="105"/>
  <c r="H27" i="105"/>
  <c r="F27" i="105"/>
  <c r="G27" i="105" s="1"/>
  <c r="A27" i="105"/>
  <c r="H26" i="105"/>
  <c r="F26" i="105"/>
  <c r="G26" i="105" s="1"/>
  <c r="A26" i="105"/>
  <c r="H25" i="105"/>
  <c r="F25" i="105"/>
  <c r="G25" i="105" s="1"/>
  <c r="A25" i="105"/>
  <c r="H24" i="105"/>
  <c r="F24" i="105"/>
  <c r="G24" i="105" s="1"/>
  <c r="A24" i="105"/>
  <c r="H23" i="105"/>
  <c r="F23" i="105"/>
  <c r="G23" i="105" s="1"/>
  <c r="A23" i="105"/>
  <c r="H22" i="105"/>
  <c r="F22" i="105"/>
  <c r="G22" i="105" s="1"/>
  <c r="A22" i="105"/>
  <c r="K21" i="105"/>
  <c r="J21" i="105"/>
  <c r="I30" i="123" s="1"/>
  <c r="H21" i="105"/>
  <c r="F21" i="105"/>
  <c r="G21" i="105" s="1"/>
  <c r="H20" i="105"/>
  <c r="F20" i="105"/>
  <c r="G20" i="105" s="1"/>
  <c r="H19" i="105"/>
  <c r="F19" i="105"/>
  <c r="G19" i="105" s="1"/>
  <c r="L18" i="105"/>
  <c r="J18" i="105"/>
  <c r="H18" i="105"/>
  <c r="F18" i="105"/>
  <c r="G18" i="105" s="1"/>
  <c r="H17" i="105"/>
  <c r="G17" i="105"/>
  <c r="F17" i="105"/>
  <c r="H16" i="105"/>
  <c r="F16" i="105"/>
  <c r="G16" i="105" s="1"/>
  <c r="H15" i="105"/>
  <c r="G15" i="105"/>
  <c r="F15" i="105"/>
  <c r="H14" i="105"/>
  <c r="F14" i="105"/>
  <c r="G14" i="105" s="1"/>
  <c r="H13" i="105"/>
  <c r="F13" i="105"/>
  <c r="G13" i="105" s="1"/>
  <c r="L12" i="105"/>
  <c r="L19" i="105" s="1"/>
  <c r="G30" i="123" s="1"/>
  <c r="K12" i="105"/>
  <c r="K19" i="105" s="1"/>
  <c r="D30" i="123" s="1"/>
  <c r="J12" i="105"/>
  <c r="J19" i="105" s="1"/>
  <c r="H12" i="105"/>
  <c r="F12" i="105"/>
  <c r="G12" i="105" s="1"/>
  <c r="L11" i="105"/>
  <c r="K11" i="105"/>
  <c r="K18" i="105" s="1"/>
  <c r="J11" i="105"/>
  <c r="H11" i="105"/>
  <c r="F11" i="105"/>
  <c r="G11" i="105" s="1"/>
  <c r="L10" i="105"/>
  <c r="K10" i="105"/>
  <c r="J10" i="105"/>
  <c r="H10" i="105"/>
  <c r="F10" i="105"/>
  <c r="G10" i="105" s="1"/>
  <c r="L9" i="105"/>
  <c r="K9" i="105"/>
  <c r="J9" i="105"/>
  <c r="H9" i="105"/>
  <c r="F9" i="105"/>
  <c r="G9" i="105" s="1"/>
  <c r="L8" i="105"/>
  <c r="L21" i="105" s="1"/>
  <c r="K8" i="105"/>
  <c r="J8" i="105"/>
  <c r="H8" i="105"/>
  <c r="F8" i="105"/>
  <c r="G8" i="105" s="1"/>
  <c r="L7" i="105"/>
  <c r="K7" i="105"/>
  <c r="J7" i="105"/>
  <c r="H7" i="105"/>
  <c r="F7" i="105"/>
  <c r="G7" i="105" s="1"/>
  <c r="L6" i="105"/>
  <c r="K6" i="105"/>
  <c r="J6" i="105"/>
  <c r="H6" i="105"/>
  <c r="F6" i="105"/>
  <c r="G6" i="105" s="1"/>
  <c r="H5" i="105"/>
  <c r="F5" i="105"/>
  <c r="G5" i="105" s="1"/>
  <c r="H4" i="105"/>
  <c r="L4" i="105" s="1"/>
  <c r="F4" i="105"/>
  <c r="G4" i="105" s="1"/>
  <c r="K4" i="105" s="1"/>
  <c r="L3" i="105"/>
  <c r="L16" i="105" s="1"/>
  <c r="E30" i="123" s="1"/>
  <c r="K3" i="105"/>
  <c r="K16" i="105" s="1"/>
  <c r="B30" i="123" s="1"/>
  <c r="J3" i="105"/>
  <c r="J16" i="105" s="1"/>
  <c r="H3" i="105"/>
  <c r="L5" i="105" s="1"/>
  <c r="G3" i="105"/>
  <c r="K5" i="105" s="1"/>
  <c r="F3" i="105"/>
  <c r="J5" i="105" s="1"/>
  <c r="H42" i="100"/>
  <c r="F42" i="100"/>
  <c r="G42" i="100" s="1"/>
  <c r="A42" i="100"/>
  <c r="H41" i="100"/>
  <c r="F41" i="100"/>
  <c r="G41" i="100" s="1"/>
  <c r="A41" i="100"/>
  <c r="H40" i="100"/>
  <c r="F40" i="100"/>
  <c r="G40" i="100" s="1"/>
  <c r="A40" i="100"/>
  <c r="H39" i="100"/>
  <c r="F39" i="100"/>
  <c r="G39" i="100" s="1"/>
  <c r="A39" i="100"/>
  <c r="H38" i="100"/>
  <c r="G38" i="100"/>
  <c r="F38" i="100"/>
  <c r="A38" i="100"/>
  <c r="H37" i="100"/>
  <c r="G37" i="100"/>
  <c r="F37" i="100"/>
  <c r="A37" i="100"/>
  <c r="H36" i="100"/>
  <c r="G36" i="100"/>
  <c r="F36" i="100"/>
  <c r="A36" i="100"/>
  <c r="H35" i="100"/>
  <c r="F35" i="100"/>
  <c r="G35" i="100" s="1"/>
  <c r="A35" i="100"/>
  <c r="H34" i="100"/>
  <c r="F34" i="100"/>
  <c r="G34" i="100" s="1"/>
  <c r="A34" i="100"/>
  <c r="H33" i="100"/>
  <c r="F33" i="100"/>
  <c r="G33" i="100" s="1"/>
  <c r="A33" i="100"/>
  <c r="H32" i="100"/>
  <c r="F32" i="100"/>
  <c r="G32" i="100" s="1"/>
  <c r="A32" i="100"/>
  <c r="H31" i="100"/>
  <c r="F31" i="100"/>
  <c r="G31" i="100" s="1"/>
  <c r="A31" i="100"/>
  <c r="H30" i="100"/>
  <c r="G30" i="100"/>
  <c r="F30" i="100"/>
  <c r="A30" i="100"/>
  <c r="H29" i="100"/>
  <c r="G29" i="100"/>
  <c r="F29" i="100"/>
  <c r="A29" i="100"/>
  <c r="H28" i="100"/>
  <c r="G28" i="100"/>
  <c r="F28" i="100"/>
  <c r="A28" i="100"/>
  <c r="H27" i="100"/>
  <c r="F27" i="100"/>
  <c r="G27" i="100" s="1"/>
  <c r="H26" i="100"/>
  <c r="L7" i="100" s="1"/>
  <c r="F26" i="100"/>
  <c r="G26" i="100" s="1"/>
  <c r="H25" i="100"/>
  <c r="F25" i="100"/>
  <c r="G25" i="100" s="1"/>
  <c r="H24" i="100"/>
  <c r="F24" i="100"/>
  <c r="G24" i="100" s="1"/>
  <c r="H23" i="100"/>
  <c r="F23" i="100"/>
  <c r="G23" i="100" s="1"/>
  <c r="H22" i="100"/>
  <c r="L4" i="100" s="1"/>
  <c r="L17" i="100" s="1"/>
  <c r="F25" i="123" s="1"/>
  <c r="F22" i="100"/>
  <c r="J4" i="100" s="1"/>
  <c r="L21" i="100"/>
  <c r="K21" i="100"/>
  <c r="H21" i="100"/>
  <c r="F21" i="100"/>
  <c r="G21" i="100" s="1"/>
  <c r="H20" i="100"/>
  <c r="F20" i="100"/>
  <c r="G20" i="100" s="1"/>
  <c r="H19" i="100"/>
  <c r="F19" i="100"/>
  <c r="G19" i="100" s="1"/>
  <c r="H18" i="100"/>
  <c r="G18" i="100"/>
  <c r="F18" i="100"/>
  <c r="H17" i="100"/>
  <c r="F17" i="100"/>
  <c r="G17" i="100" s="1"/>
  <c r="K16" i="100"/>
  <c r="B25" i="123" s="1"/>
  <c r="J16" i="100"/>
  <c r="H16" i="100"/>
  <c r="F16" i="100"/>
  <c r="G16" i="100" s="1"/>
  <c r="H15" i="100"/>
  <c r="G15" i="100"/>
  <c r="F15" i="100"/>
  <c r="H14" i="100"/>
  <c r="F14" i="100"/>
  <c r="G14" i="100" s="1"/>
  <c r="K7" i="100" s="1"/>
  <c r="H13" i="100"/>
  <c r="G13" i="100"/>
  <c r="F13" i="100"/>
  <c r="L12" i="100"/>
  <c r="L19" i="100" s="1"/>
  <c r="G25" i="123" s="1"/>
  <c r="K12" i="100"/>
  <c r="K19" i="100" s="1"/>
  <c r="D25" i="123" s="1"/>
  <c r="J12" i="100"/>
  <c r="J19" i="100" s="1"/>
  <c r="H12" i="100"/>
  <c r="F12" i="100"/>
  <c r="G12" i="100" s="1"/>
  <c r="K6" i="100" s="1"/>
  <c r="L11" i="100"/>
  <c r="L18" i="100" s="1"/>
  <c r="K11" i="100"/>
  <c r="K18" i="100" s="1"/>
  <c r="J11" i="100"/>
  <c r="J18" i="100" s="1"/>
  <c r="H11" i="100"/>
  <c r="F11" i="100"/>
  <c r="G11" i="100" s="1"/>
  <c r="L10" i="100"/>
  <c r="K10" i="100"/>
  <c r="J10" i="100"/>
  <c r="H10" i="100"/>
  <c r="F10" i="100"/>
  <c r="G10" i="100" s="1"/>
  <c r="L9" i="100"/>
  <c r="K9" i="100"/>
  <c r="J9" i="100"/>
  <c r="H9" i="100"/>
  <c r="G9" i="100"/>
  <c r="F9" i="100"/>
  <c r="L8" i="100"/>
  <c r="K8" i="100"/>
  <c r="J8" i="100"/>
  <c r="J21" i="100" s="1"/>
  <c r="I25" i="123" s="1"/>
  <c r="H8" i="100"/>
  <c r="G8" i="100"/>
  <c r="F8" i="100"/>
  <c r="H7" i="100"/>
  <c r="G7" i="100"/>
  <c r="F7" i="100"/>
  <c r="L6" i="100"/>
  <c r="J6" i="100"/>
  <c r="H6" i="100"/>
  <c r="F6" i="100"/>
  <c r="G6" i="100" s="1"/>
  <c r="H5" i="100"/>
  <c r="F5" i="100"/>
  <c r="G5" i="100" s="1"/>
  <c r="H4" i="100"/>
  <c r="L5" i="100" s="1"/>
  <c r="F4" i="100"/>
  <c r="G4" i="100" s="1"/>
  <c r="L3" i="100"/>
  <c r="L16" i="100" s="1"/>
  <c r="E25" i="123" s="1"/>
  <c r="K3" i="100"/>
  <c r="J3" i="100"/>
  <c r="H3" i="100"/>
  <c r="G3" i="100"/>
  <c r="F3" i="100"/>
  <c r="H42" i="99"/>
  <c r="F42" i="99"/>
  <c r="G42" i="99" s="1"/>
  <c r="A42" i="99"/>
  <c r="H41" i="99"/>
  <c r="G41" i="99"/>
  <c r="F41" i="99"/>
  <c r="A41" i="99"/>
  <c r="H40" i="99"/>
  <c r="F40" i="99"/>
  <c r="G40" i="99" s="1"/>
  <c r="A40" i="99"/>
  <c r="H39" i="99"/>
  <c r="F39" i="99"/>
  <c r="G39" i="99" s="1"/>
  <c r="A39" i="99"/>
  <c r="H38" i="99"/>
  <c r="F38" i="99"/>
  <c r="G38" i="99" s="1"/>
  <c r="A38" i="99"/>
  <c r="H37" i="99"/>
  <c r="F37" i="99"/>
  <c r="G37" i="99" s="1"/>
  <c r="A37" i="99"/>
  <c r="H36" i="99"/>
  <c r="F36" i="99"/>
  <c r="G36" i="99" s="1"/>
  <c r="A36" i="99"/>
  <c r="H35" i="99"/>
  <c r="F35" i="99"/>
  <c r="G35" i="99" s="1"/>
  <c r="A35" i="99"/>
  <c r="H34" i="99"/>
  <c r="F34" i="99"/>
  <c r="G34" i="99" s="1"/>
  <c r="A34" i="99"/>
  <c r="H33" i="99"/>
  <c r="G33" i="99"/>
  <c r="F33" i="99"/>
  <c r="A33" i="99"/>
  <c r="H32" i="99"/>
  <c r="F32" i="99"/>
  <c r="G32" i="99" s="1"/>
  <c r="A32" i="99"/>
  <c r="H31" i="99"/>
  <c r="F31" i="99"/>
  <c r="G31" i="99" s="1"/>
  <c r="A31" i="99"/>
  <c r="H30" i="99"/>
  <c r="F30" i="99"/>
  <c r="G30" i="99" s="1"/>
  <c r="A30" i="99"/>
  <c r="H29" i="99"/>
  <c r="F29" i="99"/>
  <c r="G29" i="99" s="1"/>
  <c r="A29" i="99"/>
  <c r="H28" i="99"/>
  <c r="F28" i="99"/>
  <c r="G28" i="99" s="1"/>
  <c r="A28" i="99"/>
  <c r="H27" i="99"/>
  <c r="F27" i="99"/>
  <c r="G27" i="99" s="1"/>
  <c r="A27" i="99"/>
  <c r="H26" i="99"/>
  <c r="F26" i="99"/>
  <c r="G26" i="99" s="1"/>
  <c r="A26" i="99"/>
  <c r="H25" i="99"/>
  <c r="G25" i="99"/>
  <c r="F25" i="99"/>
  <c r="A25" i="99"/>
  <c r="H24" i="99"/>
  <c r="F24" i="99"/>
  <c r="G24" i="99" s="1"/>
  <c r="A24" i="99"/>
  <c r="H23" i="99"/>
  <c r="F23" i="99"/>
  <c r="G23" i="99" s="1"/>
  <c r="A23" i="99"/>
  <c r="H22" i="99"/>
  <c r="F22" i="99"/>
  <c r="G22" i="99" s="1"/>
  <c r="A22" i="99"/>
  <c r="H21" i="99"/>
  <c r="F21" i="99"/>
  <c r="G21" i="99" s="1"/>
  <c r="A21" i="99"/>
  <c r="H20" i="99"/>
  <c r="F20" i="99"/>
  <c r="G20" i="99" s="1"/>
  <c r="H19" i="99"/>
  <c r="F19" i="99"/>
  <c r="G19" i="99" s="1"/>
  <c r="K18" i="99"/>
  <c r="H18" i="99"/>
  <c r="F18" i="99"/>
  <c r="G18" i="99" s="1"/>
  <c r="H17" i="99"/>
  <c r="G17" i="99"/>
  <c r="F17" i="99"/>
  <c r="H16" i="99"/>
  <c r="F16" i="99"/>
  <c r="G16" i="99" s="1"/>
  <c r="H15" i="99"/>
  <c r="F15" i="99"/>
  <c r="G15" i="99" s="1"/>
  <c r="H14" i="99"/>
  <c r="F14" i="99"/>
  <c r="G14" i="99" s="1"/>
  <c r="H13" i="99"/>
  <c r="G13" i="99"/>
  <c r="F13" i="99"/>
  <c r="L12" i="99"/>
  <c r="L19" i="99" s="1"/>
  <c r="G24" i="123" s="1"/>
  <c r="K12" i="99"/>
  <c r="K19" i="99" s="1"/>
  <c r="D24" i="123" s="1"/>
  <c r="J12" i="99"/>
  <c r="J19" i="99" s="1"/>
  <c r="H12" i="99"/>
  <c r="F12" i="99"/>
  <c r="G12" i="99" s="1"/>
  <c r="L11" i="99"/>
  <c r="L18" i="99" s="1"/>
  <c r="K11" i="99"/>
  <c r="J11" i="99"/>
  <c r="J18" i="99" s="1"/>
  <c r="H11" i="99"/>
  <c r="F11" i="99"/>
  <c r="G11" i="99" s="1"/>
  <c r="L10" i="99"/>
  <c r="K10" i="99"/>
  <c r="J10" i="99"/>
  <c r="H10" i="99"/>
  <c r="G10" i="99" s="1"/>
  <c r="F10" i="99"/>
  <c r="L9" i="99"/>
  <c r="K9" i="99"/>
  <c r="J9" i="99"/>
  <c r="H9" i="99"/>
  <c r="F9" i="99"/>
  <c r="G9" i="99" s="1"/>
  <c r="L8" i="99"/>
  <c r="L21" i="99" s="1"/>
  <c r="K8" i="99"/>
  <c r="K21" i="99" s="1"/>
  <c r="J8" i="99"/>
  <c r="J21" i="99" s="1"/>
  <c r="I24" i="123" s="1"/>
  <c r="H8" i="99"/>
  <c r="G8" i="99"/>
  <c r="F8" i="99"/>
  <c r="L7" i="99"/>
  <c r="K7" i="99"/>
  <c r="J7" i="99"/>
  <c r="H7" i="99"/>
  <c r="G7" i="99"/>
  <c r="F7" i="99"/>
  <c r="L6" i="99"/>
  <c r="K6" i="99"/>
  <c r="J6" i="99"/>
  <c r="H6" i="99"/>
  <c r="F6" i="99"/>
  <c r="G6" i="99" s="1"/>
  <c r="L5" i="99"/>
  <c r="K5" i="99"/>
  <c r="J5" i="99"/>
  <c r="H5" i="99"/>
  <c r="L4" i="99" s="1"/>
  <c r="L17" i="99" s="1"/>
  <c r="F24" i="123" s="1"/>
  <c r="F5" i="99"/>
  <c r="G5" i="99" s="1"/>
  <c r="K4" i="99" s="1"/>
  <c r="K17" i="99" s="1"/>
  <c r="C24" i="123" s="1"/>
  <c r="H4" i="99"/>
  <c r="F4" i="99"/>
  <c r="G4" i="99" s="1"/>
  <c r="H3" i="99"/>
  <c r="L3" i="99" s="1"/>
  <c r="L16" i="99" s="1"/>
  <c r="E24" i="123" s="1"/>
  <c r="F3" i="99"/>
  <c r="G3" i="99" s="1"/>
  <c r="H42" i="98"/>
  <c r="F42" i="98"/>
  <c r="G42" i="98" s="1"/>
  <c r="A42" i="98"/>
  <c r="H41" i="98"/>
  <c r="F41" i="98"/>
  <c r="G41" i="98" s="1"/>
  <c r="A41" i="98"/>
  <c r="H40" i="98"/>
  <c r="F40" i="98"/>
  <c r="G40" i="98" s="1"/>
  <c r="A40" i="98"/>
  <c r="H39" i="98"/>
  <c r="F39" i="98"/>
  <c r="G39" i="98" s="1"/>
  <c r="A39" i="98"/>
  <c r="H38" i="98"/>
  <c r="F38" i="98"/>
  <c r="G38" i="98" s="1"/>
  <c r="A38" i="98"/>
  <c r="H37" i="98"/>
  <c r="G37" i="98"/>
  <c r="F37" i="98"/>
  <c r="A37" i="98"/>
  <c r="H36" i="98"/>
  <c r="F36" i="98"/>
  <c r="G36" i="98" s="1"/>
  <c r="A36" i="98"/>
  <c r="H35" i="98"/>
  <c r="F35" i="98"/>
  <c r="G35" i="98" s="1"/>
  <c r="A35" i="98"/>
  <c r="H34" i="98"/>
  <c r="F34" i="98"/>
  <c r="G34" i="98" s="1"/>
  <c r="A34" i="98"/>
  <c r="H33" i="98"/>
  <c r="F33" i="98"/>
  <c r="G33" i="98" s="1"/>
  <c r="A33" i="98"/>
  <c r="H32" i="98"/>
  <c r="F32" i="98"/>
  <c r="G32" i="98" s="1"/>
  <c r="A32" i="98"/>
  <c r="H31" i="98"/>
  <c r="F31" i="98"/>
  <c r="G31" i="98" s="1"/>
  <c r="A31" i="98"/>
  <c r="H30" i="98"/>
  <c r="F30" i="98"/>
  <c r="G30" i="98" s="1"/>
  <c r="A30" i="98"/>
  <c r="H29" i="98"/>
  <c r="G29" i="98"/>
  <c r="F29" i="98"/>
  <c r="A29" i="98"/>
  <c r="H28" i="98"/>
  <c r="F28" i="98"/>
  <c r="G28" i="98" s="1"/>
  <c r="A28" i="98"/>
  <c r="H27" i="98"/>
  <c r="F27" i="98"/>
  <c r="G27" i="98" s="1"/>
  <c r="A27" i="98"/>
  <c r="H26" i="98"/>
  <c r="F26" i="98"/>
  <c r="G26" i="98" s="1"/>
  <c r="A26" i="98"/>
  <c r="H25" i="98"/>
  <c r="F25" i="98"/>
  <c r="G25" i="98" s="1"/>
  <c r="A25" i="98"/>
  <c r="H24" i="98"/>
  <c r="F24" i="98"/>
  <c r="G24" i="98" s="1"/>
  <c r="A24" i="98"/>
  <c r="H23" i="98"/>
  <c r="F23" i="98"/>
  <c r="G23" i="98" s="1"/>
  <c r="A23" i="98"/>
  <c r="H22" i="98"/>
  <c r="F22" i="98"/>
  <c r="G22" i="98" s="1"/>
  <c r="A22" i="98"/>
  <c r="H21" i="98"/>
  <c r="F21" i="98"/>
  <c r="G21" i="98" s="1"/>
  <c r="A21" i="98"/>
  <c r="H20" i="98"/>
  <c r="F20" i="98"/>
  <c r="G20" i="98" s="1"/>
  <c r="A20" i="98"/>
  <c r="L19" i="98"/>
  <c r="G23" i="123" s="1"/>
  <c r="K19" i="98"/>
  <c r="D23" i="123" s="1"/>
  <c r="J19" i="98"/>
  <c r="H19" i="98"/>
  <c r="G19" i="98"/>
  <c r="F19" i="98"/>
  <c r="A19" i="98"/>
  <c r="H18" i="98"/>
  <c r="F18" i="98"/>
  <c r="G18" i="98" s="1"/>
  <c r="A18" i="98"/>
  <c r="H17" i="98"/>
  <c r="F17" i="98"/>
  <c r="G17" i="98" s="1"/>
  <c r="A17" i="98"/>
  <c r="L16" i="98"/>
  <c r="E23" i="123" s="1"/>
  <c r="H16" i="98"/>
  <c r="F16" i="98"/>
  <c r="G16" i="98" s="1"/>
  <c r="A16" i="98"/>
  <c r="H15" i="98"/>
  <c r="F15" i="98"/>
  <c r="G15" i="98" s="1"/>
  <c r="A15" i="98"/>
  <c r="H14" i="98"/>
  <c r="F14" i="98"/>
  <c r="G14" i="98" s="1"/>
  <c r="A14" i="98"/>
  <c r="H13" i="98"/>
  <c r="F13" i="98"/>
  <c r="G13" i="98" s="1"/>
  <c r="A13" i="98"/>
  <c r="L12" i="98"/>
  <c r="K12" i="98"/>
  <c r="J12" i="98"/>
  <c r="H12" i="98"/>
  <c r="G12" i="98"/>
  <c r="F12" i="98"/>
  <c r="L11" i="98"/>
  <c r="L18" i="98" s="1"/>
  <c r="K11" i="98"/>
  <c r="K18" i="98" s="1"/>
  <c r="J11" i="98"/>
  <c r="J18" i="98" s="1"/>
  <c r="H11" i="98"/>
  <c r="F11" i="98"/>
  <c r="G11" i="98" s="1"/>
  <c r="L10" i="98"/>
  <c r="K10" i="98"/>
  <c r="J10" i="98"/>
  <c r="H10" i="98"/>
  <c r="F10" i="98"/>
  <c r="G10" i="98" s="1"/>
  <c r="L9" i="98"/>
  <c r="K9" i="98"/>
  <c r="J9" i="98"/>
  <c r="H9" i="98"/>
  <c r="F9" i="98"/>
  <c r="J4" i="98" s="1"/>
  <c r="J17" i="98" s="1"/>
  <c r="L8" i="98"/>
  <c r="L21" i="98" s="1"/>
  <c r="K8" i="98"/>
  <c r="K21" i="98" s="1"/>
  <c r="J8" i="98"/>
  <c r="J21" i="98" s="1"/>
  <c r="I23" i="123" s="1"/>
  <c r="H8" i="98"/>
  <c r="G8" i="98"/>
  <c r="F8" i="98"/>
  <c r="H7" i="98"/>
  <c r="G7" i="98"/>
  <c r="F7" i="98"/>
  <c r="L6" i="98"/>
  <c r="K6" i="98"/>
  <c r="J6" i="98"/>
  <c r="H6" i="98"/>
  <c r="L7" i="98" s="1"/>
  <c r="F6" i="98"/>
  <c r="J7" i="98" s="1"/>
  <c r="J5" i="98"/>
  <c r="H5" i="98"/>
  <c r="G5" i="98" s="1"/>
  <c r="F5" i="98"/>
  <c r="H4" i="98"/>
  <c r="F4" i="98"/>
  <c r="G4" i="98" s="1"/>
  <c r="L3" i="98"/>
  <c r="K3" i="98"/>
  <c r="K16" i="98" s="1"/>
  <c r="B23" i="123" s="1"/>
  <c r="J3" i="98"/>
  <c r="J16" i="98" s="1"/>
  <c r="H3" i="98"/>
  <c r="L5" i="98" s="1"/>
  <c r="G3" i="98"/>
  <c r="F3" i="98"/>
  <c r="H42" i="97"/>
  <c r="F42" i="97"/>
  <c r="G42" i="97" s="1"/>
  <c r="A42" i="97"/>
  <c r="H41" i="97"/>
  <c r="F41" i="97"/>
  <c r="G41" i="97" s="1"/>
  <c r="A41" i="97"/>
  <c r="H40" i="97"/>
  <c r="G40" i="97"/>
  <c r="F40" i="97"/>
  <c r="A40" i="97"/>
  <c r="H39" i="97"/>
  <c r="G39" i="97" s="1"/>
  <c r="F39" i="97"/>
  <c r="A39" i="97"/>
  <c r="H38" i="97"/>
  <c r="F38" i="97"/>
  <c r="G38" i="97" s="1"/>
  <c r="A38" i="97"/>
  <c r="H37" i="97"/>
  <c r="G37" i="97"/>
  <c r="F37" i="97"/>
  <c r="A37" i="97"/>
  <c r="H36" i="97"/>
  <c r="F36" i="97"/>
  <c r="G36" i="97" s="1"/>
  <c r="A36" i="97"/>
  <c r="H35" i="97"/>
  <c r="F35" i="97"/>
  <c r="G35" i="97" s="1"/>
  <c r="A35" i="97"/>
  <c r="H34" i="97"/>
  <c r="F34" i="97"/>
  <c r="G34" i="97" s="1"/>
  <c r="A34" i="97"/>
  <c r="H33" i="97"/>
  <c r="F33" i="97"/>
  <c r="G33" i="97" s="1"/>
  <c r="A33" i="97"/>
  <c r="H32" i="97"/>
  <c r="G32" i="97"/>
  <c r="F32" i="97"/>
  <c r="A32" i="97"/>
  <c r="H31" i="97"/>
  <c r="G31" i="97" s="1"/>
  <c r="F31" i="97"/>
  <c r="A31" i="97"/>
  <c r="H30" i="97"/>
  <c r="F30" i="97"/>
  <c r="G30" i="97" s="1"/>
  <c r="A30" i="97"/>
  <c r="H29" i="97"/>
  <c r="G29" i="97"/>
  <c r="F29" i="97"/>
  <c r="A29" i="97"/>
  <c r="H28" i="97"/>
  <c r="F28" i="97"/>
  <c r="G28" i="97" s="1"/>
  <c r="H27" i="97"/>
  <c r="F27" i="97"/>
  <c r="G27" i="97" s="1"/>
  <c r="H26" i="97"/>
  <c r="F26" i="97"/>
  <c r="G26" i="97" s="1"/>
  <c r="H25" i="97"/>
  <c r="G25" i="97"/>
  <c r="F25" i="97"/>
  <c r="H24" i="97"/>
  <c r="F24" i="97"/>
  <c r="G24" i="97" s="1"/>
  <c r="H23" i="97"/>
  <c r="F23" i="97"/>
  <c r="G23" i="97" s="1"/>
  <c r="H22" i="97"/>
  <c r="F22" i="97"/>
  <c r="G22" i="97" s="1"/>
  <c r="H21" i="97"/>
  <c r="F21" i="97"/>
  <c r="G21" i="97" s="1"/>
  <c r="H20" i="97"/>
  <c r="G20" i="97"/>
  <c r="F20" i="97"/>
  <c r="H19" i="97"/>
  <c r="F19" i="97"/>
  <c r="G19" i="97" s="1"/>
  <c r="H18" i="97"/>
  <c r="F18" i="97"/>
  <c r="G18" i="97" s="1"/>
  <c r="H17" i="97"/>
  <c r="F17" i="97"/>
  <c r="G17" i="97" s="1"/>
  <c r="H16" i="97"/>
  <c r="G16" i="97" s="1"/>
  <c r="F16" i="97"/>
  <c r="H15" i="97"/>
  <c r="F15" i="97"/>
  <c r="G15" i="97" s="1"/>
  <c r="H14" i="97"/>
  <c r="G14" i="97"/>
  <c r="F14" i="97"/>
  <c r="H13" i="97"/>
  <c r="F13" i="97"/>
  <c r="G13" i="97" s="1"/>
  <c r="L12" i="97"/>
  <c r="L19" i="97" s="1"/>
  <c r="G22" i="123" s="1"/>
  <c r="K12" i="97"/>
  <c r="K19" i="97" s="1"/>
  <c r="D22" i="123" s="1"/>
  <c r="J12" i="97"/>
  <c r="J19" i="97" s="1"/>
  <c r="H12" i="97"/>
  <c r="F12" i="97"/>
  <c r="G12" i="97" s="1"/>
  <c r="L11" i="97"/>
  <c r="L18" i="97" s="1"/>
  <c r="K11" i="97"/>
  <c r="K18" i="97" s="1"/>
  <c r="J11" i="97"/>
  <c r="J18" i="97" s="1"/>
  <c r="H11" i="97"/>
  <c r="G11" i="97"/>
  <c r="F11" i="97"/>
  <c r="L10" i="97"/>
  <c r="K10" i="97"/>
  <c r="J10" i="97"/>
  <c r="H10" i="97"/>
  <c r="F10" i="97"/>
  <c r="G10" i="97" s="1"/>
  <c r="H9" i="97"/>
  <c r="F9" i="97"/>
  <c r="G9" i="97" s="1"/>
  <c r="L8" i="97"/>
  <c r="K8" i="97"/>
  <c r="J8" i="97"/>
  <c r="H8" i="97"/>
  <c r="L5" i="97" s="1"/>
  <c r="F8" i="97"/>
  <c r="J5" i="97" s="1"/>
  <c r="K7" i="97"/>
  <c r="J7" i="97"/>
  <c r="H7" i="97"/>
  <c r="L9" i="97" s="1"/>
  <c r="F7" i="97"/>
  <c r="G7" i="97" s="1"/>
  <c r="K9" i="97" s="1"/>
  <c r="L6" i="97"/>
  <c r="K6" i="97"/>
  <c r="J6" i="97"/>
  <c r="H6" i="97"/>
  <c r="G6" i="97"/>
  <c r="F6" i="97"/>
  <c r="H5" i="97"/>
  <c r="G5" i="97"/>
  <c r="F5" i="97"/>
  <c r="H4" i="97"/>
  <c r="L7" i="97" s="1"/>
  <c r="G4" i="97"/>
  <c r="F4" i="97"/>
  <c r="L3" i="97"/>
  <c r="L16" i="97" s="1"/>
  <c r="E22" i="123" s="1"/>
  <c r="K3" i="97"/>
  <c r="K16" i="97" s="1"/>
  <c r="B22" i="123" s="1"/>
  <c r="J3" i="97"/>
  <c r="J16" i="97" s="1"/>
  <c r="H3" i="97"/>
  <c r="L4" i="97" s="1"/>
  <c r="L17" i="97" s="1"/>
  <c r="F22" i="123" s="1"/>
  <c r="F3" i="97"/>
  <c r="G3" i="97" s="1"/>
  <c r="K4" i="97" s="1"/>
  <c r="H42" i="96"/>
  <c r="G42" i="96"/>
  <c r="F42" i="96"/>
  <c r="A42" i="96"/>
  <c r="H41" i="96"/>
  <c r="G41" i="96"/>
  <c r="F41" i="96"/>
  <c r="A41" i="96"/>
  <c r="H40" i="96"/>
  <c r="F40" i="96"/>
  <c r="G40" i="96" s="1"/>
  <c r="A40" i="96"/>
  <c r="H39" i="96"/>
  <c r="F39" i="96"/>
  <c r="G39" i="96" s="1"/>
  <c r="A39" i="96"/>
  <c r="H38" i="96"/>
  <c r="F38" i="96"/>
  <c r="G38" i="96" s="1"/>
  <c r="A38" i="96"/>
  <c r="H37" i="96"/>
  <c r="F37" i="96"/>
  <c r="G37" i="96" s="1"/>
  <c r="A37" i="96"/>
  <c r="H36" i="96"/>
  <c r="F36" i="96"/>
  <c r="G36" i="96" s="1"/>
  <c r="A36" i="96"/>
  <c r="H35" i="96"/>
  <c r="F35" i="96"/>
  <c r="G35" i="96" s="1"/>
  <c r="A35" i="96"/>
  <c r="H34" i="96"/>
  <c r="G34" i="96"/>
  <c r="F34" i="96"/>
  <c r="A34" i="96"/>
  <c r="H33" i="96"/>
  <c r="G33" i="96"/>
  <c r="F33" i="96"/>
  <c r="A33" i="96"/>
  <c r="H32" i="96"/>
  <c r="F32" i="96"/>
  <c r="G32" i="96" s="1"/>
  <c r="A32" i="96"/>
  <c r="H31" i="96"/>
  <c r="F31" i="96"/>
  <c r="G31" i="96" s="1"/>
  <c r="A31" i="96"/>
  <c r="H30" i="96"/>
  <c r="F30" i="96"/>
  <c r="G30" i="96" s="1"/>
  <c r="A30" i="96"/>
  <c r="H29" i="96"/>
  <c r="F29" i="96"/>
  <c r="G29" i="96" s="1"/>
  <c r="A29" i="96"/>
  <c r="H28" i="96"/>
  <c r="F28" i="96"/>
  <c r="G28" i="96" s="1"/>
  <c r="A28" i="96"/>
  <c r="H27" i="96"/>
  <c r="F27" i="96"/>
  <c r="G27" i="96" s="1"/>
  <c r="H26" i="96"/>
  <c r="F26" i="96"/>
  <c r="G26" i="96" s="1"/>
  <c r="H25" i="96"/>
  <c r="F25" i="96"/>
  <c r="G25" i="96" s="1"/>
  <c r="H24" i="96"/>
  <c r="F24" i="96"/>
  <c r="G24" i="96" s="1"/>
  <c r="H23" i="96"/>
  <c r="F23" i="96"/>
  <c r="G23" i="96" s="1"/>
  <c r="H22" i="96"/>
  <c r="F22" i="96"/>
  <c r="G22" i="96" s="1"/>
  <c r="L21" i="96"/>
  <c r="H21" i="96"/>
  <c r="G21" i="96"/>
  <c r="F21" i="96"/>
  <c r="H20" i="96"/>
  <c r="G20" i="96"/>
  <c r="F20" i="96"/>
  <c r="H19" i="96"/>
  <c r="F19" i="96"/>
  <c r="G19" i="96" s="1"/>
  <c r="H18" i="96"/>
  <c r="F18" i="96"/>
  <c r="G18" i="96" s="1"/>
  <c r="H17" i="96"/>
  <c r="F17" i="96"/>
  <c r="G17" i="96" s="1"/>
  <c r="L16" i="96"/>
  <c r="E21" i="123" s="1"/>
  <c r="K16" i="96"/>
  <c r="B21" i="123" s="1"/>
  <c r="J16" i="96"/>
  <c r="H16" i="96"/>
  <c r="G16" i="96"/>
  <c r="F16" i="96"/>
  <c r="H15" i="96"/>
  <c r="F15" i="96"/>
  <c r="G15" i="96" s="1"/>
  <c r="H14" i="96"/>
  <c r="F14" i="96"/>
  <c r="G14" i="96" s="1"/>
  <c r="H13" i="96"/>
  <c r="F13" i="96"/>
  <c r="G13" i="96" s="1"/>
  <c r="L12" i="96"/>
  <c r="L19" i="96" s="1"/>
  <c r="G21" i="123" s="1"/>
  <c r="K12" i="96"/>
  <c r="K19" i="96" s="1"/>
  <c r="D21" i="123" s="1"/>
  <c r="J12" i="96"/>
  <c r="J19" i="96" s="1"/>
  <c r="H12" i="96"/>
  <c r="L5" i="96" s="1"/>
  <c r="F12" i="96"/>
  <c r="G12" i="96" s="1"/>
  <c r="L11" i="96"/>
  <c r="L18" i="96" s="1"/>
  <c r="K11" i="96"/>
  <c r="K18" i="96" s="1"/>
  <c r="J11" i="96"/>
  <c r="J18" i="96" s="1"/>
  <c r="H11" i="96"/>
  <c r="F11" i="96"/>
  <c r="G11" i="96" s="1"/>
  <c r="L10" i="96"/>
  <c r="K10" i="96"/>
  <c r="J10" i="96"/>
  <c r="H10" i="96"/>
  <c r="F10" i="96"/>
  <c r="G10" i="96" s="1"/>
  <c r="L9" i="96"/>
  <c r="J9" i="96"/>
  <c r="H9" i="96"/>
  <c r="L7" i="96" s="1"/>
  <c r="F9" i="96"/>
  <c r="G9" i="96" s="1"/>
  <c r="K7" i="96" s="1"/>
  <c r="L8" i="96"/>
  <c r="K8" i="96"/>
  <c r="J8" i="96"/>
  <c r="J21" i="96" s="1"/>
  <c r="I21" i="123" s="1"/>
  <c r="H8" i="96"/>
  <c r="F8" i="96"/>
  <c r="G8" i="96" s="1"/>
  <c r="J7" i="96"/>
  <c r="H7" i="96"/>
  <c r="F7" i="96"/>
  <c r="G7" i="96" s="1"/>
  <c r="L6" i="96"/>
  <c r="K6" i="96"/>
  <c r="J6" i="96"/>
  <c r="H6" i="96"/>
  <c r="G6" i="96"/>
  <c r="F6" i="96"/>
  <c r="H5" i="96"/>
  <c r="F5" i="96"/>
  <c r="G5" i="96" s="1"/>
  <c r="H4" i="96"/>
  <c r="L4" i="96" s="1"/>
  <c r="F4" i="96"/>
  <c r="G4" i="96" s="1"/>
  <c r="L3" i="96"/>
  <c r="K3" i="96"/>
  <c r="J3" i="96"/>
  <c r="H3" i="96"/>
  <c r="G3" i="96" s="1"/>
  <c r="K9" i="96" s="1"/>
  <c r="F3" i="96"/>
  <c r="H42" i="95"/>
  <c r="G42" i="95"/>
  <c r="F42" i="95"/>
  <c r="A42" i="95"/>
  <c r="H41" i="95"/>
  <c r="G41" i="95"/>
  <c r="F41" i="95"/>
  <c r="A41" i="95"/>
  <c r="H40" i="95"/>
  <c r="G40" i="95"/>
  <c r="F40" i="95"/>
  <c r="A40" i="95"/>
  <c r="H39" i="95"/>
  <c r="F39" i="95"/>
  <c r="G39" i="95" s="1"/>
  <c r="A39" i="95"/>
  <c r="H38" i="95"/>
  <c r="F38" i="95"/>
  <c r="G38" i="95" s="1"/>
  <c r="A38" i="95"/>
  <c r="H37" i="95"/>
  <c r="F37" i="95"/>
  <c r="G37" i="95" s="1"/>
  <c r="A37" i="95"/>
  <c r="H36" i="95"/>
  <c r="F36" i="95"/>
  <c r="G36" i="95" s="1"/>
  <c r="A36" i="95"/>
  <c r="H35" i="95"/>
  <c r="G35" i="95"/>
  <c r="F35" i="95"/>
  <c r="A35" i="95"/>
  <c r="H34" i="95"/>
  <c r="G34" i="95"/>
  <c r="F34" i="95"/>
  <c r="A34" i="95"/>
  <c r="H33" i="95"/>
  <c r="G33" i="95"/>
  <c r="F33" i="95"/>
  <c r="A33" i="95"/>
  <c r="H32" i="95"/>
  <c r="G32" i="95"/>
  <c r="F32" i="95"/>
  <c r="A32" i="95"/>
  <c r="H31" i="95"/>
  <c r="F31" i="95"/>
  <c r="G31" i="95" s="1"/>
  <c r="A31" i="95"/>
  <c r="H30" i="95"/>
  <c r="F30" i="95"/>
  <c r="G30" i="95" s="1"/>
  <c r="A30" i="95"/>
  <c r="H29" i="95"/>
  <c r="F29" i="95"/>
  <c r="G29" i="95" s="1"/>
  <c r="A29" i="95"/>
  <c r="H28" i="95"/>
  <c r="F28" i="95"/>
  <c r="G28" i="95" s="1"/>
  <c r="A28" i="95"/>
  <c r="H27" i="95"/>
  <c r="G27" i="95"/>
  <c r="F27" i="95"/>
  <c r="H26" i="95"/>
  <c r="F26" i="95"/>
  <c r="G26" i="95" s="1"/>
  <c r="H25" i="95"/>
  <c r="G25" i="95" s="1"/>
  <c r="F25" i="95"/>
  <c r="H24" i="95"/>
  <c r="F24" i="95"/>
  <c r="G24" i="95" s="1"/>
  <c r="H23" i="95"/>
  <c r="G23" i="95"/>
  <c r="F23" i="95"/>
  <c r="H22" i="95"/>
  <c r="F22" i="95"/>
  <c r="G22" i="95" s="1"/>
  <c r="L21" i="95"/>
  <c r="K21" i="95"/>
  <c r="J21" i="95"/>
  <c r="I20" i="123" s="1"/>
  <c r="H21" i="95"/>
  <c r="F21" i="95"/>
  <c r="G21" i="95" s="1"/>
  <c r="H20" i="95"/>
  <c r="F20" i="95"/>
  <c r="G20" i="95" s="1"/>
  <c r="H19" i="95"/>
  <c r="F19" i="95"/>
  <c r="G19" i="95" s="1"/>
  <c r="H18" i="95"/>
  <c r="G18" i="95" s="1"/>
  <c r="F18" i="95"/>
  <c r="H17" i="95"/>
  <c r="F17" i="95"/>
  <c r="G17" i="95" s="1"/>
  <c r="J16" i="95"/>
  <c r="H16" i="95"/>
  <c r="F16" i="95"/>
  <c r="G16" i="95" s="1"/>
  <c r="H15" i="95"/>
  <c r="F15" i="95"/>
  <c r="G15" i="95" s="1"/>
  <c r="H14" i="95"/>
  <c r="L5" i="95" s="1"/>
  <c r="F14" i="95"/>
  <c r="J5" i="95" s="1"/>
  <c r="H13" i="95"/>
  <c r="L4" i="95" s="1"/>
  <c r="L17" i="95" s="1"/>
  <c r="F20" i="123" s="1"/>
  <c r="F13" i="95"/>
  <c r="G13" i="95" s="1"/>
  <c r="J12" i="95"/>
  <c r="J19" i="95" s="1"/>
  <c r="H12" i="95"/>
  <c r="G12" i="95"/>
  <c r="F12" i="95"/>
  <c r="L11" i="95"/>
  <c r="L18" i="95" s="1"/>
  <c r="K11" i="95"/>
  <c r="K18" i="95" s="1"/>
  <c r="J11" i="95"/>
  <c r="J18" i="95" s="1"/>
  <c r="H11" i="95"/>
  <c r="G11" i="95" s="1"/>
  <c r="F11" i="95"/>
  <c r="L10" i="95"/>
  <c r="K10" i="95"/>
  <c r="J10" i="95"/>
  <c r="H10" i="95"/>
  <c r="G10" i="95"/>
  <c r="F10" i="95"/>
  <c r="L9" i="95"/>
  <c r="K9" i="95"/>
  <c r="J9" i="95"/>
  <c r="H9" i="95"/>
  <c r="F9" i="95"/>
  <c r="G9" i="95" s="1"/>
  <c r="L8" i="95"/>
  <c r="K8" i="95"/>
  <c r="J8" i="95"/>
  <c r="H8" i="95"/>
  <c r="F8" i="95"/>
  <c r="G8" i="95" s="1"/>
  <c r="L7" i="95"/>
  <c r="K7" i="95"/>
  <c r="J7" i="95"/>
  <c r="H7" i="95"/>
  <c r="L12" i="95" s="1"/>
  <c r="L19" i="95" s="1"/>
  <c r="G20" i="123" s="1"/>
  <c r="G7" i="95"/>
  <c r="F7" i="95"/>
  <c r="L6" i="95"/>
  <c r="K6" i="95"/>
  <c r="J6" i="95"/>
  <c r="H6" i="95"/>
  <c r="G6" i="95"/>
  <c r="F6" i="95"/>
  <c r="H5" i="95"/>
  <c r="F5" i="95"/>
  <c r="G5" i="95" s="1"/>
  <c r="H4" i="95"/>
  <c r="F4" i="95"/>
  <c r="G4" i="95" s="1"/>
  <c r="L3" i="95"/>
  <c r="L16" i="95" s="1"/>
  <c r="E20" i="123" s="1"/>
  <c r="K3" i="95"/>
  <c r="K16" i="95" s="1"/>
  <c r="B20" i="123" s="1"/>
  <c r="J3" i="95"/>
  <c r="H3" i="95"/>
  <c r="F3" i="95"/>
  <c r="G3" i="95" s="1"/>
  <c r="H42" i="94"/>
  <c r="F42" i="94"/>
  <c r="G42" i="94" s="1"/>
  <c r="A42" i="94"/>
  <c r="H41" i="94"/>
  <c r="F41" i="94"/>
  <c r="G41" i="94" s="1"/>
  <c r="A41" i="94"/>
  <c r="H40" i="94"/>
  <c r="F40" i="94"/>
  <c r="G40" i="94" s="1"/>
  <c r="A40" i="94"/>
  <c r="H39" i="94"/>
  <c r="F39" i="94"/>
  <c r="G39" i="94" s="1"/>
  <c r="A39" i="94"/>
  <c r="H38" i="94"/>
  <c r="F38" i="94"/>
  <c r="G38" i="94" s="1"/>
  <c r="A38" i="94"/>
  <c r="H37" i="94"/>
  <c r="F37" i="94"/>
  <c r="G37" i="94" s="1"/>
  <c r="A37" i="94"/>
  <c r="H36" i="94"/>
  <c r="F36" i="94"/>
  <c r="G36" i="94" s="1"/>
  <c r="A36" i="94"/>
  <c r="H35" i="94"/>
  <c r="G35" i="94"/>
  <c r="F35" i="94"/>
  <c r="A35" i="94"/>
  <c r="H34" i="94"/>
  <c r="F34" i="94"/>
  <c r="G34" i="94" s="1"/>
  <c r="A34" i="94"/>
  <c r="H33" i="94"/>
  <c r="F33" i="94"/>
  <c r="G33" i="94" s="1"/>
  <c r="A33" i="94"/>
  <c r="H32" i="94"/>
  <c r="F32" i="94"/>
  <c r="G32" i="94" s="1"/>
  <c r="A32" i="94"/>
  <c r="H31" i="94"/>
  <c r="F31" i="94"/>
  <c r="G31" i="94" s="1"/>
  <c r="A31" i="94"/>
  <c r="H30" i="94"/>
  <c r="F30" i="94"/>
  <c r="G30" i="94" s="1"/>
  <c r="A30" i="94"/>
  <c r="H29" i="94"/>
  <c r="F29" i="94"/>
  <c r="G29" i="94" s="1"/>
  <c r="A29" i="94"/>
  <c r="H28" i="94"/>
  <c r="F28" i="94"/>
  <c r="G28" i="94" s="1"/>
  <c r="A28" i="94"/>
  <c r="H27" i="94"/>
  <c r="G27" i="94"/>
  <c r="F27" i="94"/>
  <c r="H26" i="94"/>
  <c r="F26" i="94"/>
  <c r="G26" i="94" s="1"/>
  <c r="H25" i="94"/>
  <c r="F25" i="94"/>
  <c r="G25" i="94" s="1"/>
  <c r="H24" i="94"/>
  <c r="F24" i="94"/>
  <c r="G24" i="94" s="1"/>
  <c r="H23" i="94"/>
  <c r="F23" i="94"/>
  <c r="G23" i="94" s="1"/>
  <c r="H22" i="94"/>
  <c r="F22" i="94"/>
  <c r="G22" i="94" s="1"/>
  <c r="L21" i="94"/>
  <c r="H21" i="94"/>
  <c r="F21" i="94"/>
  <c r="G21" i="94" s="1"/>
  <c r="H20" i="94"/>
  <c r="F20" i="94"/>
  <c r="G20" i="94" s="1"/>
  <c r="H19" i="94"/>
  <c r="F19" i="94"/>
  <c r="J4" i="94" s="1"/>
  <c r="H18" i="94"/>
  <c r="F18" i="94"/>
  <c r="G18" i="94" s="1"/>
  <c r="H17" i="94"/>
  <c r="G17" i="94"/>
  <c r="F17" i="94"/>
  <c r="L16" i="94"/>
  <c r="J16" i="94"/>
  <c r="H16" i="94"/>
  <c r="G16" i="94"/>
  <c r="F16" i="94"/>
  <c r="H15" i="94"/>
  <c r="F15" i="94"/>
  <c r="G15" i="94" s="1"/>
  <c r="H14" i="94"/>
  <c r="F14" i="94"/>
  <c r="G14" i="94" s="1"/>
  <c r="H13" i="94"/>
  <c r="F13" i="94"/>
  <c r="G13" i="94" s="1"/>
  <c r="L12" i="94"/>
  <c r="L19" i="94" s="1"/>
  <c r="G19" i="123" s="1"/>
  <c r="K12" i="94"/>
  <c r="K19" i="94" s="1"/>
  <c r="D19" i="123" s="1"/>
  <c r="J12" i="94"/>
  <c r="J19" i="94" s="1"/>
  <c r="H12" i="94"/>
  <c r="G12" i="94"/>
  <c r="F12" i="94"/>
  <c r="L11" i="94"/>
  <c r="L18" i="94" s="1"/>
  <c r="K11" i="94"/>
  <c r="K18" i="94" s="1"/>
  <c r="J11" i="94"/>
  <c r="J18" i="94" s="1"/>
  <c r="H11" i="94"/>
  <c r="F11" i="94"/>
  <c r="G11" i="94" s="1"/>
  <c r="L10" i="94"/>
  <c r="K10" i="94"/>
  <c r="J10" i="94"/>
  <c r="H10" i="94"/>
  <c r="L7" i="94" s="1"/>
  <c r="F10" i="94"/>
  <c r="G10" i="94" s="1"/>
  <c r="L9" i="94"/>
  <c r="K9" i="94"/>
  <c r="J9" i="94"/>
  <c r="H9" i="94"/>
  <c r="F9" i="94"/>
  <c r="G9" i="94" s="1"/>
  <c r="K7" i="94" s="1"/>
  <c r="L8" i="94"/>
  <c r="K8" i="94"/>
  <c r="K21" i="94" s="1"/>
  <c r="J8" i="94"/>
  <c r="J21" i="94" s="1"/>
  <c r="I19" i="123" s="1"/>
  <c r="H8" i="94"/>
  <c r="F8" i="94"/>
  <c r="G8" i="94" s="1"/>
  <c r="J7" i="94"/>
  <c r="H7" i="94"/>
  <c r="L4" i="94" s="1"/>
  <c r="G7" i="94"/>
  <c r="F7" i="94"/>
  <c r="L6" i="94"/>
  <c r="K6" i="94"/>
  <c r="J6" i="94"/>
  <c r="H6" i="94"/>
  <c r="F6" i="94"/>
  <c r="G6" i="94" s="1"/>
  <c r="H5" i="94"/>
  <c r="L5" i="94" s="1"/>
  <c r="F5" i="94"/>
  <c r="G5" i="94" s="1"/>
  <c r="H4" i="94"/>
  <c r="F4" i="94"/>
  <c r="G4" i="94" s="1"/>
  <c r="L3" i="94"/>
  <c r="K3" i="94"/>
  <c r="K16" i="94" s="1"/>
  <c r="B19" i="123" s="1"/>
  <c r="J3" i="94"/>
  <c r="H3" i="94"/>
  <c r="F3" i="94"/>
  <c r="G3" i="94" s="1"/>
  <c r="H42" i="93"/>
  <c r="F42" i="93"/>
  <c r="G42" i="93" s="1"/>
  <c r="A42" i="93"/>
  <c r="H41" i="93"/>
  <c r="G41" i="93"/>
  <c r="F41" i="93"/>
  <c r="A41" i="93"/>
  <c r="H40" i="93"/>
  <c r="F40" i="93"/>
  <c r="G40" i="93" s="1"/>
  <c r="A40" i="93"/>
  <c r="H39" i="93"/>
  <c r="F39" i="93"/>
  <c r="G39" i="93" s="1"/>
  <c r="A39" i="93"/>
  <c r="H38" i="93"/>
  <c r="F38" i="93"/>
  <c r="G38" i="93" s="1"/>
  <c r="A38" i="93"/>
  <c r="H37" i="93"/>
  <c r="G37" i="93"/>
  <c r="F37" i="93"/>
  <c r="A37" i="93"/>
  <c r="H36" i="93"/>
  <c r="F36" i="93"/>
  <c r="G36" i="93" s="1"/>
  <c r="A36" i="93"/>
  <c r="H35" i="93"/>
  <c r="F35" i="93"/>
  <c r="G35" i="93" s="1"/>
  <c r="A35" i="93"/>
  <c r="H34" i="93"/>
  <c r="F34" i="93"/>
  <c r="G34" i="93" s="1"/>
  <c r="A34" i="93"/>
  <c r="H33" i="93"/>
  <c r="G33" i="93"/>
  <c r="F33" i="93"/>
  <c r="A33" i="93"/>
  <c r="H32" i="93"/>
  <c r="F32" i="93"/>
  <c r="G32" i="93" s="1"/>
  <c r="A32" i="93"/>
  <c r="H31" i="93"/>
  <c r="F31" i="93"/>
  <c r="G31" i="93" s="1"/>
  <c r="A31" i="93"/>
  <c r="H30" i="93"/>
  <c r="F30" i="93"/>
  <c r="G30" i="93" s="1"/>
  <c r="A30" i="93"/>
  <c r="H29" i="93"/>
  <c r="G29" i="93"/>
  <c r="F29" i="93"/>
  <c r="A29" i="93"/>
  <c r="H28" i="93"/>
  <c r="F28" i="93"/>
  <c r="G28" i="93" s="1"/>
  <c r="H27" i="93"/>
  <c r="G27" i="93" s="1"/>
  <c r="F27" i="93"/>
  <c r="H26" i="93"/>
  <c r="G26" i="93"/>
  <c r="F26" i="93"/>
  <c r="H25" i="93"/>
  <c r="F25" i="93"/>
  <c r="G25" i="93" s="1"/>
  <c r="H24" i="93"/>
  <c r="G24" i="93"/>
  <c r="F24" i="93"/>
  <c r="H23" i="93"/>
  <c r="G23" i="93"/>
  <c r="F23" i="93"/>
  <c r="H22" i="93"/>
  <c r="F22" i="93"/>
  <c r="G22" i="93" s="1"/>
  <c r="H21" i="93"/>
  <c r="F21" i="93"/>
  <c r="G21" i="93" s="1"/>
  <c r="H20" i="93"/>
  <c r="G20" i="93"/>
  <c r="F20" i="93"/>
  <c r="H19" i="93"/>
  <c r="G19" i="93"/>
  <c r="F19" i="93"/>
  <c r="J18" i="93"/>
  <c r="H18" i="93"/>
  <c r="G18" i="93"/>
  <c r="F18" i="93"/>
  <c r="H17" i="93"/>
  <c r="F17" i="93"/>
  <c r="G17" i="93" s="1"/>
  <c r="H16" i="93"/>
  <c r="F16" i="93"/>
  <c r="G16" i="93" s="1"/>
  <c r="H15" i="93"/>
  <c r="F15" i="93"/>
  <c r="G15" i="93" s="1"/>
  <c r="H14" i="93"/>
  <c r="F14" i="93"/>
  <c r="G14" i="93" s="1"/>
  <c r="H13" i="93"/>
  <c r="F13" i="93"/>
  <c r="G13" i="93" s="1"/>
  <c r="L12" i="93"/>
  <c r="L19" i="93" s="1"/>
  <c r="G18" i="123" s="1"/>
  <c r="K12" i="93"/>
  <c r="K19" i="93" s="1"/>
  <c r="D18" i="123" s="1"/>
  <c r="J12" i="93"/>
  <c r="J19" i="93" s="1"/>
  <c r="H12" i="93"/>
  <c r="G12" i="93" s="1"/>
  <c r="F12" i="93"/>
  <c r="L11" i="93"/>
  <c r="L18" i="93" s="1"/>
  <c r="K11" i="93"/>
  <c r="K18" i="93" s="1"/>
  <c r="J11" i="93"/>
  <c r="H11" i="93"/>
  <c r="F11" i="93"/>
  <c r="G11" i="93" s="1"/>
  <c r="L10" i="93"/>
  <c r="K10" i="93"/>
  <c r="J10" i="93"/>
  <c r="H10" i="93"/>
  <c r="G10" i="93"/>
  <c r="F10" i="93"/>
  <c r="L9" i="93"/>
  <c r="K9" i="93"/>
  <c r="J9" i="93"/>
  <c r="H9" i="93"/>
  <c r="L5" i="93" s="1"/>
  <c r="F9" i="93"/>
  <c r="J5" i="93" s="1"/>
  <c r="L8" i="93"/>
  <c r="L21" i="93" s="1"/>
  <c r="K8" i="93"/>
  <c r="K21" i="93" s="1"/>
  <c r="J8" i="93"/>
  <c r="J21" i="93" s="1"/>
  <c r="I18" i="123" s="1"/>
  <c r="H8" i="93"/>
  <c r="L4" i="93" s="1"/>
  <c r="F8" i="93"/>
  <c r="G8" i="93" s="1"/>
  <c r="H7" i="93"/>
  <c r="G7" i="93" s="1"/>
  <c r="F7" i="93"/>
  <c r="L6" i="93"/>
  <c r="K6" i="93"/>
  <c r="J6" i="93"/>
  <c r="H6" i="93"/>
  <c r="G6" i="93" s="1"/>
  <c r="F6" i="93"/>
  <c r="H5" i="93"/>
  <c r="F5" i="93"/>
  <c r="G5" i="93" s="1"/>
  <c r="H4" i="93"/>
  <c r="F4" i="93"/>
  <c r="J4" i="93" s="1"/>
  <c r="L3" i="93"/>
  <c r="L16" i="93" s="1"/>
  <c r="E18" i="123" s="1"/>
  <c r="K3" i="93"/>
  <c r="K16" i="93" s="1"/>
  <c r="B18" i="123" s="1"/>
  <c r="J3" i="93"/>
  <c r="J16" i="93" s="1"/>
  <c r="H3" i="93"/>
  <c r="L7" i="93" s="1"/>
  <c r="F3" i="93"/>
  <c r="J7" i="93" s="1"/>
  <c r="H42" i="92"/>
  <c r="F42" i="92"/>
  <c r="G42" i="92" s="1"/>
  <c r="A42" i="92"/>
  <c r="H41" i="92"/>
  <c r="G41" i="92"/>
  <c r="F41" i="92"/>
  <c r="A41" i="92"/>
  <c r="H40" i="92"/>
  <c r="G40" i="92"/>
  <c r="F40" i="92"/>
  <c r="A40" i="92"/>
  <c r="H39" i="92"/>
  <c r="F39" i="92"/>
  <c r="G39" i="92" s="1"/>
  <c r="A39" i="92"/>
  <c r="H38" i="92"/>
  <c r="F38" i="92"/>
  <c r="G38" i="92" s="1"/>
  <c r="A38" i="92"/>
  <c r="H37" i="92"/>
  <c r="F37" i="92"/>
  <c r="G37" i="92" s="1"/>
  <c r="A37" i="92"/>
  <c r="H36" i="92"/>
  <c r="F36" i="92"/>
  <c r="G36" i="92" s="1"/>
  <c r="A36" i="92"/>
  <c r="H35" i="92"/>
  <c r="F35" i="92"/>
  <c r="G35" i="92" s="1"/>
  <c r="A35" i="92"/>
  <c r="H34" i="92"/>
  <c r="F34" i="92"/>
  <c r="G34" i="92" s="1"/>
  <c r="A34" i="92"/>
  <c r="H33" i="92"/>
  <c r="G33" i="92"/>
  <c r="F33" i="92"/>
  <c r="A33" i="92"/>
  <c r="H32" i="92"/>
  <c r="G32" i="92"/>
  <c r="F32" i="92"/>
  <c r="A32" i="92"/>
  <c r="H31" i="92"/>
  <c r="F31" i="92"/>
  <c r="G31" i="92" s="1"/>
  <c r="A31" i="92"/>
  <c r="H30" i="92"/>
  <c r="F30" i="92"/>
  <c r="G30" i="92" s="1"/>
  <c r="A30" i="92"/>
  <c r="H29" i="92"/>
  <c r="F29" i="92"/>
  <c r="G29" i="92" s="1"/>
  <c r="A29" i="92"/>
  <c r="H28" i="92"/>
  <c r="F28" i="92"/>
  <c r="G28" i="92" s="1"/>
  <c r="A28" i="92"/>
  <c r="H27" i="92"/>
  <c r="F27" i="92"/>
  <c r="G27" i="92" s="1"/>
  <c r="A27" i="92"/>
  <c r="H26" i="92"/>
  <c r="F26" i="92"/>
  <c r="G26" i="92" s="1"/>
  <c r="H25" i="92"/>
  <c r="F25" i="92"/>
  <c r="G25" i="92" s="1"/>
  <c r="H24" i="92"/>
  <c r="G24" i="92"/>
  <c r="F24" i="92"/>
  <c r="H23" i="92"/>
  <c r="F23" i="92"/>
  <c r="G23" i="92" s="1"/>
  <c r="H22" i="92"/>
  <c r="F22" i="92"/>
  <c r="G22" i="92" s="1"/>
  <c r="H21" i="92"/>
  <c r="F21" i="92"/>
  <c r="G21" i="92" s="1"/>
  <c r="H20" i="92"/>
  <c r="F20" i="92"/>
  <c r="G20" i="92" s="1"/>
  <c r="K19" i="92"/>
  <c r="D17" i="123" s="1"/>
  <c r="H19" i="92"/>
  <c r="F19" i="92"/>
  <c r="G19" i="92" s="1"/>
  <c r="H18" i="92"/>
  <c r="L6" i="92" s="1"/>
  <c r="G18" i="92"/>
  <c r="K6" i="92" s="1"/>
  <c r="F18" i="92"/>
  <c r="H17" i="92"/>
  <c r="G17" i="92"/>
  <c r="F17" i="92"/>
  <c r="H16" i="92"/>
  <c r="F16" i="92"/>
  <c r="G16" i="92" s="1"/>
  <c r="H15" i="92"/>
  <c r="F15" i="92"/>
  <c r="G15" i="92" s="1"/>
  <c r="H14" i="92"/>
  <c r="F14" i="92"/>
  <c r="G14" i="92" s="1"/>
  <c r="H13" i="92"/>
  <c r="L9" i="92" s="1"/>
  <c r="G13" i="92"/>
  <c r="K9" i="92" s="1"/>
  <c r="F13" i="92"/>
  <c r="L12" i="92"/>
  <c r="L19" i="92" s="1"/>
  <c r="G17" i="123" s="1"/>
  <c r="K12" i="92"/>
  <c r="J12" i="92"/>
  <c r="J19" i="92" s="1"/>
  <c r="H12" i="92"/>
  <c r="F12" i="92"/>
  <c r="G12" i="92" s="1"/>
  <c r="L11" i="92"/>
  <c r="L18" i="92" s="1"/>
  <c r="K11" i="92"/>
  <c r="K18" i="92" s="1"/>
  <c r="J11" i="92"/>
  <c r="J18" i="92" s="1"/>
  <c r="H11" i="92"/>
  <c r="F11" i="92"/>
  <c r="G11" i="92" s="1"/>
  <c r="L10" i="92"/>
  <c r="K10" i="92"/>
  <c r="J10" i="92"/>
  <c r="H10" i="92"/>
  <c r="F10" i="92"/>
  <c r="G10" i="92" s="1"/>
  <c r="H9" i="92"/>
  <c r="F9" i="92"/>
  <c r="G9" i="92" s="1"/>
  <c r="L8" i="92"/>
  <c r="K8" i="92"/>
  <c r="J8" i="92"/>
  <c r="H8" i="92"/>
  <c r="G8" i="92"/>
  <c r="F8" i="92"/>
  <c r="L7" i="92"/>
  <c r="K7" i="92"/>
  <c r="J7" i="92"/>
  <c r="H7" i="92"/>
  <c r="L4" i="92" s="1"/>
  <c r="F7" i="92"/>
  <c r="J4" i="92" s="1"/>
  <c r="J17" i="92" s="1"/>
  <c r="J6" i="92"/>
  <c r="H6" i="92"/>
  <c r="F6" i="92"/>
  <c r="G6" i="92" s="1"/>
  <c r="H5" i="92"/>
  <c r="F5" i="92"/>
  <c r="G5" i="92" s="1"/>
  <c r="H4" i="92"/>
  <c r="L5" i="92" s="1"/>
  <c r="F4" i="92"/>
  <c r="J5" i="92" s="1"/>
  <c r="L3" i="92"/>
  <c r="L16" i="92" s="1"/>
  <c r="E17" i="123" s="1"/>
  <c r="K3" i="92"/>
  <c r="K16" i="92" s="1"/>
  <c r="B17" i="123" s="1"/>
  <c r="J3" i="92"/>
  <c r="J16" i="92" s="1"/>
  <c r="H3" i="92"/>
  <c r="F3" i="92"/>
  <c r="G3" i="92" s="1"/>
  <c r="H42" i="91"/>
  <c r="F42" i="91"/>
  <c r="G42" i="91" s="1"/>
  <c r="A42" i="91"/>
  <c r="H41" i="91"/>
  <c r="F41" i="91"/>
  <c r="G41" i="91" s="1"/>
  <c r="A41" i="91"/>
  <c r="H40" i="91"/>
  <c r="F40" i="91"/>
  <c r="G40" i="91" s="1"/>
  <c r="A40" i="91"/>
  <c r="H39" i="91"/>
  <c r="F39" i="91"/>
  <c r="G39" i="91" s="1"/>
  <c r="A39" i="91"/>
  <c r="H38" i="91"/>
  <c r="G38" i="91"/>
  <c r="F38" i="91"/>
  <c r="A38" i="91"/>
  <c r="H37" i="91"/>
  <c r="G37" i="91"/>
  <c r="F37" i="91"/>
  <c r="A37" i="91"/>
  <c r="H36" i="91"/>
  <c r="F36" i="91"/>
  <c r="G36" i="91" s="1"/>
  <c r="A36" i="91"/>
  <c r="H35" i="91"/>
  <c r="F35" i="91"/>
  <c r="G35" i="91" s="1"/>
  <c r="A35" i="91"/>
  <c r="H34" i="91"/>
  <c r="F34" i="91"/>
  <c r="G34" i="91" s="1"/>
  <c r="A34" i="91"/>
  <c r="H33" i="91"/>
  <c r="F33" i="91"/>
  <c r="G33" i="91" s="1"/>
  <c r="A33" i="91"/>
  <c r="H32" i="91"/>
  <c r="F32" i="91"/>
  <c r="G32" i="91" s="1"/>
  <c r="A32" i="91"/>
  <c r="H31" i="91"/>
  <c r="F31" i="91"/>
  <c r="G31" i="91" s="1"/>
  <c r="A31" i="91"/>
  <c r="H30" i="91"/>
  <c r="G30" i="91"/>
  <c r="F30" i="91"/>
  <c r="A30" i="91"/>
  <c r="H29" i="91"/>
  <c r="G29" i="91"/>
  <c r="F29" i="91"/>
  <c r="A29" i="91"/>
  <c r="H28" i="91"/>
  <c r="F28" i="91"/>
  <c r="G28" i="91" s="1"/>
  <c r="A28" i="91"/>
  <c r="H27" i="91"/>
  <c r="F27" i="91"/>
  <c r="G27" i="91" s="1"/>
  <c r="A27" i="91"/>
  <c r="H26" i="91"/>
  <c r="F26" i="91"/>
  <c r="G26" i="91" s="1"/>
  <c r="A26" i="91"/>
  <c r="H25" i="91"/>
  <c r="F25" i="91"/>
  <c r="G25" i="91" s="1"/>
  <c r="A25" i="91"/>
  <c r="H24" i="91"/>
  <c r="F24" i="91"/>
  <c r="G24" i="91" s="1"/>
  <c r="H23" i="91"/>
  <c r="F23" i="91"/>
  <c r="G23" i="91" s="1"/>
  <c r="H22" i="91"/>
  <c r="L4" i="91" s="1"/>
  <c r="L17" i="91" s="1"/>
  <c r="F16" i="123" s="1"/>
  <c r="G22" i="91"/>
  <c r="F22" i="91"/>
  <c r="H21" i="91"/>
  <c r="G21" i="91"/>
  <c r="F21" i="91"/>
  <c r="H20" i="91"/>
  <c r="F20" i="91"/>
  <c r="G20" i="91" s="1"/>
  <c r="H19" i="91"/>
  <c r="F19" i="91"/>
  <c r="G19" i="91" s="1"/>
  <c r="K18" i="91"/>
  <c r="H18" i="91"/>
  <c r="F18" i="91"/>
  <c r="G18" i="91" s="1"/>
  <c r="H17" i="91"/>
  <c r="F17" i="91"/>
  <c r="G17" i="91" s="1"/>
  <c r="L16" i="91"/>
  <c r="E16" i="123" s="1"/>
  <c r="K16" i="91"/>
  <c r="B16" i="123" s="1"/>
  <c r="J16" i="91"/>
  <c r="H16" i="91"/>
  <c r="G16" i="91"/>
  <c r="F16" i="91"/>
  <c r="H15" i="91"/>
  <c r="F15" i="91"/>
  <c r="G15" i="91" s="1"/>
  <c r="H14" i="91"/>
  <c r="G14" i="91"/>
  <c r="F14" i="91"/>
  <c r="H13" i="91"/>
  <c r="F13" i="91"/>
  <c r="G13" i="91" s="1"/>
  <c r="L12" i="91"/>
  <c r="L19" i="91" s="1"/>
  <c r="G16" i="123" s="1"/>
  <c r="K12" i="91"/>
  <c r="K19" i="91" s="1"/>
  <c r="D16" i="123" s="1"/>
  <c r="J12" i="91"/>
  <c r="J19" i="91" s="1"/>
  <c r="H12" i="91"/>
  <c r="G12" i="91"/>
  <c r="F12" i="91"/>
  <c r="L11" i="91"/>
  <c r="L18" i="91" s="1"/>
  <c r="K11" i="91"/>
  <c r="J11" i="91"/>
  <c r="J18" i="91" s="1"/>
  <c r="H11" i="91"/>
  <c r="F11" i="91"/>
  <c r="G11" i="91" s="1"/>
  <c r="L10" i="91"/>
  <c r="K10" i="91"/>
  <c r="J10" i="91"/>
  <c r="H10" i="91"/>
  <c r="F10" i="91"/>
  <c r="G10" i="91" s="1"/>
  <c r="L9" i="91"/>
  <c r="K9" i="91"/>
  <c r="J9" i="91"/>
  <c r="H9" i="91"/>
  <c r="G9" i="91" s="1"/>
  <c r="K4" i="91" s="1"/>
  <c r="F9" i="91"/>
  <c r="L8" i="91"/>
  <c r="L21" i="91" s="1"/>
  <c r="K8" i="91"/>
  <c r="K21" i="91" s="1"/>
  <c r="J8" i="91"/>
  <c r="J21" i="91" s="1"/>
  <c r="I16" i="123" s="1"/>
  <c r="H8" i="91"/>
  <c r="F8" i="91"/>
  <c r="G8" i="91" s="1"/>
  <c r="L7" i="91"/>
  <c r="K7" i="91"/>
  <c r="J7" i="91"/>
  <c r="H7" i="91"/>
  <c r="L5" i="91" s="1"/>
  <c r="F7" i="91"/>
  <c r="G7" i="91" s="1"/>
  <c r="L6" i="91"/>
  <c r="J6" i="91"/>
  <c r="H6" i="91"/>
  <c r="G6" i="91"/>
  <c r="F6" i="91"/>
  <c r="H5" i="91"/>
  <c r="F5" i="91"/>
  <c r="G5" i="91" s="1"/>
  <c r="J4" i="91"/>
  <c r="H4" i="91"/>
  <c r="G4" i="91" s="1"/>
  <c r="F4" i="91"/>
  <c r="L3" i="91"/>
  <c r="K3" i="91"/>
  <c r="J3" i="91"/>
  <c r="H3" i="91"/>
  <c r="G3" i="91" s="1"/>
  <c r="K6" i="91" s="1"/>
  <c r="F3" i="91"/>
  <c r="H42" i="90"/>
  <c r="G42" i="90"/>
  <c r="F42" i="90"/>
  <c r="A42" i="90"/>
  <c r="H41" i="90"/>
  <c r="F41" i="90"/>
  <c r="G41" i="90" s="1"/>
  <c r="A41" i="90"/>
  <c r="H40" i="90"/>
  <c r="F40" i="90"/>
  <c r="G40" i="90" s="1"/>
  <c r="A40" i="90"/>
  <c r="H39" i="90"/>
  <c r="F39" i="90"/>
  <c r="G39" i="90" s="1"/>
  <c r="A39" i="90"/>
  <c r="H38" i="90"/>
  <c r="F38" i="90"/>
  <c r="G38" i="90" s="1"/>
  <c r="A38" i="90"/>
  <c r="H37" i="90"/>
  <c r="F37" i="90"/>
  <c r="G37" i="90" s="1"/>
  <c r="A37" i="90"/>
  <c r="H36" i="90"/>
  <c r="G36" i="90"/>
  <c r="F36" i="90"/>
  <c r="A36" i="90"/>
  <c r="H35" i="90"/>
  <c r="G35" i="90"/>
  <c r="F35" i="90"/>
  <c r="A35" i="90"/>
  <c r="H34" i="90"/>
  <c r="G34" i="90"/>
  <c r="F34" i="90"/>
  <c r="A34" i="90"/>
  <c r="H33" i="90"/>
  <c r="F33" i="90"/>
  <c r="G33" i="90" s="1"/>
  <c r="A33" i="90"/>
  <c r="H32" i="90"/>
  <c r="F32" i="90"/>
  <c r="G32" i="90" s="1"/>
  <c r="A32" i="90"/>
  <c r="H31" i="90"/>
  <c r="F31" i="90"/>
  <c r="G31" i="90" s="1"/>
  <c r="A31" i="90"/>
  <c r="H30" i="90"/>
  <c r="F30" i="90"/>
  <c r="G30" i="90" s="1"/>
  <c r="A30" i="90"/>
  <c r="H29" i="90"/>
  <c r="F29" i="90"/>
  <c r="G29" i="90" s="1"/>
  <c r="A29" i="90"/>
  <c r="H28" i="90"/>
  <c r="G28" i="90"/>
  <c r="F28" i="90"/>
  <c r="A28" i="90"/>
  <c r="H27" i="90"/>
  <c r="G27" i="90"/>
  <c r="F27" i="90"/>
  <c r="A27" i="90"/>
  <c r="H26" i="90"/>
  <c r="G26" i="90"/>
  <c r="F26" i="90"/>
  <c r="A26" i="90"/>
  <c r="H25" i="90"/>
  <c r="F25" i="90"/>
  <c r="G25" i="90" s="1"/>
  <c r="A25" i="90"/>
  <c r="H24" i="90"/>
  <c r="F24" i="90"/>
  <c r="G24" i="90" s="1"/>
  <c r="A24" i="90"/>
  <c r="H23" i="90"/>
  <c r="F23" i="90"/>
  <c r="G23" i="90" s="1"/>
  <c r="A23" i="90"/>
  <c r="H22" i="90"/>
  <c r="F22" i="90"/>
  <c r="G22" i="90" s="1"/>
  <c r="A22" i="90"/>
  <c r="K21" i="90"/>
  <c r="J21" i="90"/>
  <c r="H21" i="90"/>
  <c r="F21" i="90"/>
  <c r="G21" i="90" s="1"/>
  <c r="A21" i="90"/>
  <c r="H20" i="90"/>
  <c r="G20" i="90"/>
  <c r="F20" i="90"/>
  <c r="A20" i="90"/>
  <c r="K19" i="90"/>
  <c r="H19" i="90"/>
  <c r="F19" i="90"/>
  <c r="G19" i="90" s="1"/>
  <c r="K6" i="90" s="1"/>
  <c r="H18" i="90"/>
  <c r="F18" i="90"/>
  <c r="G18" i="90" s="1"/>
  <c r="H17" i="90"/>
  <c r="F17" i="90"/>
  <c r="G17" i="90" s="1"/>
  <c r="H16" i="90"/>
  <c r="F16" i="90"/>
  <c r="G16" i="90" s="1"/>
  <c r="H15" i="90"/>
  <c r="L5" i="90" s="1"/>
  <c r="G15" i="90"/>
  <c r="F15" i="90"/>
  <c r="H14" i="90"/>
  <c r="F14" i="90"/>
  <c r="G14" i="90" s="1"/>
  <c r="H13" i="90"/>
  <c r="G13" i="90"/>
  <c r="F13" i="90"/>
  <c r="L12" i="90"/>
  <c r="L19" i="90" s="1"/>
  <c r="G15" i="123" s="1"/>
  <c r="K12" i="90"/>
  <c r="J12" i="90"/>
  <c r="J19" i="90" s="1"/>
  <c r="H12" i="90"/>
  <c r="F12" i="90"/>
  <c r="G12" i="90" s="1"/>
  <c r="L11" i="90"/>
  <c r="L18" i="90" s="1"/>
  <c r="K11" i="90"/>
  <c r="K18" i="90" s="1"/>
  <c r="J11" i="90"/>
  <c r="J18" i="90" s="1"/>
  <c r="H11" i="90"/>
  <c r="F11" i="90"/>
  <c r="G11" i="90" s="1"/>
  <c r="L10" i="90"/>
  <c r="K10" i="90"/>
  <c r="J10" i="90"/>
  <c r="H10" i="90"/>
  <c r="F10" i="90"/>
  <c r="J5" i="90" s="1"/>
  <c r="L9" i="90"/>
  <c r="K9" i="90"/>
  <c r="J9" i="90"/>
  <c r="H9" i="90"/>
  <c r="F9" i="90"/>
  <c r="G9" i="90" s="1"/>
  <c r="L8" i="90"/>
  <c r="L21" i="90" s="1"/>
  <c r="K8" i="90"/>
  <c r="J8" i="90"/>
  <c r="H8" i="90"/>
  <c r="G8" i="90"/>
  <c r="F8" i="90"/>
  <c r="L7" i="90"/>
  <c r="K7" i="90"/>
  <c r="J7" i="90"/>
  <c r="H7" i="90"/>
  <c r="G7" i="90"/>
  <c r="F7" i="90"/>
  <c r="L6" i="90"/>
  <c r="J6" i="90"/>
  <c r="H6" i="90"/>
  <c r="F6" i="90"/>
  <c r="G6" i="90" s="1"/>
  <c r="H5" i="90"/>
  <c r="G5" i="90" s="1"/>
  <c r="F5" i="90"/>
  <c r="H4" i="90"/>
  <c r="L4" i="90" s="1"/>
  <c r="F4" i="90"/>
  <c r="G4" i="90" s="1"/>
  <c r="L3" i="90"/>
  <c r="L16" i="90" s="1"/>
  <c r="E15" i="123" s="1"/>
  <c r="K3" i="90"/>
  <c r="K16" i="90" s="1"/>
  <c r="B15" i="123" s="1"/>
  <c r="J3" i="90"/>
  <c r="J16" i="90" s="1"/>
  <c r="H3" i="90"/>
  <c r="G3" i="90"/>
  <c r="F3" i="90"/>
  <c r="H42" i="89"/>
  <c r="F42" i="89"/>
  <c r="G42" i="89" s="1"/>
  <c r="A42" i="89"/>
  <c r="H41" i="89"/>
  <c r="F41" i="89"/>
  <c r="G41" i="89" s="1"/>
  <c r="A41" i="89"/>
  <c r="H40" i="89"/>
  <c r="F40" i="89"/>
  <c r="G40" i="89" s="1"/>
  <c r="A40" i="89"/>
  <c r="H39" i="89"/>
  <c r="F39" i="89"/>
  <c r="G39" i="89" s="1"/>
  <c r="A39" i="89"/>
  <c r="H38" i="89"/>
  <c r="G38" i="89"/>
  <c r="F38" i="89"/>
  <c r="A38" i="89"/>
  <c r="H37" i="89"/>
  <c r="F37" i="89"/>
  <c r="G37" i="89" s="1"/>
  <c r="A37" i="89"/>
  <c r="H36" i="89"/>
  <c r="F36" i="89"/>
  <c r="G36" i="89" s="1"/>
  <c r="A36" i="89"/>
  <c r="H35" i="89"/>
  <c r="F35" i="89"/>
  <c r="G35" i="89" s="1"/>
  <c r="A35" i="89"/>
  <c r="H34" i="89"/>
  <c r="F34" i="89"/>
  <c r="G34" i="89" s="1"/>
  <c r="A34" i="89"/>
  <c r="H33" i="89"/>
  <c r="F33" i="89"/>
  <c r="G33" i="89" s="1"/>
  <c r="A33" i="89"/>
  <c r="H32" i="89"/>
  <c r="F32" i="89"/>
  <c r="G32" i="89" s="1"/>
  <c r="A32" i="89"/>
  <c r="H31" i="89"/>
  <c r="F31" i="89"/>
  <c r="G31" i="89" s="1"/>
  <c r="A31" i="89"/>
  <c r="H30" i="89"/>
  <c r="G30" i="89"/>
  <c r="F30" i="89"/>
  <c r="A30" i="89"/>
  <c r="H29" i="89"/>
  <c r="F29" i="89"/>
  <c r="G29" i="89" s="1"/>
  <c r="H28" i="89"/>
  <c r="F28" i="89"/>
  <c r="G28" i="89" s="1"/>
  <c r="H27" i="89"/>
  <c r="F27" i="89"/>
  <c r="G27" i="89" s="1"/>
  <c r="H26" i="89"/>
  <c r="G26" i="89"/>
  <c r="F26" i="89"/>
  <c r="H25" i="89"/>
  <c r="F25" i="89"/>
  <c r="G25" i="89" s="1"/>
  <c r="H24" i="89"/>
  <c r="G24" i="89" s="1"/>
  <c r="F24" i="89"/>
  <c r="H23" i="89"/>
  <c r="F23" i="89"/>
  <c r="G23" i="89" s="1"/>
  <c r="H22" i="89"/>
  <c r="G22" i="89"/>
  <c r="F22" i="89"/>
  <c r="H21" i="89"/>
  <c r="F21" i="89"/>
  <c r="G21" i="89" s="1"/>
  <c r="H20" i="89"/>
  <c r="F20" i="89"/>
  <c r="G20" i="89" s="1"/>
  <c r="H19" i="89"/>
  <c r="L5" i="89" s="1"/>
  <c r="F19" i="89"/>
  <c r="G19" i="89" s="1"/>
  <c r="J18" i="89"/>
  <c r="H18" i="89"/>
  <c r="F18" i="89"/>
  <c r="G18" i="89" s="1"/>
  <c r="H17" i="89"/>
  <c r="G17" i="89"/>
  <c r="F17" i="89"/>
  <c r="H16" i="89"/>
  <c r="F16" i="89"/>
  <c r="J5" i="89" s="1"/>
  <c r="H15" i="89"/>
  <c r="F15" i="89"/>
  <c r="G15" i="89" s="1"/>
  <c r="H14" i="89"/>
  <c r="L7" i="89" s="1"/>
  <c r="F14" i="89"/>
  <c r="G14" i="89" s="1"/>
  <c r="K7" i="89" s="1"/>
  <c r="H13" i="89"/>
  <c r="F13" i="89"/>
  <c r="G13" i="89" s="1"/>
  <c r="L12" i="89"/>
  <c r="L19" i="89" s="1"/>
  <c r="G14" i="123" s="1"/>
  <c r="K12" i="89"/>
  <c r="K19" i="89" s="1"/>
  <c r="D14" i="123" s="1"/>
  <c r="J12" i="89"/>
  <c r="J19" i="89" s="1"/>
  <c r="H12" i="89"/>
  <c r="F12" i="89"/>
  <c r="G12" i="89" s="1"/>
  <c r="L11" i="89"/>
  <c r="L18" i="89" s="1"/>
  <c r="K11" i="89"/>
  <c r="K18" i="89" s="1"/>
  <c r="J11" i="89"/>
  <c r="H11" i="89"/>
  <c r="F11" i="89"/>
  <c r="G11" i="89" s="1"/>
  <c r="L10" i="89"/>
  <c r="K10" i="89"/>
  <c r="J10" i="89"/>
  <c r="H10" i="89"/>
  <c r="F10" i="89"/>
  <c r="G10" i="89" s="1"/>
  <c r="H9" i="89"/>
  <c r="F9" i="89"/>
  <c r="G9" i="89" s="1"/>
  <c r="L8" i="89"/>
  <c r="K8" i="89"/>
  <c r="J8" i="89"/>
  <c r="H8" i="89"/>
  <c r="G8" i="89"/>
  <c r="F8" i="89"/>
  <c r="J7" i="89"/>
  <c r="H7" i="89"/>
  <c r="F7" i="89"/>
  <c r="G7" i="89" s="1"/>
  <c r="L6" i="89"/>
  <c r="K6" i="89"/>
  <c r="J6" i="89"/>
  <c r="H6" i="89"/>
  <c r="L4" i="89" s="1"/>
  <c r="L17" i="89" s="1"/>
  <c r="F14" i="123" s="1"/>
  <c r="F6" i="89"/>
  <c r="G6" i="89" s="1"/>
  <c r="H5" i="89"/>
  <c r="F5" i="89"/>
  <c r="G5" i="89" s="1"/>
  <c r="H4" i="89"/>
  <c r="F4" i="89"/>
  <c r="G4" i="89" s="1"/>
  <c r="L3" i="89"/>
  <c r="L16" i="89" s="1"/>
  <c r="E14" i="123" s="1"/>
  <c r="K3" i="89"/>
  <c r="K16" i="89" s="1"/>
  <c r="B14" i="123" s="1"/>
  <c r="J3" i="89"/>
  <c r="J16" i="89" s="1"/>
  <c r="H3" i="89"/>
  <c r="L9" i="89" s="1"/>
  <c r="G3" i="89"/>
  <c r="F3" i="89"/>
  <c r="H42" i="88"/>
  <c r="F42" i="88"/>
  <c r="G42" i="88" s="1"/>
  <c r="A42" i="88"/>
  <c r="H41" i="88"/>
  <c r="F41" i="88"/>
  <c r="G41" i="88" s="1"/>
  <c r="A41" i="88"/>
  <c r="H40" i="88"/>
  <c r="F40" i="88"/>
  <c r="G40" i="88" s="1"/>
  <c r="A40" i="88"/>
  <c r="H39" i="88"/>
  <c r="G39" i="88"/>
  <c r="F39" i="88"/>
  <c r="A39" i="88"/>
  <c r="H38" i="88"/>
  <c r="F38" i="88"/>
  <c r="G38" i="88" s="1"/>
  <c r="A38" i="88"/>
  <c r="H37" i="88"/>
  <c r="G37" i="88"/>
  <c r="F37" i="88"/>
  <c r="A37" i="88"/>
  <c r="H36" i="88"/>
  <c r="F36" i="88"/>
  <c r="G36" i="88" s="1"/>
  <c r="A36" i="88"/>
  <c r="H35" i="88"/>
  <c r="F35" i="88"/>
  <c r="G35" i="88" s="1"/>
  <c r="A35" i="88"/>
  <c r="H34" i="88"/>
  <c r="F34" i="88"/>
  <c r="G34" i="88" s="1"/>
  <c r="A34" i="88"/>
  <c r="H33" i="88"/>
  <c r="F33" i="88"/>
  <c r="G33" i="88" s="1"/>
  <c r="A33" i="88"/>
  <c r="H32" i="88"/>
  <c r="F32" i="88"/>
  <c r="G32" i="88" s="1"/>
  <c r="A32" i="88"/>
  <c r="H31" i="88"/>
  <c r="G31" i="88"/>
  <c r="F31" i="88"/>
  <c r="A31" i="88"/>
  <c r="H30" i="88"/>
  <c r="F30" i="88"/>
  <c r="G30" i="88" s="1"/>
  <c r="A30" i="88"/>
  <c r="H29" i="88"/>
  <c r="G29" i="88"/>
  <c r="F29" i="88"/>
  <c r="A29" i="88"/>
  <c r="H28" i="88"/>
  <c r="F28" i="88"/>
  <c r="G28" i="88" s="1"/>
  <c r="A28" i="88"/>
  <c r="H27" i="88"/>
  <c r="F27" i="88"/>
  <c r="G27" i="88" s="1"/>
  <c r="A27" i="88"/>
  <c r="H26" i="88"/>
  <c r="F26" i="88"/>
  <c r="G26" i="88" s="1"/>
  <c r="A26" i="88"/>
  <c r="H25" i="88"/>
  <c r="F25" i="88"/>
  <c r="G25" i="88" s="1"/>
  <c r="H24" i="88"/>
  <c r="F24" i="88"/>
  <c r="G24" i="88" s="1"/>
  <c r="H23" i="88"/>
  <c r="F23" i="88"/>
  <c r="G23" i="88" s="1"/>
  <c r="H22" i="88"/>
  <c r="L4" i="88" s="1"/>
  <c r="L17" i="88" s="1"/>
  <c r="F13" i="123" s="1"/>
  <c r="F22" i="88"/>
  <c r="G22" i="88" s="1"/>
  <c r="H21" i="88"/>
  <c r="F21" i="88"/>
  <c r="G21" i="88" s="1"/>
  <c r="H20" i="88"/>
  <c r="F20" i="88"/>
  <c r="G20" i="88" s="1"/>
  <c r="H19" i="88"/>
  <c r="F19" i="88"/>
  <c r="G19" i="88" s="1"/>
  <c r="L18" i="88"/>
  <c r="J18" i="88"/>
  <c r="H18" i="88"/>
  <c r="F18" i="88"/>
  <c r="G18" i="88" s="1"/>
  <c r="H17" i="88"/>
  <c r="F17" i="88"/>
  <c r="G17" i="88" s="1"/>
  <c r="L16" i="88"/>
  <c r="E13" i="123" s="1"/>
  <c r="K16" i="88"/>
  <c r="B13" i="123" s="1"/>
  <c r="H16" i="88"/>
  <c r="F16" i="88"/>
  <c r="G16" i="88" s="1"/>
  <c r="H15" i="88"/>
  <c r="G15" i="88"/>
  <c r="F15" i="88"/>
  <c r="H14" i="88"/>
  <c r="F14" i="88"/>
  <c r="G14" i="88" s="1"/>
  <c r="H13" i="88"/>
  <c r="F13" i="88"/>
  <c r="G13" i="88" s="1"/>
  <c r="L12" i="88"/>
  <c r="L19" i="88" s="1"/>
  <c r="G13" i="123" s="1"/>
  <c r="K12" i="88"/>
  <c r="K19" i="88" s="1"/>
  <c r="D13" i="123" s="1"/>
  <c r="J12" i="88"/>
  <c r="J19" i="88" s="1"/>
  <c r="H12" i="88"/>
  <c r="F12" i="88"/>
  <c r="G12" i="88" s="1"/>
  <c r="L11" i="88"/>
  <c r="K11" i="88"/>
  <c r="K18" i="88" s="1"/>
  <c r="J11" i="88"/>
  <c r="H11" i="88"/>
  <c r="F11" i="88"/>
  <c r="J6" i="88" s="1"/>
  <c r="L10" i="88"/>
  <c r="K10" i="88"/>
  <c r="J10" i="88"/>
  <c r="H10" i="88"/>
  <c r="L5" i="88" s="1"/>
  <c r="F10" i="88"/>
  <c r="J5" i="88" s="1"/>
  <c r="L9" i="88"/>
  <c r="H9" i="88"/>
  <c r="F9" i="88"/>
  <c r="G9" i="88" s="1"/>
  <c r="L8" i="88"/>
  <c r="L21" i="88" s="1"/>
  <c r="K8" i="88"/>
  <c r="J8" i="88"/>
  <c r="H8" i="88"/>
  <c r="G8" i="88"/>
  <c r="F8" i="88"/>
  <c r="L7" i="88"/>
  <c r="K7" i="88"/>
  <c r="J7" i="88"/>
  <c r="H7" i="88"/>
  <c r="F7" i="88"/>
  <c r="G7" i="88" s="1"/>
  <c r="L6" i="88"/>
  <c r="H6" i="88"/>
  <c r="F6" i="88"/>
  <c r="J9" i="88" s="1"/>
  <c r="J21" i="88" s="1"/>
  <c r="I13" i="123" s="1"/>
  <c r="H5" i="88"/>
  <c r="F5" i="88"/>
  <c r="G5" i="88" s="1"/>
  <c r="J4" i="88"/>
  <c r="H4" i="88"/>
  <c r="G4" i="88"/>
  <c r="F4" i="88"/>
  <c r="L3" i="88"/>
  <c r="K3" i="88"/>
  <c r="J3" i="88"/>
  <c r="J16" i="88" s="1"/>
  <c r="H3" i="88"/>
  <c r="G3" i="88"/>
  <c r="F3" i="88"/>
  <c r="H42" i="87"/>
  <c r="F42" i="87"/>
  <c r="G42" i="87" s="1"/>
  <c r="A42" i="87"/>
  <c r="H41" i="87"/>
  <c r="F41" i="87"/>
  <c r="G41" i="87" s="1"/>
  <c r="A41" i="87"/>
  <c r="H40" i="87"/>
  <c r="F40" i="87"/>
  <c r="G40" i="87" s="1"/>
  <c r="A40" i="87"/>
  <c r="H39" i="87"/>
  <c r="G39" i="87"/>
  <c r="F39" i="87"/>
  <c r="A39" i="87"/>
  <c r="H38" i="87"/>
  <c r="F38" i="87"/>
  <c r="G38" i="87" s="1"/>
  <c r="A38" i="87"/>
  <c r="H37" i="87"/>
  <c r="F37" i="87"/>
  <c r="G37" i="87" s="1"/>
  <c r="A37" i="87"/>
  <c r="H36" i="87"/>
  <c r="F36" i="87"/>
  <c r="G36" i="87" s="1"/>
  <c r="A36" i="87"/>
  <c r="H35" i="87"/>
  <c r="F35" i="87"/>
  <c r="G35" i="87" s="1"/>
  <c r="A35" i="87"/>
  <c r="H34" i="87"/>
  <c r="F34" i="87"/>
  <c r="G34" i="87" s="1"/>
  <c r="A34" i="87"/>
  <c r="H33" i="87"/>
  <c r="F33" i="87"/>
  <c r="G33" i="87" s="1"/>
  <c r="A33" i="87"/>
  <c r="H32" i="87"/>
  <c r="F32" i="87"/>
  <c r="G32" i="87" s="1"/>
  <c r="A32" i="87"/>
  <c r="H31" i="87"/>
  <c r="G31" i="87"/>
  <c r="F31" i="87"/>
  <c r="A31" i="87"/>
  <c r="H30" i="87"/>
  <c r="F30" i="87"/>
  <c r="G30" i="87" s="1"/>
  <c r="A30" i="87"/>
  <c r="H29" i="87"/>
  <c r="F29" i="87"/>
  <c r="G29" i="87" s="1"/>
  <c r="A29" i="87"/>
  <c r="H28" i="87"/>
  <c r="F28" i="87"/>
  <c r="G28" i="87" s="1"/>
  <c r="A28" i="87"/>
  <c r="H27" i="87"/>
  <c r="F27" i="87"/>
  <c r="G27" i="87" s="1"/>
  <c r="A27" i="87"/>
  <c r="H26" i="87"/>
  <c r="F26" i="87"/>
  <c r="G26" i="87" s="1"/>
  <c r="A26" i="87"/>
  <c r="H25" i="87"/>
  <c r="F25" i="87"/>
  <c r="G25" i="87" s="1"/>
  <c r="A25" i="87"/>
  <c r="H24" i="87"/>
  <c r="F24" i="87"/>
  <c r="G24" i="87" s="1"/>
  <c r="A24" i="87"/>
  <c r="H23" i="87"/>
  <c r="G23" i="87"/>
  <c r="F23" i="87"/>
  <c r="A23" i="87"/>
  <c r="H22" i="87"/>
  <c r="F22" i="87"/>
  <c r="G22" i="87" s="1"/>
  <c r="A22" i="87"/>
  <c r="H21" i="87"/>
  <c r="F21" i="87"/>
  <c r="G21" i="87" s="1"/>
  <c r="A21" i="87"/>
  <c r="L20" i="87"/>
  <c r="H20" i="87"/>
  <c r="F20" i="87"/>
  <c r="G20" i="87" s="1"/>
  <c r="A20" i="87"/>
  <c r="H19" i="87"/>
  <c r="F19" i="87"/>
  <c r="G19" i="87" s="1"/>
  <c r="A19" i="87"/>
  <c r="K18" i="87"/>
  <c r="D12" i="123" s="1"/>
  <c r="J18" i="87"/>
  <c r="H18" i="87"/>
  <c r="F18" i="87"/>
  <c r="G18" i="87" s="1"/>
  <c r="L17" i="87"/>
  <c r="K17" i="87"/>
  <c r="J17" i="87"/>
  <c r="H17" i="87"/>
  <c r="G17" i="87" s="1"/>
  <c r="F17" i="87"/>
  <c r="H16" i="87"/>
  <c r="F16" i="87"/>
  <c r="G16" i="87" s="1"/>
  <c r="K15" i="87"/>
  <c r="B12" i="123" s="1"/>
  <c r="J15" i="87"/>
  <c r="H15" i="87"/>
  <c r="G15" i="87"/>
  <c r="F15" i="87"/>
  <c r="H14" i="87"/>
  <c r="F14" i="87"/>
  <c r="G14" i="87" s="1"/>
  <c r="K9" i="87" s="1"/>
  <c r="H13" i="87"/>
  <c r="G13" i="87"/>
  <c r="F13" i="87"/>
  <c r="L12" i="87"/>
  <c r="L18" i="87" s="1"/>
  <c r="G12" i="123" s="1"/>
  <c r="K12" i="87"/>
  <c r="J12" i="87"/>
  <c r="H12" i="87"/>
  <c r="F12" i="87"/>
  <c r="G12" i="87" s="1"/>
  <c r="L11" i="87"/>
  <c r="K11" i="87"/>
  <c r="J11" i="87"/>
  <c r="H11" i="87"/>
  <c r="F11" i="87"/>
  <c r="G11" i="87" s="1"/>
  <c r="L10" i="87"/>
  <c r="K10" i="87"/>
  <c r="J10" i="87"/>
  <c r="H10" i="87"/>
  <c r="F10" i="87"/>
  <c r="G10" i="87" s="1"/>
  <c r="L9" i="87"/>
  <c r="J9" i="87"/>
  <c r="J20" i="87" s="1"/>
  <c r="I12" i="123" s="1"/>
  <c r="H9" i="87"/>
  <c r="L5" i="87" s="1"/>
  <c r="G9" i="87"/>
  <c r="F9" i="87"/>
  <c r="L8" i="87"/>
  <c r="K8" i="87"/>
  <c r="K20" i="87" s="1"/>
  <c r="J8" i="87"/>
  <c r="H8" i="87"/>
  <c r="G8" i="87"/>
  <c r="F8" i="87"/>
  <c r="L7" i="87"/>
  <c r="K7" i="87"/>
  <c r="J7" i="87"/>
  <c r="H7" i="87"/>
  <c r="F7" i="87"/>
  <c r="G7" i="87" s="1"/>
  <c r="H6" i="87"/>
  <c r="L6" i="87" s="1"/>
  <c r="F6" i="87"/>
  <c r="J6" i="87" s="1"/>
  <c r="H5" i="87"/>
  <c r="F5" i="87"/>
  <c r="G5" i="87" s="1"/>
  <c r="H4" i="87"/>
  <c r="L4" i="87" s="1"/>
  <c r="F4" i="87"/>
  <c r="G4" i="87" s="1"/>
  <c r="L3" i="87"/>
  <c r="L15" i="87" s="1"/>
  <c r="E12" i="123" s="1"/>
  <c r="K3" i="87"/>
  <c r="J3" i="87"/>
  <c r="H3" i="87"/>
  <c r="F3" i="87"/>
  <c r="G3" i="87" s="1"/>
  <c r="H42" i="86"/>
  <c r="F42" i="86"/>
  <c r="G42" i="86" s="1"/>
  <c r="A42" i="86"/>
  <c r="H41" i="86"/>
  <c r="F41" i="86"/>
  <c r="G41" i="86" s="1"/>
  <c r="A41" i="86"/>
  <c r="H40" i="86"/>
  <c r="F40" i="86"/>
  <c r="G40" i="86" s="1"/>
  <c r="A40" i="86"/>
  <c r="H39" i="86"/>
  <c r="F39" i="86"/>
  <c r="G39" i="86" s="1"/>
  <c r="A39" i="86"/>
  <c r="H38" i="86"/>
  <c r="F38" i="86"/>
  <c r="G38" i="86" s="1"/>
  <c r="A38" i="86"/>
  <c r="H37" i="86"/>
  <c r="F37" i="86"/>
  <c r="G37" i="86" s="1"/>
  <c r="A37" i="86"/>
  <c r="H36" i="86"/>
  <c r="F36" i="86"/>
  <c r="G36" i="86" s="1"/>
  <c r="A36" i="86"/>
  <c r="H35" i="86"/>
  <c r="F35" i="86"/>
  <c r="G35" i="86" s="1"/>
  <c r="A35" i="86"/>
  <c r="H34" i="86"/>
  <c r="F34" i="86"/>
  <c r="G34" i="86" s="1"/>
  <c r="A34" i="86"/>
  <c r="H33" i="86"/>
  <c r="F33" i="86"/>
  <c r="G33" i="86" s="1"/>
  <c r="A33" i="86"/>
  <c r="H32" i="86"/>
  <c r="F32" i="86"/>
  <c r="G32" i="86" s="1"/>
  <c r="H31" i="86"/>
  <c r="F31" i="86"/>
  <c r="G31" i="86" s="1"/>
  <c r="H30" i="86"/>
  <c r="F30" i="86"/>
  <c r="G30" i="86" s="1"/>
  <c r="H29" i="86"/>
  <c r="F29" i="86"/>
  <c r="G29" i="86" s="1"/>
  <c r="H28" i="86"/>
  <c r="F28" i="86"/>
  <c r="G28" i="86" s="1"/>
  <c r="H27" i="86"/>
  <c r="F27" i="86"/>
  <c r="G27" i="86" s="1"/>
  <c r="H26" i="86"/>
  <c r="F26" i="86"/>
  <c r="G26" i="86" s="1"/>
  <c r="H25" i="86"/>
  <c r="G25" i="86"/>
  <c r="F25" i="86"/>
  <c r="H24" i="86"/>
  <c r="F24" i="86"/>
  <c r="G24" i="86" s="1"/>
  <c r="K5" i="86" s="1"/>
  <c r="H23" i="86"/>
  <c r="G23" i="86"/>
  <c r="F23" i="86"/>
  <c r="H22" i="86"/>
  <c r="F22" i="86"/>
  <c r="G22" i="86" s="1"/>
  <c r="H21" i="86"/>
  <c r="F21" i="86"/>
  <c r="G21" i="86" s="1"/>
  <c r="H20" i="86"/>
  <c r="F20" i="86"/>
  <c r="G20" i="86" s="1"/>
  <c r="L19" i="86"/>
  <c r="G11" i="123" s="1"/>
  <c r="K19" i="86"/>
  <c r="H19" i="86"/>
  <c r="F19" i="86"/>
  <c r="G19" i="86" s="1"/>
  <c r="H18" i="86"/>
  <c r="F18" i="86"/>
  <c r="G18" i="86" s="1"/>
  <c r="H17" i="86"/>
  <c r="F17" i="86"/>
  <c r="G17" i="86" s="1"/>
  <c r="H16" i="86"/>
  <c r="F16" i="86"/>
  <c r="G16" i="86" s="1"/>
  <c r="H15" i="86"/>
  <c r="F15" i="86"/>
  <c r="G15" i="86" s="1"/>
  <c r="H14" i="86"/>
  <c r="F14" i="86"/>
  <c r="G14" i="86" s="1"/>
  <c r="H13" i="86"/>
  <c r="F13" i="86"/>
  <c r="G13" i="86" s="1"/>
  <c r="L12" i="86"/>
  <c r="K12" i="86"/>
  <c r="J12" i="86"/>
  <c r="J19" i="86" s="1"/>
  <c r="H12" i="86"/>
  <c r="F12" i="86"/>
  <c r="G12" i="86" s="1"/>
  <c r="L11" i="86"/>
  <c r="L18" i="86" s="1"/>
  <c r="K11" i="86"/>
  <c r="K18" i="86" s="1"/>
  <c r="J11" i="86"/>
  <c r="J18" i="86" s="1"/>
  <c r="H11" i="86"/>
  <c r="G11" i="86"/>
  <c r="F11" i="86"/>
  <c r="L10" i="86"/>
  <c r="K10" i="86"/>
  <c r="J10" i="86"/>
  <c r="H10" i="86"/>
  <c r="G10" i="86"/>
  <c r="F10" i="86"/>
  <c r="L9" i="86"/>
  <c r="K9" i="86"/>
  <c r="J9" i="86"/>
  <c r="H9" i="86"/>
  <c r="G9" i="86"/>
  <c r="F9" i="86"/>
  <c r="L8" i="86"/>
  <c r="L21" i="86" s="1"/>
  <c r="K8" i="86"/>
  <c r="K21" i="86" s="1"/>
  <c r="J8" i="86"/>
  <c r="J21" i="86" s="1"/>
  <c r="I11" i="123" s="1"/>
  <c r="H8" i="86"/>
  <c r="F8" i="86"/>
  <c r="G8" i="86" s="1"/>
  <c r="L7" i="86"/>
  <c r="K7" i="86"/>
  <c r="J7" i="86"/>
  <c r="H7" i="86"/>
  <c r="F7" i="86"/>
  <c r="G7" i="86" s="1"/>
  <c r="L6" i="86"/>
  <c r="K6" i="86"/>
  <c r="J6" i="86"/>
  <c r="H6" i="86"/>
  <c r="F6" i="86"/>
  <c r="G6" i="86" s="1"/>
  <c r="L5" i="86"/>
  <c r="J5" i="86"/>
  <c r="H5" i="86"/>
  <c r="G5" i="86"/>
  <c r="F5" i="86"/>
  <c r="L4" i="86"/>
  <c r="L17" i="86" s="1"/>
  <c r="F11" i="123" s="1"/>
  <c r="K4" i="86"/>
  <c r="J4" i="86"/>
  <c r="J17" i="86" s="1"/>
  <c r="H4" i="86"/>
  <c r="G4" i="86"/>
  <c r="F4" i="86"/>
  <c r="H3" i="86"/>
  <c r="L3" i="86" s="1"/>
  <c r="L16" i="86" s="1"/>
  <c r="E11" i="123" s="1"/>
  <c r="F3" i="86"/>
  <c r="J3" i="86" s="1"/>
  <c r="J16" i="86" s="1"/>
  <c r="H42" i="85"/>
  <c r="F42" i="85"/>
  <c r="G42" i="85" s="1"/>
  <c r="A42" i="85"/>
  <c r="H41" i="85"/>
  <c r="G41" i="85"/>
  <c r="F41" i="85"/>
  <c r="A41" i="85"/>
  <c r="H40" i="85"/>
  <c r="F40" i="85"/>
  <c r="G40" i="85" s="1"/>
  <c r="A40" i="85"/>
  <c r="H39" i="85"/>
  <c r="F39" i="85"/>
  <c r="G39" i="85" s="1"/>
  <c r="A39" i="85"/>
  <c r="H38" i="85"/>
  <c r="F38" i="85"/>
  <c r="G38" i="85" s="1"/>
  <c r="A38" i="85"/>
  <c r="H37" i="85"/>
  <c r="F37" i="85"/>
  <c r="G37" i="85" s="1"/>
  <c r="A37" i="85"/>
  <c r="H36" i="85"/>
  <c r="F36" i="85"/>
  <c r="G36" i="85" s="1"/>
  <c r="A36" i="85"/>
  <c r="H35" i="85"/>
  <c r="F35" i="85"/>
  <c r="G35" i="85" s="1"/>
  <c r="A35" i="85"/>
  <c r="H34" i="85"/>
  <c r="F34" i="85"/>
  <c r="G34" i="85" s="1"/>
  <c r="A34" i="85"/>
  <c r="H33" i="85"/>
  <c r="G33" i="85"/>
  <c r="F33" i="85"/>
  <c r="A33" i="85"/>
  <c r="H32" i="85"/>
  <c r="F32" i="85"/>
  <c r="G32" i="85" s="1"/>
  <c r="A32" i="85"/>
  <c r="H31" i="85"/>
  <c r="F31" i="85"/>
  <c r="G31" i="85" s="1"/>
  <c r="A31" i="85"/>
  <c r="H30" i="85"/>
  <c r="F30" i="85"/>
  <c r="G30" i="85" s="1"/>
  <c r="A30" i="85"/>
  <c r="H29" i="85"/>
  <c r="F29" i="85"/>
  <c r="G29" i="85" s="1"/>
  <c r="A29" i="85"/>
  <c r="H28" i="85"/>
  <c r="F28" i="85"/>
  <c r="G28" i="85" s="1"/>
  <c r="A28" i="85"/>
  <c r="H27" i="85"/>
  <c r="F27" i="85"/>
  <c r="G27" i="85" s="1"/>
  <c r="A27" i="85"/>
  <c r="H26" i="85"/>
  <c r="F26" i="85"/>
  <c r="G26" i="85" s="1"/>
  <c r="A26" i="85"/>
  <c r="H25" i="85"/>
  <c r="G25" i="85"/>
  <c r="F25" i="85"/>
  <c r="H24" i="85"/>
  <c r="F24" i="85"/>
  <c r="G24" i="85" s="1"/>
  <c r="H23" i="85"/>
  <c r="F23" i="85"/>
  <c r="G23" i="85" s="1"/>
  <c r="H22" i="85"/>
  <c r="F22" i="85"/>
  <c r="G22" i="85" s="1"/>
  <c r="H21" i="85"/>
  <c r="G21" i="85"/>
  <c r="F21" i="85"/>
  <c r="H20" i="85"/>
  <c r="G20" i="85"/>
  <c r="F20" i="85"/>
  <c r="H19" i="85"/>
  <c r="F19" i="85"/>
  <c r="G19" i="85" s="1"/>
  <c r="H18" i="85"/>
  <c r="F18" i="85"/>
  <c r="G18" i="85" s="1"/>
  <c r="H17" i="85"/>
  <c r="F17" i="85"/>
  <c r="J5" i="85" s="1"/>
  <c r="L16" i="85"/>
  <c r="E10" i="123" s="1"/>
  <c r="K16" i="85"/>
  <c r="B10" i="123" s="1"/>
  <c r="J16" i="85"/>
  <c r="H16" i="85"/>
  <c r="L5" i="85" s="1"/>
  <c r="G16" i="85"/>
  <c r="F16" i="85"/>
  <c r="H15" i="85"/>
  <c r="F15" i="85"/>
  <c r="G15" i="85" s="1"/>
  <c r="A15" i="85"/>
  <c r="H14" i="85"/>
  <c r="F14" i="85"/>
  <c r="G14" i="85" s="1"/>
  <c r="H13" i="85"/>
  <c r="G13" i="85"/>
  <c r="F13" i="85"/>
  <c r="L12" i="85"/>
  <c r="L19" i="85" s="1"/>
  <c r="G10" i="123" s="1"/>
  <c r="K12" i="85"/>
  <c r="K19" i="85" s="1"/>
  <c r="D10" i="123" s="1"/>
  <c r="J12" i="85"/>
  <c r="J19" i="85" s="1"/>
  <c r="H12" i="85"/>
  <c r="F12" i="85"/>
  <c r="G12" i="85" s="1"/>
  <c r="L11" i="85"/>
  <c r="L18" i="85" s="1"/>
  <c r="K11" i="85"/>
  <c r="K18" i="85" s="1"/>
  <c r="J11" i="85"/>
  <c r="J18" i="85" s="1"/>
  <c r="H11" i="85"/>
  <c r="G11" i="85" s="1"/>
  <c r="K4" i="85" s="1"/>
  <c r="F11" i="85"/>
  <c r="L10" i="85"/>
  <c r="K10" i="85"/>
  <c r="J10" i="85"/>
  <c r="H10" i="85"/>
  <c r="L7" i="85" s="1"/>
  <c r="F10" i="85"/>
  <c r="G10" i="85" s="1"/>
  <c r="K7" i="85" s="1"/>
  <c r="J9" i="85"/>
  <c r="H9" i="85"/>
  <c r="G9" i="85"/>
  <c r="F9" i="85"/>
  <c r="L8" i="85"/>
  <c r="K8" i="85"/>
  <c r="K21" i="85" s="1"/>
  <c r="J8" i="85"/>
  <c r="J21" i="85" s="1"/>
  <c r="I10" i="123" s="1"/>
  <c r="H8" i="85"/>
  <c r="G8" i="85" s="1"/>
  <c r="F8" i="85"/>
  <c r="H7" i="85"/>
  <c r="F7" i="85"/>
  <c r="G7" i="85" s="1"/>
  <c r="L6" i="85"/>
  <c r="K6" i="85"/>
  <c r="J6" i="85"/>
  <c r="H6" i="85"/>
  <c r="F6" i="85"/>
  <c r="G6" i="85" s="1"/>
  <c r="H5" i="85"/>
  <c r="F5" i="85"/>
  <c r="G5" i="85" s="1"/>
  <c r="L4" i="85"/>
  <c r="J4" i="85"/>
  <c r="H4" i="85"/>
  <c r="L9" i="85" s="1"/>
  <c r="L21" i="85" s="1"/>
  <c r="G4" i="85"/>
  <c r="K9" i="85" s="1"/>
  <c r="F4" i="85"/>
  <c r="L3" i="85"/>
  <c r="K3" i="85"/>
  <c r="J3" i="85"/>
  <c r="H3" i="85"/>
  <c r="G3" i="85"/>
  <c r="F3" i="85"/>
  <c r="H42" i="83"/>
  <c r="F42" i="83"/>
  <c r="G42" i="83" s="1"/>
  <c r="A42" i="83"/>
  <c r="H41" i="83"/>
  <c r="F41" i="83"/>
  <c r="G41" i="83" s="1"/>
  <c r="A41" i="83"/>
  <c r="H40" i="83"/>
  <c r="F40" i="83"/>
  <c r="G40" i="83" s="1"/>
  <c r="A40" i="83"/>
  <c r="H39" i="83"/>
  <c r="G39" i="83"/>
  <c r="F39" i="83"/>
  <c r="A39" i="83"/>
  <c r="H38" i="83"/>
  <c r="F38" i="83"/>
  <c r="G38" i="83" s="1"/>
  <c r="A38" i="83"/>
  <c r="H37" i="83"/>
  <c r="F37" i="83"/>
  <c r="G37" i="83" s="1"/>
  <c r="A37" i="83"/>
  <c r="H36" i="83"/>
  <c r="F36" i="83"/>
  <c r="G36" i="83" s="1"/>
  <c r="A36" i="83"/>
  <c r="H35" i="83"/>
  <c r="F35" i="83"/>
  <c r="G35" i="83" s="1"/>
  <c r="A35" i="83"/>
  <c r="H34" i="83"/>
  <c r="F34" i="83"/>
  <c r="G34" i="83" s="1"/>
  <c r="A34" i="83"/>
  <c r="H33" i="83"/>
  <c r="F33" i="83"/>
  <c r="G33" i="83" s="1"/>
  <c r="A33" i="83"/>
  <c r="H32" i="83"/>
  <c r="F32" i="83"/>
  <c r="G32" i="83" s="1"/>
  <c r="A32" i="83"/>
  <c r="H31" i="83"/>
  <c r="G31" i="83"/>
  <c r="F31" i="83"/>
  <c r="A31" i="83"/>
  <c r="H30" i="83"/>
  <c r="F30" i="83"/>
  <c r="G30" i="83" s="1"/>
  <c r="A30" i="83"/>
  <c r="H29" i="83"/>
  <c r="F29" i="83"/>
  <c r="G29" i="83" s="1"/>
  <c r="A29" i="83"/>
  <c r="H28" i="83"/>
  <c r="F28" i="83"/>
  <c r="G28" i="83" s="1"/>
  <c r="A28" i="83"/>
  <c r="H27" i="83"/>
  <c r="F27" i="83"/>
  <c r="G27" i="83" s="1"/>
  <c r="H26" i="83"/>
  <c r="G26" i="83" s="1"/>
  <c r="F26" i="83"/>
  <c r="H25" i="83"/>
  <c r="F25" i="83"/>
  <c r="G25" i="83" s="1"/>
  <c r="H24" i="83"/>
  <c r="F24" i="83"/>
  <c r="G24" i="83" s="1"/>
  <c r="H23" i="83"/>
  <c r="F23" i="83"/>
  <c r="G23" i="83" s="1"/>
  <c r="H22" i="83"/>
  <c r="F22" i="83"/>
  <c r="G22" i="83" s="1"/>
  <c r="H21" i="83"/>
  <c r="F21" i="83"/>
  <c r="G21" i="83" s="1"/>
  <c r="H20" i="83"/>
  <c r="F20" i="83"/>
  <c r="G20" i="83" s="1"/>
  <c r="J19" i="83"/>
  <c r="H19" i="83"/>
  <c r="G19" i="83"/>
  <c r="F19" i="83"/>
  <c r="K18" i="83"/>
  <c r="J18" i="83"/>
  <c r="H18" i="83"/>
  <c r="G18" i="83"/>
  <c r="F18" i="83"/>
  <c r="H17" i="83"/>
  <c r="F17" i="83"/>
  <c r="G17" i="83" s="1"/>
  <c r="L16" i="83"/>
  <c r="K16" i="83"/>
  <c r="B9" i="123" s="1"/>
  <c r="H16" i="83"/>
  <c r="F16" i="83"/>
  <c r="G16" i="83" s="1"/>
  <c r="H15" i="83"/>
  <c r="F15" i="83"/>
  <c r="G15" i="83" s="1"/>
  <c r="H14" i="83"/>
  <c r="L4" i="83" s="1"/>
  <c r="F14" i="83"/>
  <c r="J4" i="83" s="1"/>
  <c r="J17" i="83" s="1"/>
  <c r="H13" i="83"/>
  <c r="F13" i="83"/>
  <c r="G13" i="83" s="1"/>
  <c r="L12" i="83"/>
  <c r="L19" i="83" s="1"/>
  <c r="G9" i="123" s="1"/>
  <c r="K12" i="83"/>
  <c r="K19" i="83" s="1"/>
  <c r="D9" i="123" s="1"/>
  <c r="J12" i="83"/>
  <c r="H12" i="83"/>
  <c r="F12" i="83"/>
  <c r="G12" i="83" s="1"/>
  <c r="L11" i="83"/>
  <c r="L18" i="83" s="1"/>
  <c r="K11" i="83"/>
  <c r="J11" i="83"/>
  <c r="H11" i="83"/>
  <c r="F11" i="83"/>
  <c r="G11" i="83" s="1"/>
  <c r="L10" i="83"/>
  <c r="K10" i="83"/>
  <c r="J10" i="83"/>
  <c r="H10" i="83"/>
  <c r="F10" i="83"/>
  <c r="G10" i="83" s="1"/>
  <c r="L9" i="83"/>
  <c r="K9" i="83"/>
  <c r="J9" i="83"/>
  <c r="H9" i="83"/>
  <c r="G9" i="83"/>
  <c r="F9" i="83"/>
  <c r="L8" i="83"/>
  <c r="L21" i="83" s="1"/>
  <c r="K8" i="83"/>
  <c r="K21" i="83" s="1"/>
  <c r="J8" i="83"/>
  <c r="J21" i="83" s="1"/>
  <c r="I9" i="123" s="1"/>
  <c r="H8" i="83"/>
  <c r="F8" i="83"/>
  <c r="G8" i="83" s="1"/>
  <c r="L7" i="83"/>
  <c r="K7" i="83"/>
  <c r="J7" i="83"/>
  <c r="H7" i="83"/>
  <c r="F7" i="83"/>
  <c r="G7" i="83" s="1"/>
  <c r="J6" i="83"/>
  <c r="H6" i="83"/>
  <c r="L6" i="83" s="1"/>
  <c r="F6" i="83"/>
  <c r="H5" i="83"/>
  <c r="F5" i="83"/>
  <c r="G5" i="83" s="1"/>
  <c r="H4" i="83"/>
  <c r="G4" i="83"/>
  <c r="F4" i="83"/>
  <c r="L3" i="83"/>
  <c r="K3" i="83"/>
  <c r="J3" i="83"/>
  <c r="J16" i="83" s="1"/>
  <c r="H3" i="83"/>
  <c r="L5" i="83" s="1"/>
  <c r="F3" i="83"/>
  <c r="J5" i="83" s="1"/>
  <c r="H42" i="82"/>
  <c r="F42" i="82"/>
  <c r="G42" i="82" s="1"/>
  <c r="A42" i="82"/>
  <c r="H41" i="82"/>
  <c r="F41" i="82"/>
  <c r="G41" i="82" s="1"/>
  <c r="A41" i="82"/>
  <c r="H40" i="82"/>
  <c r="F40" i="82"/>
  <c r="G40" i="82" s="1"/>
  <c r="A40" i="82"/>
  <c r="H39" i="82"/>
  <c r="F39" i="82"/>
  <c r="G39" i="82" s="1"/>
  <c r="A39" i="82"/>
  <c r="H38" i="82"/>
  <c r="F38" i="82"/>
  <c r="G38" i="82" s="1"/>
  <c r="A38" i="82"/>
  <c r="H37" i="82"/>
  <c r="F37" i="82"/>
  <c r="G37" i="82" s="1"/>
  <c r="A37" i="82"/>
  <c r="H36" i="82"/>
  <c r="F36" i="82"/>
  <c r="G36" i="82" s="1"/>
  <c r="A36" i="82"/>
  <c r="H35" i="82"/>
  <c r="G35" i="82" s="1"/>
  <c r="F35" i="82"/>
  <c r="A35" i="82"/>
  <c r="H34" i="82"/>
  <c r="F34" i="82"/>
  <c r="G34" i="82" s="1"/>
  <c r="A34" i="82"/>
  <c r="H33" i="82"/>
  <c r="F33" i="82"/>
  <c r="G33" i="82" s="1"/>
  <c r="A33" i="82"/>
  <c r="H32" i="82"/>
  <c r="F32" i="82"/>
  <c r="G32" i="82" s="1"/>
  <c r="A32" i="82"/>
  <c r="H31" i="82"/>
  <c r="F31" i="82"/>
  <c r="G31" i="82" s="1"/>
  <c r="A31" i="82"/>
  <c r="H30" i="82"/>
  <c r="F30" i="82"/>
  <c r="G30" i="82" s="1"/>
  <c r="A30" i="82"/>
  <c r="H29" i="82"/>
  <c r="F29" i="82"/>
  <c r="G29" i="82" s="1"/>
  <c r="A29" i="82"/>
  <c r="H28" i="82"/>
  <c r="F28" i="82"/>
  <c r="G28" i="82" s="1"/>
  <c r="A28" i="82"/>
  <c r="H27" i="82"/>
  <c r="G27" i="82" s="1"/>
  <c r="F27" i="82"/>
  <c r="A27" i="82"/>
  <c r="H26" i="82"/>
  <c r="F26" i="82"/>
  <c r="G26" i="82" s="1"/>
  <c r="A26" i="82"/>
  <c r="H25" i="82"/>
  <c r="F25" i="82"/>
  <c r="G25" i="82" s="1"/>
  <c r="A25" i="82"/>
  <c r="H24" i="82"/>
  <c r="F24" i="82"/>
  <c r="G24" i="82" s="1"/>
  <c r="A24" i="82"/>
  <c r="H23" i="82"/>
  <c r="F23" i="82"/>
  <c r="G23" i="82" s="1"/>
  <c r="A23" i="82"/>
  <c r="H22" i="82"/>
  <c r="F22" i="82"/>
  <c r="G22" i="82" s="1"/>
  <c r="A22" i="82"/>
  <c r="H21" i="82"/>
  <c r="F21" i="82"/>
  <c r="G21" i="82" s="1"/>
  <c r="H20" i="82"/>
  <c r="G20" i="82"/>
  <c r="F20" i="82"/>
  <c r="H19" i="82"/>
  <c r="F19" i="82"/>
  <c r="G19" i="82" s="1"/>
  <c r="H18" i="82"/>
  <c r="G18" i="82" s="1"/>
  <c r="F18" i="82"/>
  <c r="H17" i="82"/>
  <c r="G17" i="82"/>
  <c r="F17" i="82"/>
  <c r="H16" i="82"/>
  <c r="F16" i="82"/>
  <c r="G16" i="82" s="1"/>
  <c r="H15" i="82"/>
  <c r="F15" i="82"/>
  <c r="G15" i="82" s="1"/>
  <c r="H14" i="82"/>
  <c r="G14" i="82"/>
  <c r="F14" i="82"/>
  <c r="H13" i="82"/>
  <c r="G13" i="82" s="1"/>
  <c r="F13" i="82"/>
  <c r="L12" i="82"/>
  <c r="L19" i="82" s="1"/>
  <c r="G8" i="123" s="1"/>
  <c r="K12" i="82"/>
  <c r="K19" i="82" s="1"/>
  <c r="D8" i="123" s="1"/>
  <c r="J12" i="82"/>
  <c r="J19" i="82" s="1"/>
  <c r="H12" i="82"/>
  <c r="L7" i="82" s="1"/>
  <c r="F12" i="82"/>
  <c r="J7" i="82" s="1"/>
  <c r="L11" i="82"/>
  <c r="L18" i="82" s="1"/>
  <c r="K11" i="82"/>
  <c r="K18" i="82" s="1"/>
  <c r="J11" i="82"/>
  <c r="J18" i="82" s="1"/>
  <c r="H11" i="82"/>
  <c r="F11" i="82"/>
  <c r="G11" i="82" s="1"/>
  <c r="L10" i="82"/>
  <c r="K10" i="82"/>
  <c r="J10" i="82"/>
  <c r="H10" i="82"/>
  <c r="F10" i="82"/>
  <c r="G10" i="82" s="1"/>
  <c r="J9" i="82"/>
  <c r="H9" i="82"/>
  <c r="L5" i="82" s="1"/>
  <c r="F9" i="82"/>
  <c r="J5" i="82" s="1"/>
  <c r="L8" i="82"/>
  <c r="L21" i="82" s="1"/>
  <c r="K8" i="82"/>
  <c r="J8" i="82"/>
  <c r="J21" i="82" s="1"/>
  <c r="I8" i="123" s="1"/>
  <c r="H8" i="82"/>
  <c r="L4" i="82" s="1"/>
  <c r="F8" i="82"/>
  <c r="J4" i="82" s="1"/>
  <c r="H7" i="82"/>
  <c r="F7" i="82"/>
  <c r="G7" i="82" s="1"/>
  <c r="L6" i="82"/>
  <c r="J6" i="82"/>
  <c r="H6" i="82"/>
  <c r="L9" i="82" s="1"/>
  <c r="G6" i="82"/>
  <c r="F6" i="82"/>
  <c r="H5" i="82"/>
  <c r="G5" i="82" s="1"/>
  <c r="F5" i="82"/>
  <c r="H4" i="82"/>
  <c r="F4" i="82"/>
  <c r="G4" i="82" s="1"/>
  <c r="L3" i="82"/>
  <c r="L16" i="82" s="1"/>
  <c r="E8" i="123" s="1"/>
  <c r="K3" i="82"/>
  <c r="K16" i="82" s="1"/>
  <c r="B8" i="123" s="1"/>
  <c r="J3" i="82"/>
  <c r="J16" i="82" s="1"/>
  <c r="H3" i="82"/>
  <c r="F3" i="82"/>
  <c r="G3" i="82" s="1"/>
  <c r="K6" i="82" s="1"/>
  <c r="H42" i="80"/>
  <c r="G42" i="80"/>
  <c r="F42" i="80"/>
  <c r="A42" i="80"/>
  <c r="H41" i="80"/>
  <c r="F41" i="80"/>
  <c r="G41" i="80" s="1"/>
  <c r="A41" i="80"/>
  <c r="H40" i="80"/>
  <c r="F40" i="80"/>
  <c r="G40" i="80" s="1"/>
  <c r="A40" i="80"/>
  <c r="H39" i="80"/>
  <c r="F39" i="80"/>
  <c r="G39" i="80" s="1"/>
  <c r="A39" i="80"/>
  <c r="H38" i="80"/>
  <c r="F38" i="80"/>
  <c r="G38" i="80" s="1"/>
  <c r="A38" i="80"/>
  <c r="H37" i="80"/>
  <c r="F37" i="80"/>
  <c r="G37" i="80" s="1"/>
  <c r="A37" i="80"/>
  <c r="H36" i="80"/>
  <c r="F36" i="80"/>
  <c r="G36" i="80" s="1"/>
  <c r="A36" i="80"/>
  <c r="H35" i="80"/>
  <c r="F35" i="80"/>
  <c r="G35" i="80" s="1"/>
  <c r="A35" i="80"/>
  <c r="H34" i="80"/>
  <c r="G34" i="80"/>
  <c r="F34" i="80"/>
  <c r="A34" i="80"/>
  <c r="H33" i="80"/>
  <c r="F33" i="80"/>
  <c r="G33" i="80" s="1"/>
  <c r="A33" i="80"/>
  <c r="H32" i="80"/>
  <c r="F32" i="80"/>
  <c r="G32" i="80" s="1"/>
  <c r="A32" i="80"/>
  <c r="H31" i="80"/>
  <c r="F31" i="80"/>
  <c r="G31" i="80" s="1"/>
  <c r="A31" i="80"/>
  <c r="H30" i="80"/>
  <c r="F30" i="80"/>
  <c r="G30" i="80" s="1"/>
  <c r="A30" i="80"/>
  <c r="H29" i="80"/>
  <c r="F29" i="80"/>
  <c r="G29" i="80" s="1"/>
  <c r="A29" i="80"/>
  <c r="H28" i="80"/>
  <c r="F28" i="80"/>
  <c r="G28" i="80" s="1"/>
  <c r="A28" i="80"/>
  <c r="H27" i="80"/>
  <c r="F27" i="80"/>
  <c r="G27" i="80" s="1"/>
  <c r="H26" i="80"/>
  <c r="F26" i="80"/>
  <c r="G26" i="80" s="1"/>
  <c r="H25" i="80"/>
  <c r="G25" i="80"/>
  <c r="F25" i="80"/>
  <c r="H24" i="80"/>
  <c r="F24" i="80"/>
  <c r="G24" i="80" s="1"/>
  <c r="H23" i="80"/>
  <c r="F23" i="80"/>
  <c r="G23" i="80" s="1"/>
  <c r="H22" i="80"/>
  <c r="F22" i="80"/>
  <c r="G22" i="80" s="1"/>
  <c r="L21" i="80"/>
  <c r="H21" i="80"/>
  <c r="F21" i="80"/>
  <c r="G21" i="80" s="1"/>
  <c r="H20" i="80"/>
  <c r="G20" i="80"/>
  <c r="F20" i="80"/>
  <c r="H19" i="80"/>
  <c r="F19" i="80"/>
  <c r="G19" i="80" s="1"/>
  <c r="L18" i="80"/>
  <c r="H18" i="80"/>
  <c r="F18" i="80"/>
  <c r="G18" i="80" s="1"/>
  <c r="H17" i="80"/>
  <c r="L6" i="80" s="1"/>
  <c r="F17" i="80"/>
  <c r="G17" i="80" s="1"/>
  <c r="K6" i="80" s="1"/>
  <c r="L16" i="80"/>
  <c r="E7" i="123" s="1"/>
  <c r="K16" i="80"/>
  <c r="B7" i="123" s="1"/>
  <c r="J16" i="80"/>
  <c r="H16" i="80"/>
  <c r="G16" i="80"/>
  <c r="F16" i="80"/>
  <c r="H15" i="80"/>
  <c r="F15" i="80"/>
  <c r="G15" i="80" s="1"/>
  <c r="H14" i="80"/>
  <c r="G14" i="80" s="1"/>
  <c r="F14" i="80"/>
  <c r="H13" i="80"/>
  <c r="F13" i="80"/>
  <c r="G13" i="80" s="1"/>
  <c r="L12" i="80"/>
  <c r="L19" i="80" s="1"/>
  <c r="G7" i="123" s="1"/>
  <c r="K12" i="80"/>
  <c r="K19" i="80" s="1"/>
  <c r="D7" i="123" s="1"/>
  <c r="J12" i="80"/>
  <c r="J19" i="80" s="1"/>
  <c r="H12" i="80"/>
  <c r="F12" i="80"/>
  <c r="G12" i="80" s="1"/>
  <c r="K9" i="80" s="1"/>
  <c r="L11" i="80"/>
  <c r="K11" i="80"/>
  <c r="K18" i="80" s="1"/>
  <c r="J11" i="80"/>
  <c r="J18" i="80" s="1"/>
  <c r="H11" i="80"/>
  <c r="G11" i="80"/>
  <c r="F11" i="80"/>
  <c r="L10" i="80"/>
  <c r="K10" i="80"/>
  <c r="J10" i="80"/>
  <c r="H10" i="80"/>
  <c r="L5" i="80" s="1"/>
  <c r="F10" i="80"/>
  <c r="G10" i="80" s="1"/>
  <c r="L9" i="80"/>
  <c r="J9" i="80"/>
  <c r="H9" i="80"/>
  <c r="F9" i="80"/>
  <c r="G9" i="80" s="1"/>
  <c r="L8" i="80"/>
  <c r="K8" i="80"/>
  <c r="K21" i="80" s="1"/>
  <c r="J8" i="80"/>
  <c r="J21" i="80" s="1"/>
  <c r="I7" i="123" s="1"/>
  <c r="H8" i="80"/>
  <c r="F8" i="80"/>
  <c r="G8" i="80" s="1"/>
  <c r="H7" i="80"/>
  <c r="F7" i="80"/>
  <c r="G7" i="80" s="1"/>
  <c r="H6" i="80"/>
  <c r="G6" i="80"/>
  <c r="F6" i="80"/>
  <c r="H5" i="80"/>
  <c r="L7" i="80" s="1"/>
  <c r="F5" i="80"/>
  <c r="G5" i="80" s="1"/>
  <c r="K7" i="80" s="1"/>
  <c r="H4" i="80"/>
  <c r="L4" i="80" s="1"/>
  <c r="F4" i="80"/>
  <c r="J4" i="80" s="1"/>
  <c r="L3" i="80"/>
  <c r="K3" i="80"/>
  <c r="J3" i="80"/>
  <c r="H3" i="80"/>
  <c r="G3" i="80"/>
  <c r="F3" i="80"/>
  <c r="H42" i="79"/>
  <c r="G42" i="79"/>
  <c r="F42" i="79"/>
  <c r="A42" i="79"/>
  <c r="H41" i="79"/>
  <c r="G41" i="79"/>
  <c r="F41" i="79"/>
  <c r="A41" i="79"/>
  <c r="H40" i="79"/>
  <c r="F40" i="79"/>
  <c r="G40" i="79" s="1"/>
  <c r="A40" i="79"/>
  <c r="H39" i="79"/>
  <c r="F39" i="79"/>
  <c r="G39" i="79" s="1"/>
  <c r="A39" i="79"/>
  <c r="H38" i="79"/>
  <c r="F38" i="79"/>
  <c r="G38" i="79" s="1"/>
  <c r="A38" i="79"/>
  <c r="H37" i="79"/>
  <c r="F37" i="79"/>
  <c r="G37" i="79" s="1"/>
  <c r="A37" i="79"/>
  <c r="H36" i="79"/>
  <c r="F36" i="79"/>
  <c r="G36" i="79" s="1"/>
  <c r="A36" i="79"/>
  <c r="H35" i="79"/>
  <c r="G35" i="79"/>
  <c r="F35" i="79"/>
  <c r="A35" i="79"/>
  <c r="H34" i="79"/>
  <c r="G34" i="79"/>
  <c r="F34" i="79"/>
  <c r="A34" i="79"/>
  <c r="H33" i="79"/>
  <c r="G33" i="79"/>
  <c r="F33" i="79"/>
  <c r="A33" i="79"/>
  <c r="H32" i="79"/>
  <c r="F32" i="79"/>
  <c r="G32" i="79" s="1"/>
  <c r="A32" i="79"/>
  <c r="H31" i="79"/>
  <c r="F31" i="79"/>
  <c r="G31" i="79" s="1"/>
  <c r="A31" i="79"/>
  <c r="H30" i="79"/>
  <c r="F30" i="79"/>
  <c r="G30" i="79" s="1"/>
  <c r="A30" i="79"/>
  <c r="H29" i="79"/>
  <c r="F29" i="79"/>
  <c r="G29" i="79" s="1"/>
  <c r="A29" i="79"/>
  <c r="H28" i="79"/>
  <c r="F28" i="79"/>
  <c r="G28" i="79" s="1"/>
  <c r="A28" i="79"/>
  <c r="H27" i="79"/>
  <c r="G27" i="79"/>
  <c r="F27" i="79"/>
  <c r="A27" i="79"/>
  <c r="H26" i="79"/>
  <c r="G26" i="79"/>
  <c r="F26" i="79"/>
  <c r="A26" i="79"/>
  <c r="H25" i="79"/>
  <c r="G25" i="79"/>
  <c r="F25" i="79"/>
  <c r="A25" i="79"/>
  <c r="H24" i="79"/>
  <c r="F24" i="79"/>
  <c r="G24" i="79" s="1"/>
  <c r="H23" i="79"/>
  <c r="F23" i="79"/>
  <c r="G23" i="79" s="1"/>
  <c r="H22" i="79"/>
  <c r="F22" i="79"/>
  <c r="G22" i="79" s="1"/>
  <c r="H21" i="79"/>
  <c r="F21" i="79"/>
  <c r="G21" i="79" s="1"/>
  <c r="H20" i="79"/>
  <c r="L4" i="79" s="1"/>
  <c r="L17" i="79" s="1"/>
  <c r="F6" i="123" s="1"/>
  <c r="F20" i="79"/>
  <c r="J4" i="79" s="1"/>
  <c r="L19" i="79"/>
  <c r="G6" i="123" s="1"/>
  <c r="H19" i="79"/>
  <c r="G19" i="79" s="1"/>
  <c r="F19" i="79"/>
  <c r="H18" i="79"/>
  <c r="G18" i="79"/>
  <c r="F18" i="79"/>
  <c r="H17" i="79"/>
  <c r="F17" i="79"/>
  <c r="G17" i="79" s="1"/>
  <c r="L16" i="79"/>
  <c r="E6" i="123" s="1"/>
  <c r="K16" i="79"/>
  <c r="B6" i="123" s="1"/>
  <c r="J16" i="79"/>
  <c r="H16" i="79"/>
  <c r="F16" i="79"/>
  <c r="G16" i="79" s="1"/>
  <c r="H15" i="79"/>
  <c r="F15" i="79"/>
  <c r="G15" i="79" s="1"/>
  <c r="H14" i="79"/>
  <c r="F14" i="79"/>
  <c r="G14" i="79" s="1"/>
  <c r="H13" i="79"/>
  <c r="F13" i="79"/>
  <c r="G13" i="79" s="1"/>
  <c r="L12" i="79"/>
  <c r="K12" i="79"/>
  <c r="K19" i="79" s="1"/>
  <c r="D6" i="123" s="1"/>
  <c r="J12" i="79"/>
  <c r="J19" i="79" s="1"/>
  <c r="H12" i="79"/>
  <c r="F12" i="79"/>
  <c r="G12" i="79" s="1"/>
  <c r="L11" i="79"/>
  <c r="L18" i="79" s="1"/>
  <c r="K11" i="79"/>
  <c r="K18" i="79" s="1"/>
  <c r="J11" i="79"/>
  <c r="J18" i="79" s="1"/>
  <c r="H11" i="79"/>
  <c r="F11" i="79"/>
  <c r="G11" i="79" s="1"/>
  <c r="L10" i="79"/>
  <c r="K10" i="79"/>
  <c r="J10" i="79"/>
  <c r="H10" i="79"/>
  <c r="L5" i="79" s="1"/>
  <c r="F10" i="79"/>
  <c r="G10" i="79" s="1"/>
  <c r="L9" i="79"/>
  <c r="K9" i="79"/>
  <c r="J9" i="79"/>
  <c r="H9" i="79"/>
  <c r="G9" i="79"/>
  <c r="F9" i="79"/>
  <c r="L8" i="79"/>
  <c r="L21" i="79" s="1"/>
  <c r="K8" i="79"/>
  <c r="K21" i="79" s="1"/>
  <c r="J8" i="79"/>
  <c r="J21" i="79" s="1"/>
  <c r="I6" i="123" s="1"/>
  <c r="H8" i="79"/>
  <c r="F8" i="79"/>
  <c r="G8" i="79" s="1"/>
  <c r="L7" i="79"/>
  <c r="K7" i="79"/>
  <c r="J7" i="79"/>
  <c r="H7" i="79"/>
  <c r="G7" i="79"/>
  <c r="F7" i="79"/>
  <c r="H6" i="79"/>
  <c r="F6" i="79"/>
  <c r="G6" i="79" s="1"/>
  <c r="H5" i="79"/>
  <c r="F5" i="79"/>
  <c r="G5" i="79" s="1"/>
  <c r="H4" i="79"/>
  <c r="L6" i="79" s="1"/>
  <c r="G4" i="79"/>
  <c r="K6" i="79" s="1"/>
  <c r="F4" i="79"/>
  <c r="J6" i="79" s="1"/>
  <c r="L3" i="79"/>
  <c r="K3" i="79"/>
  <c r="J3" i="79"/>
  <c r="H3" i="79"/>
  <c r="F3" i="79"/>
  <c r="G3" i="79" s="1"/>
  <c r="H42" i="57"/>
  <c r="F42" i="57"/>
  <c r="G42" i="57" s="1"/>
  <c r="A42" i="57"/>
  <c r="H41" i="57"/>
  <c r="G41" i="57"/>
  <c r="F41" i="57"/>
  <c r="A41" i="57"/>
  <c r="H40" i="57"/>
  <c r="F40" i="57"/>
  <c r="G40" i="57" s="1"/>
  <c r="A40" i="57"/>
  <c r="H39" i="57"/>
  <c r="F39" i="57"/>
  <c r="G39" i="57" s="1"/>
  <c r="A39" i="57"/>
  <c r="H38" i="57"/>
  <c r="F38" i="57"/>
  <c r="G38" i="57" s="1"/>
  <c r="A38" i="57"/>
  <c r="H37" i="57"/>
  <c r="F37" i="57"/>
  <c r="G37" i="57" s="1"/>
  <c r="A37" i="57"/>
  <c r="H36" i="57"/>
  <c r="F36" i="57"/>
  <c r="G36" i="57" s="1"/>
  <c r="A36" i="57"/>
  <c r="H35" i="57"/>
  <c r="F35" i="57"/>
  <c r="G35" i="57" s="1"/>
  <c r="A35" i="57"/>
  <c r="H34" i="57"/>
  <c r="F34" i="57"/>
  <c r="G34" i="57" s="1"/>
  <c r="A34" i="57"/>
  <c r="H33" i="57"/>
  <c r="G33" i="57"/>
  <c r="F33" i="57"/>
  <c r="A33" i="57"/>
  <c r="H32" i="57"/>
  <c r="F32" i="57"/>
  <c r="G32" i="57" s="1"/>
  <c r="A32" i="57"/>
  <c r="H31" i="57"/>
  <c r="F31" i="57"/>
  <c r="G31" i="57" s="1"/>
  <c r="A31" i="57"/>
  <c r="H30" i="57"/>
  <c r="F30" i="57"/>
  <c r="G30" i="57" s="1"/>
  <c r="A30" i="57"/>
  <c r="H29" i="57"/>
  <c r="F29" i="57"/>
  <c r="G29" i="57" s="1"/>
  <c r="A29" i="57"/>
  <c r="H28" i="57"/>
  <c r="F28" i="57"/>
  <c r="G28" i="57" s="1"/>
  <c r="A28" i="57"/>
  <c r="H27" i="57"/>
  <c r="F27" i="57"/>
  <c r="G27" i="57" s="1"/>
  <c r="A27" i="57"/>
  <c r="H26" i="57"/>
  <c r="F26" i="57"/>
  <c r="G26" i="57" s="1"/>
  <c r="A26" i="57"/>
  <c r="H25" i="57"/>
  <c r="G25" i="57"/>
  <c r="F25" i="57"/>
  <c r="A25" i="57"/>
  <c r="H24" i="57"/>
  <c r="F24" i="57"/>
  <c r="G24" i="57" s="1"/>
  <c r="A24" i="57"/>
  <c r="H23" i="57"/>
  <c r="F23" i="57"/>
  <c r="G23" i="57" s="1"/>
  <c r="A23" i="57"/>
  <c r="H22" i="57"/>
  <c r="F22" i="57"/>
  <c r="G22" i="57" s="1"/>
  <c r="A22" i="57"/>
  <c r="J21" i="57"/>
  <c r="H21" i="57"/>
  <c r="G21" i="57"/>
  <c r="F21" i="57"/>
  <c r="A21" i="57"/>
  <c r="H20" i="57"/>
  <c r="F20" i="57"/>
  <c r="G20" i="57" s="1"/>
  <c r="A20" i="57"/>
  <c r="H19" i="57"/>
  <c r="F19" i="57"/>
  <c r="G19" i="57" s="1"/>
  <c r="H18" i="57"/>
  <c r="F18" i="57"/>
  <c r="G18" i="57" s="1"/>
  <c r="H17" i="57"/>
  <c r="G17" i="57" s="1"/>
  <c r="F17" i="57"/>
  <c r="H16" i="57"/>
  <c r="F16" i="57"/>
  <c r="G16" i="57" s="1"/>
  <c r="H15" i="57"/>
  <c r="F15" i="57"/>
  <c r="G15" i="57" s="1"/>
  <c r="H14" i="57"/>
  <c r="F14" i="57"/>
  <c r="G14" i="57" s="1"/>
  <c r="H13" i="57"/>
  <c r="F13" i="57"/>
  <c r="G13" i="57" s="1"/>
  <c r="L12" i="57"/>
  <c r="L19" i="57" s="1"/>
  <c r="G5" i="123" s="1"/>
  <c r="K12" i="57"/>
  <c r="K19" i="57" s="1"/>
  <c r="D5" i="123" s="1"/>
  <c r="J12" i="57"/>
  <c r="J19" i="57" s="1"/>
  <c r="H12" i="57"/>
  <c r="G12" i="57"/>
  <c r="F12" i="57"/>
  <c r="L11" i="57"/>
  <c r="L18" i="57" s="1"/>
  <c r="K11" i="57"/>
  <c r="K18" i="57" s="1"/>
  <c r="J11" i="57"/>
  <c r="J18" i="57" s="1"/>
  <c r="H11" i="57"/>
  <c r="F11" i="57"/>
  <c r="G11" i="57" s="1"/>
  <c r="L10" i="57"/>
  <c r="K10" i="57"/>
  <c r="J10" i="57"/>
  <c r="H10" i="57"/>
  <c r="F10" i="57"/>
  <c r="G10" i="57" s="1"/>
  <c r="L9" i="57"/>
  <c r="K9" i="57"/>
  <c r="J9" i="57"/>
  <c r="H9" i="57"/>
  <c r="F9" i="57"/>
  <c r="G9" i="57" s="1"/>
  <c r="L8" i="57"/>
  <c r="L21" i="57" s="1"/>
  <c r="K8" i="57"/>
  <c r="K21" i="57" s="1"/>
  <c r="J8" i="57"/>
  <c r="H8" i="57"/>
  <c r="F8" i="57"/>
  <c r="G8" i="57" s="1"/>
  <c r="L7" i="57"/>
  <c r="K7" i="57"/>
  <c r="J7" i="57"/>
  <c r="H7" i="57"/>
  <c r="L3" i="57" s="1"/>
  <c r="L16" i="57" s="1"/>
  <c r="E5" i="123" s="1"/>
  <c r="F7" i="57"/>
  <c r="G7" i="57" s="1"/>
  <c r="L6" i="57"/>
  <c r="K6" i="57"/>
  <c r="J6" i="57"/>
  <c r="H6" i="57"/>
  <c r="G6" i="57" s="1"/>
  <c r="F6" i="57"/>
  <c r="L5" i="57"/>
  <c r="K5" i="57"/>
  <c r="J5" i="57"/>
  <c r="H5" i="57"/>
  <c r="G5" i="57" s="1"/>
  <c r="F5" i="57"/>
  <c r="L4" i="57"/>
  <c r="L17" i="57" s="1"/>
  <c r="F5" i="123" s="1"/>
  <c r="K4" i="57"/>
  <c r="K17" i="57" s="1"/>
  <c r="C5" i="123" s="1"/>
  <c r="J4" i="57"/>
  <c r="J17" i="57" s="1"/>
  <c r="H4" i="57"/>
  <c r="F4" i="57"/>
  <c r="G4" i="57" s="1"/>
  <c r="H3" i="57"/>
  <c r="G3" i="57" s="1"/>
  <c r="F3" i="57"/>
  <c r="D42" i="123"/>
  <c r="D40" i="123"/>
  <c r="I38" i="123"/>
  <c r="G35" i="123"/>
  <c r="I32" i="123"/>
  <c r="G28" i="123"/>
  <c r="D27" i="123"/>
  <c r="E26" i="123"/>
  <c r="E19" i="123"/>
  <c r="I15" i="123"/>
  <c r="D15" i="123"/>
  <c r="D11" i="123"/>
  <c r="E9" i="123"/>
  <c r="I5" i="123"/>
  <c r="H26" i="123" l="1"/>
  <c r="J26" i="123" s="1"/>
  <c r="J20" i="101"/>
  <c r="J20" i="116"/>
  <c r="H41" i="123"/>
  <c r="J41" i="123" s="1"/>
  <c r="J20" i="115"/>
  <c r="H40" i="123"/>
  <c r="J40" i="123" s="1"/>
  <c r="K4" i="122"/>
  <c r="L17" i="122"/>
  <c r="G8" i="122"/>
  <c r="K5" i="122" s="1"/>
  <c r="J4" i="122"/>
  <c r="J17" i="122" s="1"/>
  <c r="J20" i="122" s="1"/>
  <c r="K4" i="121"/>
  <c r="K17" i="121" s="1"/>
  <c r="J21" i="121"/>
  <c r="L21" i="121"/>
  <c r="K9" i="121"/>
  <c r="K21" i="121" s="1"/>
  <c r="G7" i="121"/>
  <c r="J7" i="121"/>
  <c r="J17" i="121" s="1"/>
  <c r="J20" i="121" s="1"/>
  <c r="G9" i="121"/>
  <c r="K5" i="121" s="1"/>
  <c r="G21" i="121"/>
  <c r="K9" i="119"/>
  <c r="K21" i="119" s="1"/>
  <c r="J9" i="119"/>
  <c r="J21" i="119" s="1"/>
  <c r="G4" i="119"/>
  <c r="K11" i="119" s="1"/>
  <c r="K18" i="119" s="1"/>
  <c r="J17" i="120"/>
  <c r="L17" i="120"/>
  <c r="J20" i="120"/>
  <c r="G3" i="120"/>
  <c r="K5" i="120" s="1"/>
  <c r="G4" i="120"/>
  <c r="K6" i="120" s="1"/>
  <c r="G7" i="120"/>
  <c r="K4" i="120" s="1"/>
  <c r="K17" i="120" s="1"/>
  <c r="L17" i="118"/>
  <c r="F42" i="123" s="1"/>
  <c r="K5" i="118"/>
  <c r="K4" i="118"/>
  <c r="K9" i="118"/>
  <c r="K21" i="118" s="1"/>
  <c r="G22" i="118"/>
  <c r="J5" i="118"/>
  <c r="J17" i="118" s="1"/>
  <c r="J20" i="118" s="1"/>
  <c r="J6" i="118"/>
  <c r="J20" i="114"/>
  <c r="G5" i="114"/>
  <c r="K10" i="114" s="1"/>
  <c r="K17" i="114" s="1"/>
  <c r="C39" i="123" s="1"/>
  <c r="H39" i="123" s="1"/>
  <c r="J39" i="123" s="1"/>
  <c r="L10" i="114"/>
  <c r="L17" i="114" s="1"/>
  <c r="F39" i="123" s="1"/>
  <c r="K10" i="112"/>
  <c r="K17" i="112" s="1"/>
  <c r="C37" i="123" s="1"/>
  <c r="H37" i="123" s="1"/>
  <c r="J37" i="123" s="1"/>
  <c r="J10" i="112"/>
  <c r="J17" i="112" s="1"/>
  <c r="J20" i="112" s="1"/>
  <c r="J20" i="111"/>
  <c r="G3" i="111"/>
  <c r="K3" i="111" s="1"/>
  <c r="K16" i="111" s="1"/>
  <c r="B36" i="123" s="1"/>
  <c r="H36" i="123" s="1"/>
  <c r="J36" i="123" s="1"/>
  <c r="K17" i="113"/>
  <c r="C38" i="123" s="1"/>
  <c r="H38" i="123" s="1"/>
  <c r="J38" i="123" s="1"/>
  <c r="J3" i="113"/>
  <c r="J16" i="113" s="1"/>
  <c r="J20" i="113" s="1"/>
  <c r="K3" i="110"/>
  <c r="K16" i="110" s="1"/>
  <c r="B35" i="123" s="1"/>
  <c r="J7" i="110"/>
  <c r="J17" i="110" s="1"/>
  <c r="J3" i="110"/>
  <c r="J16" i="110" s="1"/>
  <c r="G21" i="110"/>
  <c r="K5" i="110" s="1"/>
  <c r="K17" i="110" s="1"/>
  <c r="C35" i="123" s="1"/>
  <c r="J20" i="108"/>
  <c r="G9" i="108"/>
  <c r="K4" i="108" s="1"/>
  <c r="G4" i="108"/>
  <c r="K5" i="108" s="1"/>
  <c r="G3" i="107"/>
  <c r="K3" i="107" s="1"/>
  <c r="K16" i="107" s="1"/>
  <c r="B32" i="123" s="1"/>
  <c r="H32" i="123" s="1"/>
  <c r="J32" i="123" s="1"/>
  <c r="K5" i="106"/>
  <c r="L17" i="106"/>
  <c r="F31" i="123" s="1"/>
  <c r="G14" i="106"/>
  <c r="G4" i="106"/>
  <c r="K4" i="106" s="1"/>
  <c r="K17" i="106" s="1"/>
  <c r="C31" i="123" s="1"/>
  <c r="H31" i="123" s="1"/>
  <c r="J31" i="123" s="1"/>
  <c r="J6" i="106"/>
  <c r="J17" i="106" s="1"/>
  <c r="J20" i="106" s="1"/>
  <c r="K17" i="109"/>
  <c r="C34" i="123" s="1"/>
  <c r="K3" i="109"/>
  <c r="K16" i="109" s="1"/>
  <c r="B34" i="123" s="1"/>
  <c r="H34" i="123" s="1"/>
  <c r="J34" i="123" s="1"/>
  <c r="J3" i="109"/>
  <c r="J16" i="109" s="1"/>
  <c r="J20" i="109" s="1"/>
  <c r="K4" i="104"/>
  <c r="J21" i="104"/>
  <c r="I29" i="123" s="1"/>
  <c r="J20" i="104"/>
  <c r="G5" i="104"/>
  <c r="K5" i="104" s="1"/>
  <c r="G13" i="104"/>
  <c r="K9" i="104" s="1"/>
  <c r="K21" i="104" s="1"/>
  <c r="L4" i="104"/>
  <c r="L17" i="104" s="1"/>
  <c r="F29" i="123" s="1"/>
  <c r="K4" i="103"/>
  <c r="K5" i="103"/>
  <c r="J4" i="103"/>
  <c r="J5" i="103"/>
  <c r="G18" i="103"/>
  <c r="K6" i="103" s="1"/>
  <c r="G12" i="103"/>
  <c r="K7" i="103" s="1"/>
  <c r="K5" i="102"/>
  <c r="G4" i="102"/>
  <c r="K4" i="102" s="1"/>
  <c r="J5" i="102"/>
  <c r="J17" i="102" s="1"/>
  <c r="J20" i="102" s="1"/>
  <c r="G5" i="102"/>
  <c r="K7" i="102" s="1"/>
  <c r="L17" i="105"/>
  <c r="F30" i="123" s="1"/>
  <c r="K17" i="105"/>
  <c r="C30" i="123" s="1"/>
  <c r="H30" i="123" s="1"/>
  <c r="J30" i="123" s="1"/>
  <c r="J4" i="105"/>
  <c r="J17" i="105" s="1"/>
  <c r="J20" i="105" s="1"/>
  <c r="K4" i="100"/>
  <c r="K5" i="100"/>
  <c r="J5" i="100"/>
  <c r="J17" i="100" s="1"/>
  <c r="J20" i="100" s="1"/>
  <c r="G22" i="100"/>
  <c r="J7" i="100"/>
  <c r="K3" i="99"/>
  <c r="K16" i="99" s="1"/>
  <c r="B24" i="123" s="1"/>
  <c r="H24" i="123" s="1"/>
  <c r="J24" i="123" s="1"/>
  <c r="J3" i="99"/>
  <c r="J16" i="99" s="1"/>
  <c r="J4" i="99"/>
  <c r="J17" i="99" s="1"/>
  <c r="J20" i="98"/>
  <c r="K5" i="98"/>
  <c r="K4" i="98"/>
  <c r="G9" i="98"/>
  <c r="L4" i="98"/>
  <c r="L17" i="98" s="1"/>
  <c r="F23" i="123" s="1"/>
  <c r="G6" i="98"/>
  <c r="K7" i="98" s="1"/>
  <c r="K21" i="97"/>
  <c r="L21" i="97"/>
  <c r="G8" i="97"/>
  <c r="K5" i="97" s="1"/>
  <c r="K17" i="97" s="1"/>
  <c r="C22" i="123" s="1"/>
  <c r="H22" i="123" s="1"/>
  <c r="J4" i="97"/>
  <c r="J17" i="97" s="1"/>
  <c r="J20" i="97" s="1"/>
  <c r="J9" i="97"/>
  <c r="J21" i="97" s="1"/>
  <c r="I22" i="123" s="1"/>
  <c r="K21" i="96"/>
  <c r="L17" i="96"/>
  <c r="F21" i="123" s="1"/>
  <c r="K4" i="96"/>
  <c r="K17" i="96" s="1"/>
  <c r="C21" i="123" s="1"/>
  <c r="H21" i="123" s="1"/>
  <c r="J21" i="123" s="1"/>
  <c r="K5" i="96"/>
  <c r="J4" i="96"/>
  <c r="J5" i="96"/>
  <c r="K12" i="95"/>
  <c r="K19" i="95" s="1"/>
  <c r="D20" i="123" s="1"/>
  <c r="K4" i="95"/>
  <c r="G14" i="95"/>
  <c r="K5" i="95" s="1"/>
  <c r="J4" i="95"/>
  <c r="J17" i="95" s="1"/>
  <c r="J20" i="95" s="1"/>
  <c r="K5" i="94"/>
  <c r="K4" i="94"/>
  <c r="L17" i="94"/>
  <c r="F19" i="123" s="1"/>
  <c r="G19" i="94"/>
  <c r="J5" i="94"/>
  <c r="J17" i="94" s="1"/>
  <c r="J20" i="94" s="1"/>
  <c r="L17" i="93"/>
  <c r="F18" i="123" s="1"/>
  <c r="J17" i="93"/>
  <c r="J20" i="93" s="1"/>
  <c r="G4" i="93"/>
  <c r="K4" i="93" s="1"/>
  <c r="K17" i="93" s="1"/>
  <c r="C18" i="123" s="1"/>
  <c r="H18" i="123" s="1"/>
  <c r="J18" i="123" s="1"/>
  <c r="G9" i="93"/>
  <c r="K5" i="93" s="1"/>
  <c r="G3" i="93"/>
  <c r="K7" i="93" s="1"/>
  <c r="J20" i="92"/>
  <c r="L17" i="92"/>
  <c r="F17" i="123" s="1"/>
  <c r="K21" i="92"/>
  <c r="L21" i="92"/>
  <c r="G7" i="92"/>
  <c r="K4" i="92" s="1"/>
  <c r="G4" i="92"/>
  <c r="K5" i="92" s="1"/>
  <c r="J9" i="92"/>
  <c r="J21" i="92" s="1"/>
  <c r="I17" i="123" s="1"/>
  <c r="K5" i="91"/>
  <c r="K17" i="91" s="1"/>
  <c r="C16" i="123" s="1"/>
  <c r="H16" i="123" s="1"/>
  <c r="J16" i="123" s="1"/>
  <c r="J5" i="91"/>
  <c r="J17" i="91" s="1"/>
  <c r="J20" i="91" s="1"/>
  <c r="K4" i="90"/>
  <c r="K17" i="90" s="1"/>
  <c r="C15" i="123" s="1"/>
  <c r="H15" i="123" s="1"/>
  <c r="J15" i="123" s="1"/>
  <c r="L17" i="90"/>
  <c r="F15" i="123" s="1"/>
  <c r="K5" i="90"/>
  <c r="J4" i="90"/>
  <c r="J17" i="90" s="1"/>
  <c r="J20" i="90" s="1"/>
  <c r="G10" i="90"/>
  <c r="K9" i="89"/>
  <c r="K21" i="89" s="1"/>
  <c r="K5" i="89"/>
  <c r="K4" i="89"/>
  <c r="K17" i="89" s="1"/>
  <c r="C14" i="123" s="1"/>
  <c r="H14" i="123" s="1"/>
  <c r="J14" i="123" s="1"/>
  <c r="L21" i="89"/>
  <c r="J9" i="89"/>
  <c r="J21" i="89" s="1"/>
  <c r="I14" i="123" s="1"/>
  <c r="J4" i="89"/>
  <c r="J17" i="89" s="1"/>
  <c r="J20" i="89" s="1"/>
  <c r="G16" i="89"/>
  <c r="K4" i="88"/>
  <c r="J17" i="88"/>
  <c r="J20" i="88" s="1"/>
  <c r="G11" i="88"/>
  <c r="K6" i="88" s="1"/>
  <c r="G6" i="88"/>
  <c r="K9" i="88" s="1"/>
  <c r="K21" i="88" s="1"/>
  <c r="G10" i="88"/>
  <c r="K5" i="88" s="1"/>
  <c r="K4" i="87"/>
  <c r="K16" i="87" s="1"/>
  <c r="C12" i="123" s="1"/>
  <c r="H12" i="123" s="1"/>
  <c r="J12" i="123" s="1"/>
  <c r="L16" i="87"/>
  <c r="F12" i="123" s="1"/>
  <c r="K5" i="87"/>
  <c r="J4" i="87"/>
  <c r="J16" i="87" s="1"/>
  <c r="J19" i="87" s="1"/>
  <c r="J5" i="87"/>
  <c r="G6" i="87"/>
  <c r="K6" i="87" s="1"/>
  <c r="K17" i="86"/>
  <c r="C11" i="123" s="1"/>
  <c r="J20" i="86"/>
  <c r="G3" i="86"/>
  <c r="K3" i="86" s="1"/>
  <c r="K16" i="86" s="1"/>
  <c r="B11" i="123" s="1"/>
  <c r="H11" i="123" s="1"/>
  <c r="J11" i="123" s="1"/>
  <c r="K5" i="85"/>
  <c r="K17" i="85" s="1"/>
  <c r="C10" i="123" s="1"/>
  <c r="H10" i="123" s="1"/>
  <c r="J10" i="123" s="1"/>
  <c r="L17" i="85"/>
  <c r="F10" i="123" s="1"/>
  <c r="G17" i="85"/>
  <c r="J7" i="85"/>
  <c r="J17" i="85" s="1"/>
  <c r="J20" i="85" s="1"/>
  <c r="K4" i="83"/>
  <c r="K17" i="83" s="1"/>
  <c r="C9" i="123" s="1"/>
  <c r="H9" i="123" s="1"/>
  <c r="J9" i="123" s="1"/>
  <c r="L17" i="83"/>
  <c r="F9" i="123" s="1"/>
  <c r="J20" i="83"/>
  <c r="G3" i="83"/>
  <c r="K5" i="83" s="1"/>
  <c r="G6" i="83"/>
  <c r="K6" i="83" s="1"/>
  <c r="G14" i="83"/>
  <c r="K9" i="82"/>
  <c r="K21" i="82" s="1"/>
  <c r="J17" i="82"/>
  <c r="J20" i="82" s="1"/>
  <c r="L17" i="82"/>
  <c r="F8" i="123" s="1"/>
  <c r="G12" i="82"/>
  <c r="K7" i="82" s="1"/>
  <c r="G8" i="82"/>
  <c r="K4" i="82" s="1"/>
  <c r="G9" i="82"/>
  <c r="K5" i="82" s="1"/>
  <c r="K5" i="80"/>
  <c r="L17" i="80"/>
  <c r="F7" i="123" s="1"/>
  <c r="J5" i="80"/>
  <c r="J17" i="80" s="1"/>
  <c r="J20" i="80" s="1"/>
  <c r="J6" i="80"/>
  <c r="G4" i="80"/>
  <c r="K4" i="80" s="1"/>
  <c r="K17" i="80" s="1"/>
  <c r="C7" i="123" s="1"/>
  <c r="H7" i="123" s="1"/>
  <c r="J7" i="123" s="1"/>
  <c r="J7" i="80"/>
  <c r="K5" i="79"/>
  <c r="K4" i="79"/>
  <c r="K17" i="79" s="1"/>
  <c r="C6" i="123" s="1"/>
  <c r="H6" i="123" s="1"/>
  <c r="J6" i="123" s="1"/>
  <c r="J5" i="79"/>
  <c r="J17" i="79" s="1"/>
  <c r="J20" i="79" s="1"/>
  <c r="G20" i="79"/>
  <c r="K3" i="57"/>
  <c r="K16" i="57" s="1"/>
  <c r="B5" i="123" s="1"/>
  <c r="H5" i="123" s="1"/>
  <c r="J5" i="123" s="1"/>
  <c r="J3" i="57"/>
  <c r="J16" i="57" s="1"/>
  <c r="J20" i="57" s="1"/>
  <c r="K17" i="122" l="1"/>
  <c r="K17" i="118"/>
  <c r="C42" i="123" s="1"/>
  <c r="H42" i="123" s="1"/>
  <c r="J42" i="123" s="1"/>
  <c r="J20" i="110"/>
  <c r="H35" i="123"/>
  <c r="J35" i="123" s="1"/>
  <c r="K17" i="108"/>
  <c r="C33" i="123" s="1"/>
  <c r="H33" i="123" s="1"/>
  <c r="J33" i="123" s="1"/>
  <c r="K17" i="104"/>
  <c r="C29" i="123" s="1"/>
  <c r="H29" i="123" s="1"/>
  <c r="J29" i="123" s="1"/>
  <c r="J17" i="103"/>
  <c r="J20" i="103" s="1"/>
  <c r="K17" i="103"/>
  <c r="C28" i="123" s="1"/>
  <c r="H28" i="123" s="1"/>
  <c r="J28" i="123" s="1"/>
  <c r="K17" i="102"/>
  <c r="C27" i="123" s="1"/>
  <c r="H27" i="123" s="1"/>
  <c r="J27" i="123" s="1"/>
  <c r="K17" i="100"/>
  <c r="C25" i="123" s="1"/>
  <c r="H25" i="123" s="1"/>
  <c r="J25" i="123" s="1"/>
  <c r="J20" i="99"/>
  <c r="K17" i="98"/>
  <c r="C23" i="123" s="1"/>
  <c r="H23" i="123" s="1"/>
  <c r="J23" i="123" s="1"/>
  <c r="J22" i="123"/>
  <c r="J17" i="96"/>
  <c r="J20" i="96" s="1"/>
  <c r="K17" i="95"/>
  <c r="C20" i="123" s="1"/>
  <c r="H20" i="123" s="1"/>
  <c r="J20" i="123" s="1"/>
  <c r="K17" i="94"/>
  <c r="C19" i="123" s="1"/>
  <c r="H19" i="123" s="1"/>
  <c r="J19" i="123" s="1"/>
  <c r="K17" i="92"/>
  <c r="C17" i="123" s="1"/>
  <c r="H17" i="123" s="1"/>
  <c r="J17" i="123" s="1"/>
  <c r="K17" i="88"/>
  <c r="C13" i="123" s="1"/>
  <c r="H13" i="123" s="1"/>
  <c r="J13" i="123" s="1"/>
  <c r="K17" i="82"/>
  <c r="C8" i="123" s="1"/>
  <c r="H8" i="123" s="1"/>
  <c r="J8" i="123" s="1"/>
  <c r="A29" i="86"/>
  <c r="A10" i="97"/>
  <c r="A10" i="103"/>
  <c r="A24" i="86"/>
  <c r="A13" i="122"/>
  <c r="A7" i="98"/>
  <c r="A27" i="120"/>
  <c r="A7" i="82"/>
  <c r="A13" i="94"/>
  <c r="A31" i="86"/>
  <c r="A19" i="118"/>
  <c r="A26" i="97"/>
  <c r="A9" i="104"/>
  <c r="A21" i="89"/>
  <c r="A7" i="102"/>
  <c r="A4" i="109"/>
  <c r="A19" i="99"/>
  <c r="A19" i="97"/>
  <c r="A27" i="83"/>
  <c r="A24" i="119"/>
  <c r="A6" i="79"/>
  <c r="A20" i="91"/>
  <c r="A25" i="89"/>
  <c r="A10" i="92"/>
  <c r="A9" i="98"/>
  <c r="A17" i="102"/>
  <c r="A18" i="120"/>
  <c r="A17" i="82"/>
  <c r="A26" i="109"/>
  <c r="A6" i="88"/>
  <c r="A17" i="80"/>
  <c r="A19" i="122"/>
  <c r="A8" i="94"/>
  <c r="A19" i="103"/>
  <c r="A4" i="88"/>
  <c r="A12" i="80"/>
  <c r="A14" i="105"/>
  <c r="A3" i="82"/>
  <c r="A3" i="105"/>
  <c r="A23" i="83"/>
  <c r="A16" i="100"/>
  <c r="A8" i="83"/>
  <c r="A3" i="112"/>
  <c r="A27" i="97"/>
  <c r="A9" i="80"/>
  <c r="A21" i="80"/>
  <c r="A5" i="89"/>
  <c r="A15" i="88"/>
  <c r="A11" i="103"/>
  <c r="A22" i="85"/>
  <c r="A12" i="86"/>
  <c r="A7" i="97"/>
  <c r="A15" i="57"/>
  <c r="A16" i="92"/>
  <c r="A9" i="103"/>
  <c r="A12" i="79"/>
  <c r="A22" i="108"/>
  <c r="A23" i="88"/>
  <c r="A12" i="102"/>
  <c r="A20" i="80"/>
  <c r="A10" i="83"/>
  <c r="A28" i="97"/>
  <c r="A9" i="86"/>
  <c r="A11" i="98"/>
  <c r="A18" i="108"/>
  <c r="A11" i="93"/>
  <c r="A3" i="107"/>
  <c r="A5" i="112"/>
  <c r="A23" i="80"/>
  <c r="A11" i="104"/>
  <c r="A22" i="121"/>
  <c r="A20" i="100"/>
  <c r="A19" i="111"/>
  <c r="A4" i="110"/>
  <c r="A15" i="94"/>
  <c r="A7" i="88"/>
  <c r="A14" i="122"/>
  <c r="A12" i="103"/>
  <c r="A14" i="118"/>
  <c r="A7" i="79"/>
  <c r="A24" i="120"/>
  <c r="A18" i="97"/>
  <c r="A3" i="97"/>
  <c r="A23" i="113"/>
  <c r="A11" i="99"/>
  <c r="A19" i="90"/>
  <c r="A4" i="103"/>
  <c r="A20" i="122"/>
  <c r="A19" i="108"/>
  <c r="A12" i="119"/>
  <c r="A13" i="102"/>
  <c r="A14" i="111"/>
  <c r="A16" i="97"/>
  <c r="A16" i="94"/>
  <c r="A20" i="95"/>
  <c r="A5" i="104"/>
  <c r="A8" i="82"/>
  <c r="A21" i="104"/>
  <c r="A16" i="83"/>
  <c r="A13" i="87"/>
  <c r="A23" i="107"/>
  <c r="A20" i="119"/>
  <c r="A12" i="97"/>
  <c r="A25" i="88"/>
  <c r="A14" i="92"/>
  <c r="A20" i="83"/>
  <c r="A12" i="109"/>
  <c r="A26" i="86"/>
  <c r="A7" i="114"/>
  <c r="A15" i="108"/>
  <c r="A18" i="122"/>
  <c r="A4" i="121"/>
  <c r="A20" i="105"/>
  <c r="A6" i="109"/>
  <c r="A27" i="96"/>
  <c r="A13" i="104"/>
  <c r="A15" i="102"/>
  <c r="A16" i="80"/>
  <c r="A19" i="121"/>
  <c r="A14" i="88"/>
  <c r="A10" i="112"/>
  <c r="A10" i="100"/>
  <c r="A8" i="120"/>
  <c r="A18" i="110"/>
  <c r="A13" i="85"/>
  <c r="A4" i="80"/>
  <c r="A21" i="96"/>
  <c r="A4" i="102"/>
  <c r="A5" i="107"/>
  <c r="A3" i="106"/>
  <c r="A26" i="118"/>
  <c r="A10" i="106"/>
  <c r="A5" i="113"/>
  <c r="A4" i="106"/>
  <c r="A16" i="95"/>
  <c r="A17" i="121"/>
  <c r="A17" i="96"/>
  <c r="A18" i="90"/>
  <c r="A5" i="108"/>
  <c r="A17" i="100"/>
  <c r="A9" i="110"/>
  <c r="A30" i="86"/>
  <c r="A18" i="86"/>
  <c r="A17" i="104"/>
  <c r="A25" i="118"/>
  <c r="A10" i="105"/>
  <c r="A16" i="89"/>
  <c r="A3" i="104"/>
  <c r="A7" i="121"/>
  <c r="A11" i="92"/>
  <c r="A26" i="96"/>
  <c r="A17" i="97"/>
  <c r="A6" i="96"/>
  <c r="A27" i="108"/>
  <c r="A7" i="100"/>
  <c r="A17" i="108"/>
  <c r="A8" i="98"/>
  <c r="A24" i="96"/>
  <c r="A13" i="90"/>
  <c r="A21" i="91"/>
  <c r="A6" i="83"/>
  <c r="A16" i="107"/>
  <c r="A23" i="100"/>
  <c r="A3" i="99"/>
  <c r="A6" i="82"/>
  <c r="A35" i="107"/>
  <c r="A24" i="97"/>
  <c r="A13" i="120"/>
  <c r="A12" i="112"/>
  <c r="A22" i="91"/>
  <c r="A22" i="95"/>
  <c r="A15" i="121"/>
  <c r="A24" i="80"/>
  <c r="A18" i="121"/>
  <c r="A3" i="118"/>
  <c r="A5" i="100"/>
  <c r="A25" i="95"/>
  <c r="A12" i="85"/>
  <c r="A6" i="89"/>
  <c r="A7" i="113"/>
  <c r="A10" i="121"/>
  <c r="A3" i="89"/>
  <c r="A28" i="89"/>
  <c r="A3" i="88"/>
  <c r="A20" i="113"/>
  <c r="A16" i="96"/>
  <c r="A24" i="121"/>
  <c r="A17" i="99"/>
  <c r="A21" i="105"/>
  <c r="A12" i="104"/>
  <c r="A7" i="110"/>
  <c r="A18" i="107"/>
  <c r="A9" i="93"/>
  <c r="A28" i="86"/>
  <c r="A15" i="95"/>
  <c r="A12" i="108"/>
  <c r="A14" i="99"/>
  <c r="A9" i="114"/>
  <c r="A9" i="109"/>
  <c r="A26" i="120"/>
  <c r="A17" i="105"/>
  <c r="A20" i="111"/>
  <c r="A23" i="111"/>
  <c r="A8" i="97"/>
  <c r="A28" i="118"/>
  <c r="A14" i="95"/>
  <c r="A22" i="88"/>
  <c r="A16" i="118"/>
  <c r="A25" i="96"/>
  <c r="A6" i="92"/>
  <c r="A7" i="57"/>
  <c r="A6" i="100"/>
  <c r="A17" i="88"/>
  <c r="A18" i="87"/>
  <c r="A33" i="107"/>
  <c r="A21" i="79"/>
  <c r="A13" i="89"/>
  <c r="A6" i="86"/>
  <c r="A20" i="92"/>
  <c r="A27" i="107"/>
  <c r="A18" i="92"/>
  <c r="A3" i="120"/>
  <c r="A12" i="113"/>
  <c r="A22" i="100"/>
  <c r="A15" i="109"/>
  <c r="A13" i="100"/>
  <c r="A4" i="119"/>
  <c r="A20" i="89"/>
  <c r="A5" i="94"/>
  <c r="A25" i="119"/>
  <c r="A11" i="110"/>
  <c r="A9" i="113"/>
  <c r="A21" i="106"/>
  <c r="A21" i="120"/>
  <c r="A8" i="108"/>
  <c r="A21" i="121"/>
  <c r="A14" i="113"/>
  <c r="A26" i="80"/>
  <c r="A4" i="85"/>
  <c r="A12" i="93"/>
  <c r="A23" i="95"/>
  <c r="A15" i="97"/>
  <c r="A5" i="98"/>
  <c r="A24" i="118"/>
  <c r="A24" i="108"/>
  <c r="A11" i="106"/>
  <c r="A8" i="110"/>
  <c r="A27" i="121"/>
  <c r="A32" i="107"/>
  <c r="A16" i="90"/>
  <c r="A5" i="93"/>
  <c r="A18" i="103"/>
  <c r="A3" i="102"/>
  <c r="A16" i="85"/>
  <c r="A8" i="57"/>
  <c r="A4" i="118"/>
  <c r="A9" i="102"/>
  <c r="A3" i="80"/>
  <c r="A13" i="110"/>
  <c r="A18" i="85"/>
  <c r="A22" i="106"/>
  <c r="A14" i="83"/>
  <c r="A12" i="99"/>
  <c r="A5" i="99"/>
  <c r="A10" i="91"/>
  <c r="A4" i="112"/>
  <c r="A7" i="86"/>
  <c r="A17" i="103"/>
  <c r="A9" i="88"/>
  <c r="A29" i="118"/>
  <c r="A34" i="107"/>
  <c r="A6" i="106"/>
  <c r="A41" i="107"/>
  <c r="A3" i="109"/>
  <c r="A21" i="107"/>
  <c r="A14" i="106"/>
  <c r="A24" i="91"/>
  <c r="A12" i="82"/>
  <c r="A6" i="114"/>
  <c r="A5" i="82"/>
  <c r="A27" i="100"/>
  <c r="A20" i="108"/>
  <c r="A8" i="122"/>
  <c r="A24" i="109"/>
  <c r="A3" i="114"/>
  <c r="A21" i="93"/>
  <c r="A14" i="87"/>
  <c r="A18" i="109"/>
  <c r="A5" i="88"/>
  <c r="A20" i="96"/>
  <c r="A9" i="87"/>
  <c r="A9" i="121"/>
  <c r="A5" i="90"/>
  <c r="A17" i="122"/>
  <c r="A9" i="82"/>
  <c r="A4" i="97"/>
  <c r="A10" i="120"/>
  <c r="A15" i="82"/>
  <c r="A4" i="93"/>
  <c r="A19" i="86"/>
  <c r="A14" i="97"/>
  <c r="A5" i="119"/>
  <c r="A13" i="93"/>
  <c r="A30" i="118"/>
  <c r="A16" i="106"/>
  <c r="A11" i="111"/>
  <c r="A17" i="118"/>
  <c r="A25" i="92"/>
  <c r="A18" i="83"/>
  <c r="A8" i="85"/>
  <c r="A5" i="122"/>
  <c r="A20" i="88"/>
  <c r="A12" i="89"/>
  <c r="A12" i="96"/>
  <c r="A25" i="93"/>
  <c r="A10" i="95"/>
  <c r="A7" i="112"/>
  <c r="A25" i="100"/>
  <c r="A9" i="85"/>
  <c r="A9" i="57"/>
  <c r="A12" i="90"/>
  <c r="A40" i="107"/>
  <c r="A8" i="103"/>
  <c r="A31" i="118"/>
  <c r="A8" i="93"/>
  <c r="A24" i="85"/>
  <c r="A26" i="83"/>
  <c r="A3" i="122"/>
  <c r="A13" i="111"/>
  <c r="A15" i="122"/>
  <c r="A3" i="90"/>
  <c r="A25" i="107"/>
  <c r="A13" i="86"/>
  <c r="A10" i="87"/>
  <c r="A14" i="120"/>
  <c r="A27" i="89"/>
  <c r="A24" i="92"/>
  <c r="A17" i="83"/>
  <c r="A7" i="87"/>
  <c r="A9" i="100"/>
  <c r="A23" i="118"/>
  <c r="A17" i="93"/>
  <c r="A20" i="103"/>
  <c r="A19" i="94"/>
  <c r="A25" i="97"/>
  <c r="A31" i="107"/>
  <c r="A18" i="100"/>
  <c r="A8" i="90"/>
  <c r="A8" i="99"/>
  <c r="A9" i="106"/>
  <c r="A18" i="102"/>
  <c r="A19" i="89"/>
  <c r="A11" i="88"/>
  <c r="A8" i="106"/>
  <c r="A24" i="113"/>
  <c r="A4" i="83"/>
  <c r="A3" i="83"/>
  <c r="A37" i="107"/>
  <c r="A4" i="86"/>
  <c r="A22" i="89"/>
  <c r="A8" i="119"/>
  <c r="A25" i="111"/>
  <c r="A21" i="83"/>
  <c r="A7" i="90"/>
  <c r="A7" i="83"/>
  <c r="A32" i="86"/>
  <c r="A6" i="99"/>
  <c r="A22" i="119"/>
  <c r="A7" i="80"/>
  <c r="A23" i="104"/>
  <c r="A8" i="121"/>
  <c r="A15" i="105"/>
  <c r="A21" i="94"/>
  <c r="A19" i="88"/>
  <c r="A10" i="94"/>
  <c r="A7" i="85"/>
  <c r="A5" i="114"/>
  <c r="A14" i="82"/>
  <c r="A19" i="57"/>
  <c r="A6" i="102"/>
  <c r="A11" i="112"/>
  <c r="A10" i="89"/>
  <c r="A24" i="104"/>
  <c r="A9" i="112"/>
  <c r="A17" i="90"/>
  <c r="A39" i="107"/>
  <c r="A7" i="94"/>
  <c r="A25" i="121"/>
  <c r="A17" i="119"/>
  <c r="A19" i="85"/>
  <c r="A24" i="88"/>
  <c r="A16" i="79"/>
  <c r="A10" i="110"/>
  <c r="A24" i="94"/>
  <c r="A25" i="94"/>
  <c r="A10" i="119"/>
  <c r="A24" i="95"/>
  <c r="A17" i="110"/>
  <c r="A12" i="88"/>
  <c r="A5" i="95"/>
  <c r="A18" i="104"/>
  <c r="A7" i="91"/>
  <c r="A7" i="111"/>
  <c r="A5" i="87"/>
  <c r="A18" i="91"/>
  <c r="A3" i="93"/>
  <c r="A15" i="100"/>
  <c r="A3" i="91"/>
  <c r="A22" i="109"/>
  <c r="A7" i="106"/>
  <c r="A24" i="100"/>
  <c r="A5" i="111"/>
  <c r="A5" i="120"/>
  <c r="A9" i="108"/>
  <c r="A27" i="94"/>
  <c r="A8" i="107"/>
  <c r="A11" i="108"/>
  <c r="A6" i="107"/>
  <c r="A27" i="118"/>
  <c r="A21" i="110"/>
  <c r="A5" i="92"/>
  <c r="A4" i="113"/>
  <c r="A8" i="88"/>
  <c r="A10" i="80"/>
  <c r="A5" i="121"/>
  <c r="A8" i="100"/>
  <c r="A26" i="108"/>
  <c r="A24" i="93"/>
  <c r="A20" i="93"/>
  <c r="A4" i="91"/>
  <c r="A9" i="96"/>
  <c r="A4" i="99"/>
  <c r="A36" i="107"/>
  <c r="A3" i="113"/>
  <c r="A10" i="102"/>
  <c r="A15" i="107"/>
  <c r="A19" i="113"/>
  <c r="A15" i="87"/>
  <c r="A19" i="82"/>
  <c r="A23" i="96"/>
  <c r="A15" i="96"/>
  <c r="A18" i="80"/>
  <c r="A11" i="105"/>
  <c r="A23" i="93"/>
  <c r="A9" i="120"/>
  <c r="A27" i="119"/>
  <c r="A19" i="92"/>
  <c r="A13" i="97"/>
  <c r="A18" i="89"/>
  <c r="A17" i="87"/>
  <c r="A19" i="120"/>
  <c r="A11" i="95"/>
  <c r="A8" i="86"/>
  <c r="A4" i="96"/>
  <c r="A6" i="80"/>
  <c r="A14" i="104"/>
  <c r="A23" i="119"/>
  <c r="A13" i="119"/>
  <c r="A6" i="97"/>
  <c r="A13" i="105"/>
  <c r="A14" i="108"/>
  <c r="A10" i="108"/>
  <c r="A22" i="118"/>
  <c r="A15" i="103"/>
  <c r="A26" i="121"/>
  <c r="A8" i="102"/>
  <c r="A20" i="118"/>
  <c r="A4" i="111"/>
  <c r="A24" i="79"/>
  <c r="A6" i="111"/>
  <c r="A21" i="111"/>
  <c r="A12" i="120"/>
  <c r="A10" i="118"/>
  <c r="A9" i="99"/>
  <c r="A4" i="122"/>
  <c r="A24" i="111"/>
  <c r="A21" i="119"/>
  <c r="A25" i="120"/>
  <c r="A15" i="90"/>
  <c r="A7" i="119"/>
  <c r="A27" i="93"/>
  <c r="A27" i="95"/>
  <c r="A11" i="121"/>
  <c r="A21" i="122"/>
  <c r="A11" i="102"/>
  <c r="A15" i="89"/>
  <c r="A29" i="107"/>
  <c r="A21" i="92"/>
  <c r="A9" i="95"/>
  <c r="A15" i="80"/>
  <c r="A11" i="97"/>
  <c r="A13" i="79"/>
  <c r="A10" i="57"/>
  <c r="A7" i="104"/>
  <c r="A23" i="91"/>
  <c r="A5" i="91"/>
  <c r="A4" i="105"/>
  <c r="A11" i="119"/>
  <c r="A7" i="92"/>
  <c r="A4" i="94"/>
  <c r="A13" i="112"/>
  <c r="A21" i="85"/>
  <c r="A6" i="103"/>
  <c r="A16" i="87"/>
  <c r="A8" i="112"/>
  <c r="A9" i="105"/>
  <c r="A6" i="57"/>
  <c r="A3" i="79"/>
  <c r="A20" i="121"/>
  <c r="A16" i="110"/>
  <c r="A11" i="96"/>
  <c r="A14" i="109"/>
  <c r="A25" i="86"/>
  <c r="A23" i="108"/>
  <c r="A15" i="106"/>
  <c r="A22" i="94"/>
  <c r="A8" i="95"/>
  <c r="A12" i="83"/>
  <c r="A4" i="90"/>
  <c r="A14" i="85"/>
  <c r="A11" i="90"/>
  <c r="A10" i="90"/>
  <c r="A20" i="99"/>
  <c r="A14" i="80"/>
  <c r="A16" i="122"/>
  <c r="A20" i="85"/>
  <c r="A12" i="111"/>
  <c r="A27" i="86"/>
  <c r="A6" i="108"/>
  <c r="A12" i="91"/>
  <c r="A13" i="107"/>
  <c r="A3" i="119"/>
  <c r="A13" i="99"/>
  <c r="A7" i="120"/>
  <c r="A16" i="91"/>
  <c r="A19" i="93"/>
  <c r="A11" i="89"/>
  <c r="A12" i="105"/>
  <c r="A17" i="106"/>
  <c r="A21" i="88"/>
  <c r="A21" i="82"/>
  <c r="A21" i="95"/>
  <c r="A12" i="98"/>
  <c r="A20" i="86"/>
  <c r="A19" i="80"/>
  <c r="A14" i="119"/>
  <c r="A13" i="109"/>
  <c r="A11" i="86"/>
  <c r="A22" i="86"/>
  <c r="A12" i="100"/>
  <c r="A14" i="110"/>
  <c r="A11" i="120"/>
  <c r="A20" i="106"/>
  <c r="A11" i="91"/>
  <c r="A6" i="90"/>
  <c r="A21" i="86"/>
  <c r="A12" i="110"/>
  <c r="A23" i="86"/>
  <c r="A5" i="79"/>
  <c r="A5" i="80"/>
  <c r="A19" i="79"/>
  <c r="A25" i="109"/>
  <c r="A18" i="57"/>
  <c r="A24" i="89"/>
  <c r="A4" i="107"/>
  <c r="A9" i="118"/>
  <c r="A18" i="93"/>
  <c r="A11" i="83"/>
  <c r="A5" i="102"/>
  <c r="A22" i="120"/>
  <c r="A12" i="94"/>
  <c r="A3" i="98"/>
  <c r="A22" i="83"/>
  <c r="A3" i="95"/>
  <c r="A9" i="91"/>
  <c r="A13" i="96"/>
  <c r="A5" i="109"/>
  <c r="A16" i="102"/>
  <c r="A4" i="120"/>
  <c r="A4" i="95"/>
  <c r="A8" i="113"/>
  <c r="A19" i="107"/>
  <c r="A11" i="87"/>
  <c r="A17" i="109"/>
  <c r="A12" i="92"/>
  <c r="A12" i="87"/>
  <c r="A25" i="80"/>
  <c r="A13" i="121"/>
  <c r="A17" i="107"/>
  <c r="A10" i="85"/>
  <c r="A10" i="86"/>
  <c r="A8" i="87"/>
  <c r="A5" i="105"/>
  <c r="A17" i="86"/>
  <c r="A3" i="108"/>
  <c r="A7" i="93"/>
  <c r="A26" i="93"/>
  <c r="A15" i="86"/>
  <c r="A26" i="89"/>
  <c r="A18" i="99"/>
  <c r="A20" i="82"/>
  <c r="A10" i="104"/>
  <c r="A16" i="120"/>
  <c r="A19" i="109"/>
  <c r="A5" i="106"/>
  <c r="A25" i="85"/>
  <c r="A5" i="103"/>
  <c r="A19" i="110"/>
  <c r="A10" i="82"/>
  <c r="A21" i="97"/>
  <c r="A6" i="121"/>
  <c r="A9" i="90"/>
  <c r="A23" i="85"/>
  <c r="A16" i="93"/>
  <c r="A8" i="118"/>
  <c r="A6" i="122"/>
  <c r="A4" i="100"/>
  <c r="A9" i="92"/>
  <c r="A7" i="99"/>
  <c r="A13" i="80"/>
  <c r="A17" i="57"/>
  <c r="A3" i="87"/>
  <c r="A16" i="113"/>
  <c r="A15" i="83"/>
  <c r="A18" i="118"/>
  <c r="A11" i="118"/>
  <c r="A22" i="107"/>
  <c r="A11" i="100"/>
  <c r="A23" i="92"/>
  <c r="A9" i="94"/>
  <c r="A15" i="99"/>
  <c r="A6" i="95"/>
  <c r="A5" i="118"/>
  <c r="A10" i="114"/>
  <c r="A16" i="109"/>
  <c r="A8" i="91"/>
  <c r="A4" i="98"/>
  <c r="A9" i="107"/>
  <c r="A11" i="94"/>
  <c r="A19" i="91"/>
  <c r="A23" i="120"/>
  <c r="A14" i="102"/>
  <c r="A6" i="104"/>
  <c r="A10" i="79"/>
  <c r="A11" i="109"/>
  <c r="A10" i="93"/>
  <c r="A18" i="88"/>
  <c r="A6" i="98"/>
  <c r="A3" i="121"/>
  <c r="A14" i="86"/>
  <c r="A7" i="122"/>
  <c r="A22" i="79"/>
  <c r="A4" i="87"/>
  <c r="A17" i="95"/>
  <c r="A26" i="119"/>
  <c r="A5" i="96"/>
  <c r="A22" i="104"/>
  <c r="A13" i="113"/>
  <c r="A17" i="92"/>
  <c r="A20" i="94"/>
  <c r="A14" i="79"/>
  <c r="A5" i="110"/>
  <c r="A14" i="121"/>
  <c r="A14" i="107"/>
  <c r="A21" i="100"/>
  <c r="A22" i="93"/>
  <c r="A15" i="119"/>
  <c r="A10" i="99"/>
  <c r="A13" i="82"/>
  <c r="A10" i="109"/>
  <c r="A7" i="107"/>
  <c r="A12" i="95"/>
  <c r="A26" i="94"/>
  <c r="A8" i="92"/>
  <c r="A5" i="86"/>
  <c r="A15" i="79"/>
  <c r="A28" i="93"/>
  <c r="A20" i="97"/>
  <c r="A9" i="111"/>
  <c r="A17" i="120"/>
  <c r="A13" i="88"/>
  <c r="A11" i="57"/>
  <c r="A8" i="89"/>
  <c r="A9" i="89"/>
  <c r="A5" i="57"/>
  <c r="A14" i="100"/>
  <c r="A14" i="90"/>
  <c r="A18" i="95"/>
  <c r="A15" i="91"/>
  <c r="A10" i="113"/>
  <c r="A15" i="120"/>
  <c r="A17" i="94"/>
  <c r="A13" i="83"/>
  <c r="A25" i="108"/>
  <c r="A23" i="94"/>
  <c r="A23" i="109"/>
  <c r="A13" i="91"/>
  <c r="A23" i="97"/>
  <c r="A7" i="108"/>
  <c r="A16" i="111"/>
  <c r="A7" i="118"/>
  <c r="A15" i="93"/>
  <c r="A6" i="118"/>
  <c r="A6" i="87"/>
  <c r="A28" i="107"/>
  <c r="A25" i="83"/>
  <c r="A17" i="85"/>
  <c r="A10" i="111"/>
  <c r="A18" i="106"/>
  <c r="A22" i="111"/>
  <c r="A24" i="107"/>
  <c r="A19" i="102"/>
  <c r="A11" i="114"/>
  <c r="A12" i="118"/>
  <c r="A30" i="107"/>
  <c r="A12" i="121"/>
  <c r="A26" i="92"/>
  <c r="A3" i="103"/>
  <c r="A11" i="113"/>
  <c r="A26" i="107"/>
  <c r="A23" i="89"/>
  <c r="A20" i="79"/>
  <c r="A10" i="98"/>
  <c r="A16" i="108"/>
  <c r="A3" i="92"/>
  <c r="A6" i="91"/>
  <c r="A21" i="113"/>
  <c r="A14" i="57"/>
  <c r="A17" i="111"/>
  <c r="A8" i="104"/>
  <c r="A7" i="103"/>
  <c r="A9" i="97"/>
  <c r="A12" i="57"/>
  <c r="A20" i="110"/>
  <c r="A5" i="83"/>
  <c r="A19" i="105"/>
  <c r="A16" i="105"/>
  <c r="A6" i="105"/>
  <c r="A5" i="97"/>
  <c r="A10" i="88"/>
  <c r="A22" i="92"/>
  <c r="A14" i="91"/>
  <c r="A22" i="113"/>
  <c r="A13" i="118"/>
  <c r="A16" i="121"/>
  <c r="A19" i="83"/>
  <c r="A4" i="79"/>
  <c r="A13" i="106"/>
  <c r="A27" i="109"/>
  <c r="A32" i="118"/>
  <c r="A16" i="86"/>
  <c r="A4" i="89"/>
  <c r="A3" i="94"/>
  <c r="A16" i="88"/>
  <c r="A9" i="122"/>
  <c r="A14" i="103"/>
  <c r="A18" i="94"/>
  <c r="A4" i="57"/>
  <c r="A11" i="122"/>
  <c r="A18" i="79"/>
  <c r="A7" i="89"/>
  <c r="A17" i="89"/>
  <c r="A23" i="106"/>
  <c r="A15" i="92"/>
  <c r="A19" i="104"/>
  <c r="A19" i="106"/>
  <c r="A16" i="99"/>
  <c r="A11" i="80"/>
  <c r="A27" i="80"/>
  <c r="A3" i="96"/>
  <c r="A3" i="86"/>
  <c r="A29" i="89"/>
  <c r="A26" i="95"/>
  <c r="A3" i="100"/>
  <c r="A15" i="118"/>
  <c r="A3" i="85"/>
  <c r="A8" i="114"/>
  <c r="A14" i="89"/>
  <c r="A4" i="92"/>
  <c r="A14" i="94"/>
  <c r="A8" i="111"/>
  <c r="A11" i="79"/>
  <c r="A22" i="80"/>
  <c r="A4" i="82"/>
  <c r="A9" i="79"/>
  <c r="A21" i="118"/>
  <c r="A8" i="79"/>
  <c r="A12" i="106"/>
  <c r="A26" i="100"/>
  <c r="A13" i="92"/>
  <c r="A7" i="105"/>
  <c r="A20" i="120"/>
  <c r="A19" i="96"/>
  <c r="A38" i="107"/>
  <c r="A16" i="104"/>
  <c r="A18" i="111"/>
  <c r="A13" i="57"/>
  <c r="A23" i="79"/>
  <c r="A4" i="108"/>
  <c r="A5" i="85"/>
  <c r="A6" i="93"/>
  <c r="A17" i="113"/>
  <c r="A24" i="83"/>
  <c r="A12" i="107"/>
  <c r="A3" i="110"/>
  <c r="A17" i="79"/>
  <c r="A22" i="97"/>
  <c r="A14" i="93"/>
  <c r="A8" i="105"/>
  <c r="A20" i="107"/>
  <c r="A19" i="119"/>
  <c r="A18" i="96"/>
  <c r="A4" i="114"/>
  <c r="A7" i="96"/>
  <c r="A14" i="96"/>
  <c r="A6" i="113"/>
  <c r="A6" i="120"/>
  <c r="A18" i="119"/>
  <c r="A9" i="119"/>
  <c r="A11" i="82"/>
  <c r="A12" i="122"/>
  <c r="A11" i="85"/>
  <c r="A18" i="105"/>
  <c r="A6" i="85"/>
  <c r="A16" i="119"/>
  <c r="A10" i="96"/>
  <c r="A15" i="104"/>
  <c r="A21" i="109"/>
  <c r="A4" i="104"/>
  <c r="A13" i="108"/>
  <c r="A10" i="122"/>
  <c r="A11" i="107"/>
  <c r="A16" i="103"/>
  <c r="A22" i="96"/>
  <c r="A19" i="95"/>
  <c r="A6" i="110"/>
  <c r="A22" i="122"/>
  <c r="A20" i="104"/>
  <c r="A3" i="111"/>
  <c r="A23" i="121"/>
  <c r="A18" i="82"/>
  <c r="A10" i="107"/>
  <c r="A6" i="112"/>
  <c r="A16" i="57"/>
  <c r="A17" i="91"/>
  <c r="A13" i="95"/>
  <c r="A7" i="109"/>
  <c r="A19" i="100"/>
  <c r="A6" i="119"/>
  <c r="A6" i="94"/>
  <c r="A8" i="109"/>
  <c r="A7" i="95"/>
  <c r="A9" i="83"/>
  <c r="A20" i="109"/>
  <c r="A16" i="82"/>
  <c r="A13" i="103"/>
  <c r="A21" i="108"/>
  <c r="A18" i="113"/>
  <c r="A8" i="80"/>
  <c r="A8" i="96"/>
</calcChain>
</file>

<file path=xl/sharedStrings.xml><?xml version="1.0" encoding="utf-8"?>
<sst xmlns="http://schemas.openxmlformats.org/spreadsheetml/2006/main" count="3280" uniqueCount="89">
  <si>
    <t>汇总统计</t>
  </si>
  <si>
    <t>白班</t>
  </si>
  <si>
    <t>夜班</t>
  </si>
  <si>
    <t>总小时数</t>
  </si>
  <si>
    <t>调度席</t>
  </si>
  <si>
    <t>目录</t>
  </si>
  <si>
    <t>带班</t>
  </si>
  <si>
    <t>席位</t>
  </si>
  <si>
    <t>教员</t>
  </si>
  <si>
    <t>温若春</t>
  </si>
  <si>
    <t>明嘉</t>
  </si>
  <si>
    <t>徐万友</t>
  </si>
  <si>
    <t>耿若岩</t>
  </si>
  <si>
    <t>李明</t>
  </si>
  <si>
    <t>张虎</t>
  </si>
  <si>
    <t>马莲花</t>
  </si>
  <si>
    <t>刘国莲</t>
  </si>
  <si>
    <t>杜涛</t>
  </si>
  <si>
    <t>张文中</t>
  </si>
  <si>
    <t xml:space="preserve"> </t>
  </si>
  <si>
    <t>李秋实</t>
  </si>
  <si>
    <t>周岸</t>
  </si>
  <si>
    <t>詹泽彬</t>
  </si>
  <si>
    <t>张笑延</t>
  </si>
  <si>
    <t>沈宁</t>
  </si>
  <si>
    <t>胡鑫</t>
  </si>
  <si>
    <t>邓心豪</t>
  </si>
  <si>
    <t>黄恩</t>
  </si>
  <si>
    <t>严亮</t>
  </si>
  <si>
    <t>边昊</t>
  </si>
  <si>
    <t>张宗根</t>
  </si>
  <si>
    <t>宋天霖</t>
  </si>
  <si>
    <t>蔡昊霖</t>
  </si>
  <si>
    <t>叶大鹏</t>
  </si>
  <si>
    <t>王建超</t>
  </si>
  <si>
    <t>潘伟生</t>
  </si>
  <si>
    <t>王风瑞</t>
  </si>
  <si>
    <t>金鼎</t>
  </si>
  <si>
    <t>董志华</t>
  </si>
  <si>
    <t>姜文夫</t>
  </si>
  <si>
    <t>郭永杰</t>
  </si>
  <si>
    <t>朱永春</t>
  </si>
  <si>
    <t>刘琦</t>
  </si>
  <si>
    <t>吴疆</t>
  </si>
  <si>
    <t>巴富毅</t>
  </si>
  <si>
    <t>王维华</t>
  </si>
  <si>
    <t>何飞</t>
  </si>
  <si>
    <t>陈宏伟</t>
  </si>
  <si>
    <t>返回目录</t>
  </si>
  <si>
    <t>日  期</t>
  </si>
  <si>
    <t>岗  位</t>
  </si>
  <si>
    <t>上岗时刻</t>
  </si>
  <si>
    <t>交接班</t>
  </si>
  <si>
    <t>离岗时刻</t>
  </si>
  <si>
    <t>时段工作小时</t>
  </si>
  <si>
    <t>白班小时</t>
  </si>
  <si>
    <t>夜班小时 (0200-0800)</t>
  </si>
  <si>
    <t>统   计</t>
  </si>
  <si>
    <t>各席位总小时</t>
  </si>
  <si>
    <t>夜班小时 (0000-0800)</t>
  </si>
  <si>
    <t>备注</t>
  </si>
  <si>
    <t>带班主任</t>
  </si>
  <si>
    <t>完成</t>
  </si>
  <si>
    <t>带班主任席执勤小时</t>
  </si>
  <si>
    <t>机场管制席执勤小时</t>
  </si>
  <si>
    <t>机场协调席执勤小时</t>
  </si>
  <si>
    <t>放行席执勤小时</t>
  </si>
  <si>
    <t>地面席执勤小时</t>
  </si>
  <si>
    <t>生产调度席执勤小时</t>
  </si>
  <si>
    <t>航班调度席执勤小时</t>
  </si>
  <si>
    <t>综合协调席小时</t>
  </si>
  <si>
    <t>见习管制员小时</t>
  </si>
  <si>
    <t>管制教员席小时</t>
  </si>
  <si>
    <t>月度总小时统计</t>
  </si>
  <si>
    <t>统计</t>
  </si>
  <si>
    <t>席位执勤小时</t>
  </si>
  <si>
    <t>管制教员小时</t>
  </si>
  <si>
    <t>月度总小时</t>
  </si>
  <si>
    <t>东塔台管制席</t>
  </si>
  <si>
    <t>放行席</t>
  </si>
  <si>
    <t>西塔台管制席</t>
  </si>
  <si>
    <t>东塔台协调席</t>
  </si>
  <si>
    <t>西塔台协调席</t>
  </si>
  <si>
    <t>地面席</t>
  </si>
  <si>
    <t>航班调度席</t>
  </si>
  <si>
    <t xml:space="preserve"> 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</si>
  <si>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综合协调席</t>
  </si>
  <si>
    <t>管制教员席</t>
  </si>
  <si>
    <t>见习管制员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</si>
</sst>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_ "/>
    <numFmt numFmtId="177" formatCode="0.00_);[Red]\(0.00\)"/>
    <numFmt numFmtId="178" formatCode="h:mm:ss;@"/>
    <numFmt numFmtId="179" formatCode="0.0_);[Red]\(0.0\)"/>
    <numFmt numFmtId="180" formatCode="0.0"/>
    <numFmt numFmtId="181" formatCode="0.00_ "/>
  </numFmts>
  <fonts count="18" x14ac:knownFonts="1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rgb="FFFF0000"/>
      <name val="宋体"/>
      <charset val="134"/>
      <scheme val="minor"/>
    </font>
    <font>
      <b/>
      <sz val="14"/>
      <color theme="4"/>
      <name val="宋体"/>
      <charset val="134"/>
      <scheme val="minor"/>
    </font>
    <font>
      <b/>
      <sz val="14"/>
      <color theme="7"/>
      <name val="宋体"/>
      <charset val="134"/>
      <scheme val="minor"/>
    </font>
    <font>
      <b/>
      <sz val="14"/>
      <color theme="9"/>
      <name val="宋体"/>
      <charset val="134"/>
      <scheme val="minor"/>
    </font>
    <font>
      <b/>
      <sz val="18"/>
      <color theme="1"/>
      <name val="宋体"/>
      <charset val="134"/>
      <scheme val="minor"/>
    </font>
    <font>
      <sz val="18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sz val="16"/>
      <color theme="1"/>
      <name val="宋体"/>
      <charset val="134"/>
      <scheme val="minor"/>
    </font>
    <font>
      <b/>
      <sz val="16"/>
      <color rgb="FFFF00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20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>
      <alignment vertical="center"/>
    </xf>
  </cellStyleXfs>
  <cellXfs count="71">
    <xf numFmtId="0" fontId="0" fillId="0" borderId="0" xfId="0"/>
    <xf numFmtId="0" fontId="0" fillId="0" borderId="0" xfId="0" applyNumberFormat="1"/>
    <xf numFmtId="176" fontId="0" fillId="0" borderId="0" xfId="0" applyNumberFormat="1"/>
    <xf numFmtId="177" fontId="0" fillId="0" borderId="0" xfId="0" applyNumberFormat="1"/>
    <xf numFmtId="177" fontId="1" fillId="0" borderId="0" xfId="0" applyNumberFormat="1" applyFont="1"/>
    <xf numFmtId="178" fontId="3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 wrapText="1"/>
    </xf>
    <xf numFmtId="177" fontId="1" fillId="0" borderId="1" xfId="0" applyNumberFormat="1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 wrapText="1"/>
    </xf>
    <xf numFmtId="177" fontId="1" fillId="0" borderId="1" xfId="0" applyNumberFormat="1" applyFont="1" applyFill="1" applyBorder="1" applyAlignment="1">
      <alignment horizontal="center" vertical="center" wrapText="1"/>
    </xf>
    <xf numFmtId="177" fontId="5" fillId="0" borderId="1" xfId="0" applyNumberFormat="1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  <xf numFmtId="179" fontId="5" fillId="0" borderId="1" xfId="0" applyNumberFormat="1" applyFont="1" applyFill="1" applyBorder="1" applyAlignment="1"/>
    <xf numFmtId="0" fontId="0" fillId="0" borderId="1" xfId="0" applyFont="1" applyFill="1" applyBorder="1" applyAlignment="1"/>
    <xf numFmtId="21" fontId="0" fillId="0" borderId="0" xfId="0" applyNumberFormat="1"/>
    <xf numFmtId="177" fontId="6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9" fontId="6" fillId="0" borderId="1" xfId="0" applyNumberFormat="1" applyFont="1" applyFill="1" applyBorder="1" applyAlignment="1"/>
    <xf numFmtId="177" fontId="7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>
      <alignment horizontal="center" vertical="center"/>
    </xf>
    <xf numFmtId="179" fontId="7" fillId="0" borderId="1" xfId="0" applyNumberFormat="1" applyFont="1" applyFill="1" applyBorder="1" applyAlignment="1"/>
    <xf numFmtId="177" fontId="8" fillId="0" borderId="1" xfId="0" applyNumberFormat="1" applyFont="1" applyFill="1" applyBorder="1" applyAlignment="1">
      <alignment horizontal="center" vertical="center"/>
    </xf>
    <xf numFmtId="176" fontId="8" fillId="0" borderId="1" xfId="0" applyNumberFormat="1" applyFont="1" applyFill="1" applyBorder="1" applyAlignment="1">
      <alignment horizontal="center" vertical="center"/>
    </xf>
    <xf numFmtId="179" fontId="8" fillId="0" borderId="1" xfId="0" applyNumberFormat="1" applyFont="1" applyFill="1" applyBorder="1" applyAlignment="1"/>
    <xf numFmtId="177" fontId="11" fillId="0" borderId="2" xfId="0" applyNumberFormat="1" applyFont="1" applyFill="1" applyBorder="1" applyAlignment="1">
      <alignment horizontal="center" vertical="center"/>
    </xf>
    <xf numFmtId="178" fontId="11" fillId="0" borderId="2" xfId="0" applyNumberFormat="1" applyFont="1" applyFill="1" applyBorder="1" applyAlignment="1">
      <alignment horizontal="center" vertical="center" wrapText="1"/>
    </xf>
    <xf numFmtId="178" fontId="11" fillId="2" borderId="2" xfId="0" applyNumberFormat="1" applyFont="1" applyFill="1" applyBorder="1" applyAlignment="1">
      <alignment horizontal="center" vertical="center" wrapText="1"/>
    </xf>
    <xf numFmtId="177" fontId="11" fillId="3" borderId="2" xfId="0" applyNumberFormat="1" applyFont="1" applyFill="1" applyBorder="1" applyAlignment="1">
      <alignment horizontal="center" vertical="center" wrapText="1"/>
    </xf>
    <xf numFmtId="178" fontId="11" fillId="0" borderId="1" xfId="0" applyNumberFormat="1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/>
    </xf>
    <xf numFmtId="179" fontId="12" fillId="0" borderId="1" xfId="0" applyNumberFormat="1" applyFont="1" applyFill="1" applyBorder="1" applyAlignment="1">
      <alignment horizontal="center"/>
    </xf>
    <xf numFmtId="179" fontId="12" fillId="2" borderId="1" xfId="0" applyNumberFormat="1" applyFont="1" applyFill="1" applyBorder="1" applyAlignment="1">
      <alignment horizontal="center"/>
    </xf>
    <xf numFmtId="179" fontId="12" fillId="3" borderId="1" xfId="0" applyNumberFormat="1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177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79" fontId="12" fillId="0" borderId="1" xfId="0" applyNumberFormat="1" applyFont="1" applyBorder="1" applyAlignment="1">
      <alignment horizontal="center"/>
    </xf>
    <xf numFmtId="0" fontId="0" fillId="0" borderId="1" xfId="0" applyBorder="1"/>
    <xf numFmtId="177" fontId="4" fillId="0" borderId="1" xfId="0" applyNumberFormat="1" applyFont="1" applyBorder="1" applyAlignment="1">
      <alignment horizontal="center" vertical="center"/>
    </xf>
    <xf numFmtId="46" fontId="5" fillId="0" borderId="1" xfId="0" applyNumberFormat="1" applyFont="1" applyBorder="1" applyAlignment="1">
      <alignment horizontal="center" vertical="center"/>
    </xf>
    <xf numFmtId="0" fontId="16" fillId="5" borderId="1" xfId="0" applyFont="1" applyFill="1" applyBorder="1" applyAlignment="1">
      <alignment horizontal="center"/>
    </xf>
    <xf numFmtId="0" fontId="2" fillId="0" borderId="1" xfId="1" applyFont="1" applyBorder="1" applyAlignment="1"/>
    <xf numFmtId="176" fontId="16" fillId="0" borderId="1" xfId="0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/>
    </xf>
    <xf numFmtId="0" fontId="14" fillId="0" borderId="1" xfId="1" applyFont="1" applyBorder="1" applyAlignment="1"/>
    <xf numFmtId="0" fontId="14" fillId="0" borderId="1" xfId="1" applyBorder="1" applyAlignment="1"/>
    <xf numFmtId="180" fontId="0" fillId="0" borderId="1" xfId="0" applyNumberFormat="1" applyBorder="1" applyAlignment="1">
      <alignment horizontal="center" vertical="center"/>
    </xf>
    <xf numFmtId="181" fontId="0" fillId="0" borderId="0" xfId="0" applyNumberFormat="1"/>
    <xf numFmtId="180" fontId="16" fillId="0" borderId="1" xfId="0" applyNumberFormat="1" applyFont="1" applyBorder="1" applyAlignment="1">
      <alignment horizontal="center" vertical="center"/>
    </xf>
    <xf numFmtId="0" fontId="16" fillId="0" borderId="0" xfId="0" applyFont="1"/>
    <xf numFmtId="0" fontId="16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4" borderId="1" xfId="0" applyFont="1" applyFill="1" applyBorder="1" applyAlignment="1">
      <alignment horizontal="center"/>
    </xf>
    <xf numFmtId="178" fontId="2" fillId="0" borderId="1" xfId="1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9" fontId="13" fillId="0" borderId="3" xfId="0" applyNumberFormat="1" applyFont="1" applyFill="1" applyBorder="1" applyAlignment="1">
      <alignment horizontal="center" vertical="center"/>
    </xf>
    <xf numFmtId="179" fontId="13" fillId="0" borderId="4" xfId="0" applyNumberFormat="1" applyFont="1" applyFill="1" applyBorder="1" applyAlignment="1">
      <alignment horizontal="center" vertical="center"/>
    </xf>
    <xf numFmtId="179" fontId="13" fillId="0" borderId="5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178" fontId="14" fillId="0" borderId="1" xfId="1" applyNumberForma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42"/>
  <sheetViews>
    <sheetView tabSelected="1" workbookViewId="0">
      <selection activeCell="A37" sqref="A37"/>
    </sheetView>
  </sheetViews>
  <sheetFormatPr defaultColWidth="9" defaultRowHeight="13.5" x14ac:dyDescent="0.15"/>
  <cols>
    <col min="10" max="10" width="14.125"/>
  </cols>
  <sheetData>
    <row r="1" spans="1:15" ht="14.1" customHeight="1" x14ac:dyDescent="0.15">
      <c r="A1" s="44"/>
      <c r="B1" s="61" t="s">
        <v>0</v>
      </c>
      <c r="C1" s="61"/>
      <c r="D1" s="61"/>
      <c r="E1" s="61"/>
      <c r="F1" s="61"/>
      <c r="G1" s="61"/>
    </row>
    <row r="2" spans="1:15" ht="14.1" customHeight="1" x14ac:dyDescent="0.15">
      <c r="A2" s="44"/>
      <c r="B2" s="61"/>
      <c r="C2" s="61"/>
      <c r="D2" s="61"/>
      <c r="E2" s="61"/>
      <c r="F2" s="61"/>
      <c r="G2" s="61"/>
    </row>
    <row r="3" spans="1:15" ht="14.1" customHeight="1" x14ac:dyDescent="0.15">
      <c r="A3" s="44"/>
      <c r="B3" s="57" t="s">
        <v>1</v>
      </c>
      <c r="C3" s="57"/>
      <c r="D3" s="57"/>
      <c r="E3" s="57" t="s">
        <v>2</v>
      </c>
      <c r="F3" s="58"/>
      <c r="G3" s="58"/>
      <c r="H3" s="59" t="s">
        <v>3</v>
      </c>
      <c r="I3" s="59" t="s">
        <v>4</v>
      </c>
    </row>
    <row r="4" spans="1:15" x14ac:dyDescent="0.15">
      <c r="A4" s="44" t="s">
        <v>5</v>
      </c>
      <c r="B4" s="47" t="s">
        <v>6</v>
      </c>
      <c r="C4" s="47" t="s">
        <v>7</v>
      </c>
      <c r="D4" s="47" t="s">
        <v>8</v>
      </c>
      <c r="E4" s="47" t="s">
        <v>6</v>
      </c>
      <c r="F4" s="47" t="s">
        <v>7</v>
      </c>
      <c r="G4" s="47" t="s">
        <v>8</v>
      </c>
      <c r="H4" s="60"/>
      <c r="I4" s="60"/>
    </row>
    <row r="5" spans="1:15" x14ac:dyDescent="0.15">
      <c r="A5" s="48" t="s">
        <v>9</v>
      </c>
      <c r="B5" s="49">
        <f>温若春!K16</f>
        <v>47.625277777777811</v>
      </c>
      <c r="C5" s="49">
        <f>温若春!K17</f>
        <v>0</v>
      </c>
      <c r="D5" s="49">
        <f>温若春!K19</f>
        <v>0</v>
      </c>
      <c r="E5" s="49">
        <f>温若春!L16</f>
        <v>19.088888888888839</v>
      </c>
      <c r="F5" s="49">
        <f>温若春!L17</f>
        <v>0</v>
      </c>
      <c r="G5" s="49">
        <f>温若春!L19</f>
        <v>0</v>
      </c>
      <c r="H5" s="50">
        <f>SUM(B5:G5)</f>
        <v>66.714166666666642</v>
      </c>
      <c r="I5" s="53">
        <f>温若春!J21</f>
        <v>0</v>
      </c>
      <c r="J5" s="54">
        <f>SUM(H5:I5)</f>
        <v>66.714166666666642</v>
      </c>
    </row>
    <row r="6" spans="1:15" x14ac:dyDescent="0.15">
      <c r="A6" s="51" t="s">
        <v>10</v>
      </c>
      <c r="B6" s="50">
        <f>明嘉!K16</f>
        <v>0</v>
      </c>
      <c r="C6" s="50">
        <f>明嘉!K17</f>
        <v>35.752500000000047</v>
      </c>
      <c r="D6" s="50">
        <f>明嘉!K19</f>
        <v>0</v>
      </c>
      <c r="E6" s="49">
        <f>明嘉!L16</f>
        <v>0</v>
      </c>
      <c r="F6" s="49">
        <f>明嘉!L17</f>
        <v>23.233055555555559</v>
      </c>
      <c r="G6" s="49">
        <f>明嘉!L19</f>
        <v>0</v>
      </c>
      <c r="H6" s="50">
        <f t="shared" ref="H6:H42" si="0">SUM(B6:G6)</f>
        <v>58.985555555555607</v>
      </c>
      <c r="I6" s="53">
        <f>明嘉!J21</f>
        <v>0</v>
      </c>
      <c r="J6" s="54">
        <f t="shared" ref="J6:J42" si="1">SUM(H6:I6)</f>
        <v>58.985555555555607</v>
      </c>
    </row>
    <row r="7" spans="1:15" x14ac:dyDescent="0.15">
      <c r="A7" s="51" t="s">
        <v>11</v>
      </c>
      <c r="B7" s="49">
        <f>徐万友!K16</f>
        <v>0</v>
      </c>
      <c r="C7" s="49">
        <f>徐万友!K17</f>
        <v>38.85083333333337</v>
      </c>
      <c r="D7" s="49">
        <f>徐万友!K19</f>
        <v>0</v>
      </c>
      <c r="E7" s="49">
        <f>徐万友!L16</f>
        <v>0</v>
      </c>
      <c r="F7" s="49">
        <f>徐万友!L17</f>
        <v>23.629999999999981</v>
      </c>
      <c r="G7" s="49">
        <f>徐万友!L19</f>
        <v>0</v>
      </c>
      <c r="H7" s="50">
        <f t="shared" si="0"/>
        <v>62.480833333333351</v>
      </c>
      <c r="I7" s="53">
        <f>徐万友!J21</f>
        <v>4.6674999999999836</v>
      </c>
      <c r="J7" s="54">
        <f t="shared" si="1"/>
        <v>67.148333333333341</v>
      </c>
    </row>
    <row r="8" spans="1:15" x14ac:dyDescent="0.15">
      <c r="A8" s="48" t="s">
        <v>12</v>
      </c>
      <c r="B8" s="49">
        <f>耿若岩!K16</f>
        <v>0</v>
      </c>
      <c r="C8" s="49">
        <f>耿若岩!K17</f>
        <v>32.38111111111111</v>
      </c>
      <c r="D8" s="49">
        <f>耿若岩!K19</f>
        <v>0</v>
      </c>
      <c r="E8" s="49">
        <f>耿若岩!L16</f>
        <v>0</v>
      </c>
      <c r="F8" s="49">
        <f>耿若岩!L17</f>
        <v>12.226388888888899</v>
      </c>
      <c r="G8" s="49">
        <f>耿若岩!L19</f>
        <v>0</v>
      </c>
      <c r="H8" s="50">
        <f t="shared" si="0"/>
        <v>44.607500000000009</v>
      </c>
      <c r="I8" s="55">
        <f>耿若岩!J21</f>
        <v>3.5183333333333038</v>
      </c>
      <c r="J8" s="54">
        <f t="shared" si="1"/>
        <v>48.125833333333311</v>
      </c>
    </row>
    <row r="9" spans="1:15" x14ac:dyDescent="0.15">
      <c r="A9" s="48" t="s">
        <v>13</v>
      </c>
      <c r="B9" s="49">
        <f>李明!K16</f>
        <v>0</v>
      </c>
      <c r="C9" s="49">
        <f>李明!K17</f>
        <v>37.062777777777789</v>
      </c>
      <c r="D9" s="49">
        <f>李明!K19</f>
        <v>0</v>
      </c>
      <c r="E9" s="49">
        <f>李明!L16</f>
        <v>0</v>
      </c>
      <c r="F9" s="49">
        <f>李明!L17</f>
        <v>16.666388888888871</v>
      </c>
      <c r="G9" s="49">
        <f>李明!L19</f>
        <v>0</v>
      </c>
      <c r="H9" s="50">
        <f t="shared" si="0"/>
        <v>53.729166666666657</v>
      </c>
      <c r="I9" s="53">
        <f>李明!J21</f>
        <v>0</v>
      </c>
      <c r="J9" s="54">
        <f t="shared" si="1"/>
        <v>53.729166666666657</v>
      </c>
    </row>
    <row r="10" spans="1:15" x14ac:dyDescent="0.15">
      <c r="A10" s="51" t="s">
        <v>14</v>
      </c>
      <c r="B10" s="49">
        <f>张虎!K16</f>
        <v>0</v>
      </c>
      <c r="C10" s="49">
        <f>张虎!K17</f>
        <v>25.437499999999964</v>
      </c>
      <c r="D10" s="49">
        <f>张虎!K19</f>
        <v>0</v>
      </c>
      <c r="E10" s="49">
        <f>张虎!L16</f>
        <v>0</v>
      </c>
      <c r="F10" s="49">
        <f>张虎!L17</f>
        <v>27.673333333333307</v>
      </c>
      <c r="G10" s="49">
        <f>张虎!L19</f>
        <v>0</v>
      </c>
      <c r="H10" s="50">
        <f t="shared" si="0"/>
        <v>53.110833333333275</v>
      </c>
      <c r="I10" s="53">
        <f>张虎!J21</f>
        <v>3.3633333333333355</v>
      </c>
      <c r="J10" s="54">
        <f t="shared" si="1"/>
        <v>56.474166666666612</v>
      </c>
    </row>
    <row r="11" spans="1:15" x14ac:dyDescent="0.15">
      <c r="A11" s="48" t="s">
        <v>15</v>
      </c>
      <c r="B11" s="49">
        <f>马莲花!K16</f>
        <v>64.549166666666636</v>
      </c>
      <c r="C11" s="49">
        <f>马莲花!K17</f>
        <v>2.8333333333345756E-2</v>
      </c>
      <c r="D11" s="49">
        <f>马莲花!K19</f>
        <v>0</v>
      </c>
      <c r="E11" s="49">
        <f>马莲花!L16</f>
        <v>34.007499999999965</v>
      </c>
      <c r="F11" s="49">
        <f>马莲花!L17</f>
        <v>2.0444444444444394</v>
      </c>
      <c r="G11" s="49">
        <f>马莲花!L19</f>
        <v>0</v>
      </c>
      <c r="H11" s="50">
        <f t="shared" si="0"/>
        <v>100.62944444444439</v>
      </c>
      <c r="I11" s="53">
        <f>马莲花!J21</f>
        <v>0</v>
      </c>
      <c r="J11" s="54">
        <f t="shared" si="1"/>
        <v>100.62944444444439</v>
      </c>
    </row>
    <row r="12" spans="1:15" x14ac:dyDescent="0.15">
      <c r="A12" s="48" t="s">
        <v>16</v>
      </c>
      <c r="B12" s="49">
        <f>刘国莲!K15</f>
        <v>0</v>
      </c>
      <c r="C12" s="49">
        <f>刘国莲!K16</f>
        <v>16.372777777777799</v>
      </c>
      <c r="D12" s="49">
        <f>刘国莲!K18</f>
        <v>0</v>
      </c>
      <c r="E12" s="49">
        <f>刘国莲!L15</f>
        <v>0</v>
      </c>
      <c r="F12" s="49">
        <f>刘国莲!L16</f>
        <v>23.306111111111086</v>
      </c>
      <c r="G12" s="49">
        <f>刘国莲!L18</f>
        <v>0</v>
      </c>
      <c r="H12" s="50">
        <f t="shared" si="0"/>
        <v>39.678888888888885</v>
      </c>
      <c r="I12" s="53">
        <f>刘国莲!J20</f>
        <v>3.6033333333333131</v>
      </c>
      <c r="J12" s="54">
        <f t="shared" si="1"/>
        <v>43.282222222222195</v>
      </c>
    </row>
    <row r="13" spans="1:15" x14ac:dyDescent="0.15">
      <c r="A13" s="48" t="s">
        <v>17</v>
      </c>
      <c r="B13" s="49">
        <f>杜涛!K16</f>
        <v>0</v>
      </c>
      <c r="C13" s="49">
        <f>杜涛!K17</f>
        <v>33.675555555555597</v>
      </c>
      <c r="D13" s="49">
        <f>杜涛!K19</f>
        <v>0</v>
      </c>
      <c r="E13" s="49">
        <f>杜涛!L16</f>
        <v>0</v>
      </c>
      <c r="F13" s="49">
        <f>杜涛!L17</f>
        <v>21.168888888888862</v>
      </c>
      <c r="G13" s="49">
        <f>杜涛!L19</f>
        <v>0</v>
      </c>
      <c r="H13" s="50">
        <f t="shared" si="0"/>
        <v>54.844444444444463</v>
      </c>
      <c r="I13" s="53">
        <f>杜涛!J21</f>
        <v>5.2808333333333284</v>
      </c>
      <c r="J13" s="54">
        <f t="shared" si="1"/>
        <v>60.125277777777789</v>
      </c>
    </row>
    <row r="14" spans="1:15" x14ac:dyDescent="0.15">
      <c r="A14" s="51" t="s">
        <v>18</v>
      </c>
      <c r="B14" s="49">
        <f>张文中!K16</f>
        <v>0</v>
      </c>
      <c r="C14" s="49">
        <f>张文中!K17</f>
        <v>40.705833333333366</v>
      </c>
      <c r="D14" s="49">
        <f>张文中!K19</f>
        <v>0</v>
      </c>
      <c r="E14" s="49">
        <f>张文中!L16</f>
        <v>0</v>
      </c>
      <c r="F14" s="49">
        <f>张文中!L17</f>
        <v>18.090277777777729</v>
      </c>
      <c r="G14" s="49">
        <f>张文中!L19</f>
        <v>0</v>
      </c>
      <c r="H14" s="50">
        <f t="shared" si="0"/>
        <v>58.796111111111095</v>
      </c>
      <c r="I14" s="53">
        <f>张文中!J21</f>
        <v>10.512500000000038</v>
      </c>
      <c r="J14" s="54">
        <f t="shared" si="1"/>
        <v>69.308611111111134</v>
      </c>
      <c r="O14" s="56" t="s">
        <v>19</v>
      </c>
    </row>
    <row r="15" spans="1:15" x14ac:dyDescent="0.15">
      <c r="A15" s="48" t="s">
        <v>20</v>
      </c>
      <c r="B15" s="49">
        <f>李秋实!K16</f>
        <v>0</v>
      </c>
      <c r="C15" s="49">
        <f>李秋实!K17</f>
        <v>30.669166666666655</v>
      </c>
      <c r="D15" s="49">
        <f>李秋实!K19</f>
        <v>0</v>
      </c>
      <c r="E15" s="49">
        <f>李秋实!L16</f>
        <v>0</v>
      </c>
      <c r="F15" s="49">
        <f>李秋实!L17</f>
        <v>6.9449999999999976</v>
      </c>
      <c r="G15" s="49">
        <f>李秋实!L19</f>
        <v>0</v>
      </c>
      <c r="H15" s="50">
        <f t="shared" si="0"/>
        <v>37.614166666666655</v>
      </c>
      <c r="I15" s="53">
        <f>李秋实!J21</f>
        <v>0</v>
      </c>
      <c r="J15" s="54">
        <f t="shared" si="1"/>
        <v>37.614166666666655</v>
      </c>
    </row>
    <row r="16" spans="1:15" x14ac:dyDescent="0.15">
      <c r="A16" s="51" t="s">
        <v>21</v>
      </c>
      <c r="B16" s="49">
        <f>周岸!K16</f>
        <v>0</v>
      </c>
      <c r="C16" s="49">
        <f>周岸!K17</f>
        <v>36.165833333333374</v>
      </c>
      <c r="D16" s="49">
        <f>周岸!K19</f>
        <v>0</v>
      </c>
      <c r="E16" s="49">
        <f>周岸!L16</f>
        <v>0</v>
      </c>
      <c r="F16" s="49">
        <f>周岸!L17</f>
        <v>26.614999999999959</v>
      </c>
      <c r="G16" s="49">
        <f>周岸!L19</f>
        <v>0</v>
      </c>
      <c r="H16" s="50">
        <f t="shared" si="0"/>
        <v>62.780833333333334</v>
      </c>
      <c r="I16" s="53">
        <f>周岸!J21</f>
        <v>0</v>
      </c>
      <c r="J16" s="54">
        <f t="shared" si="1"/>
        <v>62.780833333333334</v>
      </c>
    </row>
    <row r="17" spans="1:10" x14ac:dyDescent="0.15">
      <c r="A17" s="48" t="s">
        <v>22</v>
      </c>
      <c r="B17" s="49">
        <f>詹泽彬!K16</f>
        <v>0</v>
      </c>
      <c r="C17" s="49">
        <f>詹泽彬!K17</f>
        <v>29.486944444444543</v>
      </c>
      <c r="D17" s="49">
        <f>詹泽彬!K19</f>
        <v>0</v>
      </c>
      <c r="E17" s="49">
        <f>詹泽彬!L16</f>
        <v>0</v>
      </c>
      <c r="F17" s="49">
        <f>詹泽彬!L17</f>
        <v>18.973055555555561</v>
      </c>
      <c r="G17" s="49">
        <f>詹泽彬!L19</f>
        <v>0</v>
      </c>
      <c r="H17" s="50">
        <f t="shared" si="0"/>
        <v>48.460000000000107</v>
      </c>
      <c r="I17" s="53">
        <f>詹泽彬!J21</f>
        <v>4.4222222222222403</v>
      </c>
      <c r="J17" s="54">
        <f t="shared" si="1"/>
        <v>52.882222222222346</v>
      </c>
    </row>
    <row r="18" spans="1:10" x14ac:dyDescent="0.15">
      <c r="A18" s="51" t="s">
        <v>23</v>
      </c>
      <c r="B18" s="49">
        <f>张笑延!K16</f>
        <v>0</v>
      </c>
      <c r="C18" s="49">
        <f>张笑延!K17</f>
        <v>39.048333333333375</v>
      </c>
      <c r="D18" s="49">
        <f>张笑延!K19</f>
        <v>0</v>
      </c>
      <c r="E18" s="49">
        <f>张笑延!L16</f>
        <v>0</v>
      </c>
      <c r="F18" s="49">
        <f>张笑延!L17</f>
        <v>26.738055555555501</v>
      </c>
      <c r="G18" s="49">
        <f>张笑延!L19</f>
        <v>0</v>
      </c>
      <c r="H18" s="50">
        <f t="shared" si="0"/>
        <v>65.786388888888879</v>
      </c>
      <c r="I18" s="53">
        <f>张笑延!J21</f>
        <v>0</v>
      </c>
      <c r="J18" s="54">
        <f t="shared" si="1"/>
        <v>65.786388888888879</v>
      </c>
    </row>
    <row r="19" spans="1:10" x14ac:dyDescent="0.15">
      <c r="A19" s="52" t="s">
        <v>24</v>
      </c>
      <c r="B19" s="50">
        <f>沈宁!K16</f>
        <v>0</v>
      </c>
      <c r="C19" s="50">
        <f>沈宁!K17</f>
        <v>43.760555555555619</v>
      </c>
      <c r="D19" s="50">
        <f>沈宁!K19</f>
        <v>0</v>
      </c>
      <c r="E19" s="50">
        <f>沈宁!L16</f>
        <v>0</v>
      </c>
      <c r="F19" s="50">
        <f>沈宁!L17</f>
        <v>26.325555555555503</v>
      </c>
      <c r="G19" s="50">
        <f>沈宁!L19</f>
        <v>0</v>
      </c>
      <c r="H19" s="50">
        <f t="shared" si="0"/>
        <v>70.086111111111123</v>
      </c>
      <c r="I19" s="53">
        <f>沈宁!J21</f>
        <v>0</v>
      </c>
      <c r="J19" s="54">
        <f t="shared" si="1"/>
        <v>70.086111111111123</v>
      </c>
    </row>
    <row r="20" spans="1:10" x14ac:dyDescent="0.15">
      <c r="A20" s="52" t="s">
        <v>25</v>
      </c>
      <c r="B20" s="50">
        <f>胡鑫!K16</f>
        <v>0</v>
      </c>
      <c r="C20" s="50">
        <f>胡鑫!K17</f>
        <v>8.2561111111110961</v>
      </c>
      <c r="D20" s="50">
        <f>胡鑫!K19</f>
        <v>23.639444444444472</v>
      </c>
      <c r="E20" s="50">
        <f>胡鑫!L16</f>
        <v>0</v>
      </c>
      <c r="F20" s="50">
        <f>胡鑫!L17</f>
        <v>14.328611111111115</v>
      </c>
      <c r="G20" s="50">
        <f>胡鑫!L19</f>
        <v>18.767777777777766</v>
      </c>
      <c r="H20" s="50">
        <f t="shared" si="0"/>
        <v>64.991944444444442</v>
      </c>
      <c r="I20" s="53">
        <f>胡鑫!J21</f>
        <v>0</v>
      </c>
      <c r="J20" s="54">
        <f t="shared" si="1"/>
        <v>64.991944444444442</v>
      </c>
    </row>
    <row r="21" spans="1:10" x14ac:dyDescent="0.15">
      <c r="A21" s="51" t="s">
        <v>26</v>
      </c>
      <c r="B21" s="50">
        <f>邓心豪!K16</f>
        <v>0</v>
      </c>
      <c r="C21" s="50">
        <f>邓心豪!K17</f>
        <v>45.6111111111111</v>
      </c>
      <c r="D21" s="50">
        <f>邓心豪!K19</f>
        <v>0</v>
      </c>
      <c r="E21" s="50">
        <f>邓心豪!L16</f>
        <v>0</v>
      </c>
      <c r="F21" s="50">
        <f>邓心豪!L17</f>
        <v>19.560555555555535</v>
      </c>
      <c r="G21" s="50">
        <f>邓心豪!L19</f>
        <v>0</v>
      </c>
      <c r="H21" s="50">
        <f t="shared" si="0"/>
        <v>65.171666666666638</v>
      </c>
      <c r="I21" s="53">
        <f>邓心豪!J21</f>
        <v>1.6716666666666722</v>
      </c>
      <c r="J21" s="54">
        <f t="shared" si="1"/>
        <v>66.843333333333305</v>
      </c>
    </row>
    <row r="22" spans="1:10" x14ac:dyDescent="0.15">
      <c r="A22" s="52" t="s">
        <v>27</v>
      </c>
      <c r="B22" s="50">
        <f>黄恩!K16</f>
        <v>0</v>
      </c>
      <c r="C22" s="50">
        <f>黄恩!K17</f>
        <v>33.075277777777778</v>
      </c>
      <c r="D22" s="50">
        <f>黄恩!K19</f>
        <v>0</v>
      </c>
      <c r="E22" s="50">
        <f>黄恩!L16</f>
        <v>0</v>
      </c>
      <c r="F22" s="50">
        <f>黄恩!L17</f>
        <v>28.730833333333262</v>
      </c>
      <c r="G22" s="50">
        <f>黄恩!L19</f>
        <v>0</v>
      </c>
      <c r="H22" s="50">
        <f t="shared" si="0"/>
        <v>61.806111111111036</v>
      </c>
      <c r="I22" s="53">
        <f>黄恩!J21</f>
        <v>1.9419444444444474</v>
      </c>
      <c r="J22" s="54">
        <f t="shared" si="1"/>
        <v>63.748055555555482</v>
      </c>
    </row>
    <row r="23" spans="1:10" x14ac:dyDescent="0.15">
      <c r="A23" s="48" t="s">
        <v>28</v>
      </c>
      <c r="B23" s="50">
        <f>严亮!K16</f>
        <v>0</v>
      </c>
      <c r="C23" s="50">
        <f>严亮!K17</f>
        <v>6.0791666666666666</v>
      </c>
      <c r="D23" s="50">
        <f>严亮!K19</f>
        <v>0</v>
      </c>
      <c r="E23" s="50">
        <f>严亮!L16</f>
        <v>0</v>
      </c>
      <c r="F23" s="50">
        <f>严亮!L17</f>
        <v>20.102777777777789</v>
      </c>
      <c r="G23" s="50">
        <f>严亮!L19</f>
        <v>0</v>
      </c>
      <c r="H23" s="50">
        <f t="shared" si="0"/>
        <v>26.181944444444454</v>
      </c>
      <c r="I23" s="53">
        <f>严亮!J21</f>
        <v>0</v>
      </c>
      <c r="J23" s="54">
        <f t="shared" si="1"/>
        <v>26.181944444444454</v>
      </c>
    </row>
    <row r="24" spans="1:10" x14ac:dyDescent="0.15">
      <c r="A24" s="51" t="s">
        <v>29</v>
      </c>
      <c r="B24" s="50">
        <f>边昊!K16</f>
        <v>46.088888888888917</v>
      </c>
      <c r="C24" s="50">
        <f>边昊!K17</f>
        <v>0</v>
      </c>
      <c r="D24" s="50">
        <f>边昊!K19</f>
        <v>0</v>
      </c>
      <c r="E24" s="50">
        <f>边昊!L16</f>
        <v>25.259444444444373</v>
      </c>
      <c r="F24" s="50">
        <f>边昊!L17</f>
        <v>3.0955555555555487</v>
      </c>
      <c r="G24" s="50">
        <f>边昊!L19</f>
        <v>0</v>
      </c>
      <c r="H24" s="50">
        <f t="shared" si="0"/>
        <v>74.443888888888836</v>
      </c>
      <c r="I24" s="53">
        <f>边昊!J21</f>
        <v>0</v>
      </c>
      <c r="J24" s="54">
        <f t="shared" si="1"/>
        <v>74.443888888888836</v>
      </c>
    </row>
    <row r="25" spans="1:10" x14ac:dyDescent="0.15">
      <c r="A25" s="51" t="s">
        <v>30</v>
      </c>
      <c r="B25" s="50">
        <f>张宗根!K16</f>
        <v>0</v>
      </c>
      <c r="C25" s="50">
        <f>张宗根!K17</f>
        <v>31.88555555555563</v>
      </c>
      <c r="D25" s="50">
        <f>张宗根!K19</f>
        <v>0</v>
      </c>
      <c r="E25" s="50">
        <f>张宗根!L16</f>
        <v>0</v>
      </c>
      <c r="F25" s="50">
        <f>张宗根!L17</f>
        <v>25.724999999999987</v>
      </c>
      <c r="G25" s="50">
        <f>张宗根!L19</f>
        <v>0</v>
      </c>
      <c r="H25" s="50">
        <f t="shared" si="0"/>
        <v>57.610555555555621</v>
      </c>
      <c r="I25" s="53">
        <f>张宗根!J21</f>
        <v>0</v>
      </c>
      <c r="J25" s="54">
        <f t="shared" si="1"/>
        <v>57.610555555555621</v>
      </c>
    </row>
    <row r="26" spans="1:10" x14ac:dyDescent="0.15">
      <c r="A26" s="48" t="s">
        <v>31</v>
      </c>
      <c r="B26" s="50">
        <f>宋天霖!K16</f>
        <v>0</v>
      </c>
      <c r="C26" s="50">
        <f>宋天霖!K17</f>
        <v>0</v>
      </c>
      <c r="D26" s="50">
        <f>宋天霖!K19</f>
        <v>0</v>
      </c>
      <c r="E26" s="50">
        <f>宋天霖!L16</f>
        <v>0</v>
      </c>
      <c r="F26" s="50">
        <f>宋天霖!L17</f>
        <v>0</v>
      </c>
      <c r="G26" s="50">
        <f>宋天霖!L19</f>
        <v>0</v>
      </c>
      <c r="H26" s="50">
        <f t="shared" si="0"/>
        <v>0</v>
      </c>
      <c r="I26" s="53">
        <f>宋天霖!J21</f>
        <v>0</v>
      </c>
      <c r="J26" s="54">
        <f t="shared" si="1"/>
        <v>0</v>
      </c>
    </row>
    <row r="27" spans="1:10" x14ac:dyDescent="0.15">
      <c r="A27" s="51" t="s">
        <v>32</v>
      </c>
      <c r="B27" s="50">
        <f>蔡昊霖!K16</f>
        <v>0</v>
      </c>
      <c r="C27" s="50">
        <f>蔡昊霖!K17</f>
        <v>26.814722222222201</v>
      </c>
      <c r="D27" s="50">
        <f>蔡昊霖!K19</f>
        <v>0</v>
      </c>
      <c r="E27" s="50">
        <f>蔡昊霖!L16</f>
        <v>0</v>
      </c>
      <c r="F27" s="50">
        <f>蔡昊霖!L17</f>
        <v>15.623055555555522</v>
      </c>
      <c r="G27" s="50">
        <f>蔡昊霖!L19</f>
        <v>0</v>
      </c>
      <c r="H27" s="50">
        <f t="shared" si="0"/>
        <v>42.437777777777725</v>
      </c>
      <c r="I27" s="53">
        <f>蔡昊霖!J21</f>
        <v>0</v>
      </c>
      <c r="J27" s="54">
        <f t="shared" si="1"/>
        <v>42.437777777777725</v>
      </c>
    </row>
    <row r="28" spans="1:10" x14ac:dyDescent="0.15">
      <c r="A28" s="51" t="s">
        <v>33</v>
      </c>
      <c r="B28" s="50">
        <f>叶大鹏!K16</f>
        <v>0</v>
      </c>
      <c r="C28" s="50">
        <f>叶大鹏!K17</f>
        <v>26.339722222222225</v>
      </c>
      <c r="D28" s="50">
        <f>叶大鹏!K19</f>
        <v>0</v>
      </c>
      <c r="E28" s="50">
        <f>叶大鹏!L16</f>
        <v>0</v>
      </c>
      <c r="F28" s="50">
        <f>叶大鹏!L17</f>
        <v>20.596944444444436</v>
      </c>
      <c r="G28" s="50">
        <f>叶大鹏!L19</f>
        <v>0</v>
      </c>
      <c r="H28" s="50">
        <f t="shared" si="0"/>
        <v>46.93666666666666</v>
      </c>
      <c r="I28" s="53">
        <f>叶大鹏!J21</f>
        <v>0</v>
      </c>
      <c r="J28" s="54">
        <f t="shared" si="1"/>
        <v>46.93666666666666</v>
      </c>
    </row>
    <row r="29" spans="1:10" x14ac:dyDescent="0.15">
      <c r="A29" s="51" t="s">
        <v>34</v>
      </c>
      <c r="B29" s="50">
        <f>王建超!K16</f>
        <v>0</v>
      </c>
      <c r="C29" s="50">
        <f>王建超!K17</f>
        <v>32.656111111111088</v>
      </c>
      <c r="D29" s="50">
        <f>王建超!K19</f>
        <v>0</v>
      </c>
      <c r="E29" s="50">
        <f>王建超!L16</f>
        <v>0</v>
      </c>
      <c r="F29" s="50">
        <f>王建超!L17</f>
        <v>17.340833333333322</v>
      </c>
      <c r="G29" s="50">
        <f>王建超!L19</f>
        <v>0</v>
      </c>
      <c r="H29" s="50">
        <f t="shared" si="0"/>
        <v>49.996944444444409</v>
      </c>
      <c r="I29" s="53">
        <f>王建超!J21</f>
        <v>2.102222222222232</v>
      </c>
      <c r="J29" s="54">
        <f t="shared" si="1"/>
        <v>52.09916666666664</v>
      </c>
    </row>
    <row r="30" spans="1:10" x14ac:dyDescent="0.15">
      <c r="A30" s="48" t="s">
        <v>35</v>
      </c>
      <c r="B30" s="50">
        <f>潘伟生!K16</f>
        <v>0</v>
      </c>
      <c r="C30" s="50">
        <f>潘伟生!K17</f>
        <v>43.931111111111093</v>
      </c>
      <c r="D30" s="50">
        <f>潘伟生!K19</f>
        <v>0</v>
      </c>
      <c r="E30" s="50">
        <f>潘伟生!L16</f>
        <v>0</v>
      </c>
      <c r="F30" s="50">
        <f>潘伟生!L17</f>
        <v>9.6433333333333184</v>
      </c>
      <c r="G30" s="50">
        <f>潘伟生!L19</f>
        <v>0</v>
      </c>
      <c r="H30" s="50">
        <f t="shared" si="0"/>
        <v>53.57444444444441</v>
      </c>
      <c r="I30" s="53">
        <f>潘伟生!J21</f>
        <v>0</v>
      </c>
      <c r="J30" s="54">
        <f t="shared" si="1"/>
        <v>53.57444444444441</v>
      </c>
    </row>
    <row r="31" spans="1:10" x14ac:dyDescent="0.15">
      <c r="A31" s="48" t="s">
        <v>36</v>
      </c>
      <c r="B31" s="50">
        <f>王风瑞!K16</f>
        <v>0</v>
      </c>
      <c r="C31" s="50">
        <f>王风瑞!K17</f>
        <v>33.353055555555578</v>
      </c>
      <c r="D31" s="50">
        <f>王风瑞!K19</f>
        <v>0</v>
      </c>
      <c r="E31" s="50">
        <f>王风瑞!L16</f>
        <v>0</v>
      </c>
      <c r="F31" s="50">
        <f>王风瑞!L17</f>
        <v>18.303888888888878</v>
      </c>
      <c r="G31" s="50">
        <f>王风瑞!L19</f>
        <v>0</v>
      </c>
      <c r="H31" s="50">
        <f t="shared" si="0"/>
        <v>51.656944444444456</v>
      </c>
      <c r="I31" s="53">
        <f>王风瑞!J21</f>
        <v>1.38</v>
      </c>
      <c r="J31" s="54">
        <f t="shared" si="1"/>
        <v>53.036944444444458</v>
      </c>
    </row>
    <row r="32" spans="1:10" x14ac:dyDescent="0.15">
      <c r="A32" s="48" t="s">
        <v>37</v>
      </c>
      <c r="B32" s="50">
        <f>金鼎!K16</f>
        <v>60.861944444444518</v>
      </c>
      <c r="C32" s="50">
        <f>金鼎!K17</f>
        <v>0</v>
      </c>
      <c r="D32" s="50">
        <f>金鼎!K19</f>
        <v>0</v>
      </c>
      <c r="E32" s="50">
        <f>金鼎!L16</f>
        <v>29.224166666666704</v>
      </c>
      <c r="F32" s="50">
        <f>金鼎!L17</f>
        <v>0</v>
      </c>
      <c r="G32" s="50">
        <f>金鼎!L19</f>
        <v>0</v>
      </c>
      <c r="H32" s="50">
        <f t="shared" si="0"/>
        <v>90.086111111111222</v>
      </c>
      <c r="I32" s="53">
        <f>金鼎!J21</f>
        <v>0</v>
      </c>
      <c r="J32" s="54">
        <f t="shared" si="1"/>
        <v>90.086111111111222</v>
      </c>
    </row>
    <row r="33" spans="1:10" x14ac:dyDescent="0.15">
      <c r="A33" s="51" t="s">
        <v>38</v>
      </c>
      <c r="B33" s="50">
        <f>董志华!K16</f>
        <v>0</v>
      </c>
      <c r="C33" s="50">
        <f>董志华!K17</f>
        <v>44.417500000000054</v>
      </c>
      <c r="D33" s="50">
        <f>董志华!K19</f>
        <v>0</v>
      </c>
      <c r="E33" s="50">
        <f>董志华!L16</f>
        <v>0</v>
      </c>
      <c r="F33" s="50">
        <f>董志华!L17</f>
        <v>12.008888888888841</v>
      </c>
      <c r="G33" s="50">
        <f>董志华!L19</f>
        <v>0</v>
      </c>
      <c r="H33" s="50">
        <f t="shared" si="0"/>
        <v>56.426388888888894</v>
      </c>
      <c r="I33" s="53">
        <f>董志华!J21</f>
        <v>0</v>
      </c>
      <c r="J33" s="54">
        <f t="shared" si="1"/>
        <v>56.426388888888894</v>
      </c>
    </row>
    <row r="34" spans="1:10" x14ac:dyDescent="0.15">
      <c r="A34" s="48" t="s">
        <v>39</v>
      </c>
      <c r="B34" s="50">
        <f>姜文夫!K16</f>
        <v>64.27472222222228</v>
      </c>
      <c r="C34" s="50">
        <f>姜文夫!K17</f>
        <v>0</v>
      </c>
      <c r="D34" s="50">
        <f>姜文夫!K19</f>
        <v>0</v>
      </c>
      <c r="E34" s="50">
        <f>姜文夫!L16</f>
        <v>23.519999999999943</v>
      </c>
      <c r="F34" s="50">
        <f>姜文夫!L17</f>
        <v>4.0605555555555606</v>
      </c>
      <c r="G34" s="50">
        <f>姜文夫!L19</f>
        <v>0</v>
      </c>
      <c r="H34" s="50">
        <f t="shared" si="0"/>
        <v>91.855277777777786</v>
      </c>
      <c r="I34" s="53">
        <f>姜文夫!J21</f>
        <v>0</v>
      </c>
      <c r="J34" s="54">
        <f t="shared" si="1"/>
        <v>91.855277777777786</v>
      </c>
    </row>
    <row r="35" spans="1:10" x14ac:dyDescent="0.15">
      <c r="A35" s="51" t="s">
        <v>40</v>
      </c>
      <c r="B35" s="50">
        <f>郭永杰!K16</f>
        <v>43.148611111111109</v>
      </c>
      <c r="C35" s="50">
        <f>郭永杰!K17</f>
        <v>0</v>
      </c>
      <c r="D35" s="50">
        <f>郭永杰!K19</f>
        <v>0</v>
      </c>
      <c r="E35" s="50">
        <f>郭永杰!L16</f>
        <v>28.869166666666658</v>
      </c>
      <c r="F35" s="50">
        <f>郭永杰!L17</f>
        <v>3.96277777777776</v>
      </c>
      <c r="G35" s="50">
        <f>郭永杰!L19</f>
        <v>0</v>
      </c>
      <c r="H35" s="50">
        <f t="shared" si="0"/>
        <v>75.980555555555526</v>
      </c>
      <c r="I35" s="53">
        <f>郭永杰!J21</f>
        <v>0</v>
      </c>
      <c r="J35" s="54">
        <f t="shared" si="1"/>
        <v>75.980555555555526</v>
      </c>
    </row>
    <row r="36" spans="1:10" x14ac:dyDescent="0.15">
      <c r="A36" s="51" t="s">
        <v>41</v>
      </c>
      <c r="B36" s="50">
        <f>朱永春!K16</f>
        <v>67.143888888888867</v>
      </c>
      <c r="C36" s="50">
        <f>朱永春!K17</f>
        <v>0</v>
      </c>
      <c r="D36" s="50">
        <f>朱永春!K19</f>
        <v>0</v>
      </c>
      <c r="E36" s="50">
        <f>朱永春!L16</f>
        <v>32.670833333333327</v>
      </c>
      <c r="F36" s="50">
        <f>朱永春!L17</f>
        <v>0</v>
      </c>
      <c r="G36" s="50">
        <f>朱永春!L19</f>
        <v>0</v>
      </c>
      <c r="H36" s="50">
        <f t="shared" si="0"/>
        <v>99.814722222222201</v>
      </c>
      <c r="I36" s="53">
        <f>朱永春!J21</f>
        <v>0</v>
      </c>
      <c r="J36" s="54">
        <f t="shared" si="1"/>
        <v>99.814722222222201</v>
      </c>
    </row>
    <row r="37" spans="1:10" x14ac:dyDescent="0.15">
      <c r="A37" s="48" t="s">
        <v>42</v>
      </c>
      <c r="B37" s="50">
        <f>刘琦!K16</f>
        <v>0</v>
      </c>
      <c r="C37" s="50">
        <f>刘琦!K17</f>
        <v>41.145833333333378</v>
      </c>
      <c r="D37" s="50">
        <f>刘琦!K19</f>
        <v>0</v>
      </c>
      <c r="E37" s="50">
        <f>刘琦!L16</f>
        <v>0</v>
      </c>
      <c r="F37" s="50">
        <f>刘琦!L17</f>
        <v>1.8316666666666246</v>
      </c>
      <c r="G37" s="50">
        <f>刘琦!L19</f>
        <v>0</v>
      </c>
      <c r="H37" s="50">
        <f t="shared" si="0"/>
        <v>42.977500000000006</v>
      </c>
      <c r="I37" s="53">
        <f>刘琦!J21</f>
        <v>0</v>
      </c>
      <c r="J37" s="54">
        <f t="shared" si="1"/>
        <v>42.977500000000006</v>
      </c>
    </row>
    <row r="38" spans="1:10" x14ac:dyDescent="0.15">
      <c r="A38" s="51" t="s">
        <v>43</v>
      </c>
      <c r="B38" s="50">
        <f>吴疆!K16</f>
        <v>54.327777777777818</v>
      </c>
      <c r="C38" s="50">
        <f>吴疆!K17</f>
        <v>0</v>
      </c>
      <c r="D38" s="50">
        <f>吴疆!K19</f>
        <v>0</v>
      </c>
      <c r="E38" s="50">
        <f>吴疆!L16</f>
        <v>32.41444444444442</v>
      </c>
      <c r="F38" s="50">
        <f>吴疆!L17</f>
        <v>3.8644444444444321</v>
      </c>
      <c r="G38" s="50">
        <f>吴疆!L19</f>
        <v>0</v>
      </c>
      <c r="H38" s="50">
        <f t="shared" si="0"/>
        <v>90.606666666666669</v>
      </c>
      <c r="I38" s="53">
        <f>吴疆!J21</f>
        <v>0</v>
      </c>
      <c r="J38" s="54">
        <f t="shared" si="1"/>
        <v>90.606666666666669</v>
      </c>
    </row>
    <row r="39" spans="1:10" x14ac:dyDescent="0.15">
      <c r="A39" s="48" t="s">
        <v>44</v>
      </c>
      <c r="B39" s="50">
        <f>巴富毅!K16</f>
        <v>0</v>
      </c>
      <c r="C39" s="50">
        <f>巴富毅!K17</f>
        <v>30.158888888888903</v>
      </c>
      <c r="D39" s="50">
        <f>巴富毅!K19</f>
        <v>0</v>
      </c>
      <c r="E39" s="50">
        <f>巴富毅!L16</f>
        <v>0</v>
      </c>
      <c r="F39" s="50">
        <f>巴富毅!L17</f>
        <v>0</v>
      </c>
      <c r="G39" s="50">
        <f>巴富毅!L19</f>
        <v>0</v>
      </c>
      <c r="H39" s="50">
        <f t="shared" si="0"/>
        <v>30.158888888888903</v>
      </c>
      <c r="I39" s="53">
        <f>巴富毅!J21</f>
        <v>3.7244444444444409</v>
      </c>
      <c r="J39" s="54">
        <f t="shared" si="1"/>
        <v>33.883333333333347</v>
      </c>
    </row>
    <row r="40" spans="1:10" x14ac:dyDescent="0.15">
      <c r="A40" s="48" t="s">
        <v>45</v>
      </c>
      <c r="B40" s="50">
        <f>王维华!K16</f>
        <v>0</v>
      </c>
      <c r="C40" s="50">
        <f>王维华!K17</f>
        <v>0</v>
      </c>
      <c r="D40" s="50">
        <f>王维华!K19</f>
        <v>0</v>
      </c>
      <c r="E40" s="50">
        <f>王维华!L16</f>
        <v>0</v>
      </c>
      <c r="F40" s="50">
        <f>王维华!L17</f>
        <v>0</v>
      </c>
      <c r="G40" s="50">
        <f>王维华!L19</f>
        <v>0</v>
      </c>
      <c r="H40" s="50">
        <f t="shared" si="0"/>
        <v>0</v>
      </c>
      <c r="I40" s="53">
        <f>王维华!J21</f>
        <v>0</v>
      </c>
      <c r="J40" s="54">
        <f t="shared" si="1"/>
        <v>0</v>
      </c>
    </row>
    <row r="41" spans="1:10" x14ac:dyDescent="0.15">
      <c r="A41" s="51" t="s">
        <v>46</v>
      </c>
      <c r="B41" s="50">
        <f>何飞!K16</f>
        <v>0</v>
      </c>
      <c r="C41" s="50">
        <f>何飞!K17</f>
        <v>0</v>
      </c>
      <c r="D41" s="50">
        <f>何飞!K19</f>
        <v>0</v>
      </c>
      <c r="E41" s="50">
        <f>何飞!L16</f>
        <v>0</v>
      </c>
      <c r="F41" s="50">
        <f>何飞!L17</f>
        <v>0</v>
      </c>
      <c r="G41" s="50">
        <f>何飞!L19</f>
        <v>0</v>
      </c>
      <c r="H41" s="50">
        <f t="shared" si="0"/>
        <v>0</v>
      </c>
      <c r="I41" s="53">
        <f>何飞!J21</f>
        <v>0</v>
      </c>
      <c r="J41" s="54">
        <f t="shared" si="1"/>
        <v>0</v>
      </c>
    </row>
    <row r="42" spans="1:10" x14ac:dyDescent="0.15">
      <c r="A42" s="48" t="s">
        <v>47</v>
      </c>
      <c r="B42" s="50">
        <f>陈宏伟!K16</f>
        <v>0</v>
      </c>
      <c r="C42" s="50">
        <f>陈宏伟!K17</f>
        <v>34.981944444444508</v>
      </c>
      <c r="D42" s="50">
        <f>陈宏伟!K19</f>
        <v>0</v>
      </c>
      <c r="E42" s="50">
        <f>陈宏伟!L16</f>
        <v>0</v>
      </c>
      <c r="F42" s="50">
        <f>陈宏伟!L17</f>
        <v>27.174722222222137</v>
      </c>
      <c r="G42" s="50">
        <f>陈宏伟!L19</f>
        <v>0</v>
      </c>
      <c r="H42" s="50">
        <f t="shared" si="0"/>
        <v>62.156666666666645</v>
      </c>
      <c r="I42" s="53">
        <f>陈宏伟!J21</f>
        <v>4.0580555555555753</v>
      </c>
      <c r="J42" s="54">
        <f t="shared" si="1"/>
        <v>66.214722222222221</v>
      </c>
    </row>
  </sheetData>
  <mergeCells count="5">
    <mergeCell ref="B3:D3"/>
    <mergeCell ref="E3:G3"/>
    <mergeCell ref="H3:H4"/>
    <mergeCell ref="I3:I4"/>
    <mergeCell ref="B1:G2"/>
  </mergeCells>
  <phoneticPr fontId="17" type="noConversion"/>
  <hyperlinks>
    <hyperlink ref="A5" location="'温若春'!A1" display="温若春"/>
    <hyperlink ref="A6" location="'明嘉'!A1" display="明嘉"/>
    <hyperlink ref="A7" location="'徐万友'!A1" display="徐万友"/>
    <hyperlink ref="A8" location="耿若岩!A1" display="耿若岩"/>
    <hyperlink ref="A9" location="'李明'!A1" display="李明"/>
    <hyperlink ref="A10" location="'张虎'!A1" display="张虎"/>
    <hyperlink ref="A11" location="'马莲花'!A1" display="马莲花"/>
    <hyperlink ref="A12" location="'刘国莲'!A1" display="刘国莲"/>
    <hyperlink ref="A13" location="'杜涛'!A1" display="杜涛"/>
    <hyperlink ref="A14" location="'张文中'!A1" display="张文中"/>
    <hyperlink ref="A15" location="'李秋实'!A1" display="李秋实"/>
    <hyperlink ref="A16" location="'周岸'!A1" display="周岸"/>
    <hyperlink ref="A17" location="'詹泽彬'!A1" display="詹泽彬"/>
    <hyperlink ref="A18" location="'张笑延'!A1" display="张笑延"/>
    <hyperlink ref="A19" location="'沈宁'!A1" display="沈宁"/>
    <hyperlink ref="A20" location="'胡鑫'!A1" display="胡鑫"/>
    <hyperlink ref="A21" location="'邓心豪'!A1" display="邓心豪"/>
    <hyperlink ref="A22" location="'黄恩'!A1" display="黄恩"/>
    <hyperlink ref="A23" location="'严亮'!A1" display="严亮"/>
    <hyperlink ref="A24" location="'边昊'!A1" display="边昊"/>
    <hyperlink ref="A25" location="'张宗根'!A1" display="张宗根"/>
    <hyperlink ref="A26" location="'宋天霖'!A1" display="宋天霖"/>
    <hyperlink ref="A27" location="'蔡昊霖'!A1" display="蔡昊霖"/>
    <hyperlink ref="A28" location="'叶大鹏'!A1" display="叶大鹏"/>
    <hyperlink ref="A29" location="'王建超'!A1" display="王建超"/>
    <hyperlink ref="A30" location="'潘伟生'!A1" display="潘伟生"/>
    <hyperlink ref="A31" location="'王风瑞'!A1" display="王风瑞"/>
    <hyperlink ref="A32" location="'金鼎'!A1" display="金鼎"/>
    <hyperlink ref="A33" location="'董志华'!A1" display="董志华"/>
    <hyperlink ref="A34" location="'姜文夫'!A1" display="姜文夫"/>
    <hyperlink ref="A35" location="'郭永杰'!A1" display="郭永杰"/>
    <hyperlink ref="A36" location="'朱永春'!A1" display="朱永春"/>
    <hyperlink ref="A37" location="'刘琦'!A1" display="刘琦"/>
    <hyperlink ref="A38" location="'吴疆'!A1" display="吴疆"/>
    <hyperlink ref="A39" location="'巴富毅'!A1" display="巴富毅"/>
    <hyperlink ref="A40" location="'王维华'!A1" display="王维华"/>
    <hyperlink ref="A41" location="'何飞'!A1" display="何飞"/>
    <hyperlink ref="A42" location="'陈宏伟'!A1" display="陈宏伟"/>
  </hyperlinks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v>46054</v>
      </c>
      <c r="B3" s="5" t="s">
        <v>61</v>
      </c>
      <c r="C3" s="11">
        <v>9.2592592592592602E-5</v>
      </c>
      <c r="D3" s="11" t="s">
        <v>62</v>
      </c>
      <c r="E3" s="11">
        <v>0.13888888888888901</v>
      </c>
      <c r="F3" s="12">
        <f t="shared" ref="F3:F42" si="0">(IF(E3-C3&lt;0,"24:00"-C3+E3,E3-C3))*24</f>
        <v>3.331111111111114</v>
      </c>
      <c r="G3" s="13">
        <f t="shared" ref="G3:G42" si="1">F3-H3</f>
        <v>0</v>
      </c>
      <c r="H3" s="13">
        <f t="shared" ref="H3:H42" si="2">(IF(AND(C3&gt;=$O$3,C3&lt;$P$3,E3&gt;=$O$3,E3&lt;$P$3),E3-C3,IF(AND(C3&gt;=$O$3,C3&lt;$P$3,E3&gt;=$P$3,E3&lt;$N$3),$P$3-C3,IF(AND(C3&gt;=$P$3,C3&lt;$N$3,E3&gt;=$O$3,E3&lt;$P$3),E3,IF(AND(C3&gt;=$P$3,C3&lt;$N$3,E3&gt;=$P$3,E3&lt;$N$3),"0","none")))))*24</f>
        <v>3.331111111111114</v>
      </c>
      <c r="I3" s="16" t="s">
        <v>63</v>
      </c>
      <c r="J3" s="17">
        <f>SUMIF(B:B,"带班主任",F:F)</f>
        <v>66.714166666666642</v>
      </c>
      <c r="K3" s="18">
        <f>SUMIF(B:B,"带班主任",G:G)</f>
        <v>47.625277777777811</v>
      </c>
      <c r="L3" s="18">
        <f>SUMIF(B:B,"带班主任",H:H)</f>
        <v>19.088888888888839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ref="A4:A42" ca="1" si="3">IF(B4="","",IF(A4="",NOW(),A4))</f>
        <v>46068.355851620399</v>
      </c>
      <c r="B4" s="5" t="s">
        <v>61</v>
      </c>
      <c r="C4" s="11">
        <v>0.35584490740740699</v>
      </c>
      <c r="D4" s="11" t="s">
        <v>62</v>
      </c>
      <c r="E4" s="11">
        <v>0.54979166666666701</v>
      </c>
      <c r="F4" s="12">
        <f t="shared" si="0"/>
        <v>4.6547222222222402</v>
      </c>
      <c r="G4" s="13">
        <f t="shared" si="1"/>
        <v>4.6547222222222402</v>
      </c>
      <c r="H4" s="13">
        <f t="shared" si="2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3"/>
        <v>46068.792403009298</v>
      </c>
      <c r="B5" s="5" t="s">
        <v>61</v>
      </c>
      <c r="C5" s="11">
        <v>0.79239583333333297</v>
      </c>
      <c r="D5" s="11" t="s">
        <v>62</v>
      </c>
      <c r="E5" s="11">
        <v>0.94453703703703695</v>
      </c>
      <c r="F5" s="12">
        <f t="shared" si="0"/>
        <v>3.6513888888888957</v>
      </c>
      <c r="G5" s="13">
        <f t="shared" si="1"/>
        <v>3.6513888888888957</v>
      </c>
      <c r="H5" s="13">
        <f t="shared" si="2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3"/>
        <v>46069.292941435197</v>
      </c>
      <c r="B6" s="5" t="s">
        <v>61</v>
      </c>
      <c r="C6" s="11">
        <v>0.29293981481481501</v>
      </c>
      <c r="D6" s="11" t="s">
        <v>62</v>
      </c>
      <c r="E6" s="11">
        <v>0.48427083333333298</v>
      </c>
      <c r="F6" s="12">
        <f t="shared" si="0"/>
        <v>4.5919444444444313</v>
      </c>
      <c r="G6" s="13">
        <f t="shared" si="1"/>
        <v>3.6225000000000001</v>
      </c>
      <c r="H6" s="13">
        <f t="shared" si="2"/>
        <v>0.96944444444443123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3"/>
        <v>46069.4992486111</v>
      </c>
      <c r="B7" s="5" t="s">
        <v>61</v>
      </c>
      <c r="C7" s="11">
        <v>0.49924768518518498</v>
      </c>
      <c r="D7" s="11" t="s">
        <v>62</v>
      </c>
      <c r="E7" s="11">
        <v>0.54954861111111097</v>
      </c>
      <c r="F7" s="12">
        <f t="shared" si="0"/>
        <v>1.207222222222224</v>
      </c>
      <c r="G7" s="13">
        <f t="shared" si="1"/>
        <v>1.207222222222224</v>
      </c>
      <c r="H7" s="13">
        <f t="shared" si="2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3"/>
        <v>46070.133059027801</v>
      </c>
      <c r="B8" s="5" t="s">
        <v>61</v>
      </c>
      <c r="C8" s="11">
        <v>0.13305555555555601</v>
      </c>
      <c r="D8" s="11" t="s">
        <v>62</v>
      </c>
      <c r="E8" s="11">
        <v>0.29700231481481498</v>
      </c>
      <c r="F8" s="12">
        <f t="shared" si="0"/>
        <v>3.9347222222222156</v>
      </c>
      <c r="G8" s="13">
        <f t="shared" si="1"/>
        <v>0</v>
      </c>
      <c r="H8" s="13">
        <f t="shared" si="2"/>
        <v>3.9347222222222156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3"/>
        <v>46072.5444837963</v>
      </c>
      <c r="B9" s="5" t="s">
        <v>61</v>
      </c>
      <c r="C9" s="11">
        <v>0.54447916666666696</v>
      </c>
      <c r="D9" s="11" t="s">
        <v>62</v>
      </c>
      <c r="E9" s="11">
        <v>0.79749999999999999</v>
      </c>
      <c r="F9" s="12">
        <f t="shared" si="0"/>
        <v>6.0724999999999927</v>
      </c>
      <c r="G9" s="13">
        <f t="shared" si="1"/>
        <v>6.0724999999999927</v>
      </c>
      <c r="H9" s="13">
        <f t="shared" si="2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3"/>
        <v>46073.134980439798</v>
      </c>
      <c r="B10" s="5" t="s">
        <v>61</v>
      </c>
      <c r="C10" s="11">
        <v>0.13497685185185199</v>
      </c>
      <c r="D10" s="11" t="s">
        <v>62</v>
      </c>
      <c r="E10" s="11">
        <v>0.29782407407407402</v>
      </c>
      <c r="F10" s="12">
        <f t="shared" si="0"/>
        <v>3.9083333333333288</v>
      </c>
      <c r="G10" s="13">
        <f t="shared" si="1"/>
        <v>0</v>
      </c>
      <c r="H10" s="13">
        <f t="shared" si="2"/>
        <v>3.9083333333333288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3"/>
        <v>46073.7929498843</v>
      </c>
      <c r="B11" s="5" t="s">
        <v>61</v>
      </c>
      <c r="C11" s="11">
        <v>0.79293981481481501</v>
      </c>
      <c r="D11" s="11" t="s">
        <v>62</v>
      </c>
      <c r="E11" s="11">
        <v>0.94564814814814802</v>
      </c>
      <c r="F11" s="12">
        <f t="shared" si="0"/>
        <v>3.664999999999992</v>
      </c>
      <c r="G11" s="13">
        <f t="shared" si="1"/>
        <v>3.664999999999992</v>
      </c>
      <c r="H11" s="13">
        <f t="shared" si="2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3"/>
        <v>46074.292422916697</v>
      </c>
      <c r="B12" s="5" t="s">
        <v>61</v>
      </c>
      <c r="C12" s="11">
        <v>0.29241898148148099</v>
      </c>
      <c r="D12" s="11" t="s">
        <v>62</v>
      </c>
      <c r="E12" s="11">
        <v>0.35668981481481499</v>
      </c>
      <c r="F12" s="12">
        <f t="shared" si="0"/>
        <v>1.542500000000016</v>
      </c>
      <c r="G12" s="13">
        <f t="shared" si="1"/>
        <v>0.56055555555556813</v>
      </c>
      <c r="H12" s="13">
        <f t="shared" si="2"/>
        <v>0.98194444444444784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3"/>
        <v>46076.583129050901</v>
      </c>
      <c r="B13" s="5" t="s">
        <v>61</v>
      </c>
      <c r="C13" s="11">
        <v>0.583125</v>
      </c>
      <c r="D13" s="11" t="s">
        <v>62</v>
      </c>
      <c r="E13" s="11">
        <v>0.79693287037036997</v>
      </c>
      <c r="F13" s="12">
        <f t="shared" si="0"/>
        <v>5.1313888888888792</v>
      </c>
      <c r="G13" s="13">
        <f t="shared" si="1"/>
        <v>5.1313888888888792</v>
      </c>
      <c r="H13" s="13">
        <f t="shared" si="2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3"/>
        <v>46077.129715625</v>
      </c>
      <c r="B14" s="5" t="s">
        <v>61</v>
      </c>
      <c r="C14" s="11">
        <v>0.12971064814814801</v>
      </c>
      <c r="D14" s="11" t="s">
        <v>62</v>
      </c>
      <c r="E14" s="11">
        <v>0.29781249999999998</v>
      </c>
      <c r="F14" s="12">
        <f t="shared" si="0"/>
        <v>4.0344444444444472</v>
      </c>
      <c r="G14" s="13">
        <f t="shared" si="1"/>
        <v>0</v>
      </c>
      <c r="H14" s="13">
        <f t="shared" si="2"/>
        <v>4.0344444444444472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3"/>
        <v>46077.794305208299</v>
      </c>
      <c r="B15" s="5" t="s">
        <v>61</v>
      </c>
      <c r="C15" s="11">
        <v>0.79430555555555504</v>
      </c>
      <c r="D15" s="11" t="s">
        <v>62</v>
      </c>
      <c r="E15" s="11">
        <v>0.94456018518518503</v>
      </c>
      <c r="F15" s="12">
        <f t="shared" si="0"/>
        <v>3.6061111111111197</v>
      </c>
      <c r="G15" s="13">
        <f t="shared" si="1"/>
        <v>3.6061111111111197</v>
      </c>
      <c r="H15" s="13">
        <f t="shared" si="2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3"/>
        <v>46078.293079861098</v>
      </c>
      <c r="B16" s="5" t="s">
        <v>61</v>
      </c>
      <c r="C16" s="11">
        <v>0.29307870370370398</v>
      </c>
      <c r="D16" s="11" t="s">
        <v>62</v>
      </c>
      <c r="E16" s="11">
        <v>0.54791666666666705</v>
      </c>
      <c r="F16" s="12">
        <f t="shared" si="0"/>
        <v>6.1161111111111133</v>
      </c>
      <c r="G16" s="13">
        <f t="shared" si="1"/>
        <v>5.1500000000000172</v>
      </c>
      <c r="H16" s="13">
        <f t="shared" si="2"/>
        <v>0.96611111111109604</v>
      </c>
      <c r="I16" s="35" t="s">
        <v>63</v>
      </c>
      <c r="J16" s="36">
        <f t="shared" ref="J16:L16" si="4">J3</f>
        <v>66.714166666666642</v>
      </c>
      <c r="K16" s="37">
        <f t="shared" si="4"/>
        <v>47.625277777777811</v>
      </c>
      <c r="L16" s="38">
        <f t="shared" si="4"/>
        <v>19.088888888888839</v>
      </c>
      <c r="M16" s="39"/>
    </row>
    <row r="17" spans="1:13" ht="20.25" x14ac:dyDescent="0.25">
      <c r="A17" s="10">
        <f t="shared" ca="1" si="3"/>
        <v>46080.793274421303</v>
      </c>
      <c r="B17" s="5" t="s">
        <v>61</v>
      </c>
      <c r="C17" s="11">
        <v>0.79326388888888899</v>
      </c>
      <c r="D17" s="11" t="s">
        <v>62</v>
      </c>
      <c r="E17" s="11">
        <v>0.94475694444444402</v>
      </c>
      <c r="F17" s="12">
        <f t="shared" si="0"/>
        <v>3.6358333333333208</v>
      </c>
      <c r="G17" s="13">
        <f t="shared" si="1"/>
        <v>3.6358333333333208</v>
      </c>
      <c r="H17" s="13">
        <f t="shared" si="2"/>
        <v>0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3"/>
        <v>46081.293223958302</v>
      </c>
      <c r="B18" s="5" t="s">
        <v>61</v>
      </c>
      <c r="C18" s="11">
        <v>0.293217592592593</v>
      </c>
      <c r="D18" s="11" t="s">
        <v>62</v>
      </c>
      <c r="E18" s="11">
        <v>0.549259259259259</v>
      </c>
      <c r="F18" s="12">
        <f t="shared" si="0"/>
        <v>6.1449999999999836</v>
      </c>
      <c r="G18" s="13">
        <f t="shared" si="1"/>
        <v>5.1822222222222241</v>
      </c>
      <c r="H18" s="13">
        <f t="shared" si="2"/>
        <v>0.96277777777775952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3"/>
        <v>46081.966463657402</v>
      </c>
      <c r="B19" s="5" t="s">
        <v>61</v>
      </c>
      <c r="C19" s="11">
        <v>0.93798611111111097</v>
      </c>
      <c r="D19" s="11" t="s">
        <v>62</v>
      </c>
      <c r="E19" s="11">
        <v>0.99989583333333298</v>
      </c>
      <c r="F19" s="12">
        <f t="shared" si="0"/>
        <v>1.4858333333333285</v>
      </c>
      <c r="G19" s="13">
        <f t="shared" si="1"/>
        <v>1.4858333333333285</v>
      </c>
      <c r="H19" s="13">
        <f t="shared" si="2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3"/>
        <v/>
      </c>
      <c r="B20" s="5"/>
      <c r="C20" s="11"/>
      <c r="D20" s="11"/>
      <c r="E20" s="11"/>
      <c r="F20" s="12">
        <f t="shared" si="0"/>
        <v>0</v>
      </c>
      <c r="G20" s="13">
        <f t="shared" si="1"/>
        <v>0</v>
      </c>
      <c r="H20" s="13">
        <f t="shared" si="2"/>
        <v>0</v>
      </c>
      <c r="I20" s="40" t="s">
        <v>77</v>
      </c>
      <c r="J20" s="65">
        <f>J16+J17+J18+J19</f>
        <v>66.714166666666642</v>
      </c>
      <c r="K20" s="66"/>
      <c r="L20" s="67"/>
      <c r="M20" s="41"/>
    </row>
    <row r="21" spans="1:13" ht="20.25" x14ac:dyDescent="0.25">
      <c r="A21" s="10" t="str">
        <f t="shared" ca="1" si="3"/>
        <v/>
      </c>
      <c r="B21" s="5"/>
      <c r="C21" s="11"/>
      <c r="D21" s="11"/>
      <c r="E21" s="11"/>
      <c r="F21" s="12">
        <f t="shared" si="0"/>
        <v>0</v>
      </c>
      <c r="G21" s="13">
        <f t="shared" si="1"/>
        <v>0</v>
      </c>
      <c r="H21" s="13">
        <f t="shared" si="2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3"/>
        <v/>
      </c>
      <c r="B22" s="5"/>
      <c r="C22" s="11"/>
      <c r="D22" s="11"/>
      <c r="E22" s="11"/>
      <c r="F22" s="12">
        <f t="shared" si="0"/>
        <v>0</v>
      </c>
      <c r="G22" s="13">
        <f t="shared" si="1"/>
        <v>0</v>
      </c>
      <c r="H22" s="13">
        <f t="shared" si="2"/>
        <v>0</v>
      </c>
      <c r="I22"/>
      <c r="J22"/>
    </row>
    <row r="23" spans="1:13" ht="18.75" x14ac:dyDescent="0.15">
      <c r="A23" s="10" t="str">
        <f t="shared" ca="1" si="3"/>
        <v/>
      </c>
      <c r="B23" s="5"/>
      <c r="C23" s="11"/>
      <c r="D23" s="11"/>
      <c r="E23" s="11"/>
      <c r="F23" s="12">
        <f t="shared" si="0"/>
        <v>0</v>
      </c>
      <c r="G23" s="13">
        <f t="shared" si="1"/>
        <v>0</v>
      </c>
      <c r="H23" s="13">
        <f t="shared" si="2"/>
        <v>0</v>
      </c>
      <c r="I23"/>
      <c r="J23"/>
    </row>
    <row r="24" spans="1:13" ht="18.75" x14ac:dyDescent="0.15">
      <c r="A24" s="10" t="str">
        <f t="shared" ca="1" si="3"/>
        <v/>
      </c>
      <c r="B24" s="5"/>
      <c r="C24" s="11"/>
      <c r="D24" s="11"/>
      <c r="E24" s="11"/>
      <c r="F24" s="12">
        <f t="shared" si="0"/>
        <v>0</v>
      </c>
      <c r="G24" s="13">
        <f t="shared" si="1"/>
        <v>0</v>
      </c>
      <c r="H24" s="13">
        <f t="shared" si="2"/>
        <v>0</v>
      </c>
      <c r="I24"/>
      <c r="J24"/>
    </row>
    <row r="25" spans="1:13" ht="18.75" x14ac:dyDescent="0.15">
      <c r="A25" s="10" t="str">
        <f t="shared" ca="1" si="3"/>
        <v/>
      </c>
      <c r="B25" s="5"/>
      <c r="C25" s="11"/>
      <c r="D25" s="11"/>
      <c r="E25" s="11"/>
      <c r="F25" s="12">
        <f t="shared" si="0"/>
        <v>0</v>
      </c>
      <c r="G25" s="13">
        <f t="shared" si="1"/>
        <v>0</v>
      </c>
      <c r="H25" s="13">
        <f t="shared" si="2"/>
        <v>0</v>
      </c>
      <c r="I25"/>
      <c r="J25"/>
    </row>
    <row r="26" spans="1:13" ht="18.75" x14ac:dyDescent="0.15">
      <c r="A26" s="10" t="str">
        <f t="shared" ca="1" si="3"/>
        <v/>
      </c>
      <c r="B26" s="5"/>
      <c r="C26" s="11"/>
      <c r="D26" s="11"/>
      <c r="E26" s="11"/>
      <c r="F26" s="12">
        <f t="shared" si="0"/>
        <v>0</v>
      </c>
      <c r="G26" s="13">
        <f t="shared" si="1"/>
        <v>0</v>
      </c>
      <c r="H26" s="13">
        <f t="shared" si="2"/>
        <v>0</v>
      </c>
      <c r="I26"/>
      <c r="J26"/>
    </row>
    <row r="27" spans="1:13" ht="18.75" x14ac:dyDescent="0.15">
      <c r="A27" s="10" t="str">
        <f t="shared" ca="1" si="3"/>
        <v/>
      </c>
      <c r="B27" s="5"/>
      <c r="C27" s="11"/>
      <c r="D27" s="11"/>
      <c r="E27" s="11"/>
      <c r="F27" s="12">
        <f t="shared" si="0"/>
        <v>0</v>
      </c>
      <c r="G27" s="13">
        <f t="shared" si="1"/>
        <v>0</v>
      </c>
      <c r="H27" s="13">
        <f t="shared" si="2"/>
        <v>0</v>
      </c>
      <c r="I27"/>
      <c r="J27"/>
    </row>
    <row r="28" spans="1:13" ht="18.75" x14ac:dyDescent="0.15">
      <c r="A28" s="10" t="str">
        <f t="shared" ca="1" si="3"/>
        <v/>
      </c>
      <c r="B28" s="5"/>
      <c r="C28" s="11"/>
      <c r="D28" s="11"/>
      <c r="E28" s="11"/>
      <c r="F28" s="12">
        <f t="shared" si="0"/>
        <v>0</v>
      </c>
      <c r="G28" s="13">
        <f t="shared" si="1"/>
        <v>0</v>
      </c>
      <c r="H28" s="13">
        <f t="shared" si="2"/>
        <v>0</v>
      </c>
      <c r="I28"/>
      <c r="J28"/>
    </row>
    <row r="29" spans="1:13" ht="18.75" x14ac:dyDescent="0.15">
      <c r="A29" s="10" t="str">
        <f t="shared" ca="1" si="3"/>
        <v/>
      </c>
      <c r="B29" s="5"/>
      <c r="C29" s="11"/>
      <c r="D29" s="11"/>
      <c r="E29" s="11"/>
      <c r="F29" s="12">
        <f t="shared" si="0"/>
        <v>0</v>
      </c>
      <c r="G29" s="13">
        <f t="shared" si="1"/>
        <v>0</v>
      </c>
      <c r="H29" s="13">
        <f t="shared" si="2"/>
        <v>0</v>
      </c>
      <c r="I29"/>
      <c r="J29"/>
    </row>
    <row r="30" spans="1:13" ht="18.75" x14ac:dyDescent="0.15">
      <c r="A30" s="10" t="str">
        <f t="shared" ca="1" si="3"/>
        <v/>
      </c>
      <c r="B30" s="5"/>
      <c r="C30" s="11"/>
      <c r="D30" s="11"/>
      <c r="E30" s="11"/>
      <c r="F30" s="12">
        <f t="shared" si="0"/>
        <v>0</v>
      </c>
      <c r="G30" s="13">
        <f t="shared" si="1"/>
        <v>0</v>
      </c>
      <c r="H30" s="13">
        <f t="shared" si="2"/>
        <v>0</v>
      </c>
      <c r="I30"/>
      <c r="J30"/>
    </row>
    <row r="31" spans="1:13" ht="18.75" x14ac:dyDescent="0.15">
      <c r="A31" s="10" t="str">
        <f t="shared" ca="1" si="3"/>
        <v/>
      </c>
      <c r="B31" s="5"/>
      <c r="C31" s="11"/>
      <c r="D31" s="11"/>
      <c r="E31" s="11"/>
      <c r="F31" s="12">
        <f t="shared" si="0"/>
        <v>0</v>
      </c>
      <c r="G31" s="13">
        <f t="shared" si="1"/>
        <v>0</v>
      </c>
      <c r="H31" s="13">
        <f t="shared" si="2"/>
        <v>0</v>
      </c>
      <c r="I31"/>
      <c r="J31"/>
    </row>
    <row r="32" spans="1:13" ht="18.75" x14ac:dyDescent="0.15">
      <c r="A32" s="10" t="str">
        <f t="shared" ca="1" si="3"/>
        <v/>
      </c>
      <c r="B32" s="5"/>
      <c r="C32" s="11"/>
      <c r="D32" s="11"/>
      <c r="E32" s="11"/>
      <c r="F32" s="12">
        <f t="shared" si="0"/>
        <v>0</v>
      </c>
      <c r="G32" s="13">
        <f t="shared" si="1"/>
        <v>0</v>
      </c>
      <c r="H32" s="13">
        <f t="shared" si="2"/>
        <v>0</v>
      </c>
      <c r="I32"/>
      <c r="J32"/>
    </row>
    <row r="33" spans="1:11" ht="18.75" x14ac:dyDescent="0.15">
      <c r="A33" s="10" t="str">
        <f t="shared" ca="1" si="3"/>
        <v/>
      </c>
      <c r="B33" s="5"/>
      <c r="C33" s="11"/>
      <c r="D33" s="11"/>
      <c r="E33" s="11"/>
      <c r="F33" s="12">
        <f t="shared" si="0"/>
        <v>0</v>
      </c>
      <c r="G33" s="13">
        <f t="shared" si="1"/>
        <v>0</v>
      </c>
      <c r="H33" s="13">
        <f t="shared" si="2"/>
        <v>0</v>
      </c>
      <c r="I33"/>
      <c r="J33"/>
    </row>
    <row r="34" spans="1:11" ht="18.75" x14ac:dyDescent="0.15">
      <c r="A34" s="10" t="str">
        <f t="shared" ca="1" si="3"/>
        <v/>
      </c>
      <c r="B34" s="5"/>
      <c r="C34" s="11"/>
      <c r="D34" s="11"/>
      <c r="E34" s="11"/>
      <c r="F34" s="12">
        <f t="shared" si="0"/>
        <v>0</v>
      </c>
      <c r="G34" s="13">
        <f t="shared" si="1"/>
        <v>0</v>
      </c>
      <c r="H34" s="13">
        <f t="shared" si="2"/>
        <v>0</v>
      </c>
      <c r="I34"/>
      <c r="J34"/>
    </row>
    <row r="35" spans="1:11" ht="18.75" x14ac:dyDescent="0.15">
      <c r="A35" s="10" t="str">
        <f t="shared" ca="1" si="3"/>
        <v/>
      </c>
      <c r="B35" s="5"/>
      <c r="C35" s="11"/>
      <c r="D35" s="11"/>
      <c r="E35" s="11"/>
      <c r="F35" s="12">
        <f t="shared" si="0"/>
        <v>0</v>
      </c>
      <c r="G35" s="13">
        <f t="shared" si="1"/>
        <v>0</v>
      </c>
      <c r="H35" s="13">
        <f t="shared" si="2"/>
        <v>0</v>
      </c>
      <c r="I35"/>
      <c r="J35"/>
    </row>
    <row r="36" spans="1:11" ht="18.75" x14ac:dyDescent="0.15">
      <c r="A36" s="10" t="str">
        <f t="shared" ca="1" si="3"/>
        <v/>
      </c>
      <c r="B36" s="5"/>
      <c r="C36" s="11"/>
      <c r="D36" s="11"/>
      <c r="E36" s="11"/>
      <c r="F36" s="12">
        <f t="shared" si="0"/>
        <v>0</v>
      </c>
      <c r="G36" s="13">
        <f t="shared" si="1"/>
        <v>0</v>
      </c>
      <c r="H36" s="13">
        <f t="shared" si="2"/>
        <v>0</v>
      </c>
      <c r="I36"/>
      <c r="J36"/>
    </row>
    <row r="37" spans="1:11" ht="18.75" x14ac:dyDescent="0.15">
      <c r="A37" s="10" t="str">
        <f t="shared" ca="1" si="3"/>
        <v/>
      </c>
      <c r="B37" s="5"/>
      <c r="C37" s="11"/>
      <c r="D37" s="11"/>
      <c r="E37" s="11"/>
      <c r="F37" s="12">
        <f t="shared" si="0"/>
        <v>0</v>
      </c>
      <c r="G37" s="13">
        <f t="shared" si="1"/>
        <v>0</v>
      </c>
      <c r="H37" s="13">
        <f t="shared" si="2"/>
        <v>0</v>
      </c>
      <c r="I37"/>
      <c r="J37"/>
    </row>
    <row r="38" spans="1:11" ht="18.75" x14ac:dyDescent="0.15">
      <c r="A38" s="10" t="str">
        <f t="shared" ca="1" si="3"/>
        <v/>
      </c>
      <c r="B38" s="5"/>
      <c r="C38" s="11"/>
      <c r="D38" s="11"/>
      <c r="E38" s="11"/>
      <c r="F38" s="12">
        <f t="shared" si="0"/>
        <v>0</v>
      </c>
      <c r="G38" s="13">
        <f t="shared" si="1"/>
        <v>0</v>
      </c>
      <c r="H38" s="13">
        <f t="shared" si="2"/>
        <v>0</v>
      </c>
      <c r="I38" s="45"/>
      <c r="J38" s="46"/>
      <c r="K38" s="11"/>
    </row>
    <row r="39" spans="1:11" ht="18.75" x14ac:dyDescent="0.15">
      <c r="A39" s="10" t="str">
        <f t="shared" ca="1" si="3"/>
        <v/>
      </c>
      <c r="B39" s="5"/>
      <c r="C39" s="11"/>
      <c r="D39" s="11"/>
      <c r="E39" s="11"/>
      <c r="F39" s="12">
        <f t="shared" si="0"/>
        <v>0</v>
      </c>
      <c r="G39" s="13">
        <f t="shared" si="1"/>
        <v>0</v>
      </c>
      <c r="H39" s="13">
        <f t="shared" si="2"/>
        <v>0</v>
      </c>
      <c r="I39" s="45"/>
      <c r="J39" s="46"/>
      <c r="K39" s="11"/>
    </row>
    <row r="40" spans="1:11" ht="18.75" x14ac:dyDescent="0.15">
      <c r="A40" s="10" t="str">
        <f t="shared" ca="1" si="3"/>
        <v/>
      </c>
      <c r="B40" s="5"/>
      <c r="C40" s="11"/>
      <c r="D40" s="11"/>
      <c r="E40" s="11"/>
      <c r="F40" s="12">
        <f t="shared" si="0"/>
        <v>0</v>
      </c>
      <c r="G40" s="13">
        <f t="shared" si="1"/>
        <v>0</v>
      </c>
      <c r="H40" s="13">
        <f t="shared" si="2"/>
        <v>0</v>
      </c>
      <c r="I40" s="45"/>
      <c r="J40" s="46"/>
      <c r="K40" s="11"/>
    </row>
    <row r="41" spans="1:11" ht="18.75" x14ac:dyDescent="0.15">
      <c r="A41" s="10" t="str">
        <f t="shared" ca="1" si="3"/>
        <v/>
      </c>
      <c r="B41" s="5"/>
      <c r="C41" s="11"/>
      <c r="D41" s="11"/>
      <c r="E41" s="11"/>
      <c r="F41" s="12">
        <f t="shared" si="0"/>
        <v>0</v>
      </c>
      <c r="G41" s="13">
        <f t="shared" si="1"/>
        <v>0</v>
      </c>
      <c r="H41" s="13">
        <f t="shared" si="2"/>
        <v>0</v>
      </c>
      <c r="I41" s="45"/>
      <c r="J41" s="46"/>
      <c r="K41" s="11"/>
    </row>
    <row r="42" spans="1:11" ht="18.75" x14ac:dyDescent="0.15">
      <c r="A42" s="10" t="str">
        <f t="shared" ca="1" si="3"/>
        <v/>
      </c>
      <c r="B42" s="5"/>
      <c r="C42" s="11"/>
      <c r="D42" s="11"/>
      <c r="E42" s="11"/>
      <c r="F42" s="12">
        <f t="shared" si="0"/>
        <v>0</v>
      </c>
      <c r="G42" s="13">
        <f t="shared" si="1"/>
        <v>0</v>
      </c>
      <c r="H42" s="13">
        <f t="shared" si="2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2"/>
  <sheetViews>
    <sheetView zoomScale="85" zoomScaleNormal="85" workbookViewId="0">
      <selection activeCell="D24" sqref="D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46054.015210879603</v>
      </c>
      <c r="B3" s="5" t="s">
        <v>78</v>
      </c>
      <c r="C3" s="11">
        <v>1.5208333333333299E-2</v>
      </c>
      <c r="D3" s="11" t="s">
        <v>62</v>
      </c>
      <c r="E3" s="11">
        <v>0.14444444444444399</v>
      </c>
      <c r="F3" s="12">
        <f t="shared" ref="F3:F42" si="1">(IF(E3-C3&lt;0,"24:00"-C3+E3,E3-C3))*24</f>
        <v>3.1016666666666568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3.1016666666666568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46057.132535648103</v>
      </c>
      <c r="B4" s="5" t="s">
        <v>79</v>
      </c>
      <c r="C4" s="11">
        <v>0.13253472222222201</v>
      </c>
      <c r="D4" s="11" t="s">
        <v>62</v>
      </c>
      <c r="E4" s="11">
        <v>0.238611111111111</v>
      </c>
      <c r="F4" s="12">
        <f t="shared" si="1"/>
        <v>2.5458333333333356</v>
      </c>
      <c r="G4" s="13">
        <f t="shared" si="2"/>
        <v>0</v>
      </c>
      <c r="H4" s="13">
        <f t="shared" si="3"/>
        <v>2.5458333333333356</v>
      </c>
      <c r="I4" s="21" t="s">
        <v>64</v>
      </c>
      <c r="J4" s="22">
        <f>SUMIF(B:B,"西塔台管制席",F:F)+SUMIF(B:B,"东塔台管制席",F:F)</f>
        <v>24.191388888888945</v>
      </c>
      <c r="K4" s="23">
        <f>SUMIF(B:B,"西塔台管制席",G:G)+SUMIF(B:B,"东塔台管制席",G:G)</f>
        <v>14.396944444444514</v>
      </c>
      <c r="L4" s="23">
        <f>SUMIF(B:B,"西塔台管制席",H:H)+SUMIF(B:B,"东塔台管制席",H:H)</f>
        <v>9.7944444444444319</v>
      </c>
      <c r="M4" s="19"/>
    </row>
    <row r="5" spans="1:16" ht="18.75" x14ac:dyDescent="0.25">
      <c r="A5" s="10">
        <f t="shared" ca="1" si="0"/>
        <v>46057.958113310196</v>
      </c>
      <c r="B5" s="5" t="s">
        <v>80</v>
      </c>
      <c r="C5" s="11">
        <v>0.95811342592592597</v>
      </c>
      <c r="D5" s="11" t="s">
        <v>62</v>
      </c>
      <c r="E5" s="11">
        <v>0.118564814814815</v>
      </c>
      <c r="F5" s="12">
        <f t="shared" si="1"/>
        <v>3.8508333333333371</v>
      </c>
      <c r="G5" s="13">
        <f t="shared" si="2"/>
        <v>1.0052777777777773</v>
      </c>
      <c r="H5" s="13">
        <f t="shared" si="3"/>
        <v>2.8455555555555598</v>
      </c>
      <c r="I5" s="21" t="s">
        <v>65</v>
      </c>
      <c r="J5" s="22">
        <f>SUMIF(B:B,"西塔台协调席",F:F)+SUMIF(B:B,"东塔台协调席",F:F)</f>
        <v>32.248333333333328</v>
      </c>
      <c r="K5" s="23">
        <f>SUMIF(B:B,"西塔台协调席",G:G)+SUMIF(B:B,"东塔台协调席",G:G)</f>
        <v>21.355555555555533</v>
      </c>
      <c r="L5" s="23">
        <f>SUMIF(B:B,"西塔台协调席",H:H)+SUMIF(B:B,"东塔台协调席",H:H)</f>
        <v>10.892777777777793</v>
      </c>
      <c r="M5" s="19"/>
    </row>
    <row r="6" spans="1:16" ht="18.75" x14ac:dyDescent="0.25">
      <c r="A6" s="10">
        <f t="shared" ca="1" si="0"/>
        <v>46060.353782754602</v>
      </c>
      <c r="B6" s="5" t="s">
        <v>78</v>
      </c>
      <c r="C6" s="11">
        <v>0.35377314814814798</v>
      </c>
      <c r="D6" s="11" t="s">
        <v>62</v>
      </c>
      <c r="E6" s="11">
        <v>0.44164351851851902</v>
      </c>
      <c r="F6" s="12">
        <f t="shared" si="1"/>
        <v>2.108888888888905</v>
      </c>
      <c r="G6" s="13">
        <f t="shared" si="2"/>
        <v>2.108888888888905</v>
      </c>
      <c r="H6" s="13">
        <f t="shared" si="3"/>
        <v>0</v>
      </c>
      <c r="I6" s="21" t="s">
        <v>66</v>
      </c>
      <c r="J6" s="22">
        <f>SUMIF(B:B,"放行席",F:F)</f>
        <v>2.5458333333333356</v>
      </c>
      <c r="K6" s="23">
        <f>SUMIF(B:B,"放行席",G:G)</f>
        <v>0</v>
      </c>
      <c r="L6" s="23">
        <f>SUMIF(B:B,"放行席",H:H)</f>
        <v>2.5458333333333356</v>
      </c>
      <c r="M6" s="19"/>
    </row>
    <row r="7" spans="1:16" ht="18.75" x14ac:dyDescent="0.25">
      <c r="A7" s="10">
        <f t="shared" ca="1" si="0"/>
        <v>46060.453295717598</v>
      </c>
      <c r="B7" s="5" t="s">
        <v>78</v>
      </c>
      <c r="C7" s="11">
        <v>0.45328703703703699</v>
      </c>
      <c r="D7" s="11" t="s">
        <v>62</v>
      </c>
      <c r="E7" s="11">
        <v>0.50383101851851897</v>
      </c>
      <c r="F7" s="12">
        <f t="shared" si="1"/>
        <v>1.2130555555555675</v>
      </c>
      <c r="G7" s="13">
        <f t="shared" si="2"/>
        <v>1.2130555555555675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46060.628436342602</v>
      </c>
      <c r="B8" s="5" t="s">
        <v>81</v>
      </c>
      <c r="C8" s="11">
        <v>0.62842592592592605</v>
      </c>
      <c r="D8" s="11" t="s">
        <v>62</v>
      </c>
      <c r="E8" s="11">
        <v>0.75591435185185196</v>
      </c>
      <c r="F8" s="12">
        <f t="shared" si="1"/>
        <v>3.0597222222222218</v>
      </c>
      <c r="G8" s="13">
        <f t="shared" si="2"/>
        <v>3.0597222222222218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46060.877911226897</v>
      </c>
      <c r="B9" s="5" t="s">
        <v>78</v>
      </c>
      <c r="C9" s="11">
        <v>0.87790509259259297</v>
      </c>
      <c r="D9" s="11" t="s">
        <v>62</v>
      </c>
      <c r="E9" s="11">
        <v>0.96372685185185203</v>
      </c>
      <c r="F9" s="12">
        <f t="shared" si="1"/>
        <v>2.0597222222222173</v>
      </c>
      <c r="G9" s="13">
        <f t="shared" si="2"/>
        <v>2.0597222222222173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46061.299675810202</v>
      </c>
      <c r="B10" s="5" t="s">
        <v>82</v>
      </c>
      <c r="C10" s="11">
        <v>0.29967592592592601</v>
      </c>
      <c r="D10" s="11" t="s">
        <v>62</v>
      </c>
      <c r="E10" s="11">
        <v>0.42188657407407398</v>
      </c>
      <c r="F10" s="12">
        <f t="shared" si="1"/>
        <v>2.9330555555555513</v>
      </c>
      <c r="G10" s="13">
        <f t="shared" si="2"/>
        <v>2.125277777777784</v>
      </c>
      <c r="H10" s="13">
        <f t="shared" si="3"/>
        <v>0.80777777777776727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46061.5005542824</v>
      </c>
      <c r="B11" s="5" t="s">
        <v>80</v>
      </c>
      <c r="C11" s="11">
        <v>0.50054398148148105</v>
      </c>
      <c r="D11" s="11" t="s">
        <v>62</v>
      </c>
      <c r="E11" s="11">
        <v>0.63136574074074103</v>
      </c>
      <c r="F11" s="12">
        <f t="shared" si="1"/>
        <v>3.1397222222222396</v>
      </c>
      <c r="G11" s="13">
        <f t="shared" si="2"/>
        <v>3.1397222222222396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46061.749709027798</v>
      </c>
      <c r="B12" s="5" t="s">
        <v>82</v>
      </c>
      <c r="C12" s="11">
        <v>0.74969907407407399</v>
      </c>
      <c r="D12" s="11" t="s">
        <v>62</v>
      </c>
      <c r="E12" s="11">
        <v>0.83940972222222199</v>
      </c>
      <c r="F12" s="12">
        <f t="shared" si="1"/>
        <v>2.1530555555555519</v>
      </c>
      <c r="G12" s="13">
        <f t="shared" si="2"/>
        <v>2.1530555555555519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46064.9584403935</v>
      </c>
      <c r="B13" s="5" t="s">
        <v>82</v>
      </c>
      <c r="C13" s="11">
        <v>0.95843750000000005</v>
      </c>
      <c r="D13" s="11" t="s">
        <v>62</v>
      </c>
      <c r="E13" s="11">
        <v>0.12997685185185201</v>
      </c>
      <c r="F13" s="12">
        <f t="shared" si="1"/>
        <v>4.1169444444444467</v>
      </c>
      <c r="G13" s="13">
        <f t="shared" si="2"/>
        <v>0.99749999999999872</v>
      </c>
      <c r="H13" s="13">
        <f t="shared" si="3"/>
        <v>3.119444444444448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46066.014123148103</v>
      </c>
      <c r="B14" s="5" t="s">
        <v>78</v>
      </c>
      <c r="C14" s="11">
        <v>1.4120370370370399E-2</v>
      </c>
      <c r="D14" s="11" t="s">
        <v>62</v>
      </c>
      <c r="E14" s="11">
        <v>0.13892361111111101</v>
      </c>
      <c r="F14" s="12">
        <f t="shared" si="1"/>
        <v>2.9952777777777748</v>
      </c>
      <c r="G14" s="13">
        <f t="shared" si="2"/>
        <v>0</v>
      </c>
      <c r="H14" s="13">
        <f t="shared" si="3"/>
        <v>2.9952777777777748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46069.138501736103</v>
      </c>
      <c r="B15" s="5" t="s">
        <v>82</v>
      </c>
      <c r="C15" s="11">
        <v>0.13849537037036999</v>
      </c>
      <c r="D15" s="11" t="s">
        <v>62</v>
      </c>
      <c r="E15" s="11">
        <v>0.29576388888888899</v>
      </c>
      <c r="F15" s="12">
        <f t="shared" si="1"/>
        <v>3.7744444444444563</v>
      </c>
      <c r="G15" s="13">
        <f t="shared" si="2"/>
        <v>0</v>
      </c>
      <c r="H15" s="13">
        <f t="shared" si="3"/>
        <v>3.7744444444444563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46069.863810532399</v>
      </c>
      <c r="B16" s="5" t="s">
        <v>82</v>
      </c>
      <c r="C16" s="11">
        <v>0.86380787037036999</v>
      </c>
      <c r="D16" s="11" t="s">
        <v>62</v>
      </c>
      <c r="E16" s="11">
        <v>0.93946759259259205</v>
      </c>
      <c r="F16" s="12">
        <f t="shared" si="1"/>
        <v>1.8158333333333294</v>
      </c>
      <c r="G16" s="13">
        <f t="shared" si="2"/>
        <v>1.8158333333333294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46070.139071874997</v>
      </c>
      <c r="B17" s="5" t="s">
        <v>82</v>
      </c>
      <c r="C17" s="11">
        <v>0.13906250000000001</v>
      </c>
      <c r="D17" s="11" t="s">
        <v>62</v>
      </c>
      <c r="E17" s="11">
        <v>0.246018518518519</v>
      </c>
      <c r="F17" s="12">
        <f t="shared" si="1"/>
        <v>2.5669444444444558</v>
      </c>
      <c r="G17" s="13">
        <f t="shared" si="2"/>
        <v>0</v>
      </c>
      <c r="H17" s="13">
        <f t="shared" si="3"/>
        <v>2.5669444444444558</v>
      </c>
      <c r="I17" s="35" t="s">
        <v>75</v>
      </c>
      <c r="J17" s="36">
        <f>J4+J5+J6+J7+J10</f>
        <v>58.985555555555607</v>
      </c>
      <c r="K17" s="37">
        <f>K4+K5+K6+K7+K10</f>
        <v>35.752500000000047</v>
      </c>
      <c r="L17" s="38">
        <f>L4+L5+L6+L7+L10</f>
        <v>23.233055555555559</v>
      </c>
      <c r="M17" s="39"/>
    </row>
    <row r="18" spans="1:13" ht="20.25" x14ac:dyDescent="0.25">
      <c r="A18" s="10">
        <f t="shared" ca="1" si="0"/>
        <v>46072.500357638899</v>
      </c>
      <c r="B18" s="5" t="s">
        <v>82</v>
      </c>
      <c r="C18" s="11">
        <v>0.50034722222222205</v>
      </c>
      <c r="D18" s="11" t="s">
        <v>62</v>
      </c>
      <c r="E18" s="11">
        <v>0.62924768518518504</v>
      </c>
      <c r="F18" s="12">
        <f t="shared" si="1"/>
        <v>3.0936111111111115</v>
      </c>
      <c r="G18" s="13">
        <f t="shared" si="2"/>
        <v>3.0936111111111115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46072.751904513898</v>
      </c>
      <c r="B19" s="5" t="s">
        <v>80</v>
      </c>
      <c r="C19" s="11">
        <v>0.75189814814814804</v>
      </c>
      <c r="D19" s="11" t="s">
        <v>62</v>
      </c>
      <c r="E19" s="11">
        <v>0.880925925925926</v>
      </c>
      <c r="F19" s="12">
        <f t="shared" si="1"/>
        <v>3.0966666666666711</v>
      </c>
      <c r="G19" s="13">
        <f t="shared" si="2"/>
        <v>3.0966666666666711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46073.500328588001</v>
      </c>
      <c r="B20" s="5" t="s">
        <v>80</v>
      </c>
      <c r="C20" s="11">
        <v>0.50032407407407398</v>
      </c>
      <c r="D20" s="11" t="s">
        <v>62</v>
      </c>
      <c r="E20" s="11">
        <v>0.54621527777777801</v>
      </c>
      <c r="F20" s="12">
        <f t="shared" si="1"/>
        <v>1.1013888888888967</v>
      </c>
      <c r="G20" s="13">
        <f t="shared" si="2"/>
        <v>1.1013888888888967</v>
      </c>
      <c r="H20" s="13">
        <f t="shared" si="3"/>
        <v>0</v>
      </c>
      <c r="I20" s="40" t="s">
        <v>77</v>
      </c>
      <c r="J20" s="65">
        <f>J16+J17+J18+J19</f>
        <v>58.985555555555607</v>
      </c>
      <c r="K20" s="66"/>
      <c r="L20" s="67"/>
      <c r="M20" s="41"/>
    </row>
    <row r="21" spans="1:13" ht="20.25" x14ac:dyDescent="0.25">
      <c r="A21" s="10">
        <f t="shared" ca="1" si="0"/>
        <v>46073.585182986099</v>
      </c>
      <c r="B21" s="5" t="s">
        <v>82</v>
      </c>
      <c r="C21" s="11">
        <v>0.58517361111111099</v>
      </c>
      <c r="D21" s="11" t="s">
        <v>62</v>
      </c>
      <c r="E21" s="11">
        <v>0.75520833333333304</v>
      </c>
      <c r="F21" s="12">
        <f t="shared" si="1"/>
        <v>4.0808333333333291</v>
      </c>
      <c r="G21" s="13">
        <f t="shared" si="2"/>
        <v>4.0808333333333291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46073.835161805597</v>
      </c>
      <c r="B22" s="5" t="s">
        <v>82</v>
      </c>
      <c r="C22" s="11">
        <v>0.83516203703703695</v>
      </c>
      <c r="D22" s="11" t="s">
        <v>62</v>
      </c>
      <c r="E22" s="11">
        <v>0.96206018518518499</v>
      </c>
      <c r="F22" s="12">
        <f t="shared" si="1"/>
        <v>3.0455555555555529</v>
      </c>
      <c r="G22" s="13">
        <f t="shared" si="2"/>
        <v>3.0455555555555529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46074.297836689802</v>
      </c>
      <c r="B23" s="5" t="s">
        <v>80</v>
      </c>
      <c r="C23" s="11">
        <v>0.297835648148148</v>
      </c>
      <c r="D23" s="11" t="s">
        <v>62</v>
      </c>
      <c r="E23" s="11">
        <v>0.36134259259259299</v>
      </c>
      <c r="F23" s="12">
        <f t="shared" si="1"/>
        <v>1.5241666666666798</v>
      </c>
      <c r="G23" s="13">
        <f t="shared" si="2"/>
        <v>0.67222222222224026</v>
      </c>
      <c r="H23" s="13">
        <f t="shared" si="3"/>
        <v>0.85194444444443951</v>
      </c>
      <c r="I23"/>
      <c r="J23"/>
    </row>
    <row r="24" spans="1:13" ht="18.75" x14ac:dyDescent="0.15">
      <c r="A24" s="10">
        <f t="shared" ca="1" si="0"/>
        <v>46076.958994560198</v>
      </c>
      <c r="B24" s="5" t="s">
        <v>82</v>
      </c>
      <c r="C24" s="11">
        <v>0.95899305555555603</v>
      </c>
      <c r="D24" s="11" t="s">
        <v>62</v>
      </c>
      <c r="E24" s="11">
        <v>2.6006944444444399E-2</v>
      </c>
      <c r="F24" s="12">
        <f t="shared" si="1"/>
        <v>1.608333333333321</v>
      </c>
      <c r="G24" s="13">
        <f t="shared" si="2"/>
        <v>0.98416666666665542</v>
      </c>
      <c r="H24" s="13">
        <f t="shared" si="3"/>
        <v>0.62416666666666554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46054.140054629599</v>
      </c>
      <c r="B3" s="5" t="s">
        <v>80</v>
      </c>
      <c r="C3" s="11">
        <v>0.140046296296296</v>
      </c>
      <c r="D3" s="11" t="s">
        <v>62</v>
      </c>
      <c r="E3" s="11">
        <v>0.30543981481481502</v>
      </c>
      <c r="F3" s="12">
        <f t="shared" ref="F3:F42" si="1">(IF(E3-C3&lt;0,"24:00"-C3+E3,E3-C3))*24</f>
        <v>3.9694444444444565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3.9694444444444565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46057.140715624999</v>
      </c>
      <c r="B4" s="5" t="s">
        <v>80</v>
      </c>
      <c r="C4" s="11">
        <v>0.14070601851851899</v>
      </c>
      <c r="D4" s="11" t="s">
        <v>62</v>
      </c>
      <c r="E4" s="11">
        <v>0.30502314814814802</v>
      </c>
      <c r="F4" s="12">
        <f t="shared" si="1"/>
        <v>3.9436111111110965</v>
      </c>
      <c r="G4" s="13">
        <f t="shared" si="2"/>
        <v>0</v>
      </c>
      <c r="H4" s="13">
        <f t="shared" si="3"/>
        <v>3.9436111111110965</v>
      </c>
      <c r="I4" s="21" t="s">
        <v>64</v>
      </c>
      <c r="J4" s="22">
        <f>SUMIF(B:B,"西塔台管制席",F:F)+SUMIF(B:B,"东塔台管制席",F:F)</f>
        <v>32.59416666666668</v>
      </c>
      <c r="K4" s="23">
        <f>SUMIF(B:B,"西塔台管制席",G:G)+SUMIF(B:B,"东塔台管制席",G:G)</f>
        <v>22.545277777777798</v>
      </c>
      <c r="L4" s="23">
        <f>SUMIF(B:B,"西塔台管制席",H:H)+SUMIF(B:B,"东塔台管制席",H:H)</f>
        <v>10.048888888888872</v>
      </c>
      <c r="M4" s="19"/>
    </row>
    <row r="5" spans="1:16" ht="18.75" x14ac:dyDescent="0.25">
      <c r="A5" s="10">
        <f t="shared" ca="1" si="0"/>
        <v>46058.139772338</v>
      </c>
      <c r="B5" s="5" t="s">
        <v>83</v>
      </c>
      <c r="C5" s="11">
        <v>0.13976851851851901</v>
      </c>
      <c r="D5" s="11" t="s">
        <v>62</v>
      </c>
      <c r="E5" s="11">
        <v>0.22872685185185199</v>
      </c>
      <c r="F5" s="12">
        <f t="shared" si="1"/>
        <v>2.1349999999999913</v>
      </c>
      <c r="G5" s="13">
        <f t="shared" si="2"/>
        <v>0</v>
      </c>
      <c r="H5" s="13">
        <f t="shared" si="3"/>
        <v>2.1349999999999913</v>
      </c>
      <c r="I5" s="21" t="s">
        <v>65</v>
      </c>
      <c r="J5" s="22">
        <f>SUMIF(B:B,"西塔台协调席",F:F)+SUMIF(B:B,"东塔台协调席",F:F)</f>
        <v>25.504722222222249</v>
      </c>
      <c r="K5" s="23">
        <f>SUMIF(B:B,"西塔台协调席",G:G)+SUMIF(B:B,"东塔台协调席",G:G)</f>
        <v>16.305555555555575</v>
      </c>
      <c r="L5" s="23">
        <f>SUMIF(B:B,"西塔台协调席",H:H)+SUMIF(B:B,"东塔台协调席",H:H)</f>
        <v>9.1991666666666774</v>
      </c>
      <c r="M5" s="19"/>
    </row>
    <row r="6" spans="1:16" ht="18.75" x14ac:dyDescent="0.25">
      <c r="A6" s="10">
        <f t="shared" ca="1" si="0"/>
        <v>46060.354223263901</v>
      </c>
      <c r="B6" s="5" t="s">
        <v>81</v>
      </c>
      <c r="C6" s="11">
        <v>0.35421296296296301</v>
      </c>
      <c r="D6" s="11" t="s">
        <v>62</v>
      </c>
      <c r="E6" s="11">
        <v>0.507314814814815</v>
      </c>
      <c r="F6" s="12">
        <f t="shared" si="1"/>
        <v>3.6744444444444477</v>
      </c>
      <c r="G6" s="13">
        <f t="shared" si="2"/>
        <v>3.6744444444444477</v>
      </c>
      <c r="H6" s="13">
        <f t="shared" si="3"/>
        <v>0</v>
      </c>
      <c r="I6" s="21" t="s">
        <v>66</v>
      </c>
      <c r="J6" s="22">
        <f>SUMIF(B:B,"放行席",F:F)</f>
        <v>2.2469444444444395</v>
      </c>
      <c r="K6" s="23">
        <f>SUMIF(B:B,"放行席",G:G)</f>
        <v>0</v>
      </c>
      <c r="L6" s="23">
        <f>SUMIF(B:B,"放行席",H:H)</f>
        <v>2.2469444444444395</v>
      </c>
      <c r="M6" s="19"/>
    </row>
    <row r="7" spans="1:16" ht="18.75" x14ac:dyDescent="0.25">
      <c r="A7" s="10">
        <f t="shared" ca="1" si="0"/>
        <v>46060.627174884299</v>
      </c>
      <c r="B7" s="5" t="s">
        <v>78</v>
      </c>
      <c r="C7" s="11">
        <v>0.62721064814814798</v>
      </c>
      <c r="D7" s="11" t="s">
        <v>62</v>
      </c>
      <c r="E7" s="11">
        <v>0.75622685185185201</v>
      </c>
      <c r="F7" s="12">
        <f t="shared" si="1"/>
        <v>3.0963888888888969</v>
      </c>
      <c r="G7" s="13">
        <f t="shared" si="2"/>
        <v>3.0963888888888969</v>
      </c>
      <c r="H7" s="13">
        <f t="shared" si="3"/>
        <v>0</v>
      </c>
      <c r="I7" s="21" t="s">
        <v>67</v>
      </c>
      <c r="J7" s="22">
        <f>SUMIF(B:B,"地面席",F:F)</f>
        <v>2.1349999999999913</v>
      </c>
      <c r="K7" s="23">
        <f>SUMIF(B:B,"地面席",G:G)</f>
        <v>0</v>
      </c>
      <c r="L7" s="23">
        <f>SUMIF(B:B,"地面席",H:H)</f>
        <v>2.1349999999999913</v>
      </c>
      <c r="M7" s="19"/>
    </row>
    <row r="8" spans="1:16" ht="18.75" x14ac:dyDescent="0.25">
      <c r="A8" s="10">
        <f t="shared" ca="1" si="0"/>
        <v>46060.875635185199</v>
      </c>
      <c r="B8" s="5" t="s">
        <v>81</v>
      </c>
      <c r="C8" s="11">
        <v>0.87562499999999999</v>
      </c>
      <c r="D8" s="11" t="s">
        <v>62</v>
      </c>
      <c r="E8" s="11">
        <v>0.964513888888889</v>
      </c>
      <c r="F8" s="12">
        <f t="shared" si="1"/>
        <v>2.1333333333333364</v>
      </c>
      <c r="G8" s="13">
        <f t="shared" si="2"/>
        <v>2.1333333333333364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46061.300352083301</v>
      </c>
      <c r="B9" s="5" t="s">
        <v>80</v>
      </c>
      <c r="C9" s="11">
        <v>0.30034722222222199</v>
      </c>
      <c r="D9" s="11" t="s">
        <v>62</v>
      </c>
      <c r="E9" s="11">
        <v>0.42292824074074098</v>
      </c>
      <c r="F9" s="12">
        <f t="shared" si="1"/>
        <v>2.9419444444444558</v>
      </c>
      <c r="G9" s="13">
        <f t="shared" si="2"/>
        <v>2.1502777777777919</v>
      </c>
      <c r="H9" s="13">
        <f t="shared" si="3"/>
        <v>0.79166666666666385</v>
      </c>
      <c r="I9" s="21" t="s">
        <v>69</v>
      </c>
      <c r="J9" s="22">
        <f>SUMIF(B:B,"航班调度席",F:F)</f>
        <v>4.6674999999999836</v>
      </c>
      <c r="K9" s="23">
        <f>SUMIF(B:B,"航班调度席",G:G)</f>
        <v>4.6674999999999836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46061.503656365698</v>
      </c>
      <c r="B10" s="5" t="s">
        <v>82</v>
      </c>
      <c r="C10" s="11">
        <v>0.50364583333333302</v>
      </c>
      <c r="D10" s="11" t="s">
        <v>62</v>
      </c>
      <c r="E10" s="11">
        <v>0.63108796296296299</v>
      </c>
      <c r="F10" s="12">
        <f t="shared" si="1"/>
        <v>3.0586111111111194</v>
      </c>
      <c r="G10" s="13">
        <f t="shared" si="2"/>
        <v>3.0586111111111194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46061.749817708303</v>
      </c>
      <c r="B11" s="5" t="s">
        <v>80</v>
      </c>
      <c r="C11" s="11">
        <v>0.74981481481481504</v>
      </c>
      <c r="D11" s="11" t="s">
        <v>62</v>
      </c>
      <c r="E11" s="11">
        <v>0.83719907407407401</v>
      </c>
      <c r="F11" s="12">
        <f t="shared" si="1"/>
        <v>2.0972222222222152</v>
      </c>
      <c r="G11" s="13">
        <f t="shared" si="2"/>
        <v>2.0972222222222152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46064.378842361097</v>
      </c>
      <c r="B12" s="5" t="s">
        <v>84</v>
      </c>
      <c r="C12" s="11">
        <v>0.37884259259259301</v>
      </c>
      <c r="D12" s="11" t="s">
        <v>62</v>
      </c>
      <c r="E12" s="11">
        <v>0.51228009259259299</v>
      </c>
      <c r="F12" s="12">
        <f t="shared" si="1"/>
        <v>3.2024999999999997</v>
      </c>
      <c r="G12" s="13">
        <f t="shared" si="2"/>
        <v>3.2024999999999997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46064.549720601899</v>
      </c>
      <c r="B13" s="5" t="s">
        <v>80</v>
      </c>
      <c r="C13" s="11">
        <v>0.55090277777777796</v>
      </c>
      <c r="D13" s="11" t="s">
        <v>62</v>
      </c>
      <c r="E13" s="11">
        <v>0.63376157407407396</v>
      </c>
      <c r="F13" s="12">
        <f t="shared" si="1"/>
        <v>1.988611111111104</v>
      </c>
      <c r="G13" s="13">
        <f t="shared" si="2"/>
        <v>1.988611111111104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46064.736215393503</v>
      </c>
      <c r="B14" s="5" t="s">
        <v>84</v>
      </c>
      <c r="C14" s="11">
        <v>0.73621527777777795</v>
      </c>
      <c r="D14" s="11" t="s">
        <v>62</v>
      </c>
      <c r="E14" s="11">
        <v>0.79725694444444395</v>
      </c>
      <c r="F14" s="12">
        <f t="shared" si="1"/>
        <v>1.4649999999999839</v>
      </c>
      <c r="G14" s="13">
        <f t="shared" si="2"/>
        <v>1.4649999999999839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46065.015565162001</v>
      </c>
      <c r="B15" s="5" t="s">
        <v>81</v>
      </c>
      <c r="C15" s="11">
        <v>1.55555555555556E-2</v>
      </c>
      <c r="D15" s="11" t="s">
        <v>62</v>
      </c>
      <c r="E15" s="11">
        <v>0.124270833333333</v>
      </c>
      <c r="F15" s="12">
        <f t="shared" si="1"/>
        <v>2.6091666666666575</v>
      </c>
      <c r="G15" s="13">
        <f t="shared" si="2"/>
        <v>0</v>
      </c>
      <c r="H15" s="13">
        <f t="shared" si="3"/>
        <v>2.6091666666666575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46065.124305671299</v>
      </c>
      <c r="B16" s="5" t="s">
        <v>80</v>
      </c>
      <c r="C16" s="11">
        <v>0.124305555555556</v>
      </c>
      <c r="D16" s="11" t="s">
        <v>62</v>
      </c>
      <c r="E16" s="11">
        <v>0.146516203703704</v>
      </c>
      <c r="F16" s="12">
        <f t="shared" si="1"/>
        <v>0.53305555555555184</v>
      </c>
      <c r="G16" s="13">
        <f t="shared" si="2"/>
        <v>0</v>
      </c>
      <c r="H16" s="13">
        <f t="shared" si="3"/>
        <v>0.53305555555555184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46066.134024884297</v>
      </c>
      <c r="B17" s="5" t="s">
        <v>79</v>
      </c>
      <c r="C17" s="11">
        <v>0.13401620370370401</v>
      </c>
      <c r="D17" s="11" t="s">
        <v>62</v>
      </c>
      <c r="E17" s="11">
        <v>0.227638888888889</v>
      </c>
      <c r="F17" s="12">
        <f t="shared" si="1"/>
        <v>2.2469444444444395</v>
      </c>
      <c r="G17" s="13">
        <f t="shared" si="2"/>
        <v>0</v>
      </c>
      <c r="H17" s="13">
        <f t="shared" si="3"/>
        <v>2.2469444444444395</v>
      </c>
      <c r="I17" s="35" t="s">
        <v>75</v>
      </c>
      <c r="J17" s="36">
        <f>J4+J5+J6+J7+J10</f>
        <v>62.480833333333358</v>
      </c>
      <c r="K17" s="37">
        <f>K4+K5+K6+K7+K10</f>
        <v>38.85083333333337</v>
      </c>
      <c r="L17" s="38">
        <f>L4+L5+L6+L7+L10</f>
        <v>23.629999999999981</v>
      </c>
      <c r="M17" s="39"/>
    </row>
    <row r="18" spans="1:13" ht="20.25" x14ac:dyDescent="0.25">
      <c r="A18" s="10">
        <f t="shared" ca="1" si="0"/>
        <v>46068.584096296298</v>
      </c>
      <c r="B18" s="5" t="s">
        <v>80</v>
      </c>
      <c r="C18" s="11">
        <v>0.58408564814814801</v>
      </c>
      <c r="D18" s="11" t="s">
        <v>62</v>
      </c>
      <c r="E18" s="11">
        <v>0.67246527777777798</v>
      </c>
      <c r="F18" s="12">
        <f t="shared" si="1"/>
        <v>2.1211111111111194</v>
      </c>
      <c r="G18" s="13">
        <f t="shared" si="2"/>
        <v>2.1211111111111194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46068.8313979167</v>
      </c>
      <c r="B19" s="5" t="s">
        <v>82</v>
      </c>
      <c r="C19" s="11">
        <v>0.83138888888888896</v>
      </c>
      <c r="D19" s="11" t="s">
        <v>62</v>
      </c>
      <c r="E19" s="11">
        <v>0.96371527777777799</v>
      </c>
      <c r="F19" s="12">
        <f t="shared" si="1"/>
        <v>3.1758333333333368</v>
      </c>
      <c r="G19" s="13">
        <f t="shared" si="2"/>
        <v>3.1758333333333368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46069.299544675901</v>
      </c>
      <c r="B20" s="5" t="s">
        <v>80</v>
      </c>
      <c r="C20" s="11">
        <v>0.29953703703703699</v>
      </c>
      <c r="D20" s="11" t="s">
        <v>62</v>
      </c>
      <c r="E20" s="11">
        <v>0.42042824074074098</v>
      </c>
      <c r="F20" s="12">
        <f t="shared" si="1"/>
        <v>2.9013888888888957</v>
      </c>
      <c r="G20" s="13">
        <f t="shared" si="2"/>
        <v>2.0902777777777919</v>
      </c>
      <c r="H20" s="13">
        <f t="shared" si="3"/>
        <v>0.81111111111110379</v>
      </c>
      <c r="I20" s="40" t="s">
        <v>77</v>
      </c>
      <c r="J20" s="65">
        <f>J16+J17+J18+J19</f>
        <v>62.480833333333358</v>
      </c>
      <c r="K20" s="66"/>
      <c r="L20" s="67"/>
      <c r="M20" s="41"/>
    </row>
    <row r="21" spans="1:13" ht="20.25" x14ac:dyDescent="0.25">
      <c r="A21" s="10">
        <f t="shared" ca="1" si="0"/>
        <v>46069.501569212996</v>
      </c>
      <c r="B21" s="5" t="s">
        <v>80</v>
      </c>
      <c r="C21" s="11">
        <v>0.50156250000000002</v>
      </c>
      <c r="D21" s="11" t="s">
        <v>62</v>
      </c>
      <c r="E21" s="11">
        <v>0.58990740740740699</v>
      </c>
      <c r="F21" s="12">
        <f t="shared" si="1"/>
        <v>2.1202777777777673</v>
      </c>
      <c r="G21" s="13">
        <f t="shared" si="2"/>
        <v>2.1202777777777673</v>
      </c>
      <c r="H21" s="13">
        <f t="shared" si="3"/>
        <v>0</v>
      </c>
      <c r="I21" s="42" t="s">
        <v>4</v>
      </c>
      <c r="J21" s="43">
        <f>SUM(J8:J9)</f>
        <v>4.6674999999999836</v>
      </c>
      <c r="K21" s="37">
        <f>SUM(K8:K9)</f>
        <v>4.6674999999999836</v>
      </c>
      <c r="L21" s="38">
        <f>SUM(L8:L9)</f>
        <v>0</v>
      </c>
      <c r="M21" s="44"/>
    </row>
    <row r="22" spans="1:13" ht="18.75" x14ac:dyDescent="0.15">
      <c r="A22" s="10">
        <f t="shared" ca="1" si="0"/>
        <v>46069.959924536997</v>
      </c>
      <c r="B22" s="5" t="s">
        <v>82</v>
      </c>
      <c r="C22" s="11">
        <v>0.95991898148148103</v>
      </c>
      <c r="D22" s="11" t="s">
        <v>62</v>
      </c>
      <c r="E22" s="11">
        <v>0.14258101851851901</v>
      </c>
      <c r="F22" s="12">
        <f t="shared" si="1"/>
        <v>4.3838888888889116</v>
      </c>
      <c r="G22" s="13">
        <f t="shared" si="2"/>
        <v>0.96194444444445537</v>
      </c>
      <c r="H22" s="13">
        <f t="shared" si="3"/>
        <v>3.4219444444444562</v>
      </c>
      <c r="I22"/>
      <c r="J22"/>
    </row>
    <row r="23" spans="1:13" ht="18.75" x14ac:dyDescent="0.15">
      <c r="A23" s="10">
        <f t="shared" ca="1" si="0"/>
        <v>46072.960101851902</v>
      </c>
      <c r="B23" s="5" t="s">
        <v>82</v>
      </c>
      <c r="C23" s="11">
        <v>0.96009259259259305</v>
      </c>
      <c r="D23" s="11" t="s">
        <v>62</v>
      </c>
      <c r="E23" s="11">
        <v>0.12651620370370401</v>
      </c>
      <c r="F23" s="12">
        <f t="shared" si="1"/>
        <v>3.9941666666666631</v>
      </c>
      <c r="G23" s="13">
        <f t="shared" si="2"/>
        <v>0.95777777777776674</v>
      </c>
      <c r="H23" s="13">
        <f t="shared" si="3"/>
        <v>3.0363888888888964</v>
      </c>
      <c r="I23"/>
      <c r="J23"/>
    </row>
    <row r="24" spans="1:13" ht="18.75" x14ac:dyDescent="0.15">
      <c r="A24" s="10">
        <f t="shared" ca="1" si="0"/>
        <v>46073.480627893499</v>
      </c>
      <c r="B24" s="5" t="s">
        <v>82</v>
      </c>
      <c r="C24" s="11">
        <v>0.48062500000000002</v>
      </c>
      <c r="D24" s="11" t="s">
        <v>62</v>
      </c>
      <c r="E24" s="11">
        <v>0.54671296296296301</v>
      </c>
      <c r="F24" s="12">
        <f t="shared" si="1"/>
        <v>1.5861111111111117</v>
      </c>
      <c r="G24" s="13">
        <f t="shared" si="2"/>
        <v>1.5861111111111117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46073.603022569398</v>
      </c>
      <c r="B25" s="5" t="s">
        <v>80</v>
      </c>
      <c r="C25" s="11">
        <v>0.60302083333333301</v>
      </c>
      <c r="D25" s="11" t="s">
        <v>62</v>
      </c>
      <c r="E25" s="11">
        <v>0.75312500000000004</v>
      </c>
      <c r="F25" s="12">
        <f t="shared" si="1"/>
        <v>3.6025000000000089</v>
      </c>
      <c r="G25" s="13">
        <f t="shared" si="2"/>
        <v>3.6025000000000089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46073.831801273103</v>
      </c>
      <c r="B26" s="5" t="s">
        <v>80</v>
      </c>
      <c r="C26" s="11">
        <v>0.83179398148148198</v>
      </c>
      <c r="D26" s="11" t="s">
        <v>62</v>
      </c>
      <c r="E26" s="11">
        <v>0.96840277777777795</v>
      </c>
      <c r="F26" s="12">
        <f t="shared" si="1"/>
        <v>3.2786111111111031</v>
      </c>
      <c r="G26" s="13">
        <f t="shared" si="2"/>
        <v>3.2786111111111031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46073.968443749996</v>
      </c>
      <c r="B27" s="5" t="s">
        <v>82</v>
      </c>
      <c r="C27" s="11">
        <v>0.96843749999999995</v>
      </c>
      <c r="D27" s="11" t="s">
        <v>62</v>
      </c>
      <c r="E27" s="11">
        <v>5.48611111111111E-3</v>
      </c>
      <c r="F27" s="12">
        <f t="shared" si="1"/>
        <v>0.88916666666666777</v>
      </c>
      <c r="G27" s="13">
        <f t="shared" si="2"/>
        <v>0.75750000000000117</v>
      </c>
      <c r="H27" s="13">
        <f t="shared" si="3"/>
        <v>0.13166666666666665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46055.132384375</v>
      </c>
      <c r="B3" s="5" t="s">
        <v>79</v>
      </c>
      <c r="C3" s="11">
        <v>0.13238425925925901</v>
      </c>
      <c r="D3" s="11" t="s">
        <v>62</v>
      </c>
      <c r="E3" s="11">
        <v>0.214074074074074</v>
      </c>
      <c r="F3" s="12">
        <f t="shared" ref="F3:F42" si="1">(IF(E3-C3&lt;0,"24:00"-C3+E3,E3-C3))*24</f>
        <v>1.9605555555555598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1.9605555555555598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46056.013792129597</v>
      </c>
      <c r="B4" s="5" t="s">
        <v>81</v>
      </c>
      <c r="C4" s="11">
        <v>1.37847222222222E-2</v>
      </c>
      <c r="D4" s="11" t="s">
        <v>62</v>
      </c>
      <c r="E4" s="11">
        <v>0.14406250000000001</v>
      </c>
      <c r="F4" s="12">
        <f t="shared" si="1"/>
        <v>3.1266666666666669</v>
      </c>
      <c r="G4" s="13">
        <f t="shared" si="2"/>
        <v>0</v>
      </c>
      <c r="H4" s="13">
        <f t="shared" si="3"/>
        <v>3.1266666666666669</v>
      </c>
      <c r="I4" s="21" t="s">
        <v>64</v>
      </c>
      <c r="J4" s="22">
        <f>SUMIF(B:B,"西塔台管制席",F:F)+SUMIF(B:B,"东塔台管制席",F:F)</f>
        <v>15.573888888888888</v>
      </c>
      <c r="K4" s="23">
        <f>SUMIF(B:B,"西塔台管制席",G:G)+SUMIF(B:B,"东塔台管制席",G:G)</f>
        <v>14.613888888888887</v>
      </c>
      <c r="L4" s="23">
        <f>SUMIF(B:B,"西塔台管制席",H:H)+SUMIF(B:B,"东塔台管制席",H:H)</f>
        <v>0.95999999999999952</v>
      </c>
      <c r="M4" s="19"/>
    </row>
    <row r="5" spans="1:16" ht="18.75" x14ac:dyDescent="0.25">
      <c r="A5" s="10">
        <f t="shared" ca="1" si="0"/>
        <v>46058.500449305597</v>
      </c>
      <c r="B5" s="5" t="s">
        <v>78</v>
      </c>
      <c r="C5" s="11">
        <v>0.50043981481481503</v>
      </c>
      <c r="D5" s="11" t="s">
        <v>62</v>
      </c>
      <c r="E5" s="11">
        <v>0.63369212962962995</v>
      </c>
      <c r="F5" s="12">
        <f t="shared" si="1"/>
        <v>3.1980555555555581</v>
      </c>
      <c r="G5" s="13">
        <f t="shared" si="2"/>
        <v>3.1980555555555581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24.267500000000016</v>
      </c>
      <c r="K5" s="23">
        <f>SUMIF(B:B,"西塔台协调席",G:G)+SUMIF(B:B,"东塔台协调席",G:G)</f>
        <v>17.767222222222223</v>
      </c>
      <c r="L5" s="23">
        <f>SUMIF(B:B,"西塔台协调席",H:H)+SUMIF(B:B,"东塔台协调席",H:H)</f>
        <v>6.5002777777777867</v>
      </c>
      <c r="M5" s="19"/>
    </row>
    <row r="6" spans="1:16" ht="18.75" x14ac:dyDescent="0.25">
      <c r="A6" s="10">
        <f t="shared" ca="1" si="0"/>
        <v>46058.633747337997</v>
      </c>
      <c r="B6" s="5" t="s">
        <v>84</v>
      </c>
      <c r="C6" s="11">
        <v>0.633738425925926</v>
      </c>
      <c r="D6" s="11" t="s">
        <v>62</v>
      </c>
      <c r="E6" s="11">
        <v>0.68832175925925898</v>
      </c>
      <c r="F6" s="12">
        <f t="shared" si="1"/>
        <v>1.3099999999999916</v>
      </c>
      <c r="G6" s="13">
        <f t="shared" si="2"/>
        <v>1.3099999999999916</v>
      </c>
      <c r="H6" s="13">
        <f t="shared" si="3"/>
        <v>0</v>
      </c>
      <c r="I6" s="21" t="s">
        <v>66</v>
      </c>
      <c r="J6" s="22">
        <f>SUMIF(B:B,"放行席",F:F)</f>
        <v>1.9605555555555598</v>
      </c>
      <c r="K6" s="23">
        <f>SUMIF(B:B,"放行席",G:G)</f>
        <v>0</v>
      </c>
      <c r="L6" s="23">
        <f>SUMIF(B:B,"放行席",H:H)</f>
        <v>1.9605555555555598</v>
      </c>
      <c r="M6" s="19"/>
    </row>
    <row r="7" spans="1:16" ht="18.75" x14ac:dyDescent="0.25">
      <c r="A7" s="10">
        <f t="shared" ca="1" si="0"/>
        <v>46058.875546411997</v>
      </c>
      <c r="B7" s="5" t="s">
        <v>81</v>
      </c>
      <c r="C7" s="11">
        <v>0.87554398148148105</v>
      </c>
      <c r="D7" s="11" t="s">
        <v>62</v>
      </c>
      <c r="E7" s="11">
        <v>0.95819444444444402</v>
      </c>
      <c r="F7" s="12">
        <f t="shared" si="1"/>
        <v>1.9836111111111112</v>
      </c>
      <c r="G7" s="13">
        <f t="shared" si="2"/>
        <v>1.9836111111111112</v>
      </c>
      <c r="H7" s="13">
        <f t="shared" si="3"/>
        <v>0</v>
      </c>
      <c r="I7" s="21" t="s">
        <v>67</v>
      </c>
      <c r="J7" s="22">
        <f>SUMIF(B:B,"地面席",F:F)</f>
        <v>2.8055555555555527</v>
      </c>
      <c r="K7" s="23">
        <f>SUMIF(B:B,"地面席",G:G)</f>
        <v>0</v>
      </c>
      <c r="L7" s="23">
        <f>SUMIF(B:B,"地面席",H:H)</f>
        <v>2.8055555555555527</v>
      </c>
      <c r="M7" s="19"/>
    </row>
    <row r="8" spans="1:16" ht="18.75" x14ac:dyDescent="0.25">
      <c r="A8" s="10">
        <f t="shared" ca="1" si="0"/>
        <v>46059.420658564799</v>
      </c>
      <c r="B8" s="5" t="s">
        <v>80</v>
      </c>
      <c r="C8" s="11">
        <v>0.42064814814814799</v>
      </c>
      <c r="D8" s="11" t="s">
        <v>62</v>
      </c>
      <c r="E8" s="11">
        <v>0.50678240740740699</v>
      </c>
      <c r="F8" s="12">
        <f t="shared" si="1"/>
        <v>2.0672222222222159</v>
      </c>
      <c r="G8" s="13">
        <f t="shared" si="2"/>
        <v>2.0672222222222159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46059.585138078699</v>
      </c>
      <c r="B9" s="5" t="s">
        <v>82</v>
      </c>
      <c r="C9" s="11">
        <v>0.58512731481481495</v>
      </c>
      <c r="D9" s="11" t="s">
        <v>62</v>
      </c>
      <c r="E9" s="11">
        <v>0.67504629629629598</v>
      </c>
      <c r="F9" s="12">
        <f t="shared" si="1"/>
        <v>2.1580555555555447</v>
      </c>
      <c r="G9" s="13">
        <f t="shared" si="2"/>
        <v>2.1580555555555447</v>
      </c>
      <c r="H9" s="13">
        <f t="shared" si="3"/>
        <v>0</v>
      </c>
      <c r="I9" s="21" t="s">
        <v>69</v>
      </c>
      <c r="J9" s="22">
        <f>SUMIF(B:B,"航班调度席",F:F)</f>
        <v>3.5183333333333038</v>
      </c>
      <c r="K9" s="23">
        <f>SUMIF(B:B,"航班调度席",G:G)</f>
        <v>3.5183333333333038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46059.837792013903</v>
      </c>
      <c r="B10" s="5" t="s">
        <v>80</v>
      </c>
      <c r="C10" s="11">
        <v>0.83778935185185199</v>
      </c>
      <c r="D10" s="11" t="s">
        <v>62</v>
      </c>
      <c r="E10" s="11">
        <v>0.95719907407407401</v>
      </c>
      <c r="F10" s="12">
        <f t="shared" si="1"/>
        <v>2.8658333333333283</v>
      </c>
      <c r="G10" s="13">
        <f t="shared" si="2"/>
        <v>2.8658333333333283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46062.950931713</v>
      </c>
      <c r="B11" s="5" t="s">
        <v>82</v>
      </c>
      <c r="C11" s="11">
        <v>0.95092592592592595</v>
      </c>
      <c r="D11" s="11" t="s">
        <v>62</v>
      </c>
      <c r="E11" s="11">
        <v>0.14056712962963</v>
      </c>
      <c r="F11" s="12">
        <f t="shared" si="1"/>
        <v>4.5513888888888969</v>
      </c>
      <c r="G11" s="13">
        <f t="shared" si="2"/>
        <v>1.1777777777777771</v>
      </c>
      <c r="H11" s="13">
        <f t="shared" si="3"/>
        <v>3.3736111111111198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46064.140137962997</v>
      </c>
      <c r="B12" s="5" t="s">
        <v>83</v>
      </c>
      <c r="C12" s="11">
        <v>0.140127314814815</v>
      </c>
      <c r="D12" s="11" t="s">
        <v>62</v>
      </c>
      <c r="E12" s="11">
        <v>0.25702546296296302</v>
      </c>
      <c r="F12" s="12">
        <f t="shared" si="1"/>
        <v>2.8055555555555527</v>
      </c>
      <c r="G12" s="13">
        <f t="shared" si="2"/>
        <v>0</v>
      </c>
      <c r="H12" s="13">
        <f t="shared" si="3"/>
        <v>2.8055555555555527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46074.3509649306</v>
      </c>
      <c r="B13" s="5" t="s">
        <v>82</v>
      </c>
      <c r="C13" s="11">
        <v>0.35096064814814798</v>
      </c>
      <c r="D13" s="11" t="s">
        <v>62</v>
      </c>
      <c r="E13" s="11">
        <v>0.52760416666666698</v>
      </c>
      <c r="F13" s="12">
        <f t="shared" si="1"/>
        <v>4.2394444444444561</v>
      </c>
      <c r="G13" s="13">
        <f t="shared" si="2"/>
        <v>4.2394444444444561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46074.647454166698</v>
      </c>
      <c r="B14" s="5" t="s">
        <v>80</v>
      </c>
      <c r="C14" s="11">
        <v>0.64745370370370403</v>
      </c>
      <c r="D14" s="11" t="s">
        <v>62</v>
      </c>
      <c r="E14" s="11">
        <v>0.777013888888889</v>
      </c>
      <c r="F14" s="12">
        <f t="shared" si="1"/>
        <v>3.1094444444444393</v>
      </c>
      <c r="G14" s="13">
        <f t="shared" si="2"/>
        <v>3.1094444444444393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46075.417260300899</v>
      </c>
      <c r="B15" s="5" t="s">
        <v>82</v>
      </c>
      <c r="C15" s="11">
        <v>0.417256944444444</v>
      </c>
      <c r="D15" s="11" t="s">
        <v>62</v>
      </c>
      <c r="E15" s="11">
        <v>0.50577546296296305</v>
      </c>
      <c r="F15" s="12">
        <f t="shared" si="1"/>
        <v>2.1244444444444572</v>
      </c>
      <c r="G15" s="13">
        <f t="shared" si="2"/>
        <v>2.1244444444444572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46075.834628472199</v>
      </c>
      <c r="B16" s="5" t="s">
        <v>82</v>
      </c>
      <c r="C16" s="11">
        <v>0.83461805555555602</v>
      </c>
      <c r="D16" s="11" t="s">
        <v>62</v>
      </c>
      <c r="E16" s="11">
        <v>0.959016203703704</v>
      </c>
      <c r="F16" s="12">
        <f t="shared" si="1"/>
        <v>2.9855555555555515</v>
      </c>
      <c r="G16" s="13">
        <f t="shared" si="2"/>
        <v>2.9855555555555515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46076.293337847201</v>
      </c>
      <c r="B17" s="5" t="s">
        <v>80</v>
      </c>
      <c r="C17" s="11">
        <v>0.293333333333333</v>
      </c>
      <c r="D17" s="11" t="s">
        <v>62</v>
      </c>
      <c r="E17" s="11">
        <v>0.364375</v>
      </c>
      <c r="F17" s="12">
        <f t="shared" si="1"/>
        <v>1.7050000000000081</v>
      </c>
      <c r="G17" s="13">
        <f t="shared" si="2"/>
        <v>0.74500000000000854</v>
      </c>
      <c r="H17" s="13">
        <f t="shared" si="3"/>
        <v>0.95999999999999952</v>
      </c>
      <c r="I17" s="35" t="s">
        <v>75</v>
      </c>
      <c r="J17" s="36">
        <f>J4+J5+J6+J7+J10</f>
        <v>44.607500000000009</v>
      </c>
      <c r="K17" s="37">
        <f>K4+K5+K6+K7+K10</f>
        <v>32.38111111111111</v>
      </c>
      <c r="L17" s="38">
        <f>L4+L5+L6+L7+L10</f>
        <v>12.226388888888899</v>
      </c>
      <c r="M17" s="39"/>
    </row>
    <row r="18" spans="1:13" ht="20.25" x14ac:dyDescent="0.25">
      <c r="A18" s="10">
        <f t="shared" ca="1" si="0"/>
        <v>46078.374520949103</v>
      </c>
      <c r="B18" s="5" t="s">
        <v>84</v>
      </c>
      <c r="C18" s="11">
        <v>0.37451388888888898</v>
      </c>
      <c r="D18" s="11" t="s">
        <v>62</v>
      </c>
      <c r="E18" s="11">
        <v>0.43576388888888901</v>
      </c>
      <c r="F18" s="12">
        <f t="shared" si="1"/>
        <v>1.4700000000000006</v>
      </c>
      <c r="G18" s="13">
        <f t="shared" si="2"/>
        <v>1.4700000000000006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46078.6477928241</v>
      </c>
      <c r="B19" s="5" t="s">
        <v>82</v>
      </c>
      <c r="C19" s="11">
        <v>0.64778935185185205</v>
      </c>
      <c r="D19" s="11" t="s">
        <v>62</v>
      </c>
      <c r="E19" s="11">
        <v>0.77688657407407402</v>
      </c>
      <c r="F19" s="12">
        <f t="shared" si="1"/>
        <v>3.0983333333333274</v>
      </c>
      <c r="G19" s="13">
        <f t="shared" si="2"/>
        <v>3.0983333333333274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46079.3849259259</v>
      </c>
      <c r="B20" s="5" t="s">
        <v>84</v>
      </c>
      <c r="C20" s="11">
        <v>0.38491898148148201</v>
      </c>
      <c r="D20" s="11" t="s">
        <v>62</v>
      </c>
      <c r="E20" s="11">
        <v>0.41568287037036999</v>
      </c>
      <c r="F20" s="12">
        <f t="shared" si="1"/>
        <v>0.73833333333331153</v>
      </c>
      <c r="G20" s="13">
        <f t="shared" si="2"/>
        <v>0.73833333333331153</v>
      </c>
      <c r="H20" s="13">
        <f t="shared" si="3"/>
        <v>0</v>
      </c>
      <c r="I20" s="40" t="s">
        <v>77</v>
      </c>
      <c r="J20" s="65">
        <f>J16+J17+J18+J19</f>
        <v>44.607500000000009</v>
      </c>
      <c r="K20" s="66"/>
      <c r="L20" s="67"/>
      <c r="M20" s="41"/>
    </row>
    <row r="21" spans="1:13" ht="20.25" x14ac:dyDescent="0.25">
      <c r="A21" s="10">
        <f t="shared" ca="1" si="0"/>
        <v>46079.415820023103</v>
      </c>
      <c r="B21" s="5" t="s">
        <v>80</v>
      </c>
      <c r="C21" s="11">
        <v>0.41581018518518498</v>
      </c>
      <c r="D21" s="11" t="s">
        <v>62</v>
      </c>
      <c r="E21" s="11">
        <v>0.525324074074074</v>
      </c>
      <c r="F21" s="12">
        <f t="shared" si="1"/>
        <v>2.6283333333333365</v>
      </c>
      <c r="G21" s="13">
        <f t="shared" si="2"/>
        <v>2.6283333333333365</v>
      </c>
      <c r="H21" s="13">
        <f t="shared" si="3"/>
        <v>0</v>
      </c>
      <c r="I21" s="42" t="s">
        <v>4</v>
      </c>
      <c r="J21" s="43">
        <f>SUM(J8:J9)</f>
        <v>3.5183333333333038</v>
      </c>
      <c r="K21" s="37">
        <f>SUM(K8:K9)</f>
        <v>3.5183333333333038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2"/>
  <sheetViews>
    <sheetView topLeftCell="A4" zoomScale="85" zoomScaleNormal="85" workbookViewId="0">
      <selection activeCell="D27" sqref="D27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46057.014734027798</v>
      </c>
      <c r="B3" s="5" t="s">
        <v>82</v>
      </c>
      <c r="C3" s="11">
        <v>1.47337962962963E-2</v>
      </c>
      <c r="D3" s="11" t="s">
        <v>62</v>
      </c>
      <c r="E3" s="11">
        <v>0.11375</v>
      </c>
      <c r="F3" s="12">
        <f t="shared" ref="F3:F42" si="1">(IF(E3-C3&lt;0,"24:00"-C3+E3,E3-C3))*24</f>
        <v>2.3763888888888891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2.3763888888888891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46057.113789120398</v>
      </c>
      <c r="B4" s="5" t="s">
        <v>78</v>
      </c>
      <c r="C4" s="11">
        <v>0.113784722222222</v>
      </c>
      <c r="D4" s="11" t="s">
        <v>62</v>
      </c>
      <c r="E4" s="11">
        <v>0.14644675925925901</v>
      </c>
      <c r="F4" s="12">
        <f t="shared" si="1"/>
        <v>0.78388888888888841</v>
      </c>
      <c r="G4" s="13">
        <f t="shared" si="2"/>
        <v>0</v>
      </c>
      <c r="H4" s="13">
        <f t="shared" si="3"/>
        <v>0.78388888888888841</v>
      </c>
      <c r="I4" s="21" t="s">
        <v>64</v>
      </c>
      <c r="J4" s="22">
        <f>SUMIF(B:B,"西塔台管制席",F:F)+SUMIF(B:B,"东塔台管制席",F:F)</f>
        <v>26.455555555555577</v>
      </c>
      <c r="K4" s="23">
        <f>SUMIF(B:B,"西塔台管制席",G:G)+SUMIF(B:B,"东塔台管制席",G:G)</f>
        <v>16.142500000000027</v>
      </c>
      <c r="L4" s="23">
        <f>SUMIF(B:B,"西塔台管制席",H:H)+SUMIF(B:B,"东塔台管制席",H:H)</f>
        <v>10.313055555555547</v>
      </c>
      <c r="M4" s="19"/>
    </row>
    <row r="5" spans="1:16" ht="18.75" x14ac:dyDescent="0.25">
      <c r="A5" s="10">
        <f t="shared" ca="1" si="0"/>
        <v>46058.0147623843</v>
      </c>
      <c r="B5" s="5" t="s">
        <v>78</v>
      </c>
      <c r="C5" s="11">
        <v>1.48148148148148E-2</v>
      </c>
      <c r="D5" s="11" t="s">
        <v>62</v>
      </c>
      <c r="E5" s="11">
        <v>0.148958333333333</v>
      </c>
      <c r="F5" s="12">
        <f t="shared" si="1"/>
        <v>3.2194444444444366</v>
      </c>
      <c r="G5" s="13">
        <f t="shared" si="2"/>
        <v>0</v>
      </c>
      <c r="H5" s="13">
        <f t="shared" si="3"/>
        <v>3.2194444444444366</v>
      </c>
      <c r="I5" s="21" t="s">
        <v>65</v>
      </c>
      <c r="J5" s="22">
        <f>SUMIF(B:B,"西塔台协调席",F:F)+SUMIF(B:B,"东塔台协调席",F:F)</f>
        <v>21.702499999999986</v>
      </c>
      <c r="K5" s="23">
        <f>SUMIF(B:B,"西塔台协调席",G:G)+SUMIF(B:B,"东塔台协调席",G:G)</f>
        <v>17.492777777777761</v>
      </c>
      <c r="L5" s="23">
        <f>SUMIF(B:B,"西塔台协调席",H:H)+SUMIF(B:B,"东塔台协调席",H:H)</f>
        <v>4.2097222222222301</v>
      </c>
      <c r="M5" s="19"/>
    </row>
    <row r="6" spans="1:16" ht="18.75" x14ac:dyDescent="0.25">
      <c r="A6" s="10">
        <f t="shared" ca="1" si="0"/>
        <v>46061.131340972199</v>
      </c>
      <c r="B6" s="5" t="s">
        <v>79</v>
      </c>
      <c r="C6" s="11">
        <v>0.131331018518519</v>
      </c>
      <c r="D6" s="11" t="s">
        <v>62</v>
      </c>
      <c r="E6" s="11">
        <v>0.22064814814814801</v>
      </c>
      <c r="F6" s="12">
        <f t="shared" si="1"/>
        <v>2.1436111111110963</v>
      </c>
      <c r="G6" s="13">
        <f t="shared" si="2"/>
        <v>0</v>
      </c>
      <c r="H6" s="13">
        <f t="shared" si="3"/>
        <v>2.1436111111110963</v>
      </c>
      <c r="I6" s="21" t="s">
        <v>66</v>
      </c>
      <c r="J6" s="22">
        <f>SUMIF(B:B,"放行席",F:F)</f>
        <v>2.1436111111110963</v>
      </c>
      <c r="K6" s="23">
        <f>SUMIF(B:B,"放行席",G:G)</f>
        <v>0</v>
      </c>
      <c r="L6" s="23">
        <f>SUMIF(B:B,"放行席",H:H)</f>
        <v>2.1436111111110963</v>
      </c>
      <c r="M6" s="19"/>
    </row>
    <row r="7" spans="1:16" ht="18.75" x14ac:dyDescent="0.25">
      <c r="A7" s="10">
        <f t="shared" ca="1" si="0"/>
        <v>46062.1393171296</v>
      </c>
      <c r="B7" s="5" t="s">
        <v>78</v>
      </c>
      <c r="C7" s="11">
        <v>0.13931712962963</v>
      </c>
      <c r="D7" s="11" t="s">
        <v>62</v>
      </c>
      <c r="E7" s="11">
        <v>0.243229166666667</v>
      </c>
      <c r="F7" s="12">
        <f t="shared" si="1"/>
        <v>2.4938888888888879</v>
      </c>
      <c r="G7" s="13">
        <f t="shared" si="2"/>
        <v>0</v>
      </c>
      <c r="H7" s="13">
        <f t="shared" si="3"/>
        <v>2.4938888888888879</v>
      </c>
      <c r="I7" s="21" t="s">
        <v>67</v>
      </c>
      <c r="J7" s="22">
        <f>SUMIF(B:B,"地面席",F:F)</f>
        <v>3.4275000000000002</v>
      </c>
      <c r="K7" s="23">
        <f>SUMIF(B:B,"地面席",G:G)</f>
        <v>3.4275000000000002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46062.243260532399</v>
      </c>
      <c r="B8" s="5" t="s">
        <v>82</v>
      </c>
      <c r="C8" s="11">
        <v>0.24325231481481499</v>
      </c>
      <c r="D8" s="11" t="s">
        <v>62</v>
      </c>
      <c r="E8" s="11">
        <v>0.30351851851851902</v>
      </c>
      <c r="F8" s="12">
        <f t="shared" si="1"/>
        <v>1.4463888888888967</v>
      </c>
      <c r="G8" s="13">
        <f t="shared" si="2"/>
        <v>0</v>
      </c>
      <c r="H8" s="13">
        <f t="shared" si="3"/>
        <v>1.4463888888888967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46064.370873148102</v>
      </c>
      <c r="B9" s="5" t="s">
        <v>83</v>
      </c>
      <c r="C9" s="11">
        <v>0.37086805555555602</v>
      </c>
      <c r="D9" s="11" t="s">
        <v>62</v>
      </c>
      <c r="E9" s="11">
        <v>0.51368055555555603</v>
      </c>
      <c r="F9" s="12">
        <f t="shared" si="1"/>
        <v>3.4275000000000002</v>
      </c>
      <c r="G9" s="13">
        <f t="shared" si="2"/>
        <v>3.4275000000000002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46064.513780555601</v>
      </c>
      <c r="B10" s="5" t="s">
        <v>78</v>
      </c>
      <c r="C10" s="11">
        <v>0.51377314814814801</v>
      </c>
      <c r="D10" s="11" t="s">
        <v>62</v>
      </c>
      <c r="E10" s="11">
        <v>0.55937499999999996</v>
      </c>
      <c r="F10" s="12">
        <f t="shared" si="1"/>
        <v>1.0944444444444468</v>
      </c>
      <c r="G10" s="13">
        <f t="shared" si="2"/>
        <v>1.0944444444444468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46064.5594136574</v>
      </c>
      <c r="B11" s="5" t="s">
        <v>82</v>
      </c>
      <c r="C11" s="11">
        <v>0.55940972222222196</v>
      </c>
      <c r="D11" s="11" t="s">
        <v>62</v>
      </c>
      <c r="E11" s="11">
        <v>0.589247685185185</v>
      </c>
      <c r="F11" s="12">
        <f t="shared" si="1"/>
        <v>0.71611111111111292</v>
      </c>
      <c r="G11" s="13">
        <f t="shared" si="2"/>
        <v>0.71611111111111292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46064.729872569398</v>
      </c>
      <c r="B12" s="5" t="s">
        <v>80</v>
      </c>
      <c r="C12" s="11">
        <v>0.729872685185185</v>
      </c>
      <c r="D12" s="11" t="s">
        <v>62</v>
      </c>
      <c r="E12" s="11">
        <v>0.88217592592592597</v>
      </c>
      <c r="F12" s="12">
        <f t="shared" si="1"/>
        <v>3.6552777777777834</v>
      </c>
      <c r="G12" s="13">
        <f t="shared" si="2"/>
        <v>3.6552777777777834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46065.4180186343</v>
      </c>
      <c r="B13" s="5" t="s">
        <v>82</v>
      </c>
      <c r="C13" s="11">
        <v>0.41800925925925903</v>
      </c>
      <c r="D13" s="11" t="s">
        <v>62</v>
      </c>
      <c r="E13" s="11">
        <v>0.51054398148148195</v>
      </c>
      <c r="F13" s="12">
        <f t="shared" si="1"/>
        <v>2.2208333333333501</v>
      </c>
      <c r="G13" s="13">
        <f t="shared" si="2"/>
        <v>2.2208333333333501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46065.626338657399</v>
      </c>
      <c r="B14" s="5" t="s">
        <v>80</v>
      </c>
      <c r="C14" s="11">
        <v>0.62633101851851902</v>
      </c>
      <c r="D14" s="11" t="s">
        <v>62</v>
      </c>
      <c r="E14" s="11">
        <v>0.75502314814814797</v>
      </c>
      <c r="F14" s="12">
        <f t="shared" si="1"/>
        <v>3.0886111111110948</v>
      </c>
      <c r="G14" s="13">
        <f t="shared" si="2"/>
        <v>3.0886111111110948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46065.834942013898</v>
      </c>
      <c r="B15" s="5" t="s">
        <v>82</v>
      </c>
      <c r="C15" s="11">
        <v>0.83494212962962999</v>
      </c>
      <c r="D15" s="11" t="s">
        <v>62</v>
      </c>
      <c r="E15" s="11">
        <v>0.87462962962962998</v>
      </c>
      <c r="F15" s="12">
        <f t="shared" si="1"/>
        <v>0.95249999999999968</v>
      </c>
      <c r="G15" s="13">
        <f t="shared" si="2"/>
        <v>0.95249999999999968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46065.891916898101</v>
      </c>
      <c r="B16" s="5" t="s">
        <v>82</v>
      </c>
      <c r="C16" s="11">
        <v>0.89190972222222198</v>
      </c>
      <c r="D16" s="11" t="s">
        <v>62</v>
      </c>
      <c r="E16" s="11">
        <v>0.96412037037037002</v>
      </c>
      <c r="F16" s="12">
        <f t="shared" si="1"/>
        <v>1.7330555555555529</v>
      </c>
      <c r="G16" s="13">
        <f t="shared" si="2"/>
        <v>1.7330555555555529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46066.300825462997</v>
      </c>
      <c r="B17" s="5" t="s">
        <v>80</v>
      </c>
      <c r="C17" s="11">
        <v>0.30082175925925903</v>
      </c>
      <c r="D17" s="11" t="s">
        <v>62</v>
      </c>
      <c r="E17" s="11">
        <v>0.36197916666666702</v>
      </c>
      <c r="F17" s="12">
        <f t="shared" si="1"/>
        <v>1.4677777777777918</v>
      </c>
      <c r="G17" s="13">
        <f t="shared" si="2"/>
        <v>0.68750000000001688</v>
      </c>
      <c r="H17" s="13">
        <f t="shared" si="3"/>
        <v>0.78027777777777496</v>
      </c>
      <c r="I17" s="35" t="s">
        <v>75</v>
      </c>
      <c r="J17" s="36">
        <f>J4+J5+J6+J7+J10</f>
        <v>53.729166666666664</v>
      </c>
      <c r="K17" s="37">
        <f>K4+K5+K6+K7+K10</f>
        <v>37.062777777777789</v>
      </c>
      <c r="L17" s="38">
        <f>L4+L5+L6+L7+L10</f>
        <v>16.666388888888871</v>
      </c>
      <c r="M17" s="39"/>
    </row>
    <row r="18" spans="1:13" ht="20.25" x14ac:dyDescent="0.25">
      <c r="A18" s="10">
        <f t="shared" ca="1" si="0"/>
        <v>46076.354822453701</v>
      </c>
      <c r="B18" s="5" t="s">
        <v>82</v>
      </c>
      <c r="C18" s="11">
        <v>0.35481481481481503</v>
      </c>
      <c r="D18" s="11" t="s">
        <v>62</v>
      </c>
      <c r="E18" s="11">
        <v>0.50791666666666702</v>
      </c>
      <c r="F18" s="12">
        <f t="shared" si="1"/>
        <v>3.6744444444444477</v>
      </c>
      <c r="G18" s="13">
        <f t="shared" si="2"/>
        <v>3.6744444444444477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46076.626933796302</v>
      </c>
      <c r="B19" s="5" t="s">
        <v>80</v>
      </c>
      <c r="C19" s="11">
        <v>0.62693287037037004</v>
      </c>
      <c r="D19" s="11" t="s">
        <v>62</v>
      </c>
      <c r="E19" s="11">
        <v>0.75715277777777801</v>
      </c>
      <c r="F19" s="12">
        <f t="shared" si="1"/>
        <v>3.1252777777777911</v>
      </c>
      <c r="G19" s="13">
        <f t="shared" si="2"/>
        <v>3.1252777777777911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46076.875429629603</v>
      </c>
      <c r="B20" s="5" t="s">
        <v>82</v>
      </c>
      <c r="C20" s="11">
        <v>0.87542824074074099</v>
      </c>
      <c r="D20" s="11" t="s">
        <v>62</v>
      </c>
      <c r="E20" s="11">
        <v>0.96380787037036997</v>
      </c>
      <c r="F20" s="12">
        <f t="shared" si="1"/>
        <v>2.1211111111110954</v>
      </c>
      <c r="G20" s="13">
        <f t="shared" si="2"/>
        <v>2.1211111111110954</v>
      </c>
      <c r="H20" s="13">
        <f t="shared" si="3"/>
        <v>0</v>
      </c>
      <c r="I20" s="40" t="s">
        <v>77</v>
      </c>
      <c r="J20" s="65">
        <f>J16+J17+J18+J19</f>
        <v>53.729166666666664</v>
      </c>
      <c r="K20" s="66"/>
      <c r="L20" s="67"/>
      <c r="M20" s="41"/>
    </row>
    <row r="21" spans="1:13" ht="20.25" x14ac:dyDescent="0.25">
      <c r="A21" s="10">
        <f t="shared" ca="1" si="0"/>
        <v>46077.300523842598</v>
      </c>
      <c r="B21" s="5" t="s">
        <v>80</v>
      </c>
      <c r="C21" s="11">
        <v>0.30052083333333302</v>
      </c>
      <c r="D21" s="11" t="s">
        <v>62</v>
      </c>
      <c r="E21" s="11">
        <v>0.43050925925925898</v>
      </c>
      <c r="F21" s="12">
        <f t="shared" si="1"/>
        <v>3.1197222222222232</v>
      </c>
      <c r="G21" s="13">
        <f t="shared" si="2"/>
        <v>2.332222222222224</v>
      </c>
      <c r="H21" s="13">
        <f t="shared" si="3"/>
        <v>0.7874999999999992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46077.504987963002</v>
      </c>
      <c r="B22" s="5" t="s">
        <v>82</v>
      </c>
      <c r="C22" s="11">
        <v>0.50498842592592597</v>
      </c>
      <c r="D22" s="11" t="s">
        <v>62</v>
      </c>
      <c r="E22" s="11">
        <v>0.630891203703704</v>
      </c>
      <c r="F22" s="12">
        <f t="shared" si="1"/>
        <v>3.0216666666666727</v>
      </c>
      <c r="G22" s="13">
        <f t="shared" si="2"/>
        <v>3.0216666666666727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46077.751214120399</v>
      </c>
      <c r="B23" s="5" t="s">
        <v>80</v>
      </c>
      <c r="C23" s="11">
        <v>0.75120370370370404</v>
      </c>
      <c r="D23" s="11" t="s">
        <v>62</v>
      </c>
      <c r="E23" s="11">
        <v>0.83964120370370399</v>
      </c>
      <c r="F23" s="12">
        <f t="shared" si="1"/>
        <v>2.1224999999999987</v>
      </c>
      <c r="G23" s="13">
        <f t="shared" si="2"/>
        <v>2.1224999999999987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46080.959649884302</v>
      </c>
      <c r="B24" s="5" t="s">
        <v>81</v>
      </c>
      <c r="C24" s="11">
        <v>0.95964120370370398</v>
      </c>
      <c r="D24" s="11" t="s">
        <v>62</v>
      </c>
      <c r="E24" s="11">
        <v>1.6122685185185202E-2</v>
      </c>
      <c r="F24" s="12">
        <f t="shared" si="1"/>
        <v>1.3555555555555492</v>
      </c>
      <c r="G24" s="13">
        <f t="shared" si="2"/>
        <v>0.96861111111110432</v>
      </c>
      <c r="H24" s="13">
        <f t="shared" si="3"/>
        <v>0.38694444444444487</v>
      </c>
      <c r="I24"/>
      <c r="J24"/>
    </row>
    <row r="25" spans="1:13" ht="18.75" x14ac:dyDescent="0.15">
      <c r="A25" s="10">
        <f t="shared" ca="1" si="0"/>
        <v>46081.016151041702</v>
      </c>
      <c r="B25" s="5" t="s">
        <v>80</v>
      </c>
      <c r="C25" s="11">
        <v>1.61458333333333E-2</v>
      </c>
      <c r="D25" s="11" t="s">
        <v>62</v>
      </c>
      <c r="E25" s="11">
        <v>0.109814814814815</v>
      </c>
      <c r="F25" s="12">
        <f t="shared" si="1"/>
        <v>2.2480555555555606</v>
      </c>
      <c r="G25" s="13">
        <f t="shared" si="2"/>
        <v>0</v>
      </c>
      <c r="H25" s="13">
        <f t="shared" si="3"/>
        <v>2.2480555555555606</v>
      </c>
      <c r="I25"/>
      <c r="J25"/>
    </row>
    <row r="26" spans="1:13" ht="18.75" x14ac:dyDescent="0.15">
      <c r="A26" s="10">
        <f t="shared" ca="1" si="0"/>
        <v>46081.7518158565</v>
      </c>
      <c r="B26" s="5" t="s">
        <v>81</v>
      </c>
      <c r="C26" s="11">
        <v>0.75180555555555595</v>
      </c>
      <c r="D26" s="11" t="s">
        <v>62</v>
      </c>
      <c r="E26" s="11">
        <v>0.83865740740740702</v>
      </c>
      <c r="F26" s="12">
        <f t="shared" si="1"/>
        <v>2.0844444444444257</v>
      </c>
      <c r="G26" s="13">
        <f t="shared" si="2"/>
        <v>2.0844444444444257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46081.959729166701</v>
      </c>
      <c r="B27" s="5" t="s">
        <v>78</v>
      </c>
      <c r="C27" s="11">
        <v>0.95972222222222203</v>
      </c>
      <c r="D27" s="11" t="s">
        <v>62</v>
      </c>
      <c r="E27" s="11">
        <v>0.96125000000000005</v>
      </c>
      <c r="F27" s="12">
        <f t="shared" si="1"/>
        <v>3.6666666666672398E-2</v>
      </c>
      <c r="G27" s="13">
        <f t="shared" si="2"/>
        <v>3.6666666666672398E-2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46054.299963657402</v>
      </c>
      <c r="B3" s="5" t="s">
        <v>80</v>
      </c>
      <c r="C3" s="11">
        <v>0.299953703703704</v>
      </c>
      <c r="D3" s="11" t="s">
        <v>62</v>
      </c>
      <c r="E3" s="11">
        <v>0.36751157407407398</v>
      </c>
      <c r="F3" s="12">
        <f t="shared" ref="F3:F42" si="1">(IF(E3-C3&lt;0,"24:00"-C3+E3,E3-C3))*24</f>
        <v>1.6213888888888794</v>
      </c>
      <c r="G3" s="13">
        <f t="shared" ref="G3:G42" si="2">F3-H3</f>
        <v>0.82027777777778388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0.80111111111109556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46056.376523958301</v>
      </c>
      <c r="B4" s="5" t="s">
        <v>84</v>
      </c>
      <c r="C4" s="11">
        <v>0.37651620370370398</v>
      </c>
      <c r="D4" s="11" t="s">
        <v>62</v>
      </c>
      <c r="E4" s="11">
        <v>0.49027777777777798</v>
      </c>
      <c r="F4" s="12">
        <f t="shared" si="1"/>
        <v>2.730277777777776</v>
      </c>
      <c r="G4" s="13">
        <f t="shared" si="2"/>
        <v>2.730277777777776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33.480555555555547</v>
      </c>
      <c r="K4" s="23">
        <f>SUMIF(B:B,"西塔台管制席",G:G)+SUMIF(B:B,"东塔台管制席",G:G)</f>
        <v>11.241388888888894</v>
      </c>
      <c r="L4" s="23">
        <f>SUMIF(B:B,"西塔台管制席",H:H)+SUMIF(B:B,"东塔台管制席",H:H)</f>
        <v>22.239166666666655</v>
      </c>
      <c r="M4" s="19"/>
    </row>
    <row r="5" spans="1:16" ht="18.75" x14ac:dyDescent="0.25">
      <c r="A5" s="10">
        <f t="shared" ca="1" si="0"/>
        <v>46056.511246990704</v>
      </c>
      <c r="B5" s="5" t="s">
        <v>81</v>
      </c>
      <c r="C5" s="11">
        <v>0.51149305555555602</v>
      </c>
      <c r="D5" s="11" t="s">
        <v>62</v>
      </c>
      <c r="E5" s="11">
        <v>0.60524305555555602</v>
      </c>
      <c r="F5" s="12">
        <f t="shared" si="1"/>
        <v>2.25</v>
      </c>
      <c r="G5" s="13">
        <f t="shared" si="2"/>
        <v>2.25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17.528333333333265</v>
      </c>
      <c r="K5" s="23">
        <f>SUMIF(B:B,"西塔台协调席",G:G)+SUMIF(B:B,"东塔台协调席",G:G)</f>
        <v>14.196111111111071</v>
      </c>
      <c r="L5" s="23">
        <f>SUMIF(B:B,"西塔台协调席",H:H)+SUMIF(B:B,"东塔台协调席",H:H)</f>
        <v>3.3322222222221947</v>
      </c>
      <c r="M5" s="19"/>
    </row>
    <row r="6" spans="1:16" ht="18.75" x14ac:dyDescent="0.25">
      <c r="A6" s="10">
        <f t="shared" ca="1" si="0"/>
        <v>46056.605273379602</v>
      </c>
      <c r="B6" s="5" t="s">
        <v>84</v>
      </c>
      <c r="C6" s="11">
        <v>0.60526620370370399</v>
      </c>
      <c r="D6" s="11" t="s">
        <v>62</v>
      </c>
      <c r="E6" s="11">
        <v>0.63164351851851896</v>
      </c>
      <c r="F6" s="12">
        <f t="shared" si="1"/>
        <v>0.63305555555555948</v>
      </c>
      <c r="G6" s="13">
        <f t="shared" si="2"/>
        <v>0.63305555555555948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46056.959284259297</v>
      </c>
      <c r="B7" s="5" t="s">
        <v>78</v>
      </c>
      <c r="C7" s="11">
        <v>0.959282407407407</v>
      </c>
      <c r="D7" s="11" t="s">
        <v>62</v>
      </c>
      <c r="E7" s="11">
        <v>0.119699074074074</v>
      </c>
      <c r="F7" s="12">
        <f t="shared" si="1"/>
        <v>3.8500000000000076</v>
      </c>
      <c r="G7" s="13">
        <f t="shared" si="2"/>
        <v>0.97722222222223154</v>
      </c>
      <c r="H7" s="13">
        <f t="shared" si="3"/>
        <v>2.8727777777777761</v>
      </c>
      <c r="I7" s="21" t="s">
        <v>67</v>
      </c>
      <c r="J7" s="22">
        <f>SUMIF(B:B,"地面席",F:F)</f>
        <v>2.1019444444444564</v>
      </c>
      <c r="K7" s="23">
        <f>SUMIF(B:B,"地面席",G:G)</f>
        <v>0</v>
      </c>
      <c r="L7" s="23">
        <f>SUMIF(B:B,"地面席",H:H)</f>
        <v>2.1019444444444564</v>
      </c>
      <c r="M7" s="19"/>
    </row>
    <row r="8" spans="1:16" ht="18.75" x14ac:dyDescent="0.25">
      <c r="A8" s="10">
        <f t="shared" ca="1" si="0"/>
        <v>46058.141121990702</v>
      </c>
      <c r="B8" s="5" t="s">
        <v>78</v>
      </c>
      <c r="C8" s="11">
        <v>0.14111111111111099</v>
      </c>
      <c r="D8" s="11" t="s">
        <v>62</v>
      </c>
      <c r="E8" s="11">
        <v>0.30597222222222198</v>
      </c>
      <c r="F8" s="12">
        <f t="shared" si="1"/>
        <v>3.9566666666666634</v>
      </c>
      <c r="G8" s="13">
        <f t="shared" si="2"/>
        <v>0</v>
      </c>
      <c r="H8" s="13">
        <f t="shared" si="3"/>
        <v>3.9566666666666634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46061.140432060201</v>
      </c>
      <c r="B9" s="5" t="s">
        <v>80</v>
      </c>
      <c r="C9" s="11">
        <v>0.14042824074074101</v>
      </c>
      <c r="D9" s="11" t="s">
        <v>62</v>
      </c>
      <c r="E9" s="11">
        <v>0.30578703703703702</v>
      </c>
      <c r="F9" s="12">
        <f t="shared" si="1"/>
        <v>3.9686111111111044</v>
      </c>
      <c r="G9" s="13">
        <f t="shared" si="2"/>
        <v>0</v>
      </c>
      <c r="H9" s="13">
        <f t="shared" si="3"/>
        <v>3.9686111111111044</v>
      </c>
      <c r="I9" s="21" t="s">
        <v>69</v>
      </c>
      <c r="J9" s="22">
        <f>SUMIF(B:B,"航班调度席",F:F)</f>
        <v>3.3633333333333355</v>
      </c>
      <c r="K9" s="23">
        <f>SUMIF(B:B,"航班调度席",G:G)</f>
        <v>3.3633333333333355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46062.140075463001</v>
      </c>
      <c r="B10" s="5" t="s">
        <v>83</v>
      </c>
      <c r="C10" s="11">
        <v>0.140069444444444</v>
      </c>
      <c r="D10" s="11" t="s">
        <v>62</v>
      </c>
      <c r="E10" s="11">
        <v>0.22765046296296301</v>
      </c>
      <c r="F10" s="12">
        <f t="shared" si="1"/>
        <v>2.1019444444444564</v>
      </c>
      <c r="G10" s="13">
        <f t="shared" si="2"/>
        <v>0</v>
      </c>
      <c r="H10" s="13">
        <f t="shared" si="3"/>
        <v>2.1019444444444564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46064.959335763902</v>
      </c>
      <c r="B11" s="5" t="s">
        <v>80</v>
      </c>
      <c r="C11" s="11">
        <v>0.95932870370370404</v>
      </c>
      <c r="D11" s="11" t="s">
        <v>62</v>
      </c>
      <c r="E11" s="11">
        <v>0.129791666666667</v>
      </c>
      <c r="F11" s="12">
        <f t="shared" si="1"/>
        <v>4.0911111111111111</v>
      </c>
      <c r="G11" s="13">
        <f t="shared" si="2"/>
        <v>0.97611111111110294</v>
      </c>
      <c r="H11" s="13">
        <f t="shared" si="3"/>
        <v>3.1150000000000082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46066.014923958297</v>
      </c>
      <c r="B12" s="5" t="s">
        <v>81</v>
      </c>
      <c r="C12" s="11">
        <v>1.49189814814815E-2</v>
      </c>
      <c r="D12" s="11" t="s">
        <v>62</v>
      </c>
      <c r="E12" s="11">
        <v>0.12005787037037</v>
      </c>
      <c r="F12" s="12">
        <f t="shared" si="1"/>
        <v>2.5233333333333237</v>
      </c>
      <c r="G12" s="13">
        <f t="shared" si="2"/>
        <v>0</v>
      </c>
      <c r="H12" s="13">
        <f t="shared" si="3"/>
        <v>2.5233333333333237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46066.120092824101</v>
      </c>
      <c r="B13" s="5" t="s">
        <v>80</v>
      </c>
      <c r="C13" s="11">
        <v>0.120092592592593</v>
      </c>
      <c r="D13" s="11" t="s">
        <v>62</v>
      </c>
      <c r="E13" s="11">
        <v>0.14356481481481501</v>
      </c>
      <c r="F13" s="12">
        <f t="shared" si="1"/>
        <v>0.56333333333332813</v>
      </c>
      <c r="G13" s="13">
        <f t="shared" si="2"/>
        <v>0</v>
      </c>
      <c r="H13" s="13">
        <f t="shared" si="3"/>
        <v>0.56333333333332813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46068.355543286998</v>
      </c>
      <c r="B14" s="5" t="s">
        <v>80</v>
      </c>
      <c r="C14" s="11">
        <v>0.35553240740740699</v>
      </c>
      <c r="D14" s="11" t="s">
        <v>62</v>
      </c>
      <c r="E14" s="11">
        <v>0.46372685185185197</v>
      </c>
      <c r="F14" s="12">
        <f t="shared" si="1"/>
        <v>2.5966666666666796</v>
      </c>
      <c r="G14" s="13">
        <f t="shared" si="2"/>
        <v>2.5966666666666796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 t="s">
        <v>85</v>
      </c>
      <c r="F15" s="12" t="e">
        <f t="shared" si="1"/>
        <v>#VALUE!</v>
      </c>
      <c r="G15" s="13" t="e">
        <f t="shared" si="2"/>
        <v>#VALUE!</v>
      </c>
      <c r="H15" s="13" t="e">
        <f t="shared" si="3"/>
        <v>#VALUE!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46068.752190624997</v>
      </c>
      <c r="B16" s="5" t="s">
        <v>82</v>
      </c>
      <c r="C16" s="11">
        <v>0.75259259259259303</v>
      </c>
      <c r="D16" s="11" t="s">
        <v>62</v>
      </c>
      <c r="E16" s="11">
        <v>0.78281250000000002</v>
      </c>
      <c r="F16" s="12">
        <f t="shared" si="1"/>
        <v>0.7252777777777677</v>
      </c>
      <c r="G16" s="13">
        <f t="shared" si="2"/>
        <v>0.7252777777777677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46068.796354861101</v>
      </c>
      <c r="B17" s="5" t="s">
        <v>82</v>
      </c>
      <c r="C17" s="11">
        <v>0.79635416666666703</v>
      </c>
      <c r="D17" s="11" t="s">
        <v>62</v>
      </c>
      <c r="E17" s="11">
        <v>0.83834490740740697</v>
      </c>
      <c r="F17" s="12">
        <f t="shared" si="1"/>
        <v>1.0077777777777586</v>
      </c>
      <c r="G17" s="13">
        <f t="shared" si="2"/>
        <v>1.0077777777777586</v>
      </c>
      <c r="H17" s="13">
        <f t="shared" si="3"/>
        <v>0</v>
      </c>
      <c r="I17" s="35" t="s">
        <v>75</v>
      </c>
      <c r="J17" s="36">
        <f>J4+J5+J6+J7+J10</f>
        <v>53.110833333333268</v>
      </c>
      <c r="K17" s="37">
        <f>K4+K5+K6+K7+K10</f>
        <v>25.437499999999964</v>
      </c>
      <c r="L17" s="38">
        <f>L4+L5+L6+L7+L10</f>
        <v>27.673333333333307</v>
      </c>
      <c r="M17" s="39"/>
    </row>
    <row r="18" spans="1:13" ht="20.25" x14ac:dyDescent="0.25">
      <c r="A18" s="10">
        <f t="shared" ca="1" si="0"/>
        <v>46068.961654976898</v>
      </c>
      <c r="B18" s="5" t="s">
        <v>80</v>
      </c>
      <c r="C18" s="11">
        <v>0.96165509259259296</v>
      </c>
      <c r="D18" s="11" t="s">
        <v>62</v>
      </c>
      <c r="E18" s="11">
        <v>0.14384259259259299</v>
      </c>
      <c r="F18" s="12">
        <f t="shared" si="1"/>
        <v>4.3725000000000005</v>
      </c>
      <c r="G18" s="13">
        <f t="shared" si="2"/>
        <v>0.92027777777776887</v>
      </c>
      <c r="H18" s="13">
        <f t="shared" si="3"/>
        <v>3.4522222222222316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46069.584707175898</v>
      </c>
      <c r="B19" s="5" t="s">
        <v>82</v>
      </c>
      <c r="C19" s="11">
        <v>0.58469907407407395</v>
      </c>
      <c r="D19" s="11" t="s">
        <v>62</v>
      </c>
      <c r="E19" s="11">
        <v>0.75501157407407404</v>
      </c>
      <c r="F19" s="12">
        <f t="shared" si="1"/>
        <v>4.0875000000000021</v>
      </c>
      <c r="G19" s="13">
        <f t="shared" si="2"/>
        <v>4.0875000000000021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46077.418541782397</v>
      </c>
      <c r="B20" s="5" t="s">
        <v>82</v>
      </c>
      <c r="C20" s="11">
        <v>0.41854166666666698</v>
      </c>
      <c r="D20" s="11" t="s">
        <v>62</v>
      </c>
      <c r="E20" s="11">
        <v>0.51108796296296299</v>
      </c>
      <c r="F20" s="12">
        <f t="shared" si="1"/>
        <v>2.2211111111111044</v>
      </c>
      <c r="G20" s="13">
        <f t="shared" si="2"/>
        <v>2.2211111111111044</v>
      </c>
      <c r="H20" s="13">
        <f t="shared" si="3"/>
        <v>0</v>
      </c>
      <c r="I20" s="40" t="s">
        <v>77</v>
      </c>
      <c r="J20" s="65">
        <f>J16+J17+J18+J19</f>
        <v>53.110833333333268</v>
      </c>
      <c r="K20" s="66"/>
      <c r="L20" s="67"/>
      <c r="M20" s="41"/>
    </row>
    <row r="21" spans="1:13" ht="20.25" x14ac:dyDescent="0.25">
      <c r="A21" s="10">
        <f t="shared" ca="1" si="0"/>
        <v>46077.627550347199</v>
      </c>
      <c r="B21" s="5" t="s">
        <v>80</v>
      </c>
      <c r="C21" s="11">
        <v>0.62769675925925905</v>
      </c>
      <c r="D21" s="11" t="s">
        <v>62</v>
      </c>
      <c r="E21" s="11">
        <v>0.75505787037036998</v>
      </c>
      <c r="F21" s="12">
        <f t="shared" si="1"/>
        <v>3.0566666666666622</v>
      </c>
      <c r="G21" s="13">
        <f t="shared" si="2"/>
        <v>3.0566666666666622</v>
      </c>
      <c r="H21" s="13">
        <f t="shared" si="3"/>
        <v>0</v>
      </c>
      <c r="I21" s="42" t="s">
        <v>4</v>
      </c>
      <c r="J21" s="43">
        <f>SUM(J8:J9)</f>
        <v>3.3633333333333355</v>
      </c>
      <c r="K21" s="37">
        <f>SUM(K8:K9)</f>
        <v>3.3633333333333355</v>
      </c>
      <c r="L21" s="38">
        <f>SUM(L8:L9)</f>
        <v>0</v>
      </c>
      <c r="M21" s="44"/>
    </row>
    <row r="22" spans="1:13" ht="18.75" x14ac:dyDescent="0.15">
      <c r="A22" s="10">
        <f t="shared" ca="1" si="0"/>
        <v>46077.833471527803</v>
      </c>
      <c r="B22" s="5" t="s">
        <v>82</v>
      </c>
      <c r="C22" s="11">
        <v>0.83346064814814802</v>
      </c>
      <c r="D22" s="11" t="s">
        <v>62</v>
      </c>
      <c r="E22" s="11">
        <v>0.96519675925925896</v>
      </c>
      <c r="F22" s="12">
        <f t="shared" si="1"/>
        <v>3.1616666666666626</v>
      </c>
      <c r="G22" s="13">
        <f t="shared" si="2"/>
        <v>3.1616666666666626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46078.299631018497</v>
      </c>
      <c r="B23" s="5" t="s">
        <v>81</v>
      </c>
      <c r="C23" s="11">
        <v>0.29962962962963002</v>
      </c>
      <c r="D23" s="11" t="s">
        <v>62</v>
      </c>
      <c r="E23" s="11">
        <v>0.36428240740740703</v>
      </c>
      <c r="F23" s="12">
        <f t="shared" si="1"/>
        <v>1.5516666666666481</v>
      </c>
      <c r="G23" s="13">
        <f t="shared" si="2"/>
        <v>0.74277777777777709</v>
      </c>
      <c r="H23" s="13">
        <f t="shared" si="3"/>
        <v>0.808888888888871</v>
      </c>
      <c r="I23"/>
      <c r="J23"/>
    </row>
    <row r="24" spans="1:13" ht="18.75" x14ac:dyDescent="0.15">
      <c r="A24" s="10">
        <f t="shared" ca="1" si="0"/>
        <v>46080.959459259298</v>
      </c>
      <c r="B24" s="5" t="s">
        <v>78</v>
      </c>
      <c r="C24" s="11">
        <v>0.95953703703703697</v>
      </c>
      <c r="D24" s="11" t="s">
        <v>62</v>
      </c>
      <c r="E24" s="11">
        <v>0.146226851851852</v>
      </c>
      <c r="F24" s="12">
        <f t="shared" si="1"/>
        <v>4.4805555555555605</v>
      </c>
      <c r="G24" s="13">
        <f t="shared" si="2"/>
        <v>0.97111111111111281</v>
      </c>
      <c r="H24" s="13">
        <f t="shared" si="3"/>
        <v>3.5094444444444477</v>
      </c>
      <c r="I24"/>
      <c r="J24"/>
    </row>
    <row r="25" spans="1:13" ht="18.75" x14ac:dyDescent="0.15">
      <c r="A25" s="10">
        <f t="shared" ca="1" si="0"/>
        <v>46081.961425694397</v>
      </c>
      <c r="B25" s="5" t="s">
        <v>78</v>
      </c>
      <c r="C25" s="11">
        <v>0.96142361111111097</v>
      </c>
      <c r="D25" s="11" t="s">
        <v>62</v>
      </c>
      <c r="E25" s="11">
        <v>0.99988425925925895</v>
      </c>
      <c r="F25" s="12">
        <f t="shared" si="1"/>
        <v>0.92305555555555152</v>
      </c>
      <c r="G25" s="13">
        <f t="shared" si="2"/>
        <v>0.92305555555555152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46054.1331565972</v>
      </c>
      <c r="B3" s="5" t="s">
        <v>61</v>
      </c>
      <c r="C3" s="11">
        <v>0.13314814814814799</v>
      </c>
      <c r="D3" s="11" t="s">
        <v>62</v>
      </c>
      <c r="E3" s="11">
        <v>0.300185185185185</v>
      </c>
      <c r="F3" s="12">
        <f t="shared" ref="F3:F42" si="1">(IF(E3-C3&lt;0,"24:00"-C3+E3,E3-C3))*24</f>
        <v>4.0088888888888885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4.0088888888888885</v>
      </c>
      <c r="I3" s="16" t="s">
        <v>63</v>
      </c>
      <c r="J3" s="17">
        <f>SUMIF(B:B,"带班主任",F:F)</f>
        <v>98.556666666666615</v>
      </c>
      <c r="K3" s="18">
        <f>SUMIF(B:B,"带班主任",G:G)</f>
        <v>64.549166666666636</v>
      </c>
      <c r="L3" s="18">
        <f>SUMIF(B:B,"带班主任",H:H)</f>
        <v>34.007499999999965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46056.5436505787</v>
      </c>
      <c r="B4" s="5" t="s">
        <v>61</v>
      </c>
      <c r="C4" s="11">
        <v>0.54364583333333305</v>
      </c>
      <c r="D4" s="11" t="s">
        <v>62</v>
      </c>
      <c r="E4" s="11">
        <v>0.800185185185185</v>
      </c>
      <c r="F4" s="12">
        <f t="shared" si="1"/>
        <v>6.1569444444444468</v>
      </c>
      <c r="G4" s="13">
        <f t="shared" si="2"/>
        <v>6.1569444444444468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46057.131739120399</v>
      </c>
      <c r="B5" s="5" t="s">
        <v>61</v>
      </c>
      <c r="C5" s="11">
        <v>0.131736111111111</v>
      </c>
      <c r="D5" s="11" t="s">
        <v>62</v>
      </c>
      <c r="E5" s="11">
        <v>0.29875000000000002</v>
      </c>
      <c r="F5" s="12">
        <f t="shared" si="1"/>
        <v>4.0083333333333364</v>
      </c>
      <c r="G5" s="13">
        <f t="shared" si="2"/>
        <v>0</v>
      </c>
      <c r="H5" s="13">
        <f t="shared" si="3"/>
        <v>4.0083333333333364</v>
      </c>
      <c r="I5" s="21" t="s">
        <v>65</v>
      </c>
      <c r="J5" s="22">
        <f>SUMIF(B:B,"西塔台协调席",F:F)+SUMIF(B:B,"东塔台协调席",F:F)</f>
        <v>2.0727777777777852</v>
      </c>
      <c r="K5" s="23">
        <f>SUMIF(B:B,"西塔台协调席",G:G)+SUMIF(B:B,"东塔台协调席",G:G)</f>
        <v>2.8333333333345756E-2</v>
      </c>
      <c r="L5" s="23">
        <f>SUMIF(B:B,"西塔台协调席",H:H)+SUMIF(B:B,"东塔台协调席",H:H)</f>
        <v>2.0444444444444394</v>
      </c>
      <c r="M5" s="19"/>
    </row>
    <row r="6" spans="1:16" ht="18.75" x14ac:dyDescent="0.25">
      <c r="A6" s="10">
        <f t="shared" ca="1" si="0"/>
        <v>46057.791111111103</v>
      </c>
      <c r="B6" s="5" t="s">
        <v>61</v>
      </c>
      <c r="C6" s="11">
        <v>0.79111111111111099</v>
      </c>
      <c r="D6" s="11" t="s">
        <v>62</v>
      </c>
      <c r="E6" s="11">
        <v>0.94380787037036995</v>
      </c>
      <c r="F6" s="12">
        <f t="shared" si="1"/>
        <v>3.6647222222222151</v>
      </c>
      <c r="G6" s="13">
        <f t="shared" si="2"/>
        <v>3.6647222222222151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46058.293394328699</v>
      </c>
      <c r="B7" s="5" t="s">
        <v>61</v>
      </c>
      <c r="C7" s="11">
        <v>0.29339120370370397</v>
      </c>
      <c r="D7" s="11" t="s">
        <v>62</v>
      </c>
      <c r="E7" s="11">
        <v>0.36243055555555598</v>
      </c>
      <c r="F7" s="12">
        <f t="shared" si="1"/>
        <v>1.6569444444444481</v>
      </c>
      <c r="G7" s="13">
        <f t="shared" si="2"/>
        <v>0.6983333333333519</v>
      </c>
      <c r="H7" s="13">
        <f t="shared" si="3"/>
        <v>0.9586111111110962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46060.353595717599</v>
      </c>
      <c r="B8" s="5" t="s">
        <v>61</v>
      </c>
      <c r="C8" s="11">
        <v>0.35358796296296302</v>
      </c>
      <c r="D8" s="11" t="s">
        <v>62</v>
      </c>
      <c r="E8" s="11">
        <v>0.55065972222222204</v>
      </c>
      <c r="F8" s="12">
        <f t="shared" si="1"/>
        <v>4.7297222222222164</v>
      </c>
      <c r="G8" s="13">
        <f t="shared" si="2"/>
        <v>4.7297222222222164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46060.791858449098</v>
      </c>
      <c r="B9" s="5" t="s">
        <v>61</v>
      </c>
      <c r="C9" s="11">
        <v>0.79185185185185203</v>
      </c>
      <c r="D9" s="11" t="s">
        <v>62</v>
      </c>
      <c r="E9" s="11">
        <v>0.94784722222222195</v>
      </c>
      <c r="F9" s="12">
        <f t="shared" si="1"/>
        <v>3.7438888888888782</v>
      </c>
      <c r="G9" s="13">
        <f t="shared" si="2"/>
        <v>3.7438888888888782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46061.293637384297</v>
      </c>
      <c r="B10" s="5" t="s">
        <v>61</v>
      </c>
      <c r="C10" s="11">
        <v>0.29363425925925901</v>
      </c>
      <c r="D10" s="11" t="s">
        <v>62</v>
      </c>
      <c r="E10" s="11">
        <v>0.550451388888889</v>
      </c>
      <c r="F10" s="12">
        <f t="shared" si="1"/>
        <v>6.1636111111111198</v>
      </c>
      <c r="G10" s="13">
        <f t="shared" si="2"/>
        <v>5.2108333333333441</v>
      </c>
      <c r="H10" s="13">
        <f t="shared" si="3"/>
        <v>0.95277777777777528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46061.935464467599</v>
      </c>
      <c r="B11" s="5" t="s">
        <v>61</v>
      </c>
      <c r="C11" s="11">
        <v>0.93546296296296305</v>
      </c>
      <c r="D11" s="11" t="s">
        <v>62</v>
      </c>
      <c r="E11" s="11">
        <v>0.140393518518519</v>
      </c>
      <c r="F11" s="12">
        <f t="shared" si="1"/>
        <v>4.9183333333333428</v>
      </c>
      <c r="G11" s="13">
        <f t="shared" si="2"/>
        <v>1.5488888888888868</v>
      </c>
      <c r="H11" s="13">
        <f t="shared" si="3"/>
        <v>3.369444444444456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46064.540668865702</v>
      </c>
      <c r="B12" s="5" t="s">
        <v>61</v>
      </c>
      <c r="C12" s="11">
        <v>0.54065972222222203</v>
      </c>
      <c r="D12" s="11" t="s">
        <v>62</v>
      </c>
      <c r="E12" s="11">
        <v>0.79769675925925898</v>
      </c>
      <c r="F12" s="12">
        <f t="shared" si="1"/>
        <v>6.1688888888888869</v>
      </c>
      <c r="G12" s="13">
        <f t="shared" si="2"/>
        <v>6.1688888888888869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46065.133059606502</v>
      </c>
      <c r="B13" s="5" t="s">
        <v>61</v>
      </c>
      <c r="C13" s="11">
        <v>0.13305555555555601</v>
      </c>
      <c r="D13" s="11" t="s">
        <v>62</v>
      </c>
      <c r="E13" s="11">
        <v>0.30027777777777798</v>
      </c>
      <c r="F13" s="12">
        <f t="shared" si="1"/>
        <v>4.0133333333333274</v>
      </c>
      <c r="G13" s="13">
        <f t="shared" si="2"/>
        <v>0</v>
      </c>
      <c r="H13" s="13">
        <f t="shared" si="3"/>
        <v>4.0133333333333274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46065.793278356497</v>
      </c>
      <c r="B14" s="5" t="s">
        <v>61</v>
      </c>
      <c r="C14" s="11">
        <v>0.79327546296296303</v>
      </c>
      <c r="D14" s="11" t="s">
        <v>62</v>
      </c>
      <c r="E14" s="11">
        <v>0.94394675925925897</v>
      </c>
      <c r="F14" s="12">
        <f t="shared" si="1"/>
        <v>3.6161111111111026</v>
      </c>
      <c r="G14" s="13">
        <f t="shared" si="2"/>
        <v>3.6161111111111026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46066.296032754602</v>
      </c>
      <c r="B15" s="5" t="s">
        <v>61</v>
      </c>
      <c r="C15" s="11">
        <v>0.29255787037037001</v>
      </c>
      <c r="D15" s="11" t="s">
        <v>62</v>
      </c>
      <c r="E15" s="11">
        <v>0.359606481481481</v>
      </c>
      <c r="F15" s="12">
        <f t="shared" si="1"/>
        <v>1.6091666666666637</v>
      </c>
      <c r="G15" s="13">
        <f t="shared" si="2"/>
        <v>0.63055555555555243</v>
      </c>
      <c r="H15" s="13">
        <f t="shared" si="3"/>
        <v>0.97861111111111132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46068.939309259302</v>
      </c>
      <c r="B16" s="5" t="s">
        <v>61</v>
      </c>
      <c r="C16" s="11">
        <v>0.93930555555555595</v>
      </c>
      <c r="D16" s="11" t="s">
        <v>62</v>
      </c>
      <c r="E16" s="11">
        <v>7.7928240740740701E-2</v>
      </c>
      <c r="F16" s="12">
        <f t="shared" si="1"/>
        <v>3.3269444444444343</v>
      </c>
      <c r="G16" s="13">
        <f t="shared" si="2"/>
        <v>1.4566666666666575</v>
      </c>
      <c r="H16" s="13">
        <f t="shared" si="3"/>
        <v>1.8702777777777768</v>
      </c>
      <c r="I16" s="35" t="s">
        <v>63</v>
      </c>
      <c r="J16" s="36">
        <f t="shared" ref="J16:L16" si="4">J3</f>
        <v>98.556666666666615</v>
      </c>
      <c r="K16" s="37">
        <f t="shared" si="4"/>
        <v>64.549166666666636</v>
      </c>
      <c r="L16" s="38">
        <f t="shared" si="4"/>
        <v>34.007499999999965</v>
      </c>
      <c r="M16" s="39"/>
    </row>
    <row r="17" spans="1:13" ht="20.25" x14ac:dyDescent="0.25">
      <c r="A17" s="10">
        <f t="shared" ca="1" si="0"/>
        <v>46069.107371296297</v>
      </c>
      <c r="B17" s="5" t="s">
        <v>61</v>
      </c>
      <c r="C17" s="11">
        <v>0.107361111111111</v>
      </c>
      <c r="D17" s="11" t="s">
        <v>62</v>
      </c>
      <c r="E17" s="11">
        <v>0.14078703703703699</v>
      </c>
      <c r="F17" s="12">
        <f t="shared" si="1"/>
        <v>0.80222222222222361</v>
      </c>
      <c r="G17" s="13">
        <f t="shared" si="2"/>
        <v>0</v>
      </c>
      <c r="H17" s="13">
        <f t="shared" si="3"/>
        <v>0.80222222222222361</v>
      </c>
      <c r="I17" s="35" t="s">
        <v>75</v>
      </c>
      <c r="J17" s="36">
        <f>J4+J5+J6+J7+J10</f>
        <v>2.0727777777777852</v>
      </c>
      <c r="K17" s="37">
        <f>K4+K5+K6+K7+K10</f>
        <v>2.8333333333345756E-2</v>
      </c>
      <c r="L17" s="38">
        <f>L4+L5+L6+L7+L10</f>
        <v>2.0444444444444394</v>
      </c>
      <c r="M17" s="39"/>
    </row>
    <row r="18" spans="1:13" ht="20.25" x14ac:dyDescent="0.25">
      <c r="A18" s="10">
        <f t="shared" ca="1" si="0"/>
        <v>46069.5430738426</v>
      </c>
      <c r="B18" s="5" t="s">
        <v>61</v>
      </c>
      <c r="C18" s="11">
        <v>0.54306712962963</v>
      </c>
      <c r="D18" s="11" t="s">
        <v>62</v>
      </c>
      <c r="E18" s="11">
        <v>0.56372685185185201</v>
      </c>
      <c r="F18" s="12">
        <f t="shared" si="1"/>
        <v>0.49583333333332824</v>
      </c>
      <c r="G18" s="13">
        <f t="shared" si="2"/>
        <v>0.49583333333332824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46069.5958733796</v>
      </c>
      <c r="B19" s="5" t="s">
        <v>61</v>
      </c>
      <c r="C19" s="11">
        <v>0.595868055555556</v>
      </c>
      <c r="D19" s="11" t="s">
        <v>62</v>
      </c>
      <c r="E19" s="11">
        <v>0.67693287037036998</v>
      </c>
      <c r="F19" s="12">
        <f t="shared" si="1"/>
        <v>1.9455555555555355</v>
      </c>
      <c r="G19" s="13">
        <f t="shared" si="2"/>
        <v>1.9455555555555355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46069.732400347202</v>
      </c>
      <c r="B20" s="5" t="s">
        <v>61</v>
      </c>
      <c r="C20" s="11">
        <v>0.73239583333333302</v>
      </c>
      <c r="D20" s="11" t="s">
        <v>62</v>
      </c>
      <c r="E20" s="11">
        <v>0.79533564814814794</v>
      </c>
      <c r="F20" s="12">
        <f t="shared" si="1"/>
        <v>1.5105555555555581</v>
      </c>
      <c r="G20" s="13">
        <f t="shared" si="2"/>
        <v>1.5105555555555581</v>
      </c>
      <c r="H20" s="13">
        <f t="shared" si="3"/>
        <v>0</v>
      </c>
      <c r="I20" s="40" t="s">
        <v>77</v>
      </c>
      <c r="J20" s="65">
        <f>J16+J17+J18+J19</f>
        <v>100.6294444444444</v>
      </c>
      <c r="K20" s="66"/>
      <c r="L20" s="67"/>
      <c r="M20" s="41"/>
    </row>
    <row r="21" spans="1:13" ht="20.25" x14ac:dyDescent="0.25">
      <c r="A21" s="10">
        <f t="shared" ca="1" si="0"/>
        <v>46069.939090972199</v>
      </c>
      <c r="B21" s="5" t="s">
        <v>61</v>
      </c>
      <c r="C21" s="11">
        <v>0.93908564814814799</v>
      </c>
      <c r="D21" s="11" t="s">
        <v>62</v>
      </c>
      <c r="E21" s="11">
        <v>6.4259259259259294E-2</v>
      </c>
      <c r="F21" s="12">
        <f t="shared" si="1"/>
        <v>3.0041666666666713</v>
      </c>
      <c r="G21" s="13">
        <f t="shared" si="2"/>
        <v>1.4619444444444483</v>
      </c>
      <c r="H21" s="13">
        <f t="shared" si="3"/>
        <v>1.542222222222223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46070.074027777802</v>
      </c>
      <c r="B22" s="5" t="s">
        <v>61</v>
      </c>
      <c r="C22" s="11">
        <v>7.4027777777777803E-2</v>
      </c>
      <c r="D22" s="11" t="s">
        <v>62</v>
      </c>
      <c r="E22" s="11">
        <v>0.141469907407407</v>
      </c>
      <c r="F22" s="12">
        <f t="shared" si="1"/>
        <v>1.6186111111111008</v>
      </c>
      <c r="G22" s="13">
        <f t="shared" si="2"/>
        <v>0</v>
      </c>
      <c r="H22" s="13">
        <f t="shared" si="3"/>
        <v>1.6186111111111008</v>
      </c>
      <c r="I22"/>
      <c r="J22"/>
    </row>
    <row r="23" spans="1:13" ht="18.75" x14ac:dyDescent="0.15">
      <c r="A23" s="10">
        <f t="shared" ca="1" si="0"/>
        <v>46073.140296874997</v>
      </c>
      <c r="B23" s="5" t="s">
        <v>82</v>
      </c>
      <c r="C23" s="11">
        <v>0.14028935185185201</v>
      </c>
      <c r="D23" s="11" t="s">
        <v>62</v>
      </c>
      <c r="E23" s="11">
        <v>0.22547453703703699</v>
      </c>
      <c r="F23" s="12">
        <f t="shared" si="1"/>
        <v>2.0444444444444394</v>
      </c>
      <c r="G23" s="13">
        <f t="shared" si="2"/>
        <v>0</v>
      </c>
      <c r="H23" s="13">
        <f t="shared" si="3"/>
        <v>2.0444444444444394</v>
      </c>
      <c r="I23"/>
      <c r="J23"/>
    </row>
    <row r="24" spans="1:13" ht="18.75" x14ac:dyDescent="0.15">
      <c r="A24" s="10">
        <f t="shared" ca="1" si="0"/>
        <v>46073.751751620403</v>
      </c>
      <c r="B24" s="5" t="s">
        <v>82</v>
      </c>
      <c r="C24" s="11">
        <v>0.75174768518518498</v>
      </c>
      <c r="D24" s="11" t="s">
        <v>62</v>
      </c>
      <c r="E24" s="11">
        <v>0.75292824074074105</v>
      </c>
      <c r="F24" s="12">
        <f t="shared" si="1"/>
        <v>2.8333333333345756E-2</v>
      </c>
      <c r="G24" s="13">
        <f t="shared" si="2"/>
        <v>2.8333333333345756E-2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46074.2302710648</v>
      </c>
      <c r="B25" s="5" t="s">
        <v>61</v>
      </c>
      <c r="C25" s="11">
        <v>0.23026620370370399</v>
      </c>
      <c r="D25" s="11" t="s">
        <v>62</v>
      </c>
      <c r="E25" s="11">
        <v>0.29656250000000001</v>
      </c>
      <c r="F25" s="12">
        <f t="shared" si="1"/>
        <v>1.5911111111111045</v>
      </c>
      <c r="G25" s="13">
        <f t="shared" si="2"/>
        <v>0</v>
      </c>
      <c r="H25" s="13">
        <f t="shared" si="3"/>
        <v>1.5911111111111045</v>
      </c>
      <c r="I25"/>
      <c r="J25"/>
    </row>
    <row r="26" spans="1:13" ht="18.75" x14ac:dyDescent="0.15">
      <c r="A26" s="10">
        <f t="shared" ca="1" si="0"/>
        <v>46076.354338657402</v>
      </c>
      <c r="B26" s="5" t="s">
        <v>61</v>
      </c>
      <c r="C26" s="11">
        <v>0.35432870370370401</v>
      </c>
      <c r="D26" s="11" t="s">
        <v>62</v>
      </c>
      <c r="E26" s="11">
        <v>0.52711805555555602</v>
      </c>
      <c r="F26" s="12">
        <f t="shared" si="1"/>
        <v>4.1469444444444488</v>
      </c>
      <c r="G26" s="13">
        <f t="shared" si="2"/>
        <v>4.1469444444444488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46076.555335532401</v>
      </c>
      <c r="B27" s="5" t="s">
        <v>61</v>
      </c>
      <c r="C27" s="11">
        <v>0.55533564814814795</v>
      </c>
      <c r="D27" s="11" t="s">
        <v>62</v>
      </c>
      <c r="E27" s="11">
        <v>0.590439814814815</v>
      </c>
      <c r="F27" s="12">
        <f t="shared" si="1"/>
        <v>0.84250000000000913</v>
      </c>
      <c r="G27" s="13">
        <f t="shared" si="2"/>
        <v>0.84250000000000913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46076.792612615704</v>
      </c>
      <c r="B28" s="5" t="s">
        <v>61</v>
      </c>
      <c r="C28" s="11">
        <v>0.792604166666667</v>
      </c>
      <c r="D28" s="11" t="s">
        <v>62</v>
      </c>
      <c r="E28" s="11">
        <v>0.94672453703703696</v>
      </c>
      <c r="F28" s="12">
        <f t="shared" si="1"/>
        <v>3.6988888888888791</v>
      </c>
      <c r="G28" s="13">
        <f t="shared" si="2"/>
        <v>3.6988888888888791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46077.293080208299</v>
      </c>
      <c r="B29" s="5" t="s">
        <v>61</v>
      </c>
      <c r="C29" s="11">
        <v>0.29307870370370398</v>
      </c>
      <c r="D29" s="11" t="s">
        <v>62</v>
      </c>
      <c r="E29" s="11">
        <v>0.54951388888888897</v>
      </c>
      <c r="F29" s="12">
        <f t="shared" si="1"/>
        <v>6.1544444444444402</v>
      </c>
      <c r="G29" s="13">
        <f t="shared" si="2"/>
        <v>5.1883333333333441</v>
      </c>
      <c r="H29" s="13">
        <f t="shared" si="3"/>
        <v>0.96611111111109604</v>
      </c>
      <c r="I29"/>
      <c r="J29"/>
    </row>
    <row r="30" spans="1:13" ht="18.75" x14ac:dyDescent="0.15">
      <c r="A30" s="10">
        <f t="shared" ca="1" si="0"/>
        <v>46077.938787384301</v>
      </c>
      <c r="B30" s="5" t="s">
        <v>61</v>
      </c>
      <c r="C30" s="11">
        <v>0.93878472222222198</v>
      </c>
      <c r="D30" s="11" t="s">
        <v>62</v>
      </c>
      <c r="E30" s="11">
        <v>0.138912037037037</v>
      </c>
      <c r="F30" s="12">
        <f t="shared" si="1"/>
        <v>4.8030555555555603</v>
      </c>
      <c r="G30" s="13">
        <f t="shared" si="2"/>
        <v>1.4691666666666725</v>
      </c>
      <c r="H30" s="13">
        <f t="shared" si="3"/>
        <v>3.3338888888888878</v>
      </c>
      <c r="I30"/>
      <c r="J30"/>
    </row>
    <row r="31" spans="1:13" ht="18.75" x14ac:dyDescent="0.15">
      <c r="A31" s="10">
        <f t="shared" ca="1" si="0"/>
        <v>46080.541822685198</v>
      </c>
      <c r="B31" s="5" t="s">
        <v>61</v>
      </c>
      <c r="C31" s="11">
        <v>0.54181712962963002</v>
      </c>
      <c r="D31" s="11" t="s">
        <v>62</v>
      </c>
      <c r="E31" s="11">
        <v>0.79864583333333306</v>
      </c>
      <c r="F31" s="12">
        <f t="shared" si="1"/>
        <v>6.1638888888888728</v>
      </c>
      <c r="G31" s="13">
        <f t="shared" si="2"/>
        <v>6.1638888888888728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46081.131368750001</v>
      </c>
      <c r="B32" s="5" t="s">
        <v>61</v>
      </c>
      <c r="C32" s="11">
        <v>0.131365740740741</v>
      </c>
      <c r="D32" s="11" t="s">
        <v>62</v>
      </c>
      <c r="E32" s="11">
        <v>0.29774305555555602</v>
      </c>
      <c r="F32" s="12">
        <f t="shared" si="1"/>
        <v>3.9930555555555607</v>
      </c>
      <c r="G32" s="13">
        <f t="shared" si="2"/>
        <v>0</v>
      </c>
      <c r="H32" s="13">
        <f t="shared" si="3"/>
        <v>3.9930555555555607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="85" zoomScaleNormal="85" workbookViewId="0">
      <selection activeCell="D22" sqref="D2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46054.006904050897</v>
      </c>
      <c r="B3" s="5" t="s">
        <v>82</v>
      </c>
      <c r="C3" s="11">
        <v>6.9444444444444404E-5</v>
      </c>
      <c r="D3" s="11" t="s">
        <v>62</v>
      </c>
      <c r="E3" s="11">
        <v>0.11311342592592601</v>
      </c>
      <c r="F3" s="12">
        <f t="shared" ref="F3:F42" si="1">(IF(E3-C3&lt;0,"24:00"-C3+E3,E3-C3))*24</f>
        <v>2.7130555555555578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2.7130555555555578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46057.139326967597</v>
      </c>
      <c r="B4" s="5" t="s">
        <v>78</v>
      </c>
      <c r="C4" s="11">
        <v>0.13931712962963</v>
      </c>
      <c r="D4" s="11" t="s">
        <v>62</v>
      </c>
      <c r="E4" s="11">
        <v>0.25806712962963002</v>
      </c>
      <c r="F4" s="12">
        <f t="shared" si="1"/>
        <v>2.8500000000000005</v>
      </c>
      <c r="G4" s="13">
        <f t="shared" si="2"/>
        <v>0</v>
      </c>
      <c r="H4" s="13">
        <f t="shared" si="3"/>
        <v>2.8500000000000005</v>
      </c>
      <c r="I4" s="21" t="s">
        <v>64</v>
      </c>
      <c r="J4" s="22">
        <f>SUMIF(B:B,"西塔台管制席",F:F)+SUMIF(B:B,"东塔台管制席",F:F)</f>
        <v>21.06111111111111</v>
      </c>
      <c r="K4" s="23">
        <f>SUMIF(B:B,"西塔台管制席",G:G)+SUMIF(B:B,"东塔台管制席",G:G)</f>
        <v>7.0002777777777814</v>
      </c>
      <c r="L4" s="23">
        <f>SUMIF(B:B,"西塔台管制席",H:H)+SUMIF(B:B,"东塔台管制席",H:H)</f>
        <v>14.06083333333333</v>
      </c>
      <c r="M4" s="19"/>
    </row>
    <row r="5" spans="1:16" ht="18.75" x14ac:dyDescent="0.25">
      <c r="A5" s="10">
        <f t="shared" ca="1" si="0"/>
        <v>46057.2581108796</v>
      </c>
      <c r="B5" s="5" t="s">
        <v>82</v>
      </c>
      <c r="C5" s="11">
        <v>0.25810185185185203</v>
      </c>
      <c r="D5" s="11" t="s">
        <v>62</v>
      </c>
      <c r="E5" s="11">
        <v>0.30473379629629599</v>
      </c>
      <c r="F5" s="12">
        <f t="shared" si="1"/>
        <v>1.1191666666666551</v>
      </c>
      <c r="G5" s="13">
        <f t="shared" si="2"/>
        <v>0</v>
      </c>
      <c r="H5" s="13">
        <f t="shared" si="3"/>
        <v>1.1191666666666551</v>
      </c>
      <c r="I5" s="21" t="s">
        <v>65</v>
      </c>
      <c r="J5" s="22">
        <f>SUMIF(B:B,"西塔台协调席",F:F)+SUMIF(B:B,"东塔台协调席",F:F)</f>
        <v>14.146388888888897</v>
      </c>
      <c r="K5" s="23">
        <f>SUMIF(B:B,"西塔台协调席",G:G)+SUMIF(B:B,"东塔台协调席",G:G)</f>
        <v>9.3725000000000183</v>
      </c>
      <c r="L5" s="23">
        <f>SUMIF(B:B,"西塔台协调席",H:H)+SUMIF(B:B,"东塔台协调席",H:H)</f>
        <v>4.7738888888888793</v>
      </c>
      <c r="M5" s="19"/>
    </row>
    <row r="6" spans="1:16" ht="18.75" x14ac:dyDescent="0.25">
      <c r="A6" s="10">
        <f t="shared" ca="1" si="0"/>
        <v>46058.133139699101</v>
      </c>
      <c r="B6" s="5" t="s">
        <v>79</v>
      </c>
      <c r="C6" s="11">
        <v>0.133136574074074</v>
      </c>
      <c r="D6" s="11" t="s">
        <v>62</v>
      </c>
      <c r="E6" s="11">
        <v>0.22892361111111101</v>
      </c>
      <c r="F6" s="12">
        <f t="shared" si="1"/>
        <v>2.2988888888888881</v>
      </c>
      <c r="G6" s="13">
        <f t="shared" si="2"/>
        <v>0</v>
      </c>
      <c r="H6" s="13">
        <f t="shared" si="3"/>
        <v>2.2988888888888881</v>
      </c>
      <c r="I6" s="21" t="s">
        <v>66</v>
      </c>
      <c r="J6" s="22">
        <f>SUMIF(B:B,"放行席",F:F)</f>
        <v>4.47138888888888</v>
      </c>
      <c r="K6" s="23">
        <f>SUMIF(B:B,"放行席",G:G)</f>
        <v>0</v>
      </c>
      <c r="L6" s="23">
        <f>SUMIF(B:B,"放行席",H:H)</f>
        <v>4.47138888888888</v>
      </c>
      <c r="M6" s="19"/>
    </row>
    <row r="7" spans="1:16" ht="18.75" x14ac:dyDescent="0.25">
      <c r="A7" s="10">
        <f t="shared" ca="1" si="0"/>
        <v>46060.502033912002</v>
      </c>
      <c r="B7" s="5" t="s">
        <v>81</v>
      </c>
      <c r="C7" s="11">
        <v>0.503773148148148</v>
      </c>
      <c r="D7" s="11" t="s">
        <v>62</v>
      </c>
      <c r="E7" s="11">
        <v>0.63471064814814804</v>
      </c>
      <c r="F7" s="12">
        <f t="shared" si="1"/>
        <v>3.142500000000001</v>
      </c>
      <c r="G7" s="13">
        <f t="shared" si="2"/>
        <v>3.142500000000001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46060.752855208302</v>
      </c>
      <c r="B8" s="5" t="s">
        <v>78</v>
      </c>
      <c r="C8" s="11">
        <v>0.75145833333333301</v>
      </c>
      <c r="D8" s="11" t="s">
        <v>62</v>
      </c>
      <c r="E8" s="11">
        <v>0.88299768518518496</v>
      </c>
      <c r="F8" s="12">
        <f t="shared" si="1"/>
        <v>3.1569444444444468</v>
      </c>
      <c r="G8" s="13">
        <f t="shared" si="2"/>
        <v>3.1569444444444468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46061.417501157397</v>
      </c>
      <c r="B9" s="5" t="s">
        <v>82</v>
      </c>
      <c r="C9" s="11">
        <v>0.41749999999999998</v>
      </c>
      <c r="D9" s="11" t="s">
        <v>62</v>
      </c>
      <c r="E9" s="11">
        <v>0.50745370370370402</v>
      </c>
      <c r="F9" s="12">
        <f t="shared" si="1"/>
        <v>2.1588888888888969</v>
      </c>
      <c r="G9" s="13">
        <f t="shared" si="2"/>
        <v>2.1588888888888969</v>
      </c>
      <c r="H9" s="13">
        <f t="shared" si="3"/>
        <v>0</v>
      </c>
      <c r="I9" s="21" t="s">
        <v>69</v>
      </c>
      <c r="J9" s="22">
        <f>SUMIF(B:B,"航班调度席",F:F)</f>
        <v>3.6033333333333131</v>
      </c>
      <c r="K9" s="23">
        <f>SUMIF(B:B,"航班调度席",G:G)</f>
        <v>3.6033333333333131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46061.6259721065</v>
      </c>
      <c r="B10" s="5" t="s">
        <v>80</v>
      </c>
      <c r="C10" s="11">
        <v>0.62597222222222204</v>
      </c>
      <c r="D10" s="11" t="s">
        <v>62</v>
      </c>
      <c r="E10" s="11">
        <v>0.75521990740740697</v>
      </c>
      <c r="F10" s="12">
        <f t="shared" si="1"/>
        <v>3.1019444444444382</v>
      </c>
      <c r="G10" s="13">
        <f t="shared" si="2"/>
        <v>3.1019444444444382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46061.834511689798</v>
      </c>
      <c r="B11" s="5" t="s">
        <v>82</v>
      </c>
      <c r="C11" s="11">
        <v>0.83453703703703697</v>
      </c>
      <c r="D11" s="11" t="s">
        <v>62</v>
      </c>
      <c r="E11" s="11">
        <v>0.96476851851851897</v>
      </c>
      <c r="F11" s="12">
        <f t="shared" si="1"/>
        <v>3.1255555555555681</v>
      </c>
      <c r="G11" s="13">
        <f t="shared" si="2"/>
        <v>3.1255555555555681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46062.299100810204</v>
      </c>
      <c r="B12" s="5" t="s">
        <v>80</v>
      </c>
      <c r="C12" s="11">
        <v>0.29909722222222201</v>
      </c>
      <c r="D12" s="11" t="s">
        <v>62</v>
      </c>
      <c r="E12" s="11">
        <v>0.364224537037037</v>
      </c>
      <c r="F12" s="12">
        <f t="shared" si="1"/>
        <v>1.5630555555555596</v>
      </c>
      <c r="G12" s="13">
        <f t="shared" si="2"/>
        <v>0.74138888888889642</v>
      </c>
      <c r="H12" s="13">
        <f t="shared" si="3"/>
        <v>0.82166666666666321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46065.133245138903</v>
      </c>
      <c r="B13" s="5" t="s">
        <v>79</v>
      </c>
      <c r="C13" s="11">
        <v>0.13324074074074099</v>
      </c>
      <c r="D13" s="11" t="s">
        <v>62</v>
      </c>
      <c r="E13" s="11">
        <v>0.22376157407407399</v>
      </c>
      <c r="F13" s="12">
        <f t="shared" si="1"/>
        <v>2.1724999999999919</v>
      </c>
      <c r="G13" s="13">
        <f t="shared" si="2"/>
        <v>0</v>
      </c>
      <c r="H13" s="13">
        <f t="shared" si="3"/>
        <v>2.1724999999999919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46065.562426504599</v>
      </c>
      <c r="B14" s="5" t="s">
        <v>84</v>
      </c>
      <c r="C14" s="11">
        <v>0.56241898148148195</v>
      </c>
      <c r="D14" s="11" t="s">
        <v>62</v>
      </c>
      <c r="E14" s="11">
        <v>0.71255787037036999</v>
      </c>
      <c r="F14" s="12">
        <f t="shared" si="1"/>
        <v>3.6033333333333131</v>
      </c>
      <c r="G14" s="13">
        <f t="shared" si="2"/>
        <v>3.6033333333333131</v>
      </c>
      <c r="H14" s="13">
        <f t="shared" si="3"/>
        <v>0</v>
      </c>
      <c r="I14" s="69"/>
      <c r="J14" s="69"/>
      <c r="K14" s="69"/>
      <c r="L14" s="69"/>
      <c r="M14" s="69"/>
    </row>
    <row r="15" spans="1:16" ht="20.25" x14ac:dyDescent="0.25">
      <c r="A15" s="10">
        <f t="shared" ca="1" si="0"/>
        <v>46077.140406828701</v>
      </c>
      <c r="B15" s="5" t="s">
        <v>80</v>
      </c>
      <c r="C15" s="11">
        <v>0.14040509259259301</v>
      </c>
      <c r="D15" s="11" t="s">
        <v>62</v>
      </c>
      <c r="E15" s="11">
        <v>0.305416666666667</v>
      </c>
      <c r="F15" s="12">
        <f t="shared" si="1"/>
        <v>3.960277777777776</v>
      </c>
      <c r="G15" s="13">
        <f t="shared" si="2"/>
        <v>0</v>
      </c>
      <c r="H15" s="13">
        <f t="shared" si="3"/>
        <v>3.960277777777776</v>
      </c>
      <c r="I15" s="35" t="s">
        <v>63</v>
      </c>
      <c r="J15" s="36">
        <f>J3</f>
        <v>0</v>
      </c>
      <c r="K15" s="37">
        <f>K3</f>
        <v>0</v>
      </c>
      <c r="L15" s="38">
        <f>L3</f>
        <v>0</v>
      </c>
      <c r="M15" s="39"/>
    </row>
    <row r="16" spans="1:16" ht="20.25" x14ac:dyDescent="0.25">
      <c r="A16" s="10">
        <f t="shared" ca="1" si="0"/>
        <v>46077.960605092601</v>
      </c>
      <c r="B16" s="5" t="s">
        <v>82</v>
      </c>
      <c r="C16" s="11">
        <v>0.96060185185185198</v>
      </c>
      <c r="D16" s="11" t="s">
        <v>62</v>
      </c>
      <c r="E16" s="11">
        <v>3.9236111111111097E-2</v>
      </c>
      <c r="F16" s="12">
        <f t="shared" si="1"/>
        <v>1.8872222222222188</v>
      </c>
      <c r="G16" s="13">
        <f t="shared" si="2"/>
        <v>0.94555555555555248</v>
      </c>
      <c r="H16" s="13">
        <f t="shared" si="3"/>
        <v>0.94166666666666632</v>
      </c>
      <c r="I16" s="35" t="s">
        <v>75</v>
      </c>
      <c r="J16" s="36">
        <f>J4+J5+J6+J7+J10</f>
        <v>39.678888888888892</v>
      </c>
      <c r="K16" s="37">
        <f>K4+K5+K6+K7+K10</f>
        <v>16.372777777777799</v>
      </c>
      <c r="L16" s="38">
        <f>L4+L5+L6+L7+L10</f>
        <v>23.306111111111086</v>
      </c>
      <c r="M16" s="39"/>
    </row>
    <row r="17" spans="1:13" ht="20.25" x14ac:dyDescent="0.25">
      <c r="A17" s="10">
        <f t="shared" ca="1" si="0"/>
        <v>46078.039137268497</v>
      </c>
      <c r="B17" s="5" t="s">
        <v>78</v>
      </c>
      <c r="C17" s="11">
        <v>3.9317129629629598E-2</v>
      </c>
      <c r="D17" s="11" t="s">
        <v>62</v>
      </c>
      <c r="E17" s="11">
        <v>0.14224537037036999</v>
      </c>
      <c r="F17" s="12">
        <f t="shared" si="1"/>
        <v>2.4702777777777696</v>
      </c>
      <c r="G17" s="13">
        <f t="shared" si="2"/>
        <v>0</v>
      </c>
      <c r="H17" s="13">
        <f t="shared" si="3"/>
        <v>2.4702777777777696</v>
      </c>
      <c r="I17" s="35" t="s">
        <v>71</v>
      </c>
      <c r="J17" s="36">
        <f t="shared" ref="J17:L18" si="4">J11</f>
        <v>0</v>
      </c>
      <c r="K17" s="37">
        <f t="shared" si="4"/>
        <v>0</v>
      </c>
      <c r="L17" s="38">
        <f t="shared" si="4"/>
        <v>0</v>
      </c>
      <c r="M17" s="39"/>
    </row>
    <row r="18" spans="1:13" ht="20.25" x14ac:dyDescent="0.25">
      <c r="A18" s="10">
        <f t="shared" ca="1" si="0"/>
        <v>46081.140063425897</v>
      </c>
      <c r="B18" s="5" t="s">
        <v>78</v>
      </c>
      <c r="C18" s="11">
        <v>0.14005787037037001</v>
      </c>
      <c r="D18" s="11" t="s">
        <v>62</v>
      </c>
      <c r="E18" s="11">
        <v>0.30499999999999999</v>
      </c>
      <c r="F18" s="12">
        <f t="shared" si="1"/>
        <v>3.9586111111111197</v>
      </c>
      <c r="G18" s="13">
        <f t="shared" si="2"/>
        <v>0</v>
      </c>
      <c r="H18" s="13">
        <f t="shared" si="3"/>
        <v>3.9586111111111197</v>
      </c>
      <c r="I18" s="35" t="s">
        <v>76</v>
      </c>
      <c r="J18" s="36">
        <f t="shared" si="4"/>
        <v>0</v>
      </c>
      <c r="K18" s="37">
        <f t="shared" si="4"/>
        <v>0</v>
      </c>
      <c r="L18" s="38">
        <f t="shared" si="4"/>
        <v>0</v>
      </c>
      <c r="M18" s="39"/>
    </row>
    <row r="19" spans="1:13" ht="20.25" x14ac:dyDescent="0.1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40" t="s">
        <v>77</v>
      </c>
      <c r="J19" s="65">
        <f>J15+J16+J17+J18</f>
        <v>39.678888888888892</v>
      </c>
      <c r="K19" s="66"/>
      <c r="L19" s="67"/>
      <c r="M19" s="41"/>
    </row>
    <row r="20" spans="1:13" ht="20.25" x14ac:dyDescent="0.2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2" t="s">
        <v>4</v>
      </c>
      <c r="J20" s="43">
        <f>SUM(J8:J9)</f>
        <v>3.6033333333333131</v>
      </c>
      <c r="K20" s="37">
        <f>SUM(K8:K9)</f>
        <v>3.6033333333333131</v>
      </c>
      <c r="L20" s="38">
        <f>SUM(L8:L9)</f>
        <v>0</v>
      </c>
      <c r="M20" s="44"/>
    </row>
    <row r="21" spans="1:13" ht="18.75" x14ac:dyDescent="0.1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/>
      <c r="J21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 s="45"/>
      <c r="J37" s="46"/>
      <c r="K37" s="11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19:L19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7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42"/>
  <sheetViews>
    <sheetView topLeftCell="A4" zoomScale="85" zoomScaleNormal="85" workbookViewId="0">
      <selection activeCell="L30" sqref="L3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46054.015062615697</v>
      </c>
      <c r="B3" s="5" t="s">
        <v>81</v>
      </c>
      <c r="C3" s="11">
        <v>1.2974537037037E-2</v>
      </c>
      <c r="D3" s="11" t="s">
        <v>62</v>
      </c>
      <c r="E3" s="11">
        <v>0.107384259259259</v>
      </c>
      <c r="F3" s="12">
        <f t="shared" ref="F3:F42" si="1">(IF(E3-C3&lt;0,"24:00"-C3+E3,E3-C3))*24</f>
        <v>2.2658333333333278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2.2658333333333278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46054.107437615698</v>
      </c>
      <c r="B4" s="5" t="s">
        <v>80</v>
      </c>
      <c r="C4" s="11">
        <v>0.10752314814814801</v>
      </c>
      <c r="D4" s="11" t="s">
        <v>62</v>
      </c>
      <c r="E4" s="11">
        <v>0.145127314814815</v>
      </c>
      <c r="F4" s="12">
        <f t="shared" si="1"/>
        <v>0.90250000000000785</v>
      </c>
      <c r="G4" s="13">
        <f t="shared" si="2"/>
        <v>0</v>
      </c>
      <c r="H4" s="13">
        <f t="shared" si="3"/>
        <v>0.90250000000000785</v>
      </c>
      <c r="I4" s="21" t="s">
        <v>64</v>
      </c>
      <c r="J4" s="22">
        <f>SUMIF(B:B,"西塔台管制席",F:F)+SUMIF(B:B,"东塔台管制席",F:F)</f>
        <v>23.303611111111124</v>
      </c>
      <c r="K4" s="23">
        <f>SUMIF(B:B,"西塔台管制席",G:G)+SUMIF(B:B,"东塔台管制席",G:G)</f>
        <v>20.433055555555583</v>
      </c>
      <c r="L4" s="23">
        <f>SUMIF(B:B,"西塔台管制席",H:H)+SUMIF(B:B,"东塔台管制席",H:H)</f>
        <v>2.8705555555555433</v>
      </c>
      <c r="M4" s="19"/>
    </row>
    <row r="5" spans="1:16" ht="18.75" x14ac:dyDescent="0.25">
      <c r="A5" s="10">
        <f t="shared" ca="1" si="0"/>
        <v>46056.957987152797</v>
      </c>
      <c r="B5" s="5" t="s">
        <v>81</v>
      </c>
      <c r="C5" s="11">
        <v>0.95798611111111098</v>
      </c>
      <c r="D5" s="11" t="s">
        <v>62</v>
      </c>
      <c r="E5" s="11">
        <v>0.11818287037036999</v>
      </c>
      <c r="F5" s="12">
        <f t="shared" si="1"/>
        <v>3.8447222222222166</v>
      </c>
      <c r="G5" s="13">
        <f t="shared" si="2"/>
        <v>1.0083333333333369</v>
      </c>
      <c r="H5" s="13">
        <f t="shared" si="3"/>
        <v>2.8363888888888797</v>
      </c>
      <c r="I5" s="21" t="s">
        <v>65</v>
      </c>
      <c r="J5" s="22">
        <f>SUMIF(B:B,"西塔台协调席",F:F)+SUMIF(B:B,"东塔台协调席",F:F)</f>
        <v>29.260555555555555</v>
      </c>
      <c r="K5" s="23">
        <f>SUMIF(B:B,"西塔台协调席",G:G)+SUMIF(B:B,"东塔台协调席",G:G)</f>
        <v>13.242500000000014</v>
      </c>
      <c r="L5" s="23">
        <f>SUMIF(B:B,"西塔台协调席",H:H)+SUMIF(B:B,"东塔台协调席",H:H)</f>
        <v>16.018055555555542</v>
      </c>
      <c r="M5" s="19"/>
    </row>
    <row r="6" spans="1:16" ht="18.75" x14ac:dyDescent="0.25">
      <c r="A6" s="10">
        <f t="shared" ca="1" si="0"/>
        <v>46057.429810995403</v>
      </c>
      <c r="B6" s="5" t="s">
        <v>84</v>
      </c>
      <c r="C6" s="11">
        <v>0.429803240740741</v>
      </c>
      <c r="D6" s="11" t="s">
        <v>62</v>
      </c>
      <c r="E6" s="11">
        <v>0.50467592592592603</v>
      </c>
      <c r="F6" s="12">
        <f t="shared" si="1"/>
        <v>1.7969444444444407</v>
      </c>
      <c r="G6" s="13">
        <f t="shared" si="2"/>
        <v>1.7969444444444407</v>
      </c>
      <c r="H6" s="13">
        <f t="shared" si="3"/>
        <v>0</v>
      </c>
      <c r="I6" s="21" t="s">
        <v>66</v>
      </c>
      <c r="J6" s="22">
        <f>SUMIF(B:B,"放行席",F:F)</f>
        <v>2.2802777777777763</v>
      </c>
      <c r="K6" s="23">
        <f>SUMIF(B:B,"放行席",G:G)</f>
        <v>0</v>
      </c>
      <c r="L6" s="23">
        <f>SUMIF(B:B,"放行席",H:H)</f>
        <v>2.2802777777777763</v>
      </c>
      <c r="M6" s="19"/>
    </row>
    <row r="7" spans="1:16" ht="18.75" x14ac:dyDescent="0.25">
      <c r="A7" s="10">
        <f t="shared" ca="1" si="0"/>
        <v>46057.610293518497</v>
      </c>
      <c r="B7" s="5" t="s">
        <v>84</v>
      </c>
      <c r="C7" s="11">
        <v>0.61028935185185196</v>
      </c>
      <c r="D7" s="11" t="s">
        <v>62</v>
      </c>
      <c r="E7" s="11">
        <v>0.75545138888888896</v>
      </c>
      <c r="F7" s="12">
        <f t="shared" si="1"/>
        <v>3.4838888888888881</v>
      </c>
      <c r="G7" s="13">
        <f t="shared" si="2"/>
        <v>3.4838888888888881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46057.957218518502</v>
      </c>
      <c r="B8" s="5" t="s">
        <v>82</v>
      </c>
      <c r="C8" s="11">
        <v>0.95721064814814805</v>
      </c>
      <c r="D8" s="11" t="s">
        <v>62</v>
      </c>
      <c r="E8" s="11">
        <v>0.118263888888889</v>
      </c>
      <c r="F8" s="12">
        <f t="shared" si="1"/>
        <v>3.8652777777777829</v>
      </c>
      <c r="G8" s="13">
        <f t="shared" si="2"/>
        <v>1.0269444444444469</v>
      </c>
      <c r="H8" s="13">
        <f t="shared" si="3"/>
        <v>2.838333333333336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46061.138543865702</v>
      </c>
      <c r="B9" s="5" t="s">
        <v>78</v>
      </c>
      <c r="C9" s="11">
        <v>0.13854166666666701</v>
      </c>
      <c r="D9" s="11" t="s">
        <v>62</v>
      </c>
      <c r="E9" s="11">
        <v>0.22054398148148099</v>
      </c>
      <c r="F9" s="12">
        <f t="shared" si="1"/>
        <v>1.9680555555555357</v>
      </c>
      <c r="G9" s="13">
        <f t="shared" si="2"/>
        <v>0</v>
      </c>
      <c r="H9" s="13">
        <f t="shared" si="3"/>
        <v>1.9680555555555357</v>
      </c>
      <c r="I9" s="21" t="s">
        <v>69</v>
      </c>
      <c r="J9" s="22">
        <f>SUMIF(B:B,"航班调度席",F:F)</f>
        <v>5.2808333333333284</v>
      </c>
      <c r="K9" s="23">
        <f>SUMIF(B:B,"航班调度席",G:G)</f>
        <v>5.2808333333333284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46061.306059838003</v>
      </c>
      <c r="B10" s="5" t="s">
        <v>82</v>
      </c>
      <c r="C10" s="11">
        <v>0.220636574074074</v>
      </c>
      <c r="D10" s="11" t="s">
        <v>62</v>
      </c>
      <c r="E10" s="11">
        <v>0.30630787037036999</v>
      </c>
      <c r="F10" s="12">
        <f t="shared" si="1"/>
        <v>2.0561111111111039</v>
      </c>
      <c r="G10" s="13">
        <f t="shared" si="2"/>
        <v>0</v>
      </c>
      <c r="H10" s="13">
        <f t="shared" si="3"/>
        <v>2.0561111111111039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46062.132383449098</v>
      </c>
      <c r="B11" s="5" t="s">
        <v>79</v>
      </c>
      <c r="C11" s="11">
        <v>0.132372685185185</v>
      </c>
      <c r="D11" s="11" t="s">
        <v>62</v>
      </c>
      <c r="E11" s="11">
        <v>0.22738425925925901</v>
      </c>
      <c r="F11" s="12">
        <f t="shared" si="1"/>
        <v>2.2802777777777763</v>
      </c>
      <c r="G11" s="13">
        <f t="shared" si="2"/>
        <v>0</v>
      </c>
      <c r="H11" s="13">
        <f t="shared" si="3"/>
        <v>2.2802777777777763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46064.361594444403</v>
      </c>
      <c r="B12" s="5" t="s">
        <v>80</v>
      </c>
      <c r="C12" s="11">
        <v>0.36158564814814798</v>
      </c>
      <c r="D12" s="11" t="s">
        <v>62</v>
      </c>
      <c r="E12" s="11">
        <v>0.55609953703703696</v>
      </c>
      <c r="F12" s="12">
        <f t="shared" si="1"/>
        <v>4.6683333333333357</v>
      </c>
      <c r="G12" s="13">
        <f t="shared" si="2"/>
        <v>4.6683333333333357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46064.655443171301</v>
      </c>
      <c r="B13" s="5" t="s">
        <v>82</v>
      </c>
      <c r="C13" s="11">
        <v>0.625</v>
      </c>
      <c r="D13" s="11" t="s">
        <v>62</v>
      </c>
      <c r="E13" s="11">
        <v>0.735532407407407</v>
      </c>
      <c r="F13" s="12">
        <f t="shared" si="1"/>
        <v>2.6527777777777679</v>
      </c>
      <c r="G13" s="13">
        <f t="shared" si="2"/>
        <v>2.6527777777777679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46064.874787847199</v>
      </c>
      <c r="B14" s="5" t="s">
        <v>80</v>
      </c>
      <c r="C14" s="11">
        <v>0.87478009259259304</v>
      </c>
      <c r="D14" s="11" t="s">
        <v>62</v>
      </c>
      <c r="E14" s="11">
        <v>0.96407407407407397</v>
      </c>
      <c r="F14" s="12">
        <f t="shared" si="1"/>
        <v>2.1430555555555424</v>
      </c>
      <c r="G14" s="13">
        <f t="shared" si="2"/>
        <v>2.1430555555555424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46065.297883101899</v>
      </c>
      <c r="B15" s="5" t="s">
        <v>82</v>
      </c>
      <c r="C15" s="11">
        <v>0.29788194444444399</v>
      </c>
      <c r="D15" s="11" t="s">
        <v>62</v>
      </c>
      <c r="E15" s="11">
        <v>0.42359953703703701</v>
      </c>
      <c r="F15" s="12">
        <f t="shared" si="1"/>
        <v>3.0172222222222325</v>
      </c>
      <c r="G15" s="13">
        <f t="shared" si="2"/>
        <v>2.1663888888888967</v>
      </c>
      <c r="H15" s="13">
        <f t="shared" si="3"/>
        <v>0.85083333333333577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46065.505227083297</v>
      </c>
      <c r="B16" s="5" t="s">
        <v>80</v>
      </c>
      <c r="C16" s="11">
        <v>0.50521990740740697</v>
      </c>
      <c r="D16" s="11" t="s">
        <v>62</v>
      </c>
      <c r="E16" s="11">
        <v>0.63121527777777797</v>
      </c>
      <c r="F16" s="12">
        <f t="shared" si="1"/>
        <v>3.0238888888889042</v>
      </c>
      <c r="G16" s="13">
        <f t="shared" si="2"/>
        <v>3.0238888888889042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46076.354441666699</v>
      </c>
      <c r="B17" s="5" t="s">
        <v>80</v>
      </c>
      <c r="C17" s="11">
        <v>0.35443287037037002</v>
      </c>
      <c r="D17" s="11" t="s">
        <v>62</v>
      </c>
      <c r="E17" s="11">
        <v>0.50925925925925897</v>
      </c>
      <c r="F17" s="12">
        <f t="shared" si="1"/>
        <v>3.7158333333333347</v>
      </c>
      <c r="G17" s="13">
        <f t="shared" si="2"/>
        <v>3.7158333333333347</v>
      </c>
      <c r="H17" s="13">
        <f t="shared" si="3"/>
        <v>0</v>
      </c>
      <c r="I17" s="35" t="s">
        <v>75</v>
      </c>
      <c r="J17" s="36">
        <f>J4+J5+J6+J7+J10</f>
        <v>54.844444444444456</v>
      </c>
      <c r="K17" s="37">
        <f>K4+K5+K6+K7+K10</f>
        <v>33.675555555555597</v>
      </c>
      <c r="L17" s="38">
        <f>L4+L5+L6+L7+L10</f>
        <v>21.168888888888862</v>
      </c>
      <c r="M17" s="39"/>
    </row>
    <row r="18" spans="1:13" ht="20.25" x14ac:dyDescent="0.25">
      <c r="A18" s="10">
        <f t="shared" ca="1" si="0"/>
        <v>46076.6263054398</v>
      </c>
      <c r="B18" s="5" t="s">
        <v>82</v>
      </c>
      <c r="C18" s="11">
        <v>0.62629629629629602</v>
      </c>
      <c r="D18" s="11" t="s">
        <v>62</v>
      </c>
      <c r="E18" s="11">
        <v>0.76151620370370399</v>
      </c>
      <c r="F18" s="12">
        <f t="shared" si="1"/>
        <v>3.2452777777777913</v>
      </c>
      <c r="G18" s="13">
        <f t="shared" si="2"/>
        <v>3.2452777777777913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46076.875942708299</v>
      </c>
      <c r="B19" s="5" t="s">
        <v>80</v>
      </c>
      <c r="C19" s="11">
        <v>0.87593750000000004</v>
      </c>
      <c r="D19" s="11" t="s">
        <v>62</v>
      </c>
      <c r="E19" s="11">
        <v>0.96281249999999996</v>
      </c>
      <c r="F19" s="12">
        <f t="shared" si="1"/>
        <v>2.0849999999999982</v>
      </c>
      <c r="G19" s="13">
        <f t="shared" si="2"/>
        <v>2.0849999999999982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46077.300336921297</v>
      </c>
      <c r="B20" s="5" t="s">
        <v>82</v>
      </c>
      <c r="C20" s="11">
        <v>0.300335648148148</v>
      </c>
      <c r="D20" s="11" t="s">
        <v>62</v>
      </c>
      <c r="E20" s="11">
        <v>0.42299768518518499</v>
      </c>
      <c r="F20" s="12">
        <f t="shared" si="1"/>
        <v>2.9438888888888877</v>
      </c>
      <c r="G20" s="13">
        <f t="shared" si="2"/>
        <v>2.1519444444444482</v>
      </c>
      <c r="H20" s="13">
        <f t="shared" si="3"/>
        <v>0.79194444444443945</v>
      </c>
      <c r="I20" s="40" t="s">
        <v>77</v>
      </c>
      <c r="J20" s="65">
        <f>J16+J17+J18+J19</f>
        <v>54.844444444444456</v>
      </c>
      <c r="K20" s="66"/>
      <c r="L20" s="67"/>
      <c r="M20" s="41"/>
    </row>
    <row r="21" spans="1:13" ht="20.25" x14ac:dyDescent="0.25">
      <c r="A21" s="10">
        <f t="shared" ca="1" si="0"/>
        <v>46077.505230902803</v>
      </c>
      <c r="B21" s="5" t="s">
        <v>80</v>
      </c>
      <c r="C21" s="11">
        <v>0.50521990740740697</v>
      </c>
      <c r="D21" s="11" t="s">
        <v>62</v>
      </c>
      <c r="E21" s="11">
        <v>0.63187499999999996</v>
      </c>
      <c r="F21" s="12">
        <f t="shared" si="1"/>
        <v>3.039722222222232</v>
      </c>
      <c r="G21" s="13">
        <f t="shared" si="2"/>
        <v>3.039722222222232</v>
      </c>
      <c r="H21" s="13">
        <f t="shared" si="3"/>
        <v>0</v>
      </c>
      <c r="I21" s="42" t="s">
        <v>4</v>
      </c>
      <c r="J21" s="43">
        <f>SUM(J8:J9)</f>
        <v>5.2808333333333284</v>
      </c>
      <c r="K21" s="37">
        <f>SUM(K8:K9)</f>
        <v>5.2808333333333284</v>
      </c>
      <c r="L21" s="38">
        <f>SUM(L8:L9)</f>
        <v>0</v>
      </c>
      <c r="M21" s="44"/>
    </row>
    <row r="22" spans="1:13" ht="18.75" x14ac:dyDescent="0.15">
      <c r="A22" s="10">
        <f t="shared" ca="1" si="0"/>
        <v>46077.766156597201</v>
      </c>
      <c r="B22" s="5" t="s">
        <v>78</v>
      </c>
      <c r="C22" s="11">
        <v>0.76614583333333297</v>
      </c>
      <c r="D22" s="11" t="s">
        <v>62</v>
      </c>
      <c r="E22" s="11">
        <v>0.83936342592592605</v>
      </c>
      <c r="F22" s="12">
        <f t="shared" si="1"/>
        <v>1.757222222222234</v>
      </c>
      <c r="G22" s="13">
        <f t="shared" si="2"/>
        <v>1.757222222222234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46078.033555092603</v>
      </c>
      <c r="B23" s="5" t="s">
        <v>81</v>
      </c>
      <c r="C23" s="11">
        <v>3.3553240740740703E-2</v>
      </c>
      <c r="D23" s="11" t="s">
        <v>62</v>
      </c>
      <c r="E23" s="11">
        <v>8.2928240740740705E-2</v>
      </c>
      <c r="F23" s="12">
        <f t="shared" si="1"/>
        <v>1.1850000000000001</v>
      </c>
      <c r="G23" s="13">
        <f t="shared" si="2"/>
        <v>0</v>
      </c>
      <c r="H23" s="13">
        <f t="shared" si="3"/>
        <v>1.1850000000000001</v>
      </c>
      <c r="I23"/>
      <c r="J23"/>
    </row>
    <row r="24" spans="1:13" ht="18.75" x14ac:dyDescent="0.15">
      <c r="A24" s="10">
        <f t="shared" ca="1" si="0"/>
        <v>46081.013459838003</v>
      </c>
      <c r="B24" s="5" t="s">
        <v>81</v>
      </c>
      <c r="C24" s="11">
        <v>1.3449074074074099E-2</v>
      </c>
      <c r="D24" s="11" t="s">
        <v>62</v>
      </c>
      <c r="E24" s="11">
        <v>0.146516203703704</v>
      </c>
      <c r="F24" s="12">
        <f t="shared" si="1"/>
        <v>3.1936111111111178</v>
      </c>
      <c r="G24" s="13">
        <f t="shared" si="2"/>
        <v>0</v>
      </c>
      <c r="H24" s="13">
        <f t="shared" si="3"/>
        <v>3.1936111111111178</v>
      </c>
      <c r="I24"/>
      <c r="J24"/>
    </row>
    <row r="25" spans="1:13" ht="18.75" x14ac:dyDescent="0.15">
      <c r="A25" s="10">
        <f t="shared" ca="1" si="0"/>
        <v>46081.9588365741</v>
      </c>
      <c r="B25" s="5" t="s">
        <v>81</v>
      </c>
      <c r="C25" s="11">
        <v>0.95859953703703704</v>
      </c>
      <c r="D25" s="11" t="s">
        <v>62</v>
      </c>
      <c r="E25" s="11">
        <v>0.99988425925925895</v>
      </c>
      <c r="F25" s="12">
        <f t="shared" si="1"/>
        <v>0.99083333333332568</v>
      </c>
      <c r="G25" s="13">
        <f t="shared" si="2"/>
        <v>0.99083333333332568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46056.627773958302</v>
      </c>
      <c r="B3" s="5" t="s">
        <v>84</v>
      </c>
      <c r="C3" s="11">
        <v>0.62707175925925895</v>
      </c>
      <c r="D3" s="11" t="s">
        <v>62</v>
      </c>
      <c r="E3" s="11">
        <v>0.74199074074074101</v>
      </c>
      <c r="F3" s="12">
        <f t="shared" ref="F3:F42" si="1">(IF(E3-C3&lt;0,"24:00"-C3+E3,E3-C3))*24</f>
        <v>2.7580555555555692</v>
      </c>
      <c r="G3" s="13">
        <f t="shared" ref="G3:G42" si="2">F3-H3</f>
        <v>2.7580555555555692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46056.749812152797</v>
      </c>
      <c r="B4" s="5" t="s">
        <v>78</v>
      </c>
      <c r="C4" s="11">
        <v>0.74980324074074101</v>
      </c>
      <c r="D4" s="11" t="s">
        <v>62</v>
      </c>
      <c r="E4" s="11">
        <v>0.87865740740740705</v>
      </c>
      <c r="F4" s="12">
        <f t="shared" si="1"/>
        <v>3.0924999999999851</v>
      </c>
      <c r="G4" s="13">
        <f t="shared" si="2"/>
        <v>3.0924999999999851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36.91694444444439</v>
      </c>
      <c r="K4" s="23">
        <f>SUMIF(B:B,"西塔台管制席",G:G)+SUMIF(B:B,"东塔台管制席",G:G)</f>
        <v>25.268611111111088</v>
      </c>
      <c r="L4" s="23">
        <f>SUMIF(B:B,"西塔台管制席",H:H)+SUMIF(B:B,"东塔台管制席",H:H)</f>
        <v>11.648333333333305</v>
      </c>
      <c r="M4" s="19"/>
    </row>
    <row r="5" spans="1:16" ht="18.75" x14ac:dyDescent="0.25">
      <c r="A5" s="10">
        <f t="shared" ca="1" si="0"/>
        <v>46057.417631828699</v>
      </c>
      <c r="B5" s="5" t="s">
        <v>82</v>
      </c>
      <c r="C5" s="11">
        <v>0.41762731481481502</v>
      </c>
      <c r="D5" s="11" t="s">
        <v>62</v>
      </c>
      <c r="E5" s="11">
        <v>0.5078125</v>
      </c>
      <c r="F5" s="12">
        <f t="shared" si="1"/>
        <v>2.1644444444444395</v>
      </c>
      <c r="G5" s="13">
        <f t="shared" si="2"/>
        <v>2.1644444444444395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19.698055555555605</v>
      </c>
      <c r="K5" s="23">
        <f>SUMIF(B:B,"西塔台协调席",G:G)+SUMIF(B:B,"东塔台协调席",G:G)</f>
        <v>15.437222222222276</v>
      </c>
      <c r="L5" s="23">
        <f>SUMIF(B:B,"西塔台协调席",H:H)+SUMIF(B:B,"东塔台协调席",H:H)</f>
        <v>4.2608333333333279</v>
      </c>
      <c r="M5" s="19"/>
    </row>
    <row r="6" spans="1:16" ht="18.75" x14ac:dyDescent="0.25">
      <c r="A6" s="10">
        <f t="shared" ca="1" si="0"/>
        <v>46057.624893634304</v>
      </c>
      <c r="B6" s="5" t="s">
        <v>80</v>
      </c>
      <c r="C6" s="11">
        <v>0.62488425925925895</v>
      </c>
      <c r="D6" s="11" t="s">
        <v>62</v>
      </c>
      <c r="E6" s="11">
        <v>0.75567129629629604</v>
      </c>
      <c r="F6" s="12">
        <f t="shared" si="1"/>
        <v>3.1388888888888902</v>
      </c>
      <c r="G6" s="13">
        <f t="shared" si="2"/>
        <v>3.1388888888888902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46057.9637427083</v>
      </c>
      <c r="B7" s="5" t="s">
        <v>78</v>
      </c>
      <c r="C7" s="11">
        <v>0.83248842592592598</v>
      </c>
      <c r="D7" s="11" t="s">
        <v>62</v>
      </c>
      <c r="E7" s="11">
        <v>0.96376157407407403</v>
      </c>
      <c r="F7" s="12">
        <f t="shared" si="1"/>
        <v>3.1505555555555533</v>
      </c>
      <c r="G7" s="13">
        <f t="shared" si="2"/>
        <v>3.1505555555555533</v>
      </c>
      <c r="H7" s="13">
        <f t="shared" si="3"/>
        <v>0</v>
      </c>
      <c r="I7" s="21" t="s">
        <v>67</v>
      </c>
      <c r="J7" s="22">
        <f>SUMIF(B:B,"地面席",F:F)</f>
        <v>2.1811111111110955</v>
      </c>
      <c r="K7" s="23">
        <f>SUMIF(B:B,"地面席",G:G)</f>
        <v>0</v>
      </c>
      <c r="L7" s="23">
        <f>SUMIF(B:B,"地面席",H:H)</f>
        <v>2.1811111111110955</v>
      </c>
      <c r="M7" s="19"/>
    </row>
    <row r="8" spans="1:16" ht="18.75" x14ac:dyDescent="0.25">
      <c r="A8" s="10">
        <f t="shared" ca="1" si="0"/>
        <v>46058.299427777798</v>
      </c>
      <c r="B8" s="5" t="s">
        <v>78</v>
      </c>
      <c r="C8" s="11">
        <v>0.29942129629629599</v>
      </c>
      <c r="D8" s="11" t="s">
        <v>62</v>
      </c>
      <c r="E8" s="11">
        <v>0.36471064814814802</v>
      </c>
      <c r="F8" s="12">
        <f t="shared" si="1"/>
        <v>1.5669444444444487</v>
      </c>
      <c r="G8" s="13">
        <f t="shared" si="2"/>
        <v>0.75305555555556092</v>
      </c>
      <c r="H8" s="13">
        <f t="shared" si="3"/>
        <v>0.81388888888888777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46060.375620486098</v>
      </c>
      <c r="B9" s="5" t="s">
        <v>84</v>
      </c>
      <c r="C9" s="11">
        <v>0.37503472222222201</v>
      </c>
      <c r="D9" s="11" t="s">
        <v>62</v>
      </c>
      <c r="E9" s="11">
        <v>0.50746527777777795</v>
      </c>
      <c r="F9" s="12">
        <f t="shared" si="1"/>
        <v>3.1783333333333426</v>
      </c>
      <c r="G9" s="13">
        <f t="shared" si="2"/>
        <v>3.1783333333333426</v>
      </c>
      <c r="H9" s="13">
        <f t="shared" si="3"/>
        <v>0</v>
      </c>
      <c r="I9" s="21" t="s">
        <v>69</v>
      </c>
      <c r="J9" s="22">
        <f>SUMIF(B:B,"航班调度席",F:F)</f>
        <v>10.512500000000038</v>
      </c>
      <c r="K9" s="23">
        <f>SUMIF(B:B,"航班调度席",G:G)</f>
        <v>10.512500000000038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46060.565328009303</v>
      </c>
      <c r="B10" s="5" t="s">
        <v>84</v>
      </c>
      <c r="C10" s="11">
        <v>0.56393518518518504</v>
      </c>
      <c r="D10" s="11" t="s">
        <v>62</v>
      </c>
      <c r="E10" s="11">
        <v>0.75460648148148202</v>
      </c>
      <c r="F10" s="12">
        <f t="shared" si="1"/>
        <v>4.5761111111111274</v>
      </c>
      <c r="G10" s="13">
        <f t="shared" si="2"/>
        <v>4.5761111111111274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46061.958314236101</v>
      </c>
      <c r="B11" s="5" t="s">
        <v>80</v>
      </c>
      <c r="C11" s="11">
        <v>0.95831018518518496</v>
      </c>
      <c r="D11" s="11" t="s">
        <v>62</v>
      </c>
      <c r="E11" s="11">
        <v>0.112847222222222</v>
      </c>
      <c r="F11" s="12">
        <f t="shared" si="1"/>
        <v>3.7088888888888887</v>
      </c>
      <c r="G11" s="13">
        <f t="shared" si="2"/>
        <v>1.0005555555555605</v>
      </c>
      <c r="H11" s="13">
        <f t="shared" si="3"/>
        <v>2.7083333333333282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46065.137432523101</v>
      </c>
      <c r="B12" s="5" t="s">
        <v>80</v>
      </c>
      <c r="C12" s="11">
        <v>0.137430555555556</v>
      </c>
      <c r="D12" s="11" t="s">
        <v>62</v>
      </c>
      <c r="E12" s="11">
        <v>0.30424768518518502</v>
      </c>
      <c r="F12" s="12">
        <f t="shared" si="1"/>
        <v>4.0036111111110966</v>
      </c>
      <c r="G12" s="13">
        <f t="shared" si="2"/>
        <v>0</v>
      </c>
      <c r="H12" s="13">
        <f t="shared" si="3"/>
        <v>4.0036111111110966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46065.751644791701</v>
      </c>
      <c r="B13" s="5" t="s">
        <v>80</v>
      </c>
      <c r="C13" s="11">
        <v>0.75164351851851896</v>
      </c>
      <c r="D13" s="11" t="s">
        <v>62</v>
      </c>
      <c r="E13" s="11">
        <v>0.83903935185185197</v>
      </c>
      <c r="F13" s="12">
        <f t="shared" si="1"/>
        <v>2.0974999999999921</v>
      </c>
      <c r="G13" s="13">
        <f t="shared" si="2"/>
        <v>2.0974999999999921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46066.137973958299</v>
      </c>
      <c r="B14" s="5" t="s">
        <v>83</v>
      </c>
      <c r="C14" s="11">
        <v>0.13726851851851901</v>
      </c>
      <c r="D14" s="11" t="s">
        <v>62</v>
      </c>
      <c r="E14" s="11">
        <v>0.22814814814814799</v>
      </c>
      <c r="F14" s="12">
        <f t="shared" si="1"/>
        <v>2.1811111111110955</v>
      </c>
      <c r="G14" s="13">
        <f t="shared" si="2"/>
        <v>0</v>
      </c>
      <c r="H14" s="13">
        <f t="shared" si="3"/>
        <v>2.1811111111110955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46068.459839583302</v>
      </c>
      <c r="B15" s="5" t="s">
        <v>80</v>
      </c>
      <c r="C15" s="11">
        <v>0.45844907407407398</v>
      </c>
      <c r="D15" s="11" t="s">
        <v>62</v>
      </c>
      <c r="E15" s="11">
        <v>0.588321759259259</v>
      </c>
      <c r="F15" s="12">
        <f t="shared" si="1"/>
        <v>3.1169444444444405</v>
      </c>
      <c r="G15" s="13">
        <f t="shared" si="2"/>
        <v>3.1169444444444405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46068.608503009302</v>
      </c>
      <c r="B16" s="5" t="s">
        <v>82</v>
      </c>
      <c r="C16" s="11">
        <v>0.60789351851851803</v>
      </c>
      <c r="D16" s="11" t="s">
        <v>62</v>
      </c>
      <c r="E16" s="11">
        <v>0.713518518518519</v>
      </c>
      <c r="F16" s="12">
        <f t="shared" si="1"/>
        <v>2.5350000000000232</v>
      </c>
      <c r="G16" s="13">
        <f t="shared" si="2"/>
        <v>2.5350000000000232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46068.958840046304</v>
      </c>
      <c r="B17" s="5" t="s">
        <v>82</v>
      </c>
      <c r="C17" s="11">
        <v>0.95836805555555504</v>
      </c>
      <c r="D17" s="11" t="s">
        <v>62</v>
      </c>
      <c r="E17" s="11">
        <v>0.98075231481481495</v>
      </c>
      <c r="F17" s="12">
        <f t="shared" si="1"/>
        <v>0.53722222222223781</v>
      </c>
      <c r="G17" s="13">
        <f t="shared" si="2"/>
        <v>0.53722222222223781</v>
      </c>
      <c r="H17" s="13">
        <f t="shared" si="3"/>
        <v>0</v>
      </c>
      <c r="I17" s="35" t="s">
        <v>75</v>
      </c>
      <c r="J17" s="36">
        <f>J4+J5+J6+J7+J10</f>
        <v>58.796111111111088</v>
      </c>
      <c r="K17" s="37">
        <f>K4+K5+K6+K7+K10</f>
        <v>40.705833333333366</v>
      </c>
      <c r="L17" s="38">
        <f>L4+L5+L6+L7+L10</f>
        <v>18.090277777777729</v>
      </c>
      <c r="M17" s="39"/>
    </row>
    <row r="18" spans="1:13" ht="20.25" x14ac:dyDescent="0.25">
      <c r="A18" s="10">
        <f t="shared" ca="1" si="0"/>
        <v>46068.990966435202</v>
      </c>
      <c r="B18" s="5" t="s">
        <v>82</v>
      </c>
      <c r="C18" s="11">
        <v>0.99099537037037</v>
      </c>
      <c r="D18" s="11" t="s">
        <v>62</v>
      </c>
      <c r="E18" s="11">
        <v>0.14246527777777801</v>
      </c>
      <c r="F18" s="12">
        <f t="shared" si="1"/>
        <v>3.6352777777777923</v>
      </c>
      <c r="G18" s="13">
        <f t="shared" si="2"/>
        <v>0.21611111111112002</v>
      </c>
      <c r="H18" s="13">
        <f t="shared" si="3"/>
        <v>3.4191666666666722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46069.478875347202</v>
      </c>
      <c r="B19" s="5" t="s">
        <v>82</v>
      </c>
      <c r="C19" s="11">
        <v>0.47886574074074101</v>
      </c>
      <c r="D19" s="11" t="s">
        <v>62</v>
      </c>
      <c r="E19" s="11">
        <v>0.49994212962963003</v>
      </c>
      <c r="F19" s="12">
        <f t="shared" si="1"/>
        <v>0.50583333333333647</v>
      </c>
      <c r="G19" s="13">
        <f t="shared" si="2"/>
        <v>0.50583333333333647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46069.520899536998</v>
      </c>
      <c r="B20" s="5" t="s">
        <v>82</v>
      </c>
      <c r="C20" s="11">
        <v>0.52089120370370401</v>
      </c>
      <c r="D20" s="11" t="s">
        <v>62</v>
      </c>
      <c r="E20" s="11">
        <v>0.58896990740740696</v>
      </c>
      <c r="F20" s="12">
        <f t="shared" si="1"/>
        <v>1.6338888888888707</v>
      </c>
      <c r="G20" s="13">
        <f t="shared" si="2"/>
        <v>1.6338888888888707</v>
      </c>
      <c r="H20" s="13">
        <f t="shared" si="3"/>
        <v>0</v>
      </c>
      <c r="I20" s="40" t="s">
        <v>77</v>
      </c>
      <c r="J20" s="65">
        <f>J16+J17+J18+J19</f>
        <v>58.796111111111088</v>
      </c>
      <c r="K20" s="66"/>
      <c r="L20" s="67"/>
      <c r="M20" s="41"/>
    </row>
    <row r="21" spans="1:13" ht="20.25" x14ac:dyDescent="0.25">
      <c r="A21" s="10">
        <f t="shared" ca="1" si="0"/>
        <v>46069.667504745397</v>
      </c>
      <c r="B21" s="5" t="s">
        <v>80</v>
      </c>
      <c r="C21" s="11">
        <v>0.66680555555555598</v>
      </c>
      <c r="D21" s="11" t="s">
        <v>62</v>
      </c>
      <c r="E21" s="11">
        <v>0.77488425925925897</v>
      </c>
      <c r="F21" s="12">
        <f t="shared" si="1"/>
        <v>2.5938888888888716</v>
      </c>
      <c r="G21" s="13">
        <f t="shared" si="2"/>
        <v>2.5938888888888716</v>
      </c>
      <c r="H21" s="13">
        <f t="shared" si="3"/>
        <v>0</v>
      </c>
      <c r="I21" s="42" t="s">
        <v>4</v>
      </c>
      <c r="J21" s="43">
        <f>SUM(J8:J9)</f>
        <v>10.512500000000038</v>
      </c>
      <c r="K21" s="37">
        <f>SUM(K8:K9)</f>
        <v>10.512500000000038</v>
      </c>
      <c r="L21" s="38">
        <f>SUM(L8:L9)</f>
        <v>0</v>
      </c>
      <c r="M21" s="44"/>
    </row>
    <row r="22" spans="1:13" ht="18.75" x14ac:dyDescent="0.15">
      <c r="A22" s="10">
        <f t="shared" ca="1" si="0"/>
        <v>46069.805885879599</v>
      </c>
      <c r="B22" s="5" t="s">
        <v>80</v>
      </c>
      <c r="C22" s="11">
        <v>0.805185185185185</v>
      </c>
      <c r="D22" s="11" t="s">
        <v>62</v>
      </c>
      <c r="E22" s="11">
        <v>0.82700231481481501</v>
      </c>
      <c r="F22" s="12">
        <f t="shared" si="1"/>
        <v>0.52361111111112013</v>
      </c>
      <c r="G22" s="13">
        <f t="shared" si="2"/>
        <v>0.52361111111112013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46078.1359667824</v>
      </c>
      <c r="B23" s="5" t="s">
        <v>78</v>
      </c>
      <c r="C23" s="11">
        <v>0.13596064814814801</v>
      </c>
      <c r="D23" s="11" t="s">
        <v>62</v>
      </c>
      <c r="E23" s="11">
        <v>0.307731481481481</v>
      </c>
      <c r="F23" s="12">
        <f t="shared" si="1"/>
        <v>4.1224999999999916</v>
      </c>
      <c r="G23" s="13">
        <f t="shared" si="2"/>
        <v>0</v>
      </c>
      <c r="H23" s="13">
        <f t="shared" si="3"/>
        <v>4.1224999999999916</v>
      </c>
      <c r="I23"/>
      <c r="J23"/>
    </row>
    <row r="24" spans="1:13" ht="18.75" x14ac:dyDescent="0.15">
      <c r="A24" s="10">
        <f t="shared" ca="1" si="0"/>
        <v>46080.353117245402</v>
      </c>
      <c r="B24" s="5" t="s">
        <v>80</v>
      </c>
      <c r="C24" s="11">
        <v>0.35311342592592598</v>
      </c>
      <c r="D24" s="11" t="s">
        <v>62</v>
      </c>
      <c r="E24" s="11">
        <v>0.49562499999999998</v>
      </c>
      <c r="F24" s="12">
        <f t="shared" si="1"/>
        <v>3.420277777777776</v>
      </c>
      <c r="G24" s="13">
        <f t="shared" si="2"/>
        <v>3.420277777777776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46080.495664699098</v>
      </c>
      <c r="B25" s="5" t="s">
        <v>78</v>
      </c>
      <c r="C25" s="11">
        <v>0.49565972222222199</v>
      </c>
      <c r="D25" s="11" t="s">
        <v>62</v>
      </c>
      <c r="E25" s="11">
        <v>0.50596064814814801</v>
      </c>
      <c r="F25" s="12">
        <f t="shared" si="1"/>
        <v>0.24722222222222445</v>
      </c>
      <c r="G25" s="13">
        <f t="shared" si="2"/>
        <v>0.24722222222222445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46080.646621180596</v>
      </c>
      <c r="B26" s="5" t="s">
        <v>81</v>
      </c>
      <c r="C26" s="11">
        <v>0.64662037037037001</v>
      </c>
      <c r="D26" s="11" t="s">
        <v>62</v>
      </c>
      <c r="E26" s="11">
        <v>0.754502314814815</v>
      </c>
      <c r="F26" s="12">
        <f t="shared" si="1"/>
        <v>2.5891666666666797</v>
      </c>
      <c r="G26" s="13">
        <f t="shared" si="2"/>
        <v>2.5891666666666797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46080.875297222199</v>
      </c>
      <c r="B27" s="5" t="s">
        <v>78</v>
      </c>
      <c r="C27" s="11">
        <v>0.87528935185185197</v>
      </c>
      <c r="D27" s="11" t="s">
        <v>62</v>
      </c>
      <c r="E27" s="11">
        <v>0.96418981481481503</v>
      </c>
      <c r="F27" s="12">
        <f t="shared" si="1"/>
        <v>2.1336111111111133</v>
      </c>
      <c r="G27" s="13">
        <f t="shared" si="2"/>
        <v>2.1336111111111133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46081.430147569401</v>
      </c>
      <c r="B28" s="5" t="s">
        <v>81</v>
      </c>
      <c r="C28" s="11">
        <v>0.29826388888888899</v>
      </c>
      <c r="D28" s="11" t="s">
        <v>62</v>
      </c>
      <c r="E28" s="11">
        <v>0.46369212962963002</v>
      </c>
      <c r="F28" s="12">
        <f t="shared" si="1"/>
        <v>3.9702777777777847</v>
      </c>
      <c r="G28" s="13">
        <f t="shared" si="2"/>
        <v>3.128611111111129</v>
      </c>
      <c r="H28" s="13">
        <f t="shared" si="3"/>
        <v>0.84166666666665568</v>
      </c>
      <c r="I28"/>
      <c r="J28"/>
    </row>
    <row r="29" spans="1:13" ht="18.75" x14ac:dyDescent="0.15">
      <c r="A29" s="10">
        <f t="shared" ca="1" si="0"/>
        <v>46081.542276273103</v>
      </c>
      <c r="B29" s="5" t="s">
        <v>81</v>
      </c>
      <c r="C29" s="11">
        <v>0.54168981481481504</v>
      </c>
      <c r="D29" s="11" t="s">
        <v>62</v>
      </c>
      <c r="E29" s="11">
        <v>0.63031250000000005</v>
      </c>
      <c r="F29" s="12">
        <f t="shared" si="1"/>
        <v>2.1269444444444403</v>
      </c>
      <c r="G29" s="13">
        <f t="shared" si="2"/>
        <v>2.1269444444444403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42"/>
  <sheetViews>
    <sheetView zoomScale="85" zoomScaleNormal="85" workbookViewId="0">
      <selection activeCell="D21" sqref="D2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46054.300381944398</v>
      </c>
      <c r="B3" s="5" t="s">
        <v>82</v>
      </c>
      <c r="C3" s="11">
        <v>0.30038194444444399</v>
      </c>
      <c r="D3" s="11" t="s">
        <v>62</v>
      </c>
      <c r="E3" s="11">
        <v>0.366342592592593</v>
      </c>
      <c r="F3" s="12">
        <f t="shared" ref="F3:F42" si="1">(IF(E3-C3&lt;0,"24:00"-C3+E3,E3-C3))*24</f>
        <v>1.5830555555555761</v>
      </c>
      <c r="G3" s="13">
        <f t="shared" ref="G3:G42" si="2">F3-H3</f>
        <v>0.79222222222224037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0.79083333333333572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46056.394900231498</v>
      </c>
      <c r="B4" s="5" t="s">
        <v>80</v>
      </c>
      <c r="C4" s="11">
        <v>0.394895833333333</v>
      </c>
      <c r="D4" s="11" t="s">
        <v>62</v>
      </c>
      <c r="E4" s="11">
        <v>0.41552083333333301</v>
      </c>
      <c r="F4" s="12">
        <f t="shared" si="1"/>
        <v>0.49500000000000011</v>
      </c>
      <c r="G4" s="13">
        <f t="shared" si="2"/>
        <v>0.49500000000000011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19.293888888888866</v>
      </c>
      <c r="K4" s="23">
        <f>SUMIF(B:B,"西塔台管制席",G:G)+SUMIF(B:B,"东塔台管制席",G:G)</f>
        <v>17.691944444444424</v>
      </c>
      <c r="L4" s="23">
        <f>SUMIF(B:B,"西塔台管制席",H:H)+SUMIF(B:B,"东塔台管制席",H:H)</f>
        <v>1.6019444444444382</v>
      </c>
      <c r="M4" s="19"/>
    </row>
    <row r="5" spans="1:16" ht="18.75" x14ac:dyDescent="0.25">
      <c r="A5" s="10">
        <f t="shared" ca="1" si="0"/>
        <v>46061.959527199098</v>
      </c>
      <c r="B5" s="5" t="s">
        <v>82</v>
      </c>
      <c r="C5" s="11">
        <v>0.95952546296296304</v>
      </c>
      <c r="D5" s="11" t="s">
        <v>62</v>
      </c>
      <c r="E5" s="11">
        <v>0.11623842592592599</v>
      </c>
      <c r="F5" s="12">
        <f t="shared" si="1"/>
        <v>3.7611111111111106</v>
      </c>
      <c r="G5" s="13">
        <f t="shared" si="2"/>
        <v>0.97138888888888664</v>
      </c>
      <c r="H5" s="13">
        <f t="shared" si="3"/>
        <v>2.789722222222224</v>
      </c>
      <c r="I5" s="21" t="s">
        <v>65</v>
      </c>
      <c r="J5" s="22">
        <f>SUMIF(B:B,"西塔台协调席",F:F)+SUMIF(B:B,"东塔台协调席",F:F)</f>
        <v>16.55777777777779</v>
      </c>
      <c r="K5" s="23">
        <f>SUMIF(B:B,"西塔台协调席",G:G)+SUMIF(B:B,"东塔台协调席",G:G)</f>
        <v>12.977222222222231</v>
      </c>
      <c r="L5" s="23">
        <f>SUMIF(B:B,"西塔台协调席",H:H)+SUMIF(B:B,"东塔台协调席",H:H)</f>
        <v>3.5805555555555597</v>
      </c>
      <c r="M5" s="19"/>
    </row>
    <row r="6" spans="1:16" ht="18.75" x14ac:dyDescent="0.25">
      <c r="A6" s="10">
        <f t="shared" ca="1" si="0"/>
        <v>46064.361777199098</v>
      </c>
      <c r="B6" s="5" t="s">
        <v>78</v>
      </c>
      <c r="C6" s="11">
        <v>0.36177083333333299</v>
      </c>
      <c r="D6" s="11" t="s">
        <v>62</v>
      </c>
      <c r="E6" s="11">
        <v>0.51910879629629603</v>
      </c>
      <c r="F6" s="12">
        <f t="shared" si="1"/>
        <v>3.776111111111113</v>
      </c>
      <c r="G6" s="13">
        <f t="shared" si="2"/>
        <v>3.776111111111113</v>
      </c>
      <c r="H6" s="13">
        <f t="shared" si="3"/>
        <v>0</v>
      </c>
      <c r="I6" s="21" t="s">
        <v>66</v>
      </c>
      <c r="J6" s="22">
        <f>SUMIF(B:B,"放行席",F:F)</f>
        <v>1.7625000000000004</v>
      </c>
      <c r="K6" s="23">
        <f>SUMIF(B:B,"放行席",G:G)</f>
        <v>0</v>
      </c>
      <c r="L6" s="23">
        <f>SUMIF(B:B,"放行席",H:H)</f>
        <v>1.7625000000000004</v>
      </c>
      <c r="M6" s="19"/>
    </row>
    <row r="7" spans="1:16" ht="18.75" x14ac:dyDescent="0.25">
      <c r="A7" s="10">
        <f t="shared" ca="1" si="0"/>
        <v>46064.627576851897</v>
      </c>
      <c r="B7" s="5" t="s">
        <v>80</v>
      </c>
      <c r="C7" s="11">
        <v>0.62756944444444496</v>
      </c>
      <c r="D7" s="11" t="s">
        <v>62</v>
      </c>
      <c r="E7" s="11">
        <v>0.73498842592592595</v>
      </c>
      <c r="F7" s="12">
        <f t="shared" si="1"/>
        <v>2.5780555555555438</v>
      </c>
      <c r="G7" s="13">
        <f t="shared" si="2"/>
        <v>2.5780555555555438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46064.876706134302</v>
      </c>
      <c r="B8" s="5" t="s">
        <v>82</v>
      </c>
      <c r="C8" s="11">
        <v>0.87670138888888904</v>
      </c>
      <c r="D8" s="11" t="s">
        <v>62</v>
      </c>
      <c r="E8" s="11">
        <v>0.962824074074074</v>
      </c>
      <c r="F8" s="12">
        <f t="shared" si="1"/>
        <v>2.0669444444444389</v>
      </c>
      <c r="G8" s="13">
        <f t="shared" si="2"/>
        <v>2.0669444444444389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46065.300057523098</v>
      </c>
      <c r="B9" s="5" t="s">
        <v>80</v>
      </c>
      <c r="C9" s="11">
        <v>0.30005787037037002</v>
      </c>
      <c r="D9" s="11" t="s">
        <v>62</v>
      </c>
      <c r="E9" s="11">
        <v>0.42339120370370398</v>
      </c>
      <c r="F9" s="12">
        <f t="shared" si="1"/>
        <v>2.9600000000000151</v>
      </c>
      <c r="G9" s="13">
        <f t="shared" si="2"/>
        <v>2.1613888888889039</v>
      </c>
      <c r="H9" s="13">
        <f t="shared" si="3"/>
        <v>0.79861111111111116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46065.506469328699</v>
      </c>
      <c r="B10" s="5" t="s">
        <v>82</v>
      </c>
      <c r="C10" s="11">
        <v>0.50645833333333301</v>
      </c>
      <c r="D10" s="11" t="s">
        <v>62</v>
      </c>
      <c r="E10" s="11">
        <v>0.53156250000000005</v>
      </c>
      <c r="F10" s="12">
        <f t="shared" si="1"/>
        <v>0.60250000000000892</v>
      </c>
      <c r="G10" s="13">
        <f t="shared" si="2"/>
        <v>0.60250000000000892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46065.542123032399</v>
      </c>
      <c r="B11" s="5" t="s">
        <v>82</v>
      </c>
      <c r="C11" s="11">
        <v>0.54211805555555603</v>
      </c>
      <c r="D11" s="11" t="s">
        <v>62</v>
      </c>
      <c r="E11" s="11">
        <v>0.630231481481481</v>
      </c>
      <c r="F11" s="12">
        <f t="shared" si="1"/>
        <v>2.1147222222221993</v>
      </c>
      <c r="G11" s="13">
        <f t="shared" si="2"/>
        <v>2.1147222222221993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46076.504305902803</v>
      </c>
      <c r="B12" s="5" t="s">
        <v>80</v>
      </c>
      <c r="C12" s="11">
        <v>0.50430555555555601</v>
      </c>
      <c r="D12" s="11" t="s">
        <v>62</v>
      </c>
      <c r="E12" s="11">
        <v>0.63248842592592602</v>
      </c>
      <c r="F12" s="12">
        <f t="shared" si="1"/>
        <v>3.0763888888888804</v>
      </c>
      <c r="G12" s="13">
        <f t="shared" si="2"/>
        <v>3.0763888888888804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46076.756696296303</v>
      </c>
      <c r="B13" s="5" t="s">
        <v>82</v>
      </c>
      <c r="C13" s="11">
        <v>0.75668981481481501</v>
      </c>
      <c r="D13" s="11" t="s">
        <v>62</v>
      </c>
      <c r="E13" s="11">
        <v>0.88118055555555597</v>
      </c>
      <c r="F13" s="12">
        <f t="shared" si="1"/>
        <v>2.987777777777783</v>
      </c>
      <c r="G13" s="13">
        <f t="shared" si="2"/>
        <v>2.987777777777783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46077.426414699097</v>
      </c>
      <c r="B14" s="5" t="s">
        <v>80</v>
      </c>
      <c r="C14" s="11">
        <v>0.42641203703703701</v>
      </c>
      <c r="D14" s="11" t="s">
        <v>62</v>
      </c>
      <c r="E14" s="11">
        <v>0.51129629629629603</v>
      </c>
      <c r="F14" s="12">
        <f t="shared" si="1"/>
        <v>2.0372222222222165</v>
      </c>
      <c r="G14" s="13">
        <f t="shared" si="2"/>
        <v>2.0372222222222165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46077.627038541701</v>
      </c>
      <c r="B15" s="5" t="s">
        <v>82</v>
      </c>
      <c r="C15" s="11">
        <v>0.62703703703703695</v>
      </c>
      <c r="D15" s="11" t="s">
        <v>62</v>
      </c>
      <c r="E15" s="11">
        <v>0.77043981481481505</v>
      </c>
      <c r="F15" s="12">
        <f t="shared" si="1"/>
        <v>3.4416666666666744</v>
      </c>
      <c r="G15" s="13">
        <f t="shared" si="2"/>
        <v>3.4416666666666744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46077.833731250001</v>
      </c>
      <c r="B16" s="5" t="s">
        <v>80</v>
      </c>
      <c r="C16" s="11">
        <v>0.83372685185185202</v>
      </c>
      <c r="D16" s="11" t="s">
        <v>62</v>
      </c>
      <c r="E16" s="11">
        <v>0.88471064814814804</v>
      </c>
      <c r="F16" s="12">
        <f t="shared" si="1"/>
        <v>1.2236111111111043</v>
      </c>
      <c r="G16" s="13">
        <f t="shared" si="2"/>
        <v>1.2236111111111043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46077.898884838003</v>
      </c>
      <c r="B17" s="5" t="s">
        <v>80</v>
      </c>
      <c r="C17" s="11">
        <v>0.89887731481481503</v>
      </c>
      <c r="D17" s="11" t="s">
        <v>62</v>
      </c>
      <c r="E17" s="11">
        <v>0.96568287037037004</v>
      </c>
      <c r="F17" s="12">
        <f t="shared" si="1"/>
        <v>1.6033333333333202</v>
      </c>
      <c r="G17" s="13">
        <f t="shared" si="2"/>
        <v>1.6033333333333202</v>
      </c>
      <c r="H17" s="13">
        <f t="shared" si="3"/>
        <v>0</v>
      </c>
      <c r="I17" s="35" t="s">
        <v>75</v>
      </c>
      <c r="J17" s="36">
        <f>J4+J5+J6+J7+J10</f>
        <v>37.614166666666662</v>
      </c>
      <c r="K17" s="37">
        <f>K4+K5+K6+K7+K10</f>
        <v>30.669166666666655</v>
      </c>
      <c r="L17" s="38">
        <f>L4+L5+L6+L7+L10</f>
        <v>6.9449999999999976</v>
      </c>
      <c r="M17" s="39"/>
    </row>
    <row r="18" spans="1:13" ht="20.25" x14ac:dyDescent="0.25">
      <c r="A18" s="10">
        <f t="shared" ca="1" si="0"/>
        <v>46078.299867592599</v>
      </c>
      <c r="B18" s="5" t="s">
        <v>78</v>
      </c>
      <c r="C18" s="11">
        <v>0.29986111111111102</v>
      </c>
      <c r="D18" s="11" t="s">
        <v>62</v>
      </c>
      <c r="E18" s="11">
        <v>0.36420138888888898</v>
      </c>
      <c r="F18" s="12">
        <f t="shared" si="1"/>
        <v>1.5441666666666709</v>
      </c>
      <c r="G18" s="13">
        <f t="shared" si="2"/>
        <v>0.74083333333334389</v>
      </c>
      <c r="H18" s="13">
        <f t="shared" si="3"/>
        <v>0.80333333333332702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46081.133151736103</v>
      </c>
      <c r="B19" s="5" t="s">
        <v>79</v>
      </c>
      <c r="C19" s="11">
        <v>0.13314814814814799</v>
      </c>
      <c r="D19" s="11" t="s">
        <v>62</v>
      </c>
      <c r="E19" s="11">
        <v>0.206585648148148</v>
      </c>
      <c r="F19" s="12">
        <f t="shared" si="1"/>
        <v>1.7625000000000004</v>
      </c>
      <c r="G19" s="13">
        <f t="shared" si="2"/>
        <v>0</v>
      </c>
      <c r="H19" s="13">
        <f t="shared" si="3"/>
        <v>1.7625000000000004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37.614166666666662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42"/>
  <sheetViews>
    <sheetView zoomScale="85" zoomScaleNormal="85" workbookViewId="0">
      <selection activeCell="D24" sqref="D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46054.132641898097</v>
      </c>
      <c r="B3" s="5" t="s">
        <v>79</v>
      </c>
      <c r="C3" s="11">
        <v>0.132638888888889</v>
      </c>
      <c r="D3" s="11" t="s">
        <v>62</v>
      </c>
      <c r="E3" s="11">
        <v>0.22366898148148101</v>
      </c>
      <c r="F3" s="12">
        <f t="shared" ref="F3:F42" si="1">(IF(E3-C3&lt;0,"24:00"-C3+E3,E3-C3))*24</f>
        <v>2.1847222222222085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2.1847222222222085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46056.356413310197</v>
      </c>
      <c r="B4" s="5" t="s">
        <v>81</v>
      </c>
      <c r="C4" s="11">
        <v>0.35693287037037003</v>
      </c>
      <c r="D4" s="11" t="s">
        <v>62</v>
      </c>
      <c r="E4" s="11">
        <v>0.51611111111111097</v>
      </c>
      <c r="F4" s="12">
        <f t="shared" si="1"/>
        <v>3.8202777777777825</v>
      </c>
      <c r="G4" s="13">
        <f t="shared" si="2"/>
        <v>3.8202777777777825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27.57222222222223</v>
      </c>
      <c r="K4" s="23">
        <f>SUMIF(B:B,"西塔台管制席",G:G)+SUMIF(B:B,"东塔台管制席",G:G)</f>
        <v>17.078888888888905</v>
      </c>
      <c r="L4" s="23">
        <f>SUMIF(B:B,"西塔台管制席",H:H)+SUMIF(B:B,"东塔台管制席",H:H)</f>
        <v>10.493333333333329</v>
      </c>
      <c r="M4" s="19"/>
    </row>
    <row r="5" spans="1:16" ht="18.75" x14ac:dyDescent="0.25">
      <c r="A5" s="10">
        <f t="shared" ca="1" si="0"/>
        <v>46056.599355787002</v>
      </c>
      <c r="B5" s="5" t="s">
        <v>81</v>
      </c>
      <c r="C5" s="11">
        <v>0.59935185185185202</v>
      </c>
      <c r="D5" s="11" t="s">
        <v>62</v>
      </c>
      <c r="E5" s="11">
        <v>0.75601851851851898</v>
      </c>
      <c r="F5" s="12">
        <f t="shared" si="1"/>
        <v>3.7600000000000069</v>
      </c>
      <c r="G5" s="13">
        <f t="shared" si="2"/>
        <v>3.7600000000000069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31.093611111111102</v>
      </c>
      <c r="K5" s="23">
        <f>SUMIF(B:B,"西塔台协调席",G:G)+SUMIF(B:B,"东塔台协调席",G:G)</f>
        <v>19.08694444444447</v>
      </c>
      <c r="L5" s="23">
        <f>SUMIF(B:B,"西塔台协调席",H:H)+SUMIF(B:B,"东塔台协调席",H:H)</f>
        <v>12.006666666666636</v>
      </c>
      <c r="M5" s="19"/>
    </row>
    <row r="6" spans="1:16" ht="18.75" x14ac:dyDescent="0.25">
      <c r="A6" s="10">
        <f t="shared" ca="1" si="0"/>
        <v>46056.873715162001</v>
      </c>
      <c r="B6" s="5" t="s">
        <v>78</v>
      </c>
      <c r="C6" s="11">
        <v>0.87371527777777802</v>
      </c>
      <c r="D6" s="11" t="s">
        <v>62</v>
      </c>
      <c r="E6" s="11">
        <v>0.96337962962962997</v>
      </c>
      <c r="F6" s="12">
        <f t="shared" si="1"/>
        <v>2.1519444444444469</v>
      </c>
      <c r="G6" s="13">
        <f t="shared" si="2"/>
        <v>2.1519444444444469</v>
      </c>
      <c r="H6" s="13">
        <f t="shared" si="3"/>
        <v>0</v>
      </c>
      <c r="I6" s="21" t="s">
        <v>66</v>
      </c>
      <c r="J6" s="22">
        <f>SUMIF(B:B,"放行席",F:F)</f>
        <v>2.1847222222222085</v>
      </c>
      <c r="K6" s="23">
        <f>SUMIF(B:B,"放行席",G:G)</f>
        <v>0</v>
      </c>
      <c r="L6" s="23">
        <f>SUMIF(B:B,"放行席",H:H)</f>
        <v>2.1847222222222085</v>
      </c>
      <c r="M6" s="19"/>
    </row>
    <row r="7" spans="1:16" ht="18.75" x14ac:dyDescent="0.25">
      <c r="A7" s="10">
        <f t="shared" ca="1" si="0"/>
        <v>46057.299495486099</v>
      </c>
      <c r="B7" s="5" t="s">
        <v>82</v>
      </c>
      <c r="C7" s="11">
        <v>0.299490740740741</v>
      </c>
      <c r="D7" s="11" t="s">
        <v>62</v>
      </c>
      <c r="E7" s="11">
        <v>0.34431712962963001</v>
      </c>
      <c r="F7" s="12">
        <f t="shared" si="1"/>
        <v>1.0758333333333363</v>
      </c>
      <c r="G7" s="13">
        <f t="shared" si="2"/>
        <v>0.26361111111112878</v>
      </c>
      <c r="H7" s="13">
        <f t="shared" si="3"/>
        <v>0.81222222222220752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46057.355777662</v>
      </c>
      <c r="B8" s="5" t="s">
        <v>82</v>
      </c>
      <c r="C8" s="11">
        <v>0.348136574074074</v>
      </c>
      <c r="D8" s="11" t="s">
        <v>62</v>
      </c>
      <c r="E8" s="11">
        <v>0.424108796296296</v>
      </c>
      <c r="F8" s="12">
        <f t="shared" si="1"/>
        <v>1.8233333333333279</v>
      </c>
      <c r="G8" s="13">
        <f t="shared" si="2"/>
        <v>1.8233333333333279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46057.498923842599</v>
      </c>
      <c r="B9" s="5" t="s">
        <v>80</v>
      </c>
      <c r="C9" s="11">
        <v>0.498923611111111</v>
      </c>
      <c r="D9" s="11" t="s">
        <v>62</v>
      </c>
      <c r="E9" s="11">
        <v>0.63062499999999999</v>
      </c>
      <c r="F9" s="12">
        <f t="shared" si="1"/>
        <v>3.1608333333333358</v>
      </c>
      <c r="G9" s="13">
        <f t="shared" si="2"/>
        <v>3.1608333333333358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46057.750406828702</v>
      </c>
      <c r="B10" s="5" t="s">
        <v>82</v>
      </c>
      <c r="C10" s="11">
        <v>0.75040509259259303</v>
      </c>
      <c r="D10" s="11" t="s">
        <v>62</v>
      </c>
      <c r="E10" s="11">
        <v>0.83890046296296295</v>
      </c>
      <c r="F10" s="12">
        <f t="shared" si="1"/>
        <v>2.1238888888888781</v>
      </c>
      <c r="G10" s="13">
        <f t="shared" si="2"/>
        <v>2.1238888888888781</v>
      </c>
      <c r="H10" s="13">
        <f t="shared" si="3"/>
        <v>0</v>
      </c>
      <c r="I10" s="21" t="s">
        <v>70</v>
      </c>
      <c r="J10" s="22">
        <f>SUMIF(B:B,"综合协调席",F:F)</f>
        <v>1.9302777777777842</v>
      </c>
      <c r="K10" s="23">
        <f>SUMIF(B:B,"综合协调席",G:G)</f>
        <v>0</v>
      </c>
      <c r="L10" s="23">
        <f>SUMIF(B:B,"综合协调席",H:H)</f>
        <v>1.9302777777777842</v>
      </c>
      <c r="M10" s="19"/>
    </row>
    <row r="11" spans="1:16" ht="18.75" x14ac:dyDescent="0.25">
      <c r="A11" s="10">
        <f t="shared" ca="1" si="0"/>
        <v>46060.957582523202</v>
      </c>
      <c r="B11" s="5" t="s">
        <v>78</v>
      </c>
      <c r="C11" s="11">
        <v>0.95758101851851896</v>
      </c>
      <c r="D11" s="11" t="s">
        <v>62</v>
      </c>
      <c r="E11" s="11">
        <v>0.12166666666666701</v>
      </c>
      <c r="F11" s="12">
        <f t="shared" si="1"/>
        <v>3.938055555555553</v>
      </c>
      <c r="G11" s="13">
        <f t="shared" si="2"/>
        <v>1.0180555555555451</v>
      </c>
      <c r="H11" s="13">
        <f t="shared" si="3"/>
        <v>2.9200000000000079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46062.0138365741</v>
      </c>
      <c r="B12" s="5" t="s">
        <v>81</v>
      </c>
      <c r="C12" s="11">
        <v>1.3831018518518499E-2</v>
      </c>
      <c r="D12" s="11" t="s">
        <v>62</v>
      </c>
      <c r="E12" s="11">
        <v>0.109143518518519</v>
      </c>
      <c r="F12" s="12">
        <f t="shared" si="1"/>
        <v>2.2875000000000121</v>
      </c>
      <c r="G12" s="13">
        <f t="shared" si="2"/>
        <v>0</v>
      </c>
      <c r="H12" s="13">
        <f t="shared" si="3"/>
        <v>2.2875000000000121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46062.109172569399</v>
      </c>
      <c r="B13" s="5" t="s">
        <v>80</v>
      </c>
      <c r="C13" s="11">
        <v>0.10916666666666699</v>
      </c>
      <c r="D13" s="11" t="s">
        <v>62</v>
      </c>
      <c r="E13" s="11">
        <v>0.14391203703703701</v>
      </c>
      <c r="F13" s="12">
        <f t="shared" si="1"/>
        <v>0.83388888888888024</v>
      </c>
      <c r="G13" s="13">
        <f t="shared" si="2"/>
        <v>0</v>
      </c>
      <c r="H13" s="13">
        <f t="shared" si="3"/>
        <v>0.83388888888888024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46065.139920138899</v>
      </c>
      <c r="B14" s="5" t="s">
        <v>86</v>
      </c>
      <c r="C14" s="11">
        <v>0.13991898148148099</v>
      </c>
      <c r="D14" s="11" t="s">
        <v>62</v>
      </c>
      <c r="E14" s="11">
        <v>0.220347222222222</v>
      </c>
      <c r="F14" s="12">
        <f t="shared" si="1"/>
        <v>1.9302777777777842</v>
      </c>
      <c r="G14" s="13">
        <f t="shared" si="2"/>
        <v>0</v>
      </c>
      <c r="H14" s="13">
        <f t="shared" si="3"/>
        <v>1.9302777777777842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46065.220397916702</v>
      </c>
      <c r="B15" s="5" t="s">
        <v>82</v>
      </c>
      <c r="C15" s="11">
        <v>0.22039351851851899</v>
      </c>
      <c r="D15" s="11" t="s">
        <v>62</v>
      </c>
      <c r="E15" s="11">
        <v>0.30239583333333298</v>
      </c>
      <c r="F15" s="12">
        <f t="shared" si="1"/>
        <v>1.9680555555555357</v>
      </c>
      <c r="G15" s="13">
        <f t="shared" si="2"/>
        <v>0</v>
      </c>
      <c r="H15" s="13">
        <f t="shared" si="3"/>
        <v>1.9680555555555357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46065.958496527797</v>
      </c>
      <c r="B16" s="5" t="s">
        <v>82</v>
      </c>
      <c r="C16" s="11">
        <v>0.95849537037037003</v>
      </c>
      <c r="D16" s="11" t="s">
        <v>62</v>
      </c>
      <c r="E16" s="11">
        <v>0.12412037037037001</v>
      </c>
      <c r="F16" s="12">
        <f t="shared" si="1"/>
        <v>3.9749999999999992</v>
      </c>
      <c r="G16" s="13">
        <f t="shared" si="2"/>
        <v>0.99611111111111894</v>
      </c>
      <c r="H16" s="13">
        <f t="shared" si="3"/>
        <v>2.9788888888888803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46072.968624189802</v>
      </c>
      <c r="B17" s="5" t="s">
        <v>80</v>
      </c>
      <c r="C17" s="11">
        <v>0.96862268518518502</v>
      </c>
      <c r="D17" s="11" t="s">
        <v>62</v>
      </c>
      <c r="E17" s="11">
        <v>0.147534722222222</v>
      </c>
      <c r="F17" s="12">
        <f t="shared" si="1"/>
        <v>4.2938888888888878</v>
      </c>
      <c r="G17" s="13">
        <f t="shared" si="2"/>
        <v>0.75305555555555959</v>
      </c>
      <c r="H17" s="13">
        <f t="shared" si="3"/>
        <v>3.5408333333333282</v>
      </c>
      <c r="I17" s="35" t="s">
        <v>75</v>
      </c>
      <c r="J17" s="36">
        <f>J4+J5+J6+J7+J10</f>
        <v>62.78083333333332</v>
      </c>
      <c r="K17" s="37">
        <f>K4+K5+K6+K7+K10</f>
        <v>36.165833333333374</v>
      </c>
      <c r="L17" s="38">
        <f>L4+L5+L6+L7+L10</f>
        <v>26.614999999999959</v>
      </c>
      <c r="M17" s="39"/>
    </row>
    <row r="18" spans="1:13" ht="20.25" x14ac:dyDescent="0.25">
      <c r="A18" s="10">
        <f t="shared" ca="1" si="0"/>
        <v>46073.9572064815</v>
      </c>
      <c r="B18" s="5" t="s">
        <v>80</v>
      </c>
      <c r="C18" s="11">
        <v>0.95567129629629599</v>
      </c>
      <c r="D18" s="11" t="s">
        <v>62</v>
      </c>
      <c r="E18" s="11">
        <v>0.133275462962963</v>
      </c>
      <c r="F18" s="12">
        <f t="shared" si="1"/>
        <v>4.2625000000000082</v>
      </c>
      <c r="G18" s="13">
        <f t="shared" si="2"/>
        <v>1.0638888888888962</v>
      </c>
      <c r="H18" s="13">
        <f t="shared" si="3"/>
        <v>3.198611111111112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46077.139362384303</v>
      </c>
      <c r="B19" s="5" t="s">
        <v>82</v>
      </c>
      <c r="C19" s="11">
        <v>0.139351851851852</v>
      </c>
      <c r="D19" s="11" t="s">
        <v>62</v>
      </c>
      <c r="E19" s="11">
        <v>0.30435185185185198</v>
      </c>
      <c r="F19" s="12">
        <f t="shared" si="1"/>
        <v>3.9599999999999995</v>
      </c>
      <c r="G19" s="13">
        <f t="shared" si="2"/>
        <v>0</v>
      </c>
      <c r="H19" s="13">
        <f t="shared" si="3"/>
        <v>3.9599999999999995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46080.500127777799</v>
      </c>
      <c r="B20" s="5" t="s">
        <v>78</v>
      </c>
      <c r="C20" s="11">
        <v>0.50012731481481498</v>
      </c>
      <c r="D20" s="11" t="s">
        <v>62</v>
      </c>
      <c r="E20" s="11">
        <v>0.65018518518518498</v>
      </c>
      <c r="F20" s="12">
        <f t="shared" si="1"/>
        <v>3.6013888888888799</v>
      </c>
      <c r="G20" s="13">
        <f t="shared" si="2"/>
        <v>3.6013888888888799</v>
      </c>
      <c r="H20" s="13">
        <f t="shared" si="3"/>
        <v>0</v>
      </c>
      <c r="I20" s="40" t="s">
        <v>77</v>
      </c>
      <c r="J20" s="65">
        <f>J16+J17+J18+J19</f>
        <v>62.78083333333332</v>
      </c>
      <c r="K20" s="66"/>
      <c r="L20" s="67"/>
      <c r="M20" s="41"/>
    </row>
    <row r="21" spans="1:13" ht="20.25" x14ac:dyDescent="0.25">
      <c r="A21" s="10">
        <f t="shared" ca="1" si="0"/>
        <v>46080.749884837998</v>
      </c>
      <c r="B21" s="5" t="s">
        <v>81</v>
      </c>
      <c r="C21" s="11">
        <v>0.74988425925925895</v>
      </c>
      <c r="D21" s="11" t="s">
        <v>62</v>
      </c>
      <c r="E21" s="11">
        <v>0.87966435185185199</v>
      </c>
      <c r="F21" s="12">
        <f t="shared" si="1"/>
        <v>3.1147222222222331</v>
      </c>
      <c r="G21" s="13">
        <f t="shared" si="2"/>
        <v>3.1147222222222331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46081.429434375001</v>
      </c>
      <c r="B22" s="5" t="s">
        <v>78</v>
      </c>
      <c r="C22" s="11">
        <v>0.42943287037036998</v>
      </c>
      <c r="D22" s="11" t="s">
        <v>62</v>
      </c>
      <c r="E22" s="11">
        <v>0.51978009259259295</v>
      </c>
      <c r="F22" s="12">
        <f t="shared" si="1"/>
        <v>2.1683333333333512</v>
      </c>
      <c r="G22" s="13">
        <f t="shared" si="2"/>
        <v>2.1683333333333512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46081.624390740697</v>
      </c>
      <c r="B23" s="5" t="s">
        <v>81</v>
      </c>
      <c r="C23" s="11">
        <v>0.62438657407407405</v>
      </c>
      <c r="D23" s="11" t="s">
        <v>62</v>
      </c>
      <c r="E23" s="11">
        <v>0.75709490740740704</v>
      </c>
      <c r="F23" s="12">
        <f t="shared" si="1"/>
        <v>3.1849999999999916</v>
      </c>
      <c r="G23" s="13">
        <f t="shared" si="2"/>
        <v>3.1849999999999916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46081.833349074099</v>
      </c>
      <c r="B24" s="5" t="s">
        <v>78</v>
      </c>
      <c r="C24" s="11">
        <v>0.83334490740740697</v>
      </c>
      <c r="D24" s="11" t="s">
        <v>62</v>
      </c>
      <c r="E24" s="11">
        <v>0.96506944444444398</v>
      </c>
      <c r="F24" s="12">
        <f t="shared" si="1"/>
        <v>3.1613888888888884</v>
      </c>
      <c r="G24" s="13">
        <f t="shared" si="2"/>
        <v>3.1613888888888884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2"/>
  <sheetViews>
    <sheetView zoomScale="85" zoomScaleNormal="85" workbookViewId="0">
      <selection activeCell="D26" sqref="D26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46054.138942245401</v>
      </c>
      <c r="B3" s="5" t="s">
        <v>78</v>
      </c>
      <c r="C3" s="11">
        <v>0.138935185185185</v>
      </c>
      <c r="D3" s="11" t="s">
        <v>62</v>
      </c>
      <c r="E3" s="11">
        <v>0.239490740740741</v>
      </c>
      <c r="F3" s="12">
        <f t="shared" ref="F3:F42" si="1">(IF(E3-C3&lt;0,"24:00"-C3+E3,E3-C3))*24</f>
        <v>2.4133333333333442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2.4133333333333442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46054.239528356498</v>
      </c>
      <c r="B4" s="5" t="s">
        <v>82</v>
      </c>
      <c r="C4" s="11">
        <v>0.23952546296296301</v>
      </c>
      <c r="D4" s="11" t="s">
        <v>62</v>
      </c>
      <c r="E4" s="11">
        <v>0.30535879629629598</v>
      </c>
      <c r="F4" s="12">
        <f t="shared" si="1"/>
        <v>1.5799999999999912</v>
      </c>
      <c r="G4" s="13">
        <f t="shared" si="2"/>
        <v>0</v>
      </c>
      <c r="H4" s="13">
        <f t="shared" si="3"/>
        <v>1.5799999999999912</v>
      </c>
      <c r="I4" s="21" t="s">
        <v>64</v>
      </c>
      <c r="J4" s="22">
        <f>SUMIF(B:B,"西塔台管制席",F:F)+SUMIF(B:B,"东塔台管制席",F:F)</f>
        <v>23.648888888888958</v>
      </c>
      <c r="K4" s="23">
        <f>SUMIF(B:B,"西塔台管制席",G:G)+SUMIF(B:B,"东塔台管制席",G:G)</f>
        <v>16.099722222222269</v>
      </c>
      <c r="L4" s="23">
        <f>SUMIF(B:B,"西塔台管制席",H:H)+SUMIF(B:B,"东塔台管制席",H:H)</f>
        <v>7.5491666666666877</v>
      </c>
      <c r="M4" s="19"/>
    </row>
    <row r="5" spans="1:16" ht="18.75" x14ac:dyDescent="0.25">
      <c r="A5" s="10">
        <f t="shared" ca="1" si="0"/>
        <v>46056.5009607639</v>
      </c>
      <c r="B5" s="5" t="s">
        <v>78</v>
      </c>
      <c r="C5" s="11">
        <v>0.500960648148148</v>
      </c>
      <c r="D5" s="11" t="s">
        <v>62</v>
      </c>
      <c r="E5" s="11">
        <v>0.64918981481481497</v>
      </c>
      <c r="F5" s="12">
        <f t="shared" si="1"/>
        <v>3.5575000000000072</v>
      </c>
      <c r="G5" s="13">
        <f t="shared" si="2"/>
        <v>3.5575000000000072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22.786111111111151</v>
      </c>
      <c r="K5" s="23">
        <f>SUMIF(B:B,"西塔台协调席",G:G)+SUMIF(B:B,"东塔台协调席",G:G)</f>
        <v>13.387222222222274</v>
      </c>
      <c r="L5" s="23">
        <f>SUMIF(B:B,"西塔台协调席",H:H)+SUMIF(B:B,"东塔台协调席",H:H)</f>
        <v>9.3988888888888766</v>
      </c>
      <c r="M5" s="19"/>
    </row>
    <row r="6" spans="1:16" ht="18.75" x14ac:dyDescent="0.25">
      <c r="A6" s="10">
        <f t="shared" ca="1" si="0"/>
        <v>46056.7508079861</v>
      </c>
      <c r="B6" s="5" t="s">
        <v>81</v>
      </c>
      <c r="C6" s="11">
        <v>0.75079861111111101</v>
      </c>
      <c r="D6" s="11" t="s">
        <v>62</v>
      </c>
      <c r="E6" s="11">
        <v>0.87931712962963005</v>
      </c>
      <c r="F6" s="12">
        <f t="shared" si="1"/>
        <v>3.0844444444444568</v>
      </c>
      <c r="G6" s="13">
        <f t="shared" si="2"/>
        <v>3.0844444444444568</v>
      </c>
      <c r="H6" s="13">
        <f t="shared" si="3"/>
        <v>0</v>
      </c>
      <c r="I6" s="21" t="s">
        <v>66</v>
      </c>
      <c r="J6" s="22">
        <f>SUMIF(B:B,"放行席",F:F)</f>
        <v>2.0250000000000004</v>
      </c>
      <c r="K6" s="23">
        <f>SUMIF(B:B,"放行席",G:G)</f>
        <v>0</v>
      </c>
      <c r="L6" s="23">
        <f>SUMIF(B:B,"放行席",H:H)</f>
        <v>2.0250000000000004</v>
      </c>
      <c r="M6" s="19"/>
    </row>
    <row r="7" spans="1:16" ht="18.75" x14ac:dyDescent="0.25">
      <c r="A7" s="10">
        <f t="shared" ca="1" si="0"/>
        <v>46057.417753125002</v>
      </c>
      <c r="B7" s="5" t="s">
        <v>80</v>
      </c>
      <c r="C7" s="11">
        <v>0.41787037037037</v>
      </c>
      <c r="D7" s="11" t="s">
        <v>62</v>
      </c>
      <c r="E7" s="11">
        <v>0.50398148148148103</v>
      </c>
      <c r="F7" s="12">
        <f t="shared" si="1"/>
        <v>2.0666666666666647</v>
      </c>
      <c r="G7" s="13">
        <f t="shared" si="2"/>
        <v>2.0666666666666647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46057.6237644676</v>
      </c>
      <c r="B8" s="5" t="s">
        <v>82</v>
      </c>
      <c r="C8" s="11">
        <v>0.62376157407407395</v>
      </c>
      <c r="D8" s="11" t="s">
        <v>62</v>
      </c>
      <c r="E8" s="11">
        <v>0.68193287037036998</v>
      </c>
      <c r="F8" s="12">
        <f t="shared" si="1"/>
        <v>1.3961111111111046</v>
      </c>
      <c r="G8" s="13">
        <f t="shared" si="2"/>
        <v>1.3961111111111046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46057.696600000003</v>
      </c>
      <c r="B9" s="5" t="s">
        <v>82</v>
      </c>
      <c r="C9" s="11">
        <v>0.69659722222222198</v>
      </c>
      <c r="D9" s="11" t="s">
        <v>62</v>
      </c>
      <c r="E9" s="11">
        <v>0.75574074074074105</v>
      </c>
      <c r="F9" s="12">
        <f t="shared" si="1"/>
        <v>1.4194444444444576</v>
      </c>
      <c r="G9" s="13">
        <f t="shared" si="2"/>
        <v>1.4194444444444576</v>
      </c>
      <c r="H9" s="13">
        <f t="shared" si="3"/>
        <v>0</v>
      </c>
      <c r="I9" s="21" t="s">
        <v>69</v>
      </c>
      <c r="J9" s="22">
        <f>SUMIF(B:B,"航班调度席",F:F)</f>
        <v>4.4222222222222403</v>
      </c>
      <c r="K9" s="23">
        <f>SUMIF(B:B,"航班调度席",G:G)</f>
        <v>4.4222222222222403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46057.833328240697</v>
      </c>
      <c r="B10" s="5" t="s">
        <v>80</v>
      </c>
      <c r="C10" s="11">
        <v>0.833321759259259</v>
      </c>
      <c r="D10" s="11" t="s">
        <v>62</v>
      </c>
      <c r="E10" s="11">
        <v>0.96333333333333304</v>
      </c>
      <c r="F10" s="12">
        <f t="shared" si="1"/>
        <v>3.120277777777777</v>
      </c>
      <c r="G10" s="13">
        <f t="shared" si="2"/>
        <v>3.120277777777777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46058.299717592599</v>
      </c>
      <c r="B11" s="5" t="s">
        <v>81</v>
      </c>
      <c r="C11" s="11">
        <v>0.29971064814814802</v>
      </c>
      <c r="D11" s="11" t="s">
        <v>62</v>
      </c>
      <c r="E11" s="11">
        <v>0.362337962962963</v>
      </c>
      <c r="F11" s="12">
        <f t="shared" si="1"/>
        <v>1.5030555555555596</v>
      </c>
      <c r="G11" s="13">
        <f t="shared" si="2"/>
        <v>0.69611111111112045</v>
      </c>
      <c r="H11" s="13">
        <f t="shared" si="3"/>
        <v>0.80694444444443914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46060.9586569444</v>
      </c>
      <c r="B12" s="5" t="s">
        <v>81</v>
      </c>
      <c r="C12" s="11">
        <v>0.95865740740740701</v>
      </c>
      <c r="D12" s="11" t="s">
        <v>62</v>
      </c>
      <c r="E12" s="11">
        <v>0.12125</v>
      </c>
      <c r="F12" s="12">
        <f t="shared" si="1"/>
        <v>3.9022222222222318</v>
      </c>
      <c r="G12" s="13">
        <f t="shared" si="2"/>
        <v>0.99222222222223166</v>
      </c>
      <c r="H12" s="13">
        <f t="shared" si="3"/>
        <v>2.91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46061.459925463001</v>
      </c>
      <c r="B13" s="5" t="s">
        <v>84</v>
      </c>
      <c r="C13" s="11">
        <v>0.45991898148148103</v>
      </c>
      <c r="D13" s="11" t="s">
        <v>62</v>
      </c>
      <c r="E13" s="11">
        <v>0.55010416666666695</v>
      </c>
      <c r="F13" s="12">
        <f t="shared" si="1"/>
        <v>2.1644444444444622</v>
      </c>
      <c r="G13" s="13">
        <f t="shared" si="2"/>
        <v>2.1644444444444622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46061.648233333297</v>
      </c>
      <c r="B14" s="5" t="s">
        <v>84</v>
      </c>
      <c r="C14" s="11">
        <v>0.64822916666666697</v>
      </c>
      <c r="D14" s="11" t="s">
        <v>62</v>
      </c>
      <c r="E14" s="11">
        <v>0.74230324074074105</v>
      </c>
      <c r="F14" s="12">
        <f t="shared" si="1"/>
        <v>2.2577777777777781</v>
      </c>
      <c r="G14" s="13">
        <f t="shared" si="2"/>
        <v>2.2577777777777781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46065.139594212997</v>
      </c>
      <c r="B15" s="5" t="s">
        <v>78</v>
      </c>
      <c r="C15" s="11">
        <v>0.139583333333333</v>
      </c>
      <c r="D15" s="11" t="s">
        <v>62</v>
      </c>
      <c r="E15" s="11">
        <v>0.22664351851851899</v>
      </c>
      <c r="F15" s="12">
        <f t="shared" si="1"/>
        <v>2.0894444444444638</v>
      </c>
      <c r="G15" s="13">
        <f t="shared" si="2"/>
        <v>0</v>
      </c>
      <c r="H15" s="13">
        <f t="shared" si="3"/>
        <v>2.0894444444444638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46066.132229745403</v>
      </c>
      <c r="B16" s="5" t="s">
        <v>78</v>
      </c>
      <c r="C16" s="11">
        <v>0.13289351851851899</v>
      </c>
      <c r="D16" s="11" t="s">
        <v>62</v>
      </c>
      <c r="E16" s="11">
        <v>0.226180555555556</v>
      </c>
      <c r="F16" s="12">
        <f t="shared" si="1"/>
        <v>2.238888888888888</v>
      </c>
      <c r="G16" s="13">
        <f t="shared" si="2"/>
        <v>0</v>
      </c>
      <c r="H16" s="13">
        <f t="shared" si="3"/>
        <v>2.238888888888888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46066.295734722204</v>
      </c>
      <c r="B17" s="5" t="s">
        <v>82</v>
      </c>
      <c r="C17" s="11">
        <v>0.22628472222222201</v>
      </c>
      <c r="D17" s="11" t="s">
        <v>62</v>
      </c>
      <c r="E17" s="11">
        <v>0.30638888888888899</v>
      </c>
      <c r="F17" s="12">
        <f t="shared" si="1"/>
        <v>1.9225000000000074</v>
      </c>
      <c r="G17" s="13">
        <f t="shared" si="2"/>
        <v>0</v>
      </c>
      <c r="H17" s="13">
        <f t="shared" si="3"/>
        <v>1.9225000000000074</v>
      </c>
      <c r="I17" s="35" t="s">
        <v>75</v>
      </c>
      <c r="J17" s="36">
        <f>J4+J5+J6+J7+J10</f>
        <v>48.460000000000107</v>
      </c>
      <c r="K17" s="37">
        <f>K4+K5+K6+K7+K10</f>
        <v>29.486944444444543</v>
      </c>
      <c r="L17" s="38">
        <f>L4+L5+L6+L7+L10</f>
        <v>18.973055555555561</v>
      </c>
      <c r="M17" s="39"/>
    </row>
    <row r="18" spans="1:13" ht="20.25" x14ac:dyDescent="0.25">
      <c r="A18" s="10">
        <f t="shared" ca="1" si="0"/>
        <v>46078.136314004601</v>
      </c>
      <c r="B18" s="5" t="s">
        <v>79</v>
      </c>
      <c r="C18" s="11">
        <v>0.130752314814815</v>
      </c>
      <c r="D18" s="11" t="s">
        <v>62</v>
      </c>
      <c r="E18" s="11">
        <v>0.21512731481481501</v>
      </c>
      <c r="F18" s="12">
        <f t="shared" si="1"/>
        <v>2.0250000000000004</v>
      </c>
      <c r="G18" s="13">
        <f t="shared" si="2"/>
        <v>0</v>
      </c>
      <c r="H18" s="13">
        <f t="shared" si="3"/>
        <v>2.0250000000000004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46078.2152458333</v>
      </c>
      <c r="B19" s="5" t="s">
        <v>81</v>
      </c>
      <c r="C19" s="11">
        <v>0.21524305555555601</v>
      </c>
      <c r="D19" s="11" t="s">
        <v>62</v>
      </c>
      <c r="E19" s="11">
        <v>0.30605324074074097</v>
      </c>
      <c r="F19" s="12">
        <f t="shared" si="1"/>
        <v>2.1794444444444392</v>
      </c>
      <c r="G19" s="13">
        <f t="shared" si="2"/>
        <v>0</v>
      </c>
      <c r="H19" s="13">
        <f t="shared" si="3"/>
        <v>2.1794444444444392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46080.352682523102</v>
      </c>
      <c r="B20" s="5" t="s">
        <v>82</v>
      </c>
      <c r="C20" s="11">
        <v>0.35318287037036999</v>
      </c>
      <c r="D20" s="11" t="s">
        <v>62</v>
      </c>
      <c r="E20" s="11">
        <v>0.49553240740740701</v>
      </c>
      <c r="F20" s="12">
        <f t="shared" si="1"/>
        <v>3.4163888888888883</v>
      </c>
      <c r="G20" s="13">
        <f t="shared" si="2"/>
        <v>3.4163888888888883</v>
      </c>
      <c r="H20" s="13">
        <f t="shared" si="3"/>
        <v>0</v>
      </c>
      <c r="I20" s="40" t="s">
        <v>77</v>
      </c>
      <c r="J20" s="65">
        <f>J16+J17+J18+J19</f>
        <v>48.460000000000107</v>
      </c>
      <c r="K20" s="66"/>
      <c r="L20" s="67"/>
      <c r="M20" s="41"/>
    </row>
    <row r="21" spans="1:13" ht="20.25" x14ac:dyDescent="0.25">
      <c r="A21" s="10">
        <f t="shared" ca="1" si="0"/>
        <v>46080.495569560197</v>
      </c>
      <c r="B21" s="5" t="s">
        <v>81</v>
      </c>
      <c r="C21" s="11">
        <v>0.49556712962963001</v>
      </c>
      <c r="D21" s="11" t="s">
        <v>62</v>
      </c>
      <c r="E21" s="11">
        <v>0.505925925925926</v>
      </c>
      <c r="F21" s="12">
        <f t="shared" si="1"/>
        <v>0.24861111111110379</v>
      </c>
      <c r="G21" s="13">
        <f t="shared" si="2"/>
        <v>0.24861111111110379</v>
      </c>
      <c r="H21" s="13">
        <f t="shared" si="3"/>
        <v>0</v>
      </c>
      <c r="I21" s="42" t="s">
        <v>4</v>
      </c>
      <c r="J21" s="43">
        <f>SUM(J8:J9)</f>
        <v>4.4222222222222403</v>
      </c>
      <c r="K21" s="37">
        <f>SUM(K8:K9)</f>
        <v>4.4222222222222403</v>
      </c>
      <c r="L21" s="38">
        <f>SUM(L8:L9)</f>
        <v>0</v>
      </c>
      <c r="M21" s="44"/>
    </row>
    <row r="22" spans="1:13" ht="18.75" x14ac:dyDescent="0.15">
      <c r="A22" s="10">
        <f t="shared" ca="1" si="0"/>
        <v>46080.645704861097</v>
      </c>
      <c r="B22" s="5" t="s">
        <v>78</v>
      </c>
      <c r="C22" s="11">
        <v>0.64569444444444402</v>
      </c>
      <c r="D22" s="11" t="s">
        <v>62</v>
      </c>
      <c r="E22" s="11">
        <v>0.75824074074074099</v>
      </c>
      <c r="F22" s="12">
        <f t="shared" si="1"/>
        <v>2.7011111111111274</v>
      </c>
      <c r="G22" s="13">
        <f t="shared" si="2"/>
        <v>2.7011111111111274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46080.875253009297</v>
      </c>
      <c r="B23" s="5" t="s">
        <v>81</v>
      </c>
      <c r="C23" s="11">
        <v>0.87524305555555504</v>
      </c>
      <c r="D23" s="11" t="s">
        <v>62</v>
      </c>
      <c r="E23" s="11">
        <v>0.96415509259259302</v>
      </c>
      <c r="F23" s="12">
        <f t="shared" si="1"/>
        <v>2.1338888888889116</v>
      </c>
      <c r="G23" s="13">
        <f t="shared" si="2"/>
        <v>2.1338888888889116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46081.2996907407</v>
      </c>
      <c r="B24" s="5" t="s">
        <v>78</v>
      </c>
      <c r="C24" s="11">
        <v>0.2996875</v>
      </c>
      <c r="D24" s="11" t="s">
        <v>62</v>
      </c>
      <c r="E24" s="11">
        <v>0.434456018518519</v>
      </c>
      <c r="F24" s="12">
        <f t="shared" si="1"/>
        <v>3.2344444444444562</v>
      </c>
      <c r="G24" s="13">
        <f t="shared" si="2"/>
        <v>2.4269444444444646</v>
      </c>
      <c r="H24" s="13">
        <f t="shared" si="3"/>
        <v>0.80749999999999167</v>
      </c>
      <c r="I24"/>
      <c r="J24"/>
    </row>
    <row r="25" spans="1:13" ht="18.75" x14ac:dyDescent="0.15">
      <c r="A25" s="10">
        <f t="shared" ca="1" si="0"/>
        <v>46081.516477546298</v>
      </c>
      <c r="B25" s="5" t="s">
        <v>78</v>
      </c>
      <c r="C25" s="11">
        <v>0.51646990740740695</v>
      </c>
      <c r="D25" s="11" t="s">
        <v>62</v>
      </c>
      <c r="E25" s="11">
        <v>0.52679398148148104</v>
      </c>
      <c r="F25" s="12">
        <f t="shared" si="1"/>
        <v>0.24777777777777832</v>
      </c>
      <c r="G25" s="13">
        <f t="shared" si="2"/>
        <v>0.24777777777777832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46081.547804050897</v>
      </c>
      <c r="B26" s="5" t="s">
        <v>78</v>
      </c>
      <c r="C26" s="11">
        <v>0.547800925925926</v>
      </c>
      <c r="D26" s="11" t="s">
        <v>62</v>
      </c>
      <c r="E26" s="11">
        <v>0.63027777777777805</v>
      </c>
      <c r="F26" s="12">
        <f t="shared" si="1"/>
        <v>1.9794444444444492</v>
      </c>
      <c r="G26" s="13">
        <f t="shared" si="2"/>
        <v>1.9794444444444492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46057.138655208299</v>
      </c>
      <c r="B3" s="5" t="s">
        <v>83</v>
      </c>
      <c r="C3" s="11">
        <v>0.138645833333333</v>
      </c>
      <c r="D3" s="11" t="s">
        <v>62</v>
      </c>
      <c r="E3" s="11">
        <v>0.236145833333333</v>
      </c>
      <c r="F3" s="12">
        <f t="shared" ref="F3:F42" si="1">(IF(E3-C3&lt;0,"24:00"-C3+E3,E3-C3))*24</f>
        <v>2.34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2.34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46058.138802314803</v>
      </c>
      <c r="B4" s="5" t="s">
        <v>80</v>
      </c>
      <c r="C4" s="11">
        <v>0.138796296296296</v>
      </c>
      <c r="D4" s="11" t="s">
        <v>62</v>
      </c>
      <c r="E4" s="11">
        <v>0.23255787037037001</v>
      </c>
      <c r="F4" s="12">
        <f t="shared" si="1"/>
        <v>2.250277777777776</v>
      </c>
      <c r="G4" s="13">
        <f t="shared" si="2"/>
        <v>0</v>
      </c>
      <c r="H4" s="13">
        <f t="shared" si="3"/>
        <v>2.250277777777776</v>
      </c>
      <c r="I4" s="21" t="s">
        <v>64</v>
      </c>
      <c r="J4" s="22">
        <f>SUMIF(B:B,"西塔台管制席",F:F)+SUMIF(B:B,"东塔台管制席",F:F)</f>
        <v>40.0138888888889</v>
      </c>
      <c r="K4" s="23">
        <f>SUMIF(B:B,"西塔台管制席",G:G)+SUMIF(B:B,"东塔台管制席",G:G)</f>
        <v>19.966944444444458</v>
      </c>
      <c r="L4" s="23">
        <f>SUMIF(B:B,"西塔台管制席",H:H)+SUMIF(B:B,"东塔台管制席",H:H)</f>
        <v>20.046944444444446</v>
      </c>
      <c r="M4" s="19"/>
    </row>
    <row r="5" spans="1:16" ht="18.75" x14ac:dyDescent="0.25">
      <c r="A5" s="10">
        <f t="shared" ca="1" si="0"/>
        <v>46058.232602314798</v>
      </c>
      <c r="B5" s="5" t="s">
        <v>81</v>
      </c>
      <c r="C5" s="11">
        <v>0.23259259259259299</v>
      </c>
      <c r="D5" s="11" t="s">
        <v>62</v>
      </c>
      <c r="E5" s="11">
        <v>0.30444444444444402</v>
      </c>
      <c r="F5" s="12">
        <f t="shared" si="1"/>
        <v>1.7244444444444247</v>
      </c>
      <c r="G5" s="13">
        <f t="shared" si="2"/>
        <v>0</v>
      </c>
      <c r="H5" s="13">
        <f t="shared" si="3"/>
        <v>1.7244444444444247</v>
      </c>
      <c r="I5" s="21" t="s">
        <v>65</v>
      </c>
      <c r="J5" s="22">
        <f>SUMIF(B:B,"西塔台协调席",F:F)+SUMIF(B:B,"东塔台协调席",F:F)</f>
        <v>23.432499999999969</v>
      </c>
      <c r="K5" s="23">
        <f>SUMIF(B:B,"西塔台协调席",G:G)+SUMIF(B:B,"东塔台协调席",G:G)</f>
        <v>19.081388888888913</v>
      </c>
      <c r="L5" s="23">
        <f>SUMIF(B:B,"西塔台协调席",H:H)+SUMIF(B:B,"东塔台协调席",H:H)</f>
        <v>4.3511111111110559</v>
      </c>
      <c r="M5" s="19"/>
    </row>
    <row r="6" spans="1:16" ht="18.75" x14ac:dyDescent="0.25">
      <c r="A6" s="10">
        <f t="shared" ca="1" si="0"/>
        <v>46060.499539004602</v>
      </c>
      <c r="B6" s="5" t="s">
        <v>78</v>
      </c>
      <c r="C6" s="11">
        <v>0.499537037037037</v>
      </c>
      <c r="D6" s="11" t="s">
        <v>62</v>
      </c>
      <c r="E6" s="11">
        <v>0.63483796296296302</v>
      </c>
      <c r="F6" s="12">
        <f t="shared" si="1"/>
        <v>3.2472222222222245</v>
      </c>
      <c r="G6" s="13">
        <f t="shared" si="2"/>
        <v>3.2472222222222245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46060.750862152803</v>
      </c>
      <c r="B7" s="5" t="s">
        <v>81</v>
      </c>
      <c r="C7" s="11">
        <v>0.75085648148148199</v>
      </c>
      <c r="D7" s="11" t="s">
        <v>62</v>
      </c>
      <c r="E7" s="11">
        <v>0.88037037037037003</v>
      </c>
      <c r="F7" s="12">
        <f t="shared" si="1"/>
        <v>3.108333333333313</v>
      </c>
      <c r="G7" s="13">
        <f t="shared" si="2"/>
        <v>3.108333333333313</v>
      </c>
      <c r="H7" s="13">
        <f t="shared" si="3"/>
        <v>0</v>
      </c>
      <c r="I7" s="21" t="s">
        <v>67</v>
      </c>
      <c r="J7" s="22">
        <f>SUMIF(B:B,"地面席",F:F)</f>
        <v>2.34</v>
      </c>
      <c r="K7" s="23">
        <f>SUMIF(B:B,"地面席",G:G)</f>
        <v>0</v>
      </c>
      <c r="L7" s="23">
        <f>SUMIF(B:B,"地面席",H:H)</f>
        <v>2.34</v>
      </c>
      <c r="M7" s="19"/>
    </row>
    <row r="8" spans="1:16" ht="18.75" x14ac:dyDescent="0.25">
      <c r="A8" s="10">
        <f t="shared" ca="1" si="0"/>
        <v>46061.4170697917</v>
      </c>
      <c r="B8" s="5" t="s">
        <v>80</v>
      </c>
      <c r="C8" s="11">
        <v>0.41706018518518501</v>
      </c>
      <c r="D8" s="11" t="s">
        <v>62</v>
      </c>
      <c r="E8" s="11">
        <v>0.50435185185185205</v>
      </c>
      <c r="F8" s="12">
        <f t="shared" si="1"/>
        <v>2.0950000000000091</v>
      </c>
      <c r="G8" s="13">
        <f t="shared" si="2"/>
        <v>2.0950000000000091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46061.625228935198</v>
      </c>
      <c r="B9" s="5" t="s">
        <v>82</v>
      </c>
      <c r="C9" s="11">
        <v>0.62521990740740696</v>
      </c>
      <c r="D9" s="11" t="s">
        <v>62</v>
      </c>
      <c r="E9" s="11">
        <v>0.75453703703703701</v>
      </c>
      <c r="F9" s="12">
        <f t="shared" si="1"/>
        <v>3.1036111111111211</v>
      </c>
      <c r="G9" s="13">
        <f t="shared" si="2"/>
        <v>3.1036111111111211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46061.833271990698</v>
      </c>
      <c r="B10" s="5" t="s">
        <v>80</v>
      </c>
      <c r="C10" s="11">
        <v>0.83326388888888903</v>
      </c>
      <c r="D10" s="11" t="s">
        <v>62</v>
      </c>
      <c r="E10" s="11">
        <v>0.96350694444444496</v>
      </c>
      <c r="F10" s="12">
        <f t="shared" si="1"/>
        <v>3.1258333333333423</v>
      </c>
      <c r="G10" s="13">
        <f t="shared" si="2"/>
        <v>3.1258333333333423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46062.299191666702</v>
      </c>
      <c r="B11" s="5" t="s">
        <v>82</v>
      </c>
      <c r="C11" s="11">
        <v>0.29918981481481499</v>
      </c>
      <c r="D11" s="11" t="s">
        <v>62</v>
      </c>
      <c r="E11" s="11">
        <v>0.36278935185185202</v>
      </c>
      <c r="F11" s="12">
        <f t="shared" si="1"/>
        <v>1.5263888888888886</v>
      </c>
      <c r="G11" s="13">
        <f t="shared" si="2"/>
        <v>0.70694444444445681</v>
      </c>
      <c r="H11" s="13">
        <f t="shared" si="3"/>
        <v>0.81944444444443176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46063.292446180603</v>
      </c>
      <c r="B12" s="5" t="s">
        <v>82</v>
      </c>
      <c r="C12" s="11">
        <v>0.29244212962963001</v>
      </c>
      <c r="D12" s="11" t="s">
        <v>62</v>
      </c>
      <c r="E12" s="11">
        <v>0.42313657407407401</v>
      </c>
      <c r="F12" s="12">
        <f t="shared" si="1"/>
        <v>3.1366666666666561</v>
      </c>
      <c r="G12" s="13">
        <f t="shared" si="2"/>
        <v>2.1552777777777847</v>
      </c>
      <c r="H12" s="13">
        <f t="shared" si="3"/>
        <v>0.98138888888887132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46063.521203472199</v>
      </c>
      <c r="B13" s="5" t="s">
        <v>80</v>
      </c>
      <c r="C13" s="11">
        <v>0.52120370370370395</v>
      </c>
      <c r="D13" s="11" t="s">
        <v>62</v>
      </c>
      <c r="E13" s="11">
        <v>0.65371527777777805</v>
      </c>
      <c r="F13" s="12">
        <f t="shared" si="1"/>
        <v>3.1802777777777784</v>
      </c>
      <c r="G13" s="13">
        <f t="shared" si="2"/>
        <v>3.1802777777777784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46065.014464814798</v>
      </c>
      <c r="B14" s="5" t="s">
        <v>78</v>
      </c>
      <c r="C14" s="11">
        <v>1.44560185185185E-2</v>
      </c>
      <c r="D14" s="11" t="s">
        <v>62</v>
      </c>
      <c r="E14" s="11">
        <v>0.14546296296296299</v>
      </c>
      <c r="F14" s="12">
        <f t="shared" si="1"/>
        <v>3.1441666666666679</v>
      </c>
      <c r="G14" s="13">
        <f t="shared" si="2"/>
        <v>0</v>
      </c>
      <c r="H14" s="13">
        <f t="shared" si="3"/>
        <v>3.1441666666666679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46065.750381597201</v>
      </c>
      <c r="B15" s="5" t="s">
        <v>82</v>
      </c>
      <c r="C15" s="11">
        <v>0.75038194444444395</v>
      </c>
      <c r="D15" s="11" t="s">
        <v>62</v>
      </c>
      <c r="E15" s="11">
        <v>0.83914351851851798</v>
      </c>
      <c r="F15" s="12">
        <f t="shared" si="1"/>
        <v>2.1302777777777768</v>
      </c>
      <c r="G15" s="13">
        <f t="shared" si="2"/>
        <v>2.1302777777777768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46066.138667129599</v>
      </c>
      <c r="B16" s="5" t="s">
        <v>80</v>
      </c>
      <c r="C16" s="11">
        <v>0.13865740740740701</v>
      </c>
      <c r="D16" s="11" t="s">
        <v>62</v>
      </c>
      <c r="E16" s="11">
        <v>0.30642361111111099</v>
      </c>
      <c r="F16" s="12">
        <f t="shared" si="1"/>
        <v>4.0263888888888957</v>
      </c>
      <c r="G16" s="13">
        <f t="shared" si="2"/>
        <v>0</v>
      </c>
      <c r="H16" s="13">
        <f t="shared" si="3"/>
        <v>4.0263888888888957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46068.014308796301</v>
      </c>
      <c r="B17" s="5" t="s">
        <v>78</v>
      </c>
      <c r="C17" s="11">
        <v>1.4305555555555601E-2</v>
      </c>
      <c r="D17" s="11" t="s">
        <v>62</v>
      </c>
      <c r="E17" s="11">
        <v>0.14465277777777799</v>
      </c>
      <c r="F17" s="12">
        <f t="shared" si="1"/>
        <v>3.1283333333333374</v>
      </c>
      <c r="G17" s="13">
        <f t="shared" si="2"/>
        <v>0</v>
      </c>
      <c r="H17" s="13">
        <f t="shared" si="3"/>
        <v>3.1283333333333374</v>
      </c>
      <c r="I17" s="35" t="s">
        <v>75</v>
      </c>
      <c r="J17" s="36">
        <f>J4+J5+J6+J7+J10</f>
        <v>65.786388888888865</v>
      </c>
      <c r="K17" s="37">
        <f>K4+K5+K6+K7+K10</f>
        <v>39.048333333333375</v>
      </c>
      <c r="L17" s="38">
        <f>L4+L5+L6+L7+L10</f>
        <v>26.738055555555501</v>
      </c>
      <c r="M17" s="39"/>
    </row>
    <row r="18" spans="1:13" ht="20.25" x14ac:dyDescent="0.25">
      <c r="A18" s="10">
        <f t="shared" ca="1" si="0"/>
        <v>46069.139680208304</v>
      </c>
      <c r="B18" s="5" t="s">
        <v>80</v>
      </c>
      <c r="C18" s="11">
        <v>0.139756944444444</v>
      </c>
      <c r="D18" s="11" t="s">
        <v>62</v>
      </c>
      <c r="E18" s="11">
        <v>0.30298611111111101</v>
      </c>
      <c r="F18" s="12">
        <f t="shared" si="1"/>
        <v>3.9175000000000084</v>
      </c>
      <c r="G18" s="13">
        <f t="shared" si="2"/>
        <v>0</v>
      </c>
      <c r="H18" s="13">
        <f t="shared" si="3"/>
        <v>3.9175000000000084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46069.751188310198</v>
      </c>
      <c r="B19" s="5" t="s">
        <v>82</v>
      </c>
      <c r="C19" s="11">
        <v>0.75118055555555596</v>
      </c>
      <c r="D19" s="11" t="s">
        <v>62</v>
      </c>
      <c r="E19" s="11">
        <v>0.77494212962963005</v>
      </c>
      <c r="F19" s="12">
        <f t="shared" si="1"/>
        <v>0.57027777777777811</v>
      </c>
      <c r="G19" s="13">
        <f t="shared" si="2"/>
        <v>0.57027777777777811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46069.802306481499</v>
      </c>
      <c r="B20" s="5" t="s">
        <v>82</v>
      </c>
      <c r="C20" s="11">
        <v>0.802303240740741</v>
      </c>
      <c r="D20" s="11" t="s">
        <v>62</v>
      </c>
      <c r="E20" s="11">
        <v>0.82736111111111099</v>
      </c>
      <c r="F20" s="12">
        <f t="shared" si="1"/>
        <v>0.60138888888887987</v>
      </c>
      <c r="G20" s="13">
        <f t="shared" si="2"/>
        <v>0.60138888888887987</v>
      </c>
      <c r="H20" s="13">
        <f t="shared" si="3"/>
        <v>0</v>
      </c>
      <c r="I20" s="40" t="s">
        <v>77</v>
      </c>
      <c r="J20" s="65">
        <f>J16+J17+J18+J19</f>
        <v>65.786388888888865</v>
      </c>
      <c r="K20" s="66"/>
      <c r="L20" s="67"/>
      <c r="M20" s="41"/>
    </row>
    <row r="21" spans="1:13" ht="20.25" x14ac:dyDescent="0.25">
      <c r="A21" s="10">
        <f t="shared" ca="1" si="0"/>
        <v>46069.827390856502</v>
      </c>
      <c r="B21" s="5" t="s">
        <v>80</v>
      </c>
      <c r="C21" s="11">
        <v>0.82738425925925896</v>
      </c>
      <c r="D21" s="11" t="s">
        <v>62</v>
      </c>
      <c r="E21" s="11">
        <v>0.83718749999999997</v>
      </c>
      <c r="F21" s="12">
        <f t="shared" si="1"/>
        <v>0.23527777777778436</v>
      </c>
      <c r="G21" s="13">
        <f t="shared" si="2"/>
        <v>0.23527777777778436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46070.1393783565</v>
      </c>
      <c r="B22" s="5" t="s">
        <v>80</v>
      </c>
      <c r="C22" s="11">
        <v>0.139375</v>
      </c>
      <c r="D22" s="11" t="s">
        <v>62</v>
      </c>
      <c r="E22" s="11">
        <v>0.24608796296296301</v>
      </c>
      <c r="F22" s="12">
        <f t="shared" si="1"/>
        <v>2.5611111111111122</v>
      </c>
      <c r="G22" s="13">
        <f t="shared" si="2"/>
        <v>0</v>
      </c>
      <c r="H22" s="13">
        <f t="shared" si="3"/>
        <v>2.5611111111111122</v>
      </c>
      <c r="I22"/>
      <c r="J22"/>
    </row>
    <row r="23" spans="1:13" ht="18.75" x14ac:dyDescent="0.15">
      <c r="A23" s="10">
        <f t="shared" ca="1" si="0"/>
        <v>46070.290871874997</v>
      </c>
      <c r="B23" s="5" t="s">
        <v>80</v>
      </c>
      <c r="C23" s="11">
        <v>0.290868055555556</v>
      </c>
      <c r="D23" s="11" t="s">
        <v>62</v>
      </c>
      <c r="E23" s="11">
        <v>0.363993055555556</v>
      </c>
      <c r="F23" s="12">
        <f t="shared" si="1"/>
        <v>1.7549999999999999</v>
      </c>
      <c r="G23" s="13">
        <f t="shared" si="2"/>
        <v>0.73583333333335244</v>
      </c>
      <c r="H23" s="13">
        <f t="shared" si="3"/>
        <v>1.0191666666666475</v>
      </c>
      <c r="I23"/>
      <c r="J23"/>
    </row>
    <row r="24" spans="1:13" ht="18.75" x14ac:dyDescent="0.15">
      <c r="A24" s="10">
        <f t="shared" ca="1" si="0"/>
        <v>46072.354515509302</v>
      </c>
      <c r="B24" s="5" t="s">
        <v>80</v>
      </c>
      <c r="C24" s="11">
        <v>0.35451388888888902</v>
      </c>
      <c r="D24" s="11" t="s">
        <v>62</v>
      </c>
      <c r="E24" s="11">
        <v>0.50722222222222202</v>
      </c>
      <c r="F24" s="12">
        <f t="shared" si="1"/>
        <v>3.664999999999992</v>
      </c>
      <c r="G24" s="13">
        <f t="shared" si="2"/>
        <v>3.664999999999992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46072.624503703701</v>
      </c>
      <c r="B25" s="5" t="s">
        <v>82</v>
      </c>
      <c r="C25" s="11">
        <v>0.624502314814815</v>
      </c>
      <c r="D25" s="11" t="s">
        <v>62</v>
      </c>
      <c r="E25" s="11">
        <v>0.75291666666666701</v>
      </c>
      <c r="F25" s="12">
        <f t="shared" si="1"/>
        <v>3.0819444444444484</v>
      </c>
      <c r="G25" s="13">
        <f t="shared" si="2"/>
        <v>3.0819444444444484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46072.875237384302</v>
      </c>
      <c r="B26" s="5" t="s">
        <v>80</v>
      </c>
      <c r="C26" s="11">
        <v>0.875231481481482</v>
      </c>
      <c r="D26" s="11" t="s">
        <v>62</v>
      </c>
      <c r="E26" s="11">
        <v>0.96408564814814801</v>
      </c>
      <c r="F26" s="12">
        <f t="shared" si="1"/>
        <v>2.1324999999999843</v>
      </c>
      <c r="G26" s="13">
        <f t="shared" si="2"/>
        <v>2.1324999999999843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46073.298926157397</v>
      </c>
      <c r="B27" s="5" t="s">
        <v>82</v>
      </c>
      <c r="C27" s="11">
        <v>0.29892361111111099</v>
      </c>
      <c r="D27" s="11" t="s">
        <v>62</v>
      </c>
      <c r="E27" s="11">
        <v>0.48430555555555599</v>
      </c>
      <c r="F27" s="12">
        <f t="shared" si="1"/>
        <v>4.44916666666668</v>
      </c>
      <c r="G27" s="13">
        <f t="shared" si="2"/>
        <v>3.6233333333333522</v>
      </c>
      <c r="H27" s="13">
        <f t="shared" si="3"/>
        <v>0.82583333333332787</v>
      </c>
      <c r="I27"/>
      <c r="J27"/>
    </row>
    <row r="28" spans="1:13" ht="18.75" x14ac:dyDescent="0.15">
      <c r="A28" s="10">
        <f t="shared" ca="1" si="0"/>
        <v>46073.5419974537</v>
      </c>
      <c r="B28" s="5" t="s">
        <v>80</v>
      </c>
      <c r="C28" s="11">
        <v>0.54199074074074105</v>
      </c>
      <c r="D28" s="11" t="s">
        <v>62</v>
      </c>
      <c r="E28" s="11">
        <v>0.60657407407407404</v>
      </c>
      <c r="F28" s="12">
        <f t="shared" si="1"/>
        <v>1.5499999999999918</v>
      </c>
      <c r="G28" s="13">
        <f t="shared" si="2"/>
        <v>1.5499999999999918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42"/>
  <sheetViews>
    <sheetView zoomScale="85" zoomScaleNormal="85" workbookViewId="0">
      <selection activeCell="D27" sqref="D27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46054.894591898097</v>
      </c>
      <c r="B3" s="5" t="s">
        <v>82</v>
      </c>
      <c r="C3" s="11">
        <v>0.89458333333333295</v>
      </c>
      <c r="D3" s="11" t="s">
        <v>62</v>
      </c>
      <c r="E3" s="11">
        <v>0.95922453703703703</v>
      </c>
      <c r="F3" s="12">
        <f t="shared" ref="F3:F42" si="1">(IF(E3-C3&lt;0,"24:00"-C3+E3,E3-C3))*24</f>
        <v>1.5513888888888978</v>
      </c>
      <c r="G3" s="13">
        <f t="shared" ref="G3:G42" si="2">F3-H3</f>
        <v>1.5513888888888978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46055.293469328702</v>
      </c>
      <c r="B4" s="5" t="s">
        <v>82</v>
      </c>
      <c r="C4" s="11">
        <v>0.29346064814814798</v>
      </c>
      <c r="D4" s="11" t="s">
        <v>62</v>
      </c>
      <c r="E4" s="11">
        <v>0.42601851851851902</v>
      </c>
      <c r="F4" s="12">
        <f t="shared" si="1"/>
        <v>3.1813888888889048</v>
      </c>
      <c r="G4" s="13">
        <f t="shared" si="2"/>
        <v>2.2244444444444649</v>
      </c>
      <c r="H4" s="13">
        <f t="shared" si="3"/>
        <v>0.95694444444443993</v>
      </c>
      <c r="I4" s="21" t="s">
        <v>64</v>
      </c>
      <c r="J4" s="22">
        <f>SUMIF(B:B,"西塔台管制席",F:F)+SUMIF(B:B,"东塔台管制席",F:F)</f>
        <v>18.514999999999997</v>
      </c>
      <c r="K4" s="23">
        <f>SUMIF(B:B,"西塔台管制席",G:G)+SUMIF(B:B,"东塔台管制席",G:G)</f>
        <v>13.886666666666665</v>
      </c>
      <c r="L4" s="23">
        <f>SUMIF(B:B,"西塔台管制席",H:H)+SUMIF(B:B,"东塔台管制席",H:H)</f>
        <v>4.6283333333333285</v>
      </c>
      <c r="M4" s="19"/>
    </row>
    <row r="5" spans="1:16" ht="18.75" x14ac:dyDescent="0.25">
      <c r="A5" s="10">
        <f t="shared" ca="1" si="0"/>
        <v>46055.535167939801</v>
      </c>
      <c r="B5" s="5" t="s">
        <v>82</v>
      </c>
      <c r="C5" s="11">
        <v>0.53516203703703702</v>
      </c>
      <c r="D5" s="11" t="s">
        <v>62</v>
      </c>
      <c r="E5" s="11">
        <v>0.672800925925926</v>
      </c>
      <c r="F5" s="12">
        <f t="shared" si="1"/>
        <v>3.3033333333333355</v>
      </c>
      <c r="G5" s="13">
        <f t="shared" si="2"/>
        <v>3.3033333333333355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47.286111111111147</v>
      </c>
      <c r="K5" s="23">
        <f>SUMIF(B:B,"西塔台协调席",G:G)+SUMIF(B:B,"东塔台协调席",G:G)</f>
        <v>29.873888888888953</v>
      </c>
      <c r="L5" s="23">
        <f>SUMIF(B:B,"西塔台协调席",H:H)+SUMIF(B:B,"东塔台协调席",H:H)</f>
        <v>17.412222222222191</v>
      </c>
      <c r="M5" s="19"/>
    </row>
    <row r="6" spans="1:16" ht="18.75" x14ac:dyDescent="0.25">
      <c r="A6" s="10">
        <f t="shared" ca="1" si="0"/>
        <v>46055.875219791698</v>
      </c>
      <c r="B6" s="5" t="s">
        <v>82</v>
      </c>
      <c r="C6" s="11">
        <v>0.87521990740740696</v>
      </c>
      <c r="D6" s="11" t="s">
        <v>62</v>
      </c>
      <c r="E6" s="11">
        <v>0.95730324074074102</v>
      </c>
      <c r="F6" s="12">
        <f t="shared" si="1"/>
        <v>1.9700000000000175</v>
      </c>
      <c r="G6" s="13">
        <f t="shared" si="2"/>
        <v>1.9700000000000175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46056.292700694401</v>
      </c>
      <c r="B7" s="5" t="s">
        <v>80</v>
      </c>
      <c r="C7" s="11">
        <v>0.29269675925925898</v>
      </c>
      <c r="D7" s="11" t="s">
        <v>62</v>
      </c>
      <c r="E7" s="11">
        <v>0.36800925925925898</v>
      </c>
      <c r="F7" s="12">
        <f t="shared" si="1"/>
        <v>1.8075000000000001</v>
      </c>
      <c r="G7" s="13">
        <f t="shared" si="2"/>
        <v>0.83222222222222397</v>
      </c>
      <c r="H7" s="13">
        <f t="shared" si="3"/>
        <v>0.97527777777777613</v>
      </c>
      <c r="I7" s="21" t="s">
        <v>67</v>
      </c>
      <c r="J7" s="22">
        <f>SUMIF(B:B,"地面席",F:F)</f>
        <v>4.2849999999999833</v>
      </c>
      <c r="K7" s="23">
        <f>SUMIF(B:B,"地面席",G:G)</f>
        <v>0</v>
      </c>
      <c r="L7" s="23">
        <f>SUMIF(B:B,"地面席",H:H)</f>
        <v>4.2849999999999833</v>
      </c>
      <c r="M7" s="19"/>
    </row>
    <row r="8" spans="1:16" ht="18.75" x14ac:dyDescent="0.25">
      <c r="A8" s="10">
        <f t="shared" ca="1" si="0"/>
        <v>46058.951585532399</v>
      </c>
      <c r="B8" s="5" t="s">
        <v>82</v>
      </c>
      <c r="C8" s="11">
        <v>0.95158564814814794</v>
      </c>
      <c r="D8" s="11" t="s">
        <v>62</v>
      </c>
      <c r="E8" s="11">
        <v>0.154074074074074</v>
      </c>
      <c r="F8" s="12">
        <f t="shared" si="1"/>
        <v>4.8597222222222252</v>
      </c>
      <c r="G8" s="13">
        <f t="shared" si="2"/>
        <v>1.1619444444444493</v>
      </c>
      <c r="H8" s="13">
        <f t="shared" si="3"/>
        <v>3.6977777777777758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46060.134470949102</v>
      </c>
      <c r="B9" s="5" t="s">
        <v>83</v>
      </c>
      <c r="C9" s="11">
        <v>0.134467592592593</v>
      </c>
      <c r="D9" s="11" t="s">
        <v>62</v>
      </c>
      <c r="E9" s="11">
        <v>0.22339120370370399</v>
      </c>
      <c r="F9" s="12">
        <f t="shared" si="1"/>
        <v>2.1341666666666637</v>
      </c>
      <c r="G9" s="13">
        <f t="shared" si="2"/>
        <v>0</v>
      </c>
      <c r="H9" s="13">
        <f t="shared" si="3"/>
        <v>2.1341666666666637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46063.138574999997</v>
      </c>
      <c r="B10" s="5" t="s">
        <v>83</v>
      </c>
      <c r="C10" s="11">
        <v>0.138564814814815</v>
      </c>
      <c r="D10" s="11" t="s">
        <v>62</v>
      </c>
      <c r="E10" s="11">
        <v>0.22818287037036999</v>
      </c>
      <c r="F10" s="12">
        <f t="shared" si="1"/>
        <v>2.1508333333333196</v>
      </c>
      <c r="G10" s="13">
        <f t="shared" si="2"/>
        <v>0</v>
      </c>
      <c r="H10" s="13">
        <f t="shared" si="3"/>
        <v>2.1508333333333196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46063.9495193287</v>
      </c>
      <c r="B11" s="5" t="s">
        <v>82</v>
      </c>
      <c r="C11" s="11">
        <v>0.94951388888888899</v>
      </c>
      <c r="D11" s="11" t="s">
        <v>62</v>
      </c>
      <c r="E11" s="11">
        <v>0.145972222222222</v>
      </c>
      <c r="F11" s="12">
        <f t="shared" si="1"/>
        <v>4.7149999999999928</v>
      </c>
      <c r="G11" s="13">
        <f t="shared" si="2"/>
        <v>1.2116666666666647</v>
      </c>
      <c r="H11" s="13">
        <f t="shared" si="3"/>
        <v>3.5033333333333281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46064.292779050898</v>
      </c>
      <c r="B12" s="5" t="s">
        <v>78</v>
      </c>
      <c r="C12" s="11">
        <v>0.29277777777777803</v>
      </c>
      <c r="D12" s="11" t="s">
        <v>62</v>
      </c>
      <c r="E12" s="11">
        <v>0.370960648148148</v>
      </c>
      <c r="F12" s="12">
        <f t="shared" si="1"/>
        <v>1.8763888888888793</v>
      </c>
      <c r="G12" s="13">
        <f t="shared" si="2"/>
        <v>0.90305555555556039</v>
      </c>
      <c r="H12" s="13">
        <f t="shared" si="3"/>
        <v>0.97333333333331895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46066.352606828703</v>
      </c>
      <c r="B13" s="5" t="s">
        <v>82</v>
      </c>
      <c r="C13" s="11">
        <v>0.352604166666667</v>
      </c>
      <c r="D13" s="11" t="s">
        <v>62</v>
      </c>
      <c r="E13" s="11">
        <v>0.49084490740740699</v>
      </c>
      <c r="F13" s="12">
        <f t="shared" si="1"/>
        <v>3.31777777777776</v>
      </c>
      <c r="G13" s="13">
        <f t="shared" si="2"/>
        <v>3.31777777777776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46066.562616203701</v>
      </c>
      <c r="B14" s="5" t="s">
        <v>82</v>
      </c>
      <c r="C14" s="11">
        <v>0.56261574074074105</v>
      </c>
      <c r="D14" s="11" t="s">
        <v>62</v>
      </c>
      <c r="E14" s="11">
        <v>0.73496527777777798</v>
      </c>
      <c r="F14" s="12">
        <f t="shared" si="1"/>
        <v>4.1363888888888862</v>
      </c>
      <c r="G14" s="13">
        <f t="shared" si="2"/>
        <v>4.1363888888888862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46067.013741666698</v>
      </c>
      <c r="B15" s="5" t="s">
        <v>78</v>
      </c>
      <c r="C15" s="11">
        <v>1.37384259259259E-2</v>
      </c>
      <c r="D15" s="11" t="s">
        <v>62</v>
      </c>
      <c r="E15" s="11">
        <v>0.12539351851851899</v>
      </c>
      <c r="F15" s="12">
        <f t="shared" si="1"/>
        <v>2.6797222222222339</v>
      </c>
      <c r="G15" s="13">
        <f t="shared" si="2"/>
        <v>0</v>
      </c>
      <c r="H15" s="13">
        <f t="shared" si="3"/>
        <v>2.6797222222222339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46067.519236226799</v>
      </c>
      <c r="B16" s="5" t="s">
        <v>81</v>
      </c>
      <c r="C16" s="11">
        <v>0.51923611111111101</v>
      </c>
      <c r="D16" s="11" t="s">
        <v>62</v>
      </c>
      <c r="E16" s="11">
        <v>0.56968750000000001</v>
      </c>
      <c r="F16" s="12">
        <f t="shared" si="1"/>
        <v>1.2108333333333361</v>
      </c>
      <c r="G16" s="13">
        <f t="shared" si="2"/>
        <v>1.2108333333333361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46067.8332884259</v>
      </c>
      <c r="B17" s="5" t="s">
        <v>78</v>
      </c>
      <c r="C17" s="11">
        <v>0.83328703703703699</v>
      </c>
      <c r="D17" s="11" t="s">
        <v>62</v>
      </c>
      <c r="E17" s="11">
        <v>0.95690972222222204</v>
      </c>
      <c r="F17" s="12">
        <f t="shared" si="1"/>
        <v>2.9669444444444411</v>
      </c>
      <c r="G17" s="13">
        <f t="shared" si="2"/>
        <v>2.9669444444444411</v>
      </c>
      <c r="H17" s="13">
        <f t="shared" si="3"/>
        <v>0</v>
      </c>
      <c r="I17" s="35" t="s">
        <v>75</v>
      </c>
      <c r="J17" s="36">
        <f>J4+J5+J6+J7+J10</f>
        <v>70.086111111111123</v>
      </c>
      <c r="K17" s="37">
        <f>K4+K5+K6+K7+K10</f>
        <v>43.760555555555619</v>
      </c>
      <c r="L17" s="38">
        <f>L4+L5+L6+L7+L10</f>
        <v>26.325555555555503</v>
      </c>
      <c r="M17" s="39"/>
    </row>
    <row r="18" spans="1:13" ht="20.25" x14ac:dyDescent="0.25">
      <c r="A18" s="10">
        <f t="shared" ca="1" si="0"/>
        <v>46068.292372569398</v>
      </c>
      <c r="B18" s="5" t="s">
        <v>82</v>
      </c>
      <c r="C18" s="11">
        <v>0.29320601851851902</v>
      </c>
      <c r="D18" s="11" t="s">
        <v>62</v>
      </c>
      <c r="E18" s="11">
        <v>0.36402777777777801</v>
      </c>
      <c r="F18" s="12">
        <f t="shared" si="1"/>
        <v>1.6997222222222157</v>
      </c>
      <c r="G18" s="13">
        <f t="shared" si="2"/>
        <v>0.73666666666668057</v>
      </c>
      <c r="H18" s="13">
        <f t="shared" si="3"/>
        <v>0.96305555555553513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46070.906916550899</v>
      </c>
      <c r="B19" s="5" t="s">
        <v>80</v>
      </c>
      <c r="C19" s="11">
        <v>0.90690972222222199</v>
      </c>
      <c r="D19" s="11" t="s">
        <v>62</v>
      </c>
      <c r="E19" s="11">
        <v>0.95734953703703696</v>
      </c>
      <c r="F19" s="12">
        <f t="shared" si="1"/>
        <v>1.2105555555555592</v>
      </c>
      <c r="G19" s="13">
        <f t="shared" si="2"/>
        <v>1.2105555555555592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46071.1375758102</v>
      </c>
      <c r="B20" s="5" t="s">
        <v>82</v>
      </c>
      <c r="C20" s="11">
        <v>0.13756944444444399</v>
      </c>
      <c r="D20" s="11" t="s">
        <v>62</v>
      </c>
      <c r="E20" s="11">
        <v>0.29886574074074101</v>
      </c>
      <c r="F20" s="12">
        <f t="shared" si="1"/>
        <v>3.8711111111111283</v>
      </c>
      <c r="G20" s="13">
        <f t="shared" si="2"/>
        <v>0</v>
      </c>
      <c r="H20" s="13">
        <f t="shared" si="3"/>
        <v>3.8711111111111283</v>
      </c>
      <c r="I20" s="40" t="s">
        <v>77</v>
      </c>
      <c r="J20" s="65">
        <f>J16+J17+J18+J19</f>
        <v>70.086111111111123</v>
      </c>
      <c r="K20" s="66"/>
      <c r="L20" s="67"/>
      <c r="M20" s="41"/>
    </row>
    <row r="21" spans="1:13" ht="20.25" x14ac:dyDescent="0.25">
      <c r="A21" s="10">
        <f t="shared" ca="1" si="0"/>
        <v>46071.672592129602</v>
      </c>
      <c r="B21" s="5" t="s">
        <v>80</v>
      </c>
      <c r="C21" s="11">
        <v>0.67259259259259296</v>
      </c>
      <c r="D21" s="11" t="s">
        <v>62</v>
      </c>
      <c r="E21" s="11">
        <v>0.79951388888888897</v>
      </c>
      <c r="F21" s="12">
        <f t="shared" si="1"/>
        <v>3.0461111111111041</v>
      </c>
      <c r="G21" s="13">
        <f t="shared" si="2"/>
        <v>3.0461111111111041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46071.950537615703</v>
      </c>
      <c r="B22" s="5" t="s">
        <v>82</v>
      </c>
      <c r="C22" s="11">
        <v>0.95053240740740697</v>
      </c>
      <c r="D22" s="11" t="s">
        <v>62</v>
      </c>
      <c r="E22" s="11">
        <v>0.145914351851852</v>
      </c>
      <c r="F22" s="12">
        <f t="shared" si="1"/>
        <v>4.6891666666666811</v>
      </c>
      <c r="G22" s="13">
        <f t="shared" si="2"/>
        <v>1.1872222222222328</v>
      </c>
      <c r="H22" s="13">
        <f t="shared" si="3"/>
        <v>3.5019444444444483</v>
      </c>
      <c r="I22"/>
      <c r="J22"/>
    </row>
    <row r="23" spans="1:13" ht="18.75" x14ac:dyDescent="0.15">
      <c r="A23" s="10">
        <f t="shared" ca="1" si="0"/>
        <v>46078.354536226798</v>
      </c>
      <c r="B23" s="5" t="s">
        <v>82</v>
      </c>
      <c r="C23" s="11">
        <v>0.354525462962963</v>
      </c>
      <c r="D23" s="11" t="s">
        <v>62</v>
      </c>
      <c r="E23" s="11">
        <v>0.52739583333333295</v>
      </c>
      <c r="F23" s="12">
        <f t="shared" si="1"/>
        <v>4.1488888888888784</v>
      </c>
      <c r="G23" s="13">
        <f t="shared" si="2"/>
        <v>4.1488888888888784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46078.892740277799</v>
      </c>
      <c r="B24" s="5" t="s">
        <v>82</v>
      </c>
      <c r="C24" s="11">
        <v>0.89273148148148096</v>
      </c>
      <c r="D24" s="11" t="s">
        <v>62</v>
      </c>
      <c r="E24" s="11">
        <v>0.95825231481481499</v>
      </c>
      <c r="F24" s="12">
        <f t="shared" si="1"/>
        <v>1.5725000000000167</v>
      </c>
      <c r="G24" s="13">
        <f t="shared" si="2"/>
        <v>1.5725000000000167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46079.295084027799</v>
      </c>
      <c r="B25" s="5" t="s">
        <v>82</v>
      </c>
      <c r="C25" s="11">
        <v>0.29508101851851898</v>
      </c>
      <c r="D25" s="11" t="s">
        <v>62</v>
      </c>
      <c r="E25" s="11">
        <v>0.42253472222222199</v>
      </c>
      <c r="F25" s="12">
        <f t="shared" si="1"/>
        <v>3.0588888888888723</v>
      </c>
      <c r="G25" s="13">
        <f t="shared" si="2"/>
        <v>2.1408333333333363</v>
      </c>
      <c r="H25" s="13">
        <f t="shared" si="3"/>
        <v>0.91805555555553608</v>
      </c>
      <c r="I25"/>
      <c r="J25"/>
    </row>
    <row r="26" spans="1:13" ht="18.75" x14ac:dyDescent="0.15">
      <c r="A26" s="10">
        <f t="shared" ca="1" si="0"/>
        <v>46079.522646527803</v>
      </c>
      <c r="B26" s="5" t="s">
        <v>80</v>
      </c>
      <c r="C26" s="11">
        <v>0.52263888888888899</v>
      </c>
      <c r="D26" s="11" t="s">
        <v>62</v>
      </c>
      <c r="E26" s="11">
        <v>0.637777777777778</v>
      </c>
      <c r="F26" s="12">
        <f t="shared" si="1"/>
        <v>2.7633333333333363</v>
      </c>
      <c r="G26" s="13">
        <f t="shared" si="2"/>
        <v>2.7633333333333363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46079.791411458304</v>
      </c>
      <c r="B27" s="5" t="s">
        <v>80</v>
      </c>
      <c r="C27" s="11">
        <v>0.791412037037037</v>
      </c>
      <c r="D27" s="11" t="s">
        <v>62</v>
      </c>
      <c r="E27" s="11">
        <v>0.88159722222222203</v>
      </c>
      <c r="F27" s="12">
        <f t="shared" si="1"/>
        <v>2.1644444444444408</v>
      </c>
      <c r="G27" s="13">
        <f t="shared" si="2"/>
        <v>2.1644444444444408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46054.8967491898</v>
      </c>
      <c r="B3" s="5" t="s">
        <v>87</v>
      </c>
      <c r="C3" s="11">
        <v>0.896747685185185</v>
      </c>
      <c r="D3" s="11" t="s">
        <v>62</v>
      </c>
      <c r="E3" s="11">
        <v>0.95927083333333296</v>
      </c>
      <c r="F3" s="12">
        <f t="shared" ref="F3:F42" si="1">(IF(E3-C3&lt;0,"24:00"-C3+E3,E3-C3))*24</f>
        <v>1.5005555555555512</v>
      </c>
      <c r="G3" s="13">
        <f t="shared" ref="G3:G42" si="2">F3-H3</f>
        <v>1.5005555555555512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46055.293389120401</v>
      </c>
      <c r="B4" s="5" t="s">
        <v>87</v>
      </c>
      <c r="C4" s="11">
        <v>0.29337962962962999</v>
      </c>
      <c r="D4" s="11" t="s">
        <v>62</v>
      </c>
      <c r="E4" s="11">
        <v>0.423877314814815</v>
      </c>
      <c r="F4" s="12">
        <f t="shared" si="1"/>
        <v>3.1319444444444402</v>
      </c>
      <c r="G4" s="13">
        <f t="shared" si="2"/>
        <v>2.1730555555555684</v>
      </c>
      <c r="H4" s="13">
        <f t="shared" si="3"/>
        <v>0.9588888888888718</v>
      </c>
      <c r="I4" s="21" t="s">
        <v>64</v>
      </c>
      <c r="J4" s="22">
        <f>SUMIF(B:B,"西塔台管制席",F:F)+SUMIF(B:B,"东塔台管制席",F:F)</f>
        <v>17.124999999999989</v>
      </c>
      <c r="K4" s="23">
        <f>SUMIF(B:B,"西塔台管制席",G:G)+SUMIF(B:B,"东塔台管制席",G:G)</f>
        <v>6.1994444444444152</v>
      </c>
      <c r="L4" s="23">
        <f>SUMIF(B:B,"西塔台管制席",H:H)+SUMIF(B:B,"东塔台管制席",H:H)</f>
        <v>10.925555555555571</v>
      </c>
      <c r="M4" s="19"/>
    </row>
    <row r="5" spans="1:16" ht="18.75" x14ac:dyDescent="0.25">
      <c r="A5" s="10">
        <f t="shared" ca="1" si="0"/>
        <v>46055.676109027801</v>
      </c>
      <c r="B5" s="5" t="s">
        <v>80</v>
      </c>
      <c r="C5" s="11">
        <v>0.673761574074074</v>
      </c>
      <c r="D5" s="11" t="s">
        <v>62</v>
      </c>
      <c r="E5" s="11">
        <v>0.75240740740740697</v>
      </c>
      <c r="F5" s="12">
        <f t="shared" si="1"/>
        <v>1.8874999999999913</v>
      </c>
      <c r="G5" s="13">
        <f t="shared" si="2"/>
        <v>1.8874999999999913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5.4597222222222257</v>
      </c>
      <c r="K5" s="23">
        <f>SUMIF(B:B,"西塔台协调席",G:G)+SUMIF(B:B,"东塔台协调席",G:G)</f>
        <v>2.0566666666666817</v>
      </c>
      <c r="L5" s="23">
        <f>SUMIF(B:B,"西塔台协调席",H:H)+SUMIF(B:B,"东塔台协调席",H:H)</f>
        <v>3.403055555555544</v>
      </c>
      <c r="M5" s="19"/>
    </row>
    <row r="6" spans="1:16" ht="18.75" x14ac:dyDescent="0.25">
      <c r="A6" s="10">
        <f t="shared" ca="1" si="0"/>
        <v>46055.752441435201</v>
      </c>
      <c r="B6" s="5" t="s">
        <v>87</v>
      </c>
      <c r="C6" s="11">
        <v>0.75246527777777805</v>
      </c>
      <c r="D6" s="11" t="s">
        <v>62</v>
      </c>
      <c r="E6" s="11">
        <v>0.77649305555555603</v>
      </c>
      <c r="F6" s="12">
        <f t="shared" si="1"/>
        <v>0.57666666666667155</v>
      </c>
      <c r="G6" s="13">
        <f t="shared" si="2"/>
        <v>0.57666666666667155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46055.855359027802</v>
      </c>
      <c r="B7" s="5" t="s">
        <v>87</v>
      </c>
      <c r="C7" s="11">
        <v>0.85535879629629596</v>
      </c>
      <c r="D7" s="11" t="s">
        <v>62</v>
      </c>
      <c r="E7" s="11">
        <v>0.95726851851851802</v>
      </c>
      <c r="F7" s="12">
        <f t="shared" si="1"/>
        <v>2.4458333333333293</v>
      </c>
      <c r="G7" s="13">
        <f t="shared" si="2"/>
        <v>2.4458333333333293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46056.292491435197</v>
      </c>
      <c r="B8" s="5" t="s">
        <v>87</v>
      </c>
      <c r="C8" s="11">
        <v>0.292488425925926</v>
      </c>
      <c r="D8" s="11" t="s">
        <v>62</v>
      </c>
      <c r="E8" s="11">
        <v>0.36548611111111101</v>
      </c>
      <c r="F8" s="12">
        <f t="shared" si="1"/>
        <v>1.7519444444444403</v>
      </c>
      <c r="G8" s="13">
        <f t="shared" si="2"/>
        <v>0.77166666666667272</v>
      </c>
      <c r="H8" s="13">
        <f t="shared" si="3"/>
        <v>0.98027777777776759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46059.012283101903</v>
      </c>
      <c r="B9" s="5" t="s">
        <v>87</v>
      </c>
      <c r="C9" s="11">
        <v>1.2280092592592599E-2</v>
      </c>
      <c r="D9" s="11" t="s">
        <v>62</v>
      </c>
      <c r="E9" s="11">
        <v>0.13280092592592599</v>
      </c>
      <c r="F9" s="12">
        <f t="shared" si="1"/>
        <v>2.892500000000001</v>
      </c>
      <c r="G9" s="13">
        <f t="shared" si="2"/>
        <v>0</v>
      </c>
      <c r="H9" s="13">
        <f t="shared" si="3"/>
        <v>2.892500000000001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46060.1403915509</v>
      </c>
      <c r="B10" s="5" t="s">
        <v>87</v>
      </c>
      <c r="C10" s="11">
        <v>0.14038194444444399</v>
      </c>
      <c r="D10" s="11" t="s">
        <v>62</v>
      </c>
      <c r="E10" s="11">
        <v>0.30027777777777798</v>
      </c>
      <c r="F10" s="12">
        <f t="shared" si="1"/>
        <v>3.8375000000000155</v>
      </c>
      <c r="G10" s="13">
        <f t="shared" si="2"/>
        <v>0</v>
      </c>
      <c r="H10" s="13">
        <f t="shared" si="3"/>
        <v>3.8375000000000155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46063.136857870399</v>
      </c>
      <c r="B11" s="5" t="s">
        <v>87</v>
      </c>
      <c r="C11" s="11">
        <v>0.136851851851852</v>
      </c>
      <c r="D11" s="11" t="s">
        <v>62</v>
      </c>
      <c r="E11" s="11">
        <v>0.228252314814815</v>
      </c>
      <c r="F11" s="12">
        <f t="shared" si="1"/>
        <v>2.1936111111111121</v>
      </c>
      <c r="G11" s="13">
        <f t="shared" si="2"/>
        <v>0</v>
      </c>
      <c r="H11" s="13">
        <f t="shared" si="3"/>
        <v>2.1936111111111121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46063.952086342601</v>
      </c>
      <c r="B12" s="5" t="s">
        <v>87</v>
      </c>
      <c r="C12" s="11">
        <v>0.95208333333333295</v>
      </c>
      <c r="D12" s="11" t="s">
        <v>62</v>
      </c>
      <c r="E12" s="11">
        <v>0.145706018518519</v>
      </c>
      <c r="F12" s="12">
        <f t="shared" si="1"/>
        <v>4.6469444444444648</v>
      </c>
      <c r="G12" s="13">
        <f t="shared" si="2"/>
        <v>1.1500000000000088</v>
      </c>
      <c r="H12" s="13">
        <f t="shared" si="3"/>
        <v>3.496944444444456</v>
      </c>
      <c r="I12" s="27" t="s">
        <v>72</v>
      </c>
      <c r="J12" s="28">
        <f>SUMIF(B:B,"管制教员席",F:F)</f>
        <v>42.407222222222245</v>
      </c>
      <c r="K12" s="29">
        <f>SUMIF(B:B,"管制教员席",G:G)</f>
        <v>23.639444444444472</v>
      </c>
      <c r="L12" s="29">
        <f>SUMIF(B:B,"管制教员席",H:H)</f>
        <v>18.767777777777766</v>
      </c>
      <c r="M12" s="19"/>
    </row>
    <row r="13" spans="1:16" ht="18.75" x14ac:dyDescent="0.15">
      <c r="A13" s="10">
        <f t="shared" ca="1" si="0"/>
        <v>46066.7706420139</v>
      </c>
      <c r="B13" s="5" t="s">
        <v>80</v>
      </c>
      <c r="C13" s="11">
        <v>0.77063657407407404</v>
      </c>
      <c r="D13" s="11" t="s">
        <v>62</v>
      </c>
      <c r="E13" s="11">
        <v>0.90195601851851803</v>
      </c>
      <c r="F13" s="12">
        <f t="shared" si="1"/>
        <v>3.1516666666666557</v>
      </c>
      <c r="G13" s="13">
        <f t="shared" si="2"/>
        <v>3.1516666666666557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46066.951639814797</v>
      </c>
      <c r="B14" s="5" t="s">
        <v>82</v>
      </c>
      <c r="C14" s="11">
        <v>0.95163194444444399</v>
      </c>
      <c r="D14" s="11" t="s">
        <v>62</v>
      </c>
      <c r="E14" s="11">
        <v>0.14179398148148101</v>
      </c>
      <c r="F14" s="12">
        <f t="shared" si="1"/>
        <v>4.5638888888888882</v>
      </c>
      <c r="G14" s="13">
        <f t="shared" si="2"/>
        <v>1.1608333333333443</v>
      </c>
      <c r="H14" s="13">
        <f t="shared" si="3"/>
        <v>3.403055555555544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46070.951764699101</v>
      </c>
      <c r="B15" s="5" t="s">
        <v>87</v>
      </c>
      <c r="C15" s="11">
        <v>0.95175925925925897</v>
      </c>
      <c r="D15" s="11" t="s">
        <v>62</v>
      </c>
      <c r="E15" s="11">
        <v>0.14278935185185199</v>
      </c>
      <c r="F15" s="12">
        <f t="shared" si="1"/>
        <v>4.5847222222222328</v>
      </c>
      <c r="G15" s="13">
        <f t="shared" si="2"/>
        <v>1.1577777777777851</v>
      </c>
      <c r="H15" s="13">
        <f t="shared" si="3"/>
        <v>3.4269444444444477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46071.458796643499</v>
      </c>
      <c r="B16" s="5" t="s">
        <v>87</v>
      </c>
      <c r="C16" s="11">
        <v>0.45879629629629598</v>
      </c>
      <c r="D16" s="11" t="s">
        <v>62</v>
      </c>
      <c r="E16" s="11">
        <v>0.51782407407407405</v>
      </c>
      <c r="F16" s="12">
        <f t="shared" si="1"/>
        <v>1.4166666666666736</v>
      </c>
      <c r="G16" s="13">
        <f t="shared" si="2"/>
        <v>1.4166666666666736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46071.538086111097</v>
      </c>
      <c r="B17" s="5" t="s">
        <v>87</v>
      </c>
      <c r="C17" s="11">
        <v>0.53807870370370403</v>
      </c>
      <c r="D17" s="11" t="s">
        <v>62</v>
      </c>
      <c r="E17" s="11">
        <v>0.54894675925925895</v>
      </c>
      <c r="F17" s="12">
        <f t="shared" si="1"/>
        <v>0.26083333333331815</v>
      </c>
      <c r="G17" s="13">
        <f t="shared" si="2"/>
        <v>0.26083333333331815</v>
      </c>
      <c r="H17" s="13">
        <f t="shared" si="3"/>
        <v>0</v>
      </c>
      <c r="I17" s="35" t="s">
        <v>75</v>
      </c>
      <c r="J17" s="36">
        <f>J4+J5+J6+J7+J10</f>
        <v>22.584722222222215</v>
      </c>
      <c r="K17" s="37">
        <f>K4+K5+K6+K7+K10</f>
        <v>8.2561111111110961</v>
      </c>
      <c r="L17" s="38">
        <f>L4+L5+L6+L7+L10</f>
        <v>14.328611111111115</v>
      </c>
      <c r="M17" s="39"/>
    </row>
    <row r="18" spans="1:13" ht="20.25" x14ac:dyDescent="0.25">
      <c r="A18" s="10">
        <f t="shared" ca="1" si="0"/>
        <v>46071.951664930602</v>
      </c>
      <c r="B18" s="5" t="s">
        <v>80</v>
      </c>
      <c r="C18" s="11">
        <v>0.95165509259259295</v>
      </c>
      <c r="D18" s="11" t="s">
        <v>62</v>
      </c>
      <c r="E18" s="11">
        <v>5.2696759259259297E-2</v>
      </c>
      <c r="F18" s="12">
        <f t="shared" si="1"/>
        <v>2.4249999999999918</v>
      </c>
      <c r="G18" s="13">
        <f t="shared" si="2"/>
        <v>1.1602777777777686</v>
      </c>
      <c r="H18" s="13">
        <f t="shared" si="3"/>
        <v>1.2647222222222232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46072.056731712997</v>
      </c>
      <c r="B19" s="5" t="s">
        <v>80</v>
      </c>
      <c r="C19" s="11">
        <v>5.6909722222222202E-2</v>
      </c>
      <c r="D19" s="11" t="s">
        <v>62</v>
      </c>
      <c r="E19" s="11">
        <v>0.139583333333333</v>
      </c>
      <c r="F19" s="12">
        <f t="shared" si="1"/>
        <v>1.9841666666666591</v>
      </c>
      <c r="G19" s="13">
        <f t="shared" si="2"/>
        <v>0</v>
      </c>
      <c r="H19" s="13">
        <f t="shared" si="3"/>
        <v>1.9841666666666591</v>
      </c>
      <c r="I19" s="35" t="s">
        <v>76</v>
      </c>
      <c r="J19" s="36">
        <f t="shared" ref="J19:L19" si="6">J12</f>
        <v>42.407222222222245</v>
      </c>
      <c r="K19" s="37">
        <f t="shared" si="6"/>
        <v>23.639444444444472</v>
      </c>
      <c r="L19" s="38">
        <f t="shared" si="6"/>
        <v>18.767777777777766</v>
      </c>
      <c r="M19" s="39"/>
    </row>
    <row r="20" spans="1:13" ht="20.25" x14ac:dyDescent="0.15">
      <c r="A20" s="10">
        <f t="shared" ca="1" si="0"/>
        <v>46075.140801851798</v>
      </c>
      <c r="B20" s="5" t="s">
        <v>80</v>
      </c>
      <c r="C20" s="11">
        <v>0.140798611111111</v>
      </c>
      <c r="D20" s="11" t="s">
        <v>62</v>
      </c>
      <c r="E20" s="11">
        <v>0.297141203703704</v>
      </c>
      <c r="F20" s="12">
        <f t="shared" si="1"/>
        <v>3.7522222222222323</v>
      </c>
      <c r="G20" s="13">
        <f t="shared" si="2"/>
        <v>0</v>
      </c>
      <c r="H20" s="13">
        <f t="shared" si="3"/>
        <v>3.7522222222222323</v>
      </c>
      <c r="I20" s="40" t="s">
        <v>77</v>
      </c>
      <c r="J20" s="65">
        <f>J16+J17+J18+J19</f>
        <v>64.991944444444457</v>
      </c>
      <c r="K20" s="66"/>
      <c r="L20" s="67"/>
      <c r="M20" s="41"/>
    </row>
    <row r="21" spans="1:13" ht="20.25" x14ac:dyDescent="0.25">
      <c r="A21" s="10">
        <f t="shared" ca="1" si="0"/>
        <v>46076.135348148098</v>
      </c>
      <c r="B21" s="5" t="s">
        <v>80</v>
      </c>
      <c r="C21" s="11">
        <v>0.13534722222222201</v>
      </c>
      <c r="D21" s="11" t="s">
        <v>62</v>
      </c>
      <c r="E21" s="11">
        <v>0.29886574074074101</v>
      </c>
      <c r="F21" s="12">
        <f t="shared" si="1"/>
        <v>3.9244444444444562</v>
      </c>
      <c r="G21" s="13">
        <f t="shared" si="2"/>
        <v>0</v>
      </c>
      <c r="H21" s="13">
        <f t="shared" si="3"/>
        <v>3.9244444444444562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46078.522547106499</v>
      </c>
      <c r="B22" s="5" t="s">
        <v>87</v>
      </c>
      <c r="C22" s="11">
        <v>0.52254629629629601</v>
      </c>
      <c r="D22" s="11" t="s">
        <v>62</v>
      </c>
      <c r="E22" s="11">
        <v>0.65402777777777799</v>
      </c>
      <c r="F22" s="12">
        <f t="shared" si="1"/>
        <v>3.1555555555555674</v>
      </c>
      <c r="G22" s="13">
        <f t="shared" si="2"/>
        <v>3.1555555555555674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46078.771727314801</v>
      </c>
      <c r="B23" s="5" t="s">
        <v>87</v>
      </c>
      <c r="C23" s="11">
        <v>0.77172453703703703</v>
      </c>
      <c r="D23" s="11" t="s">
        <v>62</v>
      </c>
      <c r="E23" s="11">
        <v>0.89925925925925898</v>
      </c>
      <c r="F23" s="12">
        <f t="shared" si="1"/>
        <v>3.0608333333333269</v>
      </c>
      <c r="G23" s="13">
        <f t="shared" si="2"/>
        <v>3.0608333333333269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46079.625021180596</v>
      </c>
      <c r="B24" s="5" t="s">
        <v>87</v>
      </c>
      <c r="C24" s="11">
        <v>0.62501157407407404</v>
      </c>
      <c r="D24" s="11" t="s">
        <v>62</v>
      </c>
      <c r="E24" s="11">
        <v>0.76103009259259302</v>
      </c>
      <c r="F24" s="12">
        <f t="shared" si="1"/>
        <v>3.2644444444444556</v>
      </c>
      <c r="G24" s="13">
        <f t="shared" si="2"/>
        <v>3.2644444444444556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46079.761097453702</v>
      </c>
      <c r="B25" s="5" t="s">
        <v>82</v>
      </c>
      <c r="C25" s="11">
        <v>0.76108796296296299</v>
      </c>
      <c r="D25" s="11" t="s">
        <v>62</v>
      </c>
      <c r="E25" s="11">
        <v>0.79841435185185206</v>
      </c>
      <c r="F25" s="12">
        <f t="shared" si="1"/>
        <v>0.89583333333333748</v>
      </c>
      <c r="G25" s="13">
        <f t="shared" si="2"/>
        <v>0.89583333333333748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46079.877282523099</v>
      </c>
      <c r="B26" s="5" t="s">
        <v>87</v>
      </c>
      <c r="C26" s="11">
        <v>0.87728009259259299</v>
      </c>
      <c r="D26" s="11" t="s">
        <v>62</v>
      </c>
      <c r="E26" s="11">
        <v>0.96065972222222196</v>
      </c>
      <c r="F26" s="12">
        <f t="shared" si="1"/>
        <v>2.0011111111110953</v>
      </c>
      <c r="G26" s="13">
        <f t="shared" si="2"/>
        <v>2.0011111111110953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46080.292460879602</v>
      </c>
      <c r="B27" s="5" t="s">
        <v>87</v>
      </c>
      <c r="C27" s="11">
        <v>0.29245370370370399</v>
      </c>
      <c r="D27" s="11" t="s">
        <v>62</v>
      </c>
      <c r="E27" s="11">
        <v>0.362685185185185</v>
      </c>
      <c r="F27" s="12">
        <f t="shared" si="1"/>
        <v>1.6855555555555441</v>
      </c>
      <c r="G27" s="13">
        <f t="shared" si="2"/>
        <v>0.70444444444444843</v>
      </c>
      <c r="H27" s="13">
        <f t="shared" si="3"/>
        <v>0.98111111111109572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42"/>
  <sheetViews>
    <sheetView topLeftCell="A7" zoomScale="85" zoomScaleNormal="85" workbookViewId="0">
      <selection activeCell="D28" sqref="D28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46054.407044328698</v>
      </c>
      <c r="B3" s="5" t="s">
        <v>84</v>
      </c>
      <c r="C3" s="11">
        <v>0.40703703703703698</v>
      </c>
      <c r="D3" s="11" t="s">
        <v>62</v>
      </c>
      <c r="E3" s="11">
        <v>0.47668981481481498</v>
      </c>
      <c r="F3" s="12">
        <f t="shared" ref="F3:F42" si="1">(IF(E3-C3&lt;0,"24:00"-C3+E3,E3-C3))*24</f>
        <v>1.6716666666666722</v>
      </c>
      <c r="G3" s="13">
        <f t="shared" ref="G3:G42" si="2">F3-H3</f>
        <v>1.6716666666666722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46054.520860995399</v>
      </c>
      <c r="B4" s="5" t="s">
        <v>80</v>
      </c>
      <c r="C4" s="11">
        <v>0.520856481481481</v>
      </c>
      <c r="D4" s="11" t="s">
        <v>62</v>
      </c>
      <c r="E4" s="11">
        <v>0.653900462962963</v>
      </c>
      <c r="F4" s="12">
        <f t="shared" si="1"/>
        <v>3.193055555555568</v>
      </c>
      <c r="G4" s="13">
        <f t="shared" si="2"/>
        <v>3.193055555555568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40.550555555555562</v>
      </c>
      <c r="K4" s="23">
        <f>SUMIF(B:B,"西塔台管制席",G:G)+SUMIF(B:B,"东塔台管制席",G:G)</f>
        <v>25.701666666666668</v>
      </c>
      <c r="L4" s="23">
        <f>SUMIF(B:B,"西塔台管制席",H:H)+SUMIF(B:B,"东塔台管制席",H:H)</f>
        <v>14.848888888888897</v>
      </c>
      <c r="M4" s="19"/>
    </row>
    <row r="5" spans="1:16" ht="18.75" x14ac:dyDescent="0.25">
      <c r="A5" s="10">
        <f t="shared" ca="1" si="0"/>
        <v>46054.772095949098</v>
      </c>
      <c r="B5" s="5" t="s">
        <v>82</v>
      </c>
      <c r="C5" s="11">
        <v>0.77209490740740705</v>
      </c>
      <c r="D5" s="11" t="s">
        <v>62</v>
      </c>
      <c r="E5" s="11">
        <v>0.90068287037036998</v>
      </c>
      <c r="F5" s="12">
        <f t="shared" si="1"/>
        <v>3.0861111111111104</v>
      </c>
      <c r="G5" s="13">
        <f t="shared" si="2"/>
        <v>3.0861111111111104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22.61305555555553</v>
      </c>
      <c r="K5" s="23">
        <f>SUMIF(B:B,"西塔台协调席",G:G)+SUMIF(B:B,"东塔台协调席",G:G)</f>
        <v>19.909444444444436</v>
      </c>
      <c r="L5" s="23">
        <f>SUMIF(B:B,"西塔台协调席",H:H)+SUMIF(B:B,"东塔台协调席",H:H)</f>
        <v>2.703611111111095</v>
      </c>
      <c r="M5" s="19"/>
    </row>
    <row r="6" spans="1:16" ht="18.75" x14ac:dyDescent="0.25">
      <c r="A6" s="10">
        <f t="shared" ca="1" si="0"/>
        <v>46055.526818749997</v>
      </c>
      <c r="B6" s="5" t="s">
        <v>80</v>
      </c>
      <c r="C6" s="11">
        <v>0.52681712962963001</v>
      </c>
      <c r="D6" s="11" t="s">
        <v>62</v>
      </c>
      <c r="E6" s="11">
        <v>0.68059027777777803</v>
      </c>
      <c r="F6" s="12">
        <f t="shared" si="1"/>
        <v>3.6905555555555525</v>
      </c>
      <c r="G6" s="13">
        <f t="shared" si="2"/>
        <v>3.6905555555555525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46055.771951504597</v>
      </c>
      <c r="B7" s="5" t="s">
        <v>80</v>
      </c>
      <c r="C7" s="11">
        <v>0.77194444444444399</v>
      </c>
      <c r="D7" s="11" t="s">
        <v>62</v>
      </c>
      <c r="E7" s="11">
        <v>0.85993055555555598</v>
      </c>
      <c r="F7" s="12">
        <f t="shared" si="1"/>
        <v>2.1116666666666877</v>
      </c>
      <c r="G7" s="13">
        <f t="shared" si="2"/>
        <v>2.1116666666666877</v>
      </c>
      <c r="H7" s="13">
        <f t="shared" si="3"/>
        <v>0</v>
      </c>
      <c r="I7" s="21" t="s">
        <v>67</v>
      </c>
      <c r="J7" s="22">
        <f>SUMIF(B:B,"地面席",F:F)</f>
        <v>2.0080555555555439</v>
      </c>
      <c r="K7" s="23">
        <f>SUMIF(B:B,"地面席",G:G)</f>
        <v>0</v>
      </c>
      <c r="L7" s="23">
        <f>SUMIF(B:B,"地面席",H:H)</f>
        <v>2.0080555555555439</v>
      </c>
      <c r="M7" s="19"/>
    </row>
    <row r="8" spans="1:16" ht="18.75" x14ac:dyDescent="0.25">
      <c r="A8" s="10">
        <f t="shared" ca="1" si="0"/>
        <v>46058.951526504599</v>
      </c>
      <c r="B8" s="5" t="s">
        <v>80</v>
      </c>
      <c r="C8" s="11">
        <v>0.95151620370370404</v>
      </c>
      <c r="D8" s="11" t="s">
        <v>62</v>
      </c>
      <c r="E8" s="11">
        <v>0.148668981481481</v>
      </c>
      <c r="F8" s="12">
        <f t="shared" si="1"/>
        <v>4.7316666666666469</v>
      </c>
      <c r="G8" s="13">
        <f t="shared" si="2"/>
        <v>1.1636111111111029</v>
      </c>
      <c r="H8" s="13">
        <f t="shared" si="3"/>
        <v>3.568055555555544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46060.1395275463</v>
      </c>
      <c r="B9" s="5" t="s">
        <v>83</v>
      </c>
      <c r="C9" s="11">
        <v>0.139525462962963</v>
      </c>
      <c r="D9" s="11" t="s">
        <v>62</v>
      </c>
      <c r="E9" s="11">
        <v>0.223194444444444</v>
      </c>
      <c r="F9" s="12">
        <f t="shared" si="1"/>
        <v>2.0080555555555439</v>
      </c>
      <c r="G9" s="13">
        <f t="shared" si="2"/>
        <v>0</v>
      </c>
      <c r="H9" s="13">
        <f t="shared" si="3"/>
        <v>2.0080555555555439</v>
      </c>
      <c r="I9" s="21" t="s">
        <v>69</v>
      </c>
      <c r="J9" s="22">
        <f>SUMIF(B:B,"航班调度席",F:F)</f>
        <v>1.6716666666666722</v>
      </c>
      <c r="K9" s="23">
        <f>SUMIF(B:B,"航班调度席",G:G)</f>
        <v>1.6716666666666722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46063.137342129601</v>
      </c>
      <c r="B10" s="5" t="s">
        <v>80</v>
      </c>
      <c r="C10" s="11">
        <v>0.13733796296296299</v>
      </c>
      <c r="D10" s="11" t="s">
        <v>62</v>
      </c>
      <c r="E10" s="11">
        <v>0.29802083333333301</v>
      </c>
      <c r="F10" s="12">
        <f t="shared" si="1"/>
        <v>3.8563888888888807</v>
      </c>
      <c r="G10" s="13">
        <f t="shared" si="2"/>
        <v>0</v>
      </c>
      <c r="H10" s="13">
        <f t="shared" si="3"/>
        <v>3.8563888888888807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46064.015179050897</v>
      </c>
      <c r="B11" s="5" t="s">
        <v>78</v>
      </c>
      <c r="C11" s="11">
        <v>1.51736111111111E-2</v>
      </c>
      <c r="D11" s="11" t="s">
        <v>62</v>
      </c>
      <c r="E11" s="11">
        <v>0.146053240740741</v>
      </c>
      <c r="F11" s="12">
        <f t="shared" si="1"/>
        <v>3.1411111111111176</v>
      </c>
      <c r="G11" s="13">
        <f t="shared" si="2"/>
        <v>0</v>
      </c>
      <c r="H11" s="13">
        <f t="shared" si="3"/>
        <v>3.1411111111111176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46066.770739814798</v>
      </c>
      <c r="B12" s="5" t="s">
        <v>82</v>
      </c>
      <c r="C12" s="11">
        <v>0.77072916666666702</v>
      </c>
      <c r="D12" s="11" t="s">
        <v>62</v>
      </c>
      <c r="E12" s="11">
        <v>0.90188657407407402</v>
      </c>
      <c r="F12" s="12">
        <f t="shared" si="1"/>
        <v>3.147777777777768</v>
      </c>
      <c r="G12" s="13">
        <f t="shared" si="2"/>
        <v>3.147777777777768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46067.139927546297</v>
      </c>
      <c r="B13" s="5" t="s">
        <v>78</v>
      </c>
      <c r="C13" s="11">
        <v>0.13991898148148099</v>
      </c>
      <c r="D13" s="11" t="s">
        <v>62</v>
      </c>
      <c r="E13" s="11">
        <v>0.29993055555555598</v>
      </c>
      <c r="F13" s="12">
        <f t="shared" si="1"/>
        <v>3.8402777777777999</v>
      </c>
      <c r="G13" s="13">
        <f t="shared" si="2"/>
        <v>0</v>
      </c>
      <c r="H13" s="13">
        <f t="shared" si="3"/>
        <v>3.8402777777777999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46067.667355787002</v>
      </c>
      <c r="B14" s="5" t="s">
        <v>81</v>
      </c>
      <c r="C14" s="11">
        <v>0.66734953703703703</v>
      </c>
      <c r="D14" s="11" t="s">
        <v>62</v>
      </c>
      <c r="E14" s="11">
        <v>0.79767361111111101</v>
      </c>
      <c r="F14" s="12">
        <f t="shared" si="1"/>
        <v>3.1277777777777755</v>
      </c>
      <c r="G14" s="13">
        <f t="shared" si="2"/>
        <v>3.1277777777777755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46067.951095370401</v>
      </c>
      <c r="B15" s="5" t="s">
        <v>78</v>
      </c>
      <c r="C15" s="11">
        <v>0.95108796296296305</v>
      </c>
      <c r="D15" s="11" t="s">
        <v>62</v>
      </c>
      <c r="E15" s="11">
        <v>1.8460648148148101E-2</v>
      </c>
      <c r="F15" s="12">
        <f t="shared" si="1"/>
        <v>1.6169444444444412</v>
      </c>
      <c r="G15" s="13">
        <f t="shared" si="2"/>
        <v>1.1738888888888868</v>
      </c>
      <c r="H15" s="13">
        <f t="shared" si="3"/>
        <v>0.44305555555555443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46068.018499305603</v>
      </c>
      <c r="B16" s="5" t="s">
        <v>82</v>
      </c>
      <c r="C16" s="11">
        <v>1.8495370370370402E-2</v>
      </c>
      <c r="D16" s="11" t="s">
        <v>62</v>
      </c>
      <c r="E16" s="11">
        <v>9.0416666666666701E-2</v>
      </c>
      <c r="F16" s="12">
        <f t="shared" si="1"/>
        <v>1.7261111111111114</v>
      </c>
      <c r="G16" s="13">
        <f t="shared" si="2"/>
        <v>0</v>
      </c>
      <c r="H16" s="13">
        <f t="shared" si="3"/>
        <v>1.7261111111111114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46070.355306481499</v>
      </c>
      <c r="B17" s="5" t="s">
        <v>80</v>
      </c>
      <c r="C17" s="11">
        <v>0.35530092592592599</v>
      </c>
      <c r="D17" s="11" t="s">
        <v>62</v>
      </c>
      <c r="E17" s="11">
        <v>0.52472222222222198</v>
      </c>
      <c r="F17" s="12">
        <f t="shared" si="1"/>
        <v>4.0661111111111037</v>
      </c>
      <c r="G17" s="13">
        <f t="shared" si="2"/>
        <v>4.0661111111111037</v>
      </c>
      <c r="H17" s="13">
        <f t="shared" si="3"/>
        <v>0</v>
      </c>
      <c r="I17" s="35" t="s">
        <v>75</v>
      </c>
      <c r="J17" s="36">
        <f>J4+J5+J6+J7+J10</f>
        <v>65.171666666666638</v>
      </c>
      <c r="K17" s="37">
        <f>K4+K5+K6+K7+K10</f>
        <v>45.6111111111111</v>
      </c>
      <c r="L17" s="38">
        <f>L4+L5+L6+L7+L10</f>
        <v>19.560555555555535</v>
      </c>
      <c r="M17" s="39"/>
    </row>
    <row r="18" spans="1:13" ht="20.25" x14ac:dyDescent="0.25">
      <c r="A18" s="10">
        <f t="shared" ca="1" si="0"/>
        <v>46070.893345370401</v>
      </c>
      <c r="B18" s="5" t="s">
        <v>82</v>
      </c>
      <c r="C18" s="11">
        <v>0.89334490740740702</v>
      </c>
      <c r="D18" s="11" t="s">
        <v>62</v>
      </c>
      <c r="E18" s="11">
        <v>0.95581018518518501</v>
      </c>
      <c r="F18" s="12">
        <f t="shared" si="1"/>
        <v>1.4991666666666719</v>
      </c>
      <c r="G18" s="13">
        <f t="shared" si="2"/>
        <v>1.4991666666666719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46071.456738888897</v>
      </c>
      <c r="B19" s="5" t="s">
        <v>82</v>
      </c>
      <c r="C19" s="11">
        <v>0.45673611111111101</v>
      </c>
      <c r="D19" s="11" t="s">
        <v>62</v>
      </c>
      <c r="E19" s="11">
        <v>0.54810185185185201</v>
      </c>
      <c r="F19" s="12">
        <f t="shared" si="1"/>
        <v>2.1927777777777839</v>
      </c>
      <c r="G19" s="13">
        <f t="shared" si="2"/>
        <v>2.1927777777777839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46071.877599537002</v>
      </c>
      <c r="B20" s="5" t="s">
        <v>80</v>
      </c>
      <c r="C20" s="11">
        <v>0.87759259259259303</v>
      </c>
      <c r="D20" s="11" t="s">
        <v>62</v>
      </c>
      <c r="E20" s="11">
        <v>0.95665509259259296</v>
      </c>
      <c r="F20" s="12">
        <f t="shared" si="1"/>
        <v>1.8974999999999982</v>
      </c>
      <c r="G20" s="13">
        <f t="shared" si="2"/>
        <v>1.8974999999999982</v>
      </c>
      <c r="H20" s="13">
        <f t="shared" si="3"/>
        <v>0</v>
      </c>
      <c r="I20" s="40" t="s">
        <v>77</v>
      </c>
      <c r="J20" s="65">
        <f>J16+J17+J18+J19</f>
        <v>65.171666666666638</v>
      </c>
      <c r="K20" s="66"/>
      <c r="L20" s="67"/>
      <c r="M20" s="41"/>
    </row>
    <row r="21" spans="1:13" ht="20.25" x14ac:dyDescent="0.25">
      <c r="A21" s="10">
        <f t="shared" ca="1" si="0"/>
        <v>46078.354472453699</v>
      </c>
      <c r="B21" s="5" t="s">
        <v>80</v>
      </c>
      <c r="C21" s="11">
        <v>0.35446759259259297</v>
      </c>
      <c r="D21" s="11" t="s">
        <v>62</v>
      </c>
      <c r="E21" s="11">
        <v>0.52744212962963</v>
      </c>
      <c r="F21" s="12">
        <f t="shared" si="1"/>
        <v>4.1513888888888886</v>
      </c>
      <c r="G21" s="13">
        <f t="shared" si="2"/>
        <v>4.1513888888888886</v>
      </c>
      <c r="H21" s="13">
        <f t="shared" si="3"/>
        <v>0</v>
      </c>
      <c r="I21" s="42" t="s">
        <v>4</v>
      </c>
      <c r="J21" s="43">
        <f>SUM(J8:J9)</f>
        <v>1.6716666666666722</v>
      </c>
      <c r="K21" s="37">
        <f>SUM(K8:K9)</f>
        <v>1.6716666666666722</v>
      </c>
      <c r="L21" s="38">
        <f>SUM(L8:L9)</f>
        <v>0</v>
      </c>
      <c r="M21" s="44"/>
    </row>
    <row r="22" spans="1:13" ht="18.75" x14ac:dyDescent="0.15">
      <c r="A22" s="10">
        <f t="shared" ca="1" si="0"/>
        <v>46078.648822800897</v>
      </c>
      <c r="B22" s="5" t="s">
        <v>80</v>
      </c>
      <c r="C22" s="11">
        <v>0.64881944444444495</v>
      </c>
      <c r="D22" s="11" t="s">
        <v>62</v>
      </c>
      <c r="E22" s="11">
        <v>0.75230324074074095</v>
      </c>
      <c r="F22" s="12">
        <f t="shared" si="1"/>
        <v>2.4836111111111041</v>
      </c>
      <c r="G22" s="13">
        <f t="shared" si="2"/>
        <v>2.4836111111111041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46078.765774537002</v>
      </c>
      <c r="B23" s="5" t="s">
        <v>80</v>
      </c>
      <c r="C23" s="11">
        <v>0.76576388888888902</v>
      </c>
      <c r="D23" s="11" t="s">
        <v>62</v>
      </c>
      <c r="E23" s="11">
        <v>0.77806712962962998</v>
      </c>
      <c r="F23" s="12">
        <f t="shared" si="1"/>
        <v>0.29527777777778308</v>
      </c>
      <c r="G23" s="13">
        <f t="shared" si="2"/>
        <v>0.29527777777778308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46078.895144444403</v>
      </c>
      <c r="B24" s="5" t="s">
        <v>80</v>
      </c>
      <c r="C24" s="11">
        <v>0.89513888888888904</v>
      </c>
      <c r="D24" s="11" t="s">
        <v>62</v>
      </c>
      <c r="E24" s="11">
        <v>0.95659722222222199</v>
      </c>
      <c r="F24" s="12">
        <f t="shared" si="1"/>
        <v>1.4749999999999908</v>
      </c>
      <c r="G24" s="13">
        <f t="shared" si="2"/>
        <v>1.4749999999999908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46079.292605092603</v>
      </c>
      <c r="B25" s="5" t="s">
        <v>82</v>
      </c>
      <c r="C25" s="11">
        <v>0.292604166666667</v>
      </c>
      <c r="D25" s="11" t="s">
        <v>62</v>
      </c>
      <c r="E25" s="11">
        <v>0.422488425925926</v>
      </c>
      <c r="F25" s="12">
        <f t="shared" si="1"/>
        <v>3.1172222222222161</v>
      </c>
      <c r="G25" s="13">
        <f t="shared" si="2"/>
        <v>2.1397222222222325</v>
      </c>
      <c r="H25" s="13">
        <f t="shared" si="3"/>
        <v>0.9774999999999836</v>
      </c>
      <c r="I25"/>
      <c r="J25"/>
    </row>
    <row r="26" spans="1:13" ht="18.75" x14ac:dyDescent="0.15">
      <c r="A26" s="10">
        <f t="shared" ca="1" si="0"/>
        <v>46079.5216565972</v>
      </c>
      <c r="B26" s="5" t="s">
        <v>82</v>
      </c>
      <c r="C26" s="11">
        <v>0.52165509259259302</v>
      </c>
      <c r="D26" s="11" t="s">
        <v>62</v>
      </c>
      <c r="E26" s="11">
        <v>0.62938657407407395</v>
      </c>
      <c r="F26" s="12">
        <f t="shared" si="1"/>
        <v>2.5855555555555423</v>
      </c>
      <c r="G26" s="13">
        <f t="shared" si="2"/>
        <v>2.5855555555555423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46079.791359027797</v>
      </c>
      <c r="B27" s="5" t="s">
        <v>82</v>
      </c>
      <c r="C27" s="11">
        <v>0.79135416666666702</v>
      </c>
      <c r="D27" s="11" t="s">
        <v>62</v>
      </c>
      <c r="E27" s="11">
        <v>0.88012731481481499</v>
      </c>
      <c r="F27" s="12">
        <f t="shared" si="1"/>
        <v>2.1305555555555511</v>
      </c>
      <c r="G27" s="13">
        <f t="shared" si="2"/>
        <v>2.1305555555555511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42"/>
  <sheetViews>
    <sheetView topLeftCell="A10" zoomScale="85" zoomScaleNormal="85" workbookViewId="0">
      <selection activeCell="D32" sqref="D32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46054.952234375</v>
      </c>
      <c r="B3" s="5" t="s">
        <v>80</v>
      </c>
      <c r="C3" s="11">
        <v>0.95223379629629601</v>
      </c>
      <c r="D3" s="11" t="s">
        <v>62</v>
      </c>
      <c r="E3" s="11">
        <v>0.12028935185185199</v>
      </c>
      <c r="F3" s="12">
        <f t="shared" ref="F3:F42" si="1">(IF(E3-C3&lt;0,"24:00"-C3+E3,E3-C3))*24</f>
        <v>4.0333333333333439</v>
      </c>
      <c r="G3" s="13">
        <f t="shared" ref="G3:G42" si="2">F3-H3</f>
        <v>1.1463888888888958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2.8869444444444481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46056.139178819401</v>
      </c>
      <c r="B4" s="5" t="s">
        <v>83</v>
      </c>
      <c r="C4" s="11">
        <v>0.139178240740741</v>
      </c>
      <c r="D4" s="11" t="s">
        <v>62</v>
      </c>
      <c r="E4" s="11">
        <v>0.22314814814814801</v>
      </c>
      <c r="F4" s="12">
        <f t="shared" si="1"/>
        <v>2.0152777777777682</v>
      </c>
      <c r="G4" s="13">
        <f t="shared" si="2"/>
        <v>0</v>
      </c>
      <c r="H4" s="13">
        <f t="shared" si="3"/>
        <v>2.0152777777777682</v>
      </c>
      <c r="I4" s="21" t="s">
        <v>64</v>
      </c>
      <c r="J4" s="22">
        <f>SUMIF(B:B,"西塔台管制席",F:F)+SUMIF(B:B,"东塔台管制席",F:F)</f>
        <v>21.111666666666654</v>
      </c>
      <c r="K4" s="23">
        <f>SUMIF(B:B,"西塔台管制席",G:G)+SUMIF(B:B,"东塔台管制席",G:G)</f>
        <v>5.7966666666666757</v>
      </c>
      <c r="L4" s="23">
        <f>SUMIF(B:B,"西塔台管制席",H:H)+SUMIF(B:B,"东塔台管制席",H:H)</f>
        <v>15.314999999999976</v>
      </c>
      <c r="M4" s="19"/>
    </row>
    <row r="5" spans="1:16" ht="18.75" x14ac:dyDescent="0.25">
      <c r="A5" s="10">
        <f t="shared" ca="1" si="0"/>
        <v>46059.140222453701</v>
      </c>
      <c r="B5" s="5" t="s">
        <v>80</v>
      </c>
      <c r="C5" s="11">
        <v>0.140219907407407</v>
      </c>
      <c r="D5" s="11" t="s">
        <v>62</v>
      </c>
      <c r="E5" s="11">
        <v>0.30038194444444399</v>
      </c>
      <c r="F5" s="12">
        <f t="shared" si="1"/>
        <v>3.8438888888888876</v>
      </c>
      <c r="G5" s="13">
        <f t="shared" si="2"/>
        <v>0</v>
      </c>
      <c r="H5" s="13">
        <f t="shared" si="3"/>
        <v>3.8438888888888876</v>
      </c>
      <c r="I5" s="21" t="s">
        <v>65</v>
      </c>
      <c r="J5" s="22">
        <f>SUMIF(B:B,"西塔台协调席",F:F)+SUMIF(B:B,"东塔台协调席",F:F)</f>
        <v>38.679166666666617</v>
      </c>
      <c r="K5" s="23">
        <f>SUMIF(B:B,"西塔台协调席",G:G)+SUMIF(B:B,"东塔台协调席",G:G)</f>
        <v>27.2786111111111</v>
      </c>
      <c r="L5" s="23">
        <f>SUMIF(B:B,"西塔台协调席",H:H)+SUMIF(B:B,"东塔台协调席",H:H)</f>
        <v>11.400555555555517</v>
      </c>
      <c r="M5" s="19"/>
    </row>
    <row r="6" spans="1:16" ht="18.75" x14ac:dyDescent="0.25">
      <c r="A6" s="10">
        <f t="shared" ca="1" si="0"/>
        <v>46060.014012731503</v>
      </c>
      <c r="B6" s="5" t="s">
        <v>81</v>
      </c>
      <c r="C6" s="11">
        <v>1.40046296296296E-2</v>
      </c>
      <c r="D6" s="11" t="s">
        <v>62</v>
      </c>
      <c r="E6" s="11">
        <v>0.14221064814814799</v>
      </c>
      <c r="F6" s="12">
        <f t="shared" si="1"/>
        <v>3.0769444444444414</v>
      </c>
      <c r="G6" s="13">
        <f t="shared" si="2"/>
        <v>0</v>
      </c>
      <c r="H6" s="13">
        <f t="shared" si="3"/>
        <v>3.0769444444444414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46062.388505555602</v>
      </c>
      <c r="B7" s="5" t="s">
        <v>84</v>
      </c>
      <c r="C7" s="11">
        <v>0.38849537037037002</v>
      </c>
      <c r="D7" s="11" t="s">
        <v>62</v>
      </c>
      <c r="E7" s="11">
        <v>0.46940972222222199</v>
      </c>
      <c r="F7" s="12">
        <f t="shared" si="1"/>
        <v>1.9419444444444474</v>
      </c>
      <c r="G7" s="13">
        <f t="shared" si="2"/>
        <v>1.9419444444444474</v>
      </c>
      <c r="H7" s="13">
        <f t="shared" si="3"/>
        <v>0</v>
      </c>
      <c r="I7" s="21" t="s">
        <v>67</v>
      </c>
      <c r="J7" s="22">
        <f>SUMIF(B:B,"地面席",F:F)</f>
        <v>2.0152777777777682</v>
      </c>
      <c r="K7" s="23">
        <f>SUMIF(B:B,"地面席",G:G)</f>
        <v>0</v>
      </c>
      <c r="L7" s="23">
        <f>SUMIF(B:B,"地面席",H:H)</f>
        <v>2.0152777777777682</v>
      </c>
      <c r="M7" s="19"/>
    </row>
    <row r="8" spans="1:16" ht="18.75" x14ac:dyDescent="0.25">
      <c r="A8" s="10">
        <f t="shared" ca="1" si="0"/>
        <v>46062.647279976904</v>
      </c>
      <c r="B8" s="5" t="s">
        <v>82</v>
      </c>
      <c r="C8" s="11">
        <v>0.647280092592593</v>
      </c>
      <c r="D8" s="11" t="s">
        <v>62</v>
      </c>
      <c r="E8" s="11">
        <v>0.77829861111111098</v>
      </c>
      <c r="F8" s="12">
        <f t="shared" si="1"/>
        <v>3.1444444444444315</v>
      </c>
      <c r="G8" s="13">
        <f t="shared" si="2"/>
        <v>3.1444444444444315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46062.876310300897</v>
      </c>
      <c r="B9" s="5" t="s">
        <v>80</v>
      </c>
      <c r="C9" s="11">
        <v>0.87630787037036995</v>
      </c>
      <c r="D9" s="11" t="s">
        <v>62</v>
      </c>
      <c r="E9" s="11">
        <v>0.958553240740741</v>
      </c>
      <c r="F9" s="12">
        <f t="shared" si="1"/>
        <v>1.9738888888889052</v>
      </c>
      <c r="G9" s="13">
        <f t="shared" si="2"/>
        <v>1.9738888888889052</v>
      </c>
      <c r="H9" s="13">
        <f t="shared" si="3"/>
        <v>0</v>
      </c>
      <c r="I9" s="21" t="s">
        <v>69</v>
      </c>
      <c r="J9" s="22">
        <f>SUMIF(B:B,"航班调度席",F:F)</f>
        <v>1.9419444444444474</v>
      </c>
      <c r="K9" s="23">
        <f>SUMIF(B:B,"航班调度席",G:G)</f>
        <v>1.9419444444444474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46063.419016435197</v>
      </c>
      <c r="B10" s="5" t="s">
        <v>82</v>
      </c>
      <c r="C10" s="11">
        <v>0.41901620370370402</v>
      </c>
      <c r="D10" s="11" t="s">
        <v>62</v>
      </c>
      <c r="E10" s="11">
        <v>0.52584490740740697</v>
      </c>
      <c r="F10" s="12">
        <f t="shared" si="1"/>
        <v>2.5638888888888709</v>
      </c>
      <c r="G10" s="13">
        <f t="shared" si="2"/>
        <v>2.5638888888888709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46063.7727689815</v>
      </c>
      <c r="B11" s="5" t="s">
        <v>82</v>
      </c>
      <c r="C11" s="11">
        <v>0.77276620370370397</v>
      </c>
      <c r="D11" s="11" t="s">
        <v>62</v>
      </c>
      <c r="E11" s="11">
        <v>0.88361111111111101</v>
      </c>
      <c r="F11" s="12">
        <f t="shared" si="1"/>
        <v>2.6602777777777691</v>
      </c>
      <c r="G11" s="13">
        <f t="shared" si="2"/>
        <v>2.6602777777777691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46064.0153146991</v>
      </c>
      <c r="B12" s="5" t="s">
        <v>81</v>
      </c>
      <c r="C12" s="11">
        <v>1.53125E-2</v>
      </c>
      <c r="D12" s="11" t="s">
        <v>62</v>
      </c>
      <c r="E12" s="11">
        <v>0.14612268518518501</v>
      </c>
      <c r="F12" s="12">
        <f t="shared" si="1"/>
        <v>3.13944444444444</v>
      </c>
      <c r="G12" s="13">
        <f t="shared" si="2"/>
        <v>0</v>
      </c>
      <c r="H12" s="13">
        <f t="shared" si="3"/>
        <v>3.13944444444444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46067.223039467601</v>
      </c>
      <c r="B13" s="5" t="s">
        <v>80</v>
      </c>
      <c r="C13" s="11">
        <v>0.13761574074074101</v>
      </c>
      <c r="D13" s="11" t="s">
        <v>62</v>
      </c>
      <c r="E13" s="11">
        <v>0.223310185185185</v>
      </c>
      <c r="F13" s="12">
        <f t="shared" si="1"/>
        <v>2.056666666666656</v>
      </c>
      <c r="G13" s="13">
        <f t="shared" si="2"/>
        <v>0</v>
      </c>
      <c r="H13" s="13">
        <f t="shared" si="3"/>
        <v>2.056666666666656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46067.5629813657</v>
      </c>
      <c r="B14" s="5" t="s">
        <v>81</v>
      </c>
      <c r="C14" s="11">
        <v>0.56311342592592595</v>
      </c>
      <c r="D14" s="11" t="s">
        <v>62</v>
      </c>
      <c r="E14" s="11">
        <v>0.67285879629629597</v>
      </c>
      <c r="F14" s="12">
        <f t="shared" si="1"/>
        <v>2.6338888888888805</v>
      </c>
      <c r="G14" s="13">
        <f t="shared" si="2"/>
        <v>2.6338888888888805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46068.139806712999</v>
      </c>
      <c r="B15" s="5" t="s">
        <v>78</v>
      </c>
      <c r="C15" s="11">
        <v>0.13980324074074099</v>
      </c>
      <c r="D15" s="11" t="s">
        <v>62</v>
      </c>
      <c r="E15" s="11">
        <v>0.26003472222222201</v>
      </c>
      <c r="F15" s="12">
        <f t="shared" si="1"/>
        <v>2.8855555555555448</v>
      </c>
      <c r="G15" s="13">
        <f t="shared" si="2"/>
        <v>0</v>
      </c>
      <c r="H15" s="13">
        <f t="shared" si="3"/>
        <v>2.8855555555555448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46068.285569560197</v>
      </c>
      <c r="B16" s="5" t="s">
        <v>78</v>
      </c>
      <c r="C16" s="11">
        <v>0.28556712962962999</v>
      </c>
      <c r="D16" s="11" t="s">
        <v>62</v>
      </c>
      <c r="E16" s="11">
        <v>0.29753472222222199</v>
      </c>
      <c r="F16" s="12">
        <f t="shared" si="1"/>
        <v>0.28722222222220806</v>
      </c>
      <c r="G16" s="13">
        <f t="shared" si="2"/>
        <v>0</v>
      </c>
      <c r="H16" s="13">
        <f t="shared" si="3"/>
        <v>0.28722222222220806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46070.355142939799</v>
      </c>
      <c r="B17" s="5" t="s">
        <v>82</v>
      </c>
      <c r="C17" s="11">
        <v>0.355138888888889</v>
      </c>
      <c r="D17" s="11" t="s">
        <v>62</v>
      </c>
      <c r="E17" s="11">
        <v>0.52625</v>
      </c>
      <c r="F17" s="12">
        <f t="shared" si="1"/>
        <v>4.1066666666666638</v>
      </c>
      <c r="G17" s="13">
        <f t="shared" si="2"/>
        <v>4.1066666666666638</v>
      </c>
      <c r="H17" s="13">
        <f t="shared" si="3"/>
        <v>0</v>
      </c>
      <c r="I17" s="35" t="s">
        <v>75</v>
      </c>
      <c r="J17" s="36">
        <f>J4+J5+J6+J7+J10</f>
        <v>61.806111111111036</v>
      </c>
      <c r="K17" s="37">
        <f>K4+K5+K6+K7+K10</f>
        <v>33.075277777777778</v>
      </c>
      <c r="L17" s="38">
        <f>L4+L5+L6+L7+L10</f>
        <v>28.730833333333262</v>
      </c>
      <c r="M17" s="39"/>
    </row>
    <row r="18" spans="1:13" ht="20.25" x14ac:dyDescent="0.25">
      <c r="A18" s="10">
        <f t="shared" ca="1" si="0"/>
        <v>46070.6475615741</v>
      </c>
      <c r="B18" s="5" t="s">
        <v>82</v>
      </c>
      <c r="C18" s="11">
        <v>0.64755787037037005</v>
      </c>
      <c r="D18" s="11" t="s">
        <v>62</v>
      </c>
      <c r="E18" s="11">
        <v>0.77762731481481495</v>
      </c>
      <c r="F18" s="12">
        <f t="shared" si="1"/>
        <v>3.1216666666666777</v>
      </c>
      <c r="G18" s="13">
        <f t="shared" si="2"/>
        <v>3.1216666666666777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46071.793078356503</v>
      </c>
      <c r="B19" s="5" t="s">
        <v>82</v>
      </c>
      <c r="C19" s="11">
        <v>0.79307870370370404</v>
      </c>
      <c r="D19" s="11" t="s">
        <v>62</v>
      </c>
      <c r="E19" s="11">
        <v>0.95668981481481496</v>
      </c>
      <c r="F19" s="12">
        <f t="shared" si="1"/>
        <v>3.9266666666666623</v>
      </c>
      <c r="G19" s="13">
        <f t="shared" si="2"/>
        <v>3.9266666666666623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46072.2941452546</v>
      </c>
      <c r="B20" s="5" t="s">
        <v>82</v>
      </c>
      <c r="C20" s="11">
        <v>0.294143518518519</v>
      </c>
      <c r="D20" s="11" t="s">
        <v>62</v>
      </c>
      <c r="E20" s="11">
        <v>0.36178240740740703</v>
      </c>
      <c r="F20" s="12">
        <f t="shared" si="1"/>
        <v>1.6233333333333126</v>
      </c>
      <c r="G20" s="13">
        <f t="shared" si="2"/>
        <v>0.68277777777777704</v>
      </c>
      <c r="H20" s="13">
        <f t="shared" si="3"/>
        <v>0.94055555555553561</v>
      </c>
      <c r="I20" s="40" t="s">
        <v>77</v>
      </c>
      <c r="J20" s="65">
        <f>J16+J17+J18+J19</f>
        <v>61.806111111111036</v>
      </c>
      <c r="K20" s="66"/>
      <c r="L20" s="67"/>
      <c r="M20" s="41"/>
    </row>
    <row r="21" spans="1:13" ht="20.25" x14ac:dyDescent="0.25">
      <c r="A21" s="10">
        <f t="shared" ca="1" si="0"/>
        <v>46074.7731740741</v>
      </c>
      <c r="B21" s="5" t="s">
        <v>82</v>
      </c>
      <c r="C21" s="11">
        <v>0.773171296296296</v>
      </c>
      <c r="D21" s="11" t="s">
        <v>62</v>
      </c>
      <c r="E21" s="11">
        <v>0.88326388888888896</v>
      </c>
      <c r="F21" s="12">
        <f t="shared" si="1"/>
        <v>2.6422222222222311</v>
      </c>
      <c r="G21" s="13">
        <f t="shared" si="2"/>
        <v>2.6422222222222311</v>
      </c>
      <c r="H21" s="13">
        <f t="shared" si="3"/>
        <v>0</v>
      </c>
      <c r="I21" s="42" t="s">
        <v>4</v>
      </c>
      <c r="J21" s="43">
        <f>SUM(J8:J9)</f>
        <v>1.9419444444444474</v>
      </c>
      <c r="K21" s="37">
        <f>SUM(K8:K9)</f>
        <v>1.9419444444444474</v>
      </c>
      <c r="L21" s="38">
        <f>SUM(L8:L9)</f>
        <v>0</v>
      </c>
      <c r="M21" s="44"/>
    </row>
    <row r="22" spans="1:13" ht="18.75" x14ac:dyDescent="0.15">
      <c r="A22" s="10">
        <f t="shared" ca="1" si="0"/>
        <v>46074.900237037</v>
      </c>
      <c r="B22" s="5" t="s">
        <v>82</v>
      </c>
      <c r="C22" s="11">
        <v>0.89259259259259205</v>
      </c>
      <c r="D22" s="11" t="s">
        <v>62</v>
      </c>
      <c r="E22" s="11">
        <v>0.90173611111111096</v>
      </c>
      <c r="F22" s="12">
        <f t="shared" si="1"/>
        <v>0.21944444444445388</v>
      </c>
      <c r="G22" s="13">
        <f t="shared" si="2"/>
        <v>0.21944444444445388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46074.952360069401</v>
      </c>
      <c r="B23" s="5" t="s">
        <v>82</v>
      </c>
      <c r="C23" s="11">
        <v>0.95234953703703695</v>
      </c>
      <c r="D23" s="11" t="s">
        <v>62</v>
      </c>
      <c r="E23" s="11">
        <v>0.97187500000000004</v>
      </c>
      <c r="F23" s="12">
        <f t="shared" si="1"/>
        <v>0.4686111111111142</v>
      </c>
      <c r="G23" s="13">
        <f t="shared" si="2"/>
        <v>0.4686111111111142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46075.057443055601</v>
      </c>
      <c r="B24" s="5" t="s">
        <v>82</v>
      </c>
      <c r="C24" s="11">
        <v>5.74421296296296E-2</v>
      </c>
      <c r="D24" s="11" t="s">
        <v>62</v>
      </c>
      <c r="E24" s="11">
        <v>0.14600694444444401</v>
      </c>
      <c r="F24" s="12">
        <f t="shared" si="1"/>
        <v>2.1255555555555459</v>
      </c>
      <c r="G24" s="13">
        <f t="shared" si="2"/>
        <v>0</v>
      </c>
      <c r="H24" s="13">
        <f t="shared" si="3"/>
        <v>2.1255555555555459</v>
      </c>
      <c r="I24"/>
      <c r="J24"/>
    </row>
    <row r="25" spans="1:13" ht="18.75" x14ac:dyDescent="0.15">
      <c r="A25" s="10">
        <f t="shared" ca="1" si="0"/>
        <v>46075.627351620402</v>
      </c>
      <c r="B25" s="5" t="s">
        <v>80</v>
      </c>
      <c r="C25" s="11">
        <v>0.627349537037037</v>
      </c>
      <c r="D25" s="11" t="s">
        <v>62</v>
      </c>
      <c r="E25" s="11">
        <v>0.68206018518518496</v>
      </c>
      <c r="F25" s="12">
        <f t="shared" si="1"/>
        <v>1.3130555555555512</v>
      </c>
      <c r="G25" s="13">
        <f t="shared" si="2"/>
        <v>1.3130555555555512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46075.747912731502</v>
      </c>
      <c r="B26" s="5" t="s">
        <v>80</v>
      </c>
      <c r="C26" s="11">
        <v>0.74790509259259297</v>
      </c>
      <c r="D26" s="11" t="s">
        <v>62</v>
      </c>
      <c r="E26" s="11">
        <v>0.75805555555555504</v>
      </c>
      <c r="F26" s="12">
        <f t="shared" si="1"/>
        <v>0.24361111111108968</v>
      </c>
      <c r="G26" s="13">
        <f t="shared" si="2"/>
        <v>0.24361111111108968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46075.953352083299</v>
      </c>
      <c r="B27" s="5" t="s">
        <v>80</v>
      </c>
      <c r="C27" s="11">
        <v>0.95334490740740696</v>
      </c>
      <c r="D27" s="11" t="s">
        <v>62</v>
      </c>
      <c r="E27" s="11">
        <v>0.139780092592593</v>
      </c>
      <c r="F27" s="12">
        <f t="shared" si="1"/>
        <v>4.4744444444444653</v>
      </c>
      <c r="G27" s="13">
        <f t="shared" si="2"/>
        <v>1.1197222222222334</v>
      </c>
      <c r="H27" s="13">
        <f t="shared" si="3"/>
        <v>3.3547222222222319</v>
      </c>
      <c r="I27"/>
      <c r="J27"/>
    </row>
    <row r="28" spans="1:13" ht="18.75" x14ac:dyDescent="0.15">
      <c r="A28" s="10">
        <f t="shared" ca="1" si="0"/>
        <v>46078.953835416702</v>
      </c>
      <c r="B28" s="5" t="s">
        <v>82</v>
      </c>
      <c r="C28" s="11">
        <v>0.95383101851851804</v>
      </c>
      <c r="D28" s="11" t="s">
        <v>62</v>
      </c>
      <c r="E28" s="11">
        <v>8.8252314814814797E-2</v>
      </c>
      <c r="F28" s="12">
        <f t="shared" si="1"/>
        <v>3.2261111111111225</v>
      </c>
      <c r="G28" s="13">
        <f t="shared" si="2"/>
        <v>1.1080555555555671</v>
      </c>
      <c r="H28" s="13">
        <f t="shared" si="3"/>
        <v>2.1180555555555554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46055.008069907402</v>
      </c>
      <c r="B3" s="5" t="s">
        <v>81</v>
      </c>
      <c r="C3" s="11">
        <v>8.0671296296296307E-3</v>
      </c>
      <c r="D3" s="11" t="s">
        <v>62</v>
      </c>
      <c r="E3" s="11">
        <v>0.113310185185185</v>
      </c>
      <c r="F3" s="12">
        <f t="shared" ref="F3:F42" si="1">(IF(E3-C3&lt;0,"24:00"-C3+E3,E3-C3))*24</f>
        <v>2.5258333333333289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2.5258333333333289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46055.113354398098</v>
      </c>
      <c r="B4" s="5" t="s">
        <v>82</v>
      </c>
      <c r="C4" s="11">
        <v>0.11334490740740701</v>
      </c>
      <c r="D4" s="11" t="s">
        <v>62</v>
      </c>
      <c r="E4" s="11">
        <v>0.14186342592592599</v>
      </c>
      <c r="F4" s="12">
        <f t="shared" si="1"/>
        <v>0.68444444444445562</v>
      </c>
      <c r="G4" s="13">
        <f t="shared" si="2"/>
        <v>0</v>
      </c>
      <c r="H4" s="13">
        <f t="shared" si="3"/>
        <v>0.68444444444445562</v>
      </c>
      <c r="I4" s="21" t="s">
        <v>64</v>
      </c>
      <c r="J4" s="22">
        <f>SUMIF(B:B,"西塔台管制席",F:F)+SUMIF(B:B,"东塔台管制席",F:F)</f>
        <v>15.768611111111113</v>
      </c>
      <c r="K4" s="23">
        <f>SUMIF(B:B,"西塔台管制席",G:G)+SUMIF(B:B,"东塔台管制席",G:G)</f>
        <v>4.1441666666666652</v>
      </c>
      <c r="L4" s="23">
        <f>SUMIF(B:B,"西塔台管制席",H:H)+SUMIF(B:B,"东塔台管制席",H:H)</f>
        <v>11.624444444444448</v>
      </c>
      <c r="M4" s="19"/>
    </row>
    <row r="5" spans="1:16" ht="18.75" x14ac:dyDescent="0.25">
      <c r="A5" s="10">
        <f t="shared" ca="1" si="0"/>
        <v>46056.139473032403</v>
      </c>
      <c r="B5" s="5" t="s">
        <v>80</v>
      </c>
      <c r="C5" s="11">
        <v>0.139467592592593</v>
      </c>
      <c r="D5" s="11" t="s">
        <v>62</v>
      </c>
      <c r="E5" s="11">
        <v>0.30096064814814799</v>
      </c>
      <c r="F5" s="12">
        <f t="shared" si="1"/>
        <v>3.8758333333333197</v>
      </c>
      <c r="G5" s="13">
        <f t="shared" si="2"/>
        <v>0</v>
      </c>
      <c r="H5" s="13">
        <f t="shared" si="3"/>
        <v>3.8758333333333197</v>
      </c>
      <c r="I5" s="21" t="s">
        <v>65</v>
      </c>
      <c r="J5" s="22">
        <f>SUMIF(B:B,"西塔台协调席",F:F)+SUMIF(B:B,"东塔台协调席",F:F)</f>
        <v>8.2744444444444625</v>
      </c>
      <c r="K5" s="23">
        <f>SUMIF(B:B,"西塔台协调席",G:G)+SUMIF(B:B,"东塔台协调席",G:G)</f>
        <v>1.9350000000000014</v>
      </c>
      <c r="L5" s="23">
        <f>SUMIF(B:B,"西塔台协调席",H:H)+SUMIF(B:B,"东塔台协调席",H:H)</f>
        <v>6.339444444444462</v>
      </c>
      <c r="M5" s="19"/>
    </row>
    <row r="6" spans="1:16" ht="18.75" x14ac:dyDescent="0.25">
      <c r="A6" s="10">
        <f t="shared" ca="1" si="0"/>
        <v>46059.138561226799</v>
      </c>
      <c r="B6" s="5" t="s">
        <v>83</v>
      </c>
      <c r="C6" s="11">
        <v>0.13855324074074099</v>
      </c>
      <c r="D6" s="11" t="s">
        <v>62</v>
      </c>
      <c r="E6" s="11">
        <v>0.22767361111111101</v>
      </c>
      <c r="F6" s="12">
        <f t="shared" si="1"/>
        <v>2.1388888888888804</v>
      </c>
      <c r="G6" s="13">
        <f t="shared" si="2"/>
        <v>0</v>
      </c>
      <c r="H6" s="13">
        <f t="shared" si="3"/>
        <v>2.1388888888888804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46060.1362010417</v>
      </c>
      <c r="B7" s="5" t="s">
        <v>78</v>
      </c>
      <c r="C7" s="11">
        <v>0.13619212962963001</v>
      </c>
      <c r="D7" s="11" t="s">
        <v>62</v>
      </c>
      <c r="E7" s="11">
        <v>0.24027777777777801</v>
      </c>
      <c r="F7" s="12">
        <f t="shared" si="1"/>
        <v>2.4980555555555517</v>
      </c>
      <c r="G7" s="13">
        <f t="shared" si="2"/>
        <v>0</v>
      </c>
      <c r="H7" s="13">
        <f t="shared" si="3"/>
        <v>2.4980555555555517</v>
      </c>
      <c r="I7" s="21" t="s">
        <v>67</v>
      </c>
      <c r="J7" s="22">
        <f>SUMIF(B:B,"地面席",F:F)</f>
        <v>2.1388888888888804</v>
      </c>
      <c r="K7" s="23">
        <f>SUMIF(B:B,"地面席",G:G)</f>
        <v>0</v>
      </c>
      <c r="L7" s="23">
        <f>SUMIF(B:B,"地面席",H:H)</f>
        <v>2.1388888888888804</v>
      </c>
      <c r="M7" s="19"/>
    </row>
    <row r="8" spans="1:16" ht="18.75" x14ac:dyDescent="0.25">
      <c r="A8" s="10">
        <f t="shared" ca="1" si="0"/>
        <v>46060.240517824102</v>
      </c>
      <c r="B8" s="5" t="s">
        <v>78</v>
      </c>
      <c r="C8" s="11">
        <v>0.24050925925925901</v>
      </c>
      <c r="D8" s="11" t="s">
        <v>62</v>
      </c>
      <c r="E8" s="11">
        <v>0.29994212962963002</v>
      </c>
      <c r="F8" s="12">
        <f t="shared" si="1"/>
        <v>1.4263888888889042</v>
      </c>
      <c r="G8" s="13">
        <f t="shared" si="2"/>
        <v>0</v>
      </c>
      <c r="H8" s="13">
        <f t="shared" si="3"/>
        <v>1.4263888888889042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46062.355616319401</v>
      </c>
      <c r="B9" s="5" t="s">
        <v>80</v>
      </c>
      <c r="C9" s="11">
        <v>0.35561342592592599</v>
      </c>
      <c r="D9" s="11" t="s">
        <v>62</v>
      </c>
      <c r="E9" s="11">
        <v>0.52828703703703705</v>
      </c>
      <c r="F9" s="12">
        <f t="shared" si="1"/>
        <v>4.1441666666666652</v>
      </c>
      <c r="G9" s="13">
        <f t="shared" si="2"/>
        <v>4.1441666666666652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46062.876062037001</v>
      </c>
      <c r="B10" s="5" t="s">
        <v>82</v>
      </c>
      <c r="C10" s="11">
        <v>0.87605324074074098</v>
      </c>
      <c r="D10" s="11" t="s">
        <v>62</v>
      </c>
      <c r="E10" s="11">
        <v>0.95667824074074104</v>
      </c>
      <c r="F10" s="12">
        <f t="shared" si="1"/>
        <v>1.9350000000000014</v>
      </c>
      <c r="G10" s="13">
        <f t="shared" si="2"/>
        <v>1.9350000000000014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46079.0133047454</v>
      </c>
      <c r="B11" s="5" t="s">
        <v>81</v>
      </c>
      <c r="C11" s="11">
        <v>1.32986111111111E-2</v>
      </c>
      <c r="D11" s="11" t="s">
        <v>62</v>
      </c>
      <c r="E11" s="11">
        <v>0.14368055555555601</v>
      </c>
      <c r="F11" s="12">
        <f t="shared" si="1"/>
        <v>3.1291666666666775</v>
      </c>
      <c r="G11" s="13">
        <f t="shared" si="2"/>
        <v>0</v>
      </c>
      <c r="H11" s="13">
        <f t="shared" si="3"/>
        <v>3.1291666666666775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46080.139667592601</v>
      </c>
      <c r="B12" s="5" t="s">
        <v>78</v>
      </c>
      <c r="C12" s="11">
        <v>0.139664351851852</v>
      </c>
      <c r="D12" s="11" t="s">
        <v>62</v>
      </c>
      <c r="E12" s="11">
        <v>0.29900462962962998</v>
      </c>
      <c r="F12" s="12">
        <f t="shared" si="1"/>
        <v>3.8241666666666716</v>
      </c>
      <c r="G12" s="13">
        <f t="shared" si="2"/>
        <v>0</v>
      </c>
      <c r="H12" s="13">
        <f t="shared" si="3"/>
        <v>3.8241666666666716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26.181944444444454</v>
      </c>
      <c r="K17" s="37">
        <f>K4+K5+K6+K7+K10</f>
        <v>6.0791666666666666</v>
      </c>
      <c r="L17" s="38">
        <f>L4+L5+L6+L7+L10</f>
        <v>20.102777777777789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26.181944444444454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2"/>
  <sheetViews>
    <sheetView zoomScale="85" zoomScaleNormal="85" workbookViewId="0">
      <selection activeCell="E21" sqref="E2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46054.940725925902</v>
      </c>
      <c r="B3" s="5" t="s">
        <v>61</v>
      </c>
      <c r="C3" s="11">
        <v>0.94071759259259302</v>
      </c>
      <c r="D3" s="11" t="s">
        <v>62</v>
      </c>
      <c r="E3" s="11">
        <v>0.137488425925926</v>
      </c>
      <c r="F3" s="12">
        <f t="shared" ref="F3:F42" si="1">(IF(E3-C3&lt;0,"24:00"-C3+E3,E3-C3))*24</f>
        <v>4.7224999999999913</v>
      </c>
      <c r="G3" s="13">
        <f t="shared" ref="G3:G42" si="2">F3-H3</f>
        <v>1.4227777777777675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3.2997222222222238</v>
      </c>
      <c r="I3" s="16" t="s">
        <v>63</v>
      </c>
      <c r="J3" s="17">
        <f>SUMIF(B:B,"带班主任",F:F)</f>
        <v>71.348333333333287</v>
      </c>
      <c r="K3" s="18">
        <f>SUMIF(B:B,"带班主任",G:G)</f>
        <v>46.088888888888917</v>
      </c>
      <c r="L3" s="18">
        <f>SUMIF(B:B,"带班主任",H:H)</f>
        <v>25.259444444444373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46056.1324423611</v>
      </c>
      <c r="B4" s="5" t="s">
        <v>61</v>
      </c>
      <c r="C4" s="11">
        <v>0.13244212962963001</v>
      </c>
      <c r="D4" s="11" t="s">
        <v>62</v>
      </c>
      <c r="E4" s="11">
        <v>0.29989583333333297</v>
      </c>
      <c r="F4" s="12">
        <f t="shared" si="1"/>
        <v>4.0188888888888714</v>
      </c>
      <c r="G4" s="13">
        <f t="shared" si="2"/>
        <v>0</v>
      </c>
      <c r="H4" s="13">
        <f t="shared" si="3"/>
        <v>4.0188888888888714</v>
      </c>
      <c r="I4" s="21" t="s">
        <v>64</v>
      </c>
      <c r="J4" s="22">
        <f>SUMIF(B:B,"西塔台管制席",F:F)+SUMIF(B:B,"东塔台管制席",F:F)</f>
        <v>3.0955555555555487</v>
      </c>
      <c r="K4" s="23">
        <f>SUMIF(B:B,"西塔台管制席",G:G)+SUMIF(B:B,"东塔台管制席",G:G)</f>
        <v>0</v>
      </c>
      <c r="L4" s="23">
        <f>SUMIF(B:B,"西塔台管制席",H:H)+SUMIF(B:B,"东塔台管制席",H:H)</f>
        <v>3.0955555555555487</v>
      </c>
      <c r="M4" s="19"/>
    </row>
    <row r="5" spans="1:16" ht="18.75" x14ac:dyDescent="0.25">
      <c r="A5" s="10">
        <f t="shared" ca="1" si="0"/>
        <v>46060.014196875003</v>
      </c>
      <c r="B5" s="5" t="s">
        <v>78</v>
      </c>
      <c r="C5" s="11">
        <v>1.4189814814814799E-2</v>
      </c>
      <c r="D5" s="11" t="s">
        <v>62</v>
      </c>
      <c r="E5" s="11">
        <v>0.14317129629629599</v>
      </c>
      <c r="F5" s="12">
        <f t="shared" si="1"/>
        <v>3.0955555555555487</v>
      </c>
      <c r="G5" s="13">
        <f t="shared" si="2"/>
        <v>0</v>
      </c>
      <c r="H5" s="13">
        <f t="shared" si="3"/>
        <v>3.0955555555555487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46062.352068981498</v>
      </c>
      <c r="B6" s="5" t="s">
        <v>61</v>
      </c>
      <c r="C6" s="11">
        <v>0.352060185185185</v>
      </c>
      <c r="D6" s="11" t="s">
        <v>62</v>
      </c>
      <c r="E6" s="11">
        <v>0.58853009259259303</v>
      </c>
      <c r="F6" s="12">
        <f t="shared" si="1"/>
        <v>5.6752777777777927</v>
      </c>
      <c r="G6" s="13">
        <f t="shared" si="2"/>
        <v>5.6752777777777927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46062.875732638902</v>
      </c>
      <c r="B7" s="5" t="s">
        <v>61</v>
      </c>
      <c r="C7" s="11">
        <v>0.875729166666667</v>
      </c>
      <c r="D7" s="11" t="s">
        <v>62</v>
      </c>
      <c r="E7" s="11">
        <v>0.94320601851851904</v>
      </c>
      <c r="F7" s="12">
        <f t="shared" si="1"/>
        <v>1.6194444444444489</v>
      </c>
      <c r="G7" s="13">
        <f t="shared" si="2"/>
        <v>1.6194444444444489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46063.286443865698</v>
      </c>
      <c r="B8" s="5" t="s">
        <v>61</v>
      </c>
      <c r="C8" s="11">
        <v>0.28643518518518502</v>
      </c>
      <c r="D8" s="11" t="s">
        <v>62</v>
      </c>
      <c r="E8" s="11">
        <v>0.54861111111111105</v>
      </c>
      <c r="F8" s="12">
        <f t="shared" si="1"/>
        <v>6.2922222222222253</v>
      </c>
      <c r="G8" s="13">
        <f t="shared" si="2"/>
        <v>5.1666666666666741</v>
      </c>
      <c r="H8" s="13">
        <f t="shared" si="3"/>
        <v>1.1255555555555512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46070.936577546301</v>
      </c>
      <c r="B9" s="5" t="s">
        <v>61</v>
      </c>
      <c r="C9" s="11">
        <v>0.936574074074074</v>
      </c>
      <c r="D9" s="11" t="s">
        <v>62</v>
      </c>
      <c r="E9" s="11">
        <v>0.13930555555555599</v>
      </c>
      <c r="F9" s="12">
        <f t="shared" si="1"/>
        <v>4.8655555555555674</v>
      </c>
      <c r="G9" s="13">
        <f t="shared" si="2"/>
        <v>1.5222222222222239</v>
      </c>
      <c r="H9" s="13">
        <f t="shared" si="3"/>
        <v>3.3433333333333435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46071.542255324101</v>
      </c>
      <c r="B10" s="5" t="s">
        <v>61</v>
      </c>
      <c r="C10" s="11">
        <v>0.54231481481481503</v>
      </c>
      <c r="D10" s="11" t="s">
        <v>62</v>
      </c>
      <c r="E10" s="11">
        <v>0.79509259259259302</v>
      </c>
      <c r="F10" s="12">
        <f t="shared" si="1"/>
        <v>6.0666666666666718</v>
      </c>
      <c r="G10" s="13">
        <f t="shared" si="2"/>
        <v>6.0666666666666718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46072.128212384298</v>
      </c>
      <c r="B11" s="5" t="s">
        <v>61</v>
      </c>
      <c r="C11" s="11">
        <v>0.12820601851851901</v>
      </c>
      <c r="D11" s="11" t="s">
        <v>62</v>
      </c>
      <c r="E11" s="11">
        <v>0.29662037037036998</v>
      </c>
      <c r="F11" s="12">
        <f t="shared" si="1"/>
        <v>4.0419444444444235</v>
      </c>
      <c r="G11" s="13">
        <f t="shared" si="2"/>
        <v>0</v>
      </c>
      <c r="H11" s="13">
        <f t="shared" si="3"/>
        <v>4.0419444444444235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46074.350494444399</v>
      </c>
      <c r="B12" s="5" t="s">
        <v>61</v>
      </c>
      <c r="C12" s="11">
        <v>0.350486111111111</v>
      </c>
      <c r="D12" s="11" t="s">
        <v>62</v>
      </c>
      <c r="E12" s="11">
        <v>0.58274305555555606</v>
      </c>
      <c r="F12" s="12">
        <f t="shared" si="1"/>
        <v>5.5741666666666809</v>
      </c>
      <c r="G12" s="13">
        <f t="shared" si="2"/>
        <v>5.5741666666666809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46074.608225578697</v>
      </c>
      <c r="B13" s="5" t="s">
        <v>61</v>
      </c>
      <c r="C13" s="11">
        <v>0.608217592592593</v>
      </c>
      <c r="D13" s="11" t="s">
        <v>62</v>
      </c>
      <c r="E13" s="11">
        <v>0.69178240740740704</v>
      </c>
      <c r="F13" s="12">
        <f t="shared" si="1"/>
        <v>2.0055555555555369</v>
      </c>
      <c r="G13" s="13">
        <f t="shared" si="2"/>
        <v>2.0055555555555369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46075.292626388902</v>
      </c>
      <c r="B14" s="5" t="s">
        <v>61</v>
      </c>
      <c r="C14" s="11">
        <v>0.29261574074074098</v>
      </c>
      <c r="D14" s="11" t="s">
        <v>62</v>
      </c>
      <c r="E14" s="11">
        <v>0.50453703703703701</v>
      </c>
      <c r="F14" s="12">
        <f t="shared" si="1"/>
        <v>5.086111111111105</v>
      </c>
      <c r="G14" s="13">
        <f t="shared" si="2"/>
        <v>4.108888888888897</v>
      </c>
      <c r="H14" s="13">
        <f t="shared" si="3"/>
        <v>0.977222222222208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46075.525137268502</v>
      </c>
      <c r="B15" s="5" t="s">
        <v>61</v>
      </c>
      <c r="C15" s="11">
        <v>0.525127314814815</v>
      </c>
      <c r="D15" s="11" t="s">
        <v>62</v>
      </c>
      <c r="E15" s="11">
        <v>0.54865740740740698</v>
      </c>
      <c r="F15" s="12">
        <f t="shared" si="1"/>
        <v>0.56472222222220747</v>
      </c>
      <c r="G15" s="13">
        <f t="shared" si="2"/>
        <v>0.56472222222220747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46075.934502546297</v>
      </c>
      <c r="B16" s="5" t="s">
        <v>61</v>
      </c>
      <c r="C16" s="11">
        <v>0.93450231481481505</v>
      </c>
      <c r="D16" s="11" t="s">
        <v>62</v>
      </c>
      <c r="E16" s="11">
        <v>0.14092592592592601</v>
      </c>
      <c r="F16" s="12">
        <f t="shared" si="1"/>
        <v>4.9541666666666631</v>
      </c>
      <c r="G16" s="13">
        <f t="shared" si="2"/>
        <v>1.5719444444444388</v>
      </c>
      <c r="H16" s="13">
        <f t="shared" si="3"/>
        <v>3.3822222222222242</v>
      </c>
      <c r="I16" s="35" t="s">
        <v>63</v>
      </c>
      <c r="J16" s="36">
        <f t="shared" ref="J16:L16" si="4">J3</f>
        <v>71.348333333333287</v>
      </c>
      <c r="K16" s="37">
        <f t="shared" si="4"/>
        <v>46.088888888888917</v>
      </c>
      <c r="L16" s="38">
        <f t="shared" si="4"/>
        <v>25.259444444444373</v>
      </c>
      <c r="M16" s="39"/>
    </row>
    <row r="17" spans="1:13" ht="20.25" x14ac:dyDescent="0.25">
      <c r="A17" s="10">
        <f t="shared" ca="1" si="0"/>
        <v>46078.5428314815</v>
      </c>
      <c r="B17" s="5" t="s">
        <v>61</v>
      </c>
      <c r="C17" s="11">
        <v>0.54282407407407396</v>
      </c>
      <c r="D17" s="11" t="s">
        <v>62</v>
      </c>
      <c r="E17" s="11">
        <v>0.79775462962962995</v>
      </c>
      <c r="F17" s="12">
        <f t="shared" si="1"/>
        <v>6.1183333333333438</v>
      </c>
      <c r="G17" s="13">
        <f t="shared" si="2"/>
        <v>6.1183333333333438</v>
      </c>
      <c r="H17" s="13">
        <f t="shared" si="3"/>
        <v>0</v>
      </c>
      <c r="I17" s="35" t="s">
        <v>75</v>
      </c>
      <c r="J17" s="36">
        <f>J4+J5+J6+J7+J10</f>
        <v>3.0955555555555487</v>
      </c>
      <c r="K17" s="37">
        <f>K4+K5+K6+K7+K10</f>
        <v>0</v>
      </c>
      <c r="L17" s="38">
        <f>L4+L5+L6+L7+L10</f>
        <v>3.0955555555555487</v>
      </c>
      <c r="M17" s="39"/>
    </row>
    <row r="18" spans="1:13" ht="20.25" x14ac:dyDescent="0.25">
      <c r="A18" s="10">
        <f t="shared" ca="1" si="0"/>
        <v>46079.129780208299</v>
      </c>
      <c r="B18" s="5" t="s">
        <v>61</v>
      </c>
      <c r="C18" s="11">
        <v>0.12978009259259299</v>
      </c>
      <c r="D18" s="11" t="s">
        <v>62</v>
      </c>
      <c r="E18" s="11">
        <v>0.29969907407407398</v>
      </c>
      <c r="F18" s="12">
        <f t="shared" si="1"/>
        <v>4.0780555555555438</v>
      </c>
      <c r="G18" s="13">
        <f t="shared" si="2"/>
        <v>0</v>
      </c>
      <c r="H18" s="13">
        <f t="shared" si="3"/>
        <v>4.0780555555555438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46079.775717013901</v>
      </c>
      <c r="B19" s="5" t="s">
        <v>61</v>
      </c>
      <c r="C19" s="11">
        <v>0.77570601851851895</v>
      </c>
      <c r="D19" s="11" t="s">
        <v>62</v>
      </c>
      <c r="E19" s="11">
        <v>0.94340277777777803</v>
      </c>
      <c r="F19" s="12">
        <f t="shared" si="1"/>
        <v>4.0247222222222181</v>
      </c>
      <c r="G19" s="13">
        <f t="shared" si="2"/>
        <v>4.0247222222222181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46080.357259259297</v>
      </c>
      <c r="B20" s="5" t="s">
        <v>61</v>
      </c>
      <c r="C20" s="11">
        <v>0.29197916666666701</v>
      </c>
      <c r="D20" s="11" t="s">
        <v>62</v>
      </c>
      <c r="E20" s="11">
        <v>0.36031249999999998</v>
      </c>
      <c r="F20" s="12">
        <f t="shared" si="1"/>
        <v>1.6399999999999912</v>
      </c>
      <c r="G20" s="13">
        <f t="shared" si="2"/>
        <v>0.64750000000000796</v>
      </c>
      <c r="H20" s="13">
        <f t="shared" si="3"/>
        <v>0.99249999999998328</v>
      </c>
      <c r="I20" s="40" t="s">
        <v>77</v>
      </c>
      <c r="J20" s="65">
        <f>J16+J17+J18+J19</f>
        <v>74.443888888888836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46055.138209259298</v>
      </c>
      <c r="B3" s="5" t="s">
        <v>80</v>
      </c>
      <c r="C3" s="11">
        <v>0.13820601851851899</v>
      </c>
      <c r="D3" s="11" t="s">
        <v>62</v>
      </c>
      <c r="E3" s="11">
        <v>0.29986111111111102</v>
      </c>
      <c r="F3" s="12">
        <f t="shared" ref="F3:F42" si="1">(IF(E3-C3&lt;0,"24:00"-C3+E3,E3-C3))*24</f>
        <v>3.8797222222222087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3.8797222222222087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46055.952048726896</v>
      </c>
      <c r="B4" s="5" t="s">
        <v>82</v>
      </c>
      <c r="C4" s="11">
        <v>0.95204861111111105</v>
      </c>
      <c r="D4" s="11" t="s">
        <v>62</v>
      </c>
      <c r="E4" s="11">
        <v>0.144340277777778</v>
      </c>
      <c r="F4" s="12">
        <f t="shared" si="1"/>
        <v>4.6150000000000064</v>
      </c>
      <c r="G4" s="13">
        <f t="shared" si="2"/>
        <v>1.1508333333333347</v>
      </c>
      <c r="H4" s="13">
        <f t="shared" si="3"/>
        <v>3.4641666666666717</v>
      </c>
      <c r="I4" s="21" t="s">
        <v>64</v>
      </c>
      <c r="J4" s="22">
        <f>SUMIF(B:B,"西塔台管制席",F:F)+SUMIF(B:B,"东塔台管制席",F:F)</f>
        <v>19.520555555555553</v>
      </c>
      <c r="K4" s="23">
        <f>SUMIF(B:B,"西塔台管制席",G:G)+SUMIF(B:B,"东塔台管制席",G:G)</f>
        <v>9.9208333333333449</v>
      </c>
      <c r="L4" s="23">
        <f>SUMIF(B:B,"西塔台管制席",H:H)+SUMIF(B:B,"东塔台管制席",H:H)</f>
        <v>9.5997222222222103</v>
      </c>
      <c r="M4" s="19"/>
    </row>
    <row r="5" spans="1:16" ht="18.75" x14ac:dyDescent="0.25">
      <c r="A5" s="10">
        <f t="shared" ca="1" si="0"/>
        <v>46058.500340509301</v>
      </c>
      <c r="B5" s="5" t="s">
        <v>81</v>
      </c>
      <c r="C5" s="11">
        <v>0.50033564814814802</v>
      </c>
      <c r="D5" s="11" t="s">
        <v>62</v>
      </c>
      <c r="E5" s="11">
        <v>0.63209490740740704</v>
      </c>
      <c r="F5" s="12">
        <f t="shared" si="1"/>
        <v>3.1622222222222165</v>
      </c>
      <c r="G5" s="13">
        <f t="shared" si="2"/>
        <v>3.1622222222222165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32.37638888888894</v>
      </c>
      <c r="K5" s="23">
        <f>SUMIF(B:B,"西塔台协调席",G:G)+SUMIF(B:B,"东塔台协调席",G:G)</f>
        <v>21.964722222222285</v>
      </c>
      <c r="L5" s="23">
        <f>SUMIF(B:B,"西塔台协调席",H:H)+SUMIF(B:B,"东塔台协调席",H:H)</f>
        <v>10.411666666666658</v>
      </c>
      <c r="M5" s="19"/>
    </row>
    <row r="6" spans="1:16" ht="18.75" x14ac:dyDescent="0.25">
      <c r="A6" s="10">
        <f t="shared" ca="1" si="0"/>
        <v>46058.716443286998</v>
      </c>
      <c r="B6" s="5" t="s">
        <v>81</v>
      </c>
      <c r="C6" s="11">
        <v>0.71643518518518501</v>
      </c>
      <c r="D6" s="11" t="s">
        <v>62</v>
      </c>
      <c r="E6" s="11">
        <v>0.80186342592592597</v>
      </c>
      <c r="F6" s="12">
        <f t="shared" si="1"/>
        <v>2.050277777777783</v>
      </c>
      <c r="G6" s="13">
        <f t="shared" si="2"/>
        <v>2.050277777777783</v>
      </c>
      <c r="H6" s="13">
        <f t="shared" si="3"/>
        <v>0</v>
      </c>
      <c r="I6" s="21" t="s">
        <v>66</v>
      </c>
      <c r="J6" s="22">
        <f>SUMIF(B:B,"放行席",F:F)</f>
        <v>2.0933333333333524</v>
      </c>
      <c r="K6" s="23">
        <f>SUMIF(B:B,"放行席",G:G)</f>
        <v>0</v>
      </c>
      <c r="L6" s="23">
        <f>SUMIF(B:B,"放行席",H:H)</f>
        <v>2.0933333333333524</v>
      </c>
      <c r="M6" s="19"/>
    </row>
    <row r="7" spans="1:16" ht="18.75" x14ac:dyDescent="0.25">
      <c r="A7" s="10">
        <f t="shared" ca="1" si="0"/>
        <v>46058.875625578701</v>
      </c>
      <c r="B7" s="5" t="s">
        <v>78</v>
      </c>
      <c r="C7" s="11">
        <v>0.87562499999999999</v>
      </c>
      <c r="D7" s="11" t="s">
        <v>62</v>
      </c>
      <c r="E7" s="11">
        <v>0.95825231481481499</v>
      </c>
      <c r="F7" s="12">
        <f t="shared" si="1"/>
        <v>1.98305555555556</v>
      </c>
      <c r="G7" s="13">
        <f t="shared" si="2"/>
        <v>1.98305555555556</v>
      </c>
      <c r="H7" s="13">
        <f t="shared" si="3"/>
        <v>0</v>
      </c>
      <c r="I7" s="21" t="s">
        <v>67</v>
      </c>
      <c r="J7" s="22">
        <f>SUMIF(B:B,"地面席",F:F)</f>
        <v>3.6202777777777682</v>
      </c>
      <c r="K7" s="23">
        <f>SUMIF(B:B,"地面席",G:G)</f>
        <v>0</v>
      </c>
      <c r="L7" s="23">
        <f>SUMIF(B:B,"地面席",H:H)</f>
        <v>3.6202777777777682</v>
      </c>
      <c r="M7" s="19"/>
    </row>
    <row r="8" spans="1:16" ht="18.75" x14ac:dyDescent="0.25">
      <c r="A8" s="10">
        <f t="shared" ca="1" si="0"/>
        <v>46059.292415162003</v>
      </c>
      <c r="B8" s="5" t="s">
        <v>82</v>
      </c>
      <c r="C8" s="11">
        <v>0.29240740740740701</v>
      </c>
      <c r="D8" s="11" t="s">
        <v>62</v>
      </c>
      <c r="E8" s="11">
        <v>0.38157407407407401</v>
      </c>
      <c r="F8" s="12">
        <f t="shared" si="1"/>
        <v>2.1400000000000081</v>
      </c>
      <c r="G8" s="13">
        <f t="shared" si="2"/>
        <v>1.1577777777777847</v>
      </c>
      <c r="H8" s="13">
        <f t="shared" si="3"/>
        <v>0.98222222222222344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46059.501567245403</v>
      </c>
      <c r="B9" s="5" t="s">
        <v>82</v>
      </c>
      <c r="C9" s="11">
        <v>0.50156250000000002</v>
      </c>
      <c r="D9" s="11" t="s">
        <v>62</v>
      </c>
      <c r="E9" s="11">
        <v>0.59026620370370397</v>
      </c>
      <c r="F9" s="12">
        <f t="shared" si="1"/>
        <v>2.1288888888888948</v>
      </c>
      <c r="G9" s="13">
        <f t="shared" si="2"/>
        <v>2.1288888888888948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46059.667493865702</v>
      </c>
      <c r="B10" s="5" t="s">
        <v>80</v>
      </c>
      <c r="C10" s="11">
        <v>0.66748842592592605</v>
      </c>
      <c r="D10" s="11" t="s">
        <v>62</v>
      </c>
      <c r="E10" s="11">
        <v>0.77579861111111104</v>
      </c>
      <c r="F10" s="12">
        <f t="shared" si="1"/>
        <v>2.5994444444444396</v>
      </c>
      <c r="G10" s="13">
        <f t="shared" si="2"/>
        <v>2.5994444444444396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46060.293234027798</v>
      </c>
      <c r="B11" s="5" t="s">
        <v>82</v>
      </c>
      <c r="C11" s="11">
        <v>0.29322916666666698</v>
      </c>
      <c r="D11" s="11" t="s">
        <v>62</v>
      </c>
      <c r="E11" s="11">
        <v>0.36290509259259301</v>
      </c>
      <c r="F11" s="12">
        <f t="shared" si="1"/>
        <v>1.6722222222222247</v>
      </c>
      <c r="G11" s="13">
        <f t="shared" si="2"/>
        <v>0.7097222222222408</v>
      </c>
      <c r="H11" s="13">
        <f t="shared" si="3"/>
        <v>0.96249999999998392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46063.131952199103</v>
      </c>
      <c r="B12" s="5" t="s">
        <v>79</v>
      </c>
      <c r="C12" s="11">
        <v>0.131944444444444</v>
      </c>
      <c r="D12" s="11" t="s">
        <v>62</v>
      </c>
      <c r="E12" s="11">
        <v>0.21916666666666701</v>
      </c>
      <c r="F12" s="12">
        <f t="shared" si="1"/>
        <v>2.0933333333333524</v>
      </c>
      <c r="G12" s="13">
        <f t="shared" si="2"/>
        <v>0</v>
      </c>
      <c r="H12" s="13">
        <f t="shared" si="3"/>
        <v>2.0933333333333524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46064.139164814798</v>
      </c>
      <c r="B13" s="5" t="s">
        <v>80</v>
      </c>
      <c r="C13" s="11">
        <v>0.13915509259259301</v>
      </c>
      <c r="D13" s="11" t="s">
        <v>62</v>
      </c>
      <c r="E13" s="11">
        <v>0.298680555555556</v>
      </c>
      <c r="F13" s="12">
        <f t="shared" si="1"/>
        <v>3.8286111111111119</v>
      </c>
      <c r="G13" s="13">
        <f t="shared" si="2"/>
        <v>0</v>
      </c>
      <c r="H13" s="13">
        <f t="shared" si="3"/>
        <v>3.8286111111111119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46067.140080092599</v>
      </c>
      <c r="B14" s="5" t="s">
        <v>83</v>
      </c>
      <c r="C14" s="11">
        <v>0.140069444444444</v>
      </c>
      <c r="D14" s="11" t="s">
        <v>62</v>
      </c>
      <c r="E14" s="11">
        <v>0.21861111111111101</v>
      </c>
      <c r="F14" s="12">
        <f t="shared" si="1"/>
        <v>1.8850000000000082</v>
      </c>
      <c r="G14" s="13">
        <f t="shared" si="2"/>
        <v>0</v>
      </c>
      <c r="H14" s="13">
        <f t="shared" si="3"/>
        <v>1.8850000000000082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46067.229959027798</v>
      </c>
      <c r="B15" s="5" t="s">
        <v>81</v>
      </c>
      <c r="C15" s="11">
        <v>0.21814814814814801</v>
      </c>
      <c r="D15" s="11" t="s">
        <v>62</v>
      </c>
      <c r="E15" s="11">
        <v>0.29943287037036997</v>
      </c>
      <c r="F15" s="12">
        <f t="shared" si="1"/>
        <v>1.9508333333333272</v>
      </c>
      <c r="G15" s="13">
        <f t="shared" si="2"/>
        <v>0</v>
      </c>
      <c r="H15" s="13">
        <f t="shared" si="3"/>
        <v>1.9508333333333272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46067.6674128472</v>
      </c>
      <c r="B16" s="5" t="s">
        <v>78</v>
      </c>
      <c r="C16" s="11">
        <v>0.66740740740740701</v>
      </c>
      <c r="D16" s="11" t="s">
        <v>62</v>
      </c>
      <c r="E16" s="11">
        <v>0.74233796296296295</v>
      </c>
      <c r="F16" s="12">
        <f t="shared" si="1"/>
        <v>1.7983333333333427</v>
      </c>
      <c r="G16" s="13">
        <f t="shared" si="2"/>
        <v>1.7983333333333427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46067.755292824098</v>
      </c>
      <c r="B17" s="5" t="s">
        <v>78</v>
      </c>
      <c r="C17" s="11">
        <v>0.75528935185185198</v>
      </c>
      <c r="D17" s="11" t="s">
        <v>62</v>
      </c>
      <c r="E17" s="11">
        <v>0.79987268518518495</v>
      </c>
      <c r="F17" s="12">
        <f t="shared" si="1"/>
        <v>1.0699999999999914</v>
      </c>
      <c r="G17" s="13">
        <f t="shared" si="2"/>
        <v>1.0699999999999914</v>
      </c>
      <c r="H17" s="13">
        <f t="shared" si="3"/>
        <v>0</v>
      </c>
      <c r="I17" s="35" t="s">
        <v>75</v>
      </c>
      <c r="J17" s="36">
        <f>J4+J5+J6+J7+J10</f>
        <v>57.610555555555614</v>
      </c>
      <c r="K17" s="37">
        <f>K4+K5+K6+K7+K10</f>
        <v>31.88555555555563</v>
      </c>
      <c r="L17" s="38">
        <f>L4+L5+L6+L7+L10</f>
        <v>25.724999999999987</v>
      </c>
      <c r="M17" s="39"/>
    </row>
    <row r="18" spans="1:13" ht="20.25" x14ac:dyDescent="0.25">
      <c r="A18" s="10">
        <f t="shared" ca="1" si="0"/>
        <v>46067.951663078697</v>
      </c>
      <c r="B18" s="5" t="s">
        <v>81</v>
      </c>
      <c r="C18" s="11">
        <v>0.95165509259259295</v>
      </c>
      <c r="D18" s="11" t="s">
        <v>62</v>
      </c>
      <c r="E18" s="11">
        <v>1.1724537037037E-2</v>
      </c>
      <c r="F18" s="12">
        <f t="shared" si="1"/>
        <v>1.4416666666666571</v>
      </c>
      <c r="G18" s="13">
        <f t="shared" si="2"/>
        <v>1.1602777777777691</v>
      </c>
      <c r="H18" s="13">
        <f t="shared" si="3"/>
        <v>0.28138888888888802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46068.0118021991</v>
      </c>
      <c r="B19" s="5" t="s">
        <v>80</v>
      </c>
      <c r="C19" s="11">
        <v>1.1793981481481501E-2</v>
      </c>
      <c r="D19" s="11" t="s">
        <v>62</v>
      </c>
      <c r="E19" s="11">
        <v>9.0601851851851906E-2</v>
      </c>
      <c r="F19" s="12">
        <f t="shared" si="1"/>
        <v>1.8913888888888897</v>
      </c>
      <c r="G19" s="13">
        <f t="shared" si="2"/>
        <v>0</v>
      </c>
      <c r="H19" s="13">
        <f t="shared" si="3"/>
        <v>1.8913888888888897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46070.520790625</v>
      </c>
      <c r="B20" s="5" t="s">
        <v>82</v>
      </c>
      <c r="C20" s="11">
        <v>0.52145833333333302</v>
      </c>
      <c r="D20" s="11" t="s">
        <v>62</v>
      </c>
      <c r="E20" s="11">
        <v>0.65199074074074104</v>
      </c>
      <c r="F20" s="12">
        <f t="shared" si="1"/>
        <v>3.1327777777777923</v>
      </c>
      <c r="G20" s="13">
        <f t="shared" si="2"/>
        <v>3.1327777777777923</v>
      </c>
      <c r="H20" s="13">
        <f t="shared" si="3"/>
        <v>0</v>
      </c>
      <c r="I20" s="40" t="s">
        <v>77</v>
      </c>
      <c r="J20" s="65">
        <f>J16+J17+J18+J19</f>
        <v>57.610555555555614</v>
      </c>
      <c r="K20" s="66"/>
      <c r="L20" s="67"/>
      <c r="M20" s="41"/>
    </row>
    <row r="21" spans="1:13" ht="20.25" x14ac:dyDescent="0.25">
      <c r="A21" s="10">
        <f t="shared" ca="1" si="0"/>
        <v>46070.771844907402</v>
      </c>
      <c r="B21" s="5" t="s">
        <v>80</v>
      </c>
      <c r="C21" s="11">
        <v>0.77184027777777797</v>
      </c>
      <c r="D21" s="11" t="s">
        <v>62</v>
      </c>
      <c r="E21" s="11">
        <v>0.79668981481481504</v>
      </c>
      <c r="F21" s="12">
        <f t="shared" si="1"/>
        <v>0.59638888888888975</v>
      </c>
      <c r="G21" s="13">
        <f t="shared" si="2"/>
        <v>0.59638888888888975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46070.8341194444</v>
      </c>
      <c r="B22" s="5" t="s">
        <v>80</v>
      </c>
      <c r="C22" s="11">
        <v>0.83410879629629597</v>
      </c>
      <c r="D22" s="11" t="s">
        <v>62</v>
      </c>
      <c r="E22" s="11">
        <v>0.912175925925926</v>
      </c>
      <c r="F22" s="12">
        <f t="shared" si="1"/>
        <v>1.8736111111111207</v>
      </c>
      <c r="G22" s="13">
        <f t="shared" si="2"/>
        <v>1.8736111111111207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46071.293046643499</v>
      </c>
      <c r="B23" s="5" t="s">
        <v>82</v>
      </c>
      <c r="C23" s="11">
        <v>0.29304398148148098</v>
      </c>
      <c r="D23" s="11" t="s">
        <v>62</v>
      </c>
      <c r="E23" s="11">
        <v>0.301261574074074</v>
      </c>
      <c r="F23" s="12">
        <f t="shared" si="1"/>
        <v>0.19722222222223262</v>
      </c>
      <c r="G23" s="13">
        <f t="shared" si="2"/>
        <v>0</v>
      </c>
      <c r="H23" s="13">
        <f t="shared" si="3"/>
        <v>0.19722222222223262</v>
      </c>
      <c r="I23"/>
      <c r="J23"/>
    </row>
    <row r="24" spans="1:13" ht="18.75" x14ac:dyDescent="0.15">
      <c r="A24" s="10">
        <f t="shared" ca="1" si="0"/>
        <v>46071.329648958301</v>
      </c>
      <c r="B24" s="5" t="s">
        <v>82</v>
      </c>
      <c r="C24" s="11">
        <v>0.32964120370370398</v>
      </c>
      <c r="D24" s="11" t="s">
        <v>62</v>
      </c>
      <c r="E24" s="11">
        <v>0.46081018518518502</v>
      </c>
      <c r="F24" s="12">
        <f t="shared" si="1"/>
        <v>3.1480555555555449</v>
      </c>
      <c r="G24" s="13">
        <f t="shared" si="2"/>
        <v>3.0594444444444489</v>
      </c>
      <c r="H24" s="13">
        <f t="shared" si="3"/>
        <v>8.8611111111096097E-2</v>
      </c>
      <c r="I24"/>
      <c r="J24"/>
    </row>
    <row r="25" spans="1:13" ht="18.75" x14ac:dyDescent="0.15">
      <c r="A25" s="10">
        <f t="shared" ca="1" si="0"/>
        <v>46071.542725810199</v>
      </c>
      <c r="B25" s="5" t="s">
        <v>82</v>
      </c>
      <c r="C25" s="11">
        <v>0.54271990740740705</v>
      </c>
      <c r="D25" s="11" t="s">
        <v>62</v>
      </c>
      <c r="E25" s="11">
        <v>0.67263888888888901</v>
      </c>
      <c r="F25" s="12">
        <f t="shared" si="1"/>
        <v>3.1180555555555669</v>
      </c>
      <c r="G25" s="13">
        <f t="shared" si="2"/>
        <v>3.1180555555555669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46079.138239699103</v>
      </c>
      <c r="B26" s="5" t="s">
        <v>83</v>
      </c>
      <c r="C26" s="11">
        <v>0.13822916666666701</v>
      </c>
      <c r="D26" s="11" t="s">
        <v>62</v>
      </c>
      <c r="E26" s="11">
        <v>0.210532407407407</v>
      </c>
      <c r="F26" s="12">
        <f t="shared" si="1"/>
        <v>1.7352777777777597</v>
      </c>
      <c r="G26" s="13">
        <f t="shared" si="2"/>
        <v>0</v>
      </c>
      <c r="H26" s="13">
        <f t="shared" si="3"/>
        <v>1.7352777777777597</v>
      </c>
      <c r="I26"/>
      <c r="J26"/>
    </row>
    <row r="27" spans="1:13" ht="18.75" x14ac:dyDescent="0.15">
      <c r="A27" s="10">
        <f t="shared" ca="1" si="0"/>
        <v>46079.952741319401</v>
      </c>
      <c r="B27" s="5" t="s">
        <v>82</v>
      </c>
      <c r="C27" s="11">
        <v>0.95273148148148101</v>
      </c>
      <c r="D27" s="11" t="s">
        <v>62</v>
      </c>
      <c r="E27" s="11">
        <v>0.10353009259259301</v>
      </c>
      <c r="F27" s="12">
        <f t="shared" si="1"/>
        <v>3.6191666666666875</v>
      </c>
      <c r="G27" s="13">
        <f t="shared" si="2"/>
        <v>1.1344444444444552</v>
      </c>
      <c r="H27" s="13">
        <f t="shared" si="3"/>
        <v>2.4847222222222323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ca="1">IF(B3="","",IF(A3="",NOW(),A3))</f>
        <v>46054.356886921298</v>
      </c>
      <c r="B3" s="5" t="s">
        <v>82</v>
      </c>
      <c r="C3" s="11">
        <v>0.35688657407407398</v>
      </c>
      <c r="D3" s="11" t="s">
        <v>62</v>
      </c>
      <c r="E3" s="11">
        <v>0.52738425925925903</v>
      </c>
      <c r="F3" s="12">
        <f>(IF(E3-C3&lt;0,"24:00"-C3+E3,E3-C3))*24</f>
        <v>4.0919444444444411</v>
      </c>
      <c r="G3" s="13">
        <f>F3-H3</f>
        <v>4.0919444444444411</v>
      </c>
      <c r="H3" s="13">
        <f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ref="A4:A42" ca="1" si="0">IF(B4="","",IF(A4="",NOW(),A4))</f>
        <v>46054.646961574101</v>
      </c>
      <c r="B4" s="5" t="s">
        <v>80</v>
      </c>
      <c r="C4" s="11">
        <v>0.64695601851851803</v>
      </c>
      <c r="D4" s="11" t="s">
        <v>62</v>
      </c>
      <c r="E4" s="11">
        <v>0.77883101851851899</v>
      </c>
      <c r="F4" s="12">
        <f t="shared" ref="F4:F42" si="1">(IF(E4-C4&lt;0,"24:00"-C4+E4,E4-C4))*24</f>
        <v>3.1650000000000231</v>
      </c>
      <c r="G4" s="13">
        <f t="shared" ref="G4:G42" si="2">F4-H4</f>
        <v>3.1650000000000231</v>
      </c>
      <c r="H4" s="13">
        <f t="shared" ref="H4:H42" si="3">(IF(AND(C4&gt;=$O$3,C4&lt;$P$3,E4&gt;=$O$3,E4&lt;$P$3),E4-C4,IF(AND(C4&gt;=$O$3,C4&lt;$P$3,E4&gt;=$P$3,E4&lt;$N$3),$P$3-C4,IF(AND(C4&gt;=$P$3,C4&lt;$N$3,E4&gt;=$O$3,E4&lt;$P$3),E4,IF(AND(C4&gt;=$P$3,C4&lt;$N$3,E4&gt;=$P$3,E4&lt;$N$3),"0","none")))))*24</f>
        <v>0</v>
      </c>
      <c r="I4" s="21" t="s">
        <v>64</v>
      </c>
      <c r="J4" s="22">
        <f>SUMIF(B:B,"西塔台管制席",F:F)+SUMIF(B:B,"东塔台管制席",F:F)</f>
        <v>22.015555555555537</v>
      </c>
      <c r="K4" s="23">
        <f>SUMIF(B:B,"西塔台管制席",G:G)+SUMIF(B:B,"东塔台管制席",G:G)</f>
        <v>18.17138888888887</v>
      </c>
      <c r="L4" s="23">
        <f>SUMIF(B:B,"西塔台管制席",H:H)+SUMIF(B:B,"东塔台管制席",H:H)</f>
        <v>3.8441666666666641</v>
      </c>
      <c r="M4" s="19"/>
    </row>
    <row r="5" spans="1:16" ht="18.75" x14ac:dyDescent="0.25">
      <c r="A5" s="10">
        <f t="shared" ca="1" si="0"/>
        <v>46055.417176851799</v>
      </c>
      <c r="B5" s="5" t="s">
        <v>82</v>
      </c>
      <c r="C5" s="11">
        <v>0.41717592592592601</v>
      </c>
      <c r="D5" s="11" t="s">
        <v>62</v>
      </c>
      <c r="E5" s="11">
        <v>0.54100694444444397</v>
      </c>
      <c r="F5" s="12">
        <f t="shared" si="1"/>
        <v>2.9719444444444312</v>
      </c>
      <c r="G5" s="13">
        <f t="shared" si="2"/>
        <v>2.9719444444444312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31.558888888888873</v>
      </c>
      <c r="K5" s="23">
        <f>SUMIF(B:B,"西塔台协调席",G:G)+SUMIF(B:B,"东塔台协调席",G:G)</f>
        <v>25.759722222222219</v>
      </c>
      <c r="L5" s="23">
        <f>SUMIF(B:B,"西塔台协调席",H:H)+SUMIF(B:B,"东塔台协调席",H:H)</f>
        <v>5.7991666666666539</v>
      </c>
      <c r="M5" s="19"/>
    </row>
    <row r="6" spans="1:16" ht="18.75" x14ac:dyDescent="0.25">
      <c r="A6" s="10">
        <f t="shared" ca="1" si="0"/>
        <v>46055.666958217596</v>
      </c>
      <c r="B6" s="5" t="s">
        <v>82</v>
      </c>
      <c r="C6" s="11">
        <v>0.66695601851851805</v>
      </c>
      <c r="D6" s="11" t="s">
        <v>62</v>
      </c>
      <c r="E6" s="11">
        <v>0.79956018518518501</v>
      </c>
      <c r="F6" s="12">
        <f t="shared" si="1"/>
        <v>3.1825000000000072</v>
      </c>
      <c r="G6" s="13">
        <f t="shared" si="2"/>
        <v>3.1825000000000072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46071.138113425899</v>
      </c>
      <c r="B7" s="5" t="s">
        <v>80</v>
      </c>
      <c r="C7" s="11">
        <v>0.138622685185185</v>
      </c>
      <c r="D7" s="11" t="s">
        <v>62</v>
      </c>
      <c r="E7" s="11">
        <v>0.298796296296296</v>
      </c>
      <c r="F7" s="12">
        <f t="shared" si="1"/>
        <v>3.8441666666666641</v>
      </c>
      <c r="G7" s="13">
        <f t="shared" si="2"/>
        <v>0</v>
      </c>
      <c r="H7" s="13">
        <f t="shared" si="3"/>
        <v>3.8441666666666641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46071.6671840278</v>
      </c>
      <c r="B8" s="5" t="s">
        <v>82</v>
      </c>
      <c r="C8" s="11">
        <v>0.66717592592592601</v>
      </c>
      <c r="D8" s="11" t="s">
        <v>62</v>
      </c>
      <c r="E8" s="11">
        <v>0.79956018518518501</v>
      </c>
      <c r="F8" s="12">
        <f t="shared" si="1"/>
        <v>3.1772222222222162</v>
      </c>
      <c r="G8" s="13">
        <f t="shared" si="2"/>
        <v>3.1772222222222162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46072.140199884299</v>
      </c>
      <c r="B9" s="5" t="s">
        <v>82</v>
      </c>
      <c r="C9" s="11">
        <v>0.14019675925925901</v>
      </c>
      <c r="D9" s="11" t="s">
        <v>62</v>
      </c>
      <c r="E9" s="11">
        <v>0.29981481481481498</v>
      </c>
      <c r="F9" s="12">
        <f t="shared" si="1"/>
        <v>3.8308333333333433</v>
      </c>
      <c r="G9" s="13">
        <f t="shared" si="2"/>
        <v>0</v>
      </c>
      <c r="H9" s="13">
        <f t="shared" si="3"/>
        <v>3.8308333333333433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46074.522090161998</v>
      </c>
      <c r="B10" s="5" t="s">
        <v>82</v>
      </c>
      <c r="C10" s="11">
        <v>0.52208333333333301</v>
      </c>
      <c r="D10" s="11" t="s">
        <v>62</v>
      </c>
      <c r="E10" s="11">
        <v>0.533865740740741</v>
      </c>
      <c r="F10" s="12">
        <f t="shared" si="1"/>
        <v>0.28277777777779178</v>
      </c>
      <c r="G10" s="13">
        <f t="shared" si="2"/>
        <v>0.28277777777779178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46074.545470254598</v>
      </c>
      <c r="B11" s="5" t="s">
        <v>82</v>
      </c>
      <c r="C11" s="11">
        <v>0.54546296296296304</v>
      </c>
      <c r="D11" s="11" t="s">
        <v>62</v>
      </c>
      <c r="E11" s="11">
        <v>0.65186342592592605</v>
      </c>
      <c r="F11" s="12">
        <f t="shared" si="1"/>
        <v>2.5536111111111124</v>
      </c>
      <c r="G11" s="13">
        <f t="shared" si="2"/>
        <v>2.5536111111111124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46074.958720486102</v>
      </c>
      <c r="B12" s="5" t="s">
        <v>82</v>
      </c>
      <c r="C12" s="11">
        <v>0.89413194444444499</v>
      </c>
      <c r="D12" s="11" t="s">
        <v>62</v>
      </c>
      <c r="E12" s="11">
        <v>0.95873842592592595</v>
      </c>
      <c r="F12" s="12">
        <f t="shared" si="1"/>
        <v>1.550555555555543</v>
      </c>
      <c r="G12" s="13">
        <f t="shared" si="2"/>
        <v>1.550555555555543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46075.291980902803</v>
      </c>
      <c r="B13" s="5" t="s">
        <v>82</v>
      </c>
      <c r="C13" s="11">
        <v>0.29197916666666701</v>
      </c>
      <c r="D13" s="11" t="s">
        <v>62</v>
      </c>
      <c r="E13" s="11">
        <v>0.422604166666667</v>
      </c>
      <c r="F13" s="12">
        <f t="shared" si="1"/>
        <v>3.1349999999999998</v>
      </c>
      <c r="G13" s="13">
        <f t="shared" si="2"/>
        <v>2.1425000000000165</v>
      </c>
      <c r="H13" s="13">
        <f t="shared" si="3"/>
        <v>0.99249999999998328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46075.520082523202</v>
      </c>
      <c r="B14" s="5" t="s">
        <v>80</v>
      </c>
      <c r="C14" s="11">
        <v>0.52008101851851896</v>
      </c>
      <c r="D14" s="11" t="s">
        <v>62</v>
      </c>
      <c r="E14" s="11">
        <v>0.632546296296296</v>
      </c>
      <c r="F14" s="12">
        <f t="shared" si="1"/>
        <v>2.699166666666649</v>
      </c>
      <c r="G14" s="13">
        <f t="shared" si="2"/>
        <v>2.699166666666649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46075.755137847198</v>
      </c>
      <c r="B15" s="5" t="s">
        <v>80</v>
      </c>
      <c r="C15" s="11">
        <v>0.75512731481481499</v>
      </c>
      <c r="D15" s="11" t="s">
        <v>62</v>
      </c>
      <c r="E15" s="11">
        <v>0.86239583333333303</v>
      </c>
      <c r="F15" s="12">
        <f t="shared" si="1"/>
        <v>2.574444444444433</v>
      </c>
      <c r="G15" s="13">
        <f t="shared" si="2"/>
        <v>2.574444444444433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46078.5226422454</v>
      </c>
      <c r="B16" s="5" t="s">
        <v>82</v>
      </c>
      <c r="C16" s="11">
        <v>0.52263888888888899</v>
      </c>
      <c r="D16" s="11" t="s">
        <v>62</v>
      </c>
      <c r="E16" s="11">
        <v>0.65381944444444395</v>
      </c>
      <c r="F16" s="12">
        <f t="shared" si="1"/>
        <v>3.1483333333333192</v>
      </c>
      <c r="G16" s="13">
        <f t="shared" si="2"/>
        <v>3.1483333333333192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46078.7724572917</v>
      </c>
      <c r="B17" s="5" t="s">
        <v>80</v>
      </c>
      <c r="C17" s="11">
        <v>0.77245370370370403</v>
      </c>
      <c r="D17" s="11" t="s">
        <v>62</v>
      </c>
      <c r="E17" s="11">
        <v>0.901284722222222</v>
      </c>
      <c r="F17" s="12">
        <f t="shared" si="1"/>
        <v>3.0919444444444313</v>
      </c>
      <c r="G17" s="13">
        <f t="shared" si="2"/>
        <v>3.0919444444444313</v>
      </c>
      <c r="H17" s="13">
        <f t="shared" si="3"/>
        <v>0</v>
      </c>
      <c r="I17" s="35" t="s">
        <v>75</v>
      </c>
      <c r="J17" s="36">
        <f>J4+J5+J6+J7+J10</f>
        <v>53.57444444444441</v>
      </c>
      <c r="K17" s="37">
        <f>K4+K5+K6+K7+K10</f>
        <v>43.931111111111093</v>
      </c>
      <c r="L17" s="38">
        <f>L4+L5+L6+L7+L10</f>
        <v>9.6433333333333184</v>
      </c>
      <c r="M17" s="39"/>
    </row>
    <row r="18" spans="1:13" ht="20.25" x14ac:dyDescent="0.25">
      <c r="A18" s="10">
        <f t="shared" ca="1" si="0"/>
        <v>46079.418210069402</v>
      </c>
      <c r="B18" s="5" t="s">
        <v>80</v>
      </c>
      <c r="C18" s="11">
        <v>0.41820601851851902</v>
      </c>
      <c r="D18" s="11" t="s">
        <v>62</v>
      </c>
      <c r="E18" s="11">
        <v>0.52825231481481505</v>
      </c>
      <c r="F18" s="12">
        <f t="shared" si="1"/>
        <v>2.6411111111111047</v>
      </c>
      <c r="G18" s="13">
        <f t="shared" si="2"/>
        <v>2.6411111111111047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46079.632868055603</v>
      </c>
      <c r="B19" s="5" t="s">
        <v>80</v>
      </c>
      <c r="C19" s="11">
        <v>0.63285879629629604</v>
      </c>
      <c r="D19" s="11" t="s">
        <v>62</v>
      </c>
      <c r="E19" s="11">
        <v>0.79951388888888897</v>
      </c>
      <c r="F19" s="12">
        <f t="shared" si="1"/>
        <v>3.9997222222222302</v>
      </c>
      <c r="G19" s="13">
        <f t="shared" si="2"/>
        <v>3.9997222222222302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46079.8754170139</v>
      </c>
      <c r="B20" s="5" t="s">
        <v>82</v>
      </c>
      <c r="C20" s="11">
        <v>0.87541666666666695</v>
      </c>
      <c r="D20" s="11" t="s">
        <v>62</v>
      </c>
      <c r="E20" s="11">
        <v>0.95813657407407404</v>
      </c>
      <c r="F20" s="12">
        <f t="shared" si="1"/>
        <v>1.9852777777777701</v>
      </c>
      <c r="G20" s="13">
        <f t="shared" si="2"/>
        <v>1.9852777777777701</v>
      </c>
      <c r="H20" s="13">
        <f t="shared" si="3"/>
        <v>0</v>
      </c>
      <c r="I20" s="40" t="s">
        <v>77</v>
      </c>
      <c r="J20" s="65">
        <f>J16+J17+J18+J19</f>
        <v>53.57444444444441</v>
      </c>
      <c r="K20" s="66"/>
      <c r="L20" s="67"/>
      <c r="M20" s="41"/>
    </row>
    <row r="21" spans="1:13" ht="20.25" x14ac:dyDescent="0.25">
      <c r="A21" s="10">
        <f t="shared" ca="1" si="0"/>
        <v>46080.292676273202</v>
      </c>
      <c r="B21" s="5" t="s">
        <v>82</v>
      </c>
      <c r="C21" s="11">
        <v>0.29267361111111101</v>
      </c>
      <c r="D21" s="11" t="s">
        <v>62</v>
      </c>
      <c r="E21" s="11">
        <v>0.361377314814815</v>
      </c>
      <c r="F21" s="12">
        <f t="shared" si="1"/>
        <v>1.6488888888888957</v>
      </c>
      <c r="G21" s="13">
        <f t="shared" si="2"/>
        <v>0.6730555555555684</v>
      </c>
      <c r="H21" s="13">
        <f t="shared" si="3"/>
        <v>0.97583333333332734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42"/>
  <sheetViews>
    <sheetView zoomScale="85" zoomScaleNormal="85" workbookViewId="0">
      <selection activeCell="G89" sqref="G8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46054.520935879598</v>
      </c>
      <c r="B3" s="5" t="s">
        <v>82</v>
      </c>
      <c r="C3" s="11">
        <v>0.52092592592592601</v>
      </c>
      <c r="D3" s="11" t="s">
        <v>62</v>
      </c>
      <c r="E3" s="11">
        <v>0.65244212962963</v>
      </c>
      <c r="F3" s="12">
        <f t="shared" ref="F3:F42" si="1">(IF(E3-C3&lt;0,"24:00"-C3+E3,E3-C3))*24</f>
        <v>3.1563888888888956</v>
      </c>
      <c r="G3" s="13">
        <f t="shared" ref="G3:G42" si="2">F3-H3</f>
        <v>3.1563888888888956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46054.772532870396</v>
      </c>
      <c r="B4" s="5" t="s">
        <v>80</v>
      </c>
      <c r="C4" s="11">
        <v>0.77252314814814804</v>
      </c>
      <c r="D4" s="11" t="s">
        <v>62</v>
      </c>
      <c r="E4" s="11">
        <v>0.90146990740740696</v>
      </c>
      <c r="F4" s="12">
        <f t="shared" si="1"/>
        <v>3.0947222222222139</v>
      </c>
      <c r="G4" s="13">
        <f t="shared" si="2"/>
        <v>3.0947222222222139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16.797777777777711</v>
      </c>
      <c r="K4" s="23">
        <f>SUMIF(B:B,"西塔台管制席",G:G)+SUMIF(B:B,"东塔台管制席",G:G)</f>
        <v>9.906111111111068</v>
      </c>
      <c r="L4" s="23">
        <f>SUMIF(B:B,"西塔台管制席",H:H)+SUMIF(B:B,"东塔台管制席",H:H)</f>
        <v>6.8916666666666426</v>
      </c>
      <c r="M4" s="19"/>
    </row>
    <row r="5" spans="1:16" ht="18.75" x14ac:dyDescent="0.25">
      <c r="A5" s="10">
        <f t="shared" ca="1" si="0"/>
        <v>46056.138607986097</v>
      </c>
      <c r="B5" s="5" t="s">
        <v>83</v>
      </c>
      <c r="C5" s="11">
        <v>0.13859953703703701</v>
      </c>
      <c r="D5" s="11" t="s">
        <v>62</v>
      </c>
      <c r="E5" s="11">
        <v>0.224293981481481</v>
      </c>
      <c r="F5" s="12">
        <f t="shared" si="1"/>
        <v>2.056666666666656</v>
      </c>
      <c r="G5" s="13">
        <f t="shared" si="2"/>
        <v>0</v>
      </c>
      <c r="H5" s="13">
        <f t="shared" si="3"/>
        <v>2.056666666666656</v>
      </c>
      <c r="I5" s="21" t="s">
        <v>65</v>
      </c>
      <c r="J5" s="22">
        <f>SUMIF(B:B,"西塔台协调席",F:F)+SUMIF(B:B,"东塔台协调席",F:F)</f>
        <v>23.583333333333361</v>
      </c>
      <c r="K5" s="23">
        <f>SUMIF(B:B,"西塔台协调席",G:G)+SUMIF(B:B,"东塔台协调席",G:G)</f>
        <v>16.908611111111135</v>
      </c>
      <c r="L5" s="23">
        <f>SUMIF(B:B,"西塔台协调席",H:H)+SUMIF(B:B,"东塔台协调席",H:H)</f>
        <v>6.6747222222222238</v>
      </c>
      <c r="M5" s="19"/>
    </row>
    <row r="6" spans="1:16" ht="18.75" x14ac:dyDescent="0.25">
      <c r="A6" s="10">
        <f t="shared" ca="1" si="0"/>
        <v>46058.355214351897</v>
      </c>
      <c r="B6" s="5" t="s">
        <v>81</v>
      </c>
      <c r="C6" s="11">
        <v>0.35520833333333302</v>
      </c>
      <c r="D6" s="11" t="s">
        <v>62</v>
      </c>
      <c r="E6" s="11">
        <v>0.44511574074074101</v>
      </c>
      <c r="F6" s="12">
        <f t="shared" si="1"/>
        <v>2.1577777777777918</v>
      </c>
      <c r="G6" s="13">
        <f t="shared" si="2"/>
        <v>2.1577777777777918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46058.7931193287</v>
      </c>
      <c r="B7" s="5" t="s">
        <v>78</v>
      </c>
      <c r="C7" s="11">
        <v>0.79341435185185205</v>
      </c>
      <c r="D7" s="11" t="s">
        <v>62</v>
      </c>
      <c r="E7" s="11">
        <v>0.88239583333333305</v>
      </c>
      <c r="F7" s="12">
        <f t="shared" si="1"/>
        <v>2.1355555555555439</v>
      </c>
      <c r="G7" s="13">
        <f t="shared" si="2"/>
        <v>2.1355555555555439</v>
      </c>
      <c r="H7" s="13">
        <f t="shared" si="3"/>
        <v>0</v>
      </c>
      <c r="I7" s="21" t="s">
        <v>67</v>
      </c>
      <c r="J7" s="22">
        <f>SUMIF(B:B,"地面席",F:F)</f>
        <v>2.056666666666656</v>
      </c>
      <c r="K7" s="23">
        <f>SUMIF(B:B,"地面席",G:G)</f>
        <v>0</v>
      </c>
      <c r="L7" s="23">
        <f>SUMIF(B:B,"地面席",H:H)</f>
        <v>2.056666666666656</v>
      </c>
      <c r="M7" s="19"/>
    </row>
    <row r="8" spans="1:16" ht="18.75" x14ac:dyDescent="0.25">
      <c r="A8" s="10">
        <f t="shared" ca="1" si="0"/>
        <v>46059.0148358796</v>
      </c>
      <c r="B8" s="5" t="s">
        <v>82</v>
      </c>
      <c r="C8" s="11">
        <v>1.4826388888888899E-2</v>
      </c>
      <c r="D8" s="11" t="s">
        <v>62</v>
      </c>
      <c r="E8" s="11">
        <v>0.132928240740741</v>
      </c>
      <c r="F8" s="12">
        <f t="shared" si="1"/>
        <v>2.8344444444444505</v>
      </c>
      <c r="G8" s="13">
        <f t="shared" si="2"/>
        <v>0</v>
      </c>
      <c r="H8" s="13">
        <f t="shared" si="3"/>
        <v>2.8344444444444505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46059.501655786997</v>
      </c>
      <c r="B9" s="5" t="s">
        <v>80</v>
      </c>
      <c r="C9" s="11">
        <v>0.501655092592593</v>
      </c>
      <c r="D9" s="11" t="s">
        <v>62</v>
      </c>
      <c r="E9" s="11">
        <v>0.59031250000000002</v>
      </c>
      <c r="F9" s="12">
        <f t="shared" si="1"/>
        <v>2.1277777777777684</v>
      </c>
      <c r="G9" s="13">
        <f t="shared" si="2"/>
        <v>2.1277777777777684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46059.668765162001</v>
      </c>
      <c r="B10" s="5" t="s">
        <v>82</v>
      </c>
      <c r="C10" s="11">
        <v>0.66876157407407399</v>
      </c>
      <c r="D10" s="11" t="s">
        <v>62</v>
      </c>
      <c r="E10" s="11">
        <v>0.75681712962962999</v>
      </c>
      <c r="F10" s="12">
        <f t="shared" si="1"/>
        <v>2.1133333333333439</v>
      </c>
      <c r="G10" s="13">
        <f t="shared" si="2"/>
        <v>2.1133333333333439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46059.834809953703</v>
      </c>
      <c r="B11" s="5" t="s">
        <v>82</v>
      </c>
      <c r="C11" s="11">
        <v>0.83480324074074097</v>
      </c>
      <c r="D11" s="11" t="s">
        <v>62</v>
      </c>
      <c r="E11" s="11">
        <v>0.95625000000000004</v>
      </c>
      <c r="F11" s="12">
        <f t="shared" si="1"/>
        <v>2.9147222222222178</v>
      </c>
      <c r="G11" s="13">
        <f t="shared" si="2"/>
        <v>2.9147222222222178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46066.485129976798</v>
      </c>
      <c r="B12" s="5" t="s">
        <v>82</v>
      </c>
      <c r="C12" s="11">
        <v>0.48512731481481502</v>
      </c>
      <c r="D12" s="11" t="s">
        <v>62</v>
      </c>
      <c r="E12" s="11">
        <v>0.56807870370370395</v>
      </c>
      <c r="F12" s="12">
        <f t="shared" si="1"/>
        <v>1.9908333333333341</v>
      </c>
      <c r="G12" s="13">
        <f t="shared" si="2"/>
        <v>1.9908333333333341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46066.896782407399</v>
      </c>
      <c r="B13" s="5" t="s">
        <v>80</v>
      </c>
      <c r="C13" s="11">
        <v>0.896782407407407</v>
      </c>
      <c r="D13" s="11" t="s">
        <v>62</v>
      </c>
      <c r="E13" s="11">
        <v>0.95754629629629595</v>
      </c>
      <c r="F13" s="12">
        <f t="shared" si="1"/>
        <v>1.4583333333333348</v>
      </c>
      <c r="G13" s="13">
        <f t="shared" si="2"/>
        <v>1.4583333333333348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46067.292699305603</v>
      </c>
      <c r="B14" s="5" t="s">
        <v>82</v>
      </c>
      <c r="C14" s="11">
        <v>0.29269675925925898</v>
      </c>
      <c r="D14" s="11" t="s">
        <v>62</v>
      </c>
      <c r="E14" s="11">
        <v>0.52398148148148105</v>
      </c>
      <c r="F14" s="12">
        <f t="shared" si="1"/>
        <v>5.5508333333333297</v>
      </c>
      <c r="G14" s="13">
        <f t="shared" si="2"/>
        <v>4.5755555555555532</v>
      </c>
      <c r="H14" s="13">
        <f t="shared" si="3"/>
        <v>0.97527777777777613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46067.7927530093</v>
      </c>
      <c r="B15" s="5" t="s">
        <v>78</v>
      </c>
      <c r="C15" s="11">
        <v>0.79274305555555602</v>
      </c>
      <c r="D15" s="11" t="s">
        <v>62</v>
      </c>
      <c r="E15" s="11">
        <v>0.83814814814814798</v>
      </c>
      <c r="F15" s="12">
        <f t="shared" si="1"/>
        <v>1.0897222222222069</v>
      </c>
      <c r="G15" s="13">
        <f t="shared" si="2"/>
        <v>1.0897222222222069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46068.014388425901</v>
      </c>
      <c r="B16" s="5" t="s">
        <v>81</v>
      </c>
      <c r="C16" s="11">
        <v>1.43865740740741E-2</v>
      </c>
      <c r="D16" s="11" t="s">
        <v>62</v>
      </c>
      <c r="E16" s="11">
        <v>0.13376157407407399</v>
      </c>
      <c r="F16" s="12">
        <f t="shared" si="1"/>
        <v>2.8649999999999975</v>
      </c>
      <c r="G16" s="13">
        <f t="shared" si="2"/>
        <v>0</v>
      </c>
      <c r="H16" s="13">
        <f t="shared" si="3"/>
        <v>2.8649999999999975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46079.140166666701</v>
      </c>
      <c r="B17" s="5" t="s">
        <v>78</v>
      </c>
      <c r="C17" s="11">
        <v>0.140162037037037</v>
      </c>
      <c r="D17" s="11" t="s">
        <v>62</v>
      </c>
      <c r="E17" s="11">
        <v>0.27130787037037002</v>
      </c>
      <c r="F17" s="12">
        <f t="shared" si="1"/>
        <v>3.1474999999999924</v>
      </c>
      <c r="G17" s="13">
        <f t="shared" si="2"/>
        <v>0</v>
      </c>
      <c r="H17" s="13">
        <f t="shared" si="3"/>
        <v>3.1474999999999924</v>
      </c>
      <c r="I17" s="35" t="s">
        <v>75</v>
      </c>
      <c r="J17" s="36">
        <f>J4+J5+J6+J7+J10</f>
        <v>42.437777777777725</v>
      </c>
      <c r="K17" s="37">
        <f>K4+K5+K6+K7+K10</f>
        <v>26.814722222222201</v>
      </c>
      <c r="L17" s="38">
        <f>L4+L5+L6+L7+L10</f>
        <v>15.623055555555522</v>
      </c>
      <c r="M17" s="39"/>
    </row>
    <row r="18" spans="1:13" ht="20.25" x14ac:dyDescent="0.25">
      <c r="A18" s="10">
        <f t="shared" ca="1" si="0"/>
        <v>46079.271347453701</v>
      </c>
      <c r="B18" s="5" t="s">
        <v>80</v>
      </c>
      <c r="C18" s="11">
        <v>0.27134259259259302</v>
      </c>
      <c r="D18" s="11" t="s">
        <v>62</v>
      </c>
      <c r="E18" s="11">
        <v>0.29840277777777802</v>
      </c>
      <c r="F18" s="12">
        <f t="shared" si="1"/>
        <v>0.64944444444443983</v>
      </c>
      <c r="G18" s="13">
        <f t="shared" si="2"/>
        <v>0</v>
      </c>
      <c r="H18" s="13">
        <f t="shared" si="3"/>
        <v>0.64944444444443983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46080.015504513904</v>
      </c>
      <c r="B19" s="5" t="s">
        <v>78</v>
      </c>
      <c r="C19" s="11">
        <v>1.5497685185185199E-2</v>
      </c>
      <c r="D19" s="11" t="s">
        <v>62</v>
      </c>
      <c r="E19" s="11">
        <v>0.14444444444444399</v>
      </c>
      <c r="F19" s="12">
        <f t="shared" si="1"/>
        <v>3.0947222222222104</v>
      </c>
      <c r="G19" s="13">
        <f t="shared" si="2"/>
        <v>0</v>
      </c>
      <c r="H19" s="13">
        <f t="shared" si="3"/>
        <v>3.0947222222222104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42.437777777777725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42"/>
  <sheetViews>
    <sheetView zoomScale="85" zoomScaleNormal="85" workbookViewId="0">
      <selection activeCell="L109" sqref="L109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46055.135004166703</v>
      </c>
      <c r="B3" s="5" t="s">
        <v>83</v>
      </c>
      <c r="C3" s="11">
        <v>0.13500000000000001</v>
      </c>
      <c r="D3" s="11" t="s">
        <v>62</v>
      </c>
      <c r="E3" s="11">
        <v>0.220347222222222</v>
      </c>
      <c r="F3" s="12">
        <f t="shared" ref="F3:F42" si="1">(IF(E3-C3&lt;0,"24:00"-C3+E3,E3-C3))*24</f>
        <v>2.0483333333333276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2.0483333333333276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46056.014080786998</v>
      </c>
      <c r="B4" s="5" t="s">
        <v>78</v>
      </c>
      <c r="C4" s="11">
        <v>1.40740740740741E-2</v>
      </c>
      <c r="D4" s="11" t="s">
        <v>62</v>
      </c>
      <c r="E4" s="11">
        <v>0.143761574074074</v>
      </c>
      <c r="F4" s="12">
        <f t="shared" si="1"/>
        <v>3.1124999999999976</v>
      </c>
      <c r="G4" s="13">
        <f t="shared" si="2"/>
        <v>0</v>
      </c>
      <c r="H4" s="13">
        <f t="shared" si="3"/>
        <v>3.1124999999999976</v>
      </c>
      <c r="I4" s="21" t="s">
        <v>64</v>
      </c>
      <c r="J4" s="22">
        <f>SUMIF(B:B,"西塔台管制席",F:F)+SUMIF(B:B,"东塔台管制席",F:F)</f>
        <v>24.133611111111094</v>
      </c>
      <c r="K4" s="23">
        <f>SUMIF(B:B,"西塔台管制席",G:G)+SUMIF(B:B,"东塔台管制席",G:G)</f>
        <v>16.61333333333333</v>
      </c>
      <c r="L4" s="23">
        <f>SUMIF(B:B,"西塔台管制席",H:H)+SUMIF(B:B,"东塔台管制席",H:H)</f>
        <v>7.520277777777765</v>
      </c>
      <c r="M4" s="19"/>
    </row>
    <row r="5" spans="1:16" ht="18.75" x14ac:dyDescent="0.25">
      <c r="A5" s="10">
        <f t="shared" ca="1" si="0"/>
        <v>46058.355141203698</v>
      </c>
      <c r="B5" s="5" t="s">
        <v>78</v>
      </c>
      <c r="C5" s="11">
        <v>0.355138888888889</v>
      </c>
      <c r="D5" s="11" t="s">
        <v>62</v>
      </c>
      <c r="E5" s="11">
        <v>0.50482638888888898</v>
      </c>
      <c r="F5" s="12">
        <f t="shared" si="1"/>
        <v>3.5924999999999994</v>
      </c>
      <c r="G5" s="13">
        <f t="shared" si="2"/>
        <v>3.5924999999999994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13.411944444444464</v>
      </c>
      <c r="K5" s="23">
        <f>SUMIF(B:B,"西塔台协调席",G:G)+SUMIF(B:B,"东塔台协调席",G:G)</f>
        <v>9.726388888888895</v>
      </c>
      <c r="L5" s="23">
        <f>SUMIF(B:B,"西塔台协调席",H:H)+SUMIF(B:B,"东塔台协调席",H:H)</f>
        <v>3.6855555555555672</v>
      </c>
      <c r="M5" s="19"/>
    </row>
    <row r="6" spans="1:16" ht="18.75" x14ac:dyDescent="0.25">
      <c r="A6" s="10">
        <f t="shared" ca="1" si="0"/>
        <v>46058.625402662001</v>
      </c>
      <c r="B6" s="5" t="s">
        <v>81</v>
      </c>
      <c r="C6" s="11">
        <v>0.62539351851851899</v>
      </c>
      <c r="D6" s="11" t="s">
        <v>62</v>
      </c>
      <c r="E6" s="11">
        <v>0.72092592592592597</v>
      </c>
      <c r="F6" s="12">
        <f t="shared" si="1"/>
        <v>2.2927777777777676</v>
      </c>
      <c r="G6" s="13">
        <f t="shared" si="2"/>
        <v>2.2927777777777676</v>
      </c>
      <c r="H6" s="13">
        <f t="shared" si="3"/>
        <v>0</v>
      </c>
      <c r="I6" s="21" t="s">
        <v>66</v>
      </c>
      <c r="J6" s="22">
        <f>SUMIF(B:B,"放行席",F:F)</f>
        <v>3.3250000000000082</v>
      </c>
      <c r="K6" s="23">
        <f>SUMIF(B:B,"放行席",G:G)</f>
        <v>0</v>
      </c>
      <c r="L6" s="23">
        <f>SUMIF(B:B,"放行席",H:H)</f>
        <v>3.3250000000000082</v>
      </c>
      <c r="M6" s="19"/>
    </row>
    <row r="7" spans="1:16" ht="18.75" x14ac:dyDescent="0.25">
      <c r="A7" s="10">
        <f t="shared" ca="1" si="0"/>
        <v>46058.795931597197</v>
      </c>
      <c r="B7" s="5" t="s">
        <v>81</v>
      </c>
      <c r="C7" s="11">
        <v>0.79612268518518503</v>
      </c>
      <c r="D7" s="11" t="s">
        <v>62</v>
      </c>
      <c r="E7" s="11">
        <v>0.88245370370370402</v>
      </c>
      <c r="F7" s="12">
        <f t="shared" si="1"/>
        <v>2.0719444444444557</v>
      </c>
      <c r="G7" s="13">
        <f t="shared" si="2"/>
        <v>2.0719444444444557</v>
      </c>
      <c r="H7" s="13">
        <f t="shared" si="3"/>
        <v>0</v>
      </c>
      <c r="I7" s="21" t="s">
        <v>67</v>
      </c>
      <c r="J7" s="22">
        <f>SUMIF(B:B,"地面席",F:F)</f>
        <v>6.0661111111110957</v>
      </c>
      <c r="K7" s="23">
        <f>SUMIF(B:B,"地面席",G:G)</f>
        <v>0</v>
      </c>
      <c r="L7" s="23">
        <f>SUMIF(B:B,"地面席",H:H)</f>
        <v>6.0661111111110957</v>
      </c>
      <c r="M7" s="19"/>
    </row>
    <row r="8" spans="1:16" ht="18.75" x14ac:dyDescent="0.25">
      <c r="A8" s="10">
        <f t="shared" ca="1" si="0"/>
        <v>46059.376618402799</v>
      </c>
      <c r="B8" s="5" t="s">
        <v>82</v>
      </c>
      <c r="C8" s="11">
        <v>0.37660879629629601</v>
      </c>
      <c r="D8" s="11" t="s">
        <v>62</v>
      </c>
      <c r="E8" s="11">
        <v>0.50631944444444399</v>
      </c>
      <c r="F8" s="12">
        <f t="shared" si="1"/>
        <v>3.1130555555555515</v>
      </c>
      <c r="G8" s="13">
        <f t="shared" si="2"/>
        <v>3.1130555555555515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46059.585027083303</v>
      </c>
      <c r="B9" s="5" t="s">
        <v>80</v>
      </c>
      <c r="C9" s="11">
        <v>0.58502314814814804</v>
      </c>
      <c r="D9" s="11" t="s">
        <v>62</v>
      </c>
      <c r="E9" s="11">
        <v>0.675185185185185</v>
      </c>
      <c r="F9" s="12">
        <f t="shared" si="1"/>
        <v>2.163888888888887</v>
      </c>
      <c r="G9" s="13">
        <f t="shared" si="2"/>
        <v>2.163888888888887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46059.7719782407</v>
      </c>
      <c r="B10" s="5" t="s">
        <v>80</v>
      </c>
      <c r="C10" s="11">
        <v>0.77196759259259295</v>
      </c>
      <c r="D10" s="11" t="s">
        <v>62</v>
      </c>
      <c r="E10" s="11">
        <v>0.84226851851851903</v>
      </c>
      <c r="F10" s="12">
        <f t="shared" si="1"/>
        <v>1.6872222222222257</v>
      </c>
      <c r="G10" s="13">
        <f t="shared" si="2"/>
        <v>1.6872222222222257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46062.952770949101</v>
      </c>
      <c r="B11" s="5" t="s">
        <v>80</v>
      </c>
      <c r="C11" s="11">
        <v>0.95276620370370402</v>
      </c>
      <c r="D11" s="11" t="s">
        <v>62</v>
      </c>
      <c r="E11" s="11">
        <v>0.14406250000000001</v>
      </c>
      <c r="F11" s="12">
        <f t="shared" si="1"/>
        <v>4.591111111111104</v>
      </c>
      <c r="G11" s="13">
        <f t="shared" si="2"/>
        <v>1.1336111111111036</v>
      </c>
      <c r="H11" s="13">
        <f t="shared" si="3"/>
        <v>3.4575000000000005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46064.139979166699</v>
      </c>
      <c r="B12" s="5" t="s">
        <v>83</v>
      </c>
      <c r="C12" s="11">
        <v>0.13997685185185199</v>
      </c>
      <c r="D12" s="11" t="s">
        <v>62</v>
      </c>
      <c r="E12" s="11">
        <v>0.307384259259259</v>
      </c>
      <c r="F12" s="12">
        <f t="shared" si="1"/>
        <v>4.0177777777777681</v>
      </c>
      <c r="G12" s="13">
        <f t="shared" si="2"/>
        <v>0</v>
      </c>
      <c r="H12" s="13">
        <f t="shared" si="3"/>
        <v>4.0177777777777681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46066.522844560197</v>
      </c>
      <c r="B13" s="5" t="s">
        <v>80</v>
      </c>
      <c r="C13" s="11">
        <v>0.52283564814814798</v>
      </c>
      <c r="D13" s="11" t="s">
        <v>62</v>
      </c>
      <c r="E13" s="11">
        <v>0.71214120370370404</v>
      </c>
      <c r="F13" s="12">
        <f t="shared" si="1"/>
        <v>4.5433333333333454</v>
      </c>
      <c r="G13" s="13">
        <f t="shared" si="2"/>
        <v>4.5433333333333454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46066.726133333301</v>
      </c>
      <c r="B14" s="5" t="s">
        <v>82</v>
      </c>
      <c r="C14" s="11">
        <v>0.72612268518518497</v>
      </c>
      <c r="D14" s="11" t="s">
        <v>62</v>
      </c>
      <c r="E14" s="11">
        <v>0.775127314814815</v>
      </c>
      <c r="F14" s="12">
        <f t="shared" si="1"/>
        <v>1.1761111111111209</v>
      </c>
      <c r="G14" s="13">
        <f t="shared" si="2"/>
        <v>1.1761111111111209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46067.2937453704</v>
      </c>
      <c r="B15" s="5" t="s">
        <v>78</v>
      </c>
      <c r="C15" s="11">
        <v>0.29373842592592603</v>
      </c>
      <c r="D15" s="11" t="s">
        <v>62</v>
      </c>
      <c r="E15" s="11">
        <v>0.35767361111111101</v>
      </c>
      <c r="F15" s="12">
        <f t="shared" si="1"/>
        <v>1.5344444444444396</v>
      </c>
      <c r="G15" s="13">
        <f t="shared" si="2"/>
        <v>0.58416666666667272</v>
      </c>
      <c r="H15" s="13">
        <f t="shared" si="3"/>
        <v>0.9502777777777669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46067.3690236111</v>
      </c>
      <c r="B16" s="5" t="s">
        <v>78</v>
      </c>
      <c r="C16" s="11">
        <v>0.36901620370370403</v>
      </c>
      <c r="D16" s="11" t="s">
        <v>62</v>
      </c>
      <c r="E16" s="11">
        <v>0.49020833333333302</v>
      </c>
      <c r="F16" s="12">
        <f t="shared" si="1"/>
        <v>2.9086111111110959</v>
      </c>
      <c r="G16" s="13">
        <f t="shared" si="2"/>
        <v>2.9086111111110959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46067.792692708303</v>
      </c>
      <c r="B17" s="5" t="s">
        <v>81</v>
      </c>
      <c r="C17" s="11">
        <v>0.79268518518518505</v>
      </c>
      <c r="D17" s="11" t="s">
        <v>62</v>
      </c>
      <c r="E17" s="11">
        <v>0.83737268518518504</v>
      </c>
      <c r="F17" s="12">
        <f t="shared" si="1"/>
        <v>1.0724999999999998</v>
      </c>
      <c r="G17" s="13">
        <f t="shared" si="2"/>
        <v>1.0724999999999998</v>
      </c>
      <c r="H17" s="13">
        <f t="shared" si="3"/>
        <v>0</v>
      </c>
      <c r="I17" s="35" t="s">
        <v>75</v>
      </c>
      <c r="J17" s="36">
        <f>J4+J5+J6+J7+J10</f>
        <v>46.936666666666667</v>
      </c>
      <c r="K17" s="37">
        <f>K4+K5+K6+K7+K10</f>
        <v>26.339722222222225</v>
      </c>
      <c r="L17" s="38">
        <f>L4+L5+L6+L7+L10</f>
        <v>20.596944444444436</v>
      </c>
      <c r="M17" s="39"/>
    </row>
    <row r="18" spans="1:13" ht="20.25" x14ac:dyDescent="0.25">
      <c r="A18" s="10">
        <f t="shared" ca="1" si="0"/>
        <v>46079.132850810201</v>
      </c>
      <c r="B18" s="5" t="s">
        <v>79</v>
      </c>
      <c r="C18" s="11">
        <v>0.13284722222222201</v>
      </c>
      <c r="D18" s="11" t="s">
        <v>62</v>
      </c>
      <c r="E18" s="11">
        <v>0.27138888888888901</v>
      </c>
      <c r="F18" s="12">
        <f t="shared" si="1"/>
        <v>3.3250000000000082</v>
      </c>
      <c r="G18" s="13">
        <f t="shared" si="2"/>
        <v>0</v>
      </c>
      <c r="H18" s="13">
        <f t="shared" si="3"/>
        <v>3.3250000000000082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46079.271441550904</v>
      </c>
      <c r="B19" s="5" t="s">
        <v>82</v>
      </c>
      <c r="C19" s="11">
        <v>0.271435185185185</v>
      </c>
      <c r="D19" s="11" t="s">
        <v>62</v>
      </c>
      <c r="E19" s="11">
        <v>0.298993055555556</v>
      </c>
      <c r="F19" s="12">
        <f t="shared" si="1"/>
        <v>0.6613888888889039</v>
      </c>
      <c r="G19" s="13">
        <f t="shared" si="2"/>
        <v>0</v>
      </c>
      <c r="H19" s="13">
        <f t="shared" si="3"/>
        <v>0.6613888888889039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46080.015431944397</v>
      </c>
      <c r="B20" s="5" t="s">
        <v>81</v>
      </c>
      <c r="C20" s="11">
        <v>1.5428240740740701E-2</v>
      </c>
      <c r="D20" s="11" t="s">
        <v>62</v>
      </c>
      <c r="E20" s="11">
        <v>0.141435185185185</v>
      </c>
      <c r="F20" s="12">
        <f t="shared" si="1"/>
        <v>3.0241666666666633</v>
      </c>
      <c r="G20" s="13">
        <f t="shared" si="2"/>
        <v>0</v>
      </c>
      <c r="H20" s="13">
        <f t="shared" si="3"/>
        <v>3.0241666666666633</v>
      </c>
      <c r="I20" s="40" t="s">
        <v>77</v>
      </c>
      <c r="J20" s="65">
        <f>J16+J17+J18+J19</f>
        <v>46.936666666666667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46054.356545023104</v>
      </c>
      <c r="B3" s="5" t="s">
        <v>80</v>
      </c>
      <c r="C3" s="11">
        <v>0.35653935185185198</v>
      </c>
      <c r="D3" s="11" t="s">
        <v>62</v>
      </c>
      <c r="E3" s="11">
        <v>0.43141203703703701</v>
      </c>
      <c r="F3" s="12">
        <f t="shared" ref="F3:F42" si="1">(IF(E3-C3&lt;0,"24:00"-C3+E3,E3-C3))*24</f>
        <v>1.7969444444444407</v>
      </c>
      <c r="G3" s="13">
        <f t="shared" ref="G3:G42" si="2">F3-H3</f>
        <v>1.7969444444444407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46054.446002662</v>
      </c>
      <c r="B4" s="5" t="s">
        <v>80</v>
      </c>
      <c r="C4" s="11">
        <v>0.44599537037037001</v>
      </c>
      <c r="D4" s="11" t="s">
        <v>62</v>
      </c>
      <c r="E4" s="11">
        <v>0.52732638888888905</v>
      </c>
      <c r="F4" s="12">
        <f t="shared" si="1"/>
        <v>1.9519444444444569</v>
      </c>
      <c r="G4" s="13">
        <f t="shared" si="2"/>
        <v>1.9519444444444569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26.494722222222215</v>
      </c>
      <c r="K4" s="23">
        <f>SUMIF(B:B,"西塔台管制席",G:G)+SUMIF(B:B,"东塔台管制席",G:G)</f>
        <v>18.816388888888877</v>
      </c>
      <c r="L4" s="23">
        <f>SUMIF(B:B,"西塔台管制席",H:H)+SUMIF(B:B,"东塔台管制席",H:H)</f>
        <v>7.6783333333333434</v>
      </c>
      <c r="M4" s="19"/>
    </row>
    <row r="5" spans="1:16" ht="18.75" x14ac:dyDescent="0.25">
      <c r="A5" s="10">
        <f t="shared" ca="1" si="0"/>
        <v>46054.646889814801</v>
      </c>
      <c r="B5" s="5" t="s">
        <v>82</v>
      </c>
      <c r="C5" s="11">
        <v>0.64688657407407402</v>
      </c>
      <c r="D5" s="11" t="s">
        <v>62</v>
      </c>
      <c r="E5" s="11">
        <v>0.77733796296296298</v>
      </c>
      <c r="F5" s="12">
        <f t="shared" si="1"/>
        <v>3.1308333333333351</v>
      </c>
      <c r="G5" s="13">
        <f t="shared" si="2"/>
        <v>3.1308333333333351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21.163333333333313</v>
      </c>
      <c r="K5" s="23">
        <f>SUMIF(B:B,"西塔台协调席",G:G)+SUMIF(B:B,"东塔台协调席",G:G)</f>
        <v>13.839722222222207</v>
      </c>
      <c r="L5" s="23">
        <f>SUMIF(B:B,"西塔台协调席",H:H)+SUMIF(B:B,"东塔台协调席",H:H)</f>
        <v>7.3236111111111066</v>
      </c>
      <c r="M5" s="19"/>
    </row>
    <row r="6" spans="1:16" ht="18.75" x14ac:dyDescent="0.25">
      <c r="A6" s="10">
        <f t="shared" ca="1" si="0"/>
        <v>46056.138479861103</v>
      </c>
      <c r="B6" s="5" t="s">
        <v>78</v>
      </c>
      <c r="C6" s="11">
        <v>0.138472222222222</v>
      </c>
      <c r="D6" s="11" t="s">
        <v>62</v>
      </c>
      <c r="E6" s="11">
        <v>0.233564814814815</v>
      </c>
      <c r="F6" s="12">
        <f t="shared" si="1"/>
        <v>2.2822222222222321</v>
      </c>
      <c r="G6" s="13">
        <f t="shared" si="2"/>
        <v>0</v>
      </c>
      <c r="H6" s="13">
        <f t="shared" si="3"/>
        <v>2.2822222222222321</v>
      </c>
      <c r="I6" s="21" t="s">
        <v>66</v>
      </c>
      <c r="J6" s="22">
        <f>SUMIF(B:B,"放行席",F:F)</f>
        <v>2.3388888888888717</v>
      </c>
      <c r="K6" s="23">
        <f>SUMIF(B:B,"放行席",G:G)</f>
        <v>0</v>
      </c>
      <c r="L6" s="23">
        <f>SUMIF(B:B,"放行席",H:H)</f>
        <v>2.3388888888888717</v>
      </c>
      <c r="M6" s="19"/>
    </row>
    <row r="7" spans="1:16" ht="18.75" x14ac:dyDescent="0.25">
      <c r="A7" s="10">
        <f t="shared" ca="1" si="0"/>
        <v>46056.233624537002</v>
      </c>
      <c r="B7" s="5" t="s">
        <v>82</v>
      </c>
      <c r="C7" s="11">
        <v>0.233622685185185</v>
      </c>
      <c r="D7" s="11" t="s">
        <v>62</v>
      </c>
      <c r="E7" s="11">
        <v>0.299571759259259</v>
      </c>
      <c r="F7" s="12">
        <f t="shared" si="1"/>
        <v>1.5827777777777758</v>
      </c>
      <c r="G7" s="13">
        <f t="shared" si="2"/>
        <v>0</v>
      </c>
      <c r="H7" s="13">
        <f t="shared" si="3"/>
        <v>1.5827777777777758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46059.131044560199</v>
      </c>
      <c r="B8" s="5" t="s">
        <v>79</v>
      </c>
      <c r="C8" s="11">
        <v>0.131041666666667</v>
      </c>
      <c r="D8" s="11" t="s">
        <v>62</v>
      </c>
      <c r="E8" s="11">
        <v>0.22849537037036999</v>
      </c>
      <c r="F8" s="12">
        <f t="shared" si="1"/>
        <v>2.3388888888888717</v>
      </c>
      <c r="G8" s="13">
        <f t="shared" si="2"/>
        <v>0</v>
      </c>
      <c r="H8" s="13">
        <f t="shared" si="3"/>
        <v>2.3388888888888717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46059.951547106502</v>
      </c>
      <c r="B9" s="5" t="s">
        <v>80</v>
      </c>
      <c r="C9" s="11">
        <v>0.95153935185185201</v>
      </c>
      <c r="D9" s="11" t="s">
        <v>62</v>
      </c>
      <c r="E9" s="11">
        <v>0.14430555555555599</v>
      </c>
      <c r="F9" s="12">
        <f t="shared" si="1"/>
        <v>4.6263888888888953</v>
      </c>
      <c r="G9" s="13">
        <f t="shared" si="2"/>
        <v>1.1630555555555517</v>
      </c>
      <c r="H9" s="13">
        <f t="shared" si="3"/>
        <v>3.4633333333333436</v>
      </c>
      <c r="I9" s="21" t="s">
        <v>69</v>
      </c>
      <c r="J9" s="22">
        <f>SUMIF(B:B,"航班调度席",F:F)</f>
        <v>2.102222222222232</v>
      </c>
      <c r="K9" s="23">
        <f>SUMIF(B:B,"航班调度席",G:G)</f>
        <v>2.102222222222232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46062.521770601903</v>
      </c>
      <c r="B10" s="5" t="s">
        <v>82</v>
      </c>
      <c r="C10" s="11">
        <v>0.52177083333333296</v>
      </c>
      <c r="D10" s="11" t="s">
        <v>62</v>
      </c>
      <c r="E10" s="11">
        <v>0.65265046296296303</v>
      </c>
      <c r="F10" s="12">
        <f t="shared" si="1"/>
        <v>3.1411111111111216</v>
      </c>
      <c r="G10" s="13">
        <f t="shared" si="2"/>
        <v>3.1411111111111216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46062.772310416702</v>
      </c>
      <c r="B11" s="5" t="s">
        <v>80</v>
      </c>
      <c r="C11" s="11">
        <v>0.77230324074074097</v>
      </c>
      <c r="D11" s="11" t="s">
        <v>62</v>
      </c>
      <c r="E11" s="11">
        <v>0.88321759259259303</v>
      </c>
      <c r="F11" s="12">
        <f t="shared" si="1"/>
        <v>2.6619444444444493</v>
      </c>
      <c r="G11" s="13">
        <f t="shared" si="2"/>
        <v>2.6619444444444493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46063.013589930597</v>
      </c>
      <c r="B12" s="5" t="s">
        <v>81</v>
      </c>
      <c r="C12" s="11">
        <v>1.3587962962963E-2</v>
      </c>
      <c r="D12" s="11" t="s">
        <v>62</v>
      </c>
      <c r="E12" s="11">
        <v>0.140949074074074</v>
      </c>
      <c r="F12" s="12">
        <f t="shared" si="1"/>
        <v>3.056666666666664</v>
      </c>
      <c r="G12" s="13">
        <f t="shared" si="2"/>
        <v>0</v>
      </c>
      <c r="H12" s="13">
        <f t="shared" si="3"/>
        <v>3.056666666666664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46063.5424277778</v>
      </c>
      <c r="B13" s="5" t="s">
        <v>84</v>
      </c>
      <c r="C13" s="11">
        <v>0.54241898148148104</v>
      </c>
      <c r="D13" s="11" t="s">
        <v>62</v>
      </c>
      <c r="E13" s="11">
        <v>0.63001157407407404</v>
      </c>
      <c r="F13" s="12">
        <f t="shared" si="1"/>
        <v>2.102222222222232</v>
      </c>
      <c r="G13" s="13">
        <f t="shared" si="2"/>
        <v>2.102222222222232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46063.647874652801</v>
      </c>
      <c r="B14" s="5" t="s">
        <v>82</v>
      </c>
      <c r="C14" s="11">
        <v>0.64787037037036999</v>
      </c>
      <c r="D14" s="11" t="s">
        <v>62</v>
      </c>
      <c r="E14" s="11">
        <v>0.77805555555555495</v>
      </c>
      <c r="F14" s="12">
        <f t="shared" si="1"/>
        <v>3.124444444444439</v>
      </c>
      <c r="G14" s="13">
        <f t="shared" si="2"/>
        <v>3.124444444444439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46063.956709490703</v>
      </c>
      <c r="B15" s="5" t="s">
        <v>80</v>
      </c>
      <c r="C15" s="11">
        <v>0.87545138888888896</v>
      </c>
      <c r="D15" s="11" t="s">
        <v>62</v>
      </c>
      <c r="E15" s="11">
        <v>0.95699074074074097</v>
      </c>
      <c r="F15" s="12">
        <f t="shared" si="1"/>
        <v>1.9569444444444484</v>
      </c>
      <c r="G15" s="13">
        <f t="shared" si="2"/>
        <v>1.9569444444444484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46064.292844560201</v>
      </c>
      <c r="B16" s="5" t="s">
        <v>80</v>
      </c>
      <c r="C16" s="11">
        <v>0.292835648148148</v>
      </c>
      <c r="D16" s="11" t="s">
        <v>62</v>
      </c>
      <c r="E16" s="11">
        <v>0.37270833333333298</v>
      </c>
      <c r="F16" s="12">
        <f t="shared" si="1"/>
        <v>1.9169444444444395</v>
      </c>
      <c r="G16" s="13">
        <f t="shared" si="2"/>
        <v>0.94499999999999984</v>
      </c>
      <c r="H16" s="13">
        <f t="shared" si="3"/>
        <v>0.97194444444443961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46066.352666550898</v>
      </c>
      <c r="B17" s="5" t="s">
        <v>80</v>
      </c>
      <c r="C17" s="11">
        <v>0.35266203703703702</v>
      </c>
      <c r="D17" s="11" t="s">
        <v>62</v>
      </c>
      <c r="E17" s="11">
        <v>0.47449074074074099</v>
      </c>
      <c r="F17" s="12">
        <f t="shared" si="1"/>
        <v>2.9238888888888952</v>
      </c>
      <c r="G17" s="13">
        <f t="shared" si="2"/>
        <v>2.9238888888888952</v>
      </c>
      <c r="H17" s="13">
        <f t="shared" si="3"/>
        <v>0</v>
      </c>
      <c r="I17" s="35" t="s">
        <v>75</v>
      </c>
      <c r="J17" s="36">
        <f>J4+J5+J6+J7+J10</f>
        <v>49.996944444444402</v>
      </c>
      <c r="K17" s="37">
        <f>K4+K5+K6+K7+K10</f>
        <v>32.656111111111088</v>
      </c>
      <c r="L17" s="38">
        <f>L4+L5+L6+L7+L10</f>
        <v>17.340833333333322</v>
      </c>
      <c r="M17" s="39"/>
    </row>
    <row r="18" spans="1:13" ht="20.25" x14ac:dyDescent="0.25">
      <c r="A18" s="10">
        <f t="shared" ca="1" si="0"/>
        <v>46066.487971180599</v>
      </c>
      <c r="B18" s="5" t="s">
        <v>80</v>
      </c>
      <c r="C18" s="11">
        <v>0.48796296296296299</v>
      </c>
      <c r="D18" s="11" t="s">
        <v>62</v>
      </c>
      <c r="E18" s="11">
        <v>0.52740740740740699</v>
      </c>
      <c r="F18" s="12">
        <f t="shared" si="1"/>
        <v>0.94666666666665611</v>
      </c>
      <c r="G18" s="13">
        <f t="shared" si="2"/>
        <v>0.94666666666665611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46066.708548958297</v>
      </c>
      <c r="B19" s="5" t="s">
        <v>80</v>
      </c>
      <c r="C19" s="11">
        <v>0.70854166666666696</v>
      </c>
      <c r="D19" s="11" t="s">
        <v>62</v>
      </c>
      <c r="E19" s="11">
        <v>0.77850694444444402</v>
      </c>
      <c r="F19" s="12">
        <f t="shared" si="1"/>
        <v>1.6791666666666494</v>
      </c>
      <c r="G19" s="13">
        <f t="shared" si="2"/>
        <v>1.6791666666666494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46066.896715509298</v>
      </c>
      <c r="B20" s="5" t="s">
        <v>82</v>
      </c>
      <c r="C20" s="11">
        <v>0.89671296296296299</v>
      </c>
      <c r="D20" s="11" t="s">
        <v>62</v>
      </c>
      <c r="E20" s="11">
        <v>0.95659722222222199</v>
      </c>
      <c r="F20" s="12">
        <f t="shared" si="1"/>
        <v>1.437222222222216</v>
      </c>
      <c r="G20" s="13">
        <f t="shared" si="2"/>
        <v>1.437222222222216</v>
      </c>
      <c r="H20" s="13">
        <f t="shared" si="3"/>
        <v>0</v>
      </c>
      <c r="I20" s="40" t="s">
        <v>77</v>
      </c>
      <c r="J20" s="65">
        <f>J16+J17+J18+J19</f>
        <v>49.996944444444402</v>
      </c>
      <c r="K20" s="66"/>
      <c r="L20" s="67"/>
      <c r="M20" s="41"/>
    </row>
    <row r="21" spans="1:13" ht="20.25" x14ac:dyDescent="0.25">
      <c r="A21" s="10">
        <f t="shared" ca="1" si="0"/>
        <v>46067.0136263889</v>
      </c>
      <c r="B21" s="5" t="s">
        <v>81</v>
      </c>
      <c r="C21" s="11">
        <v>1.3622685185185199E-2</v>
      </c>
      <c r="D21" s="11" t="s">
        <v>62</v>
      </c>
      <c r="E21" s="11">
        <v>0.125462962962963</v>
      </c>
      <c r="F21" s="12">
        <f t="shared" si="1"/>
        <v>2.684166666666667</v>
      </c>
      <c r="G21" s="13">
        <f t="shared" si="2"/>
        <v>0</v>
      </c>
      <c r="H21" s="13">
        <f t="shared" si="3"/>
        <v>2.684166666666667</v>
      </c>
      <c r="I21" s="42" t="s">
        <v>4</v>
      </c>
      <c r="J21" s="43">
        <f>SUM(J8:J9)</f>
        <v>2.102222222222232</v>
      </c>
      <c r="K21" s="37">
        <f>SUM(K8:K9)</f>
        <v>2.102222222222232</v>
      </c>
      <c r="L21" s="38">
        <f>SUM(L8:L9)</f>
        <v>0</v>
      </c>
      <c r="M21" s="44"/>
    </row>
    <row r="22" spans="1:13" ht="18.75" x14ac:dyDescent="0.15">
      <c r="A22" s="10">
        <f t="shared" ca="1" si="0"/>
        <v>46067.485556365697</v>
      </c>
      <c r="B22" s="5" t="s">
        <v>78</v>
      </c>
      <c r="C22" s="11">
        <v>0.48555555555555602</v>
      </c>
      <c r="D22" s="11" t="s">
        <v>62</v>
      </c>
      <c r="E22" s="11">
        <v>0.56953703703703695</v>
      </c>
      <c r="F22" s="12">
        <f t="shared" si="1"/>
        <v>2.0155555555555424</v>
      </c>
      <c r="G22" s="13">
        <f t="shared" si="2"/>
        <v>2.0155555555555424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46067.832009837999</v>
      </c>
      <c r="B23" s="5" t="s">
        <v>81</v>
      </c>
      <c r="C23" s="11">
        <v>0.83200231481481501</v>
      </c>
      <c r="D23" s="11" t="s">
        <v>62</v>
      </c>
      <c r="E23" s="11">
        <v>0.95725694444444398</v>
      </c>
      <c r="F23" s="12">
        <f t="shared" si="1"/>
        <v>3.0061111111110952</v>
      </c>
      <c r="G23" s="13">
        <f t="shared" si="2"/>
        <v>3.0061111111110952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46068.292244213</v>
      </c>
      <c r="B24" s="5" t="s">
        <v>80</v>
      </c>
      <c r="C24" s="11">
        <v>0.293298611111111</v>
      </c>
      <c r="D24" s="11" t="s">
        <v>62</v>
      </c>
      <c r="E24" s="11">
        <v>0.36563657407407402</v>
      </c>
      <c r="F24" s="12">
        <f t="shared" si="1"/>
        <v>1.7361111111111125</v>
      </c>
      <c r="G24" s="13">
        <f t="shared" si="2"/>
        <v>0.77527777777778484</v>
      </c>
      <c r="H24" s="13">
        <f t="shared" si="3"/>
        <v>0.96083333333332765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42"/>
  <sheetViews>
    <sheetView zoomScale="85" zoomScaleNormal="85" workbookViewId="0">
      <selection activeCell="I110" sqref="I110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46055.291349074098</v>
      </c>
      <c r="B3" s="5" t="s">
        <v>61</v>
      </c>
      <c r="C3" s="11">
        <v>0.29134259259259299</v>
      </c>
      <c r="D3" s="11" t="s">
        <v>62</v>
      </c>
      <c r="E3" s="11">
        <v>0.54454861111111097</v>
      </c>
      <c r="F3" s="12">
        <f t="shared" ref="F3:F42" si="1">(IF(E3-C3&lt;0,"24:00"-C3+E3,E3-C3))*24</f>
        <v>6.0769444444444316</v>
      </c>
      <c r="G3" s="13">
        <f t="shared" ref="G3:G42" si="2">F3-H3</f>
        <v>5.0691666666666713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1.0077777777777599</v>
      </c>
      <c r="I3" s="16" t="s">
        <v>63</v>
      </c>
      <c r="J3" s="17">
        <f>SUMIF(B:B,"带班主任",F:F)</f>
        <v>87.794722222222219</v>
      </c>
      <c r="K3" s="18">
        <f>SUMIF(B:B,"带班主任",G:G)</f>
        <v>64.27472222222228</v>
      </c>
      <c r="L3" s="18">
        <f>SUMIF(B:B,"带班主任",H:H)</f>
        <v>23.519999999999943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46055.790620138898</v>
      </c>
      <c r="B4" s="5" t="s">
        <v>61</v>
      </c>
      <c r="C4" s="11">
        <v>0.79061342592592598</v>
      </c>
      <c r="D4" s="11" t="s">
        <v>62</v>
      </c>
      <c r="E4" s="11">
        <v>0.94100694444444499</v>
      </c>
      <c r="F4" s="12">
        <f t="shared" si="1"/>
        <v>3.6094444444444562</v>
      </c>
      <c r="G4" s="13">
        <f t="shared" si="2"/>
        <v>3.6094444444444562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46056.291537500001</v>
      </c>
      <c r="B5" s="5" t="s">
        <v>61</v>
      </c>
      <c r="C5" s="11">
        <v>0.291527777777778</v>
      </c>
      <c r="D5" s="11" t="s">
        <v>62</v>
      </c>
      <c r="E5" s="11">
        <v>0.37042824074074099</v>
      </c>
      <c r="F5" s="12">
        <f t="shared" si="1"/>
        <v>1.8936111111111118</v>
      </c>
      <c r="G5" s="13">
        <f t="shared" si="2"/>
        <v>0.89027777777779216</v>
      </c>
      <c r="H5" s="13">
        <f t="shared" si="3"/>
        <v>1.0033333333333196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46058.355005787002</v>
      </c>
      <c r="B6" s="5" t="s">
        <v>61</v>
      </c>
      <c r="C6" s="11">
        <v>0.35499999999999998</v>
      </c>
      <c r="D6" s="11" t="s">
        <v>62</v>
      </c>
      <c r="E6" s="11">
        <v>0.54127314814814798</v>
      </c>
      <c r="F6" s="12">
        <f t="shared" si="1"/>
        <v>4.4705555555555518</v>
      </c>
      <c r="G6" s="13">
        <f t="shared" si="2"/>
        <v>4.4705555555555518</v>
      </c>
      <c r="H6" s="13">
        <f t="shared" si="3"/>
        <v>0</v>
      </c>
      <c r="I6" s="21" t="s">
        <v>66</v>
      </c>
      <c r="J6" s="22">
        <f>SUMIF(B:B,"放行席",F:F)</f>
        <v>4.0605555555555606</v>
      </c>
      <c r="K6" s="23">
        <f>SUMIF(B:B,"放行席",G:G)</f>
        <v>0</v>
      </c>
      <c r="L6" s="23">
        <f>SUMIF(B:B,"放行席",H:H)</f>
        <v>4.0605555555555606</v>
      </c>
      <c r="M6" s="19"/>
    </row>
    <row r="7" spans="1:16" ht="18.75" x14ac:dyDescent="0.25">
      <c r="A7" s="10">
        <f t="shared" ca="1" si="0"/>
        <v>46058.787957523098</v>
      </c>
      <c r="B7" s="5" t="s">
        <v>61</v>
      </c>
      <c r="C7" s="11">
        <v>0.78795138888888905</v>
      </c>
      <c r="D7" s="11" t="s">
        <v>62</v>
      </c>
      <c r="E7" s="11">
        <v>0.94502314814814803</v>
      </c>
      <c r="F7" s="12">
        <f t="shared" si="1"/>
        <v>3.7697222222222155</v>
      </c>
      <c r="G7" s="13">
        <f t="shared" si="2"/>
        <v>3.7697222222222155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46059.291465740702</v>
      </c>
      <c r="B8" s="5" t="s">
        <v>61</v>
      </c>
      <c r="C8" s="11">
        <v>0.29145833333333299</v>
      </c>
      <c r="D8" s="11" t="s">
        <v>62</v>
      </c>
      <c r="E8" s="11">
        <v>0.55028935185185202</v>
      </c>
      <c r="F8" s="12">
        <f t="shared" si="1"/>
        <v>6.2119444444444571</v>
      </c>
      <c r="G8" s="13">
        <f t="shared" si="2"/>
        <v>5.2069444444444573</v>
      </c>
      <c r="H8" s="13">
        <f t="shared" si="3"/>
        <v>1.0049999999999999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46059.938067129602</v>
      </c>
      <c r="B9" s="5" t="s">
        <v>61</v>
      </c>
      <c r="C9" s="11">
        <v>0.93806712962963001</v>
      </c>
      <c r="D9" s="11" t="s">
        <v>62</v>
      </c>
      <c r="E9" s="11">
        <v>0.13613425925925901</v>
      </c>
      <c r="F9" s="12">
        <f t="shared" si="1"/>
        <v>4.7536111111110957</v>
      </c>
      <c r="G9" s="13">
        <f t="shared" si="2"/>
        <v>1.4863888888888797</v>
      </c>
      <c r="H9" s="13">
        <f t="shared" si="3"/>
        <v>3.267222222222216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46062.582615856503</v>
      </c>
      <c r="B10" s="5" t="s">
        <v>61</v>
      </c>
      <c r="C10" s="11">
        <v>0.58261574074074096</v>
      </c>
      <c r="D10" s="11" t="s">
        <v>62</v>
      </c>
      <c r="E10" s="11">
        <v>0.73151620370370396</v>
      </c>
      <c r="F10" s="12">
        <f t="shared" si="1"/>
        <v>3.573611111111112</v>
      </c>
      <c r="G10" s="13">
        <f t="shared" si="2"/>
        <v>3.573611111111112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46063.133518865703</v>
      </c>
      <c r="B11" s="5" t="s">
        <v>61</v>
      </c>
      <c r="C11" s="11">
        <v>0.13351851851851901</v>
      </c>
      <c r="D11" s="11" t="s">
        <v>62</v>
      </c>
      <c r="E11" s="11">
        <v>0.29305555555555601</v>
      </c>
      <c r="F11" s="12">
        <f t="shared" si="1"/>
        <v>3.8288888888888879</v>
      </c>
      <c r="G11" s="13">
        <f t="shared" si="2"/>
        <v>0</v>
      </c>
      <c r="H11" s="13">
        <f t="shared" si="3"/>
        <v>3.8288888888888879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46063.789856597199</v>
      </c>
      <c r="B12" s="5" t="s">
        <v>61</v>
      </c>
      <c r="C12" s="11">
        <v>0.78984953703703698</v>
      </c>
      <c r="D12" s="11" t="s">
        <v>62</v>
      </c>
      <c r="E12" s="11">
        <v>0.94745370370370396</v>
      </c>
      <c r="F12" s="12">
        <f t="shared" si="1"/>
        <v>3.7825000000000077</v>
      </c>
      <c r="G12" s="13">
        <f t="shared" si="2"/>
        <v>3.7825000000000077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46064.130492013901</v>
      </c>
      <c r="B13" s="5" t="s">
        <v>79</v>
      </c>
      <c r="C13" s="11">
        <v>0.130486111111111</v>
      </c>
      <c r="D13" s="11" t="s">
        <v>62</v>
      </c>
      <c r="E13" s="11">
        <v>0.29967592592592601</v>
      </c>
      <c r="F13" s="12">
        <f t="shared" si="1"/>
        <v>4.0605555555555606</v>
      </c>
      <c r="G13" s="13">
        <f t="shared" si="2"/>
        <v>0</v>
      </c>
      <c r="H13" s="13">
        <f t="shared" si="3"/>
        <v>4.0605555555555606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46066.934579398097</v>
      </c>
      <c r="B14" s="5" t="s">
        <v>61</v>
      </c>
      <c r="C14" s="11">
        <v>0.93457175925925895</v>
      </c>
      <c r="D14" s="11" t="s">
        <v>62</v>
      </c>
      <c r="E14" s="11">
        <v>0.138414351851852</v>
      </c>
      <c r="F14" s="12">
        <f t="shared" si="1"/>
        <v>4.8922222222222329</v>
      </c>
      <c r="G14" s="13">
        <f t="shared" si="2"/>
        <v>1.5702777777777852</v>
      </c>
      <c r="H14" s="13">
        <f t="shared" si="3"/>
        <v>3.3219444444444477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46067.540383796302</v>
      </c>
      <c r="B15" s="5" t="s">
        <v>61</v>
      </c>
      <c r="C15" s="11">
        <v>0.54038194444444398</v>
      </c>
      <c r="D15" s="11" t="s">
        <v>62</v>
      </c>
      <c r="E15" s="11">
        <v>0.77652777777777804</v>
      </c>
      <c r="F15" s="12">
        <f t="shared" si="1"/>
        <v>5.6675000000000173</v>
      </c>
      <c r="G15" s="13">
        <f t="shared" si="2"/>
        <v>5.6675000000000173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46068.298460763901</v>
      </c>
      <c r="B16" s="5" t="s">
        <v>61</v>
      </c>
      <c r="C16" s="11">
        <v>0.131793981481481</v>
      </c>
      <c r="D16" s="11" t="s">
        <v>62</v>
      </c>
      <c r="E16" s="11">
        <v>0.29848379629629601</v>
      </c>
      <c r="F16" s="12">
        <f t="shared" si="1"/>
        <v>4.0005555555555601</v>
      </c>
      <c r="G16" s="13">
        <f t="shared" si="2"/>
        <v>0</v>
      </c>
      <c r="H16" s="13">
        <f t="shared" si="3"/>
        <v>4.0005555555555601</v>
      </c>
      <c r="I16" s="35" t="s">
        <v>63</v>
      </c>
      <c r="J16" s="36">
        <f t="shared" ref="J16:L16" si="4">J3</f>
        <v>87.794722222222219</v>
      </c>
      <c r="K16" s="37">
        <f t="shared" si="4"/>
        <v>64.27472222222228</v>
      </c>
      <c r="L16" s="38">
        <f t="shared" si="4"/>
        <v>23.519999999999943</v>
      </c>
      <c r="M16" s="39"/>
    </row>
    <row r="17" spans="1:13" ht="20.25" x14ac:dyDescent="0.25">
      <c r="A17" s="10">
        <f t="shared" ca="1" si="0"/>
        <v>46070.354417245399</v>
      </c>
      <c r="B17" s="5" t="s">
        <v>61</v>
      </c>
      <c r="C17" s="11">
        <v>0.354409722222222</v>
      </c>
      <c r="D17" s="11" t="s">
        <v>62</v>
      </c>
      <c r="E17" s="11">
        <v>0.54704861111111103</v>
      </c>
      <c r="F17" s="12">
        <f t="shared" si="1"/>
        <v>4.6233333333333366</v>
      </c>
      <c r="G17" s="13">
        <f t="shared" si="2"/>
        <v>4.6233333333333366</v>
      </c>
      <c r="H17" s="13">
        <f t="shared" si="3"/>
        <v>0</v>
      </c>
      <c r="I17" s="35" t="s">
        <v>75</v>
      </c>
      <c r="J17" s="36">
        <f>J4+J5+J6+J7+J10</f>
        <v>4.0605555555555606</v>
      </c>
      <c r="K17" s="37">
        <f>K4+K5+K6+K7+K10</f>
        <v>0</v>
      </c>
      <c r="L17" s="38">
        <f>L4+L5+L6+L7+L10</f>
        <v>4.0605555555555606</v>
      </c>
      <c r="M17" s="39"/>
    </row>
    <row r="18" spans="1:13" ht="20.25" x14ac:dyDescent="0.25">
      <c r="A18" s="10">
        <f t="shared" ca="1" si="0"/>
        <v>46070.789392939798</v>
      </c>
      <c r="B18" s="5" t="s">
        <v>61</v>
      </c>
      <c r="C18" s="11">
        <v>0.78938657407407398</v>
      </c>
      <c r="D18" s="11" t="s">
        <v>62</v>
      </c>
      <c r="E18" s="11">
        <v>0.94322916666666701</v>
      </c>
      <c r="F18" s="12">
        <f t="shared" si="1"/>
        <v>3.6922222222222327</v>
      </c>
      <c r="G18" s="13">
        <f t="shared" si="2"/>
        <v>3.6922222222222327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46071.290649074101</v>
      </c>
      <c r="B19" s="5" t="s">
        <v>61</v>
      </c>
      <c r="C19" s="11">
        <v>0.29064814814814799</v>
      </c>
      <c r="D19" s="11" t="s">
        <v>62</v>
      </c>
      <c r="E19" s="11">
        <v>0.54819444444444398</v>
      </c>
      <c r="F19" s="12">
        <f t="shared" si="1"/>
        <v>6.1811111111111039</v>
      </c>
      <c r="G19" s="13">
        <f t="shared" si="2"/>
        <v>5.1566666666666645</v>
      </c>
      <c r="H19" s="13">
        <f t="shared" si="3"/>
        <v>1.0244444444444398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46071.935928125</v>
      </c>
      <c r="B20" s="5" t="s">
        <v>61</v>
      </c>
      <c r="C20" s="11">
        <v>0.93592592592592605</v>
      </c>
      <c r="D20" s="11" t="s">
        <v>62</v>
      </c>
      <c r="E20" s="11">
        <v>0.99649305555555501</v>
      </c>
      <c r="F20" s="12">
        <f t="shared" si="1"/>
        <v>1.453611111111095</v>
      </c>
      <c r="G20" s="13">
        <f t="shared" si="2"/>
        <v>1.453611111111095</v>
      </c>
      <c r="H20" s="13">
        <f t="shared" si="3"/>
        <v>0</v>
      </c>
      <c r="I20" s="40" t="s">
        <v>77</v>
      </c>
      <c r="J20" s="65">
        <f>J16+J17+J18+J19</f>
        <v>91.855277777777786</v>
      </c>
      <c r="K20" s="66"/>
      <c r="L20" s="67"/>
      <c r="M20" s="41"/>
    </row>
    <row r="21" spans="1:13" ht="20.25" x14ac:dyDescent="0.25">
      <c r="A21" s="10">
        <f t="shared" ca="1" si="0"/>
        <v>46072.068028819398</v>
      </c>
      <c r="B21" s="5" t="s">
        <v>61</v>
      </c>
      <c r="C21" s="11">
        <v>6.8020833333333294E-2</v>
      </c>
      <c r="D21" s="11" t="s">
        <v>62</v>
      </c>
      <c r="E21" s="11">
        <v>0.13688657407407401</v>
      </c>
      <c r="F21" s="12">
        <f t="shared" si="1"/>
        <v>1.6527777777777772</v>
      </c>
      <c r="G21" s="13">
        <f t="shared" si="2"/>
        <v>0</v>
      </c>
      <c r="H21" s="13">
        <f t="shared" si="3"/>
        <v>1.6527777777777772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46074.686854282401</v>
      </c>
      <c r="B22" s="5" t="s">
        <v>61</v>
      </c>
      <c r="C22" s="11">
        <v>0.68685185185185205</v>
      </c>
      <c r="D22" s="11" t="s">
        <v>62</v>
      </c>
      <c r="E22" s="11">
        <v>0.79715277777777804</v>
      </c>
      <c r="F22" s="12">
        <f t="shared" si="1"/>
        <v>2.6472222222222239</v>
      </c>
      <c r="G22" s="13">
        <f t="shared" si="2"/>
        <v>2.6472222222222239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46074.812140972201</v>
      </c>
      <c r="B23" s="5" t="s">
        <v>61</v>
      </c>
      <c r="C23" s="11">
        <v>0.81214120370370402</v>
      </c>
      <c r="D23" s="11" t="s">
        <v>62</v>
      </c>
      <c r="E23" s="11">
        <v>0.94503472222222196</v>
      </c>
      <c r="F23" s="12">
        <f t="shared" si="1"/>
        <v>3.1894444444444305</v>
      </c>
      <c r="G23" s="13">
        <f t="shared" si="2"/>
        <v>3.1894444444444305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46075.130429166697</v>
      </c>
      <c r="B24" s="5" t="s">
        <v>61</v>
      </c>
      <c r="C24" s="11">
        <v>0.130428240740741</v>
      </c>
      <c r="D24" s="11" t="s">
        <v>62</v>
      </c>
      <c r="E24" s="11">
        <v>0.14748842592592601</v>
      </c>
      <c r="F24" s="12">
        <f t="shared" si="1"/>
        <v>0.40944444444444028</v>
      </c>
      <c r="G24" s="13">
        <f t="shared" si="2"/>
        <v>0</v>
      </c>
      <c r="H24" s="13">
        <f t="shared" si="3"/>
        <v>0.40944444444444028</v>
      </c>
      <c r="I24"/>
      <c r="J24"/>
    </row>
    <row r="25" spans="1:13" ht="18.75" x14ac:dyDescent="0.15">
      <c r="A25" s="10">
        <f t="shared" ca="1" si="0"/>
        <v>46075.215709374999</v>
      </c>
      <c r="B25" s="5" t="s">
        <v>61</v>
      </c>
      <c r="C25" s="11">
        <v>0.215706018518519</v>
      </c>
      <c r="D25" s="11" t="s">
        <v>62</v>
      </c>
      <c r="E25" s="11">
        <v>0.297337962962963</v>
      </c>
      <c r="F25" s="12">
        <f t="shared" si="1"/>
        <v>1.9591666666666558</v>
      </c>
      <c r="G25" s="13">
        <f t="shared" si="2"/>
        <v>0</v>
      </c>
      <c r="H25" s="13">
        <f t="shared" si="3"/>
        <v>1.9591666666666558</v>
      </c>
      <c r="I25"/>
      <c r="J25"/>
    </row>
    <row r="26" spans="1:13" ht="18.75" x14ac:dyDescent="0.15">
      <c r="A26" s="10">
        <f t="shared" ca="1" si="0"/>
        <v>46075.791376157402</v>
      </c>
      <c r="B26" s="5" t="s">
        <v>61</v>
      </c>
      <c r="C26" s="11">
        <v>0.79136574074074095</v>
      </c>
      <c r="D26" s="11" t="s">
        <v>62</v>
      </c>
      <c r="E26" s="11">
        <v>0.94515046296296301</v>
      </c>
      <c r="F26" s="12">
        <f t="shared" si="1"/>
        <v>3.6908333333333294</v>
      </c>
      <c r="G26" s="13">
        <f t="shared" si="2"/>
        <v>3.6908333333333294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46076.2900240741</v>
      </c>
      <c r="B27" s="5" t="s">
        <v>61</v>
      </c>
      <c r="C27" s="11">
        <v>0.290023148148148</v>
      </c>
      <c r="D27" s="11" t="s">
        <v>62</v>
      </c>
      <c r="E27" s="11">
        <v>0.36354166666666698</v>
      </c>
      <c r="F27" s="12">
        <f t="shared" si="1"/>
        <v>1.7644444444444556</v>
      </c>
      <c r="G27" s="13">
        <f t="shared" si="2"/>
        <v>0.72500000000001608</v>
      </c>
      <c r="H27" s="13">
        <f t="shared" si="3"/>
        <v>1.0394444444444395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46055.007980439797</v>
      </c>
      <c r="B3" s="5" t="s">
        <v>78</v>
      </c>
      <c r="C3" s="11">
        <v>7.9745370370370404E-3</v>
      </c>
      <c r="D3" s="11" t="s">
        <v>62</v>
      </c>
      <c r="E3" s="11">
        <v>0.11368055555555601</v>
      </c>
      <c r="F3" s="12">
        <f t="shared" ref="F3:F42" si="1">(IF(E3-C3&lt;0,"24:00"-C3+E3,E3-C3))*24</f>
        <v>2.5369444444444551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2.5369444444444551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46055.113775463004</v>
      </c>
      <c r="B4" s="5" t="s">
        <v>80</v>
      </c>
      <c r="C4" s="11">
        <v>0.113773148148148</v>
      </c>
      <c r="D4" s="11" t="s">
        <v>62</v>
      </c>
      <c r="E4" s="11">
        <v>0.14465277777777799</v>
      </c>
      <c r="F4" s="12">
        <f t="shared" si="1"/>
        <v>0.74111111111111982</v>
      </c>
      <c r="G4" s="13">
        <f t="shared" si="2"/>
        <v>0</v>
      </c>
      <c r="H4" s="13">
        <f t="shared" si="3"/>
        <v>0.74111111111111982</v>
      </c>
      <c r="I4" s="21" t="s">
        <v>64</v>
      </c>
      <c r="J4" s="22">
        <f>SUMIF(B:B,"西塔台管制席",F:F)+SUMIF(B:B,"东塔台管制席",F:F)</f>
        <v>29.50194444444443</v>
      </c>
      <c r="K4" s="23">
        <f>SUMIF(B:B,"西塔台管制席",G:G)+SUMIF(B:B,"东塔台管制席",G:G)</f>
        <v>19.994166666666672</v>
      </c>
      <c r="L4" s="23">
        <f>SUMIF(B:B,"西塔台管制席",H:H)+SUMIF(B:B,"东塔台管制席",H:H)</f>
        <v>9.5077777777777577</v>
      </c>
      <c r="M4" s="19"/>
    </row>
    <row r="5" spans="1:16" ht="18.75" x14ac:dyDescent="0.25">
      <c r="A5" s="10">
        <f t="shared" ca="1" si="0"/>
        <v>46055.417822685202</v>
      </c>
      <c r="B5" s="5" t="s">
        <v>80</v>
      </c>
      <c r="C5" s="11">
        <v>0.41781249999999998</v>
      </c>
      <c r="D5" s="11" t="s">
        <v>62</v>
      </c>
      <c r="E5" s="11">
        <v>0.53150462962962997</v>
      </c>
      <c r="F5" s="12">
        <f t="shared" si="1"/>
        <v>2.7286111111111198</v>
      </c>
      <c r="G5" s="13">
        <f t="shared" si="2"/>
        <v>2.7286111111111198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18.208333333333339</v>
      </c>
      <c r="K5" s="23">
        <f>SUMIF(B:B,"西塔台协调席",G:G)+SUMIF(B:B,"东塔台协调席",G:G)</f>
        <v>13.358888888888906</v>
      </c>
      <c r="L5" s="23">
        <f>SUMIF(B:B,"西塔台协调席",H:H)+SUMIF(B:B,"东塔台协调席",H:H)</f>
        <v>4.8494444444444387</v>
      </c>
      <c r="M5" s="19"/>
    </row>
    <row r="6" spans="1:16" ht="18.75" x14ac:dyDescent="0.25">
      <c r="A6" s="10">
        <f t="shared" ca="1" si="0"/>
        <v>46055.792959143502</v>
      </c>
      <c r="B6" s="5" t="s">
        <v>82</v>
      </c>
      <c r="C6" s="11">
        <v>0.79295138888888905</v>
      </c>
      <c r="D6" s="11" t="s">
        <v>62</v>
      </c>
      <c r="E6" s="11">
        <v>0.88016203703703699</v>
      </c>
      <c r="F6" s="12">
        <f t="shared" si="1"/>
        <v>2.0930555555555506</v>
      </c>
      <c r="G6" s="13">
        <f t="shared" si="2"/>
        <v>2.0930555555555506</v>
      </c>
      <c r="H6" s="13">
        <f t="shared" si="3"/>
        <v>0</v>
      </c>
      <c r="I6" s="21" t="s">
        <v>66</v>
      </c>
      <c r="J6" s="22">
        <f>SUMIF(B:B,"放行席",F:F)</f>
        <v>3.9466666666666801</v>
      </c>
      <c r="K6" s="23">
        <f>SUMIF(B:B,"放行席",G:G)</f>
        <v>0</v>
      </c>
      <c r="L6" s="23">
        <f>SUMIF(B:B,"放行席",H:H)</f>
        <v>3.9466666666666801</v>
      </c>
      <c r="M6" s="19"/>
    </row>
    <row r="7" spans="1:16" ht="18.75" x14ac:dyDescent="0.25">
      <c r="A7" s="10">
        <f t="shared" ca="1" si="0"/>
        <v>46059.141377430598</v>
      </c>
      <c r="B7" s="5" t="s">
        <v>78</v>
      </c>
      <c r="C7" s="11">
        <v>0.141377314814815</v>
      </c>
      <c r="D7" s="11" t="s">
        <v>62</v>
      </c>
      <c r="E7" s="11">
        <v>0.22834490740740701</v>
      </c>
      <c r="F7" s="12">
        <f t="shared" si="1"/>
        <v>2.0872222222222083</v>
      </c>
      <c r="G7" s="13">
        <f t="shared" si="2"/>
        <v>0</v>
      </c>
      <c r="H7" s="13">
        <f t="shared" si="3"/>
        <v>2.0872222222222083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46059.228395023201</v>
      </c>
      <c r="B8" s="5" t="s">
        <v>82</v>
      </c>
      <c r="C8" s="11">
        <v>0.228391203703704</v>
      </c>
      <c r="D8" s="11" t="s">
        <v>62</v>
      </c>
      <c r="E8" s="11">
        <v>0.30011574074074099</v>
      </c>
      <c r="F8" s="12">
        <f t="shared" si="1"/>
        <v>1.7213888888888877</v>
      </c>
      <c r="G8" s="13">
        <f t="shared" si="2"/>
        <v>0</v>
      </c>
      <c r="H8" s="13">
        <f t="shared" si="3"/>
        <v>1.7213888888888877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46060.1342462963</v>
      </c>
      <c r="B9" s="5" t="s">
        <v>79</v>
      </c>
      <c r="C9" s="11">
        <v>0.134236111111111</v>
      </c>
      <c r="D9" s="11" t="s">
        <v>62</v>
      </c>
      <c r="E9" s="11">
        <v>0.22309027777777801</v>
      </c>
      <c r="F9" s="12">
        <f t="shared" si="1"/>
        <v>2.1325000000000083</v>
      </c>
      <c r="G9" s="13">
        <f t="shared" si="2"/>
        <v>0</v>
      </c>
      <c r="H9" s="13">
        <f t="shared" si="3"/>
        <v>2.1325000000000083</v>
      </c>
      <c r="I9" s="21" t="s">
        <v>69</v>
      </c>
      <c r="J9" s="22">
        <f>SUMIF(B:B,"航班调度席",F:F)</f>
        <v>1.38</v>
      </c>
      <c r="K9" s="23">
        <f>SUMIF(B:B,"航班调度席",G:G)</f>
        <v>1.38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46062.355530092602</v>
      </c>
      <c r="B10" s="5" t="s">
        <v>82</v>
      </c>
      <c r="C10" s="11">
        <v>0.35552083333333301</v>
      </c>
      <c r="D10" s="11" t="s">
        <v>62</v>
      </c>
      <c r="E10" s="11">
        <v>0.528171296296296</v>
      </c>
      <c r="F10" s="12">
        <f t="shared" si="1"/>
        <v>4.1436111111111114</v>
      </c>
      <c r="G10" s="13">
        <f t="shared" si="2"/>
        <v>4.1436111111111114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46062.647339814801</v>
      </c>
      <c r="B11" s="5" t="s">
        <v>80</v>
      </c>
      <c r="C11" s="11">
        <v>0.64733796296296298</v>
      </c>
      <c r="D11" s="11" t="s">
        <v>62</v>
      </c>
      <c r="E11" s="11">
        <v>0.77819444444444397</v>
      </c>
      <c r="F11" s="12">
        <f t="shared" si="1"/>
        <v>3.1405555555555438</v>
      </c>
      <c r="G11" s="13">
        <f t="shared" si="2"/>
        <v>3.1405555555555438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46063.292589583303</v>
      </c>
      <c r="B12" s="5" t="s">
        <v>80</v>
      </c>
      <c r="C12" s="11">
        <v>0.29258101851851898</v>
      </c>
      <c r="D12" s="11" t="s">
        <v>62</v>
      </c>
      <c r="E12" s="11">
        <v>0.42366898148148202</v>
      </c>
      <c r="F12" s="12">
        <f t="shared" si="1"/>
        <v>3.1461111111111131</v>
      </c>
      <c r="G12" s="13">
        <f t="shared" si="2"/>
        <v>2.1680555555555769</v>
      </c>
      <c r="H12" s="13">
        <f t="shared" si="3"/>
        <v>0.97805555555553614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46063.432772800901</v>
      </c>
      <c r="B13" s="5" t="s">
        <v>84</v>
      </c>
      <c r="C13" s="11">
        <v>0.432766203703704</v>
      </c>
      <c r="D13" s="11" t="s">
        <v>62</v>
      </c>
      <c r="E13" s="11">
        <v>0.490266203703704</v>
      </c>
      <c r="F13" s="12">
        <f t="shared" si="1"/>
        <v>1.38</v>
      </c>
      <c r="G13" s="13">
        <f t="shared" si="2"/>
        <v>1.38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46063.521276620399</v>
      </c>
      <c r="B14" s="5" t="s">
        <v>82</v>
      </c>
      <c r="C14" s="11">
        <v>0.52127314814814796</v>
      </c>
      <c r="D14" s="11" t="s">
        <v>62</v>
      </c>
      <c r="E14" s="11">
        <v>0.65245370370370404</v>
      </c>
      <c r="F14" s="12">
        <f t="shared" si="1"/>
        <v>3.1483333333333459</v>
      </c>
      <c r="G14" s="13">
        <f t="shared" si="2"/>
        <v>3.1483333333333459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46063.7728236111</v>
      </c>
      <c r="B15" s="5" t="s">
        <v>80</v>
      </c>
      <c r="C15" s="11">
        <v>0.77281250000000001</v>
      </c>
      <c r="D15" s="11" t="s">
        <v>62</v>
      </c>
      <c r="E15" s="11">
        <v>0.883541666666667</v>
      </c>
      <c r="F15" s="12">
        <f t="shared" si="1"/>
        <v>2.6575000000000077</v>
      </c>
      <c r="G15" s="13">
        <f t="shared" si="2"/>
        <v>2.6575000000000077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46074.350623032398</v>
      </c>
      <c r="B16" s="5" t="s">
        <v>80</v>
      </c>
      <c r="C16" s="11">
        <v>0.35061342592592598</v>
      </c>
      <c r="D16" s="11" t="s">
        <v>62</v>
      </c>
      <c r="E16" s="11">
        <v>0.52732638888888905</v>
      </c>
      <c r="F16" s="12">
        <f t="shared" si="1"/>
        <v>4.2411111111111133</v>
      </c>
      <c r="G16" s="13">
        <f t="shared" si="2"/>
        <v>4.2411111111111133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46074.646151851899</v>
      </c>
      <c r="B17" s="5" t="s">
        <v>82</v>
      </c>
      <c r="C17" s="11">
        <v>0.64614583333333298</v>
      </c>
      <c r="D17" s="11" t="s">
        <v>62</v>
      </c>
      <c r="E17" s="11">
        <v>0.78143518518518496</v>
      </c>
      <c r="F17" s="12">
        <f t="shared" si="1"/>
        <v>3.2469444444444475</v>
      </c>
      <c r="G17" s="13">
        <f t="shared" si="2"/>
        <v>3.2469444444444475</v>
      </c>
      <c r="H17" s="13">
        <f t="shared" si="3"/>
        <v>0</v>
      </c>
      <c r="I17" s="35" t="s">
        <v>75</v>
      </c>
      <c r="J17" s="36">
        <f>J4+J5+J6+J7+J10</f>
        <v>51.656944444444449</v>
      </c>
      <c r="K17" s="37">
        <f>K4+K5+K6+K7+K10</f>
        <v>33.353055555555578</v>
      </c>
      <c r="L17" s="38">
        <f>L4+L5+L6+L7+L10</f>
        <v>18.303888888888878</v>
      </c>
      <c r="M17" s="39"/>
    </row>
    <row r="18" spans="1:13" ht="20.25" x14ac:dyDescent="0.25">
      <c r="A18" s="10">
        <f t="shared" ca="1" si="0"/>
        <v>46075.417147106498</v>
      </c>
      <c r="B18" s="5" t="s">
        <v>80</v>
      </c>
      <c r="C18" s="11">
        <v>0.417141203703704</v>
      </c>
      <c r="D18" s="11" t="s">
        <v>62</v>
      </c>
      <c r="E18" s="11">
        <v>0.52453703703703702</v>
      </c>
      <c r="F18" s="12">
        <f t="shared" si="1"/>
        <v>2.5774999999999926</v>
      </c>
      <c r="G18" s="13">
        <f t="shared" si="2"/>
        <v>2.5774999999999926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46075.856253819402</v>
      </c>
      <c r="B19" s="5" t="s">
        <v>80</v>
      </c>
      <c r="C19" s="11">
        <v>0.85636574074074101</v>
      </c>
      <c r="D19" s="11" t="s">
        <v>62</v>
      </c>
      <c r="E19" s="11">
        <v>0.95973379629629596</v>
      </c>
      <c r="F19" s="12">
        <f t="shared" si="1"/>
        <v>2.4808333333333188</v>
      </c>
      <c r="G19" s="13">
        <f t="shared" si="2"/>
        <v>2.4808333333333188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46076.293187847201</v>
      </c>
      <c r="B20" s="5" t="s">
        <v>82</v>
      </c>
      <c r="C20" s="11">
        <v>0.29318287037037</v>
      </c>
      <c r="D20" s="11" t="s">
        <v>62</v>
      </c>
      <c r="E20" s="11">
        <v>0.36362268518518498</v>
      </c>
      <c r="F20" s="12">
        <f t="shared" si="1"/>
        <v>1.6905555555555596</v>
      </c>
      <c r="G20" s="13">
        <f t="shared" si="2"/>
        <v>0.72694444444444795</v>
      </c>
      <c r="H20" s="13">
        <f t="shared" si="3"/>
        <v>0.96361111111111164</v>
      </c>
      <c r="I20" s="40" t="s">
        <v>77</v>
      </c>
      <c r="J20" s="65">
        <f>J16+J17+J18+J19</f>
        <v>51.656944444444449</v>
      </c>
      <c r="K20" s="66"/>
      <c r="L20" s="67"/>
      <c r="M20" s="41"/>
    </row>
    <row r="21" spans="1:13" ht="20.25" x14ac:dyDescent="0.25">
      <c r="A21" s="10">
        <f t="shared" ca="1" si="0"/>
        <v>46079.013188773097</v>
      </c>
      <c r="B21" s="5" t="s">
        <v>78</v>
      </c>
      <c r="C21" s="11">
        <v>1.31828703703704E-2</v>
      </c>
      <c r="D21" s="11" t="s">
        <v>62</v>
      </c>
      <c r="E21" s="11">
        <v>0.145034722222222</v>
      </c>
      <c r="F21" s="12">
        <f t="shared" si="1"/>
        <v>3.1644444444444386</v>
      </c>
      <c r="G21" s="13">
        <f t="shared" si="2"/>
        <v>0</v>
      </c>
      <c r="H21" s="13">
        <f t="shared" si="3"/>
        <v>3.1644444444444386</v>
      </c>
      <c r="I21" s="42" t="s">
        <v>4</v>
      </c>
      <c r="J21" s="43">
        <f>SUM(J8:J9)</f>
        <v>1.38</v>
      </c>
      <c r="K21" s="37">
        <f>SUM(K8:K9)</f>
        <v>1.38</v>
      </c>
      <c r="L21" s="38">
        <f>SUM(L8:L9)</f>
        <v>0</v>
      </c>
      <c r="M21" s="44"/>
    </row>
    <row r="22" spans="1:13" ht="18.75" x14ac:dyDescent="0.15">
      <c r="A22" s="10">
        <f t="shared" ca="1" si="0"/>
        <v>46080.133106250003</v>
      </c>
      <c r="B22" s="5" t="s">
        <v>79</v>
      </c>
      <c r="C22" s="11">
        <v>0.133101851851852</v>
      </c>
      <c r="D22" s="11" t="s">
        <v>62</v>
      </c>
      <c r="E22" s="11">
        <v>0.20869212962962999</v>
      </c>
      <c r="F22" s="12">
        <f t="shared" si="1"/>
        <v>1.8141666666666718</v>
      </c>
      <c r="G22" s="13">
        <f t="shared" si="2"/>
        <v>0</v>
      </c>
      <c r="H22" s="13">
        <f t="shared" si="3"/>
        <v>1.8141666666666718</v>
      </c>
      <c r="I22"/>
      <c r="J22"/>
    </row>
    <row r="23" spans="1:13" ht="18.75" x14ac:dyDescent="0.15">
      <c r="A23" s="10">
        <f t="shared" ca="1" si="0"/>
        <v>46080.208745023097</v>
      </c>
      <c r="B23" s="5" t="s">
        <v>81</v>
      </c>
      <c r="C23" s="11">
        <v>0.20873842592592601</v>
      </c>
      <c r="D23" s="11" t="s">
        <v>62</v>
      </c>
      <c r="E23" s="11">
        <v>0.29892361111111099</v>
      </c>
      <c r="F23" s="12">
        <f t="shared" si="1"/>
        <v>2.1644444444444395</v>
      </c>
      <c r="G23" s="13">
        <f t="shared" si="2"/>
        <v>0</v>
      </c>
      <c r="H23" s="13">
        <f t="shared" si="3"/>
        <v>2.1644444444444395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46054.2929947917</v>
      </c>
      <c r="B3" s="5" t="s">
        <v>61</v>
      </c>
      <c r="C3" s="11">
        <v>0.292986111111111</v>
      </c>
      <c r="D3" s="11" t="s">
        <v>62</v>
      </c>
      <c r="E3" s="11">
        <v>0.36251157407407397</v>
      </c>
      <c r="F3" s="12">
        <f t="shared" ref="F3:F42" si="1">(IF(E3-C3&lt;0,"24:00"-C3+E3,E3-C3))*24</f>
        <v>1.6686111111111113</v>
      </c>
      <c r="G3" s="13">
        <f t="shared" ref="G3:G42" si="2">F3-H3</f>
        <v>0.70027777777778377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0.9683333333333275</v>
      </c>
      <c r="I3" s="16" t="s">
        <v>63</v>
      </c>
      <c r="J3" s="17">
        <f>SUMIF(B:B,"带班主任",F:F)</f>
        <v>90.086111111111222</v>
      </c>
      <c r="K3" s="18">
        <f>SUMIF(B:B,"带班主任",G:G)</f>
        <v>60.861944444444518</v>
      </c>
      <c r="L3" s="18">
        <f>SUMIF(B:B,"带班主任",H:H)</f>
        <v>29.224166666666704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46056.35623125</v>
      </c>
      <c r="B4" s="5" t="s">
        <v>61</v>
      </c>
      <c r="C4" s="11">
        <v>0.35622685185185199</v>
      </c>
      <c r="D4" s="11" t="s">
        <v>62</v>
      </c>
      <c r="E4" s="11">
        <v>0.53123842592592596</v>
      </c>
      <c r="F4" s="12">
        <f t="shared" si="1"/>
        <v>4.2002777777777753</v>
      </c>
      <c r="G4" s="13">
        <f t="shared" si="2"/>
        <v>4.2002777777777753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46056.791342476798</v>
      </c>
      <c r="B5" s="5" t="s">
        <v>61</v>
      </c>
      <c r="C5" s="11">
        <v>0.79134259259259299</v>
      </c>
      <c r="D5" s="11" t="s">
        <v>62</v>
      </c>
      <c r="E5" s="11">
        <v>0.94238425925925895</v>
      </c>
      <c r="F5" s="12">
        <f t="shared" si="1"/>
        <v>3.6249999999999831</v>
      </c>
      <c r="G5" s="13">
        <f t="shared" si="2"/>
        <v>3.6249999999999831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46057.293703588002</v>
      </c>
      <c r="B6" s="5" t="s">
        <v>61</v>
      </c>
      <c r="C6" s="11">
        <v>0.29300925925925903</v>
      </c>
      <c r="D6" s="11" t="s">
        <v>62</v>
      </c>
      <c r="E6" s="11">
        <v>0.50190972222222197</v>
      </c>
      <c r="F6" s="12">
        <f t="shared" si="1"/>
        <v>5.0136111111111106</v>
      </c>
      <c r="G6" s="13">
        <f t="shared" si="2"/>
        <v>4.0458333333333361</v>
      </c>
      <c r="H6" s="13">
        <f t="shared" si="3"/>
        <v>0.96777777777777496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46057.522414236097</v>
      </c>
      <c r="B7" s="5" t="s">
        <v>61</v>
      </c>
      <c r="C7" s="11">
        <v>0.52240740740740699</v>
      </c>
      <c r="D7" s="11" t="s">
        <v>62</v>
      </c>
      <c r="E7" s="11">
        <v>0.54731481481481503</v>
      </c>
      <c r="F7" s="12">
        <f t="shared" si="1"/>
        <v>0.59777777777779306</v>
      </c>
      <c r="G7" s="13">
        <f t="shared" si="2"/>
        <v>0.59777777777779306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46057.938990277798</v>
      </c>
      <c r="B8" s="5" t="s">
        <v>61</v>
      </c>
      <c r="C8" s="11">
        <v>0.93898148148148097</v>
      </c>
      <c r="D8" s="11" t="s">
        <v>62</v>
      </c>
      <c r="E8" s="11">
        <v>0.13414351851851899</v>
      </c>
      <c r="F8" s="12">
        <f t="shared" si="1"/>
        <v>4.6838888888889123</v>
      </c>
      <c r="G8" s="13">
        <f t="shared" si="2"/>
        <v>1.4644444444444566</v>
      </c>
      <c r="H8" s="13">
        <f t="shared" si="3"/>
        <v>3.2194444444444557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46060.5425628472</v>
      </c>
      <c r="B9" s="5" t="s">
        <v>61</v>
      </c>
      <c r="C9" s="11">
        <v>0.54255787037036995</v>
      </c>
      <c r="D9" s="11" t="s">
        <v>62</v>
      </c>
      <c r="E9" s="11">
        <v>0.79487268518518495</v>
      </c>
      <c r="F9" s="12">
        <f t="shared" si="1"/>
        <v>6.0555555555555598</v>
      </c>
      <c r="G9" s="13">
        <f t="shared" si="2"/>
        <v>6.0555555555555598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46061.1332547454</v>
      </c>
      <c r="B10" s="5" t="s">
        <v>61</v>
      </c>
      <c r="C10" s="11">
        <v>0.133252314814815</v>
      </c>
      <c r="D10" s="11" t="s">
        <v>62</v>
      </c>
      <c r="E10" s="11">
        <v>0.29659722222222201</v>
      </c>
      <c r="F10" s="12">
        <f t="shared" si="1"/>
        <v>3.920277777777768</v>
      </c>
      <c r="G10" s="13">
        <f t="shared" si="2"/>
        <v>0</v>
      </c>
      <c r="H10" s="13">
        <f t="shared" si="3"/>
        <v>3.920277777777768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46061.790591782403</v>
      </c>
      <c r="B11" s="5" t="s">
        <v>61</v>
      </c>
      <c r="C11" s="11">
        <v>0.79059027777777802</v>
      </c>
      <c r="D11" s="11" t="s">
        <v>62</v>
      </c>
      <c r="E11" s="11">
        <v>0.93843750000000004</v>
      </c>
      <c r="F11" s="12">
        <f t="shared" si="1"/>
        <v>3.5483333333333285</v>
      </c>
      <c r="G11" s="13">
        <f t="shared" si="2"/>
        <v>3.5483333333333285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46062.291776967599</v>
      </c>
      <c r="B12" s="5" t="s">
        <v>61</v>
      </c>
      <c r="C12" s="11">
        <v>0.29177083333333298</v>
      </c>
      <c r="D12" s="11" t="s">
        <v>62</v>
      </c>
      <c r="E12" s="11">
        <v>0.35872685185185199</v>
      </c>
      <c r="F12" s="12">
        <f t="shared" si="1"/>
        <v>1.6069444444444563</v>
      </c>
      <c r="G12" s="13">
        <f t="shared" si="2"/>
        <v>0.60944444444445622</v>
      </c>
      <c r="H12" s="13">
        <f t="shared" si="3"/>
        <v>0.99750000000000005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46063.938892129598</v>
      </c>
      <c r="B13" s="5" t="s">
        <v>61</v>
      </c>
      <c r="C13" s="11">
        <v>0.93888888888888899</v>
      </c>
      <c r="D13" s="11" t="s">
        <v>62</v>
      </c>
      <c r="E13" s="11">
        <v>0.13665509259259301</v>
      </c>
      <c r="F13" s="12">
        <f t="shared" si="1"/>
        <v>4.7463888888888963</v>
      </c>
      <c r="G13" s="13">
        <f t="shared" si="2"/>
        <v>1.4666666666666641</v>
      </c>
      <c r="H13" s="13">
        <f t="shared" si="3"/>
        <v>3.2797222222222322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46064.937727893499</v>
      </c>
      <c r="B14" s="5" t="s">
        <v>61</v>
      </c>
      <c r="C14" s="11">
        <v>0.93771990740740696</v>
      </c>
      <c r="D14" s="11" t="s">
        <v>62</v>
      </c>
      <c r="E14" s="11">
        <v>0.13642361111111101</v>
      </c>
      <c r="F14" s="12">
        <f t="shared" si="1"/>
        <v>4.7688888888888972</v>
      </c>
      <c r="G14" s="13">
        <f t="shared" si="2"/>
        <v>1.4947222222222329</v>
      </c>
      <c r="H14" s="13">
        <f t="shared" si="3"/>
        <v>3.2741666666666642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46065.542056597202</v>
      </c>
      <c r="B15" s="5" t="s">
        <v>61</v>
      </c>
      <c r="C15" s="11">
        <v>0.54204861111111102</v>
      </c>
      <c r="D15" s="11" t="s">
        <v>62</v>
      </c>
      <c r="E15" s="11">
        <v>0.75135416666666699</v>
      </c>
      <c r="F15" s="12">
        <f t="shared" si="1"/>
        <v>5.0233333333333432</v>
      </c>
      <c r="G15" s="13">
        <f t="shared" si="2"/>
        <v>5.0233333333333432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46065.767510879603</v>
      </c>
      <c r="B16" s="5" t="s">
        <v>61</v>
      </c>
      <c r="C16" s="11">
        <v>0.76749999999999996</v>
      </c>
      <c r="D16" s="11" t="s">
        <v>62</v>
      </c>
      <c r="E16" s="11">
        <v>0.79667824074074101</v>
      </c>
      <c r="F16" s="12">
        <f t="shared" si="1"/>
        <v>0.7002777777777851</v>
      </c>
      <c r="G16" s="13">
        <f t="shared" si="2"/>
        <v>0.7002777777777851</v>
      </c>
      <c r="H16" s="13">
        <f t="shared" si="3"/>
        <v>0</v>
      </c>
      <c r="I16" s="35" t="s">
        <v>63</v>
      </c>
      <c r="J16" s="36">
        <f t="shared" ref="J16:L16" si="4">J3</f>
        <v>90.086111111111222</v>
      </c>
      <c r="K16" s="37">
        <f t="shared" si="4"/>
        <v>60.861944444444518</v>
      </c>
      <c r="L16" s="38">
        <f t="shared" si="4"/>
        <v>29.224166666666704</v>
      </c>
      <c r="M16" s="39"/>
    </row>
    <row r="17" spans="1:13" ht="20.25" x14ac:dyDescent="0.25">
      <c r="A17" s="10">
        <f t="shared" ca="1" si="0"/>
        <v>46066.132973495398</v>
      </c>
      <c r="B17" s="5" t="s">
        <v>61</v>
      </c>
      <c r="C17" s="11">
        <v>0.132962962962963</v>
      </c>
      <c r="D17" s="11" t="s">
        <v>62</v>
      </c>
      <c r="E17" s="11">
        <v>0.29608796296296302</v>
      </c>
      <c r="F17" s="12">
        <f t="shared" si="1"/>
        <v>3.9150000000000005</v>
      </c>
      <c r="G17" s="13">
        <f t="shared" si="2"/>
        <v>0</v>
      </c>
      <c r="H17" s="13">
        <f t="shared" si="3"/>
        <v>3.9150000000000005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0"/>
        <v>46068.542027893498</v>
      </c>
      <c r="B18" s="5" t="s">
        <v>61</v>
      </c>
      <c r="C18" s="11">
        <v>0.54202546296296295</v>
      </c>
      <c r="D18" s="11" t="s">
        <v>62</v>
      </c>
      <c r="E18" s="11">
        <v>0.73938657407407404</v>
      </c>
      <c r="F18" s="12">
        <f t="shared" si="1"/>
        <v>4.7366666666666664</v>
      </c>
      <c r="G18" s="13">
        <f t="shared" si="2"/>
        <v>4.7366666666666664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46068.764707986098</v>
      </c>
      <c r="B19" s="5" t="s">
        <v>61</v>
      </c>
      <c r="C19" s="11">
        <v>0.764699074074074</v>
      </c>
      <c r="D19" s="11" t="s">
        <v>62</v>
      </c>
      <c r="E19" s="11">
        <v>0.79555555555555602</v>
      </c>
      <c r="F19" s="12">
        <f t="shared" si="1"/>
        <v>0.74055555555556829</v>
      </c>
      <c r="G19" s="13">
        <f t="shared" si="2"/>
        <v>0.74055555555556829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46069.133473263901</v>
      </c>
      <c r="B20" s="5" t="s">
        <v>61</v>
      </c>
      <c r="C20" s="11">
        <v>0.13347222222222199</v>
      </c>
      <c r="D20" s="11" t="s">
        <v>62</v>
      </c>
      <c r="E20" s="11">
        <v>0.18120370370370401</v>
      </c>
      <c r="F20" s="12">
        <f t="shared" si="1"/>
        <v>1.1455555555555683</v>
      </c>
      <c r="G20" s="13">
        <f t="shared" si="2"/>
        <v>0</v>
      </c>
      <c r="H20" s="13">
        <f t="shared" si="3"/>
        <v>1.1455555555555683</v>
      </c>
      <c r="I20" s="40" t="s">
        <v>77</v>
      </c>
      <c r="J20" s="65">
        <f>J16+J17+J18+J19</f>
        <v>90.086111111111222</v>
      </c>
      <c r="K20" s="66"/>
      <c r="L20" s="67"/>
      <c r="M20" s="41"/>
    </row>
    <row r="21" spans="1:13" ht="20.25" x14ac:dyDescent="0.25">
      <c r="A21" s="10">
        <f t="shared" ca="1" si="0"/>
        <v>46069.225990972198</v>
      </c>
      <c r="B21" s="5" t="s">
        <v>61</v>
      </c>
      <c r="C21" s="11">
        <v>0.225983796296296</v>
      </c>
      <c r="D21" s="11" t="s">
        <v>62</v>
      </c>
      <c r="E21" s="11">
        <v>0.29619212962962999</v>
      </c>
      <c r="F21" s="12">
        <f t="shared" si="1"/>
        <v>1.6850000000000156</v>
      </c>
      <c r="G21" s="13">
        <f t="shared" si="2"/>
        <v>0</v>
      </c>
      <c r="H21" s="13">
        <f t="shared" si="3"/>
        <v>1.6850000000000156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46069.7905461806</v>
      </c>
      <c r="B22" s="5" t="s">
        <v>61</v>
      </c>
      <c r="C22" s="11">
        <v>0.79054398148148097</v>
      </c>
      <c r="D22" s="11" t="s">
        <v>62</v>
      </c>
      <c r="E22" s="11">
        <v>0.82244212962963004</v>
      </c>
      <c r="F22" s="12">
        <f t="shared" si="1"/>
        <v>0.76555555555557753</v>
      </c>
      <c r="G22" s="13">
        <f t="shared" si="2"/>
        <v>0.76555555555557753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46069.884466319403</v>
      </c>
      <c r="B23" s="5" t="s">
        <v>61</v>
      </c>
      <c r="C23" s="11">
        <v>0.88445601851851896</v>
      </c>
      <c r="D23" s="11" t="s">
        <v>62</v>
      </c>
      <c r="E23" s="11">
        <v>0.94186342592592598</v>
      </c>
      <c r="F23" s="12">
        <f t="shared" si="1"/>
        <v>1.3777777777777684</v>
      </c>
      <c r="G23" s="13">
        <f t="shared" si="2"/>
        <v>1.3777777777777684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46070.292971990697</v>
      </c>
      <c r="B24" s="5" t="s">
        <v>61</v>
      </c>
      <c r="C24" s="11">
        <v>0.29296296296296298</v>
      </c>
      <c r="D24" s="11" t="s">
        <v>62</v>
      </c>
      <c r="E24" s="11">
        <v>0.30790509259259302</v>
      </c>
      <c r="F24" s="12">
        <f t="shared" si="1"/>
        <v>0.35861111111112098</v>
      </c>
      <c r="G24" s="13">
        <f t="shared" si="2"/>
        <v>0</v>
      </c>
      <c r="H24" s="13">
        <f t="shared" si="3"/>
        <v>0.35861111111112098</v>
      </c>
      <c r="I24"/>
      <c r="J24"/>
    </row>
    <row r="25" spans="1:13" ht="18.75" x14ac:dyDescent="0.15">
      <c r="A25" s="10">
        <f t="shared" ca="1" si="0"/>
        <v>46070.343620486099</v>
      </c>
      <c r="B25" s="5" t="s">
        <v>61</v>
      </c>
      <c r="C25" s="11">
        <v>0.34361111111111098</v>
      </c>
      <c r="D25" s="11" t="s">
        <v>62</v>
      </c>
      <c r="E25" s="11">
        <v>0.36085648148148097</v>
      </c>
      <c r="F25" s="12">
        <f t="shared" si="1"/>
        <v>0.41388888888887987</v>
      </c>
      <c r="G25" s="13">
        <f t="shared" si="2"/>
        <v>0.41388888888887987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46072.351240625001</v>
      </c>
      <c r="B26" s="5" t="s">
        <v>61</v>
      </c>
      <c r="C26" s="11">
        <v>0.35123842592592602</v>
      </c>
      <c r="D26" s="11" t="s">
        <v>62</v>
      </c>
      <c r="E26" s="11">
        <v>0.40746527777777802</v>
      </c>
      <c r="F26" s="12">
        <f t="shared" si="1"/>
        <v>1.349444444444448</v>
      </c>
      <c r="G26" s="13">
        <f t="shared" si="2"/>
        <v>1.349444444444448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46072.453556828703</v>
      </c>
      <c r="B27" s="5" t="s">
        <v>61</v>
      </c>
      <c r="C27" s="11">
        <v>0.45355324074074099</v>
      </c>
      <c r="D27" s="11" t="s">
        <v>62</v>
      </c>
      <c r="E27" s="11">
        <v>0.492766203703704</v>
      </c>
      <c r="F27" s="12">
        <f t="shared" si="1"/>
        <v>0.94111111111111212</v>
      </c>
      <c r="G27" s="13">
        <f t="shared" si="2"/>
        <v>0.94111111111111212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46072.519649652801</v>
      </c>
      <c r="B28" s="5" t="s">
        <v>61</v>
      </c>
      <c r="C28" s="11">
        <v>0.51964120370370404</v>
      </c>
      <c r="D28" s="11" t="s">
        <v>62</v>
      </c>
      <c r="E28" s="11">
        <v>0.54754629629629603</v>
      </c>
      <c r="F28" s="12">
        <f t="shared" si="1"/>
        <v>0.6697222222222079</v>
      </c>
      <c r="G28" s="13">
        <f t="shared" si="2"/>
        <v>0.6697222222222079</v>
      </c>
      <c r="H28" s="13">
        <f t="shared" si="3"/>
        <v>0</v>
      </c>
      <c r="I28"/>
      <c r="J28"/>
    </row>
    <row r="29" spans="1:13" ht="18.75" x14ac:dyDescent="0.15">
      <c r="A29" s="10">
        <f t="shared" ca="1" si="0"/>
        <v>46072.790315161998</v>
      </c>
      <c r="B29" s="5" t="s">
        <v>61</v>
      </c>
      <c r="C29" s="11">
        <v>0.79031249999999997</v>
      </c>
      <c r="D29" s="11" t="s">
        <v>62</v>
      </c>
      <c r="E29" s="11">
        <v>0.90021990740740698</v>
      </c>
      <c r="F29" s="12">
        <f t="shared" si="1"/>
        <v>2.6377777777777682</v>
      </c>
      <c r="G29" s="13">
        <f t="shared" si="2"/>
        <v>2.6377777777777682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46072.9342553241</v>
      </c>
      <c r="B30" s="5" t="s">
        <v>61</v>
      </c>
      <c r="C30" s="11">
        <v>0.93424768518518497</v>
      </c>
      <c r="D30" s="11" t="s">
        <v>62</v>
      </c>
      <c r="E30" s="11">
        <v>0.94268518518518496</v>
      </c>
      <c r="F30" s="12">
        <f t="shared" si="1"/>
        <v>0.20249999999999968</v>
      </c>
      <c r="G30" s="13">
        <f t="shared" si="2"/>
        <v>0.20249999999999968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46073.2929784722</v>
      </c>
      <c r="B31" s="5" t="s">
        <v>61</v>
      </c>
      <c r="C31" s="11">
        <v>0.29297453703703702</v>
      </c>
      <c r="D31" s="11" t="s">
        <v>62</v>
      </c>
      <c r="E31" s="11">
        <v>0.30687500000000001</v>
      </c>
      <c r="F31" s="12">
        <f t="shared" si="1"/>
        <v>0.33361111111111175</v>
      </c>
      <c r="G31" s="13">
        <f t="shared" si="2"/>
        <v>0</v>
      </c>
      <c r="H31" s="13">
        <f t="shared" si="3"/>
        <v>0.33361111111111175</v>
      </c>
      <c r="I31"/>
      <c r="J31"/>
    </row>
    <row r="32" spans="1:13" ht="18.75" x14ac:dyDescent="0.15">
      <c r="A32" s="10">
        <f t="shared" ca="1" si="0"/>
        <v>46073.344483911998</v>
      </c>
      <c r="B32" s="5" t="s">
        <v>61</v>
      </c>
      <c r="C32" s="11">
        <v>0.34309027777777801</v>
      </c>
      <c r="D32" s="11" t="s">
        <v>62</v>
      </c>
      <c r="E32" s="11">
        <v>0.49101851851851902</v>
      </c>
      <c r="F32" s="12">
        <f t="shared" si="1"/>
        <v>3.5502777777777843</v>
      </c>
      <c r="G32" s="13">
        <f t="shared" si="2"/>
        <v>3.5502777777777843</v>
      </c>
      <c r="H32" s="13">
        <f t="shared" si="3"/>
        <v>0</v>
      </c>
      <c r="I32"/>
      <c r="J32"/>
    </row>
    <row r="33" spans="1:11" ht="18.75" x14ac:dyDescent="0.15">
      <c r="A33" s="10">
        <f t="shared" ca="1" si="0"/>
        <v>46073.515627777801</v>
      </c>
      <c r="B33" s="5" t="s">
        <v>61</v>
      </c>
      <c r="C33" s="11">
        <v>0.515625</v>
      </c>
      <c r="D33" s="11" t="s">
        <v>62</v>
      </c>
      <c r="E33" s="11">
        <v>0.54604166666666698</v>
      </c>
      <c r="F33" s="12">
        <f t="shared" si="1"/>
        <v>0.73000000000000753</v>
      </c>
      <c r="G33" s="13">
        <f t="shared" si="2"/>
        <v>0.73000000000000753</v>
      </c>
      <c r="H33" s="13">
        <f t="shared" si="3"/>
        <v>0</v>
      </c>
      <c r="I33"/>
      <c r="J33"/>
    </row>
    <row r="34" spans="1:11" ht="18.75" x14ac:dyDescent="0.15">
      <c r="A34" s="10">
        <f t="shared" ca="1" si="0"/>
        <v>46073.9387571759</v>
      </c>
      <c r="B34" s="5" t="s">
        <v>61</v>
      </c>
      <c r="C34" s="11">
        <v>0.93874999999999997</v>
      </c>
      <c r="D34" s="11" t="s">
        <v>62</v>
      </c>
      <c r="E34" s="11">
        <v>0.99603009259259301</v>
      </c>
      <c r="F34" s="12">
        <f t="shared" si="1"/>
        <v>1.3747222222222328</v>
      </c>
      <c r="G34" s="13">
        <f t="shared" si="2"/>
        <v>1.3747222222222328</v>
      </c>
      <c r="H34" s="13">
        <f t="shared" si="3"/>
        <v>0</v>
      </c>
      <c r="I34"/>
      <c r="J34"/>
    </row>
    <row r="35" spans="1:11" ht="18.75" x14ac:dyDescent="0.15">
      <c r="A35" s="10">
        <f t="shared" ca="1" si="0"/>
        <v>46074.026467129603</v>
      </c>
      <c r="B35" s="5" t="s">
        <v>61</v>
      </c>
      <c r="C35" s="11">
        <v>2.6458333333333299E-2</v>
      </c>
      <c r="D35" s="11" t="s">
        <v>62</v>
      </c>
      <c r="E35" s="11">
        <v>5.2222222222222198E-2</v>
      </c>
      <c r="F35" s="12">
        <f t="shared" si="1"/>
        <v>0.61833333333333362</v>
      </c>
      <c r="G35" s="13">
        <f t="shared" si="2"/>
        <v>0</v>
      </c>
      <c r="H35" s="13">
        <f t="shared" si="3"/>
        <v>0.61833333333333362</v>
      </c>
      <c r="I35"/>
      <c r="J35"/>
    </row>
    <row r="36" spans="1:11" ht="18.75" x14ac:dyDescent="0.15">
      <c r="A36" s="10">
        <f t="shared" ca="1" si="0"/>
        <v>46074.074829398101</v>
      </c>
      <c r="B36" s="5" t="s">
        <v>61</v>
      </c>
      <c r="C36" s="11">
        <v>7.4826388888888901E-2</v>
      </c>
      <c r="D36" s="11" t="s">
        <v>62</v>
      </c>
      <c r="E36" s="11">
        <v>0.13049768518518501</v>
      </c>
      <c r="F36" s="12">
        <f t="shared" si="1"/>
        <v>1.3361111111111066</v>
      </c>
      <c r="G36" s="13">
        <f t="shared" si="2"/>
        <v>0</v>
      </c>
      <c r="H36" s="13">
        <f t="shared" si="3"/>
        <v>1.3361111111111066</v>
      </c>
      <c r="I36"/>
      <c r="J36"/>
    </row>
    <row r="37" spans="1:11" ht="18.75" x14ac:dyDescent="0.15">
      <c r="A37" s="10">
        <f t="shared" ca="1" si="0"/>
        <v>46080.938991898103</v>
      </c>
      <c r="B37" s="5" t="s">
        <v>61</v>
      </c>
      <c r="C37" s="11">
        <v>0.93898148148148097</v>
      </c>
      <c r="D37" s="11" t="s">
        <v>62</v>
      </c>
      <c r="E37" s="11">
        <v>0.13353009259259299</v>
      </c>
      <c r="F37" s="12">
        <f t="shared" si="1"/>
        <v>4.6691666666666887</v>
      </c>
      <c r="G37" s="13">
        <f t="shared" si="2"/>
        <v>1.4644444444444566</v>
      </c>
      <c r="H37" s="13">
        <f t="shared" si="3"/>
        <v>3.204722222222232</v>
      </c>
      <c r="I37"/>
      <c r="J37"/>
    </row>
    <row r="38" spans="1:11" ht="18.75" x14ac:dyDescent="0.15">
      <c r="A38" s="10">
        <f t="shared" ca="1" si="0"/>
        <v>46081.541902777797</v>
      </c>
      <c r="B38" s="5" t="s">
        <v>61</v>
      </c>
      <c r="C38" s="11">
        <v>0.54189814814814796</v>
      </c>
      <c r="D38" s="11" t="s">
        <v>62</v>
      </c>
      <c r="E38" s="11">
        <v>0.69619212962962995</v>
      </c>
      <c r="F38" s="12">
        <f t="shared" si="1"/>
        <v>3.7030555555555678</v>
      </c>
      <c r="G38" s="13">
        <f t="shared" si="2"/>
        <v>3.7030555555555678</v>
      </c>
      <c r="H38" s="13">
        <f t="shared" si="3"/>
        <v>0</v>
      </c>
      <c r="I38" s="45"/>
      <c r="J38" s="46"/>
      <c r="K38" s="11"/>
    </row>
    <row r="39" spans="1:11" ht="18.75" x14ac:dyDescent="0.15">
      <c r="A39" s="10">
        <f t="shared" ca="1" si="0"/>
        <v>46081.764670833298</v>
      </c>
      <c r="B39" s="5" t="s">
        <v>61</v>
      </c>
      <c r="C39" s="11">
        <v>0.764664351851852</v>
      </c>
      <c r="D39" s="11" t="s">
        <v>62</v>
      </c>
      <c r="E39" s="11">
        <v>0.78964120370370405</v>
      </c>
      <c r="F39" s="12">
        <f t="shared" si="1"/>
        <v>0.59944444444444933</v>
      </c>
      <c r="G39" s="13">
        <f t="shared" si="2"/>
        <v>0.59944444444444933</v>
      </c>
      <c r="H39" s="13">
        <f t="shared" si="3"/>
        <v>0</v>
      </c>
      <c r="I39" s="45"/>
      <c r="J39" s="46"/>
      <c r="K39" s="11"/>
    </row>
    <row r="40" spans="1:11" ht="18.75" x14ac:dyDescent="0.15">
      <c r="A40" s="10">
        <f t="shared" ca="1" si="0"/>
        <v>46081.827208680603</v>
      </c>
      <c r="B40" s="5" t="s">
        <v>61</v>
      </c>
      <c r="C40" s="11">
        <v>0.827199074074074</v>
      </c>
      <c r="D40" s="11" t="s">
        <v>62</v>
      </c>
      <c r="E40" s="11">
        <v>0.86438657407407404</v>
      </c>
      <c r="F40" s="12">
        <f t="shared" si="1"/>
        <v>0.89250000000000096</v>
      </c>
      <c r="G40" s="13">
        <f t="shared" si="2"/>
        <v>0.89250000000000096</v>
      </c>
      <c r="H40" s="13">
        <f t="shared" si="3"/>
        <v>0</v>
      </c>
      <c r="I40" s="45"/>
      <c r="J40" s="46"/>
      <c r="K40" s="11"/>
    </row>
    <row r="41" spans="1:11" ht="18.75" x14ac:dyDescent="0.15">
      <c r="A41" s="10">
        <f t="shared" ca="1" si="0"/>
        <v>46081.892281018503</v>
      </c>
      <c r="B41" s="5" t="s">
        <v>61</v>
      </c>
      <c r="C41" s="11">
        <v>0.892280092592593</v>
      </c>
      <c r="D41" s="11" t="s">
        <v>62</v>
      </c>
      <c r="E41" s="11">
        <v>0.94146990740740699</v>
      </c>
      <c r="F41" s="12">
        <f t="shared" si="1"/>
        <v>1.1805555555555358</v>
      </c>
      <c r="G41" s="13">
        <f t="shared" si="2"/>
        <v>1.1805555555555358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P42"/>
  <sheetViews>
    <sheetView topLeftCell="A10" zoomScale="85" zoomScaleNormal="85" workbookViewId="0">
      <selection activeCell="D27" sqref="D27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46054.138064004597</v>
      </c>
      <c r="B3" s="5" t="s">
        <v>83</v>
      </c>
      <c r="C3" s="11">
        <v>0.13805555555555599</v>
      </c>
      <c r="D3" s="11" t="s">
        <v>62</v>
      </c>
      <c r="E3" s="11">
        <v>0.23221064814814801</v>
      </c>
      <c r="F3" s="12">
        <f t="shared" ref="F3:F42" si="1">(IF(E3-C3&lt;0,"24:00"-C3+E3,E3-C3))*24</f>
        <v>2.2597222222222086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2.2597222222222086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46061.012245138903</v>
      </c>
      <c r="B4" s="5" t="s">
        <v>82</v>
      </c>
      <c r="C4" s="11">
        <v>1.2245370370370399E-2</v>
      </c>
      <c r="D4" s="11" t="s">
        <v>62</v>
      </c>
      <c r="E4" s="11">
        <v>0.11704861111111101</v>
      </c>
      <c r="F4" s="12">
        <f t="shared" si="1"/>
        <v>2.5152777777777744</v>
      </c>
      <c r="G4" s="13">
        <f t="shared" si="2"/>
        <v>0</v>
      </c>
      <c r="H4" s="13">
        <f t="shared" si="3"/>
        <v>2.5152777777777744</v>
      </c>
      <c r="I4" s="21" t="s">
        <v>64</v>
      </c>
      <c r="J4" s="22">
        <f>SUMIF(B:B,"西塔台管制席",F:F)+SUMIF(B:B,"东塔台管制席",F:F)</f>
        <v>28.529444444444465</v>
      </c>
      <c r="K4" s="23">
        <f>SUMIF(B:B,"西塔台管制席",G:G)+SUMIF(B:B,"东塔台管制席",G:G)</f>
        <v>24.398333333333373</v>
      </c>
      <c r="L4" s="23">
        <f>SUMIF(B:B,"西塔台管制席",H:H)+SUMIF(B:B,"东塔台管制席",H:H)</f>
        <v>4.1311111111110961</v>
      </c>
      <c r="M4" s="19"/>
    </row>
    <row r="5" spans="1:16" ht="18.75" x14ac:dyDescent="0.25">
      <c r="A5" s="10">
        <f t="shared" ca="1" si="0"/>
        <v>46061.117197685198</v>
      </c>
      <c r="B5" s="5" t="s">
        <v>78</v>
      </c>
      <c r="C5" s="11">
        <v>0.1171875</v>
      </c>
      <c r="D5" s="11" t="s">
        <v>62</v>
      </c>
      <c r="E5" s="11">
        <v>0.144513888888889</v>
      </c>
      <c r="F5" s="12">
        <f t="shared" si="1"/>
        <v>0.65583333333333593</v>
      </c>
      <c r="G5" s="13">
        <f t="shared" si="2"/>
        <v>0</v>
      </c>
      <c r="H5" s="13">
        <f t="shared" si="3"/>
        <v>0.65583333333333593</v>
      </c>
      <c r="I5" s="21" t="s">
        <v>65</v>
      </c>
      <c r="J5" s="22">
        <f>SUMIF(B:B,"西塔台协调席",F:F)+SUMIF(B:B,"东塔台协调席",F:F)</f>
        <v>25.637222222222217</v>
      </c>
      <c r="K5" s="23">
        <f>SUMIF(B:B,"西塔台协调席",G:G)+SUMIF(B:B,"东塔台协调席",G:G)</f>
        <v>20.019166666666681</v>
      </c>
      <c r="L5" s="23">
        <f>SUMIF(B:B,"西塔台协调席",H:H)+SUMIF(B:B,"东塔台协调席",H:H)</f>
        <v>5.6180555555555349</v>
      </c>
      <c r="M5" s="19"/>
    </row>
    <row r="6" spans="1:16" ht="18.75" x14ac:dyDescent="0.25">
      <c r="A6" s="10">
        <f t="shared" ca="1" si="0"/>
        <v>46068.549254745398</v>
      </c>
      <c r="B6" s="5" t="s">
        <v>82</v>
      </c>
      <c r="C6" s="11">
        <v>0.49924768518518498</v>
      </c>
      <c r="D6" s="11" t="s">
        <v>62</v>
      </c>
      <c r="E6" s="11">
        <v>0.54939814814814802</v>
      </c>
      <c r="F6" s="12">
        <f t="shared" si="1"/>
        <v>1.2036111111111132</v>
      </c>
      <c r="G6" s="13">
        <f t="shared" si="2"/>
        <v>1.2036111111111132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46068.562640625001</v>
      </c>
      <c r="B7" s="5" t="s">
        <v>82</v>
      </c>
      <c r="C7" s="11">
        <v>0.56263888888888902</v>
      </c>
      <c r="D7" s="11" t="s">
        <v>62</v>
      </c>
      <c r="E7" s="11">
        <v>0.61253472222222205</v>
      </c>
      <c r="F7" s="12">
        <f t="shared" si="1"/>
        <v>1.1974999999999927</v>
      </c>
      <c r="G7" s="13">
        <f t="shared" si="2"/>
        <v>1.1974999999999927</v>
      </c>
      <c r="H7" s="13">
        <f t="shared" si="3"/>
        <v>0</v>
      </c>
      <c r="I7" s="21" t="s">
        <v>67</v>
      </c>
      <c r="J7" s="22">
        <f>SUMIF(B:B,"地面席",F:F)</f>
        <v>2.2597222222222086</v>
      </c>
      <c r="K7" s="23">
        <f>SUMIF(B:B,"地面席",G:G)</f>
        <v>0</v>
      </c>
      <c r="L7" s="23">
        <f>SUMIF(B:B,"地面席",H:H)</f>
        <v>2.2597222222222086</v>
      </c>
      <c r="M7" s="19"/>
    </row>
    <row r="8" spans="1:16" ht="18.75" x14ac:dyDescent="0.25">
      <c r="A8" s="10">
        <f t="shared" ca="1" si="0"/>
        <v>46068.708683101897</v>
      </c>
      <c r="B8" s="5" t="s">
        <v>82</v>
      </c>
      <c r="C8" s="11">
        <v>0.70868055555555598</v>
      </c>
      <c r="D8" s="11" t="s">
        <v>62</v>
      </c>
      <c r="E8" s="11">
        <v>0.75559027777777799</v>
      </c>
      <c r="F8" s="12">
        <f t="shared" si="1"/>
        <v>1.1258333333333281</v>
      </c>
      <c r="G8" s="13">
        <f t="shared" si="2"/>
        <v>1.1258333333333281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46068.835355787</v>
      </c>
      <c r="B9" s="5" t="s">
        <v>80</v>
      </c>
      <c r="C9" s="11">
        <v>0.83534722222222202</v>
      </c>
      <c r="D9" s="11" t="s">
        <v>62</v>
      </c>
      <c r="E9" s="11">
        <v>0.96651620370370395</v>
      </c>
      <c r="F9" s="12">
        <f t="shared" si="1"/>
        <v>3.1480555555555663</v>
      </c>
      <c r="G9" s="13">
        <f t="shared" si="2"/>
        <v>3.1480555555555663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46069.416264583298</v>
      </c>
      <c r="B10" s="5" t="s">
        <v>80</v>
      </c>
      <c r="C10" s="11">
        <v>0.41626157407407399</v>
      </c>
      <c r="D10" s="11" t="s">
        <v>62</v>
      </c>
      <c r="E10" s="11">
        <v>0.50539351851851899</v>
      </c>
      <c r="F10" s="12">
        <f t="shared" si="1"/>
        <v>2.13916666666668</v>
      </c>
      <c r="G10" s="13">
        <f t="shared" si="2"/>
        <v>2.13916666666668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46069.585482291703</v>
      </c>
      <c r="B11" s="5" t="s">
        <v>80</v>
      </c>
      <c r="C11" s="11">
        <v>0.585474537037037</v>
      </c>
      <c r="D11" s="11" t="s">
        <v>62</v>
      </c>
      <c r="E11" s="11">
        <v>0.67216435185185197</v>
      </c>
      <c r="F11" s="12">
        <f t="shared" si="1"/>
        <v>2.0805555555555593</v>
      </c>
      <c r="G11" s="13">
        <f t="shared" si="2"/>
        <v>2.0805555555555593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46069.832949536998</v>
      </c>
      <c r="B12" s="5" t="s">
        <v>80</v>
      </c>
      <c r="C12" s="11">
        <v>0.83293981481481505</v>
      </c>
      <c r="D12" s="11" t="s">
        <v>62</v>
      </c>
      <c r="E12" s="11">
        <v>0.93921296296296297</v>
      </c>
      <c r="F12" s="12">
        <f t="shared" si="1"/>
        <v>2.5505555555555501</v>
      </c>
      <c r="G12" s="13">
        <f t="shared" si="2"/>
        <v>2.5505555555555501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46070.299574652803</v>
      </c>
      <c r="B13" s="5" t="s">
        <v>82</v>
      </c>
      <c r="C13" s="11">
        <v>0.299571759259259</v>
      </c>
      <c r="D13" s="11" t="s">
        <v>62</v>
      </c>
      <c r="E13" s="11">
        <v>0.36392361111111099</v>
      </c>
      <c r="F13" s="12">
        <f t="shared" si="1"/>
        <v>1.5444444444444478</v>
      </c>
      <c r="G13" s="13">
        <f t="shared" si="2"/>
        <v>0.73416666666667219</v>
      </c>
      <c r="H13" s="13">
        <f t="shared" si="3"/>
        <v>0.81027777777777565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46072.353980439802</v>
      </c>
      <c r="B14" s="5" t="s">
        <v>82</v>
      </c>
      <c r="C14" s="11">
        <v>0.35396990740740703</v>
      </c>
      <c r="D14" s="11" t="s">
        <v>62</v>
      </c>
      <c r="E14" s="11">
        <v>0.50717592592592597</v>
      </c>
      <c r="F14" s="12">
        <f t="shared" si="1"/>
        <v>3.6769444444444548</v>
      </c>
      <c r="G14" s="13">
        <f t="shared" si="2"/>
        <v>3.6769444444444548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46072.626353009298</v>
      </c>
      <c r="B15" s="5" t="s">
        <v>80</v>
      </c>
      <c r="C15" s="11">
        <v>0.62636574074074103</v>
      </c>
      <c r="D15" s="11" t="s">
        <v>62</v>
      </c>
      <c r="E15" s="11">
        <v>0.75570601851851904</v>
      </c>
      <c r="F15" s="12">
        <f t="shared" si="1"/>
        <v>3.1041666666666723</v>
      </c>
      <c r="G15" s="13">
        <f t="shared" si="2"/>
        <v>3.1041666666666723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46072.876737268503</v>
      </c>
      <c r="B16" s="5" t="s">
        <v>82</v>
      </c>
      <c r="C16" s="11">
        <v>0.87673611111111105</v>
      </c>
      <c r="D16" s="11" t="s">
        <v>62</v>
      </c>
      <c r="E16" s="11">
        <v>0.97006944444444398</v>
      </c>
      <c r="F16" s="12">
        <f t="shared" si="1"/>
        <v>2.2399999999999904</v>
      </c>
      <c r="G16" s="13">
        <f t="shared" si="2"/>
        <v>2.2399999999999904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46073.298458680598</v>
      </c>
      <c r="B17" s="5" t="s">
        <v>80</v>
      </c>
      <c r="C17" s="11">
        <v>0.29844907407407401</v>
      </c>
      <c r="D17" s="11" t="s">
        <v>62</v>
      </c>
      <c r="E17" s="11">
        <v>0.50622685185185201</v>
      </c>
      <c r="F17" s="12">
        <f t="shared" si="1"/>
        <v>4.9866666666666717</v>
      </c>
      <c r="G17" s="13">
        <f t="shared" si="2"/>
        <v>4.1494444444444563</v>
      </c>
      <c r="H17" s="13">
        <f t="shared" si="3"/>
        <v>0.83722222222221543</v>
      </c>
      <c r="I17" s="35" t="s">
        <v>75</v>
      </c>
      <c r="J17" s="36">
        <f>J4+J5+J6+J7+J10</f>
        <v>56.426388888888894</v>
      </c>
      <c r="K17" s="37">
        <f>K4+K5+K6+K7+K10</f>
        <v>44.417500000000054</v>
      </c>
      <c r="L17" s="38">
        <f>L4+L5+L6+L7+L10</f>
        <v>12.008888888888841</v>
      </c>
      <c r="M17" s="39"/>
    </row>
    <row r="18" spans="1:13" ht="20.25" x14ac:dyDescent="0.25">
      <c r="A18" s="10">
        <f t="shared" ca="1" si="0"/>
        <v>46073.541899189797</v>
      </c>
      <c r="B18" s="5" t="s">
        <v>82</v>
      </c>
      <c r="C18" s="11">
        <v>0.54189814814814796</v>
      </c>
      <c r="D18" s="11" t="s">
        <v>62</v>
      </c>
      <c r="E18" s="11">
        <v>0.58950231481481496</v>
      </c>
      <c r="F18" s="12">
        <f t="shared" si="1"/>
        <v>1.1425000000000081</v>
      </c>
      <c r="G18" s="13">
        <f t="shared" si="2"/>
        <v>1.1425000000000081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46077.959271874999</v>
      </c>
      <c r="B19" s="5" t="s">
        <v>80</v>
      </c>
      <c r="C19" s="11">
        <v>0.95927083333333296</v>
      </c>
      <c r="D19" s="11" t="s">
        <v>62</v>
      </c>
      <c r="E19" s="11">
        <v>0.10991898148148101</v>
      </c>
      <c r="F19" s="12">
        <f t="shared" si="1"/>
        <v>3.6155555555555527</v>
      </c>
      <c r="G19" s="13">
        <f t="shared" si="2"/>
        <v>0.97750000000000847</v>
      </c>
      <c r="H19" s="13">
        <f t="shared" si="3"/>
        <v>2.6380555555555443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46078.109971643498</v>
      </c>
      <c r="B20" s="5" t="s">
        <v>81</v>
      </c>
      <c r="C20" s="11">
        <v>0.10996527777777799</v>
      </c>
      <c r="D20" s="11" t="s">
        <v>62</v>
      </c>
      <c r="E20" s="11">
        <v>0.134756944444444</v>
      </c>
      <c r="F20" s="12">
        <f t="shared" si="1"/>
        <v>0.5949999999999841</v>
      </c>
      <c r="G20" s="13">
        <f t="shared" si="2"/>
        <v>0</v>
      </c>
      <c r="H20" s="13">
        <f t="shared" si="3"/>
        <v>0.5949999999999841</v>
      </c>
      <c r="I20" s="40" t="s">
        <v>77</v>
      </c>
      <c r="J20" s="65">
        <f>J16+J17+J18+J19</f>
        <v>56.426388888888894</v>
      </c>
      <c r="K20" s="66"/>
      <c r="L20" s="67"/>
      <c r="M20" s="41"/>
    </row>
    <row r="21" spans="1:13" ht="20.25" x14ac:dyDescent="0.25">
      <c r="A21" s="10">
        <f t="shared" ca="1" si="0"/>
        <v>46080.499868286999</v>
      </c>
      <c r="B21" s="5" t="s">
        <v>81</v>
      </c>
      <c r="C21" s="11">
        <v>0.49986111111111098</v>
      </c>
      <c r="D21" s="11" t="s">
        <v>62</v>
      </c>
      <c r="E21" s="11">
        <v>0.55497685185185197</v>
      </c>
      <c r="F21" s="12">
        <f t="shared" si="1"/>
        <v>1.3227777777777838</v>
      </c>
      <c r="G21" s="13">
        <f t="shared" si="2"/>
        <v>1.3227777777777838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46080.5641769676</v>
      </c>
      <c r="B22" s="5" t="s">
        <v>81</v>
      </c>
      <c r="C22" s="11">
        <v>0.56416666666666704</v>
      </c>
      <c r="D22" s="11" t="s">
        <v>62</v>
      </c>
      <c r="E22" s="11">
        <v>0.65126157407407403</v>
      </c>
      <c r="F22" s="12">
        <f t="shared" si="1"/>
        <v>2.0902777777777679</v>
      </c>
      <c r="G22" s="13">
        <f t="shared" si="2"/>
        <v>2.0902777777777679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46080.753716550898</v>
      </c>
      <c r="B23" s="5" t="s">
        <v>78</v>
      </c>
      <c r="C23" s="11">
        <v>0.75371527777777803</v>
      </c>
      <c r="D23" s="11" t="s">
        <v>62</v>
      </c>
      <c r="E23" s="11">
        <v>0.88096064814814801</v>
      </c>
      <c r="F23" s="12">
        <f t="shared" si="1"/>
        <v>3.0538888888888795</v>
      </c>
      <c r="G23" s="13">
        <f t="shared" si="2"/>
        <v>3.0538888888888795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46081.012442939798</v>
      </c>
      <c r="B24" s="5" t="s">
        <v>82</v>
      </c>
      <c r="C24" s="11">
        <v>1.24421296296296E-2</v>
      </c>
      <c r="D24" s="11" t="s">
        <v>62</v>
      </c>
      <c r="E24" s="11">
        <v>8.3171296296296299E-2</v>
      </c>
      <c r="F24" s="12">
        <f t="shared" si="1"/>
        <v>1.6975000000000009</v>
      </c>
      <c r="G24" s="13">
        <f t="shared" si="2"/>
        <v>0</v>
      </c>
      <c r="H24" s="13">
        <f t="shared" si="3"/>
        <v>1.6975000000000009</v>
      </c>
      <c r="I24"/>
      <c r="J24"/>
    </row>
    <row r="25" spans="1:13" ht="18.75" x14ac:dyDescent="0.15">
      <c r="A25" s="10">
        <f t="shared" ca="1" si="0"/>
        <v>46081.459402893503</v>
      </c>
      <c r="B25" s="5" t="s">
        <v>81</v>
      </c>
      <c r="C25" s="11">
        <v>0.459398148148148</v>
      </c>
      <c r="D25" s="11" t="s">
        <v>62</v>
      </c>
      <c r="E25" s="11">
        <v>0.54759259259259296</v>
      </c>
      <c r="F25" s="12">
        <f t="shared" si="1"/>
        <v>2.1166666666666791</v>
      </c>
      <c r="G25" s="13">
        <f t="shared" si="2"/>
        <v>2.1166666666666791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46081.624070486097</v>
      </c>
      <c r="B26" s="5" t="s">
        <v>78</v>
      </c>
      <c r="C26" s="11">
        <v>0.62406249999999996</v>
      </c>
      <c r="D26" s="11" t="s">
        <v>62</v>
      </c>
      <c r="E26" s="11">
        <v>0.75718750000000001</v>
      </c>
      <c r="F26" s="12">
        <f t="shared" si="1"/>
        <v>3.1950000000000012</v>
      </c>
      <c r="G26" s="13">
        <f t="shared" si="2"/>
        <v>3.1950000000000012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46081.833249768497</v>
      </c>
      <c r="B27" s="5" t="s">
        <v>81</v>
      </c>
      <c r="C27" s="11">
        <v>0.83324074074074095</v>
      </c>
      <c r="D27" s="11" t="s">
        <v>62</v>
      </c>
      <c r="E27" s="11">
        <v>0.96527777777777801</v>
      </c>
      <c r="F27" s="12">
        <f t="shared" si="1"/>
        <v>3.1688888888888895</v>
      </c>
      <c r="G27" s="13">
        <f t="shared" si="2"/>
        <v>3.1688888888888895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42"/>
  <sheetViews>
    <sheetView zoomScale="85" zoomScaleNormal="85" workbookViewId="0">
      <selection activeCell="D24" sqref="D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46056.9387144676</v>
      </c>
      <c r="B3" s="5" t="s">
        <v>61</v>
      </c>
      <c r="C3" s="11">
        <v>0.93870370370370404</v>
      </c>
      <c r="D3" s="11" t="s">
        <v>62</v>
      </c>
      <c r="E3" s="11">
        <v>0.13865740740740701</v>
      </c>
      <c r="F3" s="12">
        <f t="shared" ref="F3:F42" si="1">(IF(E3-C3&lt;0,"24:00"-C3+E3,E3-C3))*24</f>
        <v>4.7988888888888717</v>
      </c>
      <c r="G3" s="13">
        <f t="shared" ref="G3:G42" si="2">F3-H3</f>
        <v>1.4711111111111035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3.3277777777777682</v>
      </c>
      <c r="I3" s="16" t="s">
        <v>63</v>
      </c>
      <c r="J3" s="17">
        <f>SUMIF(B:B,"带班主任",F:F)</f>
        <v>72.017777777777766</v>
      </c>
      <c r="K3" s="18">
        <f>SUMIF(B:B,"带班主任",G:G)</f>
        <v>43.148611111111109</v>
      </c>
      <c r="L3" s="18">
        <f>SUMIF(B:B,"带班主任",H:H)</f>
        <v>28.869166666666658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46057.543768634299</v>
      </c>
      <c r="B4" s="5" t="s">
        <v>61</v>
      </c>
      <c r="C4" s="11">
        <v>0.54376157407407399</v>
      </c>
      <c r="D4" s="11" t="s">
        <v>62</v>
      </c>
      <c r="E4" s="11">
        <v>0.79832175925925897</v>
      </c>
      <c r="F4" s="12">
        <f t="shared" si="1"/>
        <v>6.1094444444444393</v>
      </c>
      <c r="G4" s="13">
        <f t="shared" si="2"/>
        <v>6.1094444444444393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46058.1309771991</v>
      </c>
      <c r="B5" s="5" t="s">
        <v>61</v>
      </c>
      <c r="C5" s="11">
        <v>0.13097222222222199</v>
      </c>
      <c r="D5" s="11" t="s">
        <v>62</v>
      </c>
      <c r="E5" s="11">
        <v>0.29878472222222202</v>
      </c>
      <c r="F5" s="12">
        <f t="shared" si="1"/>
        <v>4.0275000000000007</v>
      </c>
      <c r="G5" s="13">
        <f t="shared" si="2"/>
        <v>0</v>
      </c>
      <c r="H5" s="13">
        <f t="shared" si="3"/>
        <v>4.0275000000000007</v>
      </c>
      <c r="I5" s="21" t="s">
        <v>65</v>
      </c>
      <c r="J5" s="22">
        <f>SUMIF(B:B,"西塔台协调席",F:F)+SUMIF(B:B,"东塔台协调席",F:F)</f>
        <v>2.1230555555555517</v>
      </c>
      <c r="K5" s="23">
        <f>SUMIF(B:B,"西塔台协调席",G:G)+SUMIF(B:B,"东塔台协调席",G:G)</f>
        <v>0</v>
      </c>
      <c r="L5" s="23">
        <f>SUMIF(B:B,"西塔台协调席",H:H)+SUMIF(B:B,"东塔台协调席",H:H)</f>
        <v>2.1230555555555517</v>
      </c>
      <c r="M5" s="19"/>
    </row>
    <row r="6" spans="1:16" ht="18.75" x14ac:dyDescent="0.25">
      <c r="A6" s="10">
        <f t="shared" ca="1" si="0"/>
        <v>46060.940768171298</v>
      </c>
      <c r="B6" s="5" t="s">
        <v>61</v>
      </c>
      <c r="C6" s="11">
        <v>0.94076388888888896</v>
      </c>
      <c r="D6" s="11" t="s">
        <v>62</v>
      </c>
      <c r="E6" s="11">
        <v>0.13895833333333299</v>
      </c>
      <c r="F6" s="12">
        <f t="shared" si="1"/>
        <v>4.7566666666666571</v>
      </c>
      <c r="G6" s="13">
        <f t="shared" si="2"/>
        <v>1.4216666666666651</v>
      </c>
      <c r="H6" s="13">
        <f t="shared" si="3"/>
        <v>3.334999999999992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46061.543759375003</v>
      </c>
      <c r="B7" s="5" t="s">
        <v>61</v>
      </c>
      <c r="C7" s="11">
        <v>0.543796296296296</v>
      </c>
      <c r="D7" s="11" t="s">
        <v>62</v>
      </c>
      <c r="E7" s="11">
        <v>0.79863425925925902</v>
      </c>
      <c r="F7" s="12">
        <f t="shared" si="1"/>
        <v>6.1161111111111124</v>
      </c>
      <c r="G7" s="13">
        <f t="shared" si="2"/>
        <v>6.1161111111111124</v>
      </c>
      <c r="H7" s="13">
        <f t="shared" si="3"/>
        <v>0</v>
      </c>
      <c r="I7" s="21" t="s">
        <v>67</v>
      </c>
      <c r="J7" s="22">
        <f>SUMIF(B:B,"地面席",F:F)</f>
        <v>1.8397222222222083</v>
      </c>
      <c r="K7" s="23">
        <f>SUMIF(B:B,"地面席",G:G)</f>
        <v>0</v>
      </c>
      <c r="L7" s="23">
        <f>SUMIF(B:B,"地面席",H:H)</f>
        <v>1.8397222222222083</v>
      </c>
      <c r="M7" s="19"/>
    </row>
    <row r="8" spans="1:16" ht="18.75" x14ac:dyDescent="0.25">
      <c r="A8" s="10">
        <f t="shared" ca="1" si="0"/>
        <v>46062.132853819399</v>
      </c>
      <c r="B8" s="5" t="s">
        <v>61</v>
      </c>
      <c r="C8" s="11">
        <v>0.13284722222222201</v>
      </c>
      <c r="D8" s="11" t="s">
        <v>62</v>
      </c>
      <c r="E8" s="11">
        <v>0.29980324074074099</v>
      </c>
      <c r="F8" s="12">
        <f t="shared" si="1"/>
        <v>4.0069444444444553</v>
      </c>
      <c r="G8" s="13">
        <f t="shared" si="2"/>
        <v>0</v>
      </c>
      <c r="H8" s="13">
        <f t="shared" si="3"/>
        <v>4.0069444444444553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46064.363029629603</v>
      </c>
      <c r="B9" s="5" t="s">
        <v>61</v>
      </c>
      <c r="C9" s="11">
        <v>0.36302083333333302</v>
      </c>
      <c r="D9" s="11" t="s">
        <v>62</v>
      </c>
      <c r="E9" s="11">
        <v>0.55011574074074099</v>
      </c>
      <c r="F9" s="12">
        <f t="shared" si="1"/>
        <v>4.4902777777777914</v>
      </c>
      <c r="G9" s="13">
        <f t="shared" si="2"/>
        <v>4.4902777777777914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46064.793586805601</v>
      </c>
      <c r="B10" s="5" t="s">
        <v>61</v>
      </c>
      <c r="C10" s="11">
        <v>0.79357638888888904</v>
      </c>
      <c r="D10" s="11" t="s">
        <v>62</v>
      </c>
      <c r="E10" s="11">
        <v>0.94501157407407399</v>
      </c>
      <c r="F10" s="12">
        <f t="shared" si="1"/>
        <v>3.6344444444444388</v>
      </c>
      <c r="G10" s="13">
        <f t="shared" si="2"/>
        <v>3.6344444444444388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46065.293668402803</v>
      </c>
      <c r="B11" s="5" t="s">
        <v>61</v>
      </c>
      <c r="C11" s="11">
        <v>0.29365740740740698</v>
      </c>
      <c r="D11" s="11" t="s">
        <v>62</v>
      </c>
      <c r="E11" s="11">
        <v>0.54898148148148196</v>
      </c>
      <c r="F11" s="12">
        <f t="shared" si="1"/>
        <v>6.1277777777777995</v>
      </c>
      <c r="G11" s="13">
        <f t="shared" si="2"/>
        <v>5.1755555555555759</v>
      </c>
      <c r="H11" s="13">
        <f t="shared" si="3"/>
        <v>0.95222222222222408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46072.939805208298</v>
      </c>
      <c r="B12" s="5" t="s">
        <v>61</v>
      </c>
      <c r="C12" s="11">
        <v>0.93980324074074095</v>
      </c>
      <c r="D12" s="11" t="s">
        <v>62</v>
      </c>
      <c r="E12" s="11">
        <v>0.13906250000000001</v>
      </c>
      <c r="F12" s="12">
        <f t="shared" si="1"/>
        <v>4.7822222222222175</v>
      </c>
      <c r="G12" s="13">
        <f t="shared" si="2"/>
        <v>1.4447222222222171</v>
      </c>
      <c r="H12" s="13">
        <f t="shared" si="3"/>
        <v>3.3375000000000004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46073.543519560197</v>
      </c>
      <c r="B13" s="5" t="s">
        <v>61</v>
      </c>
      <c r="C13" s="11">
        <v>0.54351851851851896</v>
      </c>
      <c r="D13" s="11" t="s">
        <v>62</v>
      </c>
      <c r="E13" s="11">
        <v>0.799259259259259</v>
      </c>
      <c r="F13" s="12">
        <f t="shared" si="1"/>
        <v>6.1377777777777611</v>
      </c>
      <c r="G13" s="13">
        <f t="shared" si="2"/>
        <v>6.1377777777777611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46074.127796180597</v>
      </c>
      <c r="B14" s="5" t="s">
        <v>61</v>
      </c>
      <c r="C14" s="11">
        <v>0.127789351851852</v>
      </c>
      <c r="D14" s="11" t="s">
        <v>62</v>
      </c>
      <c r="E14" s="11">
        <v>0.23761574074074099</v>
      </c>
      <c r="F14" s="12">
        <f t="shared" si="1"/>
        <v>2.6358333333333359</v>
      </c>
      <c r="G14" s="13">
        <f t="shared" si="2"/>
        <v>0</v>
      </c>
      <c r="H14" s="13">
        <f t="shared" si="3"/>
        <v>2.6358333333333359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46076.940905555603</v>
      </c>
      <c r="B16" s="5" t="s">
        <v>61</v>
      </c>
      <c r="C16" s="11">
        <v>0.94090277777777798</v>
      </c>
      <c r="D16" s="11" t="s">
        <v>62</v>
      </c>
      <c r="E16" s="11">
        <v>0.13474537037036999</v>
      </c>
      <c r="F16" s="12">
        <f t="shared" si="1"/>
        <v>4.6522222222222087</v>
      </c>
      <c r="G16" s="13">
        <f t="shared" si="2"/>
        <v>1.418333333333329</v>
      </c>
      <c r="H16" s="13">
        <f t="shared" si="3"/>
        <v>3.2338888888888797</v>
      </c>
      <c r="I16" s="35" t="s">
        <v>63</v>
      </c>
      <c r="J16" s="36">
        <f t="shared" ref="J16:L16" si="4">J3</f>
        <v>72.017777777777766</v>
      </c>
      <c r="K16" s="37">
        <f t="shared" si="4"/>
        <v>43.148611111111109</v>
      </c>
      <c r="L16" s="38">
        <f t="shared" si="4"/>
        <v>28.869166666666658</v>
      </c>
      <c r="M16" s="39"/>
    </row>
    <row r="17" spans="1:13" ht="20.25" x14ac:dyDescent="0.25">
      <c r="A17" s="10">
        <f t="shared" ca="1" si="0"/>
        <v>46077.543458796303</v>
      </c>
      <c r="B17" s="5" t="s">
        <v>61</v>
      </c>
      <c r="C17" s="11">
        <v>0.54344907407407395</v>
      </c>
      <c r="D17" s="11" t="s">
        <v>62</v>
      </c>
      <c r="E17" s="11">
        <v>0.68608796296296304</v>
      </c>
      <c r="F17" s="12">
        <f t="shared" si="1"/>
        <v>3.4233333333333382</v>
      </c>
      <c r="G17" s="13">
        <f t="shared" si="2"/>
        <v>3.4233333333333382</v>
      </c>
      <c r="H17" s="13">
        <f t="shared" si="3"/>
        <v>0</v>
      </c>
      <c r="I17" s="35" t="s">
        <v>75</v>
      </c>
      <c r="J17" s="36">
        <f>J4+J5+J6+J7+J10</f>
        <v>3.96277777777776</v>
      </c>
      <c r="K17" s="37">
        <f>K4+K5+K6+K7+K10</f>
        <v>0</v>
      </c>
      <c r="L17" s="38">
        <f>L4+L5+L6+L7+L10</f>
        <v>3.96277777777776</v>
      </c>
      <c r="M17" s="39"/>
    </row>
    <row r="18" spans="1:13" ht="20.25" x14ac:dyDescent="0.25">
      <c r="A18" s="10">
        <f t="shared" ca="1" si="0"/>
        <v>46077.703181249999</v>
      </c>
      <c r="B18" s="5" t="s">
        <v>61</v>
      </c>
      <c r="C18" s="11">
        <v>0.70317129629629604</v>
      </c>
      <c r="D18" s="11" t="s">
        <v>62</v>
      </c>
      <c r="E18" s="11">
        <v>0.79924768518518496</v>
      </c>
      <c r="F18" s="12">
        <f t="shared" si="1"/>
        <v>2.3058333333333341</v>
      </c>
      <c r="G18" s="13">
        <f t="shared" si="2"/>
        <v>2.3058333333333341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46078.134233912002</v>
      </c>
      <c r="B19" s="5" t="s">
        <v>61</v>
      </c>
      <c r="C19" s="11">
        <v>0.13422453703703699</v>
      </c>
      <c r="D19" s="11" t="s">
        <v>62</v>
      </c>
      <c r="E19" s="11">
        <v>0.30141203703703701</v>
      </c>
      <c r="F19" s="12">
        <f t="shared" si="1"/>
        <v>4.0125000000000002</v>
      </c>
      <c r="G19" s="13">
        <f t="shared" si="2"/>
        <v>0</v>
      </c>
      <c r="H19" s="13">
        <f t="shared" si="3"/>
        <v>4.0125000000000002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46081.139851504602</v>
      </c>
      <c r="B20" s="5" t="s">
        <v>83</v>
      </c>
      <c r="C20" s="11">
        <v>0.139953703703704</v>
      </c>
      <c r="D20" s="11" t="s">
        <v>62</v>
      </c>
      <c r="E20" s="11">
        <v>0.21660879629629601</v>
      </c>
      <c r="F20" s="12">
        <f t="shared" si="1"/>
        <v>1.8397222222222083</v>
      </c>
      <c r="G20" s="13">
        <f t="shared" si="2"/>
        <v>0</v>
      </c>
      <c r="H20" s="13">
        <f t="shared" si="3"/>
        <v>1.8397222222222083</v>
      </c>
      <c r="I20" s="40" t="s">
        <v>77</v>
      </c>
      <c r="J20" s="65">
        <f>J16+J17+J18+J19</f>
        <v>75.980555555555526</v>
      </c>
      <c r="K20" s="66"/>
      <c r="L20" s="67"/>
      <c r="M20" s="41"/>
    </row>
    <row r="21" spans="1:13" ht="20.25" x14ac:dyDescent="0.25">
      <c r="A21" s="10">
        <f t="shared" ca="1" si="0"/>
        <v>46081.2166657407</v>
      </c>
      <c r="B21" s="5" t="s">
        <v>81</v>
      </c>
      <c r="C21" s="11">
        <v>0.216655092592593</v>
      </c>
      <c r="D21" s="11" t="s">
        <v>62</v>
      </c>
      <c r="E21" s="11">
        <v>0.30511574074074099</v>
      </c>
      <c r="F21" s="12">
        <f t="shared" si="1"/>
        <v>2.1230555555555517</v>
      </c>
      <c r="G21" s="13">
        <f t="shared" si="2"/>
        <v>0</v>
      </c>
      <c r="H21" s="13">
        <f t="shared" si="3"/>
        <v>2.1230555555555517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42"/>
  <sheetViews>
    <sheetView zoomScale="85" zoomScaleNormal="85" workbookViewId="0">
      <selection activeCell="J121" sqref="J121:J123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46054.5381530093</v>
      </c>
      <c r="B3" s="5" t="s">
        <v>61</v>
      </c>
      <c r="C3" s="11">
        <v>0.53814814814814804</v>
      </c>
      <c r="D3" s="11" t="s">
        <v>62</v>
      </c>
      <c r="E3" s="11">
        <v>0.79568287037037</v>
      </c>
      <c r="F3" s="12">
        <f t="shared" ref="F3:F42" si="1">(IF(E3-C3&lt;0,"24:00"-C3+E3,E3-C3))*24</f>
        <v>6.180833333333327</v>
      </c>
      <c r="G3" s="13">
        <f t="shared" ref="G3:G42" si="2">F3-H3</f>
        <v>6.180833333333327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86.742222222222239</v>
      </c>
      <c r="K3" s="18">
        <f>SUMIF(B:B,"带班主任",G:G)</f>
        <v>54.327777777777818</v>
      </c>
      <c r="L3" s="18">
        <f>SUMIF(B:B,"带班主任",H:H)</f>
        <v>32.41444444444442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46055.131579513902</v>
      </c>
      <c r="B4" s="5" t="s">
        <v>61</v>
      </c>
      <c r="C4" s="11">
        <v>0.13157407407407401</v>
      </c>
      <c r="D4" s="11" t="s">
        <v>62</v>
      </c>
      <c r="E4" s="11">
        <v>0.29883101851851901</v>
      </c>
      <c r="F4" s="12">
        <f t="shared" si="1"/>
        <v>4.0141666666666804</v>
      </c>
      <c r="G4" s="13">
        <f t="shared" si="2"/>
        <v>0</v>
      </c>
      <c r="H4" s="13">
        <f t="shared" si="3"/>
        <v>4.0141666666666804</v>
      </c>
      <c r="I4" s="21" t="s">
        <v>64</v>
      </c>
      <c r="J4" s="22">
        <f>SUMIF(B:B,"西塔台管制席",F:F)+SUMIF(B:B,"东塔台管制席",F:F)</f>
        <v>2.8658333333333283</v>
      </c>
      <c r="K4" s="23">
        <f>SUMIF(B:B,"西塔台管制席",G:G)+SUMIF(B:B,"东塔台管制席",G:G)</f>
        <v>0</v>
      </c>
      <c r="L4" s="23">
        <f>SUMIF(B:B,"西塔台管制席",H:H)+SUMIF(B:B,"东塔台管制席",H:H)</f>
        <v>2.8658333333333283</v>
      </c>
      <c r="M4" s="19"/>
    </row>
    <row r="5" spans="1:16" ht="18.75" x14ac:dyDescent="0.25">
      <c r="A5" s="10">
        <f t="shared" ca="1" si="0"/>
        <v>46055.935811805597</v>
      </c>
      <c r="B5" s="5" t="s">
        <v>61</v>
      </c>
      <c r="C5" s="11">
        <v>0.935810185185185</v>
      </c>
      <c r="D5" s="11" t="s">
        <v>62</v>
      </c>
      <c r="E5" s="11">
        <v>0.13936342592592599</v>
      </c>
      <c r="F5" s="12">
        <f t="shared" si="1"/>
        <v>4.8852777777777838</v>
      </c>
      <c r="G5" s="13">
        <f t="shared" si="2"/>
        <v>1.5405555555555601</v>
      </c>
      <c r="H5" s="13">
        <f t="shared" si="3"/>
        <v>3.3447222222222237</v>
      </c>
      <c r="I5" s="21" t="s">
        <v>65</v>
      </c>
      <c r="J5" s="22">
        <f>SUMIF(B:B,"西塔台协调席",F:F)+SUMIF(B:B,"东塔台协调席",F:F)</f>
        <v>0.99861111111110379</v>
      </c>
      <c r="K5" s="23">
        <f>SUMIF(B:B,"西塔台协调席",G:G)+SUMIF(B:B,"东塔台协调席",G:G)</f>
        <v>0</v>
      </c>
      <c r="L5" s="23">
        <f>SUMIF(B:B,"西塔台协调席",H:H)+SUMIF(B:B,"东塔台协调席",H:H)</f>
        <v>0.99861111111110379</v>
      </c>
      <c r="M5" s="19"/>
    </row>
    <row r="6" spans="1:16" ht="18.75" x14ac:dyDescent="0.25">
      <c r="A6" s="10">
        <f t="shared" ca="1" si="0"/>
        <v>46058.936881134301</v>
      </c>
      <c r="B6" s="5" t="s">
        <v>61</v>
      </c>
      <c r="C6" s="11">
        <v>0.93687500000000001</v>
      </c>
      <c r="D6" s="11" t="s">
        <v>62</v>
      </c>
      <c r="E6" s="11">
        <v>0.14090277777777799</v>
      </c>
      <c r="F6" s="12">
        <f t="shared" si="1"/>
        <v>4.8966666666666718</v>
      </c>
      <c r="G6" s="13">
        <f t="shared" si="2"/>
        <v>1.5150000000000001</v>
      </c>
      <c r="H6" s="13">
        <f t="shared" si="3"/>
        <v>3.3816666666666717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46059.541102314797</v>
      </c>
      <c r="B7" s="5" t="s">
        <v>61</v>
      </c>
      <c r="C7" s="11">
        <v>0.54109953703703695</v>
      </c>
      <c r="D7" s="11" t="s">
        <v>62</v>
      </c>
      <c r="E7" s="11">
        <v>0.85790509259259295</v>
      </c>
      <c r="F7" s="12">
        <f t="shared" si="1"/>
        <v>7.6033333333333442</v>
      </c>
      <c r="G7" s="13">
        <f t="shared" si="2"/>
        <v>7.6033333333333442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46060.130964583303</v>
      </c>
      <c r="B8" s="5" t="s">
        <v>61</v>
      </c>
      <c r="C8" s="11">
        <v>0.13096064814814801</v>
      </c>
      <c r="D8" s="11" t="s">
        <v>62</v>
      </c>
      <c r="E8" s="11">
        <v>0.29804398148148098</v>
      </c>
      <c r="F8" s="12">
        <f t="shared" si="1"/>
        <v>4.0099999999999909</v>
      </c>
      <c r="G8" s="13">
        <f t="shared" si="2"/>
        <v>0</v>
      </c>
      <c r="H8" s="13">
        <f t="shared" si="3"/>
        <v>4.0099999999999909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46062.724024652802</v>
      </c>
      <c r="B9" s="5" t="s">
        <v>61</v>
      </c>
      <c r="C9" s="11">
        <v>0.72401620370370401</v>
      </c>
      <c r="D9" s="11" t="s">
        <v>62</v>
      </c>
      <c r="E9" s="11">
        <v>0.88289351851851805</v>
      </c>
      <c r="F9" s="12">
        <f t="shared" si="1"/>
        <v>3.813055555555537</v>
      </c>
      <c r="G9" s="13">
        <f t="shared" si="2"/>
        <v>3.813055555555537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46063.137204976898</v>
      </c>
      <c r="B10" s="5" t="s">
        <v>78</v>
      </c>
      <c r="C10" s="11">
        <v>0.137199074074074</v>
      </c>
      <c r="D10" s="11" t="s">
        <v>62</v>
      </c>
      <c r="E10" s="11">
        <v>0.25660879629629602</v>
      </c>
      <c r="F10" s="12">
        <f t="shared" si="1"/>
        <v>2.8658333333333283</v>
      </c>
      <c r="G10" s="13">
        <f t="shared" si="2"/>
        <v>0</v>
      </c>
      <c r="H10" s="13">
        <f t="shared" si="3"/>
        <v>2.8658333333333283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46063.256644791698</v>
      </c>
      <c r="B11" s="5" t="s">
        <v>82</v>
      </c>
      <c r="C11" s="11">
        <v>0.25664351851851902</v>
      </c>
      <c r="D11" s="11" t="s">
        <v>62</v>
      </c>
      <c r="E11" s="11">
        <v>0.29825231481481501</v>
      </c>
      <c r="F11" s="12">
        <f t="shared" si="1"/>
        <v>0.99861111111110379</v>
      </c>
      <c r="G11" s="13">
        <f t="shared" si="2"/>
        <v>0</v>
      </c>
      <c r="H11" s="13">
        <f t="shared" si="3"/>
        <v>0.99861111111110379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46064.291685069402</v>
      </c>
      <c r="B12" s="5" t="s">
        <v>61</v>
      </c>
      <c r="C12" s="11">
        <v>0.291678240740741</v>
      </c>
      <c r="D12" s="11" t="s">
        <v>62</v>
      </c>
      <c r="E12" s="11">
        <v>0.374537037037037</v>
      </c>
      <c r="F12" s="12">
        <f t="shared" si="1"/>
        <v>1.988611111111104</v>
      </c>
      <c r="G12" s="13">
        <f t="shared" si="2"/>
        <v>0.98888888888889648</v>
      </c>
      <c r="H12" s="13">
        <f t="shared" si="3"/>
        <v>0.99972222222220752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46066.35224375</v>
      </c>
      <c r="B13" s="5" t="s">
        <v>61</v>
      </c>
      <c r="C13" s="11">
        <v>0.35223379629629598</v>
      </c>
      <c r="D13" s="11" t="s">
        <v>62</v>
      </c>
      <c r="E13" s="11">
        <v>0.54936342592592602</v>
      </c>
      <c r="F13" s="12">
        <f t="shared" si="1"/>
        <v>4.7311111111111206</v>
      </c>
      <c r="G13" s="13">
        <f t="shared" si="2"/>
        <v>4.7311111111111206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46066.791053356501</v>
      </c>
      <c r="B14" s="5" t="s">
        <v>61</v>
      </c>
      <c r="C14" s="11">
        <v>0.79105324074074101</v>
      </c>
      <c r="D14" s="11" t="s">
        <v>62</v>
      </c>
      <c r="E14" s="11">
        <v>0.94142361111111095</v>
      </c>
      <c r="F14" s="12">
        <f t="shared" si="1"/>
        <v>3.6088888888888784</v>
      </c>
      <c r="G14" s="13">
        <f t="shared" si="2"/>
        <v>3.6088888888888784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46067.292386921297</v>
      </c>
      <c r="B16" s="5" t="s">
        <v>61</v>
      </c>
      <c r="C16" s="11">
        <v>0.29238425925925898</v>
      </c>
      <c r="D16" s="11" t="s">
        <v>62</v>
      </c>
      <c r="E16" s="11">
        <v>0.55057870370370399</v>
      </c>
      <c r="F16" s="12">
        <f t="shared" si="1"/>
        <v>6.1966666666666796</v>
      </c>
      <c r="G16" s="13">
        <f t="shared" si="2"/>
        <v>5.2138888888889037</v>
      </c>
      <c r="H16" s="13">
        <f t="shared" si="3"/>
        <v>0.98277777777777597</v>
      </c>
      <c r="I16" s="35" t="s">
        <v>63</v>
      </c>
      <c r="J16" s="36">
        <f t="shared" ref="J16:L16" si="4">J3</f>
        <v>86.742222222222239</v>
      </c>
      <c r="K16" s="37">
        <f t="shared" si="4"/>
        <v>54.327777777777818</v>
      </c>
      <c r="L16" s="38">
        <f t="shared" si="4"/>
        <v>32.41444444444442</v>
      </c>
      <c r="M16" s="39"/>
    </row>
    <row r="17" spans="1:13" ht="20.25" x14ac:dyDescent="0.25">
      <c r="A17" s="10">
        <f t="shared" ca="1" si="0"/>
        <v>46067.938048842603</v>
      </c>
      <c r="B17" s="5" t="s">
        <v>61</v>
      </c>
      <c r="C17" s="11">
        <v>0.93804398148148105</v>
      </c>
      <c r="D17" s="11" t="s">
        <v>62</v>
      </c>
      <c r="E17" s="11">
        <v>0.14019675925925901</v>
      </c>
      <c r="F17" s="12">
        <f t="shared" si="1"/>
        <v>4.851666666666671</v>
      </c>
      <c r="G17" s="13">
        <f t="shared" si="2"/>
        <v>1.4869444444444548</v>
      </c>
      <c r="H17" s="13">
        <f t="shared" si="3"/>
        <v>3.3647222222222162</v>
      </c>
      <c r="I17" s="35" t="s">
        <v>75</v>
      </c>
      <c r="J17" s="36">
        <f>J4+J5+J6+J7+J10</f>
        <v>3.8644444444444321</v>
      </c>
      <c r="K17" s="37">
        <f>K4+K5+K6+K7+K10</f>
        <v>0</v>
      </c>
      <c r="L17" s="38">
        <f>L4+L5+L6+L7+L10</f>
        <v>3.8644444444444321</v>
      </c>
      <c r="M17" s="39"/>
    </row>
    <row r="18" spans="1:13" ht="20.25" x14ac:dyDescent="0.25">
      <c r="A18" s="10">
        <f t="shared" ca="1" si="0"/>
        <v>46070.542024536997</v>
      </c>
      <c r="B18" s="5" t="s">
        <v>61</v>
      </c>
      <c r="C18" s="11">
        <v>0.54201388888888902</v>
      </c>
      <c r="D18" s="11" t="s">
        <v>62</v>
      </c>
      <c r="E18" s="11">
        <v>0.795949074074074</v>
      </c>
      <c r="F18" s="12">
        <f t="shared" si="1"/>
        <v>6.0944444444444397</v>
      </c>
      <c r="G18" s="13">
        <f t="shared" si="2"/>
        <v>6.0944444444444397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46071.132250578703</v>
      </c>
      <c r="B19" s="5" t="s">
        <v>61</v>
      </c>
      <c r="C19" s="11">
        <v>0.13224537037037001</v>
      </c>
      <c r="D19" s="11" t="s">
        <v>62</v>
      </c>
      <c r="E19" s="11">
        <v>0.29782407407407402</v>
      </c>
      <c r="F19" s="12">
        <f t="shared" si="1"/>
        <v>3.9738888888888964</v>
      </c>
      <c r="G19" s="13">
        <f t="shared" si="2"/>
        <v>0</v>
      </c>
      <c r="H19" s="13">
        <f t="shared" si="3"/>
        <v>3.9738888888888964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46071.791135995401</v>
      </c>
      <c r="B20" s="5" t="s">
        <v>61</v>
      </c>
      <c r="C20" s="11">
        <v>0.79113425925925895</v>
      </c>
      <c r="D20" s="11" t="s">
        <v>62</v>
      </c>
      <c r="E20" s="11">
        <v>0.94267361111111103</v>
      </c>
      <c r="F20" s="12">
        <f t="shared" si="1"/>
        <v>3.6369444444444499</v>
      </c>
      <c r="G20" s="13">
        <f t="shared" si="2"/>
        <v>3.6369444444444499</v>
      </c>
      <c r="H20" s="13">
        <f t="shared" si="3"/>
        <v>0</v>
      </c>
      <c r="I20" s="40" t="s">
        <v>77</v>
      </c>
      <c r="J20" s="65">
        <f>J16+J17+J18+J19</f>
        <v>90.606666666666669</v>
      </c>
      <c r="K20" s="66"/>
      <c r="L20" s="67"/>
      <c r="M20" s="41"/>
    </row>
    <row r="21" spans="1:13" ht="20.25" x14ac:dyDescent="0.25">
      <c r="A21" s="10">
        <f t="shared" ca="1" si="0"/>
        <v>46072.291483217603</v>
      </c>
      <c r="B21" s="5" t="s">
        <v>61</v>
      </c>
      <c r="C21" s="11">
        <v>0.29148148148148201</v>
      </c>
      <c r="D21" s="11" t="s">
        <v>62</v>
      </c>
      <c r="E21" s="11">
        <v>0.35811342592592599</v>
      </c>
      <c r="F21" s="12">
        <f t="shared" si="1"/>
        <v>1.5991666666666555</v>
      </c>
      <c r="G21" s="13">
        <f t="shared" si="2"/>
        <v>0.59472222222223214</v>
      </c>
      <c r="H21" s="13">
        <f t="shared" si="3"/>
        <v>1.0044444444444234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46078.936281365699</v>
      </c>
      <c r="B22" s="5" t="s">
        <v>61</v>
      </c>
      <c r="C22" s="11">
        <v>0.93627314814814799</v>
      </c>
      <c r="D22" s="11" t="s">
        <v>62</v>
      </c>
      <c r="E22" s="11">
        <v>0.13677083333333301</v>
      </c>
      <c r="F22" s="12">
        <f t="shared" si="1"/>
        <v>4.8119444444444408</v>
      </c>
      <c r="G22" s="13">
        <f t="shared" si="2"/>
        <v>1.5294444444444486</v>
      </c>
      <c r="H22" s="13">
        <f t="shared" si="3"/>
        <v>3.2824999999999922</v>
      </c>
      <c r="I22"/>
      <c r="J22"/>
    </row>
    <row r="23" spans="1:13" ht="18.75" x14ac:dyDescent="0.15">
      <c r="A23" s="10">
        <f t="shared" ca="1" si="0"/>
        <v>46079.541618750001</v>
      </c>
      <c r="B23" s="5" t="s">
        <v>61</v>
      </c>
      <c r="C23" s="11">
        <v>0.54160879629629599</v>
      </c>
      <c r="D23" s="11" t="s">
        <v>62</v>
      </c>
      <c r="E23" s="11">
        <v>0.78284722222222203</v>
      </c>
      <c r="F23" s="12">
        <f t="shared" si="1"/>
        <v>5.7897222222222249</v>
      </c>
      <c r="G23" s="13">
        <f t="shared" si="2"/>
        <v>5.7897222222222249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46080.130305439801</v>
      </c>
      <c r="B24" s="5" t="s">
        <v>61</v>
      </c>
      <c r="C24" s="11">
        <v>0.13030092592592599</v>
      </c>
      <c r="D24" s="11" t="s">
        <v>62</v>
      </c>
      <c r="E24" s="11">
        <v>0.29929398148148201</v>
      </c>
      <c r="F24" s="12">
        <f t="shared" si="1"/>
        <v>4.0558333333333447</v>
      </c>
      <c r="G24" s="13">
        <f t="shared" si="2"/>
        <v>0</v>
      </c>
      <c r="H24" s="13">
        <f t="shared" si="3"/>
        <v>4.0558333333333447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42"/>
  <sheetViews>
    <sheetView zoomScale="85" zoomScaleNormal="85" workbookViewId="0">
      <selection activeCell="M24" sqref="M2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46054.356745601799</v>
      </c>
      <c r="B3" s="5" t="s">
        <v>61</v>
      </c>
      <c r="C3" s="11">
        <v>0.35673611111111098</v>
      </c>
      <c r="D3" s="11" t="s">
        <v>62</v>
      </c>
      <c r="E3" s="11">
        <v>0.546412037037037</v>
      </c>
      <c r="F3" s="12">
        <f t="shared" ref="F3:F42" si="1">(IF(E3-C3&lt;0,"24:00"-C3+E3,E3-C3))*24</f>
        <v>4.5522222222222251</v>
      </c>
      <c r="G3" s="13">
        <f t="shared" ref="G3:G42" si="2">F3-H3</f>
        <v>4.5522222222222251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99.814722222222201</v>
      </c>
      <c r="K3" s="18">
        <f>SUMIF(B:B,"带班主任",G:G)</f>
        <v>67.143888888888867</v>
      </c>
      <c r="L3" s="18">
        <f>SUMIF(B:B,"带班主任",H:H)</f>
        <v>32.670833333333327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46054.788382291699</v>
      </c>
      <c r="B4" s="5" t="s">
        <v>61</v>
      </c>
      <c r="C4" s="11">
        <v>0.78837962962963004</v>
      </c>
      <c r="D4" s="11" t="s">
        <v>62</v>
      </c>
      <c r="E4" s="11">
        <v>0.94799768518518501</v>
      </c>
      <c r="F4" s="12">
        <f t="shared" si="1"/>
        <v>3.8308333333333193</v>
      </c>
      <c r="G4" s="13">
        <f t="shared" si="2"/>
        <v>3.8308333333333193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46055.5344708333</v>
      </c>
      <c r="B5" s="5" t="s">
        <v>61</v>
      </c>
      <c r="C5" s="11">
        <v>0.53446759259259302</v>
      </c>
      <c r="D5" s="11" t="s">
        <v>62</v>
      </c>
      <c r="E5" s="11">
        <v>0.79918981481481499</v>
      </c>
      <c r="F5" s="12">
        <f t="shared" si="1"/>
        <v>6.3533333333333273</v>
      </c>
      <c r="G5" s="13">
        <f t="shared" si="2"/>
        <v>6.3533333333333273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46058.533764699103</v>
      </c>
      <c r="B6" s="5" t="s">
        <v>61</v>
      </c>
      <c r="C6" s="11">
        <v>0.53376157407407399</v>
      </c>
      <c r="D6" s="11" t="s">
        <v>62</v>
      </c>
      <c r="E6" s="11">
        <v>0.79839120370370398</v>
      </c>
      <c r="F6" s="12">
        <f t="shared" si="1"/>
        <v>6.3511111111111198</v>
      </c>
      <c r="G6" s="13">
        <f t="shared" si="2"/>
        <v>6.3511111111111198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46059.133179050899</v>
      </c>
      <c r="B7" s="5" t="s">
        <v>61</v>
      </c>
      <c r="C7" s="11">
        <v>0.13317129629629601</v>
      </c>
      <c r="D7" s="11" t="s">
        <v>62</v>
      </c>
      <c r="E7" s="11">
        <v>0.29966435185185197</v>
      </c>
      <c r="F7" s="12">
        <f t="shared" si="1"/>
        <v>3.9958333333333433</v>
      </c>
      <c r="G7" s="13">
        <f t="shared" si="2"/>
        <v>0</v>
      </c>
      <c r="H7" s="13">
        <f t="shared" si="3"/>
        <v>3.9958333333333433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46059.851009143502</v>
      </c>
      <c r="B8" s="5" t="s">
        <v>61</v>
      </c>
      <c r="C8" s="11">
        <v>0.85100694444444402</v>
      </c>
      <c r="D8" s="11" t="s">
        <v>62</v>
      </c>
      <c r="E8" s="11">
        <v>0.94428240740740699</v>
      </c>
      <c r="F8" s="12">
        <f t="shared" si="1"/>
        <v>2.2386111111111111</v>
      </c>
      <c r="G8" s="13">
        <f t="shared" si="2"/>
        <v>2.2386111111111111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46060.290968981499</v>
      </c>
      <c r="B9" s="5" t="s">
        <v>61</v>
      </c>
      <c r="C9" s="11">
        <v>0.29096064814814798</v>
      </c>
      <c r="D9" s="11" t="s">
        <v>62</v>
      </c>
      <c r="E9" s="11">
        <v>0.36282407407407402</v>
      </c>
      <c r="F9" s="12">
        <f t="shared" si="1"/>
        <v>1.7247222222222249</v>
      </c>
      <c r="G9" s="13">
        <f t="shared" si="2"/>
        <v>0.70777777777778494</v>
      </c>
      <c r="H9" s="13">
        <f t="shared" si="3"/>
        <v>1.01694444444444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46062.936071875003</v>
      </c>
      <c r="B10" s="5" t="s">
        <v>61</v>
      </c>
      <c r="C10" s="11">
        <v>0.93606481481481496</v>
      </c>
      <c r="D10" s="11" t="s">
        <v>62</v>
      </c>
      <c r="E10" s="11">
        <v>0.14009259259259299</v>
      </c>
      <c r="F10" s="12">
        <f t="shared" si="1"/>
        <v>4.8966666666666727</v>
      </c>
      <c r="G10" s="13">
        <f t="shared" si="2"/>
        <v>1.5344444444444409</v>
      </c>
      <c r="H10" s="13">
        <f t="shared" si="3"/>
        <v>3.3622222222222318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46063.540256250002</v>
      </c>
      <c r="B11" s="5" t="s">
        <v>61</v>
      </c>
      <c r="C11" s="11">
        <v>0.54025462962963</v>
      </c>
      <c r="D11" s="11" t="s">
        <v>62</v>
      </c>
      <c r="E11" s="11">
        <v>0.80006944444444394</v>
      </c>
      <c r="F11" s="12">
        <f t="shared" si="1"/>
        <v>6.2355555555555346</v>
      </c>
      <c r="G11" s="13">
        <f t="shared" si="2"/>
        <v>6.2355555555555346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46064.132773842597</v>
      </c>
      <c r="B12" s="5" t="s">
        <v>61</v>
      </c>
      <c r="C12" s="11">
        <v>0.13276620370370401</v>
      </c>
      <c r="D12" s="11" t="s">
        <v>62</v>
      </c>
      <c r="E12" s="11">
        <v>0.30766203703703698</v>
      </c>
      <c r="F12" s="12">
        <f t="shared" si="1"/>
        <v>4.1974999999999909</v>
      </c>
      <c r="G12" s="13">
        <f t="shared" si="2"/>
        <v>0</v>
      </c>
      <c r="H12" s="13">
        <f t="shared" si="3"/>
        <v>4.1974999999999909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46065.937008796303</v>
      </c>
      <c r="B13" s="5" t="s">
        <v>61</v>
      </c>
      <c r="C13" s="11">
        <v>0.937002314814815</v>
      </c>
      <c r="D13" s="11" t="s">
        <v>62</v>
      </c>
      <c r="E13" s="11">
        <v>0.142800925925926</v>
      </c>
      <c r="F13" s="12">
        <f t="shared" si="1"/>
        <v>4.9391666666666643</v>
      </c>
      <c r="G13" s="13">
        <f t="shared" si="2"/>
        <v>1.5119444444444401</v>
      </c>
      <c r="H13" s="13">
        <f t="shared" si="3"/>
        <v>3.4272222222222242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46066.540535069398</v>
      </c>
      <c r="B14" s="5" t="s">
        <v>61</v>
      </c>
      <c r="C14" s="11">
        <v>0.54053240740740705</v>
      </c>
      <c r="D14" s="11" t="s">
        <v>62</v>
      </c>
      <c r="E14" s="11">
        <v>0.79910879629629605</v>
      </c>
      <c r="F14" s="12">
        <f t="shared" si="1"/>
        <v>6.2058333333333362</v>
      </c>
      <c r="G14" s="13">
        <f t="shared" si="2"/>
        <v>6.2058333333333362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46067.132745601899</v>
      </c>
      <c r="B16" s="5" t="s">
        <v>61</v>
      </c>
      <c r="C16" s="11">
        <v>0.13274305555555599</v>
      </c>
      <c r="D16" s="11" t="s">
        <v>62</v>
      </c>
      <c r="E16" s="11">
        <v>0.30024305555555603</v>
      </c>
      <c r="F16" s="12">
        <f t="shared" si="1"/>
        <v>4.0200000000000014</v>
      </c>
      <c r="G16" s="13">
        <f t="shared" si="2"/>
        <v>0</v>
      </c>
      <c r="H16" s="13">
        <f t="shared" si="3"/>
        <v>4.0200000000000014</v>
      </c>
      <c r="I16" s="35" t="s">
        <v>63</v>
      </c>
      <c r="J16" s="36">
        <f t="shared" ref="J16:L16" si="4">J3</f>
        <v>99.814722222222201</v>
      </c>
      <c r="K16" s="37">
        <f t="shared" si="4"/>
        <v>67.143888888888867</v>
      </c>
      <c r="L16" s="38">
        <f t="shared" si="4"/>
        <v>32.670833333333327</v>
      </c>
      <c r="M16" s="39"/>
    </row>
    <row r="17" spans="1:13" ht="20.25" x14ac:dyDescent="0.25">
      <c r="A17" s="10">
        <f t="shared" ca="1" si="0"/>
        <v>46067.771449652799</v>
      </c>
      <c r="B17" s="5" t="s">
        <v>61</v>
      </c>
      <c r="C17" s="11">
        <v>0.77144675925925899</v>
      </c>
      <c r="D17" s="11" t="s">
        <v>62</v>
      </c>
      <c r="E17" s="11">
        <v>0.945046296296296</v>
      </c>
      <c r="F17" s="12">
        <f t="shared" si="1"/>
        <v>4.1663888888888883</v>
      </c>
      <c r="G17" s="13">
        <f t="shared" si="2"/>
        <v>4.1663888888888883</v>
      </c>
      <c r="H17" s="13">
        <f t="shared" si="3"/>
        <v>0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0"/>
        <v>46068.290529398102</v>
      </c>
      <c r="B18" s="5" t="s">
        <v>61</v>
      </c>
      <c r="C18" s="11">
        <v>0.29052083333333301</v>
      </c>
      <c r="D18" s="11" t="s">
        <v>62</v>
      </c>
      <c r="E18" s="11">
        <v>0.36350694444444398</v>
      </c>
      <c r="F18" s="12">
        <f t="shared" si="1"/>
        <v>1.7516666666666634</v>
      </c>
      <c r="G18" s="13">
        <f t="shared" si="2"/>
        <v>0.72416666666666396</v>
      </c>
      <c r="H18" s="13">
        <f t="shared" si="3"/>
        <v>1.0274999999999994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46074.935865624997</v>
      </c>
      <c r="B19" s="5" t="s">
        <v>61</v>
      </c>
      <c r="C19" s="11">
        <v>0.93585648148148104</v>
      </c>
      <c r="D19" s="11" t="s">
        <v>62</v>
      </c>
      <c r="E19" s="11">
        <v>0.139409722222222</v>
      </c>
      <c r="F19" s="12">
        <f t="shared" si="1"/>
        <v>4.8852777777777829</v>
      </c>
      <c r="G19" s="13">
        <f t="shared" si="2"/>
        <v>1.5394444444444551</v>
      </c>
      <c r="H19" s="13">
        <f t="shared" si="3"/>
        <v>3.3458333333333279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46075.541681713003</v>
      </c>
      <c r="B20" s="5" t="s">
        <v>61</v>
      </c>
      <c r="C20" s="11">
        <v>0.541678240740741</v>
      </c>
      <c r="D20" s="11" t="s">
        <v>62</v>
      </c>
      <c r="E20" s="11">
        <v>0.79800925925925903</v>
      </c>
      <c r="F20" s="12">
        <f t="shared" si="1"/>
        <v>6.1519444444444327</v>
      </c>
      <c r="G20" s="13">
        <f t="shared" si="2"/>
        <v>6.1519444444444327</v>
      </c>
      <c r="H20" s="13">
        <f t="shared" si="3"/>
        <v>0</v>
      </c>
      <c r="I20" s="40" t="s">
        <v>77</v>
      </c>
      <c r="J20" s="65">
        <f>J16+J17+J18+J19</f>
        <v>99.814722222222201</v>
      </c>
      <c r="K20" s="66"/>
      <c r="L20" s="67"/>
      <c r="M20" s="41"/>
    </row>
    <row r="21" spans="1:13" ht="20.25" x14ac:dyDescent="0.25">
      <c r="A21" s="10">
        <f t="shared" ca="1" si="0"/>
        <v>46076.134174305596</v>
      </c>
      <c r="B21" s="5" t="s">
        <v>61</v>
      </c>
      <c r="C21" s="11">
        <v>0.13416666666666699</v>
      </c>
      <c r="D21" s="11" t="s">
        <v>62</v>
      </c>
      <c r="E21" s="11">
        <v>0.29767361111111101</v>
      </c>
      <c r="F21" s="12">
        <f t="shared" si="1"/>
        <v>3.9241666666666566</v>
      </c>
      <c r="G21" s="13">
        <f t="shared" si="2"/>
        <v>0</v>
      </c>
      <c r="H21" s="13">
        <f t="shared" si="3"/>
        <v>3.9241666666666566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46078.354192245402</v>
      </c>
      <c r="B22" s="5" t="s">
        <v>61</v>
      </c>
      <c r="C22" s="11">
        <v>0.35418981481481498</v>
      </c>
      <c r="D22" s="11" t="s">
        <v>62</v>
      </c>
      <c r="E22" s="11">
        <v>0.54906250000000001</v>
      </c>
      <c r="F22" s="12">
        <f t="shared" si="1"/>
        <v>4.676944444444441</v>
      </c>
      <c r="G22" s="13">
        <f t="shared" si="2"/>
        <v>4.676944444444441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46078.790260879599</v>
      </c>
      <c r="B23" s="5" t="s">
        <v>61</v>
      </c>
      <c r="C23" s="11">
        <v>0.79025462962963</v>
      </c>
      <c r="D23" s="11" t="s">
        <v>62</v>
      </c>
      <c r="E23" s="11">
        <v>0.94437499999999996</v>
      </c>
      <c r="F23" s="12">
        <f t="shared" si="1"/>
        <v>3.6988888888888791</v>
      </c>
      <c r="G23" s="13">
        <f t="shared" si="2"/>
        <v>3.6988888888888791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46079.292219212999</v>
      </c>
      <c r="B24" s="5" t="s">
        <v>61</v>
      </c>
      <c r="C24" s="11">
        <v>0.29221064814814801</v>
      </c>
      <c r="D24" s="11" t="s">
        <v>62</v>
      </c>
      <c r="E24" s="11">
        <v>0.54749999999999999</v>
      </c>
      <c r="F24" s="12">
        <f t="shared" si="1"/>
        <v>6.1269444444444474</v>
      </c>
      <c r="G24" s="13">
        <f t="shared" si="2"/>
        <v>5.1400000000000077</v>
      </c>
      <c r="H24" s="13">
        <f t="shared" si="3"/>
        <v>0.98694444444443929</v>
      </c>
      <c r="I24"/>
      <c r="J24"/>
    </row>
    <row r="25" spans="1:13" ht="18.75" x14ac:dyDescent="0.15">
      <c r="A25" s="10">
        <f t="shared" ca="1" si="0"/>
        <v>46079.936483680598</v>
      </c>
      <c r="B25" s="5" t="s">
        <v>61</v>
      </c>
      <c r="C25" s="11">
        <v>0.93648148148148103</v>
      </c>
      <c r="D25" s="11" t="s">
        <v>62</v>
      </c>
      <c r="E25" s="11">
        <v>0.140277777777778</v>
      </c>
      <c r="F25" s="12">
        <f t="shared" si="1"/>
        <v>4.8911111111111278</v>
      </c>
      <c r="G25" s="13">
        <f t="shared" si="2"/>
        <v>1.5244444444444558</v>
      </c>
      <c r="H25" s="13">
        <f t="shared" si="3"/>
        <v>3.366666666666672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P42"/>
  <sheetViews>
    <sheetView topLeftCell="D1" zoomScale="85" zoomScaleNormal="85" workbookViewId="0">
      <selection activeCell="V35" sqref="V35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46054.3727021991</v>
      </c>
      <c r="B3" s="5" t="s">
        <v>86</v>
      </c>
      <c r="C3" s="11">
        <v>0.37269675925925899</v>
      </c>
      <c r="D3" s="11" t="s">
        <v>62</v>
      </c>
      <c r="E3" s="11">
        <v>0.44753472222222201</v>
      </c>
      <c r="F3" s="12">
        <f t="shared" ref="F3:F42" si="1">(IF(E3-C3&lt;0,"24:00"-C3+E3,E3-C3))*24</f>
        <v>1.7961111111111125</v>
      </c>
      <c r="G3" s="13">
        <f t="shared" ref="G3:G42" si="2">F3-H3</f>
        <v>1.7961111111111125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46055.352640393503</v>
      </c>
      <c r="B4" s="5" t="s">
        <v>86</v>
      </c>
      <c r="C4" s="11">
        <v>0.352638888888889</v>
      </c>
      <c r="D4" s="11" t="s">
        <v>62</v>
      </c>
      <c r="E4" s="11">
        <v>0.40376157407407398</v>
      </c>
      <c r="F4" s="12">
        <f t="shared" si="1"/>
        <v>1.2269444444444395</v>
      </c>
      <c r="G4" s="13">
        <f t="shared" si="2"/>
        <v>1.2269444444444395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46056.939572222203</v>
      </c>
      <c r="B5" s="5" t="s">
        <v>86</v>
      </c>
      <c r="C5" s="11">
        <v>0.93957175925925895</v>
      </c>
      <c r="D5" s="11" t="s">
        <v>62</v>
      </c>
      <c r="E5" s="11">
        <v>0.98517361111111101</v>
      </c>
      <c r="F5" s="12">
        <f t="shared" si="1"/>
        <v>1.0944444444444494</v>
      </c>
      <c r="G5" s="13">
        <f t="shared" si="2"/>
        <v>1.0944444444444494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46057.332475115698</v>
      </c>
      <c r="B6" s="5" t="s">
        <v>86</v>
      </c>
      <c r="C6" s="11">
        <v>0.33246527777777801</v>
      </c>
      <c r="D6" s="11" t="s">
        <v>62</v>
      </c>
      <c r="E6" s="11">
        <v>0.41378472222222201</v>
      </c>
      <c r="F6" s="12">
        <f t="shared" si="1"/>
        <v>1.951666666666656</v>
      </c>
      <c r="G6" s="13">
        <f t="shared" si="2"/>
        <v>1.9308333333333367</v>
      </c>
      <c r="H6" s="13">
        <f t="shared" si="3"/>
        <v>2.0833333333319271E-2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46063.330403240703</v>
      </c>
      <c r="B7" s="5" t="s">
        <v>86</v>
      </c>
      <c r="C7" s="11">
        <v>0.330393518518519</v>
      </c>
      <c r="D7" s="11" t="s">
        <v>62</v>
      </c>
      <c r="E7" s="11">
        <v>0.49277777777777798</v>
      </c>
      <c r="F7" s="12">
        <f t="shared" si="1"/>
        <v>3.8972222222222155</v>
      </c>
      <c r="G7" s="13">
        <f t="shared" si="2"/>
        <v>3.82666666666668</v>
      </c>
      <c r="H7" s="13">
        <f t="shared" si="3"/>
        <v>7.0555555555535499E-2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46064.317507638902</v>
      </c>
      <c r="B8" s="5" t="s">
        <v>86</v>
      </c>
      <c r="C8" s="11">
        <v>0.3175</v>
      </c>
      <c r="D8" s="11" t="s">
        <v>62</v>
      </c>
      <c r="E8" s="11">
        <v>0.560578703703704</v>
      </c>
      <c r="F8" s="12">
        <f t="shared" si="1"/>
        <v>5.8338888888888958</v>
      </c>
      <c r="G8" s="13">
        <f t="shared" si="2"/>
        <v>5.4538888888889048</v>
      </c>
      <c r="H8" s="13">
        <f t="shared" si="3"/>
        <v>0.37999999999999146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46073.818635185198</v>
      </c>
      <c r="B9" s="5" t="s">
        <v>86</v>
      </c>
      <c r="C9" s="11">
        <v>0.81863425925925903</v>
      </c>
      <c r="D9" s="11" t="s">
        <v>62</v>
      </c>
      <c r="E9" s="11">
        <v>0.97839120370370403</v>
      </c>
      <c r="F9" s="12">
        <f t="shared" si="1"/>
        <v>3.8341666666666798</v>
      </c>
      <c r="G9" s="13">
        <f t="shared" si="2"/>
        <v>3.8341666666666798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46074.535236458301</v>
      </c>
      <c r="B10" s="5" t="s">
        <v>86</v>
      </c>
      <c r="C10" s="11">
        <v>0.53523148148148103</v>
      </c>
      <c r="D10" s="11" t="s">
        <v>62</v>
      </c>
      <c r="E10" s="11">
        <v>0.85381944444444402</v>
      </c>
      <c r="F10" s="12">
        <f t="shared" si="1"/>
        <v>7.6461111111111117</v>
      </c>
      <c r="G10" s="13">
        <f t="shared" si="2"/>
        <v>7.6461111111111117</v>
      </c>
      <c r="H10" s="13">
        <f t="shared" si="3"/>
        <v>0</v>
      </c>
      <c r="I10" s="21" t="s">
        <v>70</v>
      </c>
      <c r="J10" s="22">
        <f>SUMIF(B:B,"综合协调席",F:F)</f>
        <v>42.977499999999999</v>
      </c>
      <c r="K10" s="23">
        <f>SUMIF(B:B,"综合协调席",G:G)</f>
        <v>41.145833333333378</v>
      </c>
      <c r="L10" s="23">
        <f>SUMIF(B:B,"综合协调席",H:H)</f>
        <v>1.8316666666666246</v>
      </c>
      <c r="M10" s="19"/>
    </row>
    <row r="11" spans="1:16" ht="18.75" x14ac:dyDescent="0.25">
      <c r="A11" s="10">
        <f t="shared" ca="1" si="0"/>
        <v>46075.0015047454</v>
      </c>
      <c r="B11" s="5" t="s">
        <v>86</v>
      </c>
      <c r="C11" s="11">
        <v>1.5046296296296301E-3</v>
      </c>
      <c r="D11" s="11" t="s">
        <v>62</v>
      </c>
      <c r="E11" s="11">
        <v>5.8182870370370399E-2</v>
      </c>
      <c r="F11" s="12">
        <f t="shared" si="1"/>
        <v>1.3602777777777784</v>
      </c>
      <c r="G11" s="13">
        <f t="shared" si="2"/>
        <v>0</v>
      </c>
      <c r="H11" s="13">
        <f t="shared" si="3"/>
        <v>1.3602777777777784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46075.424550347198</v>
      </c>
      <c r="B12" s="5" t="s">
        <v>86</v>
      </c>
      <c r="C12" s="11">
        <v>0.42454861111111097</v>
      </c>
      <c r="D12" s="11" t="s">
        <v>62</v>
      </c>
      <c r="E12" s="11">
        <v>0.50471064814814803</v>
      </c>
      <c r="F12" s="12">
        <f t="shared" si="1"/>
        <v>1.9238888888888894</v>
      </c>
      <c r="G12" s="13">
        <f t="shared" si="2"/>
        <v>1.9238888888888894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46081.482808911998</v>
      </c>
      <c r="B13" s="5" t="s">
        <v>86</v>
      </c>
      <c r="C13" s="11">
        <v>0.48280092592592599</v>
      </c>
      <c r="D13" s="11"/>
      <c r="E13" s="11"/>
      <c r="F13" s="12">
        <f t="shared" si="1"/>
        <v>12.412777777777775</v>
      </c>
      <c r="G13" s="13">
        <f t="shared" si="2"/>
        <v>12.412777777777775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42.977499999999999</v>
      </c>
      <c r="K17" s="37">
        <f>K4+K5+K6+K7+K10</f>
        <v>41.145833333333378</v>
      </c>
      <c r="L17" s="38">
        <f>L4+L5+L6+L7+L10</f>
        <v>1.8316666666666246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42.977499999999999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46058.841275578699</v>
      </c>
      <c r="B3" s="5" t="s">
        <v>86</v>
      </c>
      <c r="C3" s="11">
        <v>0.80655092592592603</v>
      </c>
      <c r="D3" s="11" t="s">
        <v>62</v>
      </c>
      <c r="E3" s="11">
        <v>0.95700231481481501</v>
      </c>
      <c r="F3" s="12">
        <f t="shared" ref="F3:F42" si="1">(IF(E3-C3&lt;0,"24:00"-C3+E3,E3-C3))*24</f>
        <v>3.6108333333333356</v>
      </c>
      <c r="G3" s="13">
        <f t="shared" ref="G3:G42" si="2">F3-H3</f>
        <v>3.6108333333333356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46061.401252430602</v>
      </c>
      <c r="B4" s="5" t="s">
        <v>86</v>
      </c>
      <c r="C4" s="11">
        <v>0.40125</v>
      </c>
      <c r="D4" s="11" t="s">
        <v>62</v>
      </c>
      <c r="E4" s="11">
        <v>0.52446759259259301</v>
      </c>
      <c r="F4" s="12">
        <f t="shared" si="1"/>
        <v>2.9572222222222324</v>
      </c>
      <c r="G4" s="13">
        <f t="shared" si="2"/>
        <v>2.9572222222222324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46061.650943055603</v>
      </c>
      <c r="B5" s="5" t="s">
        <v>86</v>
      </c>
      <c r="C5" s="11">
        <v>0.65093749999999995</v>
      </c>
      <c r="D5" s="11" t="s">
        <v>62</v>
      </c>
      <c r="E5" s="11">
        <v>0.747384259259259</v>
      </c>
      <c r="F5" s="12">
        <f t="shared" si="1"/>
        <v>2.3147222222222172</v>
      </c>
      <c r="G5" s="13">
        <f t="shared" si="2"/>
        <v>2.3147222222222172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46063.367894444396</v>
      </c>
      <c r="B6" s="5" t="s">
        <v>84</v>
      </c>
      <c r="C6" s="11">
        <v>0.36789351851851898</v>
      </c>
      <c r="D6" s="11" t="s">
        <v>62</v>
      </c>
      <c r="E6" s="11">
        <v>0.52307870370370402</v>
      </c>
      <c r="F6" s="12">
        <f t="shared" si="1"/>
        <v>3.7244444444444409</v>
      </c>
      <c r="G6" s="13">
        <f t="shared" si="2"/>
        <v>3.7244444444444409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46064.375577777799</v>
      </c>
      <c r="B7" s="5" t="s">
        <v>86</v>
      </c>
      <c r="C7" s="11">
        <v>0.37556712962963001</v>
      </c>
      <c r="D7" s="11" t="s">
        <v>62</v>
      </c>
      <c r="E7" s="11">
        <v>0.63997685185185205</v>
      </c>
      <c r="F7" s="12">
        <f t="shared" si="1"/>
        <v>6.3458333333333288</v>
      </c>
      <c r="G7" s="13">
        <f t="shared" si="2"/>
        <v>6.3458333333333288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46066.718275810199</v>
      </c>
      <c r="B8" s="5" t="s">
        <v>86</v>
      </c>
      <c r="C8" s="11">
        <v>0.63494212962963004</v>
      </c>
      <c r="D8" s="11" t="s">
        <v>62</v>
      </c>
      <c r="E8" s="11">
        <v>0.76839120370370395</v>
      </c>
      <c r="F8" s="12">
        <f t="shared" si="1"/>
        <v>3.2027777777777739</v>
      </c>
      <c r="G8" s="13">
        <f t="shared" si="2"/>
        <v>3.2027777777777739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46066.768334838001</v>
      </c>
      <c r="B9" s="5" t="s">
        <v>86</v>
      </c>
      <c r="C9" s="11">
        <v>0.76833333333333298</v>
      </c>
      <c r="D9" s="11" t="s">
        <v>62</v>
      </c>
      <c r="E9" s="11">
        <v>0.93513888888888896</v>
      </c>
      <c r="F9" s="12">
        <f t="shared" si="1"/>
        <v>4.0033333333333436</v>
      </c>
      <c r="G9" s="13">
        <f t="shared" si="2"/>
        <v>4.0033333333333436</v>
      </c>
      <c r="H9" s="13">
        <f t="shared" si="3"/>
        <v>0</v>
      </c>
      <c r="I9" s="21" t="s">
        <v>69</v>
      </c>
      <c r="J9" s="22">
        <f>SUMIF(B:B,"航班调度席",F:F)</f>
        <v>3.7244444444444409</v>
      </c>
      <c r="K9" s="23">
        <f>SUMIF(B:B,"航班调度席",G:G)</f>
        <v>3.7244444444444409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46077.818326967601</v>
      </c>
      <c r="B10" s="5" t="s">
        <v>86</v>
      </c>
      <c r="C10" s="11">
        <v>0.81832175925925899</v>
      </c>
      <c r="D10" s="11" t="s">
        <v>62</v>
      </c>
      <c r="E10" s="11">
        <v>0.98288194444444399</v>
      </c>
      <c r="F10" s="12">
        <f t="shared" si="1"/>
        <v>3.9494444444444401</v>
      </c>
      <c r="G10" s="13">
        <f t="shared" si="2"/>
        <v>3.9494444444444401</v>
      </c>
      <c r="H10" s="13">
        <f t="shared" si="3"/>
        <v>0</v>
      </c>
      <c r="I10" s="21" t="s">
        <v>70</v>
      </c>
      <c r="J10" s="22">
        <f>SUMIF(B:B,"综合协调席",F:F)</f>
        <v>30.158888888888903</v>
      </c>
      <c r="K10" s="23">
        <f>SUMIF(B:B,"综合协调席",G:G)</f>
        <v>30.158888888888903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46081.483129050903</v>
      </c>
      <c r="B11" s="5" t="s">
        <v>86</v>
      </c>
      <c r="C11" s="11">
        <v>0.48312500000000003</v>
      </c>
      <c r="D11" s="11" t="s">
        <v>62</v>
      </c>
      <c r="E11" s="11">
        <v>0.64040509259259304</v>
      </c>
      <c r="F11" s="12">
        <f t="shared" si="1"/>
        <v>3.7747222222222323</v>
      </c>
      <c r="G11" s="13">
        <f t="shared" si="2"/>
        <v>3.7747222222222323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30.158888888888903</v>
      </c>
      <c r="K17" s="37">
        <f>K4+K5+K6+K7+K10</f>
        <v>30.158888888888903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30.158888888888903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3.7244444444444409</v>
      </c>
      <c r="K21" s="37">
        <f>SUM(K8:K9)</f>
        <v>3.7244444444444409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46055.139238310199</v>
      </c>
      <c r="B3" s="5" t="s">
        <v>78</v>
      </c>
      <c r="C3" s="11">
        <v>0.13923611111111101</v>
      </c>
      <c r="D3" s="11" t="s">
        <v>62</v>
      </c>
      <c r="E3" s="11">
        <v>0.22190972222222199</v>
      </c>
      <c r="F3" s="12">
        <f t="shared" ref="F3:F42" si="1">(IF(E3-C3&lt;0,"24:00"-C3+E3,E3-C3))*24</f>
        <v>1.9841666666666637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1.9841666666666637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46055.221968402802</v>
      </c>
      <c r="B4" s="5" t="s">
        <v>82</v>
      </c>
      <c r="C4" s="11">
        <v>0.22196759259259299</v>
      </c>
      <c r="D4" s="11" t="s">
        <v>62</v>
      </c>
      <c r="E4" s="11">
        <v>0.29938657407407399</v>
      </c>
      <c r="F4" s="12">
        <f t="shared" si="1"/>
        <v>1.8580555555555438</v>
      </c>
      <c r="G4" s="13">
        <f t="shared" si="2"/>
        <v>0</v>
      </c>
      <c r="H4" s="13">
        <f t="shared" si="3"/>
        <v>1.8580555555555438</v>
      </c>
      <c r="I4" s="21" t="s">
        <v>64</v>
      </c>
      <c r="J4" s="22">
        <f>SUMIF(B:B,"西塔台管制席",F:F)+SUMIF(B:B,"东塔台管制席",F:F)</f>
        <v>44.997222222222199</v>
      </c>
      <c r="K4" s="23">
        <f>SUMIF(B:B,"西塔台管制席",G:G)+SUMIF(B:B,"东塔台管制席",G:G)</f>
        <v>25.532777777777834</v>
      </c>
      <c r="L4" s="23">
        <f>SUMIF(B:B,"西塔台管制席",H:H)+SUMIF(B:B,"东塔台管制席",H:H)</f>
        <v>19.464444444444361</v>
      </c>
      <c r="M4" s="19"/>
    </row>
    <row r="5" spans="1:16" ht="18.75" x14ac:dyDescent="0.25">
      <c r="A5" s="10">
        <f t="shared" ca="1" si="0"/>
        <v>46055.952654861103</v>
      </c>
      <c r="B5" s="5" t="s">
        <v>80</v>
      </c>
      <c r="C5" s="11">
        <v>0.95265046296296296</v>
      </c>
      <c r="D5" s="11" t="s">
        <v>62</v>
      </c>
      <c r="E5" s="11">
        <v>0.14317129629629599</v>
      </c>
      <c r="F5" s="12">
        <f t="shared" si="1"/>
        <v>4.5724999999999927</v>
      </c>
      <c r="G5" s="13">
        <f t="shared" si="2"/>
        <v>1.1363888888888889</v>
      </c>
      <c r="H5" s="13">
        <f t="shared" si="3"/>
        <v>3.4361111111111038</v>
      </c>
      <c r="I5" s="21" t="s">
        <v>65</v>
      </c>
      <c r="J5" s="22">
        <f>SUMIF(B:B,"西塔台协调席",F:F)+SUMIF(B:B,"东塔台协调席",F:F)</f>
        <v>13.305833333333329</v>
      </c>
      <c r="K5" s="23">
        <f>SUMIF(B:B,"西塔台协调席",G:G)+SUMIF(B:B,"东塔台协调席",G:G)</f>
        <v>9.4491666666666738</v>
      </c>
      <c r="L5" s="23">
        <f>SUMIF(B:B,"西塔台协调席",H:H)+SUMIF(B:B,"东塔台协调席",H:H)</f>
        <v>3.8566666666666554</v>
      </c>
      <c r="M5" s="19"/>
    </row>
    <row r="6" spans="1:16" ht="18.75" x14ac:dyDescent="0.25">
      <c r="A6" s="10">
        <f t="shared" ca="1" si="0"/>
        <v>46058.376321411997</v>
      </c>
      <c r="B6" s="5" t="s">
        <v>84</v>
      </c>
      <c r="C6" s="11">
        <v>0.37631944444444398</v>
      </c>
      <c r="D6" s="11" t="s">
        <v>62</v>
      </c>
      <c r="E6" s="11">
        <v>0.43820601851851898</v>
      </c>
      <c r="F6" s="12">
        <f t="shared" si="1"/>
        <v>1.4852777777777999</v>
      </c>
      <c r="G6" s="13">
        <f t="shared" si="2"/>
        <v>1.4852777777777999</v>
      </c>
      <c r="H6" s="13">
        <f t="shared" si="3"/>
        <v>0</v>
      </c>
      <c r="I6" s="21" t="s">
        <v>66</v>
      </c>
      <c r="J6" s="22">
        <f>SUMIF(B:B,"放行席",F:F)</f>
        <v>3.8536111111111198</v>
      </c>
      <c r="K6" s="23">
        <f>SUMIF(B:B,"放行席",G:G)</f>
        <v>0</v>
      </c>
      <c r="L6" s="23">
        <f>SUMIF(B:B,"放行席",H:H)</f>
        <v>3.8536111111111198</v>
      </c>
      <c r="M6" s="19"/>
    </row>
    <row r="7" spans="1:16" ht="18.75" x14ac:dyDescent="0.25">
      <c r="A7" s="10">
        <f t="shared" ca="1" si="0"/>
        <v>46058.438257870403</v>
      </c>
      <c r="B7" s="5" t="s">
        <v>81</v>
      </c>
      <c r="C7" s="11">
        <v>0.43825231481481502</v>
      </c>
      <c r="D7" s="11" t="s">
        <v>62</v>
      </c>
      <c r="E7" s="11">
        <v>0.50657407407407395</v>
      </c>
      <c r="F7" s="12">
        <f t="shared" si="1"/>
        <v>1.6397222222222143</v>
      </c>
      <c r="G7" s="13">
        <f t="shared" si="2"/>
        <v>1.6397222222222143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46058.6266412037</v>
      </c>
      <c r="B8" s="5" t="s">
        <v>78</v>
      </c>
      <c r="C8" s="11">
        <v>0.62663194444444403</v>
      </c>
      <c r="D8" s="11" t="s">
        <v>62</v>
      </c>
      <c r="E8" s="11">
        <v>0.79862268518518498</v>
      </c>
      <c r="F8" s="12">
        <f t="shared" si="1"/>
        <v>4.1277777777777827</v>
      </c>
      <c r="G8" s="13">
        <f t="shared" si="2"/>
        <v>4.1277777777777827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46059.293886921303</v>
      </c>
      <c r="B9" s="5" t="s">
        <v>80</v>
      </c>
      <c r="C9" s="11">
        <v>0.29387731481481499</v>
      </c>
      <c r="D9" s="11" t="s">
        <v>62</v>
      </c>
      <c r="E9" s="11">
        <v>0.42526620370370399</v>
      </c>
      <c r="F9" s="12">
        <f t="shared" si="1"/>
        <v>3.153333333333336</v>
      </c>
      <c r="G9" s="13">
        <f t="shared" si="2"/>
        <v>2.2063888888889043</v>
      </c>
      <c r="H9" s="13">
        <f t="shared" si="3"/>
        <v>0.94694444444443171</v>
      </c>
      <c r="I9" s="21" t="s">
        <v>69</v>
      </c>
      <c r="J9" s="22">
        <f>SUMIF(B:B,"航班调度席",F:F)</f>
        <v>4.0580555555555753</v>
      </c>
      <c r="K9" s="23">
        <f>SUMIF(B:B,"航班调度席",G:G)</f>
        <v>4.0580555555555753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46059.425313657397</v>
      </c>
      <c r="B10" s="5" t="s">
        <v>84</v>
      </c>
      <c r="C10" s="11">
        <v>0.42531249999999998</v>
      </c>
      <c r="D10" s="11" t="s">
        <v>62</v>
      </c>
      <c r="E10" s="11">
        <v>0.46425925925925898</v>
      </c>
      <c r="F10" s="12">
        <f t="shared" si="1"/>
        <v>0.93472222222221601</v>
      </c>
      <c r="G10" s="13">
        <f t="shared" si="2"/>
        <v>0.93472222222221601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46059.622366782402</v>
      </c>
      <c r="B11" s="5" t="s">
        <v>84</v>
      </c>
      <c r="C11" s="11">
        <v>0.62236111111111103</v>
      </c>
      <c r="D11" s="11" t="s">
        <v>62</v>
      </c>
      <c r="E11" s="11">
        <v>0.69061342592592601</v>
      </c>
      <c r="F11" s="12">
        <f t="shared" si="1"/>
        <v>1.6380555555555594</v>
      </c>
      <c r="G11" s="13">
        <f t="shared" si="2"/>
        <v>1.6380555555555594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46059.752718055599</v>
      </c>
      <c r="B12" s="5" t="s">
        <v>82</v>
      </c>
      <c r="C12" s="11">
        <v>0.75270833333333298</v>
      </c>
      <c r="D12" s="11" t="s">
        <v>62</v>
      </c>
      <c r="E12" s="11">
        <v>0.83909722222222205</v>
      </c>
      <c r="F12" s="12">
        <f t="shared" si="1"/>
        <v>2.0733333333333377</v>
      </c>
      <c r="G12" s="13">
        <f t="shared" si="2"/>
        <v>2.0733333333333377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46060.293057060197</v>
      </c>
      <c r="B13" s="5" t="s">
        <v>78</v>
      </c>
      <c r="C13" s="11">
        <v>0.29305555555555601</v>
      </c>
      <c r="D13" s="11" t="s">
        <v>62</v>
      </c>
      <c r="E13" s="11">
        <v>0.36300925925925898</v>
      </c>
      <c r="F13" s="12">
        <f t="shared" si="1"/>
        <v>1.6788888888888711</v>
      </c>
      <c r="G13" s="13">
        <f t="shared" si="2"/>
        <v>0.71222222222222387</v>
      </c>
      <c r="H13" s="13">
        <f t="shared" si="3"/>
        <v>0.96666666666664725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46063.016232986098</v>
      </c>
      <c r="B14" s="5" t="s">
        <v>78</v>
      </c>
      <c r="C14" s="11">
        <v>1.6226851851851801E-2</v>
      </c>
      <c r="D14" s="11" t="s">
        <v>62</v>
      </c>
      <c r="E14" s="11">
        <v>0.14173611111111101</v>
      </c>
      <c r="F14" s="12">
        <f t="shared" si="1"/>
        <v>3.012222222222221</v>
      </c>
      <c r="G14" s="13">
        <f t="shared" si="2"/>
        <v>0</v>
      </c>
      <c r="H14" s="13">
        <f t="shared" si="3"/>
        <v>3.012222222222221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46064.139106018498</v>
      </c>
      <c r="B15" s="5" t="s">
        <v>78</v>
      </c>
      <c r="C15" s="11">
        <v>0.13909722222222201</v>
      </c>
      <c r="D15" s="11" t="s">
        <v>62</v>
      </c>
      <c r="E15" s="11">
        <v>0.298564814814815</v>
      </c>
      <c r="F15" s="12">
        <f t="shared" si="1"/>
        <v>3.8272222222222316</v>
      </c>
      <c r="G15" s="13">
        <f t="shared" si="2"/>
        <v>0</v>
      </c>
      <c r="H15" s="13">
        <f t="shared" si="3"/>
        <v>3.8272222222222316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46067.1328715278</v>
      </c>
      <c r="B16" s="5" t="s">
        <v>79</v>
      </c>
      <c r="C16" s="11">
        <v>0.13287037037037</v>
      </c>
      <c r="D16" s="11" t="s">
        <v>62</v>
      </c>
      <c r="E16" s="11">
        <v>0.21240740740740699</v>
      </c>
      <c r="F16" s="12">
        <f t="shared" si="1"/>
        <v>1.9088888888888877</v>
      </c>
      <c r="G16" s="13">
        <f t="shared" si="2"/>
        <v>0</v>
      </c>
      <c r="H16" s="13">
        <f t="shared" si="3"/>
        <v>1.9088888888888877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46068.133675578698</v>
      </c>
      <c r="B17" s="5" t="s">
        <v>79</v>
      </c>
      <c r="C17" s="11">
        <v>0.13366898148148099</v>
      </c>
      <c r="D17" s="11" t="s">
        <v>62</v>
      </c>
      <c r="E17" s="11">
        <v>0.21469907407407399</v>
      </c>
      <c r="F17" s="12">
        <f t="shared" si="1"/>
        <v>1.944722222222232</v>
      </c>
      <c r="G17" s="13">
        <f t="shared" si="2"/>
        <v>0</v>
      </c>
      <c r="H17" s="13">
        <f t="shared" si="3"/>
        <v>1.944722222222232</v>
      </c>
      <c r="I17" s="35" t="s">
        <v>75</v>
      </c>
      <c r="J17" s="36">
        <f>J4+J5+J6+J7+J10</f>
        <v>62.156666666666652</v>
      </c>
      <c r="K17" s="37">
        <f>K4+K5+K6+K7+K10</f>
        <v>34.981944444444508</v>
      </c>
      <c r="L17" s="38">
        <f>L4+L5+L6+L7+L10</f>
        <v>27.174722222222137</v>
      </c>
      <c r="M17" s="39"/>
    </row>
    <row r="18" spans="1:13" ht="20.25" x14ac:dyDescent="0.25">
      <c r="A18" s="10">
        <f t="shared" ca="1" si="0"/>
        <v>46068.214741087999</v>
      </c>
      <c r="B18" s="5" t="s">
        <v>81</v>
      </c>
      <c r="C18" s="11">
        <v>0.21473379629629599</v>
      </c>
      <c r="D18" s="11" t="s">
        <v>62</v>
      </c>
      <c r="E18" s="11">
        <v>0.29800925925925897</v>
      </c>
      <c r="F18" s="12">
        <f t="shared" si="1"/>
        <v>1.9986111111111116</v>
      </c>
      <c r="G18" s="13">
        <f t="shared" si="2"/>
        <v>0</v>
      </c>
      <c r="H18" s="13">
        <f t="shared" si="3"/>
        <v>1.9986111111111116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46070.520790625</v>
      </c>
      <c r="B19" s="5" t="s">
        <v>80</v>
      </c>
      <c r="C19" s="11">
        <v>0.52078703703703699</v>
      </c>
      <c r="D19" s="11" t="s">
        <v>62</v>
      </c>
      <c r="E19" s="11">
        <v>0.65314814814814803</v>
      </c>
      <c r="F19" s="12">
        <f t="shared" si="1"/>
        <v>3.176666666666665</v>
      </c>
      <c r="G19" s="13">
        <f t="shared" si="2"/>
        <v>3.176666666666665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46070.772946411998</v>
      </c>
      <c r="B20" s="5" t="s">
        <v>82</v>
      </c>
      <c r="C20" s="11">
        <v>0.772939814814815</v>
      </c>
      <c r="D20" s="11" t="s">
        <v>62</v>
      </c>
      <c r="E20" s="11">
        <v>0.83495370370370403</v>
      </c>
      <c r="F20" s="12">
        <f t="shared" si="1"/>
        <v>1.4883333333333368</v>
      </c>
      <c r="G20" s="13">
        <f t="shared" si="2"/>
        <v>1.4883333333333368</v>
      </c>
      <c r="H20" s="13">
        <f t="shared" si="3"/>
        <v>0</v>
      </c>
      <c r="I20" s="40" t="s">
        <v>77</v>
      </c>
      <c r="J20" s="65">
        <f>J16+J17+J18+J19</f>
        <v>62.156666666666652</v>
      </c>
      <c r="K20" s="66"/>
      <c r="L20" s="67"/>
      <c r="M20" s="41"/>
    </row>
    <row r="21" spans="1:13" ht="20.25" x14ac:dyDescent="0.25">
      <c r="A21" s="10">
        <f t="shared" ca="1" si="0"/>
        <v>46070.877214120403</v>
      </c>
      <c r="B21" s="5" t="s">
        <v>82</v>
      </c>
      <c r="C21" s="11">
        <v>0.87726851851851895</v>
      </c>
      <c r="D21" s="11" t="s">
        <v>62</v>
      </c>
      <c r="E21" s="11">
        <v>0.89810185185185198</v>
      </c>
      <c r="F21" s="12">
        <f t="shared" si="1"/>
        <v>0.49999999999999289</v>
      </c>
      <c r="G21" s="13">
        <f t="shared" si="2"/>
        <v>0.49999999999999289</v>
      </c>
      <c r="H21" s="13">
        <f t="shared" si="3"/>
        <v>0</v>
      </c>
      <c r="I21" s="42" t="s">
        <v>4</v>
      </c>
      <c r="J21" s="43">
        <f>SUM(J8:J9)</f>
        <v>4.0580555555555753</v>
      </c>
      <c r="K21" s="37">
        <f>SUM(K8:K9)</f>
        <v>4.0580555555555753</v>
      </c>
      <c r="L21" s="38">
        <f>SUM(L8:L9)</f>
        <v>0</v>
      </c>
      <c r="M21" s="44"/>
    </row>
    <row r="22" spans="1:13" ht="18.75" x14ac:dyDescent="0.15">
      <c r="A22" s="10">
        <f t="shared" ca="1" si="0"/>
        <v>46071.293662731499</v>
      </c>
      <c r="B22" s="5" t="s">
        <v>80</v>
      </c>
      <c r="C22" s="11">
        <v>0.29365740740740698</v>
      </c>
      <c r="D22" s="11" t="s">
        <v>62</v>
      </c>
      <c r="E22" s="11">
        <v>0.33100694444444401</v>
      </c>
      <c r="F22" s="12">
        <f t="shared" si="1"/>
        <v>0.89638888888888868</v>
      </c>
      <c r="G22" s="13">
        <f t="shared" si="2"/>
        <v>0</v>
      </c>
      <c r="H22" s="13">
        <f t="shared" si="3"/>
        <v>0.89638888888888868</v>
      </c>
      <c r="I22"/>
      <c r="J22"/>
    </row>
    <row r="23" spans="1:13" ht="18.75" x14ac:dyDescent="0.15">
      <c r="A23" s="10">
        <f t="shared" ca="1" si="0"/>
        <v>46071.356701736098</v>
      </c>
      <c r="B23" s="5" t="s">
        <v>80</v>
      </c>
      <c r="C23" s="11">
        <v>0.35670138888888903</v>
      </c>
      <c r="D23" s="11" t="s">
        <v>62</v>
      </c>
      <c r="E23" s="11">
        <v>0.462708333333333</v>
      </c>
      <c r="F23" s="12">
        <f t="shared" si="1"/>
        <v>2.5441666666666554</v>
      </c>
      <c r="G23" s="13">
        <f t="shared" si="2"/>
        <v>2.5441666666666554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46071.544151736103</v>
      </c>
      <c r="B24" s="5" t="s">
        <v>80</v>
      </c>
      <c r="C24" s="11">
        <v>0.54414351851851805</v>
      </c>
      <c r="D24" s="11" t="s">
        <v>62</v>
      </c>
      <c r="E24" s="11">
        <v>0.67273148148148199</v>
      </c>
      <c r="F24" s="12">
        <f t="shared" si="1"/>
        <v>3.0861111111111343</v>
      </c>
      <c r="G24" s="13">
        <f t="shared" si="2"/>
        <v>3.0861111111111343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46072.294302083297</v>
      </c>
      <c r="B25" s="5" t="s">
        <v>80</v>
      </c>
      <c r="C25" s="11">
        <v>0.294293981481482</v>
      </c>
      <c r="D25" s="11" t="s">
        <v>62</v>
      </c>
      <c r="E25" s="11">
        <v>0.36194444444444401</v>
      </c>
      <c r="F25" s="12">
        <f t="shared" si="1"/>
        <v>1.6236111111110882</v>
      </c>
      <c r="G25" s="13">
        <f t="shared" si="2"/>
        <v>0.68666666666666476</v>
      </c>
      <c r="H25" s="13">
        <f t="shared" si="3"/>
        <v>0.93694444444442349</v>
      </c>
      <c r="I25"/>
      <c r="J25"/>
    </row>
    <row r="26" spans="1:13" ht="18.75" x14ac:dyDescent="0.15">
      <c r="A26" s="10">
        <f t="shared" ca="1" si="0"/>
        <v>46074.522224189801</v>
      </c>
      <c r="B26" s="5" t="s">
        <v>80</v>
      </c>
      <c r="C26" s="11">
        <v>0.52222222222222203</v>
      </c>
      <c r="D26" s="11" t="s">
        <v>62</v>
      </c>
      <c r="E26" s="11">
        <v>0.65195601851851903</v>
      </c>
      <c r="F26" s="12">
        <f t="shared" si="1"/>
        <v>3.113611111111128</v>
      </c>
      <c r="G26" s="13">
        <f t="shared" si="2"/>
        <v>3.113611111111128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46074.898041898101</v>
      </c>
      <c r="B27" s="5" t="s">
        <v>80</v>
      </c>
      <c r="C27" s="11">
        <v>0.89803240740740697</v>
      </c>
      <c r="D27" s="11" t="s">
        <v>62</v>
      </c>
      <c r="E27" s="11">
        <v>0.95908564814814801</v>
      </c>
      <c r="F27" s="12">
        <f t="shared" si="1"/>
        <v>1.4652777777777848</v>
      </c>
      <c r="G27" s="13">
        <f t="shared" si="2"/>
        <v>1.4652777777777848</v>
      </c>
      <c r="H27" s="13">
        <f t="shared" si="3"/>
        <v>0</v>
      </c>
      <c r="I27"/>
      <c r="J27"/>
    </row>
    <row r="28" spans="1:13" ht="18.75" x14ac:dyDescent="0.15">
      <c r="A28" s="10">
        <f t="shared" ca="1" si="0"/>
        <v>46075.292537963003</v>
      </c>
      <c r="B28" s="5" t="s">
        <v>80</v>
      </c>
      <c r="C28" s="11">
        <v>0.29274305555555602</v>
      </c>
      <c r="D28" s="11" t="s">
        <v>62</v>
      </c>
      <c r="E28" s="11">
        <v>0.422685185185185</v>
      </c>
      <c r="F28" s="12">
        <f t="shared" si="1"/>
        <v>3.1186111111110955</v>
      </c>
      <c r="G28" s="13">
        <f t="shared" si="2"/>
        <v>2.1444444444444484</v>
      </c>
      <c r="H28" s="13">
        <f t="shared" si="3"/>
        <v>0.97416666666664709</v>
      </c>
      <c r="I28"/>
      <c r="J28"/>
    </row>
    <row r="29" spans="1:13" ht="18.75" x14ac:dyDescent="0.15">
      <c r="A29" s="10">
        <f t="shared" ca="1" si="0"/>
        <v>46075.501668634301</v>
      </c>
      <c r="B29" s="5" t="s">
        <v>82</v>
      </c>
      <c r="C29" s="11">
        <v>0.50166666666666704</v>
      </c>
      <c r="D29" s="11" t="s">
        <v>62</v>
      </c>
      <c r="E29" s="11">
        <v>0.62951388888888904</v>
      </c>
      <c r="F29" s="12">
        <f t="shared" si="1"/>
        <v>3.068333333333328</v>
      </c>
      <c r="G29" s="13">
        <f t="shared" si="2"/>
        <v>3.068333333333328</v>
      </c>
      <c r="H29" s="13">
        <f t="shared" si="3"/>
        <v>0</v>
      </c>
      <c r="I29"/>
      <c r="J29"/>
    </row>
    <row r="30" spans="1:13" ht="18.75" x14ac:dyDescent="0.15">
      <c r="A30" s="10">
        <f t="shared" ca="1" si="0"/>
        <v>46075.751920486102</v>
      </c>
      <c r="B30" s="5" t="s">
        <v>82</v>
      </c>
      <c r="C30" s="11">
        <v>0.75190972222222197</v>
      </c>
      <c r="D30" s="11" t="s">
        <v>62</v>
      </c>
      <c r="E30" s="11">
        <v>0.75890046296296299</v>
      </c>
      <c r="F30" s="12">
        <f t="shared" si="1"/>
        <v>0.16777777777778446</v>
      </c>
      <c r="G30" s="13">
        <f t="shared" si="2"/>
        <v>0.16777777777778446</v>
      </c>
      <c r="H30" s="13">
        <f t="shared" si="3"/>
        <v>0</v>
      </c>
      <c r="I30"/>
      <c r="J30"/>
    </row>
    <row r="31" spans="1:13" ht="18.75" x14ac:dyDescent="0.15">
      <c r="A31" s="10">
        <f t="shared" ca="1" si="0"/>
        <v>46075.817528240703</v>
      </c>
      <c r="B31" s="5" t="s">
        <v>82</v>
      </c>
      <c r="C31" s="11">
        <v>0.81752314814814797</v>
      </c>
      <c r="D31" s="11" t="s">
        <v>62</v>
      </c>
      <c r="E31" s="11">
        <v>0.83884259259259297</v>
      </c>
      <c r="F31" s="12">
        <f t="shared" si="1"/>
        <v>0.51166666666668004</v>
      </c>
      <c r="G31" s="13">
        <f t="shared" si="2"/>
        <v>0.51166666666668004</v>
      </c>
      <c r="H31" s="13">
        <f t="shared" si="3"/>
        <v>0</v>
      </c>
      <c r="I31"/>
      <c r="J31"/>
    </row>
    <row r="32" spans="1:13" ht="18.75" x14ac:dyDescent="0.15">
      <c r="A32" s="10">
        <f t="shared" ca="1" si="0"/>
        <v>46079.9527936343</v>
      </c>
      <c r="B32" s="5" t="s">
        <v>80</v>
      </c>
      <c r="C32" s="11">
        <v>0.95278935185185198</v>
      </c>
      <c r="D32" s="11" t="s">
        <v>62</v>
      </c>
      <c r="E32" s="11">
        <v>0.103483796296296</v>
      </c>
      <c r="F32" s="12">
        <f t="shared" si="1"/>
        <v>3.6166666666666565</v>
      </c>
      <c r="G32" s="13">
        <f t="shared" si="2"/>
        <v>1.1330555555555524</v>
      </c>
      <c r="H32" s="13">
        <f t="shared" si="3"/>
        <v>2.4836111111111041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P42"/>
  <sheetViews>
    <sheetView zoomScale="85" zoomScaleNormal="85" workbookViewId="0">
      <selection activeCell="H26" sqref="H26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46054.896829976897</v>
      </c>
      <c r="B3" s="5" t="s">
        <v>82</v>
      </c>
      <c r="C3" s="11">
        <v>0.953854166666667</v>
      </c>
      <c r="D3" s="11" t="s">
        <v>62</v>
      </c>
      <c r="E3" s="11">
        <v>0.11978009259259299</v>
      </c>
      <c r="F3" s="12">
        <f t="shared" ref="F3:F42" si="1">(IF(E3-C3&lt;0,"24:00"-C3+E3,E3-C3))*24</f>
        <v>3.9822222222222234</v>
      </c>
      <c r="G3" s="13">
        <f t="shared" ref="G3:G42" si="2">F3-H3</f>
        <v>1.1074999999999915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2.8747222222222319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46056.1332364583</v>
      </c>
      <c r="B4" s="5" t="s">
        <v>79</v>
      </c>
      <c r="C4" s="11">
        <v>0.13322916666666701</v>
      </c>
      <c r="D4" s="11" t="s">
        <v>62</v>
      </c>
      <c r="E4" s="11">
        <v>0.221793981481481</v>
      </c>
      <c r="F4" s="12">
        <f t="shared" si="1"/>
        <v>2.1255555555555357</v>
      </c>
      <c r="G4" s="13">
        <f t="shared" si="2"/>
        <v>0</v>
      </c>
      <c r="H4" s="13">
        <f t="shared" si="3"/>
        <v>2.1255555555555357</v>
      </c>
      <c r="I4" s="21" t="s">
        <v>64</v>
      </c>
      <c r="J4" s="22">
        <f>SUMIF(B:B,"西塔台管制席",F:F)+SUMIF(B:B,"东塔台管制席",F:F)</f>
        <v>36.390555555555537</v>
      </c>
      <c r="K4" s="23">
        <f>SUMIF(B:B,"西塔台管制席",G:G)+SUMIF(B:B,"东塔台管制席",G:G)</f>
        <v>23.296111111111081</v>
      </c>
      <c r="L4" s="23">
        <f>SUMIF(B:B,"西塔台管制席",H:H)+SUMIF(B:B,"东塔台管制席",H:H)</f>
        <v>13.094444444444456</v>
      </c>
      <c r="M4" s="19"/>
    </row>
    <row r="5" spans="1:16" ht="18.75" x14ac:dyDescent="0.25">
      <c r="A5" s="10">
        <f t="shared" ca="1" si="0"/>
        <v>46059.139457175901</v>
      </c>
      <c r="B5" s="5" t="s">
        <v>83</v>
      </c>
      <c r="C5" s="11">
        <v>0.13945601851851899</v>
      </c>
      <c r="D5" s="11" t="s">
        <v>62</v>
      </c>
      <c r="E5" s="11">
        <v>0.234895833333333</v>
      </c>
      <c r="F5" s="12">
        <f t="shared" si="1"/>
        <v>2.2905555555555361</v>
      </c>
      <c r="G5" s="13">
        <f t="shared" si="2"/>
        <v>0</v>
      </c>
      <c r="H5" s="13">
        <f t="shared" si="3"/>
        <v>2.2905555555555361</v>
      </c>
      <c r="I5" s="21" t="s">
        <v>65</v>
      </c>
      <c r="J5" s="22">
        <f>SUMIF(B:B,"西塔台协调席",F:F)+SUMIF(B:B,"东塔台协调席",F:F)</f>
        <v>26.140555555555558</v>
      </c>
      <c r="K5" s="23">
        <f>SUMIF(B:B,"西塔台协调席",G:G)+SUMIF(B:B,"东塔台协调席",G:G)</f>
        <v>11.961111111111094</v>
      </c>
      <c r="L5" s="23">
        <f>SUMIF(B:B,"西塔台协调席",H:H)+SUMIF(B:B,"东塔台协调席",H:H)</f>
        <v>14.179444444444464</v>
      </c>
      <c r="M5" s="19"/>
    </row>
    <row r="6" spans="1:16" ht="18.75" x14ac:dyDescent="0.25">
      <c r="A6" s="10">
        <f t="shared" ca="1" si="0"/>
        <v>46059.951633912002</v>
      </c>
      <c r="B6" s="5" t="s">
        <v>82</v>
      </c>
      <c r="C6" s="11">
        <v>0.95163194444444399</v>
      </c>
      <c r="D6" s="11" t="s">
        <v>62</v>
      </c>
      <c r="E6" s="11">
        <v>0.14499999999999999</v>
      </c>
      <c r="F6" s="12">
        <f t="shared" si="1"/>
        <v>4.6408333333333438</v>
      </c>
      <c r="G6" s="13">
        <f t="shared" si="2"/>
        <v>1.1608333333333443</v>
      </c>
      <c r="H6" s="13">
        <f t="shared" si="3"/>
        <v>3.4799999999999995</v>
      </c>
      <c r="I6" s="21" t="s">
        <v>66</v>
      </c>
      <c r="J6" s="22">
        <f>SUMIF(B:B,"放行席",F:F)</f>
        <v>3.9786111111110873</v>
      </c>
      <c r="K6" s="23">
        <f>SUMIF(B:B,"放行席",G:G)</f>
        <v>0.88305555555556792</v>
      </c>
      <c r="L6" s="23">
        <f>SUMIF(B:B,"放行席",H:H)</f>
        <v>3.0955555555555194</v>
      </c>
      <c r="M6" s="19"/>
    </row>
    <row r="7" spans="1:16" ht="18.75" x14ac:dyDescent="0.25">
      <c r="A7" s="10">
        <f t="shared" ca="1" si="0"/>
        <v>46062.522648611099</v>
      </c>
      <c r="B7" s="5" t="s">
        <v>80</v>
      </c>
      <c r="C7" s="11">
        <v>0.52263888888888899</v>
      </c>
      <c r="D7" s="11" t="s">
        <v>62</v>
      </c>
      <c r="E7" s="11">
        <v>0.65296296296296297</v>
      </c>
      <c r="F7" s="12">
        <f t="shared" si="1"/>
        <v>3.1277777777777755</v>
      </c>
      <c r="G7" s="13">
        <f t="shared" si="2"/>
        <v>3.1277777777777755</v>
      </c>
      <c r="H7" s="13">
        <f t="shared" si="3"/>
        <v>0</v>
      </c>
      <c r="I7" s="21" t="s">
        <v>67</v>
      </c>
      <c r="J7" s="22">
        <f>SUMIF(B:B,"地面席",F:F)</f>
        <v>5.8799999999999759</v>
      </c>
      <c r="K7" s="23">
        <f>SUMIF(B:B,"地面席",G:G)</f>
        <v>0</v>
      </c>
      <c r="L7" s="23">
        <f>SUMIF(B:B,"地面席",H:H)</f>
        <v>5.8799999999999759</v>
      </c>
      <c r="M7" s="19"/>
    </row>
    <row r="8" spans="1:16" ht="18.75" x14ac:dyDescent="0.25">
      <c r="A8" s="10">
        <f t="shared" ca="1" si="0"/>
        <v>46062.653011226903</v>
      </c>
      <c r="B8" s="5" t="s">
        <v>84</v>
      </c>
      <c r="C8" s="11">
        <v>0.65300925925925901</v>
      </c>
      <c r="D8" s="11" t="s">
        <v>62</v>
      </c>
      <c r="E8" s="11">
        <v>0.71973379629629597</v>
      </c>
      <c r="F8" s="12">
        <f t="shared" si="1"/>
        <v>1.601388888888887</v>
      </c>
      <c r="G8" s="13">
        <f t="shared" si="2"/>
        <v>1.601388888888887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46062.772480787004</v>
      </c>
      <c r="B9" s="5" t="s">
        <v>82</v>
      </c>
      <c r="C9" s="11">
        <v>0.772476851851852</v>
      </c>
      <c r="D9" s="11" t="s">
        <v>62</v>
      </c>
      <c r="E9" s="11">
        <v>0.88144675925925897</v>
      </c>
      <c r="F9" s="12">
        <f t="shared" si="1"/>
        <v>2.6152777777777674</v>
      </c>
      <c r="G9" s="13">
        <f t="shared" si="2"/>
        <v>2.6152777777777674</v>
      </c>
      <c r="H9" s="13">
        <f t="shared" si="3"/>
        <v>0</v>
      </c>
      <c r="I9" s="21" t="s">
        <v>69</v>
      </c>
      <c r="J9" s="22">
        <f>SUMIF(B:B,"航班调度席",F:F)</f>
        <v>1.601388888888887</v>
      </c>
      <c r="K9" s="23">
        <f>SUMIF(B:B,"航班调度席",G:G)</f>
        <v>1.601388888888887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46063.419652199103</v>
      </c>
      <c r="B10" s="5" t="s">
        <v>80</v>
      </c>
      <c r="C10" s="11">
        <v>0.419641203703704</v>
      </c>
      <c r="D10" s="11" t="s">
        <v>62</v>
      </c>
      <c r="E10" s="11">
        <v>0.52630787037036997</v>
      </c>
      <c r="F10" s="12">
        <f t="shared" si="1"/>
        <v>2.5599999999999832</v>
      </c>
      <c r="G10" s="13">
        <f t="shared" si="2"/>
        <v>2.5599999999999832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46063.647934143497</v>
      </c>
      <c r="B11" s="5" t="s">
        <v>80</v>
      </c>
      <c r="C11" s="11">
        <v>0.64792824074074096</v>
      </c>
      <c r="D11" s="11" t="s">
        <v>62</v>
      </c>
      <c r="E11" s="11">
        <v>0.77884259259259303</v>
      </c>
      <c r="F11" s="12">
        <f t="shared" si="1"/>
        <v>3.1419444444444498</v>
      </c>
      <c r="G11" s="13">
        <f t="shared" si="2"/>
        <v>3.1419444444444498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46063.876692361097</v>
      </c>
      <c r="B12" s="5" t="s">
        <v>82</v>
      </c>
      <c r="C12" s="11">
        <v>0.876689814814815</v>
      </c>
      <c r="D12" s="11" t="s">
        <v>62</v>
      </c>
      <c r="E12" s="11">
        <v>0.95622685185185197</v>
      </c>
      <c r="F12" s="12">
        <f t="shared" si="1"/>
        <v>1.9088888888888871</v>
      </c>
      <c r="G12" s="13">
        <f t="shared" si="2"/>
        <v>1.9088888888888871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46064.292917361097</v>
      </c>
      <c r="B13" s="5" t="s">
        <v>79</v>
      </c>
      <c r="C13" s="11">
        <v>0.29291666666666699</v>
      </c>
      <c r="D13" s="11" t="s">
        <v>62</v>
      </c>
      <c r="E13" s="11">
        <v>0.37012731481481498</v>
      </c>
      <c r="F13" s="12">
        <f t="shared" si="1"/>
        <v>1.8530555555555517</v>
      </c>
      <c r="G13" s="13">
        <f t="shared" si="2"/>
        <v>0.88305555555556792</v>
      </c>
      <c r="H13" s="13">
        <f t="shared" si="3"/>
        <v>0.96999999999998376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46066.951729050903</v>
      </c>
      <c r="B14" s="5" t="s">
        <v>80</v>
      </c>
      <c r="C14" s="11">
        <v>0.95172453703703697</v>
      </c>
      <c r="D14" s="11" t="s">
        <v>62</v>
      </c>
      <c r="E14" s="11">
        <v>0.146342592592593</v>
      </c>
      <c r="F14" s="12">
        <f t="shared" si="1"/>
        <v>4.6708333333333449</v>
      </c>
      <c r="G14" s="13">
        <f t="shared" si="2"/>
        <v>1.1586111111111128</v>
      </c>
      <c r="H14" s="13">
        <f t="shared" si="3"/>
        <v>3.5122222222222321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46067.563056597202</v>
      </c>
      <c r="B15" s="5" t="s">
        <v>78</v>
      </c>
      <c r="C15" s="11">
        <v>0.56305555555555598</v>
      </c>
      <c r="D15" s="11" t="s">
        <v>62</v>
      </c>
      <c r="E15" s="11">
        <v>0.67326388888888899</v>
      </c>
      <c r="F15" s="12">
        <f t="shared" si="1"/>
        <v>2.6449999999999925</v>
      </c>
      <c r="G15" s="13">
        <f t="shared" si="2"/>
        <v>2.6449999999999925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46068.133617592597</v>
      </c>
      <c r="B16" s="5" t="s">
        <v>83</v>
      </c>
      <c r="C16" s="11">
        <v>0.13361111111111099</v>
      </c>
      <c r="D16" s="11" t="s">
        <v>62</v>
      </c>
      <c r="E16" s="11">
        <v>0.21252314814814799</v>
      </c>
      <c r="F16" s="12">
        <f t="shared" si="1"/>
        <v>1.8938888888888881</v>
      </c>
      <c r="G16" s="13">
        <f t="shared" si="2"/>
        <v>0</v>
      </c>
      <c r="H16" s="13">
        <f t="shared" si="3"/>
        <v>1.8938888888888881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46070.647663541698</v>
      </c>
      <c r="B17" s="5" t="s">
        <v>80</v>
      </c>
      <c r="C17" s="11">
        <v>0.64766203703703695</v>
      </c>
      <c r="D17" s="11" t="s">
        <v>62</v>
      </c>
      <c r="E17" s="11">
        <v>0.77871527777777805</v>
      </c>
      <c r="F17" s="12">
        <f t="shared" si="1"/>
        <v>3.1452777777777863</v>
      </c>
      <c r="G17" s="13">
        <f t="shared" si="2"/>
        <v>3.1452777777777863</v>
      </c>
      <c r="H17" s="13">
        <f t="shared" si="3"/>
        <v>0</v>
      </c>
      <c r="I17" s="35" t="s">
        <v>75</v>
      </c>
      <c r="J17" s="36">
        <f>J4+J5+J6+J7+J10</f>
        <v>72.389722222222161</v>
      </c>
      <c r="K17" s="37">
        <f>K4+K5+K6+K7+K10</f>
        <v>36.14027777777774</v>
      </c>
      <c r="L17" s="38">
        <f>L4+L5+L6+L7+L10</f>
        <v>36.249444444444414</v>
      </c>
      <c r="M17" s="39"/>
    </row>
    <row r="18" spans="1:13" ht="20.25" x14ac:dyDescent="0.25">
      <c r="A18" s="10">
        <f t="shared" ca="1" si="0"/>
        <v>46070.951942592597</v>
      </c>
      <c r="B18" s="5" t="s">
        <v>82</v>
      </c>
      <c r="C18" s="11">
        <v>0.95193287037037</v>
      </c>
      <c r="D18" s="11" t="s">
        <v>62</v>
      </c>
      <c r="E18" s="11">
        <v>0.141412037037037</v>
      </c>
      <c r="F18" s="12">
        <f t="shared" si="1"/>
        <v>4.5475000000000083</v>
      </c>
      <c r="G18" s="13">
        <f t="shared" si="2"/>
        <v>1.15361111111112</v>
      </c>
      <c r="H18" s="13">
        <f t="shared" si="3"/>
        <v>3.3938888888888883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46071.7931320602</v>
      </c>
      <c r="B19" s="5" t="s">
        <v>80</v>
      </c>
      <c r="C19" s="11">
        <v>0.79312499999999997</v>
      </c>
      <c r="D19" s="11" t="s">
        <v>62</v>
      </c>
      <c r="E19" s="11">
        <v>0.88359953703703698</v>
      </c>
      <c r="F19" s="12">
        <f t="shared" si="1"/>
        <v>2.1713888888888881</v>
      </c>
      <c r="G19" s="13">
        <f t="shared" si="2"/>
        <v>2.1713888888888881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46072.134411342602</v>
      </c>
      <c r="B20" s="5" t="s">
        <v>80</v>
      </c>
      <c r="C20" s="11">
        <v>0.134409722222222</v>
      </c>
      <c r="D20" s="11" t="s">
        <v>62</v>
      </c>
      <c r="E20" s="11">
        <v>0.299340277777778</v>
      </c>
      <c r="F20" s="12">
        <f t="shared" si="1"/>
        <v>3.9583333333333437</v>
      </c>
      <c r="G20" s="13">
        <f t="shared" si="2"/>
        <v>0</v>
      </c>
      <c r="H20" s="13">
        <f t="shared" si="3"/>
        <v>3.9583333333333437</v>
      </c>
      <c r="I20" s="40" t="s">
        <v>77</v>
      </c>
      <c r="J20" s="65">
        <f>J16+J17+J18+J19</f>
        <v>72.389722222222161</v>
      </c>
      <c r="K20" s="66"/>
      <c r="L20" s="67"/>
      <c r="M20" s="41"/>
    </row>
    <row r="21" spans="1:13" ht="20.25" x14ac:dyDescent="0.25">
      <c r="A21" s="10">
        <f t="shared" ca="1" si="0"/>
        <v>46074.771994444403</v>
      </c>
      <c r="B21" s="5" t="s">
        <v>80</v>
      </c>
      <c r="C21" s="11">
        <v>0.77199074074074103</v>
      </c>
      <c r="D21" s="11" t="s">
        <v>62</v>
      </c>
      <c r="E21" s="11">
        <v>0.90084490740740697</v>
      </c>
      <c r="F21" s="12">
        <f t="shared" si="1"/>
        <v>3.0924999999999825</v>
      </c>
      <c r="G21" s="13">
        <f t="shared" si="2"/>
        <v>3.0924999999999825</v>
      </c>
      <c r="H21" s="13">
        <f t="shared" si="3"/>
        <v>0</v>
      </c>
      <c r="I21" s="42" t="s">
        <v>4</v>
      </c>
      <c r="J21" s="43">
        <f>SUM(J8:J9)</f>
        <v>1.601388888888887</v>
      </c>
      <c r="K21" s="37">
        <f>SUM(K8:K9)</f>
        <v>1.601388888888887</v>
      </c>
      <c r="L21" s="38">
        <f>SUM(L8:L9)</f>
        <v>0</v>
      </c>
      <c r="M21" s="44"/>
    </row>
    <row r="22" spans="1:13" ht="18.75" x14ac:dyDescent="0.15">
      <c r="A22" s="10">
        <f t="shared" ca="1" si="0"/>
        <v>46074.953733680602</v>
      </c>
      <c r="B22" s="5" t="s">
        <v>80</v>
      </c>
      <c r="C22" s="11">
        <v>0.95372685185185202</v>
      </c>
      <c r="D22" s="11" t="s">
        <v>62</v>
      </c>
      <c r="E22" s="11">
        <v>0.146145833333333</v>
      </c>
      <c r="F22" s="12">
        <f t="shared" si="1"/>
        <v>4.6180555555555438</v>
      </c>
      <c r="G22" s="13">
        <f t="shared" si="2"/>
        <v>1.1105555555555515</v>
      </c>
      <c r="H22" s="13">
        <f t="shared" si="3"/>
        <v>3.5074999999999923</v>
      </c>
      <c r="I22"/>
      <c r="J22"/>
    </row>
    <row r="23" spans="1:13" ht="18.75" x14ac:dyDescent="0.15">
      <c r="A23" s="10">
        <f t="shared" ca="1" si="0"/>
        <v>46075.626465162</v>
      </c>
      <c r="B23" s="5" t="s">
        <v>82</v>
      </c>
      <c r="C23" s="11">
        <v>0.62648148148148197</v>
      </c>
      <c r="D23" s="11" t="s">
        <v>62</v>
      </c>
      <c r="E23" s="11">
        <v>0.75583333333333302</v>
      </c>
      <c r="F23" s="12">
        <f t="shared" si="1"/>
        <v>3.1044444444444252</v>
      </c>
      <c r="G23" s="13">
        <f t="shared" si="2"/>
        <v>3.1044444444444252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46075.953498726798</v>
      </c>
      <c r="B24" s="5" t="s">
        <v>82</v>
      </c>
      <c r="C24" s="11">
        <v>0.95349537037037002</v>
      </c>
      <c r="D24" s="11" t="s">
        <v>62</v>
      </c>
      <c r="E24" s="11">
        <v>0.99143518518518503</v>
      </c>
      <c r="F24" s="12">
        <f t="shared" si="1"/>
        <v>0.91055555555556023</v>
      </c>
      <c r="G24" s="13">
        <f t="shared" si="2"/>
        <v>0.91055555555556023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46076.113190740703</v>
      </c>
      <c r="B25" s="5" t="s">
        <v>82</v>
      </c>
      <c r="C25" s="11">
        <v>0.11318287037037</v>
      </c>
      <c r="D25" s="11" t="s">
        <v>62</v>
      </c>
      <c r="E25" s="11">
        <v>0.297800925925926</v>
      </c>
      <c r="F25" s="12">
        <f t="shared" si="1"/>
        <v>4.4308333333333438</v>
      </c>
      <c r="G25" s="13">
        <f t="shared" si="2"/>
        <v>0</v>
      </c>
      <c r="H25" s="13">
        <f t="shared" si="3"/>
        <v>4.4308333333333438</v>
      </c>
      <c r="I25"/>
      <c r="J25"/>
    </row>
    <row r="26" spans="1:13" ht="18.75" x14ac:dyDescent="0.15">
      <c r="A26" s="10">
        <f t="shared" ca="1" si="0"/>
        <v>46078.952373148102</v>
      </c>
      <c r="B26" s="5" t="s">
        <v>80</v>
      </c>
      <c r="C26" s="11">
        <v>0.95237268518518503</v>
      </c>
      <c r="D26" s="11" t="s">
        <v>62</v>
      </c>
      <c r="E26" s="11">
        <v>8.8182870370370398E-2</v>
      </c>
      <c r="F26" s="12">
        <f t="shared" si="1"/>
        <v>3.2594444444444486</v>
      </c>
      <c r="G26" s="13">
        <f t="shared" si="2"/>
        <v>1.1430555555555593</v>
      </c>
      <c r="H26" s="13">
        <f t="shared" si="3"/>
        <v>2.1163888888888893</v>
      </c>
      <c r="I26"/>
      <c r="J26"/>
    </row>
    <row r="27" spans="1:13" ht="18.75" x14ac:dyDescent="0.15">
      <c r="A27" s="10">
        <f t="shared" ca="1" si="0"/>
        <v>46080.140103703699</v>
      </c>
      <c r="B27" s="5" t="s">
        <v>83</v>
      </c>
      <c r="C27" s="11">
        <v>0.140104166666667</v>
      </c>
      <c r="D27" s="11" t="s">
        <v>62</v>
      </c>
      <c r="E27" s="11">
        <v>0.21075231481481499</v>
      </c>
      <c r="F27" s="12">
        <f t="shared" si="1"/>
        <v>1.6955555555555517</v>
      </c>
      <c r="G27" s="13">
        <f t="shared" si="2"/>
        <v>0</v>
      </c>
      <c r="H27" s="13">
        <f t="shared" si="3"/>
        <v>1.6955555555555517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46054.615017939803</v>
      </c>
      <c r="B3" s="5" t="s">
        <v>84</v>
      </c>
      <c r="C3" s="11">
        <v>0.61501157407407403</v>
      </c>
      <c r="D3" s="11" t="s">
        <v>62</v>
      </c>
      <c r="E3" s="11">
        <v>0.676840277777778</v>
      </c>
      <c r="F3" s="12">
        <f t="shared" ref="F3:F42" si="1">(IF(E3-C3&lt;0,"24:00"-C3+E3,E3-C3))*24</f>
        <v>1.4838888888888953</v>
      </c>
      <c r="G3" s="13">
        <f t="shared" ref="G3:G42" si="2">F3-H3</f>
        <v>1.4838888888888953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46054.959410879601</v>
      </c>
      <c r="B4" s="5" t="s">
        <v>88</v>
      </c>
      <c r="C4" s="11">
        <v>0.896747685185185</v>
      </c>
      <c r="D4" s="11" t="s">
        <v>62</v>
      </c>
      <c r="E4" s="11">
        <v>0.95943287037036995</v>
      </c>
      <c r="F4" s="12">
        <f t="shared" si="1"/>
        <v>1.5044444444444389</v>
      </c>
      <c r="G4" s="13">
        <f t="shared" si="2"/>
        <v>1.5044444444444389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>
        <f t="shared" ca="1" si="0"/>
        <v>46055.293547106499</v>
      </c>
      <c r="B5" s="5" t="s">
        <v>88</v>
      </c>
      <c r="C5" s="11">
        <v>0.29354166666666698</v>
      </c>
      <c r="D5" s="11" t="s">
        <v>62</v>
      </c>
      <c r="E5" s="11">
        <v>0.42521990740740701</v>
      </c>
      <c r="F5" s="12">
        <f t="shared" si="1"/>
        <v>3.1602777777777606</v>
      </c>
      <c r="G5" s="13">
        <f t="shared" si="2"/>
        <v>2.2052777777777766</v>
      </c>
      <c r="H5" s="13">
        <f t="shared" si="3"/>
        <v>0.95499999999998408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>
        <f t="shared" ca="1" si="0"/>
        <v>46055.6112663194</v>
      </c>
      <c r="B6" s="5" t="s">
        <v>84</v>
      </c>
      <c r="C6" s="11">
        <v>0.611261574074074</v>
      </c>
      <c r="D6" s="11" t="s">
        <v>62</v>
      </c>
      <c r="E6" s="11">
        <v>0.69262731481481499</v>
      </c>
      <c r="F6" s="12">
        <f t="shared" si="1"/>
        <v>1.9527777777777837</v>
      </c>
      <c r="G6" s="13">
        <f t="shared" si="2"/>
        <v>1.9527777777777837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46055.6112663194</v>
      </c>
      <c r="B7" s="5" t="s">
        <v>88</v>
      </c>
      <c r="C7" s="11">
        <v>0.75252314814814802</v>
      </c>
      <c r="D7" s="11" t="s">
        <v>62</v>
      </c>
      <c r="E7" s="11">
        <v>0.77516203703703701</v>
      </c>
      <c r="F7" s="12">
        <f t="shared" si="1"/>
        <v>0.54333333333333567</v>
      </c>
      <c r="G7" s="13">
        <f t="shared" si="2"/>
        <v>0.54333333333333567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>
        <f t="shared" ca="1" si="0"/>
        <v>46055.855419328698</v>
      </c>
      <c r="B8" s="5" t="s">
        <v>88</v>
      </c>
      <c r="C8" s="11">
        <v>0.85541666666666705</v>
      </c>
      <c r="D8" s="11" t="s">
        <v>62</v>
      </c>
      <c r="E8" s="11">
        <v>0.95734953703703696</v>
      </c>
      <c r="F8" s="12">
        <f t="shared" si="1"/>
        <v>2.4463888888888778</v>
      </c>
      <c r="G8" s="13">
        <f t="shared" si="2"/>
        <v>2.4463888888888778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46056.292616203697</v>
      </c>
      <c r="B9" s="5" t="s">
        <v>88</v>
      </c>
      <c r="C9" s="11">
        <v>0.29261574074074098</v>
      </c>
      <c r="D9" s="11" t="s">
        <v>62</v>
      </c>
      <c r="E9" s="11">
        <v>0.36561342592592599</v>
      </c>
      <c r="F9" s="12">
        <f t="shared" si="1"/>
        <v>1.7519444444444403</v>
      </c>
      <c r="G9" s="13">
        <f t="shared" si="2"/>
        <v>0.7747222222222323</v>
      </c>
      <c r="H9" s="13">
        <f t="shared" si="3"/>
        <v>0.977222222222208</v>
      </c>
      <c r="I9" s="21" t="s">
        <v>69</v>
      </c>
      <c r="J9" s="22">
        <f>SUMIF(B:B,"航班调度席",F:F)</f>
        <v>16.13972222222224</v>
      </c>
      <c r="K9" s="23">
        <f>SUMIF(B:B,"航班调度席",G:G)</f>
        <v>16.13972222222224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46059.012376041697</v>
      </c>
      <c r="B10" s="5" t="s">
        <v>88</v>
      </c>
      <c r="C10" s="11">
        <v>1.23726851851852E-2</v>
      </c>
      <c r="D10" s="11" t="s">
        <v>62</v>
      </c>
      <c r="E10" s="11">
        <v>0.13300925925925899</v>
      </c>
      <c r="F10" s="12">
        <f t="shared" si="1"/>
        <v>2.8952777777777712</v>
      </c>
      <c r="G10" s="13">
        <f t="shared" si="2"/>
        <v>0</v>
      </c>
      <c r="H10" s="13">
        <f t="shared" si="3"/>
        <v>2.8952777777777712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46060.140498379602</v>
      </c>
      <c r="B11" s="5" t="s">
        <v>88</v>
      </c>
      <c r="C11" s="11">
        <v>0.14049768518518499</v>
      </c>
      <c r="D11" s="11" t="s">
        <v>62</v>
      </c>
      <c r="E11" s="11">
        <v>0.30021990740740701</v>
      </c>
      <c r="F11" s="12">
        <f t="shared" si="1"/>
        <v>3.8333333333333286</v>
      </c>
      <c r="G11" s="13">
        <f t="shared" si="2"/>
        <v>0</v>
      </c>
      <c r="H11" s="13">
        <f t="shared" si="3"/>
        <v>3.8333333333333286</v>
      </c>
      <c r="I11" s="24" t="s">
        <v>71</v>
      </c>
      <c r="J11" s="25">
        <f>SUMIF(B:B,"见习管制员",F:F)</f>
        <v>42.346666666666607</v>
      </c>
      <c r="K11" s="26">
        <f>SUMIF(B:B,"见习管制员",G:G)</f>
        <v>23.582222222222207</v>
      </c>
      <c r="L11" s="26">
        <f>SUMIF(B:B,"见习管制员",H:H)</f>
        <v>18.764444444444393</v>
      </c>
      <c r="M11" s="19"/>
    </row>
    <row r="12" spans="1:16" ht="18.75" x14ac:dyDescent="0.25">
      <c r="A12" s="10">
        <f t="shared" ca="1" si="0"/>
        <v>46063.136966666701</v>
      </c>
      <c r="B12" s="5" t="s">
        <v>88</v>
      </c>
      <c r="C12" s="11">
        <v>0.13695601851851899</v>
      </c>
      <c r="D12" s="11" t="s">
        <v>62</v>
      </c>
      <c r="E12" s="11">
        <v>0.22843749999999999</v>
      </c>
      <c r="F12" s="12">
        <f t="shared" si="1"/>
        <v>2.1955555555555439</v>
      </c>
      <c r="G12" s="13">
        <f t="shared" si="2"/>
        <v>0</v>
      </c>
      <c r="H12" s="13">
        <f t="shared" si="3"/>
        <v>2.1955555555555439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46063.952161111098</v>
      </c>
      <c r="B13" s="5" t="s">
        <v>88</v>
      </c>
      <c r="C13" s="11">
        <v>0.95215277777777796</v>
      </c>
      <c r="D13" s="11" t="s">
        <v>62</v>
      </c>
      <c r="E13" s="11">
        <v>0.14578703703703699</v>
      </c>
      <c r="F13" s="12">
        <f t="shared" si="1"/>
        <v>4.6472222222222168</v>
      </c>
      <c r="G13" s="13">
        <f t="shared" si="2"/>
        <v>1.148333333333329</v>
      </c>
      <c r="H13" s="13">
        <f t="shared" si="3"/>
        <v>3.4988888888888878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46066.368871296298</v>
      </c>
      <c r="B14" s="5" t="s">
        <v>84</v>
      </c>
      <c r="C14" s="11">
        <v>0.36886574074074102</v>
      </c>
      <c r="D14" s="11" t="s">
        <v>62</v>
      </c>
      <c r="E14" s="11">
        <v>0.47322916666666698</v>
      </c>
      <c r="F14" s="12">
        <f t="shared" si="1"/>
        <v>2.504722222222223</v>
      </c>
      <c r="G14" s="13">
        <f t="shared" si="2"/>
        <v>2.504722222222223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46066.661384027801</v>
      </c>
      <c r="B15" s="5" t="s">
        <v>84</v>
      </c>
      <c r="C15" s="11">
        <v>0.66137731481481499</v>
      </c>
      <c r="D15" s="11" t="s">
        <v>62</v>
      </c>
      <c r="E15" s="11">
        <v>0.77104166666666696</v>
      </c>
      <c r="F15" s="12">
        <f t="shared" si="1"/>
        <v>2.6319444444444473</v>
      </c>
      <c r="G15" s="13">
        <f t="shared" si="2"/>
        <v>2.6319444444444473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46067.645836805597</v>
      </c>
      <c r="B16" s="5" t="s">
        <v>84</v>
      </c>
      <c r="C16" s="11">
        <v>0.64583333333333304</v>
      </c>
      <c r="D16" s="11" t="s">
        <v>62</v>
      </c>
      <c r="E16" s="11">
        <v>0.73343749999999996</v>
      </c>
      <c r="F16" s="12">
        <f t="shared" si="1"/>
        <v>2.1025000000000063</v>
      </c>
      <c r="G16" s="13">
        <f t="shared" si="2"/>
        <v>2.1025000000000063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46070.372877199101</v>
      </c>
      <c r="B17" s="5" t="s">
        <v>84</v>
      </c>
      <c r="C17" s="11">
        <v>0.37287037037037002</v>
      </c>
      <c r="D17" s="11" t="s">
        <v>62</v>
      </c>
      <c r="E17" s="11">
        <v>0.451585648148148</v>
      </c>
      <c r="F17" s="12">
        <f t="shared" si="1"/>
        <v>1.8891666666666715</v>
      </c>
      <c r="G17" s="13">
        <f t="shared" si="2"/>
        <v>1.8891666666666715</v>
      </c>
      <c r="H17" s="13">
        <f t="shared" si="3"/>
        <v>0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>
        <f t="shared" ca="1" si="0"/>
        <v>46070.6052746528</v>
      </c>
      <c r="B18" s="5" t="s">
        <v>84</v>
      </c>
      <c r="C18" s="11">
        <v>0.60526620370370399</v>
      </c>
      <c r="D18" s="11" t="s">
        <v>62</v>
      </c>
      <c r="E18" s="11">
        <v>0.702858796296296</v>
      </c>
      <c r="F18" s="12">
        <f t="shared" si="1"/>
        <v>2.3422222222222082</v>
      </c>
      <c r="G18" s="13">
        <f t="shared" si="2"/>
        <v>2.3422222222222082</v>
      </c>
      <c r="H18" s="13">
        <f t="shared" si="3"/>
        <v>0</v>
      </c>
      <c r="I18" s="35" t="s">
        <v>71</v>
      </c>
      <c r="J18" s="36">
        <f t="shared" ref="J18:L18" si="5">J11</f>
        <v>42.346666666666607</v>
      </c>
      <c r="K18" s="37">
        <f t="shared" si="5"/>
        <v>23.582222222222207</v>
      </c>
      <c r="L18" s="38">
        <f t="shared" si="5"/>
        <v>18.764444444444393</v>
      </c>
      <c r="M18" s="39"/>
    </row>
    <row r="19" spans="1:13" ht="20.25" x14ac:dyDescent="0.25">
      <c r="A19" s="10">
        <f t="shared" ca="1" si="0"/>
        <v>46070.951856365697</v>
      </c>
      <c r="B19" s="5" t="s">
        <v>88</v>
      </c>
      <c r="C19" s="11">
        <v>0.95185185185185195</v>
      </c>
      <c r="D19" s="11" t="s">
        <v>62</v>
      </c>
      <c r="E19" s="11">
        <v>0.142951388888889</v>
      </c>
      <c r="F19" s="12">
        <f t="shared" si="1"/>
        <v>4.5863888888888891</v>
      </c>
      <c r="G19" s="13">
        <f t="shared" si="2"/>
        <v>1.1555555555555532</v>
      </c>
      <c r="H19" s="13">
        <f t="shared" si="3"/>
        <v>3.4308333333333358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46071.458855902798</v>
      </c>
      <c r="B20" s="5" t="s">
        <v>88</v>
      </c>
      <c r="C20" s="11">
        <v>0.45885416666666701</v>
      </c>
      <c r="D20" s="11" t="s">
        <v>62</v>
      </c>
      <c r="E20" s="11">
        <v>0.51789351851851895</v>
      </c>
      <c r="F20" s="12">
        <f t="shared" si="1"/>
        <v>1.4169444444444466</v>
      </c>
      <c r="G20" s="13">
        <f t="shared" si="2"/>
        <v>1.4169444444444466</v>
      </c>
      <c r="H20" s="13">
        <f t="shared" si="3"/>
        <v>0</v>
      </c>
      <c r="I20" s="40" t="s">
        <v>77</v>
      </c>
      <c r="J20" s="65">
        <f>J16+J17+J18+J19</f>
        <v>42.346666666666607</v>
      </c>
      <c r="K20" s="66"/>
      <c r="L20" s="67"/>
      <c r="M20" s="41"/>
    </row>
    <row r="21" spans="1:13" ht="20.25" x14ac:dyDescent="0.25">
      <c r="A21" s="10">
        <f t="shared" ca="1" si="0"/>
        <v>46071.538184143501</v>
      </c>
      <c r="B21" s="5" t="s">
        <v>88</v>
      </c>
      <c r="C21" s="11">
        <v>0.53818287037037005</v>
      </c>
      <c r="D21" s="11" t="s">
        <v>62</v>
      </c>
      <c r="E21" s="11">
        <v>0.549027777777778</v>
      </c>
      <c r="F21" s="12">
        <f t="shared" si="1"/>
        <v>0.26027777777779093</v>
      </c>
      <c r="G21" s="13">
        <f t="shared" si="2"/>
        <v>0.26027777777779093</v>
      </c>
      <c r="H21" s="13">
        <f t="shared" si="3"/>
        <v>0</v>
      </c>
      <c r="I21" s="42" t="s">
        <v>4</v>
      </c>
      <c r="J21" s="43">
        <f>SUM(J8:J9)</f>
        <v>16.13972222222224</v>
      </c>
      <c r="K21" s="37">
        <f>SUM(K8:K9)</f>
        <v>16.13972222222224</v>
      </c>
      <c r="L21" s="38">
        <f>SUM(L8:L9)</f>
        <v>0</v>
      </c>
      <c r="M21" s="44"/>
    </row>
    <row r="22" spans="1:13" ht="18.75" x14ac:dyDescent="0.15">
      <c r="A22" s="10">
        <f t="shared" ca="1" si="0"/>
        <v>46071.617509374999</v>
      </c>
      <c r="B22" s="5" t="s">
        <v>84</v>
      </c>
      <c r="C22" s="11">
        <v>0.61750000000000005</v>
      </c>
      <c r="D22" s="11" t="s">
        <v>62</v>
      </c>
      <c r="E22" s="11">
        <v>0.66885416666666697</v>
      </c>
      <c r="F22" s="12">
        <f t="shared" si="1"/>
        <v>1.2325000000000061</v>
      </c>
      <c r="G22" s="13">
        <f t="shared" si="2"/>
        <v>1.2325000000000061</v>
      </c>
      <c r="H22" s="13">
        <f t="shared" si="3"/>
        <v>0</v>
      </c>
      <c r="I22"/>
      <c r="J22"/>
    </row>
    <row r="23" spans="1:13" ht="18.75" x14ac:dyDescent="0.15">
      <c r="A23" s="10">
        <f t="shared" ca="1" si="0"/>
        <v>46078.522741203698</v>
      </c>
      <c r="B23" s="5" t="s">
        <v>88</v>
      </c>
      <c r="C23" s="11">
        <v>0.52273148148148196</v>
      </c>
      <c r="D23" s="11" t="s">
        <v>62</v>
      </c>
      <c r="E23" s="11">
        <v>0.65388888888888896</v>
      </c>
      <c r="F23" s="12">
        <f t="shared" si="1"/>
        <v>3.147777777777768</v>
      </c>
      <c r="G23" s="13">
        <f t="shared" si="2"/>
        <v>3.147777777777768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46078.771669444403</v>
      </c>
      <c r="B24" s="5" t="s">
        <v>88</v>
      </c>
      <c r="C24" s="11">
        <v>0.77166666666666694</v>
      </c>
      <c r="D24" s="11" t="s">
        <v>62</v>
      </c>
      <c r="E24" s="11">
        <v>0.89932870370370399</v>
      </c>
      <c r="F24" s="12">
        <f t="shared" si="1"/>
        <v>3.0638888888888891</v>
      </c>
      <c r="G24" s="13">
        <f t="shared" si="2"/>
        <v>3.0638888888888891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46079.625125115701</v>
      </c>
      <c r="B25" s="5" t="s">
        <v>88</v>
      </c>
      <c r="C25" s="11">
        <v>0.62511574074074105</v>
      </c>
      <c r="D25" s="11" t="s">
        <v>62</v>
      </c>
      <c r="E25" s="11">
        <v>0.76115740740740701</v>
      </c>
      <c r="F25" s="12">
        <f t="shared" si="1"/>
        <v>3.2649999999999828</v>
      </c>
      <c r="G25" s="13">
        <f t="shared" si="2"/>
        <v>3.2649999999999828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46079.877369791699</v>
      </c>
      <c r="B26" s="5" t="s">
        <v>88</v>
      </c>
      <c r="C26" s="11">
        <v>0.87736111111111104</v>
      </c>
      <c r="D26" s="11" t="s">
        <v>62</v>
      </c>
      <c r="E26" s="11">
        <v>0.95829861111111103</v>
      </c>
      <c r="F26" s="12">
        <f t="shared" si="1"/>
        <v>1.9424999999999999</v>
      </c>
      <c r="G26" s="13">
        <f t="shared" si="2"/>
        <v>1.9424999999999999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46080.292570949103</v>
      </c>
      <c r="B27" s="5" t="s">
        <v>88</v>
      </c>
      <c r="C27" s="11">
        <v>0.29256944444444399</v>
      </c>
      <c r="D27" s="11" t="s">
        <v>62</v>
      </c>
      <c r="E27" s="11">
        <v>0.36282407407407402</v>
      </c>
      <c r="F27" s="12">
        <f t="shared" si="1"/>
        <v>1.6861111111111207</v>
      </c>
      <c r="G27" s="13">
        <f t="shared" si="2"/>
        <v>0.70777777777778494</v>
      </c>
      <c r="H27" s="13">
        <f t="shared" si="3"/>
        <v>0.97833333333333572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46057.014815162001</v>
      </c>
      <c r="B3" s="5" t="s">
        <v>80</v>
      </c>
      <c r="C3" s="11">
        <v>1.48148148148148E-2</v>
      </c>
      <c r="D3" s="11" t="s">
        <v>62</v>
      </c>
      <c r="E3" s="11">
        <v>0.14556712962963</v>
      </c>
      <c r="F3" s="12">
        <f t="shared" ref="F3:F42" si="1">(IF(E3-C3&lt;0,"24:00"-C3+E3,E3-C3))*24</f>
        <v>3.1380555555555647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3.1380555555555647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46058.015021296298</v>
      </c>
      <c r="B4" s="5" t="s">
        <v>81</v>
      </c>
      <c r="C4" s="11">
        <v>1.5011574074074101E-2</v>
      </c>
      <c r="D4" s="11" t="s">
        <v>62</v>
      </c>
      <c r="E4" s="11">
        <v>0.11453703703703701</v>
      </c>
      <c r="F4" s="12">
        <f t="shared" si="1"/>
        <v>2.3886111111111097</v>
      </c>
      <c r="G4" s="13">
        <f t="shared" si="2"/>
        <v>0</v>
      </c>
      <c r="H4" s="13">
        <f t="shared" si="3"/>
        <v>2.3886111111111097</v>
      </c>
      <c r="I4" s="21" t="s">
        <v>64</v>
      </c>
      <c r="J4" s="22">
        <f>SUMIF(B:B,"西塔台管制席",F:F)+SUMIF(B:B,"东塔台管制席",F:F)</f>
        <v>23.780555555555573</v>
      </c>
      <c r="K4" s="23">
        <f>SUMIF(B:B,"西塔台管制席",G:G)+SUMIF(B:B,"东塔台管制席",G:G)</f>
        <v>12.653333333333329</v>
      </c>
      <c r="L4" s="23">
        <f>SUMIF(B:B,"西塔台管制席",H:H)+SUMIF(B:B,"东塔台管制席",H:H)</f>
        <v>11.127222222222244</v>
      </c>
      <c r="M4" s="19"/>
    </row>
    <row r="5" spans="1:16" ht="18.75" x14ac:dyDescent="0.25">
      <c r="A5" s="10">
        <f t="shared" ca="1" si="0"/>
        <v>46058.114577662003</v>
      </c>
      <c r="B5" s="5" t="s">
        <v>80</v>
      </c>
      <c r="C5" s="11">
        <v>0.114571759259259</v>
      </c>
      <c r="D5" s="11" t="s">
        <v>62</v>
      </c>
      <c r="E5" s="11">
        <v>0.143240740740741</v>
      </c>
      <c r="F5" s="12">
        <f t="shared" si="1"/>
        <v>0.68805555555556808</v>
      </c>
      <c r="G5" s="13">
        <f t="shared" si="2"/>
        <v>0</v>
      </c>
      <c r="H5" s="13">
        <f t="shared" si="3"/>
        <v>0.68805555555556808</v>
      </c>
      <c r="I5" s="21" t="s">
        <v>65</v>
      </c>
      <c r="J5" s="22">
        <f>SUMIF(B:B,"西塔台协调席",F:F)+SUMIF(B:B,"东塔台协调席",F:F)</f>
        <v>15.538333333333359</v>
      </c>
      <c r="K5" s="23">
        <f>SUMIF(B:B,"西塔台协调席",G:G)+SUMIF(B:B,"东塔台协调席",G:G)</f>
        <v>11.03138888888892</v>
      </c>
      <c r="L5" s="23">
        <f>SUMIF(B:B,"西塔台协调席",H:H)+SUMIF(B:B,"东塔台协调席",H:H)</f>
        <v>4.5069444444444384</v>
      </c>
      <c r="M5" s="19"/>
    </row>
    <row r="6" spans="1:16" ht="18.75" x14ac:dyDescent="0.25">
      <c r="A6" s="10">
        <f t="shared" ca="1" si="0"/>
        <v>46061.140277083301</v>
      </c>
      <c r="B6" s="5" t="s">
        <v>83</v>
      </c>
      <c r="C6" s="11">
        <v>0.14026620370370399</v>
      </c>
      <c r="D6" s="11" t="s">
        <v>62</v>
      </c>
      <c r="E6" s="11">
        <v>0.220439814814815</v>
      </c>
      <c r="F6" s="12">
        <f t="shared" si="1"/>
        <v>1.9241666666666644</v>
      </c>
      <c r="G6" s="13">
        <f t="shared" si="2"/>
        <v>0</v>
      </c>
      <c r="H6" s="13">
        <f t="shared" si="3"/>
        <v>1.9241666666666644</v>
      </c>
      <c r="I6" s="21" t="s">
        <v>66</v>
      </c>
      <c r="J6" s="22">
        <f>SUMIF(B:B,"放行席",F:F)</f>
        <v>4.6352777777777749</v>
      </c>
      <c r="K6" s="23">
        <f>SUMIF(B:B,"放行席",G:G)</f>
        <v>4.6352777777777749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46062.139569097199</v>
      </c>
      <c r="B7" s="5" t="s">
        <v>80</v>
      </c>
      <c r="C7" s="11">
        <v>0.13956018518518501</v>
      </c>
      <c r="D7" s="11" t="s">
        <v>62</v>
      </c>
      <c r="E7" s="11">
        <v>0.30439814814814797</v>
      </c>
      <c r="F7" s="12">
        <f t="shared" si="1"/>
        <v>3.9561111111111114</v>
      </c>
      <c r="G7" s="13">
        <f t="shared" si="2"/>
        <v>0</v>
      </c>
      <c r="H7" s="13">
        <f t="shared" si="3"/>
        <v>3.9561111111111114</v>
      </c>
      <c r="I7" s="21" t="s">
        <v>67</v>
      </c>
      <c r="J7" s="22">
        <f>SUMIF(B:B,"地面席",F:F)</f>
        <v>1.9241666666666644</v>
      </c>
      <c r="K7" s="23">
        <f>SUMIF(B:B,"地面席",G:G)</f>
        <v>0</v>
      </c>
      <c r="L7" s="23">
        <f>SUMIF(B:B,"地面席",H:H)</f>
        <v>1.9241666666666644</v>
      </c>
      <c r="M7" s="19"/>
    </row>
    <row r="8" spans="1:16" ht="18.75" x14ac:dyDescent="0.25">
      <c r="A8" s="10">
        <f t="shared" ca="1" si="0"/>
        <v>46064.363371296298</v>
      </c>
      <c r="B8" s="5" t="s">
        <v>79</v>
      </c>
      <c r="C8" s="11">
        <v>0.36336805555555601</v>
      </c>
      <c r="D8" s="11" t="s">
        <v>62</v>
      </c>
      <c r="E8" s="11">
        <v>0.55650462962962999</v>
      </c>
      <c r="F8" s="12">
        <f t="shared" si="1"/>
        <v>4.6352777777777749</v>
      </c>
      <c r="G8" s="13">
        <f t="shared" si="2"/>
        <v>4.6352777777777749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46064.586925925898</v>
      </c>
      <c r="B9" s="5" t="s">
        <v>82</v>
      </c>
      <c r="C9" s="11">
        <v>0.58344907407407398</v>
      </c>
      <c r="D9" s="11" t="s">
        <v>62</v>
      </c>
      <c r="E9" s="11">
        <v>0.60746527777777803</v>
      </c>
      <c r="F9" s="12">
        <f t="shared" si="1"/>
        <v>0.57638888888889728</v>
      </c>
      <c r="G9" s="13">
        <f t="shared" si="2"/>
        <v>0.57638888888889728</v>
      </c>
      <c r="H9" s="13">
        <f t="shared" si="3"/>
        <v>0</v>
      </c>
      <c r="I9" s="21" t="s">
        <v>69</v>
      </c>
      <c r="J9" s="22">
        <f>SUMIF(B:B,"航班调度席",F:F)</f>
        <v>12.692499999999981</v>
      </c>
      <c r="K9" s="23">
        <f>SUMIF(B:B,"航班调度席",G:G)</f>
        <v>12.692499999999981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46064.730655208303</v>
      </c>
      <c r="B10" s="5" t="s">
        <v>82</v>
      </c>
      <c r="C10" s="11">
        <v>0.73064814814814805</v>
      </c>
      <c r="D10" s="11" t="s">
        <v>62</v>
      </c>
      <c r="E10" s="11">
        <v>0.88140046296296304</v>
      </c>
      <c r="F10" s="12">
        <f t="shared" si="1"/>
        <v>3.6180555555555598</v>
      </c>
      <c r="G10" s="13">
        <f t="shared" si="2"/>
        <v>3.6180555555555598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46065.418088657403</v>
      </c>
      <c r="B11" s="5" t="s">
        <v>80</v>
      </c>
      <c r="C11" s="11">
        <v>0.41807870370370398</v>
      </c>
      <c r="D11" s="11" t="s">
        <v>62</v>
      </c>
      <c r="E11" s="11">
        <v>0.50966435185185199</v>
      </c>
      <c r="F11" s="12">
        <f t="shared" si="1"/>
        <v>2.1980555555555523</v>
      </c>
      <c r="G11" s="13">
        <f t="shared" si="2"/>
        <v>2.1980555555555523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46065.626441088003</v>
      </c>
      <c r="B12" s="5" t="s">
        <v>82</v>
      </c>
      <c r="C12" s="11">
        <v>0.62643518518518504</v>
      </c>
      <c r="D12" s="11" t="s">
        <v>62</v>
      </c>
      <c r="E12" s="11">
        <v>0.75511574074074095</v>
      </c>
      <c r="F12" s="12">
        <f t="shared" si="1"/>
        <v>3.0883333333333418</v>
      </c>
      <c r="G12" s="13">
        <f t="shared" si="2"/>
        <v>3.0883333333333418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46065.834179513899</v>
      </c>
      <c r="B13" s="5" t="s">
        <v>80</v>
      </c>
      <c r="C13" s="11">
        <v>0.83417824074074098</v>
      </c>
      <c r="D13" s="11" t="s">
        <v>62</v>
      </c>
      <c r="E13" s="11">
        <v>0.96693287037037001</v>
      </c>
      <c r="F13" s="12">
        <f t="shared" si="1"/>
        <v>3.1861111111110967</v>
      </c>
      <c r="G13" s="13">
        <f t="shared" si="2"/>
        <v>3.1861111111110967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46066.300349421297</v>
      </c>
      <c r="B14" s="5" t="s">
        <v>82</v>
      </c>
      <c r="C14" s="11">
        <v>0.30034722222222199</v>
      </c>
      <c r="D14" s="11" t="s">
        <v>62</v>
      </c>
      <c r="E14" s="11">
        <v>0.36131944444444403</v>
      </c>
      <c r="F14" s="12">
        <f t="shared" si="1"/>
        <v>1.4633333333333289</v>
      </c>
      <c r="G14" s="13">
        <f t="shared" si="2"/>
        <v>0.67166666666666508</v>
      </c>
      <c r="H14" s="13">
        <f t="shared" si="3"/>
        <v>0.79166666666666385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46073.145832870403</v>
      </c>
      <c r="B15" s="5" t="s">
        <v>80</v>
      </c>
      <c r="C15" s="11">
        <v>0.14583333333333301</v>
      </c>
      <c r="D15" s="11" t="s">
        <v>62</v>
      </c>
      <c r="E15" s="11">
        <v>0.2253125</v>
      </c>
      <c r="F15" s="12">
        <f t="shared" si="1"/>
        <v>1.9075000000000077</v>
      </c>
      <c r="G15" s="13">
        <f t="shared" si="2"/>
        <v>0</v>
      </c>
      <c r="H15" s="13">
        <f t="shared" si="3"/>
        <v>1.9075000000000077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46073.7487891204</v>
      </c>
      <c r="B16" s="5" t="s">
        <v>80</v>
      </c>
      <c r="C16" s="11">
        <v>0.74878472222222203</v>
      </c>
      <c r="D16" s="11" t="s">
        <v>62</v>
      </c>
      <c r="E16" s="11">
        <v>0.83560185185185198</v>
      </c>
      <c r="F16" s="12">
        <f t="shared" si="1"/>
        <v>2.0836111111111189</v>
      </c>
      <c r="G16" s="13">
        <f t="shared" si="2"/>
        <v>2.0836111111111189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46074.243870601902</v>
      </c>
      <c r="B17" s="5" t="s">
        <v>80</v>
      </c>
      <c r="C17" s="11">
        <v>0.24386574074074099</v>
      </c>
      <c r="D17" s="11" t="s">
        <v>62</v>
      </c>
      <c r="E17" s="11">
        <v>0.303761574074074</v>
      </c>
      <c r="F17" s="12">
        <f t="shared" si="1"/>
        <v>1.4374999999999922</v>
      </c>
      <c r="G17" s="13">
        <f t="shared" si="2"/>
        <v>0</v>
      </c>
      <c r="H17" s="13">
        <f t="shared" si="3"/>
        <v>1.4374999999999922</v>
      </c>
      <c r="I17" s="35" t="s">
        <v>75</v>
      </c>
      <c r="J17" s="36">
        <f>J4+J5+J6+J7+J10</f>
        <v>45.878333333333373</v>
      </c>
      <c r="K17" s="37">
        <f>K4+K5+K6+K7+K10</f>
        <v>28.320000000000022</v>
      </c>
      <c r="L17" s="38">
        <f>L4+L5+L6+L7+L10</f>
        <v>17.558333333333348</v>
      </c>
      <c r="M17" s="39"/>
    </row>
    <row r="18" spans="1:13" ht="20.25" x14ac:dyDescent="0.25">
      <c r="A18" s="10">
        <f t="shared" ca="1" si="0"/>
        <v>46076.503482638902</v>
      </c>
      <c r="B18" s="5" t="s">
        <v>82</v>
      </c>
      <c r="C18" s="11">
        <v>0.50347222222222199</v>
      </c>
      <c r="D18" s="11" t="s">
        <v>62</v>
      </c>
      <c r="E18" s="11">
        <v>0.63167824074074097</v>
      </c>
      <c r="F18" s="12">
        <f t="shared" si="1"/>
        <v>3.0769444444444556</v>
      </c>
      <c r="G18" s="13">
        <f t="shared" si="2"/>
        <v>3.0769444444444556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46076.751435532402</v>
      </c>
      <c r="B19" s="5" t="s">
        <v>80</v>
      </c>
      <c r="C19" s="11">
        <v>0.75143518518518504</v>
      </c>
      <c r="D19" s="11" t="s">
        <v>62</v>
      </c>
      <c r="E19" s="11">
        <v>0.88093750000000004</v>
      </c>
      <c r="F19" s="12">
        <f t="shared" si="1"/>
        <v>3.10805555555556</v>
      </c>
      <c r="G19" s="13">
        <f t="shared" si="2"/>
        <v>3.10805555555556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46077.435186342598</v>
      </c>
      <c r="B20" s="5" t="s">
        <v>84</v>
      </c>
      <c r="C20" s="11">
        <v>0.43518518518518501</v>
      </c>
      <c r="D20" s="11" t="s">
        <v>62</v>
      </c>
      <c r="E20" s="11">
        <v>0.48739583333333297</v>
      </c>
      <c r="F20" s="12">
        <f t="shared" si="1"/>
        <v>1.2530555555555511</v>
      </c>
      <c r="G20" s="13">
        <f t="shared" si="2"/>
        <v>1.2530555555555511</v>
      </c>
      <c r="H20" s="13">
        <f t="shared" si="3"/>
        <v>0</v>
      </c>
      <c r="I20" s="40" t="s">
        <v>77</v>
      </c>
      <c r="J20" s="65">
        <f>J16+J17+J18+J19</f>
        <v>45.878333333333373</v>
      </c>
      <c r="K20" s="66"/>
      <c r="L20" s="67"/>
      <c r="M20" s="41"/>
    </row>
    <row r="21" spans="1:13" ht="20.25" x14ac:dyDescent="0.25">
      <c r="A21" s="10">
        <f t="shared" ca="1" si="0"/>
        <v>46077.601213078698</v>
      </c>
      <c r="B21" s="5" t="s">
        <v>84</v>
      </c>
      <c r="C21" s="11">
        <v>0.60120370370370402</v>
      </c>
      <c r="D21" s="11" t="s">
        <v>62</v>
      </c>
      <c r="E21" s="11">
        <v>0.71304398148148096</v>
      </c>
      <c r="F21" s="12">
        <f t="shared" si="1"/>
        <v>2.6841666666666466</v>
      </c>
      <c r="G21" s="13">
        <f t="shared" si="2"/>
        <v>2.6841666666666466</v>
      </c>
      <c r="H21" s="13">
        <f t="shared" si="3"/>
        <v>0</v>
      </c>
      <c r="I21" s="42" t="s">
        <v>4</v>
      </c>
      <c r="J21" s="43">
        <f>SUM(J8:J9)</f>
        <v>12.692499999999981</v>
      </c>
      <c r="K21" s="37">
        <f>SUM(K8:K9)</f>
        <v>12.692499999999981</v>
      </c>
      <c r="L21" s="38">
        <f>SUM(L8:L9)</f>
        <v>0</v>
      </c>
      <c r="M21" s="44"/>
    </row>
    <row r="22" spans="1:13" ht="18.75" x14ac:dyDescent="0.15">
      <c r="A22" s="10">
        <f t="shared" ca="1" si="0"/>
        <v>46078.034890162002</v>
      </c>
      <c r="B22" s="5" t="s">
        <v>82</v>
      </c>
      <c r="C22" s="11">
        <v>3.4884259259259302E-2</v>
      </c>
      <c r="D22" s="11" t="s">
        <v>62</v>
      </c>
      <c r="E22" s="11">
        <v>9.0162037037036999E-2</v>
      </c>
      <c r="F22" s="12">
        <f t="shared" si="1"/>
        <v>1.3266666666666647</v>
      </c>
      <c r="G22" s="13">
        <f t="shared" si="2"/>
        <v>0</v>
      </c>
      <c r="H22" s="13">
        <f t="shared" si="3"/>
        <v>1.3266666666666647</v>
      </c>
      <c r="I22"/>
      <c r="J22"/>
    </row>
    <row r="23" spans="1:13" ht="18.75" x14ac:dyDescent="0.15">
      <c r="A23" s="10">
        <f t="shared" ca="1" si="0"/>
        <v>46080.378671064798</v>
      </c>
      <c r="B23" s="5" t="s">
        <v>84</v>
      </c>
      <c r="C23" s="11">
        <v>0.37866898148148098</v>
      </c>
      <c r="D23" s="11" t="s">
        <v>62</v>
      </c>
      <c r="E23" s="11">
        <v>0.49158564814814798</v>
      </c>
      <c r="F23" s="12">
        <f t="shared" si="1"/>
        <v>2.710000000000008</v>
      </c>
      <c r="G23" s="13">
        <f t="shared" si="2"/>
        <v>2.710000000000008</v>
      </c>
      <c r="H23" s="13">
        <f t="shared" si="3"/>
        <v>0</v>
      </c>
      <c r="I23"/>
      <c r="J23"/>
    </row>
    <row r="24" spans="1:13" ht="18.75" x14ac:dyDescent="0.15">
      <c r="A24" s="10">
        <f t="shared" ca="1" si="0"/>
        <v>46080.590460532403</v>
      </c>
      <c r="B24" s="5" t="s">
        <v>84</v>
      </c>
      <c r="C24" s="11">
        <v>0.59045138888888904</v>
      </c>
      <c r="D24" s="11" t="s">
        <v>62</v>
      </c>
      <c r="E24" s="11">
        <v>0.744108796296296</v>
      </c>
      <c r="F24" s="12">
        <f t="shared" si="1"/>
        <v>3.6877777777777672</v>
      </c>
      <c r="G24" s="13">
        <f t="shared" si="2"/>
        <v>3.6877777777777672</v>
      </c>
      <c r="H24" s="13">
        <f t="shared" si="3"/>
        <v>0</v>
      </c>
      <c r="I24"/>
      <c r="J24"/>
    </row>
    <row r="25" spans="1:13" ht="18.75" x14ac:dyDescent="0.15">
      <c r="A25" s="10">
        <f t="shared" ca="1" si="0"/>
        <v>46081.4550190972</v>
      </c>
      <c r="B25" s="5" t="s">
        <v>84</v>
      </c>
      <c r="C25" s="11">
        <v>0.455011574074074</v>
      </c>
      <c r="D25" s="11" t="s">
        <v>62</v>
      </c>
      <c r="E25" s="11">
        <v>0.50670138888888905</v>
      </c>
      <c r="F25" s="12">
        <f t="shared" si="1"/>
        <v>1.2405555555555612</v>
      </c>
      <c r="G25" s="13">
        <f t="shared" si="2"/>
        <v>1.2405555555555612</v>
      </c>
      <c r="H25" s="13">
        <f t="shared" si="3"/>
        <v>0</v>
      </c>
      <c r="I25"/>
      <c r="J25"/>
    </row>
    <row r="26" spans="1:13" ht="18.75" x14ac:dyDescent="0.15">
      <c r="A26" s="10">
        <f t="shared" ca="1" si="0"/>
        <v>46081.611112615697</v>
      </c>
      <c r="B26" s="5" t="s">
        <v>84</v>
      </c>
      <c r="C26" s="11">
        <v>0.61111111111111105</v>
      </c>
      <c r="D26" s="11" t="s">
        <v>62</v>
      </c>
      <c r="E26" s="11">
        <v>0.65765046296296303</v>
      </c>
      <c r="F26" s="12">
        <f t="shared" si="1"/>
        <v>1.1169444444444476</v>
      </c>
      <c r="G26" s="13">
        <f t="shared" si="2"/>
        <v>1.1169444444444476</v>
      </c>
      <c r="H26" s="13">
        <f t="shared" si="3"/>
        <v>0</v>
      </c>
      <c r="I26"/>
      <c r="J26"/>
    </row>
    <row r="27" spans="1:13" ht="18.75" x14ac:dyDescent="0.15">
      <c r="A27" s="10">
        <f t="shared" ca="1" si="0"/>
        <v>46081.751904282399</v>
      </c>
      <c r="B27" s="5" t="s">
        <v>78</v>
      </c>
      <c r="C27" s="11">
        <v>0.75201388888888898</v>
      </c>
      <c r="D27" s="11" t="s">
        <v>62</v>
      </c>
      <c r="E27" s="11">
        <v>0.83857638888888897</v>
      </c>
      <c r="F27" s="12">
        <f t="shared" si="1"/>
        <v>2.0774999999999997</v>
      </c>
      <c r="G27" s="13">
        <f t="shared" si="2"/>
        <v>2.0774999999999997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workbookViewId="0"/>
  </sheetViews>
  <sheetFormatPr defaultColWidth="9" defaultRowHeight="13.5" x14ac:dyDescent="0.15"/>
  <sheetData/>
  <phoneticPr fontId="1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>
        <f t="shared" ref="A3:A42" ca="1" si="0">IF(B3="","",IF(A3="",NOW(),A3))</f>
        <v>46054.007289351903</v>
      </c>
      <c r="B3" s="5" t="s">
        <v>80</v>
      </c>
      <c r="C3" s="11">
        <v>9.2592592592592602E-5</v>
      </c>
      <c r="D3" s="11" t="s">
        <v>62</v>
      </c>
      <c r="E3" s="11">
        <v>0.112361111111111</v>
      </c>
      <c r="F3" s="12">
        <f t="shared" ref="F3:F42" si="1">(IF(E3-C3&lt;0,"24:00"-C3+E3,E3-C3))*24</f>
        <v>2.694444444444442</v>
      </c>
      <c r="G3" s="13">
        <f t="shared" ref="G3:G42" si="2">F3-H3</f>
        <v>0</v>
      </c>
      <c r="H3" s="13">
        <f t="shared" ref="H3:H42" si="3">(IF(AND(C3&gt;=$O$3,C3&lt;$P$3,E3&gt;=$O$3,E3&lt;$P$3),E3-C3,IF(AND(C3&gt;=$O$3,C3&lt;$P$3,E3&gt;=$P$3,E3&lt;$N$3),$P$3-C3,IF(AND(C3&gt;=$P$3,C3&lt;$N$3,E3&gt;=$O$3,E3&lt;$P$3),E3,IF(AND(C3&gt;=$P$3,C3&lt;$N$3,E3&gt;=$P$3,E3&lt;$N$3),"0","none")))))*24</f>
        <v>2.694444444444442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>
        <f t="shared" ca="1" si="0"/>
        <v>46056.356476388901</v>
      </c>
      <c r="B4" s="5" t="s">
        <v>78</v>
      </c>
      <c r="C4" s="11">
        <v>0.35636574074074101</v>
      </c>
      <c r="D4" s="11" t="s">
        <v>62</v>
      </c>
      <c r="E4" s="11">
        <v>0.50609953703703703</v>
      </c>
      <c r="F4" s="12">
        <f t="shared" si="1"/>
        <v>3.5936111111111044</v>
      </c>
      <c r="G4" s="13">
        <f t="shared" si="2"/>
        <v>3.5936111111111044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40.191666666666649</v>
      </c>
      <c r="K4" s="23">
        <f>SUMIF(B:B,"西塔台管制席",G:G)+SUMIF(B:B,"东塔台管制席",G:G)</f>
        <v>20.445555555555551</v>
      </c>
      <c r="L4" s="23">
        <f>SUMIF(B:B,"西塔台管制席",H:H)+SUMIF(B:B,"东塔台管制席",H:H)</f>
        <v>19.746111111111091</v>
      </c>
      <c r="M4" s="19"/>
    </row>
    <row r="5" spans="1:16" ht="18.75" x14ac:dyDescent="0.25">
      <c r="A5" s="10">
        <f t="shared" ca="1" si="0"/>
        <v>46056.644117361102</v>
      </c>
      <c r="B5" s="5" t="s">
        <v>78</v>
      </c>
      <c r="C5" s="11">
        <v>0.64410879629629603</v>
      </c>
      <c r="D5" s="11" t="s">
        <v>62</v>
      </c>
      <c r="E5" s="11">
        <v>0.75583333333333302</v>
      </c>
      <c r="F5" s="12">
        <f t="shared" si="1"/>
        <v>2.6813888888888879</v>
      </c>
      <c r="G5" s="13">
        <f t="shared" si="2"/>
        <v>2.6813888888888879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19.533888888888896</v>
      </c>
      <c r="K5" s="23">
        <f>SUMIF(B:B,"西塔台协调席",G:G)+SUMIF(B:B,"东塔台协调席",G:G)</f>
        <v>15.40611111111113</v>
      </c>
      <c r="L5" s="23">
        <f>SUMIF(B:B,"西塔台协调席",H:H)+SUMIF(B:B,"东塔台协调席",H:H)</f>
        <v>4.1277777777777676</v>
      </c>
      <c r="M5" s="19"/>
    </row>
    <row r="6" spans="1:16" ht="18.75" x14ac:dyDescent="0.25">
      <c r="A6" s="10">
        <f t="shared" ca="1" si="0"/>
        <v>46056.874612268497</v>
      </c>
      <c r="B6" s="5" t="s">
        <v>81</v>
      </c>
      <c r="C6" s="11">
        <v>0.87460648148148101</v>
      </c>
      <c r="D6" s="11" t="s">
        <v>62</v>
      </c>
      <c r="E6" s="11">
        <v>0.96295138888888898</v>
      </c>
      <c r="F6" s="12">
        <f t="shared" si="1"/>
        <v>2.1202777777777913</v>
      </c>
      <c r="G6" s="13">
        <f t="shared" si="2"/>
        <v>2.1202777777777913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>
        <f t="shared" ca="1" si="0"/>
        <v>46057.299817013904</v>
      </c>
      <c r="B7" s="5" t="s">
        <v>80</v>
      </c>
      <c r="C7" s="11">
        <v>0.29981481481481498</v>
      </c>
      <c r="D7" s="11" t="s">
        <v>62</v>
      </c>
      <c r="E7" s="11">
        <v>0.42415509259259299</v>
      </c>
      <c r="F7" s="12">
        <f t="shared" si="1"/>
        <v>2.9841666666666722</v>
      </c>
      <c r="G7" s="13">
        <f t="shared" si="2"/>
        <v>2.1797222222222401</v>
      </c>
      <c r="H7" s="13">
        <f t="shared" si="3"/>
        <v>0.80444444444443208</v>
      </c>
      <c r="I7" s="21" t="s">
        <v>67</v>
      </c>
      <c r="J7" s="22">
        <f>SUMIF(B:B,"地面席",F:F)</f>
        <v>2.2511111111111037</v>
      </c>
      <c r="K7" s="23">
        <f>SUMIF(B:B,"地面席",G:G)</f>
        <v>0</v>
      </c>
      <c r="L7" s="23">
        <f>SUMIF(B:B,"地面席",H:H)</f>
        <v>2.2511111111111037</v>
      </c>
      <c r="M7" s="19"/>
    </row>
    <row r="8" spans="1:16" ht="18.75" x14ac:dyDescent="0.25">
      <c r="A8" s="10">
        <f t="shared" ca="1" si="0"/>
        <v>46057.504278240704</v>
      </c>
      <c r="B8" s="5" t="s">
        <v>82</v>
      </c>
      <c r="C8" s="11">
        <v>0.504270833333333</v>
      </c>
      <c r="D8" s="11" t="s">
        <v>62</v>
      </c>
      <c r="E8" s="11">
        <v>0.627152777777778</v>
      </c>
      <c r="F8" s="12">
        <f t="shared" si="1"/>
        <v>2.94916666666668</v>
      </c>
      <c r="G8" s="13">
        <f t="shared" si="2"/>
        <v>2.94916666666668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>
        <f t="shared" ca="1" si="0"/>
        <v>46057.751160648098</v>
      </c>
      <c r="B9" s="5" t="s">
        <v>80</v>
      </c>
      <c r="C9" s="11">
        <v>0.751157407407407</v>
      </c>
      <c r="D9" s="11" t="s">
        <v>62</v>
      </c>
      <c r="E9" s="11">
        <v>0.83908564814814801</v>
      </c>
      <c r="F9" s="12">
        <f t="shared" si="1"/>
        <v>2.1102777777777844</v>
      </c>
      <c r="G9" s="13">
        <f t="shared" si="2"/>
        <v>2.1102777777777844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>
        <f t="shared" ca="1" si="0"/>
        <v>46061.012336805601</v>
      </c>
      <c r="B10" s="5" t="s">
        <v>80</v>
      </c>
      <c r="C10" s="11">
        <v>1.2326388888888901E-2</v>
      </c>
      <c r="D10" s="11" t="s">
        <v>62</v>
      </c>
      <c r="E10" s="11">
        <v>0.144803240740741</v>
      </c>
      <c r="F10" s="12">
        <f t="shared" si="1"/>
        <v>3.1794444444444503</v>
      </c>
      <c r="G10" s="13">
        <f t="shared" si="2"/>
        <v>0</v>
      </c>
      <c r="H10" s="13">
        <f t="shared" si="3"/>
        <v>3.1794444444444503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>
        <f t="shared" ca="1" si="0"/>
        <v>46062.014017129601</v>
      </c>
      <c r="B11" s="5" t="s">
        <v>78</v>
      </c>
      <c r="C11" s="11">
        <v>1.4016203703703701E-2</v>
      </c>
      <c r="D11" s="11" t="s">
        <v>62</v>
      </c>
      <c r="E11" s="11">
        <v>0.14473379629629601</v>
      </c>
      <c r="F11" s="12">
        <f t="shared" si="1"/>
        <v>3.1372222222222153</v>
      </c>
      <c r="G11" s="13">
        <f t="shared" si="2"/>
        <v>0</v>
      </c>
      <c r="H11" s="13">
        <f t="shared" si="3"/>
        <v>3.1372222222222153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>
        <f t="shared" ca="1" si="0"/>
        <v>46065.138219791697</v>
      </c>
      <c r="B12" s="5" t="s">
        <v>83</v>
      </c>
      <c r="C12" s="11">
        <v>0.138217592592593</v>
      </c>
      <c r="D12" s="11" t="s">
        <v>62</v>
      </c>
      <c r="E12" s="11">
        <v>0.23201388888888899</v>
      </c>
      <c r="F12" s="12">
        <f t="shared" si="1"/>
        <v>2.2511111111111037</v>
      </c>
      <c r="G12" s="13">
        <f t="shared" si="2"/>
        <v>0</v>
      </c>
      <c r="H12" s="13">
        <f t="shared" si="3"/>
        <v>2.2511111111111037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>
        <f t="shared" ca="1" si="0"/>
        <v>46065.958306828703</v>
      </c>
      <c r="B13" s="5" t="s">
        <v>80</v>
      </c>
      <c r="C13" s="11">
        <v>0.95829861111111103</v>
      </c>
      <c r="D13" s="11" t="s">
        <v>62</v>
      </c>
      <c r="E13" s="11">
        <v>0.12512731481481501</v>
      </c>
      <c r="F13" s="12">
        <f t="shared" si="1"/>
        <v>4.0038888888888957</v>
      </c>
      <c r="G13" s="13">
        <f t="shared" si="2"/>
        <v>1.0008333333333352</v>
      </c>
      <c r="H13" s="13">
        <f t="shared" si="3"/>
        <v>3.0030555555555605</v>
      </c>
      <c r="I13" s="68" t="s">
        <v>73</v>
      </c>
      <c r="J13" s="69"/>
      <c r="K13" s="69"/>
      <c r="L13" s="69"/>
      <c r="M13" s="69"/>
    </row>
    <row r="14" spans="1:16" ht="18.75" x14ac:dyDescent="0.15">
      <c r="A14" s="10">
        <f t="shared" ca="1" si="0"/>
        <v>46068.355615624998</v>
      </c>
      <c r="B14" s="5" t="s">
        <v>82</v>
      </c>
      <c r="C14" s="11">
        <v>0.35561342592592599</v>
      </c>
      <c r="D14" s="11" t="s">
        <v>62</v>
      </c>
      <c r="E14" s="11">
        <v>0.50501157407407404</v>
      </c>
      <c r="F14" s="12">
        <f t="shared" si="1"/>
        <v>3.5855555555555534</v>
      </c>
      <c r="G14" s="13">
        <f t="shared" si="2"/>
        <v>3.5855555555555534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>
        <f t="shared" ca="1" si="0"/>
        <v>46068.667124074098</v>
      </c>
      <c r="B15" s="5" t="s">
        <v>80</v>
      </c>
      <c r="C15" s="11">
        <v>0.66711805555555603</v>
      </c>
      <c r="D15" s="11" t="s">
        <v>62</v>
      </c>
      <c r="E15" s="11">
        <v>0.73921296296296302</v>
      </c>
      <c r="F15" s="12">
        <f t="shared" si="1"/>
        <v>1.7302777777777676</v>
      </c>
      <c r="G15" s="13">
        <f t="shared" si="2"/>
        <v>1.7302777777777676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>
        <f t="shared" ca="1" si="0"/>
        <v>46068.750767245401</v>
      </c>
      <c r="B16" s="5" t="s">
        <v>80</v>
      </c>
      <c r="C16" s="11">
        <v>0.75076388888888901</v>
      </c>
      <c r="D16" s="11" t="s">
        <v>62</v>
      </c>
      <c r="E16" s="11">
        <v>0.83842592592592602</v>
      </c>
      <c r="F16" s="12">
        <f t="shared" si="1"/>
        <v>2.1038888888888883</v>
      </c>
      <c r="G16" s="13">
        <f t="shared" si="2"/>
        <v>2.1038888888888883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>
        <f t="shared" ca="1" si="0"/>
        <v>46069.2910774306</v>
      </c>
      <c r="B17" s="5" t="s">
        <v>82</v>
      </c>
      <c r="C17" s="11">
        <v>0.29107638888888898</v>
      </c>
      <c r="D17" s="11" t="s">
        <v>62</v>
      </c>
      <c r="E17" s="11">
        <v>0.48327546296296298</v>
      </c>
      <c r="F17" s="12">
        <f t="shared" si="1"/>
        <v>4.6127777777777759</v>
      </c>
      <c r="G17" s="13">
        <f t="shared" si="2"/>
        <v>3.5986111111111199</v>
      </c>
      <c r="H17" s="13">
        <f t="shared" si="3"/>
        <v>1.014166666666656</v>
      </c>
      <c r="I17" s="35" t="s">
        <v>75</v>
      </c>
      <c r="J17" s="36">
        <f>J4+J5+J6+J7+J10</f>
        <v>61.976666666666645</v>
      </c>
      <c r="K17" s="37">
        <f>K4+K5+K6+K7+K10</f>
        <v>35.851666666666681</v>
      </c>
      <c r="L17" s="38">
        <f>L4+L5+L6+L7+L10</f>
        <v>26.124999999999961</v>
      </c>
      <c r="M17" s="39"/>
    </row>
    <row r="18" spans="1:13" ht="20.25" x14ac:dyDescent="0.25">
      <c r="A18" s="10">
        <f t="shared" ca="1" si="0"/>
        <v>46069.960246990697</v>
      </c>
      <c r="B18" s="5" t="s">
        <v>80</v>
      </c>
      <c r="C18" s="11">
        <v>0.960243055555556</v>
      </c>
      <c r="D18" s="11" t="s">
        <v>62</v>
      </c>
      <c r="E18" s="11">
        <v>0.14392361111111099</v>
      </c>
      <c r="F18" s="12">
        <f t="shared" si="1"/>
        <v>4.4083333333333199</v>
      </c>
      <c r="G18" s="13">
        <f t="shared" si="2"/>
        <v>0.95416666666665595</v>
      </c>
      <c r="H18" s="13">
        <f t="shared" si="3"/>
        <v>3.4541666666666639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>
        <f t="shared" ca="1" si="0"/>
        <v>46072.503290856497</v>
      </c>
      <c r="B19" s="5" t="s">
        <v>80</v>
      </c>
      <c r="C19" s="11">
        <v>0.50328703703703703</v>
      </c>
      <c r="D19" s="11" t="s">
        <v>62</v>
      </c>
      <c r="E19" s="11">
        <v>0.63143518518518504</v>
      </c>
      <c r="F19" s="12">
        <f t="shared" si="1"/>
        <v>3.0755555555555523</v>
      </c>
      <c r="G19" s="13">
        <f t="shared" si="2"/>
        <v>3.0755555555555523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>
        <f t="shared" ca="1" si="0"/>
        <v>46072.749511574097</v>
      </c>
      <c r="B20" s="5" t="s">
        <v>82</v>
      </c>
      <c r="C20" s="11">
        <v>0.749502314814815</v>
      </c>
      <c r="D20" s="11" t="s">
        <v>62</v>
      </c>
      <c r="E20" s="11">
        <v>0.88085648148148099</v>
      </c>
      <c r="F20" s="12">
        <f t="shared" si="1"/>
        <v>3.1524999999999839</v>
      </c>
      <c r="G20" s="13">
        <f t="shared" si="2"/>
        <v>3.1524999999999839</v>
      </c>
      <c r="H20" s="13">
        <f t="shared" si="3"/>
        <v>0</v>
      </c>
      <c r="I20" s="40" t="s">
        <v>77</v>
      </c>
      <c r="J20" s="65">
        <f>J16+J17+J18+J19</f>
        <v>61.976666666666645</v>
      </c>
      <c r="K20" s="66"/>
      <c r="L20" s="67"/>
      <c r="M20" s="41"/>
    </row>
    <row r="21" spans="1:13" ht="20.25" x14ac:dyDescent="0.25">
      <c r="A21" s="10">
        <f t="shared" ca="1" si="0"/>
        <v>46074.002926736102</v>
      </c>
      <c r="B21" s="5" t="s">
        <v>82</v>
      </c>
      <c r="C21" s="11">
        <v>2.9166666666666698E-3</v>
      </c>
      <c r="D21" s="11" t="s">
        <v>62</v>
      </c>
      <c r="E21" s="11">
        <v>0.13265046296296301</v>
      </c>
      <c r="F21" s="12">
        <f t="shared" si="1"/>
        <v>3.113611111111112</v>
      </c>
      <c r="G21" s="13">
        <f t="shared" si="2"/>
        <v>0</v>
      </c>
      <c r="H21" s="13">
        <f t="shared" si="3"/>
        <v>3.113611111111112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>
        <f t="shared" ca="1" si="0"/>
        <v>46076.957674537</v>
      </c>
      <c r="B22" s="5" t="s">
        <v>80</v>
      </c>
      <c r="C22" s="11">
        <v>0.95767361111111104</v>
      </c>
      <c r="D22" s="11" t="s">
        <v>62</v>
      </c>
      <c r="E22" s="11">
        <v>0.144722222222222</v>
      </c>
      <c r="F22" s="12">
        <f t="shared" si="1"/>
        <v>4.4891666666666632</v>
      </c>
      <c r="G22" s="13">
        <f t="shared" si="2"/>
        <v>1.0158333333333349</v>
      </c>
      <c r="H22" s="13">
        <f t="shared" si="3"/>
        <v>3.4733333333333283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si="3"/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3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3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3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3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3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3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3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P42"/>
  <sheetViews>
    <sheetView topLeftCell="A66" zoomScale="85" zoomScaleNormal="85" workbookViewId="0">
      <selection activeCell="J94" sqref="J94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 t="str">
        <f t="shared" ref="A3:A42" ca="1" si="0">IF(B3="","",IF(A3="",NOW(),A3))</f>
        <v/>
      </c>
      <c r="B3" s="5"/>
      <c r="C3" s="11"/>
      <c r="D3" s="11"/>
      <c r="E3" s="11"/>
      <c r="F3" s="12">
        <f t="shared" ref="F3:F42" si="1">(IF(E3-C3&lt;0,"24:00"-C3+E3,E3-C3))*24</f>
        <v>0</v>
      </c>
      <c r="G3" s="13">
        <f t="shared" ref="G3:G42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0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42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70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 t="str">
        <f t="shared" ref="A3:A42" ca="1" si="0">IF(B3="","",IF(A3="",NOW(),A3))</f>
        <v/>
      </c>
      <c r="B3" s="5"/>
      <c r="C3" s="11"/>
      <c r="D3" s="11"/>
      <c r="E3" s="11"/>
      <c r="F3" s="12">
        <f t="shared" ref="F3:F42" si="1">(IF(E3-C3&lt;0,"24:00"-C3+E3,E3-C3))*24</f>
        <v>0</v>
      </c>
      <c r="G3" s="13">
        <f t="shared" ref="G3:G42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0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42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42"/>
  <sheetViews>
    <sheetView zoomScale="85" zoomScaleNormal="85" workbookViewId="0">
      <selection sqref="A1:K1"/>
    </sheetView>
  </sheetViews>
  <sheetFormatPr defaultColWidth="9" defaultRowHeight="13.5" x14ac:dyDescent="0.15"/>
  <cols>
    <col min="1" max="1" width="14.875" style="1" customWidth="1"/>
    <col min="2" max="2" width="19.625" customWidth="1"/>
    <col min="3" max="3" width="13.625" customWidth="1"/>
    <col min="4" max="4" width="13.5" customWidth="1"/>
    <col min="5" max="5" width="12.875" customWidth="1"/>
    <col min="6" max="6" width="13.125" style="2" customWidth="1"/>
    <col min="7" max="7" width="13.125" customWidth="1"/>
    <col min="8" max="8" width="14" style="3" customWidth="1"/>
    <col min="9" max="9" width="25.625" style="3" customWidth="1"/>
    <col min="10" max="10" width="15.5" style="4" customWidth="1"/>
    <col min="11" max="11" width="15.125" customWidth="1"/>
    <col min="14" max="14" width="9.375"/>
  </cols>
  <sheetData>
    <row r="1" spans="1:16" ht="18.75" x14ac:dyDescent="0.15">
      <c r="A1" s="62" t="s">
        <v>48</v>
      </c>
      <c r="B1" s="63"/>
      <c r="C1" s="63"/>
      <c r="D1" s="63"/>
      <c r="E1" s="63"/>
      <c r="F1" s="64"/>
      <c r="G1" s="63"/>
      <c r="H1" s="63"/>
      <c r="I1" s="63"/>
      <c r="J1" s="63"/>
      <c r="K1" s="63"/>
    </row>
    <row r="2" spans="1:16" ht="40.5" x14ac:dyDescent="0.15">
      <c r="A2" s="6" t="s">
        <v>49</v>
      </c>
      <c r="B2" s="7" t="s">
        <v>50</v>
      </c>
      <c r="C2" s="7" t="s">
        <v>51</v>
      </c>
      <c r="D2" s="7" t="s">
        <v>52</v>
      </c>
      <c r="E2" s="7" t="s">
        <v>53</v>
      </c>
      <c r="F2" s="8" t="s">
        <v>54</v>
      </c>
      <c r="G2" s="7" t="s">
        <v>55</v>
      </c>
      <c r="H2" s="9" t="s">
        <v>56</v>
      </c>
      <c r="I2" s="14" t="s">
        <v>57</v>
      </c>
      <c r="J2" s="14" t="s">
        <v>58</v>
      </c>
      <c r="K2" s="14" t="s">
        <v>55</v>
      </c>
      <c r="L2" s="15" t="s">
        <v>59</v>
      </c>
      <c r="M2" s="14" t="s">
        <v>60</v>
      </c>
    </row>
    <row r="3" spans="1:16" ht="18.75" x14ac:dyDescent="0.25">
      <c r="A3" s="10" t="str">
        <f t="shared" ref="A3:A42" ca="1" si="0">IF(B3="","",IF(A3="",NOW(),A3))</f>
        <v/>
      </c>
      <c r="B3" s="5"/>
      <c r="C3" s="11"/>
      <c r="D3" s="11"/>
      <c r="E3" s="11"/>
      <c r="F3" s="12">
        <f t="shared" ref="F3:F42" si="1">(IF(E3-C3&lt;0,"24:00"-C3+E3,E3-C3))*24</f>
        <v>0</v>
      </c>
      <c r="G3" s="13">
        <f t="shared" ref="G3:G42" si="2">F3-H3</f>
        <v>0</v>
      </c>
      <c r="H3" s="13">
        <f t="shared" ref="H3:H34" si="3">(IF(AND(C3&gt;=$O$3,C3&lt;$P$3,E3&gt;=$O$3,E3&lt;$P$3),E3-C3,IF(AND(C3&gt;=$O$3,C3&lt;$P$3,E3&gt;=$P$3,E3&lt;$N$3),$P$3-C3,IF(AND(C3&gt;=$P$3,C3&lt;$N$3,E3&gt;=$O$3,E3&lt;$P$3),E3,IF(AND(C3&gt;=$P$3,C3&lt;$N$3,E3&gt;=$P$3,E3&lt;$N$3),"0","none")))))*24</f>
        <v>0</v>
      </c>
      <c r="I3" s="16" t="s">
        <v>63</v>
      </c>
      <c r="J3" s="17">
        <f>SUMIF(B:B,"带班主任",F:F)</f>
        <v>0</v>
      </c>
      <c r="K3" s="18">
        <f>SUMIF(B:B,"带班主任",G:G)</f>
        <v>0</v>
      </c>
      <c r="L3" s="18">
        <f>SUMIF(B:B,"带班主任",H:H)</f>
        <v>0</v>
      </c>
      <c r="M3" s="19"/>
      <c r="N3" s="20">
        <v>0.99998842592592596</v>
      </c>
      <c r="O3" s="20">
        <v>0</v>
      </c>
      <c r="P3" s="20">
        <v>0.33333333333333298</v>
      </c>
    </row>
    <row r="4" spans="1:16" ht="18.75" x14ac:dyDescent="0.25">
      <c r="A4" s="10" t="str">
        <f t="shared" ca="1" si="0"/>
        <v/>
      </c>
      <c r="B4" s="5"/>
      <c r="C4" s="11"/>
      <c r="D4" s="11"/>
      <c r="E4" s="11"/>
      <c r="F4" s="12">
        <f t="shared" si="1"/>
        <v>0</v>
      </c>
      <c r="G4" s="13">
        <f t="shared" si="2"/>
        <v>0</v>
      </c>
      <c r="H4" s="13">
        <f t="shared" si="3"/>
        <v>0</v>
      </c>
      <c r="I4" s="21" t="s">
        <v>64</v>
      </c>
      <c r="J4" s="22">
        <f>SUMIF(B:B,"西塔台管制席",F:F)+SUMIF(B:B,"东塔台管制席",F:F)</f>
        <v>0</v>
      </c>
      <c r="K4" s="23">
        <f>SUMIF(B:B,"西塔台管制席",G:G)+SUMIF(B:B,"东塔台管制席",G:G)</f>
        <v>0</v>
      </c>
      <c r="L4" s="23">
        <f>SUMIF(B:B,"西塔台管制席",H:H)+SUMIF(B:B,"东塔台管制席",H:H)</f>
        <v>0</v>
      </c>
      <c r="M4" s="19"/>
    </row>
    <row r="5" spans="1:16" ht="18.75" x14ac:dyDescent="0.25">
      <c r="A5" s="10" t="str">
        <f t="shared" ca="1" si="0"/>
        <v/>
      </c>
      <c r="B5" s="5"/>
      <c r="C5" s="11"/>
      <c r="D5" s="11"/>
      <c r="E5" s="11"/>
      <c r="F5" s="12">
        <f t="shared" si="1"/>
        <v>0</v>
      </c>
      <c r="G5" s="13">
        <f t="shared" si="2"/>
        <v>0</v>
      </c>
      <c r="H5" s="13">
        <f t="shared" si="3"/>
        <v>0</v>
      </c>
      <c r="I5" s="21" t="s">
        <v>65</v>
      </c>
      <c r="J5" s="22">
        <f>SUMIF(B:B,"西塔台协调席",F:F)+SUMIF(B:B,"东塔台协调席",F:F)</f>
        <v>0</v>
      </c>
      <c r="K5" s="23">
        <f>SUMIF(B:B,"西塔台协调席",G:G)+SUMIF(B:B,"东塔台协调席",G:G)</f>
        <v>0</v>
      </c>
      <c r="L5" s="23">
        <f>SUMIF(B:B,"西塔台协调席",H:H)+SUMIF(B:B,"东塔台协调席",H:H)</f>
        <v>0</v>
      </c>
      <c r="M5" s="19"/>
    </row>
    <row r="6" spans="1:16" ht="18.75" x14ac:dyDescent="0.25">
      <c r="A6" s="10" t="str">
        <f t="shared" ca="1" si="0"/>
        <v/>
      </c>
      <c r="B6" s="5"/>
      <c r="C6" s="11"/>
      <c r="D6" s="11"/>
      <c r="E6" s="11"/>
      <c r="F6" s="12">
        <f t="shared" si="1"/>
        <v>0</v>
      </c>
      <c r="G6" s="13">
        <f t="shared" si="2"/>
        <v>0</v>
      </c>
      <c r="H6" s="13">
        <f t="shared" si="3"/>
        <v>0</v>
      </c>
      <c r="I6" s="21" t="s">
        <v>66</v>
      </c>
      <c r="J6" s="22">
        <f>SUMIF(B:B,"放行席",F:F)</f>
        <v>0</v>
      </c>
      <c r="K6" s="23">
        <f>SUMIF(B:B,"放行席",G:G)</f>
        <v>0</v>
      </c>
      <c r="L6" s="23">
        <f>SUMIF(B:B,"放行席",H:H)</f>
        <v>0</v>
      </c>
      <c r="M6" s="19"/>
    </row>
    <row r="7" spans="1:16" ht="18.75" x14ac:dyDescent="0.25">
      <c r="A7" s="10" t="str">
        <f t="shared" ca="1" si="0"/>
        <v/>
      </c>
      <c r="B7" s="5"/>
      <c r="C7" s="11"/>
      <c r="D7" s="11"/>
      <c r="E7" s="11"/>
      <c r="F7" s="12">
        <f t="shared" si="1"/>
        <v>0</v>
      </c>
      <c r="G7" s="13">
        <f t="shared" si="2"/>
        <v>0</v>
      </c>
      <c r="H7" s="13">
        <f t="shared" si="3"/>
        <v>0</v>
      </c>
      <c r="I7" s="21" t="s">
        <v>67</v>
      </c>
      <c r="J7" s="22">
        <f>SUMIF(B:B,"地面席",F:F)</f>
        <v>0</v>
      </c>
      <c r="K7" s="23">
        <f>SUMIF(B:B,"地面席",G:G)</f>
        <v>0</v>
      </c>
      <c r="L7" s="23">
        <f>SUMIF(B:B,"地面席",H:H)</f>
        <v>0</v>
      </c>
      <c r="M7" s="19"/>
    </row>
    <row r="8" spans="1:16" ht="18.75" x14ac:dyDescent="0.25">
      <c r="A8" s="10" t="str">
        <f t="shared" ca="1" si="0"/>
        <v/>
      </c>
      <c r="B8" s="5"/>
      <c r="C8" s="11"/>
      <c r="D8" s="11"/>
      <c r="E8" s="11"/>
      <c r="F8" s="12">
        <f t="shared" si="1"/>
        <v>0</v>
      </c>
      <c r="G8" s="13">
        <f t="shared" si="2"/>
        <v>0</v>
      </c>
      <c r="H8" s="13">
        <f t="shared" si="3"/>
        <v>0</v>
      </c>
      <c r="I8" s="21" t="s">
        <v>68</v>
      </c>
      <c r="J8" s="22">
        <f>SUMIF(B:B,"生产调度席",F:F)</f>
        <v>0</v>
      </c>
      <c r="K8" s="23">
        <f>SUMIF(B:B,"生产调度席",G:G)</f>
        <v>0</v>
      </c>
      <c r="L8" s="23">
        <f>SUMIF(B:B,"生产调度席",H:H)</f>
        <v>0</v>
      </c>
      <c r="M8" s="19"/>
    </row>
    <row r="9" spans="1:16" ht="18.75" x14ac:dyDescent="0.25">
      <c r="A9" s="10" t="str">
        <f t="shared" ca="1" si="0"/>
        <v/>
      </c>
      <c r="B9" s="5"/>
      <c r="C9" s="11"/>
      <c r="D9" s="11"/>
      <c r="E9" s="11"/>
      <c r="F9" s="12">
        <f t="shared" si="1"/>
        <v>0</v>
      </c>
      <c r="G9" s="13">
        <f t="shared" si="2"/>
        <v>0</v>
      </c>
      <c r="H9" s="13">
        <f t="shared" si="3"/>
        <v>0</v>
      </c>
      <c r="I9" s="21" t="s">
        <v>69</v>
      </c>
      <c r="J9" s="22">
        <f>SUMIF(B:B,"航班调度席",F:F)</f>
        <v>0</v>
      </c>
      <c r="K9" s="23">
        <f>SUMIF(B:B,"航班调度席",G:G)</f>
        <v>0</v>
      </c>
      <c r="L9" s="23">
        <f>SUMIF(B:B,"航班调度席",H:H)</f>
        <v>0</v>
      </c>
      <c r="M9" s="19"/>
    </row>
    <row r="10" spans="1:16" ht="18.75" x14ac:dyDescent="0.25">
      <c r="A10" s="10" t="str">
        <f t="shared" ca="1" si="0"/>
        <v/>
      </c>
      <c r="B10" s="5"/>
      <c r="C10" s="11"/>
      <c r="D10" s="11"/>
      <c r="E10" s="11"/>
      <c r="F10" s="12">
        <f t="shared" si="1"/>
        <v>0</v>
      </c>
      <c r="G10" s="13">
        <f t="shared" si="2"/>
        <v>0</v>
      </c>
      <c r="H10" s="13">
        <f t="shared" si="3"/>
        <v>0</v>
      </c>
      <c r="I10" s="21" t="s">
        <v>70</v>
      </c>
      <c r="J10" s="22">
        <f>SUMIF(B:B,"综合协调席",F:F)</f>
        <v>0</v>
      </c>
      <c r="K10" s="23">
        <f>SUMIF(B:B,"综合协调席",G:G)</f>
        <v>0</v>
      </c>
      <c r="L10" s="23">
        <f>SUMIF(B:B,"综合协调席",H:H)</f>
        <v>0</v>
      </c>
      <c r="M10" s="19"/>
    </row>
    <row r="11" spans="1:16" ht="18.75" x14ac:dyDescent="0.25">
      <c r="A11" s="10" t="str">
        <f t="shared" ca="1" si="0"/>
        <v/>
      </c>
      <c r="B11" s="5"/>
      <c r="C11" s="11"/>
      <c r="D11" s="11"/>
      <c r="E11" s="11"/>
      <c r="F11" s="12">
        <f t="shared" si="1"/>
        <v>0</v>
      </c>
      <c r="G11" s="13">
        <f t="shared" si="2"/>
        <v>0</v>
      </c>
      <c r="H11" s="13">
        <f t="shared" si="3"/>
        <v>0</v>
      </c>
      <c r="I11" s="24" t="s">
        <v>71</v>
      </c>
      <c r="J11" s="25">
        <f>SUMIF(B:B,"见习管制员",F:F)</f>
        <v>0</v>
      </c>
      <c r="K11" s="26">
        <f>SUMIF(B:B,"见习管制员",G:G)</f>
        <v>0</v>
      </c>
      <c r="L11" s="26">
        <f>SUMIF(B:B,"见习管制员",H:H)</f>
        <v>0</v>
      </c>
      <c r="M11" s="19"/>
    </row>
    <row r="12" spans="1:16" ht="18.75" x14ac:dyDescent="0.25">
      <c r="A12" s="10" t="str">
        <f t="shared" ca="1" si="0"/>
        <v/>
      </c>
      <c r="B12" s="5"/>
      <c r="C12" s="11"/>
      <c r="D12" s="11"/>
      <c r="E12" s="11"/>
      <c r="F12" s="12">
        <f t="shared" si="1"/>
        <v>0</v>
      </c>
      <c r="G12" s="13">
        <f t="shared" si="2"/>
        <v>0</v>
      </c>
      <c r="H12" s="13">
        <f t="shared" si="3"/>
        <v>0</v>
      </c>
      <c r="I12" s="27" t="s">
        <v>72</v>
      </c>
      <c r="J12" s="28">
        <f>SUMIF(B:B,"管制教员席",F:F)</f>
        <v>0</v>
      </c>
      <c r="K12" s="29">
        <f>SUMIF(B:B,"管制教员席",G:G)</f>
        <v>0</v>
      </c>
      <c r="L12" s="29">
        <f>SUMIF(B:B,"管制教员席",H:H)</f>
        <v>0</v>
      </c>
      <c r="M12" s="19"/>
    </row>
    <row r="13" spans="1:16" ht="18.75" x14ac:dyDescent="0.15">
      <c r="A13" s="10" t="str">
        <f t="shared" ca="1" si="0"/>
        <v/>
      </c>
      <c r="B13" s="5"/>
      <c r="C13" s="11"/>
      <c r="D13" s="11"/>
      <c r="E13" s="11"/>
      <c r="F13" s="12">
        <f t="shared" si="1"/>
        <v>0</v>
      </c>
      <c r="G13" s="13">
        <f t="shared" si="2"/>
        <v>0</v>
      </c>
      <c r="H13" s="13">
        <f t="shared" si="3"/>
        <v>0</v>
      </c>
      <c r="I13" s="68" t="s">
        <v>73</v>
      </c>
      <c r="J13" s="69"/>
      <c r="K13" s="69"/>
      <c r="L13" s="69"/>
      <c r="M13" s="69"/>
    </row>
    <row r="14" spans="1:16" ht="18.75" x14ac:dyDescent="0.15">
      <c r="A14" s="10" t="str">
        <f t="shared" ca="1" si="0"/>
        <v/>
      </c>
      <c r="B14" s="5"/>
      <c r="C14" s="11"/>
      <c r="D14" s="11"/>
      <c r="E14" s="11"/>
      <c r="F14" s="12">
        <f t="shared" si="1"/>
        <v>0</v>
      </c>
      <c r="G14" s="13">
        <f t="shared" si="2"/>
        <v>0</v>
      </c>
      <c r="H14" s="13">
        <f t="shared" si="3"/>
        <v>0</v>
      </c>
      <c r="I14" s="69"/>
      <c r="J14" s="69"/>
      <c r="K14" s="69"/>
      <c r="L14" s="69"/>
      <c r="M14" s="69"/>
    </row>
    <row r="15" spans="1:16" ht="101.25" x14ac:dyDescent="0.15">
      <c r="A15" s="10" t="str">
        <f t="shared" ca="1" si="0"/>
        <v/>
      </c>
      <c r="B15" s="5"/>
      <c r="C15" s="11"/>
      <c r="D15" s="11"/>
      <c r="E15" s="11"/>
      <c r="F15" s="12">
        <f t="shared" si="1"/>
        <v>0</v>
      </c>
      <c r="G15" s="13">
        <f t="shared" si="2"/>
        <v>0</v>
      </c>
      <c r="H15" s="13">
        <f t="shared" si="3"/>
        <v>0</v>
      </c>
      <c r="I15" s="30" t="s">
        <v>74</v>
      </c>
      <c r="J15" s="31" t="s">
        <v>58</v>
      </c>
      <c r="K15" s="32" t="s">
        <v>55</v>
      </c>
      <c r="L15" s="33" t="s">
        <v>59</v>
      </c>
      <c r="M15" s="34" t="s">
        <v>60</v>
      </c>
    </row>
    <row r="16" spans="1:16" ht="20.25" x14ac:dyDescent="0.25">
      <c r="A16" s="10" t="str">
        <f t="shared" ca="1" si="0"/>
        <v/>
      </c>
      <c r="B16" s="5"/>
      <c r="C16" s="11"/>
      <c r="D16" s="11"/>
      <c r="E16" s="11"/>
      <c r="F16" s="12">
        <f t="shared" si="1"/>
        <v>0</v>
      </c>
      <c r="G16" s="13">
        <f t="shared" si="2"/>
        <v>0</v>
      </c>
      <c r="H16" s="13">
        <f t="shared" si="3"/>
        <v>0</v>
      </c>
      <c r="I16" s="35" t="s">
        <v>63</v>
      </c>
      <c r="J16" s="36">
        <f t="shared" ref="J16:L16" si="4">J3</f>
        <v>0</v>
      </c>
      <c r="K16" s="37">
        <f t="shared" si="4"/>
        <v>0</v>
      </c>
      <c r="L16" s="38">
        <f t="shared" si="4"/>
        <v>0</v>
      </c>
      <c r="M16" s="39"/>
    </row>
    <row r="17" spans="1:13" ht="20.25" x14ac:dyDescent="0.25">
      <c r="A17" s="10" t="str">
        <f t="shared" ca="1" si="0"/>
        <v/>
      </c>
      <c r="B17" s="5"/>
      <c r="C17" s="11"/>
      <c r="D17" s="11"/>
      <c r="E17" s="11"/>
      <c r="F17" s="12">
        <f t="shared" si="1"/>
        <v>0</v>
      </c>
      <c r="G17" s="13">
        <f t="shared" si="2"/>
        <v>0</v>
      </c>
      <c r="H17" s="13">
        <f t="shared" si="3"/>
        <v>0</v>
      </c>
      <c r="I17" s="35" t="s">
        <v>75</v>
      </c>
      <c r="J17" s="36">
        <f>J4+J5+J6+J7+J10</f>
        <v>0</v>
      </c>
      <c r="K17" s="37">
        <f>K4+K5+K6+K7+K10</f>
        <v>0</v>
      </c>
      <c r="L17" s="38">
        <f>L4+L5+L6+L7+L10</f>
        <v>0</v>
      </c>
      <c r="M17" s="39"/>
    </row>
    <row r="18" spans="1:13" ht="20.25" x14ac:dyDescent="0.25">
      <c r="A18" s="10" t="str">
        <f t="shared" ca="1" si="0"/>
        <v/>
      </c>
      <c r="B18" s="5"/>
      <c r="C18" s="11"/>
      <c r="D18" s="11"/>
      <c r="E18" s="11"/>
      <c r="F18" s="12">
        <f t="shared" si="1"/>
        <v>0</v>
      </c>
      <c r="G18" s="13">
        <f t="shared" si="2"/>
        <v>0</v>
      </c>
      <c r="H18" s="13">
        <f t="shared" si="3"/>
        <v>0</v>
      </c>
      <c r="I18" s="35" t="s">
        <v>71</v>
      </c>
      <c r="J18" s="36">
        <f t="shared" ref="J18:L18" si="5">J11</f>
        <v>0</v>
      </c>
      <c r="K18" s="37">
        <f t="shared" si="5"/>
        <v>0</v>
      </c>
      <c r="L18" s="38">
        <f t="shared" si="5"/>
        <v>0</v>
      </c>
      <c r="M18" s="39"/>
    </row>
    <row r="19" spans="1:13" ht="20.25" x14ac:dyDescent="0.25">
      <c r="A19" s="10" t="str">
        <f t="shared" ca="1" si="0"/>
        <v/>
      </c>
      <c r="B19" s="5"/>
      <c r="C19" s="11"/>
      <c r="D19" s="11"/>
      <c r="E19" s="11"/>
      <c r="F19" s="12">
        <f t="shared" si="1"/>
        <v>0</v>
      </c>
      <c r="G19" s="13">
        <f t="shared" si="2"/>
        <v>0</v>
      </c>
      <c r="H19" s="13">
        <f t="shared" si="3"/>
        <v>0</v>
      </c>
      <c r="I19" s="35" t="s">
        <v>76</v>
      </c>
      <c r="J19" s="36">
        <f t="shared" ref="J19:L19" si="6">J12</f>
        <v>0</v>
      </c>
      <c r="K19" s="37">
        <f t="shared" si="6"/>
        <v>0</v>
      </c>
      <c r="L19" s="38">
        <f t="shared" si="6"/>
        <v>0</v>
      </c>
      <c r="M19" s="39"/>
    </row>
    <row r="20" spans="1:13" ht="20.25" x14ac:dyDescent="0.15">
      <c r="A20" s="10" t="str">
        <f t="shared" ca="1" si="0"/>
        <v/>
      </c>
      <c r="B20" s="5"/>
      <c r="C20" s="11"/>
      <c r="D20" s="11"/>
      <c r="E20" s="11"/>
      <c r="F20" s="12">
        <f t="shared" si="1"/>
        <v>0</v>
      </c>
      <c r="G20" s="13">
        <f t="shared" si="2"/>
        <v>0</v>
      </c>
      <c r="H20" s="13">
        <f t="shared" si="3"/>
        <v>0</v>
      </c>
      <c r="I20" s="40" t="s">
        <v>77</v>
      </c>
      <c r="J20" s="65">
        <f>J16+J17+J18+J19</f>
        <v>0</v>
      </c>
      <c r="K20" s="66"/>
      <c r="L20" s="67"/>
      <c r="M20" s="41"/>
    </row>
    <row r="21" spans="1:13" ht="20.25" x14ac:dyDescent="0.25">
      <c r="A21" s="10" t="str">
        <f t="shared" ca="1" si="0"/>
        <v/>
      </c>
      <c r="B21" s="5"/>
      <c r="C21" s="11"/>
      <c r="D21" s="11"/>
      <c r="E21" s="11"/>
      <c r="F21" s="12">
        <f t="shared" si="1"/>
        <v>0</v>
      </c>
      <c r="G21" s="13">
        <f t="shared" si="2"/>
        <v>0</v>
      </c>
      <c r="H21" s="13">
        <f t="shared" si="3"/>
        <v>0</v>
      </c>
      <c r="I21" s="42" t="s">
        <v>4</v>
      </c>
      <c r="J21" s="43">
        <f>SUM(J8:J9)</f>
        <v>0</v>
      </c>
      <c r="K21" s="37">
        <f>SUM(K8:K9)</f>
        <v>0</v>
      </c>
      <c r="L21" s="38">
        <f>SUM(L8:L9)</f>
        <v>0</v>
      </c>
      <c r="M21" s="44"/>
    </row>
    <row r="22" spans="1:13" ht="18.75" x14ac:dyDescent="0.15">
      <c r="A22" s="10" t="str">
        <f t="shared" ca="1" si="0"/>
        <v/>
      </c>
      <c r="B22" s="5"/>
      <c r="C22" s="11"/>
      <c r="D22" s="11"/>
      <c r="E22" s="11"/>
      <c r="F22" s="12">
        <f t="shared" si="1"/>
        <v>0</v>
      </c>
      <c r="G22" s="13">
        <f t="shared" si="2"/>
        <v>0</v>
      </c>
      <c r="H22" s="13">
        <f t="shared" si="3"/>
        <v>0</v>
      </c>
      <c r="I22"/>
      <c r="J22"/>
    </row>
    <row r="23" spans="1:13" ht="18.75" x14ac:dyDescent="0.15">
      <c r="A23" s="10" t="str">
        <f t="shared" ca="1" si="0"/>
        <v/>
      </c>
      <c r="B23" s="5"/>
      <c r="C23" s="11"/>
      <c r="D23" s="11"/>
      <c r="E23" s="11"/>
      <c r="F23" s="12">
        <f t="shared" si="1"/>
        <v>0</v>
      </c>
      <c r="G23" s="13">
        <f t="shared" si="2"/>
        <v>0</v>
      </c>
      <c r="H23" s="13">
        <f t="shared" si="3"/>
        <v>0</v>
      </c>
      <c r="I23"/>
      <c r="J23"/>
    </row>
    <row r="24" spans="1:13" ht="18.75" x14ac:dyDescent="0.15">
      <c r="A24" s="10" t="str">
        <f t="shared" ca="1" si="0"/>
        <v/>
      </c>
      <c r="B24" s="5"/>
      <c r="C24" s="11"/>
      <c r="D24" s="11"/>
      <c r="E24" s="11"/>
      <c r="F24" s="12">
        <f t="shared" si="1"/>
        <v>0</v>
      </c>
      <c r="G24" s="13">
        <f t="shared" si="2"/>
        <v>0</v>
      </c>
      <c r="H24" s="13">
        <f t="shared" si="3"/>
        <v>0</v>
      </c>
      <c r="I24"/>
      <c r="J24"/>
    </row>
    <row r="25" spans="1:13" ht="18.75" x14ac:dyDescent="0.15">
      <c r="A25" s="10" t="str">
        <f t="shared" ca="1" si="0"/>
        <v/>
      </c>
      <c r="B25" s="5"/>
      <c r="C25" s="11"/>
      <c r="D25" s="11"/>
      <c r="E25" s="11"/>
      <c r="F25" s="12">
        <f t="shared" si="1"/>
        <v>0</v>
      </c>
      <c r="G25" s="13">
        <f t="shared" si="2"/>
        <v>0</v>
      </c>
      <c r="H25" s="13">
        <f t="shared" si="3"/>
        <v>0</v>
      </c>
      <c r="I25"/>
      <c r="J25"/>
    </row>
    <row r="26" spans="1:13" ht="18.75" x14ac:dyDescent="0.15">
      <c r="A26" s="10" t="str">
        <f t="shared" ca="1" si="0"/>
        <v/>
      </c>
      <c r="B26" s="5"/>
      <c r="C26" s="11"/>
      <c r="D26" s="11"/>
      <c r="E26" s="11"/>
      <c r="F26" s="12">
        <f t="shared" si="1"/>
        <v>0</v>
      </c>
      <c r="G26" s="13">
        <f t="shared" si="2"/>
        <v>0</v>
      </c>
      <c r="H26" s="13">
        <f t="shared" si="3"/>
        <v>0</v>
      </c>
      <c r="I26"/>
      <c r="J26"/>
    </row>
    <row r="27" spans="1:13" ht="18.75" x14ac:dyDescent="0.15">
      <c r="A27" s="10" t="str">
        <f t="shared" ca="1" si="0"/>
        <v/>
      </c>
      <c r="B27" s="5"/>
      <c r="C27" s="11"/>
      <c r="D27" s="11"/>
      <c r="E27" s="11"/>
      <c r="F27" s="12">
        <f t="shared" si="1"/>
        <v>0</v>
      </c>
      <c r="G27" s="13">
        <f t="shared" si="2"/>
        <v>0</v>
      </c>
      <c r="H27" s="13">
        <f t="shared" si="3"/>
        <v>0</v>
      </c>
      <c r="I27"/>
      <c r="J27"/>
    </row>
    <row r="28" spans="1:13" ht="18.75" x14ac:dyDescent="0.15">
      <c r="A28" s="10" t="str">
        <f t="shared" ca="1" si="0"/>
        <v/>
      </c>
      <c r="B28" s="5"/>
      <c r="C28" s="11"/>
      <c r="D28" s="11"/>
      <c r="E28" s="11"/>
      <c r="F28" s="12">
        <f t="shared" si="1"/>
        <v>0</v>
      </c>
      <c r="G28" s="13">
        <f t="shared" si="2"/>
        <v>0</v>
      </c>
      <c r="H28" s="13">
        <f t="shared" si="3"/>
        <v>0</v>
      </c>
      <c r="I28"/>
      <c r="J28"/>
    </row>
    <row r="29" spans="1:13" ht="18.75" x14ac:dyDescent="0.15">
      <c r="A29" s="10" t="str">
        <f t="shared" ca="1" si="0"/>
        <v/>
      </c>
      <c r="B29" s="5"/>
      <c r="C29" s="11"/>
      <c r="D29" s="11"/>
      <c r="E29" s="11"/>
      <c r="F29" s="12">
        <f t="shared" si="1"/>
        <v>0</v>
      </c>
      <c r="G29" s="13">
        <f t="shared" si="2"/>
        <v>0</v>
      </c>
      <c r="H29" s="13">
        <f t="shared" si="3"/>
        <v>0</v>
      </c>
      <c r="I29"/>
      <c r="J29"/>
    </row>
    <row r="30" spans="1:13" ht="18.75" x14ac:dyDescent="0.15">
      <c r="A30" s="10" t="str">
        <f t="shared" ca="1" si="0"/>
        <v/>
      </c>
      <c r="B30" s="5"/>
      <c r="C30" s="11"/>
      <c r="D30" s="11"/>
      <c r="E30" s="11"/>
      <c r="F30" s="12">
        <f t="shared" si="1"/>
        <v>0</v>
      </c>
      <c r="G30" s="13">
        <f t="shared" si="2"/>
        <v>0</v>
      </c>
      <c r="H30" s="13">
        <f t="shared" si="3"/>
        <v>0</v>
      </c>
      <c r="I30"/>
      <c r="J30"/>
    </row>
    <row r="31" spans="1:13" ht="18.75" x14ac:dyDescent="0.15">
      <c r="A31" s="10" t="str">
        <f t="shared" ca="1" si="0"/>
        <v/>
      </c>
      <c r="B31" s="5"/>
      <c r="C31" s="11"/>
      <c r="D31" s="11"/>
      <c r="E31" s="11"/>
      <c r="F31" s="12">
        <f t="shared" si="1"/>
        <v>0</v>
      </c>
      <c r="G31" s="13">
        <f t="shared" si="2"/>
        <v>0</v>
      </c>
      <c r="H31" s="13">
        <f t="shared" si="3"/>
        <v>0</v>
      </c>
      <c r="I31"/>
      <c r="J31"/>
    </row>
    <row r="32" spans="1:13" ht="18.75" x14ac:dyDescent="0.15">
      <c r="A32" s="10" t="str">
        <f t="shared" ca="1" si="0"/>
        <v/>
      </c>
      <c r="B32" s="5"/>
      <c r="C32" s="11"/>
      <c r="D32" s="11"/>
      <c r="E32" s="11"/>
      <c r="F32" s="12">
        <f t="shared" si="1"/>
        <v>0</v>
      </c>
      <c r="G32" s="13">
        <f t="shared" si="2"/>
        <v>0</v>
      </c>
      <c r="H32" s="13">
        <f t="shared" si="3"/>
        <v>0</v>
      </c>
      <c r="I32"/>
      <c r="J32"/>
    </row>
    <row r="33" spans="1:11" ht="18.75" x14ac:dyDescent="0.15">
      <c r="A33" s="10" t="str">
        <f t="shared" ca="1" si="0"/>
        <v/>
      </c>
      <c r="B33" s="5"/>
      <c r="C33" s="11"/>
      <c r="D33" s="11"/>
      <c r="E33" s="11"/>
      <c r="F33" s="12">
        <f t="shared" si="1"/>
        <v>0</v>
      </c>
      <c r="G33" s="13">
        <f t="shared" si="2"/>
        <v>0</v>
      </c>
      <c r="H33" s="13">
        <f t="shared" si="3"/>
        <v>0</v>
      </c>
      <c r="I33"/>
      <c r="J33"/>
    </row>
    <row r="34" spans="1:11" ht="18.75" x14ac:dyDescent="0.15">
      <c r="A34" s="10" t="str">
        <f t="shared" ca="1" si="0"/>
        <v/>
      </c>
      <c r="B34" s="5"/>
      <c r="C34" s="11"/>
      <c r="D34" s="11"/>
      <c r="E34" s="11"/>
      <c r="F34" s="12">
        <f t="shared" si="1"/>
        <v>0</v>
      </c>
      <c r="G34" s="13">
        <f t="shared" si="2"/>
        <v>0</v>
      </c>
      <c r="H34" s="13">
        <f t="shared" si="3"/>
        <v>0</v>
      </c>
      <c r="I34"/>
      <c r="J34"/>
    </row>
    <row r="35" spans="1:11" ht="18.75" x14ac:dyDescent="0.15">
      <c r="A35" s="10" t="str">
        <f t="shared" ca="1" si="0"/>
        <v/>
      </c>
      <c r="B35" s="5"/>
      <c r="C35" s="11"/>
      <c r="D35" s="11"/>
      <c r="E35" s="11"/>
      <c r="F35" s="12">
        <f t="shared" si="1"/>
        <v>0</v>
      </c>
      <c r="G35" s="13">
        <f t="shared" si="2"/>
        <v>0</v>
      </c>
      <c r="H35" s="13">
        <f t="shared" ref="H35:H42" si="7">(IF(AND(C35&gt;=$O$3,C35&lt;$P$3,E35&gt;=$O$3,E35&lt;$P$3),E35-C35,IF(AND(C35&gt;=$O$3,C35&lt;$P$3,E35&gt;=$P$3,E35&lt;$N$3),$P$3-C35,IF(AND(C35&gt;=$P$3,C35&lt;$N$3,E35&gt;=$O$3,E35&lt;$P$3),E35,IF(AND(C35&gt;=$P$3,C35&lt;$N$3,E35&gt;=$P$3,E35&lt;$N$3),"0","none")))))*24</f>
        <v>0</v>
      </c>
      <c r="I35"/>
      <c r="J35"/>
    </row>
    <row r="36" spans="1:11" ht="18.75" x14ac:dyDescent="0.15">
      <c r="A36" s="10" t="str">
        <f t="shared" ca="1" si="0"/>
        <v/>
      </c>
      <c r="B36" s="5"/>
      <c r="C36" s="11"/>
      <c r="D36" s="11"/>
      <c r="E36" s="11"/>
      <c r="F36" s="12">
        <f t="shared" si="1"/>
        <v>0</v>
      </c>
      <c r="G36" s="13">
        <f t="shared" si="2"/>
        <v>0</v>
      </c>
      <c r="H36" s="13">
        <f t="shared" si="7"/>
        <v>0</v>
      </c>
      <c r="I36"/>
      <c r="J36"/>
    </row>
    <row r="37" spans="1:11" ht="18.75" x14ac:dyDescent="0.15">
      <c r="A37" s="10" t="str">
        <f t="shared" ca="1" si="0"/>
        <v/>
      </c>
      <c r="B37" s="5"/>
      <c r="C37" s="11"/>
      <c r="D37" s="11"/>
      <c r="E37" s="11"/>
      <c r="F37" s="12">
        <f t="shared" si="1"/>
        <v>0</v>
      </c>
      <c r="G37" s="13">
        <f t="shared" si="2"/>
        <v>0</v>
      </c>
      <c r="H37" s="13">
        <f t="shared" si="7"/>
        <v>0</v>
      </c>
      <c r="I37"/>
      <c r="J37"/>
    </row>
    <row r="38" spans="1:11" ht="18.75" x14ac:dyDescent="0.15">
      <c r="A38" s="10" t="str">
        <f t="shared" ca="1" si="0"/>
        <v/>
      </c>
      <c r="B38" s="5"/>
      <c r="C38" s="11"/>
      <c r="D38" s="11"/>
      <c r="E38" s="11"/>
      <c r="F38" s="12">
        <f t="shared" si="1"/>
        <v>0</v>
      </c>
      <c r="G38" s="13">
        <f t="shared" si="2"/>
        <v>0</v>
      </c>
      <c r="H38" s="13">
        <f t="shared" si="7"/>
        <v>0</v>
      </c>
      <c r="I38" s="45"/>
      <c r="J38" s="46"/>
      <c r="K38" s="11"/>
    </row>
    <row r="39" spans="1:11" ht="18.75" x14ac:dyDescent="0.15">
      <c r="A39" s="10" t="str">
        <f t="shared" ca="1" si="0"/>
        <v/>
      </c>
      <c r="B39" s="5"/>
      <c r="C39" s="11"/>
      <c r="D39" s="11"/>
      <c r="E39" s="11"/>
      <c r="F39" s="12">
        <f t="shared" si="1"/>
        <v>0</v>
      </c>
      <c r="G39" s="13">
        <f t="shared" si="2"/>
        <v>0</v>
      </c>
      <c r="H39" s="13">
        <f t="shared" si="7"/>
        <v>0</v>
      </c>
      <c r="I39" s="45"/>
      <c r="J39" s="46"/>
      <c r="K39" s="11"/>
    </row>
    <row r="40" spans="1:11" ht="18.75" x14ac:dyDescent="0.15">
      <c r="A40" s="10" t="str">
        <f t="shared" ca="1" si="0"/>
        <v/>
      </c>
      <c r="B40" s="5"/>
      <c r="C40" s="11"/>
      <c r="D40" s="11"/>
      <c r="E40" s="11"/>
      <c r="F40" s="12">
        <f t="shared" si="1"/>
        <v>0</v>
      </c>
      <c r="G40" s="13">
        <f t="shared" si="2"/>
        <v>0</v>
      </c>
      <c r="H40" s="13">
        <f t="shared" si="7"/>
        <v>0</v>
      </c>
      <c r="I40" s="45"/>
      <c r="J40" s="46"/>
      <c r="K40" s="11"/>
    </row>
    <row r="41" spans="1:11" ht="18.75" x14ac:dyDescent="0.15">
      <c r="A41" s="10" t="str">
        <f t="shared" ca="1" si="0"/>
        <v/>
      </c>
      <c r="B41" s="5"/>
      <c r="C41" s="11"/>
      <c r="D41" s="11"/>
      <c r="E41" s="11"/>
      <c r="F41" s="12">
        <f t="shared" si="1"/>
        <v>0</v>
      </c>
      <c r="G41" s="13">
        <f t="shared" si="2"/>
        <v>0</v>
      </c>
      <c r="H41" s="13">
        <f t="shared" si="7"/>
        <v>0</v>
      </c>
      <c r="I41" s="45"/>
      <c r="J41" s="46"/>
      <c r="K41" s="11"/>
    </row>
    <row r="42" spans="1:11" ht="18.75" x14ac:dyDescent="0.15">
      <c r="A42" s="10" t="str">
        <f t="shared" ca="1" si="0"/>
        <v/>
      </c>
      <c r="B42" s="5"/>
      <c r="C42" s="11"/>
      <c r="D42" s="11"/>
      <c r="E42" s="11"/>
      <c r="F42" s="12">
        <f t="shared" si="1"/>
        <v>0</v>
      </c>
      <c r="G42" s="13">
        <f t="shared" si="2"/>
        <v>0</v>
      </c>
      <c r="H42" s="13">
        <f t="shared" si="7"/>
        <v>0</v>
      </c>
      <c r="I42" s="45"/>
      <c r="J42" s="46"/>
      <c r="K42" s="11"/>
    </row>
  </sheetData>
  <autoFilter ref="A2:K42"/>
  <mergeCells count="3">
    <mergeCell ref="A1:K1"/>
    <mergeCell ref="J20:L20"/>
    <mergeCell ref="I13:M14"/>
  </mergeCells>
  <phoneticPr fontId="17" type="noConversion"/>
  <dataValidations count="3">
    <dataValidation type="list" allowBlank="1" showInputMessage="1" showErrorMessage="1" sqref="D3:D42">
      <formula1>"完成"</formula1>
    </dataValidation>
    <dataValidation type="list" allowBlank="1" showInputMessage="1" showErrorMessage="1" sqref="K38:K42">
      <formula1>"复杂天气双带班,复杂天气增加席位,军方活动双带班,军方活动增加席位,其它原因增加席位"</formula1>
    </dataValidation>
    <dataValidation type="list" allowBlank="1" showInputMessage="1" showErrorMessage="1" sqref="B1:B1048576">
      <formula1>"带班主任,西塔台管制席,西塔台协调席,东塔台管制席,东塔台协调席,放行席,生产调度席,航班调度席,地面席,管制教员席,见习管制员,综合协调席"</formula1>
    </dataValidation>
  </dataValidations>
  <hyperlinks>
    <hyperlink ref="A1" location="'Sheet1'!A1" display="返回目录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workbookViewId="0"/>
  </sheetViews>
  <sheetFormatPr defaultColWidth="9" defaultRowHeight="13.5" x14ac:dyDescent="0.15"/>
  <sheetData/>
  <phoneticPr fontId="1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workbookViewId="0"/>
  </sheetViews>
  <sheetFormatPr defaultColWidth="9" defaultRowHeight="13.5" x14ac:dyDescent="0.15"/>
  <sheetData/>
  <phoneticPr fontId="17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workbookViewId="0"/>
  </sheetViews>
  <sheetFormatPr defaultColWidth="9" defaultRowHeight="13.5" x14ac:dyDescent="0.15"/>
  <sheetData/>
  <phoneticPr fontId="1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47</vt:i4>
      </vt:variant>
    </vt:vector>
  </HeadingPairs>
  <TitlesOfParts>
    <vt:vector size="47" baseType="lpstr">
      <vt:lpstr>sheet1</vt:lpstr>
      <vt:lpstr>温若春</vt:lpstr>
      <vt:lpstr>明嘉</vt:lpstr>
      <vt:lpstr>徐万友</vt:lpstr>
      <vt:lpstr>耿若岩</vt:lpstr>
      <vt:lpstr>李明</vt:lpstr>
      <vt:lpstr>张虎</vt:lpstr>
      <vt:lpstr>马莲花</vt:lpstr>
      <vt:lpstr>刘国莲</vt:lpstr>
      <vt:lpstr>杜涛</vt:lpstr>
      <vt:lpstr>张文中</vt:lpstr>
      <vt:lpstr>李秋实</vt:lpstr>
      <vt:lpstr>周岸</vt:lpstr>
      <vt:lpstr>詹泽彬</vt:lpstr>
      <vt:lpstr>张笑延</vt:lpstr>
      <vt:lpstr>沈宁</vt:lpstr>
      <vt:lpstr>胡鑫</vt:lpstr>
      <vt:lpstr>邓心豪</vt:lpstr>
      <vt:lpstr>黄恩</vt:lpstr>
      <vt:lpstr>严亮</vt:lpstr>
      <vt:lpstr>边昊</vt:lpstr>
      <vt:lpstr>张宗根</vt:lpstr>
      <vt:lpstr>潘伟生</vt:lpstr>
      <vt:lpstr>蔡昊霖</vt:lpstr>
      <vt:lpstr>叶大鹏</vt:lpstr>
      <vt:lpstr>王建超</vt:lpstr>
      <vt:lpstr>姜文夫</vt:lpstr>
      <vt:lpstr>王风瑞</vt:lpstr>
      <vt:lpstr>金鼎</vt:lpstr>
      <vt:lpstr>董志华</vt:lpstr>
      <vt:lpstr>郭永杰</vt:lpstr>
      <vt:lpstr>吴疆</vt:lpstr>
      <vt:lpstr>朱永春</vt:lpstr>
      <vt:lpstr>刘琦</vt:lpstr>
      <vt:lpstr>巴富毅</vt:lpstr>
      <vt:lpstr>陈宏伟</vt:lpstr>
      <vt:lpstr>蓝宇航</vt:lpstr>
      <vt:lpstr>蒋露裕</vt:lpstr>
      <vt:lpstr>程卓</vt:lpstr>
      <vt:lpstr>Sheet5</vt:lpstr>
      <vt:lpstr>郑文卓</vt:lpstr>
      <vt:lpstr>王维华</vt:lpstr>
      <vt:lpstr>何飞</vt:lpstr>
      <vt:lpstr>宋天霖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jserver</cp:lastModifiedBy>
  <dcterms:created xsi:type="dcterms:W3CDTF">2006-09-16T00:00:00Z</dcterms:created>
  <dcterms:modified xsi:type="dcterms:W3CDTF">2026-07-18T17:13:59Z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9B62FFEF6258459F90575BFDB66D1EA4_13</vt:lpwstr>
  </property>
  <property fmtid="{D5CDD505-2E9C-101B-9397-08002B2CF9AE}" pid="3" name="KSOProductBuildVer">
    <vt:lpwstr>2052-12.1.0.17857</vt:lpwstr>
  </property>
</Properties>
</file>