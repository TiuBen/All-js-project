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All-js-project\packages\frontend\atc-duty-front-react-js\dist\"/>
    </mc:Choice>
  </mc:AlternateContent>
  <bookViews>
    <workbookView xWindow="0" yWindow="0" windowWidth="18480" windowHeight="12375" tabRatio="913" firstSheet="18" activeTab="33"/>
  </bookViews>
  <sheets>
    <sheet name="sheet1" sheetId="123" r:id="rId1"/>
    <sheet name="温若春" sheetId="57" r:id="rId2"/>
    <sheet name="明嘉" sheetId="79" r:id="rId3"/>
    <sheet name="徐万友" sheetId="80" r:id="rId4"/>
    <sheet name="耿若岩" sheetId="82" r:id="rId5"/>
    <sheet name="李明" sheetId="83" r:id="rId6"/>
    <sheet name="张虎" sheetId="85" r:id="rId7"/>
    <sheet name="马莲花" sheetId="86" r:id="rId8"/>
    <sheet name="刘国莲" sheetId="87" r:id="rId9"/>
    <sheet name="杜涛" sheetId="88" r:id="rId10"/>
    <sheet name="张文中" sheetId="89" r:id="rId11"/>
    <sheet name="李秋实" sheetId="90" r:id="rId12"/>
    <sheet name="周岸" sheetId="91" r:id="rId13"/>
    <sheet name="詹泽彬" sheetId="92" r:id="rId14"/>
    <sheet name="张笑延" sheetId="93" r:id="rId15"/>
    <sheet name="沈宁" sheetId="94" r:id="rId16"/>
    <sheet name="胡鑫" sheetId="95" r:id="rId17"/>
    <sheet name="邓心豪" sheetId="96" r:id="rId18"/>
    <sheet name="黄恩" sheetId="97" r:id="rId19"/>
    <sheet name="严亮" sheetId="98" r:id="rId20"/>
    <sheet name="边昊" sheetId="99" r:id="rId21"/>
    <sheet name="张宗根" sheetId="100" r:id="rId22"/>
    <sheet name="潘伟生" sheetId="105" r:id="rId23"/>
    <sheet name="蔡昊霖" sheetId="102" r:id="rId24"/>
    <sheet name="叶大鹏" sheetId="103" r:id="rId25"/>
    <sheet name="王建超" sheetId="104" r:id="rId26"/>
    <sheet name="王风瑞" sheetId="106" r:id="rId27"/>
    <sheet name="金鼎" sheetId="107" r:id="rId28"/>
    <sheet name="董志华" sheetId="108" r:id="rId29"/>
    <sheet name="姜文夫" sheetId="109" r:id="rId30"/>
    <sheet name="郭永杰" sheetId="110" r:id="rId31"/>
    <sheet name="吴疆" sheetId="113" r:id="rId32"/>
    <sheet name="朱永春" sheetId="111" r:id="rId33"/>
    <sheet name="刘琦" sheetId="112" r:id="rId34"/>
    <sheet name="巴富毅" sheetId="114" r:id="rId35"/>
    <sheet name="蒋露裕" sheetId="119" r:id="rId36"/>
    <sheet name="陈宏伟" sheetId="118" r:id="rId37"/>
    <sheet name="蓝宇航" sheetId="120" r:id="rId38"/>
    <sheet name="程卓" sheetId="121" r:id="rId39"/>
    <sheet name="郑文卓" sheetId="122" r:id="rId40"/>
    <sheet name="宋天霖" sheetId="101" r:id="rId41"/>
  </sheets>
  <definedNames>
    <definedName name="_xlnm._FilterDatabase" localSheetId="34" hidden="1">巴富毅!$A$2:$K$42</definedName>
    <definedName name="_xlnm._FilterDatabase" localSheetId="20" hidden="1">边昊!$A$2:$K$42</definedName>
    <definedName name="_xlnm._FilterDatabase" localSheetId="23" hidden="1">蔡昊霖!$A$2:$K$42</definedName>
    <definedName name="_xlnm._FilterDatabase" localSheetId="36" hidden="1">陈宏伟!$A$2:$K$42</definedName>
    <definedName name="_xlnm._FilterDatabase" localSheetId="38" hidden="1">程卓!$A$2:$K$42</definedName>
    <definedName name="_xlnm._FilterDatabase" localSheetId="17" hidden="1">邓心豪!$A$2:$K$42</definedName>
    <definedName name="_xlnm._FilterDatabase" localSheetId="28" hidden="1">董志华!$A$2:$K$42</definedName>
    <definedName name="_xlnm._FilterDatabase" localSheetId="9" hidden="1">杜涛!$A$2:$K$42</definedName>
    <definedName name="_xlnm._FilterDatabase" localSheetId="4" hidden="1">耿若岩!$A$2:$K$42</definedName>
    <definedName name="_xlnm._FilterDatabase" localSheetId="30" hidden="1">郭永杰!$A$2:$K$42</definedName>
    <definedName name="_xlnm._FilterDatabase" localSheetId="16" hidden="1">胡鑫!$A$2:$K$42</definedName>
    <definedName name="_xlnm._FilterDatabase" localSheetId="18" hidden="1">黄恩!$A$2:$K$42</definedName>
    <definedName name="_xlnm._FilterDatabase" localSheetId="29" hidden="1">姜文夫!$A$2:$K$42</definedName>
    <definedName name="_xlnm._FilterDatabase" localSheetId="35" hidden="1">蒋露裕!$A$2:$K$42</definedName>
    <definedName name="_xlnm._FilterDatabase" localSheetId="27" hidden="1">金鼎!$A$2:$K$42</definedName>
    <definedName name="_xlnm._FilterDatabase" localSheetId="37" hidden="1">蓝宇航!$A$2:$K$42</definedName>
    <definedName name="_xlnm._FilterDatabase" localSheetId="5" hidden="1">李明!$A$2:$K$42</definedName>
    <definedName name="_xlnm._FilterDatabase" localSheetId="11" hidden="1">李秋实!$A$2:$K$42</definedName>
    <definedName name="_xlnm._FilterDatabase" localSheetId="8" hidden="1">刘国莲!$A$2:$K$42</definedName>
    <definedName name="_xlnm._FilterDatabase" localSheetId="33" hidden="1">刘琦!$A$2:$K$42</definedName>
    <definedName name="_xlnm._FilterDatabase" localSheetId="7" hidden="1">马莲花!$A$2:$K$42</definedName>
    <definedName name="_xlnm._FilterDatabase" localSheetId="2" hidden="1">明嘉!$A$2:$K$42</definedName>
    <definedName name="_xlnm._FilterDatabase" localSheetId="22" hidden="1">潘伟生!$A$2:$K$42</definedName>
    <definedName name="_xlnm._FilterDatabase" localSheetId="15" hidden="1">沈宁!$A$2:$K$42</definedName>
    <definedName name="_xlnm._FilterDatabase" localSheetId="40" hidden="1">宋天霖!$A$2:$K$42</definedName>
    <definedName name="_xlnm._FilterDatabase" localSheetId="26" hidden="1">王风瑞!$A$2:$K$42</definedName>
    <definedName name="_xlnm._FilterDatabase" localSheetId="25" hidden="1">王建超!$A$2:$K$42</definedName>
    <definedName name="_xlnm._FilterDatabase" localSheetId="1" hidden="1">温若春!$A$2:$K$42</definedName>
    <definedName name="_xlnm._FilterDatabase" localSheetId="31" hidden="1">吴疆!$A$2:$K$42</definedName>
    <definedName name="_xlnm._FilterDatabase" localSheetId="3" hidden="1">徐万友!$A$2:$K$42</definedName>
    <definedName name="_xlnm._FilterDatabase" localSheetId="19" hidden="1">严亮!$A$2:$K$42</definedName>
    <definedName name="_xlnm._FilterDatabase" localSheetId="24" hidden="1">叶大鹏!$A$2:$K$42</definedName>
    <definedName name="_xlnm._FilterDatabase" localSheetId="13" hidden="1">詹泽彬!$A$2:$K$42</definedName>
    <definedName name="_xlnm._FilterDatabase" localSheetId="6" hidden="1">张虎!$A$2:$K$42</definedName>
    <definedName name="_xlnm._FilterDatabase" localSheetId="10" hidden="1">张文中!$A$2:$K$42</definedName>
    <definedName name="_xlnm._FilterDatabase" localSheetId="14" hidden="1">张笑延!$A$2:$K$42</definedName>
    <definedName name="_xlnm._FilterDatabase" localSheetId="21" hidden="1">张宗根!$A$2:$K$42</definedName>
    <definedName name="_xlnm._FilterDatabase" localSheetId="39" hidden="1">郑文卓!$A$2:$K$42</definedName>
    <definedName name="_xlnm._FilterDatabase" localSheetId="12" hidden="1">周岸!$A$2:$K$42</definedName>
    <definedName name="_xlnm._FilterDatabase" localSheetId="32" hidden="1">朱永春!$A$2:$K$42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2" i="101" l="1"/>
  <c r="F42" i="101"/>
  <c r="G42" i="101" s="1"/>
  <c r="A42" i="101"/>
  <c r="H41" i="101"/>
  <c r="F41" i="101"/>
  <c r="G41" i="101" s="1"/>
  <c r="A41" i="101"/>
  <c r="H40" i="101"/>
  <c r="F40" i="101"/>
  <c r="G40" i="101" s="1"/>
  <c r="A40" i="101"/>
  <c r="H39" i="101"/>
  <c r="F39" i="101"/>
  <c r="G39" i="101" s="1"/>
  <c r="A39" i="101"/>
  <c r="H38" i="101"/>
  <c r="F38" i="101"/>
  <c r="G38" i="101" s="1"/>
  <c r="A38" i="101"/>
  <c r="H37" i="101"/>
  <c r="F37" i="101"/>
  <c r="G37" i="101" s="1"/>
  <c r="A37" i="101"/>
  <c r="H36" i="101"/>
  <c r="F36" i="101"/>
  <c r="G36" i="101" s="1"/>
  <c r="A36" i="101"/>
  <c r="H35" i="101"/>
  <c r="F35" i="101"/>
  <c r="G35" i="101" s="1"/>
  <c r="A35" i="101"/>
  <c r="H34" i="101"/>
  <c r="F34" i="101"/>
  <c r="G34" i="101" s="1"/>
  <c r="A34" i="101"/>
  <c r="H33" i="101"/>
  <c r="F33" i="101"/>
  <c r="G33" i="101" s="1"/>
  <c r="A33" i="101"/>
  <c r="H32" i="101"/>
  <c r="F32" i="101"/>
  <c r="G32" i="101" s="1"/>
  <c r="A32" i="101"/>
  <c r="H31" i="101"/>
  <c r="F31" i="101"/>
  <c r="G31" i="101" s="1"/>
  <c r="A31" i="101"/>
  <c r="H30" i="101"/>
  <c r="F30" i="101"/>
  <c r="G30" i="101" s="1"/>
  <c r="A30" i="101"/>
  <c r="H29" i="101"/>
  <c r="F29" i="101"/>
  <c r="G29" i="101" s="1"/>
  <c r="A29" i="101"/>
  <c r="H28" i="101"/>
  <c r="F28" i="101"/>
  <c r="G28" i="101" s="1"/>
  <c r="A28" i="101"/>
  <c r="H27" i="101"/>
  <c r="F27" i="101"/>
  <c r="G27" i="101" s="1"/>
  <c r="A27" i="101"/>
  <c r="H26" i="101"/>
  <c r="F26" i="101"/>
  <c r="G26" i="101" s="1"/>
  <c r="A26" i="101"/>
  <c r="H25" i="101"/>
  <c r="F25" i="101"/>
  <c r="G25" i="101" s="1"/>
  <c r="A25" i="101"/>
  <c r="H24" i="101"/>
  <c r="F24" i="101"/>
  <c r="G24" i="101" s="1"/>
  <c r="A24" i="101"/>
  <c r="H23" i="101"/>
  <c r="F23" i="101"/>
  <c r="G23" i="101" s="1"/>
  <c r="A23" i="101"/>
  <c r="H22" i="101"/>
  <c r="F22" i="101"/>
  <c r="G22" i="101" s="1"/>
  <c r="A22" i="101"/>
  <c r="L21" i="101"/>
  <c r="K21" i="101"/>
  <c r="J21" i="101"/>
  <c r="I26" i="123" s="1"/>
  <c r="H21" i="101"/>
  <c r="F21" i="101"/>
  <c r="G21" i="101" s="1"/>
  <c r="A21" i="101"/>
  <c r="H20" i="101"/>
  <c r="F20" i="101"/>
  <c r="G20" i="101" s="1"/>
  <c r="A20" i="101"/>
  <c r="H19" i="101"/>
  <c r="G19" i="101" s="1"/>
  <c r="F19" i="101"/>
  <c r="A19" i="101"/>
  <c r="H18" i="101"/>
  <c r="G18" i="101"/>
  <c r="F18" i="101"/>
  <c r="A18" i="101"/>
  <c r="H17" i="101"/>
  <c r="F17" i="101"/>
  <c r="G17" i="101" s="1"/>
  <c r="A17" i="101"/>
  <c r="L16" i="101"/>
  <c r="E26" i="123" s="1"/>
  <c r="K16" i="101"/>
  <c r="B26" i="123" s="1"/>
  <c r="J16" i="101"/>
  <c r="J20" i="101" s="1"/>
  <c r="H16" i="101"/>
  <c r="F16" i="101"/>
  <c r="G16" i="101" s="1"/>
  <c r="A16" i="101"/>
  <c r="H15" i="101"/>
  <c r="F15" i="101"/>
  <c r="G15" i="101" s="1"/>
  <c r="A15" i="101"/>
  <c r="H14" i="101"/>
  <c r="F14" i="101"/>
  <c r="G14" i="101" s="1"/>
  <c r="A14" i="101"/>
  <c r="H13" i="101"/>
  <c r="F13" i="101"/>
  <c r="G13" i="101" s="1"/>
  <c r="A13" i="101"/>
  <c r="L12" i="101"/>
  <c r="L19" i="101" s="1"/>
  <c r="G26" i="123" s="1"/>
  <c r="K12" i="101"/>
  <c r="K19" i="101" s="1"/>
  <c r="D26" i="123" s="1"/>
  <c r="J12" i="101"/>
  <c r="J19" i="101" s="1"/>
  <c r="H12" i="101"/>
  <c r="F12" i="101"/>
  <c r="G12" i="101" s="1"/>
  <c r="A12" i="101"/>
  <c r="L11" i="101"/>
  <c r="L18" i="101" s="1"/>
  <c r="K11" i="101"/>
  <c r="K18" i="101" s="1"/>
  <c r="J11" i="101"/>
  <c r="J18" i="101" s="1"/>
  <c r="H11" i="101"/>
  <c r="F11" i="101"/>
  <c r="G11" i="101" s="1"/>
  <c r="A11" i="101"/>
  <c r="L10" i="101"/>
  <c r="K10" i="101"/>
  <c r="J10" i="101"/>
  <c r="H10" i="101"/>
  <c r="G10" i="101"/>
  <c r="F10" i="101"/>
  <c r="A10" i="101"/>
  <c r="L9" i="101"/>
  <c r="K9" i="101"/>
  <c r="J9" i="101"/>
  <c r="H9" i="101"/>
  <c r="F9" i="101"/>
  <c r="G9" i="101" s="1"/>
  <c r="A9" i="101"/>
  <c r="L8" i="101"/>
  <c r="K8" i="101"/>
  <c r="J8" i="101"/>
  <c r="H8" i="101"/>
  <c r="F8" i="101"/>
  <c r="G8" i="101" s="1"/>
  <c r="A8" i="101"/>
  <c r="L7" i="101"/>
  <c r="K7" i="101"/>
  <c r="J7" i="101"/>
  <c r="H7" i="101"/>
  <c r="F7" i="101"/>
  <c r="G7" i="101" s="1"/>
  <c r="A7" i="101"/>
  <c r="L6" i="101"/>
  <c r="K6" i="101"/>
  <c r="J6" i="101"/>
  <c r="J17" i="101" s="1"/>
  <c r="H6" i="101"/>
  <c r="F6" i="101"/>
  <c r="G6" i="101" s="1"/>
  <c r="A6" i="101"/>
  <c r="L5" i="101"/>
  <c r="L17" i="101" s="1"/>
  <c r="F26" i="123" s="1"/>
  <c r="K5" i="101"/>
  <c r="K17" i="101" s="1"/>
  <c r="C26" i="123" s="1"/>
  <c r="J5" i="101"/>
  <c r="H5" i="101"/>
  <c r="F5" i="101"/>
  <c r="G5" i="101" s="1"/>
  <c r="A5" i="101"/>
  <c r="L4" i="101"/>
  <c r="K4" i="101"/>
  <c r="J4" i="101"/>
  <c r="H4" i="101"/>
  <c r="G4" i="101"/>
  <c r="F4" i="101"/>
  <c r="A4" i="101"/>
  <c r="L3" i="101"/>
  <c r="K3" i="101"/>
  <c r="J3" i="101"/>
  <c r="H3" i="101"/>
  <c r="G3" i="101"/>
  <c r="F3" i="101"/>
  <c r="A3" i="101"/>
  <c r="H42" i="122"/>
  <c r="F42" i="122"/>
  <c r="G42" i="122" s="1"/>
  <c r="A42" i="122"/>
  <c r="H41" i="122"/>
  <c r="F41" i="122"/>
  <c r="G41" i="122" s="1"/>
  <c r="A41" i="122"/>
  <c r="H40" i="122"/>
  <c r="F40" i="122"/>
  <c r="G40" i="122" s="1"/>
  <c r="A40" i="122"/>
  <c r="H39" i="122"/>
  <c r="F39" i="122"/>
  <c r="G39" i="122" s="1"/>
  <c r="A39" i="122"/>
  <c r="H38" i="122"/>
  <c r="F38" i="122"/>
  <c r="G38" i="122" s="1"/>
  <c r="A38" i="122"/>
  <c r="H37" i="122"/>
  <c r="G37" i="122"/>
  <c r="F37" i="122"/>
  <c r="A37" i="122"/>
  <c r="H36" i="122"/>
  <c r="G36" i="122"/>
  <c r="F36" i="122"/>
  <c r="A36" i="122"/>
  <c r="H35" i="122"/>
  <c r="G35" i="122"/>
  <c r="F35" i="122"/>
  <c r="A35" i="122"/>
  <c r="H34" i="122"/>
  <c r="F34" i="122"/>
  <c r="G34" i="122" s="1"/>
  <c r="A34" i="122"/>
  <c r="H33" i="122"/>
  <c r="F33" i="122"/>
  <c r="G33" i="122" s="1"/>
  <c r="A33" i="122"/>
  <c r="H32" i="122"/>
  <c r="F32" i="122"/>
  <c r="G32" i="122" s="1"/>
  <c r="A32" i="122"/>
  <c r="H31" i="122"/>
  <c r="F31" i="122"/>
  <c r="G31" i="122" s="1"/>
  <c r="A31" i="122"/>
  <c r="H30" i="122"/>
  <c r="F30" i="122"/>
  <c r="G30" i="122" s="1"/>
  <c r="H29" i="122"/>
  <c r="F29" i="122"/>
  <c r="G29" i="122" s="1"/>
  <c r="H28" i="122"/>
  <c r="G28" i="122"/>
  <c r="F28" i="122"/>
  <c r="H27" i="122"/>
  <c r="F27" i="122"/>
  <c r="G27" i="122" s="1"/>
  <c r="H26" i="122"/>
  <c r="G26" i="122" s="1"/>
  <c r="F26" i="122"/>
  <c r="H25" i="122"/>
  <c r="F25" i="122"/>
  <c r="G25" i="122" s="1"/>
  <c r="H24" i="122"/>
  <c r="F24" i="122"/>
  <c r="G24" i="122" s="1"/>
  <c r="H23" i="122"/>
  <c r="F23" i="122"/>
  <c r="G23" i="122" s="1"/>
  <c r="H22" i="122"/>
  <c r="F22" i="122"/>
  <c r="G22" i="122" s="1"/>
  <c r="H21" i="122"/>
  <c r="L7" i="122" s="1"/>
  <c r="F21" i="122"/>
  <c r="J7" i="122" s="1"/>
  <c r="H20" i="122"/>
  <c r="G20" i="122"/>
  <c r="F20" i="122"/>
  <c r="H19" i="122"/>
  <c r="G19" i="122"/>
  <c r="F19" i="122"/>
  <c r="H18" i="122"/>
  <c r="F18" i="122"/>
  <c r="G18" i="122" s="1"/>
  <c r="H17" i="122"/>
  <c r="F17" i="122"/>
  <c r="G17" i="122" s="1"/>
  <c r="H16" i="122"/>
  <c r="F16" i="122"/>
  <c r="J9" i="122" s="1"/>
  <c r="J21" i="122" s="1"/>
  <c r="H15" i="122"/>
  <c r="L9" i="122" s="1"/>
  <c r="G15" i="122"/>
  <c r="F15" i="122"/>
  <c r="H14" i="122"/>
  <c r="F14" i="122"/>
  <c r="G14" i="122" s="1"/>
  <c r="H13" i="122"/>
  <c r="F13" i="122"/>
  <c r="G13" i="122" s="1"/>
  <c r="L12" i="122"/>
  <c r="L19" i="122" s="1"/>
  <c r="K12" i="122"/>
  <c r="K19" i="122" s="1"/>
  <c r="J12" i="122"/>
  <c r="J19" i="122" s="1"/>
  <c r="H12" i="122"/>
  <c r="F12" i="122"/>
  <c r="G12" i="122" s="1"/>
  <c r="L11" i="122"/>
  <c r="L18" i="122" s="1"/>
  <c r="K11" i="122"/>
  <c r="K18" i="122" s="1"/>
  <c r="J11" i="122"/>
  <c r="J18" i="122" s="1"/>
  <c r="H11" i="122"/>
  <c r="F11" i="122"/>
  <c r="G11" i="122" s="1"/>
  <c r="L10" i="122"/>
  <c r="K10" i="122"/>
  <c r="J10" i="122"/>
  <c r="H10" i="122"/>
  <c r="F10" i="122"/>
  <c r="G10" i="122" s="1"/>
  <c r="H9" i="122"/>
  <c r="L4" i="122" s="1"/>
  <c r="F9" i="122"/>
  <c r="J4" i="122" s="1"/>
  <c r="L8" i="122"/>
  <c r="K8" i="122"/>
  <c r="J8" i="122"/>
  <c r="H8" i="122"/>
  <c r="L5" i="122" s="1"/>
  <c r="F8" i="122"/>
  <c r="J5" i="122" s="1"/>
  <c r="H7" i="122"/>
  <c r="G7" i="122" s="1"/>
  <c r="F7" i="122"/>
  <c r="H6" i="122"/>
  <c r="G6" i="122" s="1"/>
  <c r="F6" i="122"/>
  <c r="H5" i="122"/>
  <c r="L6" i="122" s="1"/>
  <c r="F5" i="122"/>
  <c r="J6" i="122" s="1"/>
  <c r="H4" i="122"/>
  <c r="F4" i="122"/>
  <c r="G4" i="122" s="1"/>
  <c r="L3" i="122"/>
  <c r="L16" i="122" s="1"/>
  <c r="K3" i="122"/>
  <c r="K16" i="122" s="1"/>
  <c r="J3" i="122"/>
  <c r="J16" i="122" s="1"/>
  <c r="H3" i="122"/>
  <c r="F3" i="122"/>
  <c r="G3" i="122" s="1"/>
  <c r="H42" i="121"/>
  <c r="F42" i="121"/>
  <c r="G42" i="121" s="1"/>
  <c r="A42" i="121"/>
  <c r="H41" i="121"/>
  <c r="G41" i="121"/>
  <c r="F41" i="121"/>
  <c r="A41" i="121"/>
  <c r="H40" i="121"/>
  <c r="G40" i="121"/>
  <c r="F40" i="121"/>
  <c r="A40" i="121"/>
  <c r="H39" i="121"/>
  <c r="G39" i="121"/>
  <c r="F39" i="121"/>
  <c r="A39" i="121"/>
  <c r="H38" i="121"/>
  <c r="G38" i="121"/>
  <c r="F38" i="121"/>
  <c r="A38" i="121"/>
  <c r="H37" i="121"/>
  <c r="F37" i="121"/>
  <c r="G37" i="121" s="1"/>
  <c r="A37" i="121"/>
  <c r="H36" i="121"/>
  <c r="F36" i="121"/>
  <c r="G36" i="121" s="1"/>
  <c r="A36" i="121"/>
  <c r="H35" i="121"/>
  <c r="F35" i="121"/>
  <c r="G35" i="121" s="1"/>
  <c r="A35" i="121"/>
  <c r="H34" i="121"/>
  <c r="F34" i="121"/>
  <c r="G34" i="121" s="1"/>
  <c r="A34" i="121"/>
  <c r="H33" i="121"/>
  <c r="G33" i="121"/>
  <c r="F33" i="121"/>
  <c r="A33" i="121"/>
  <c r="H32" i="121"/>
  <c r="G32" i="121"/>
  <c r="F32" i="121"/>
  <c r="A32" i="121"/>
  <c r="H31" i="121"/>
  <c r="G31" i="121"/>
  <c r="F31" i="121"/>
  <c r="A31" i="121"/>
  <c r="H30" i="121"/>
  <c r="G30" i="121"/>
  <c r="F30" i="121"/>
  <c r="A30" i="121"/>
  <c r="H29" i="121"/>
  <c r="F29" i="121"/>
  <c r="G29" i="121" s="1"/>
  <c r="A29" i="121"/>
  <c r="H28" i="121"/>
  <c r="F28" i="121"/>
  <c r="G28" i="121" s="1"/>
  <c r="H27" i="121"/>
  <c r="F27" i="121"/>
  <c r="G27" i="121" s="1"/>
  <c r="H26" i="121"/>
  <c r="F26" i="121"/>
  <c r="G26" i="121" s="1"/>
  <c r="H25" i="121"/>
  <c r="F25" i="121"/>
  <c r="G25" i="121" s="1"/>
  <c r="H24" i="121"/>
  <c r="G24" i="121"/>
  <c r="F24" i="121"/>
  <c r="H23" i="121"/>
  <c r="F23" i="121"/>
  <c r="G23" i="121" s="1"/>
  <c r="H22" i="121"/>
  <c r="G22" i="121"/>
  <c r="F22" i="121"/>
  <c r="H21" i="121"/>
  <c r="G21" i="121"/>
  <c r="F21" i="121"/>
  <c r="H20" i="121"/>
  <c r="F20" i="121"/>
  <c r="G20" i="121" s="1"/>
  <c r="H19" i="121"/>
  <c r="F19" i="121"/>
  <c r="G19" i="121" s="1"/>
  <c r="H18" i="121"/>
  <c r="F18" i="121"/>
  <c r="G18" i="121" s="1"/>
  <c r="H17" i="121"/>
  <c r="F17" i="121"/>
  <c r="G17" i="121" s="1"/>
  <c r="L16" i="121"/>
  <c r="H16" i="121"/>
  <c r="G16" i="121"/>
  <c r="F16" i="121"/>
  <c r="H15" i="121"/>
  <c r="F15" i="121"/>
  <c r="G15" i="121" s="1"/>
  <c r="H14" i="121"/>
  <c r="F14" i="121"/>
  <c r="G14" i="121" s="1"/>
  <c r="H13" i="121"/>
  <c r="F13" i="121"/>
  <c r="G13" i="121" s="1"/>
  <c r="L12" i="121"/>
  <c r="L19" i="121" s="1"/>
  <c r="K12" i="121"/>
  <c r="K19" i="121" s="1"/>
  <c r="J12" i="121"/>
  <c r="J19" i="121" s="1"/>
  <c r="H12" i="121"/>
  <c r="F12" i="121"/>
  <c r="G12" i="121" s="1"/>
  <c r="L11" i="121"/>
  <c r="L18" i="121" s="1"/>
  <c r="K11" i="121"/>
  <c r="K18" i="121" s="1"/>
  <c r="J11" i="121"/>
  <c r="J18" i="121" s="1"/>
  <c r="H11" i="121"/>
  <c r="F11" i="121"/>
  <c r="G11" i="121" s="1"/>
  <c r="L10" i="121"/>
  <c r="K10" i="121"/>
  <c r="J10" i="121"/>
  <c r="H10" i="121"/>
  <c r="F10" i="121"/>
  <c r="G10" i="121" s="1"/>
  <c r="L9" i="121"/>
  <c r="K9" i="121"/>
  <c r="J9" i="121"/>
  <c r="H9" i="121"/>
  <c r="F9" i="121"/>
  <c r="G9" i="121" s="1"/>
  <c r="L8" i="121"/>
  <c r="L21" i="121" s="1"/>
  <c r="K8" i="121"/>
  <c r="K21" i="121" s="1"/>
  <c r="J8" i="121"/>
  <c r="J21" i="121" s="1"/>
  <c r="H8" i="121"/>
  <c r="F8" i="121"/>
  <c r="G8" i="121" s="1"/>
  <c r="L7" i="121"/>
  <c r="K7" i="121"/>
  <c r="J7" i="121"/>
  <c r="H7" i="121"/>
  <c r="L4" i="121" s="1"/>
  <c r="F7" i="121"/>
  <c r="J4" i="121" s="1"/>
  <c r="L6" i="121"/>
  <c r="J6" i="121"/>
  <c r="H6" i="121"/>
  <c r="L5" i="121" s="1"/>
  <c r="G6" i="121"/>
  <c r="F6" i="121"/>
  <c r="H5" i="121"/>
  <c r="G5" i="121" s="1"/>
  <c r="K6" i="121" s="1"/>
  <c r="F5" i="121"/>
  <c r="H4" i="121"/>
  <c r="F4" i="121"/>
  <c r="J5" i="121" s="1"/>
  <c r="L3" i="121"/>
  <c r="K3" i="121"/>
  <c r="K16" i="121" s="1"/>
  <c r="J3" i="121"/>
  <c r="J16" i="121" s="1"/>
  <c r="H3" i="121"/>
  <c r="F3" i="121"/>
  <c r="G3" i="121" s="1"/>
  <c r="H42" i="120"/>
  <c r="F42" i="120"/>
  <c r="G42" i="120" s="1"/>
  <c r="A42" i="120"/>
  <c r="H41" i="120"/>
  <c r="F41" i="120"/>
  <c r="G41" i="120" s="1"/>
  <c r="A41" i="120"/>
  <c r="H40" i="120"/>
  <c r="F40" i="120"/>
  <c r="G40" i="120" s="1"/>
  <c r="A40" i="120"/>
  <c r="H39" i="120"/>
  <c r="F39" i="120"/>
  <c r="G39" i="120" s="1"/>
  <c r="A39" i="120"/>
  <c r="H38" i="120"/>
  <c r="G38" i="120"/>
  <c r="F38" i="120"/>
  <c r="A38" i="120"/>
  <c r="H37" i="120"/>
  <c r="G37" i="120"/>
  <c r="F37" i="120"/>
  <c r="A37" i="120"/>
  <c r="H36" i="120"/>
  <c r="G36" i="120"/>
  <c r="F36" i="120"/>
  <c r="A36" i="120"/>
  <c r="H35" i="120"/>
  <c r="G35" i="120"/>
  <c r="F35" i="120"/>
  <c r="A35" i="120"/>
  <c r="H34" i="120"/>
  <c r="F34" i="120"/>
  <c r="G34" i="120" s="1"/>
  <c r="A34" i="120"/>
  <c r="H33" i="120"/>
  <c r="F33" i="120"/>
  <c r="G33" i="120" s="1"/>
  <c r="A33" i="120"/>
  <c r="H32" i="120"/>
  <c r="F32" i="120"/>
  <c r="G32" i="120" s="1"/>
  <c r="H31" i="120"/>
  <c r="F31" i="120"/>
  <c r="G31" i="120" s="1"/>
  <c r="H30" i="120"/>
  <c r="F30" i="120"/>
  <c r="G30" i="120" s="1"/>
  <c r="H29" i="120"/>
  <c r="F29" i="120"/>
  <c r="G29" i="120" s="1"/>
  <c r="H28" i="120"/>
  <c r="G28" i="120"/>
  <c r="F28" i="120"/>
  <c r="H27" i="120"/>
  <c r="F27" i="120"/>
  <c r="G27" i="120" s="1"/>
  <c r="H26" i="120"/>
  <c r="G26" i="120"/>
  <c r="F26" i="120"/>
  <c r="H25" i="120"/>
  <c r="F25" i="120"/>
  <c r="G25" i="120" s="1"/>
  <c r="H24" i="120"/>
  <c r="F24" i="120"/>
  <c r="G24" i="120" s="1"/>
  <c r="H23" i="120"/>
  <c r="F23" i="120"/>
  <c r="J6" i="120" s="1"/>
  <c r="H22" i="120"/>
  <c r="L7" i="120" s="1"/>
  <c r="F22" i="120"/>
  <c r="J7" i="120" s="1"/>
  <c r="H21" i="120"/>
  <c r="L4" i="120" s="1"/>
  <c r="F21" i="120"/>
  <c r="J4" i="120" s="1"/>
  <c r="H20" i="120"/>
  <c r="G20" i="120"/>
  <c r="F20" i="120"/>
  <c r="H19" i="120"/>
  <c r="G19" i="120"/>
  <c r="F19" i="120"/>
  <c r="H18" i="120"/>
  <c r="G18" i="120"/>
  <c r="F18" i="120"/>
  <c r="H17" i="120"/>
  <c r="F17" i="120"/>
  <c r="G17" i="120" s="1"/>
  <c r="H16" i="120"/>
  <c r="L9" i="120" s="1"/>
  <c r="F16" i="120"/>
  <c r="G16" i="120" s="1"/>
  <c r="H15" i="120"/>
  <c r="F15" i="120"/>
  <c r="G15" i="120" s="1"/>
  <c r="H14" i="120"/>
  <c r="F14" i="120"/>
  <c r="J5" i="120" s="1"/>
  <c r="H13" i="120"/>
  <c r="F13" i="120"/>
  <c r="G13" i="120" s="1"/>
  <c r="L12" i="120"/>
  <c r="L19" i="120" s="1"/>
  <c r="G42" i="123" s="1"/>
  <c r="K12" i="120"/>
  <c r="K19" i="120" s="1"/>
  <c r="D42" i="123" s="1"/>
  <c r="J12" i="120"/>
  <c r="J19" i="120" s="1"/>
  <c r="H12" i="120"/>
  <c r="L6" i="120" s="1"/>
  <c r="F12" i="120"/>
  <c r="G12" i="120" s="1"/>
  <c r="L11" i="120"/>
  <c r="L18" i="120" s="1"/>
  <c r="K11" i="120"/>
  <c r="K18" i="120" s="1"/>
  <c r="J11" i="120"/>
  <c r="J18" i="120" s="1"/>
  <c r="H11" i="120"/>
  <c r="F11" i="120"/>
  <c r="G11" i="120" s="1"/>
  <c r="L10" i="120"/>
  <c r="K10" i="120"/>
  <c r="J10" i="120"/>
  <c r="H10" i="120"/>
  <c r="F10" i="120"/>
  <c r="G10" i="120" s="1"/>
  <c r="H9" i="120"/>
  <c r="F9" i="120"/>
  <c r="G9" i="120" s="1"/>
  <c r="L8" i="120"/>
  <c r="K8" i="120"/>
  <c r="J8" i="120"/>
  <c r="H8" i="120"/>
  <c r="F8" i="120"/>
  <c r="G8" i="120" s="1"/>
  <c r="H7" i="120"/>
  <c r="F7" i="120"/>
  <c r="G7" i="120" s="1"/>
  <c r="H6" i="120"/>
  <c r="G6" i="120"/>
  <c r="F6" i="120"/>
  <c r="H5" i="120"/>
  <c r="F5" i="120"/>
  <c r="G5" i="120" s="1"/>
  <c r="H4" i="120"/>
  <c r="F4" i="120"/>
  <c r="G4" i="120" s="1"/>
  <c r="L3" i="120"/>
  <c r="L16" i="120" s="1"/>
  <c r="E42" i="123" s="1"/>
  <c r="K3" i="120"/>
  <c r="K16" i="120" s="1"/>
  <c r="B42" i="123" s="1"/>
  <c r="J3" i="120"/>
  <c r="J16" i="120" s="1"/>
  <c r="H3" i="120"/>
  <c r="L5" i="120" s="1"/>
  <c r="G3" i="120"/>
  <c r="F3" i="120"/>
  <c r="H42" i="118"/>
  <c r="F42" i="118"/>
  <c r="G42" i="118" s="1"/>
  <c r="A42" i="118"/>
  <c r="H41" i="118"/>
  <c r="G41" i="118"/>
  <c r="F41" i="118"/>
  <c r="A41" i="118"/>
  <c r="H40" i="118"/>
  <c r="G40" i="118"/>
  <c r="F40" i="118"/>
  <c r="A40" i="118"/>
  <c r="H39" i="118"/>
  <c r="G39" i="118"/>
  <c r="F39" i="118"/>
  <c r="A39" i="118"/>
  <c r="H38" i="118"/>
  <c r="G38" i="118"/>
  <c r="F38" i="118"/>
  <c r="A38" i="118"/>
  <c r="H37" i="118"/>
  <c r="F37" i="118"/>
  <c r="G37" i="118" s="1"/>
  <c r="A37" i="118"/>
  <c r="H36" i="118"/>
  <c r="F36" i="118"/>
  <c r="G36" i="118" s="1"/>
  <c r="A36" i="118"/>
  <c r="H35" i="118"/>
  <c r="F35" i="118"/>
  <c r="G35" i="118" s="1"/>
  <c r="A35" i="118"/>
  <c r="H34" i="118"/>
  <c r="F34" i="118"/>
  <c r="G34" i="118" s="1"/>
  <c r="A34" i="118"/>
  <c r="H33" i="118"/>
  <c r="G33" i="118"/>
  <c r="F33" i="118"/>
  <c r="A33" i="118"/>
  <c r="H32" i="118"/>
  <c r="G32" i="118"/>
  <c r="F32" i="118"/>
  <c r="A32" i="118"/>
  <c r="H31" i="118"/>
  <c r="G31" i="118"/>
  <c r="F31" i="118"/>
  <c r="A31" i="118"/>
  <c r="H30" i="118"/>
  <c r="G30" i="118"/>
  <c r="F30" i="118"/>
  <c r="A30" i="118"/>
  <c r="H29" i="118"/>
  <c r="F29" i="118"/>
  <c r="G29" i="118" s="1"/>
  <c r="A29" i="118"/>
  <c r="H28" i="118"/>
  <c r="F28" i="118"/>
  <c r="G28" i="118" s="1"/>
  <c r="A28" i="118"/>
  <c r="H27" i="118"/>
  <c r="F27" i="118"/>
  <c r="G27" i="118" s="1"/>
  <c r="A27" i="118"/>
  <c r="H26" i="118"/>
  <c r="F26" i="118"/>
  <c r="G26" i="118" s="1"/>
  <c r="A26" i="118"/>
  <c r="H25" i="118"/>
  <c r="G25" i="118"/>
  <c r="F25" i="118"/>
  <c r="A25" i="118"/>
  <c r="H24" i="118"/>
  <c r="G24" i="118"/>
  <c r="F24" i="118"/>
  <c r="A24" i="118"/>
  <c r="H23" i="118"/>
  <c r="G23" i="118"/>
  <c r="F23" i="118"/>
  <c r="H22" i="118"/>
  <c r="F22" i="118"/>
  <c r="G22" i="118" s="1"/>
  <c r="H21" i="118"/>
  <c r="F21" i="118"/>
  <c r="G21" i="118" s="1"/>
  <c r="H20" i="118"/>
  <c r="F20" i="118"/>
  <c r="G20" i="118" s="1"/>
  <c r="J19" i="118"/>
  <c r="H19" i="118"/>
  <c r="F19" i="118"/>
  <c r="G19" i="118" s="1"/>
  <c r="K18" i="118"/>
  <c r="H18" i="118"/>
  <c r="F18" i="118"/>
  <c r="G18" i="118" s="1"/>
  <c r="H17" i="118"/>
  <c r="F17" i="118"/>
  <c r="G17" i="118" s="1"/>
  <c r="H16" i="118"/>
  <c r="F16" i="118"/>
  <c r="G16" i="118" s="1"/>
  <c r="H15" i="118"/>
  <c r="F15" i="118"/>
  <c r="G15" i="118" s="1"/>
  <c r="H14" i="118"/>
  <c r="F14" i="118"/>
  <c r="G14" i="118" s="1"/>
  <c r="H13" i="118"/>
  <c r="L9" i="118" s="1"/>
  <c r="F13" i="118"/>
  <c r="G13" i="118" s="1"/>
  <c r="L12" i="118"/>
  <c r="L19" i="118" s="1"/>
  <c r="G40" i="123" s="1"/>
  <c r="K12" i="118"/>
  <c r="K19" i="118" s="1"/>
  <c r="D40" i="123" s="1"/>
  <c r="J12" i="118"/>
  <c r="H12" i="118"/>
  <c r="F12" i="118"/>
  <c r="G12" i="118" s="1"/>
  <c r="L11" i="118"/>
  <c r="L18" i="118" s="1"/>
  <c r="K11" i="118"/>
  <c r="J11" i="118"/>
  <c r="J18" i="118" s="1"/>
  <c r="H11" i="118"/>
  <c r="G11" i="118"/>
  <c r="F11" i="118"/>
  <c r="L10" i="118"/>
  <c r="K10" i="118"/>
  <c r="J10" i="118"/>
  <c r="H10" i="118"/>
  <c r="G10" i="118"/>
  <c r="F10" i="118"/>
  <c r="H9" i="118"/>
  <c r="F9" i="118"/>
  <c r="G9" i="118" s="1"/>
  <c r="L8" i="118"/>
  <c r="K8" i="118"/>
  <c r="J8" i="118"/>
  <c r="H8" i="118"/>
  <c r="F8" i="118"/>
  <c r="J5" i="118" s="1"/>
  <c r="L7" i="118"/>
  <c r="K7" i="118"/>
  <c r="J7" i="118"/>
  <c r="H7" i="118"/>
  <c r="F7" i="118"/>
  <c r="G7" i="118" s="1"/>
  <c r="L6" i="118"/>
  <c r="K6" i="118"/>
  <c r="J6" i="118"/>
  <c r="H6" i="118"/>
  <c r="G6" i="118"/>
  <c r="F6" i="118"/>
  <c r="H5" i="118"/>
  <c r="L5" i="118" s="1"/>
  <c r="G5" i="118"/>
  <c r="F5" i="118"/>
  <c r="H4" i="118"/>
  <c r="G4" i="118"/>
  <c r="F4" i="118"/>
  <c r="L3" i="118"/>
  <c r="L16" i="118" s="1"/>
  <c r="E40" i="123" s="1"/>
  <c r="K3" i="118"/>
  <c r="K16" i="118" s="1"/>
  <c r="B40" i="123" s="1"/>
  <c r="J3" i="118"/>
  <c r="J16" i="118" s="1"/>
  <c r="H3" i="118"/>
  <c r="L4" i="118" s="1"/>
  <c r="F3" i="118"/>
  <c r="G3" i="118" s="1"/>
  <c r="H42" i="119"/>
  <c r="F42" i="119"/>
  <c r="G42" i="119" s="1"/>
  <c r="A42" i="119"/>
  <c r="H41" i="119"/>
  <c r="F41" i="119"/>
  <c r="G41" i="119" s="1"/>
  <c r="A41" i="119"/>
  <c r="H40" i="119"/>
  <c r="F40" i="119"/>
  <c r="G40" i="119" s="1"/>
  <c r="A40" i="119"/>
  <c r="H39" i="119"/>
  <c r="F39" i="119"/>
  <c r="G39" i="119" s="1"/>
  <c r="A39" i="119"/>
  <c r="H38" i="119"/>
  <c r="F38" i="119"/>
  <c r="G38" i="119" s="1"/>
  <c r="A38" i="119"/>
  <c r="H37" i="119"/>
  <c r="F37" i="119"/>
  <c r="G37" i="119" s="1"/>
  <c r="A37" i="119"/>
  <c r="H36" i="119"/>
  <c r="F36" i="119"/>
  <c r="G36" i="119" s="1"/>
  <c r="A36" i="119"/>
  <c r="H35" i="119"/>
  <c r="F35" i="119"/>
  <c r="G35" i="119" s="1"/>
  <c r="A35" i="119"/>
  <c r="H34" i="119"/>
  <c r="F34" i="119"/>
  <c r="G34" i="119" s="1"/>
  <c r="A34" i="119"/>
  <c r="H33" i="119"/>
  <c r="F33" i="119"/>
  <c r="G33" i="119" s="1"/>
  <c r="A33" i="119"/>
  <c r="H32" i="119"/>
  <c r="F32" i="119"/>
  <c r="G32" i="119" s="1"/>
  <c r="A32" i="119"/>
  <c r="H31" i="119"/>
  <c r="F31" i="119"/>
  <c r="G31" i="119" s="1"/>
  <c r="A31" i="119"/>
  <c r="H30" i="119"/>
  <c r="F30" i="119"/>
  <c r="G30" i="119" s="1"/>
  <c r="A30" i="119"/>
  <c r="H29" i="119"/>
  <c r="F29" i="119"/>
  <c r="G29" i="119" s="1"/>
  <c r="A29" i="119"/>
  <c r="H28" i="119"/>
  <c r="F28" i="119"/>
  <c r="G28" i="119" s="1"/>
  <c r="A28" i="119"/>
  <c r="H27" i="119"/>
  <c r="F27" i="119"/>
  <c r="G27" i="119" s="1"/>
  <c r="A27" i="119"/>
  <c r="H26" i="119"/>
  <c r="F26" i="119"/>
  <c r="G26" i="119" s="1"/>
  <c r="A26" i="119"/>
  <c r="H25" i="119"/>
  <c r="F25" i="119"/>
  <c r="G25" i="119" s="1"/>
  <c r="A25" i="119"/>
  <c r="H24" i="119"/>
  <c r="F24" i="119"/>
  <c r="G24" i="119" s="1"/>
  <c r="A24" i="119"/>
  <c r="H23" i="119"/>
  <c r="F23" i="119"/>
  <c r="G23" i="119" s="1"/>
  <c r="A23" i="119"/>
  <c r="H22" i="119"/>
  <c r="F22" i="119"/>
  <c r="G22" i="119" s="1"/>
  <c r="A22" i="119"/>
  <c r="H21" i="119"/>
  <c r="G21" i="119"/>
  <c r="F21" i="119"/>
  <c r="A21" i="119"/>
  <c r="H20" i="119"/>
  <c r="F20" i="119"/>
  <c r="G20" i="119" s="1"/>
  <c r="A20" i="119"/>
  <c r="H19" i="119"/>
  <c r="F19" i="119"/>
  <c r="G19" i="119" s="1"/>
  <c r="K6" i="119" s="1"/>
  <c r="H18" i="119"/>
  <c r="F18" i="119"/>
  <c r="G18" i="119" s="1"/>
  <c r="H17" i="119"/>
  <c r="G17" i="119"/>
  <c r="F17" i="119"/>
  <c r="L16" i="119"/>
  <c r="E41" i="123" s="1"/>
  <c r="H16" i="119"/>
  <c r="G16" i="119"/>
  <c r="F16" i="119"/>
  <c r="H15" i="119"/>
  <c r="F15" i="119"/>
  <c r="G15" i="119" s="1"/>
  <c r="H14" i="119"/>
  <c r="L4" i="119" s="1"/>
  <c r="F14" i="119"/>
  <c r="J4" i="119" s="1"/>
  <c r="H13" i="119"/>
  <c r="F13" i="119"/>
  <c r="G13" i="119" s="1"/>
  <c r="L12" i="119"/>
  <c r="L19" i="119" s="1"/>
  <c r="G41" i="123" s="1"/>
  <c r="K12" i="119"/>
  <c r="K19" i="119" s="1"/>
  <c r="D41" i="123" s="1"/>
  <c r="J12" i="119"/>
  <c r="J19" i="119" s="1"/>
  <c r="H12" i="119"/>
  <c r="L5" i="119" s="1"/>
  <c r="F12" i="119"/>
  <c r="G12" i="119" s="1"/>
  <c r="L11" i="119"/>
  <c r="L18" i="119" s="1"/>
  <c r="H11" i="119"/>
  <c r="F11" i="119"/>
  <c r="J5" i="119" s="1"/>
  <c r="L10" i="119"/>
  <c r="K10" i="119"/>
  <c r="J10" i="119"/>
  <c r="H10" i="119"/>
  <c r="F10" i="119"/>
  <c r="G10" i="119" s="1"/>
  <c r="H9" i="119"/>
  <c r="F9" i="119"/>
  <c r="G9" i="119" s="1"/>
  <c r="L8" i="119"/>
  <c r="L21" i="119" s="1"/>
  <c r="K8" i="119"/>
  <c r="J8" i="119"/>
  <c r="H8" i="119"/>
  <c r="F8" i="119"/>
  <c r="G8" i="119" s="1"/>
  <c r="L7" i="119"/>
  <c r="K7" i="119"/>
  <c r="J7" i="119"/>
  <c r="H7" i="119"/>
  <c r="F7" i="119"/>
  <c r="G7" i="119" s="1"/>
  <c r="L6" i="119"/>
  <c r="J6" i="119"/>
  <c r="H6" i="119"/>
  <c r="F6" i="119"/>
  <c r="G6" i="119" s="1"/>
  <c r="H5" i="119"/>
  <c r="F5" i="119"/>
  <c r="G5" i="119" s="1"/>
  <c r="H4" i="119"/>
  <c r="L9" i="119" s="1"/>
  <c r="F4" i="119"/>
  <c r="J9" i="119" s="1"/>
  <c r="L3" i="119"/>
  <c r="K3" i="119"/>
  <c r="K16" i="119" s="1"/>
  <c r="B41" i="123" s="1"/>
  <c r="J3" i="119"/>
  <c r="J16" i="119" s="1"/>
  <c r="H3" i="119"/>
  <c r="F3" i="119"/>
  <c r="G3" i="119" s="1"/>
  <c r="H42" i="114"/>
  <c r="F42" i="114"/>
  <c r="G42" i="114" s="1"/>
  <c r="A42" i="114"/>
  <c r="H41" i="114"/>
  <c r="F41" i="114"/>
  <c r="G41" i="114" s="1"/>
  <c r="A41" i="114"/>
  <c r="H40" i="114"/>
  <c r="F40" i="114"/>
  <c r="G40" i="114" s="1"/>
  <c r="A40" i="114"/>
  <c r="H39" i="114"/>
  <c r="F39" i="114"/>
  <c r="G39" i="114" s="1"/>
  <c r="A39" i="114"/>
  <c r="H38" i="114"/>
  <c r="G38" i="114"/>
  <c r="F38" i="114"/>
  <c r="A38" i="114"/>
  <c r="H37" i="114"/>
  <c r="G37" i="114"/>
  <c r="F37" i="114"/>
  <c r="A37" i="114"/>
  <c r="H36" i="114"/>
  <c r="F36" i="114"/>
  <c r="G36" i="114" s="1"/>
  <c r="A36" i="114"/>
  <c r="H35" i="114"/>
  <c r="G35" i="114"/>
  <c r="F35" i="114"/>
  <c r="A35" i="114"/>
  <c r="H34" i="114"/>
  <c r="F34" i="114"/>
  <c r="G34" i="114" s="1"/>
  <c r="A34" i="114"/>
  <c r="H33" i="114"/>
  <c r="F33" i="114"/>
  <c r="G33" i="114" s="1"/>
  <c r="A33" i="114"/>
  <c r="H32" i="114"/>
  <c r="F32" i="114"/>
  <c r="G32" i="114" s="1"/>
  <c r="A32" i="114"/>
  <c r="H31" i="114"/>
  <c r="F31" i="114"/>
  <c r="G31" i="114" s="1"/>
  <c r="A31" i="114"/>
  <c r="H30" i="114"/>
  <c r="G30" i="114"/>
  <c r="F30" i="114"/>
  <c r="A30" i="114"/>
  <c r="H29" i="114"/>
  <c r="G29" i="114"/>
  <c r="F29" i="114"/>
  <c r="A29" i="114"/>
  <c r="H28" i="114"/>
  <c r="F28" i="114"/>
  <c r="G28" i="114" s="1"/>
  <c r="A28" i="114"/>
  <c r="H27" i="114"/>
  <c r="G27" i="114"/>
  <c r="F27" i="114"/>
  <c r="A27" i="114"/>
  <c r="H26" i="114"/>
  <c r="F26" i="114"/>
  <c r="G26" i="114" s="1"/>
  <c r="A26" i="114"/>
  <c r="H25" i="114"/>
  <c r="F25" i="114"/>
  <c r="G25" i="114" s="1"/>
  <c r="A25" i="114"/>
  <c r="H24" i="114"/>
  <c r="F24" i="114"/>
  <c r="G24" i="114" s="1"/>
  <c r="A24" i="114"/>
  <c r="H23" i="114"/>
  <c r="F23" i="114"/>
  <c r="G23" i="114" s="1"/>
  <c r="A23" i="114"/>
  <c r="H22" i="114"/>
  <c r="G22" i="114"/>
  <c r="F22" i="114"/>
  <c r="A22" i="114"/>
  <c r="H21" i="114"/>
  <c r="F21" i="114"/>
  <c r="G21" i="114" s="1"/>
  <c r="A21" i="114"/>
  <c r="H20" i="114"/>
  <c r="G20" i="114"/>
  <c r="F20" i="114"/>
  <c r="A20" i="114"/>
  <c r="H19" i="114"/>
  <c r="F19" i="114"/>
  <c r="G19" i="114" s="1"/>
  <c r="A19" i="114"/>
  <c r="L18" i="114"/>
  <c r="K18" i="114"/>
  <c r="J18" i="114"/>
  <c r="H18" i="114"/>
  <c r="G18" i="114" s="1"/>
  <c r="F18" i="114"/>
  <c r="A18" i="114"/>
  <c r="H17" i="114"/>
  <c r="F17" i="114"/>
  <c r="G17" i="114" s="1"/>
  <c r="A17" i="114"/>
  <c r="H16" i="114"/>
  <c r="F16" i="114"/>
  <c r="G16" i="114" s="1"/>
  <c r="A16" i="114"/>
  <c r="H15" i="114"/>
  <c r="G15" i="114"/>
  <c r="F15" i="114"/>
  <c r="A15" i="114"/>
  <c r="H14" i="114"/>
  <c r="F14" i="114"/>
  <c r="G14" i="114" s="1"/>
  <c r="A14" i="114"/>
  <c r="H13" i="114"/>
  <c r="F13" i="114"/>
  <c r="G13" i="114" s="1"/>
  <c r="L12" i="114"/>
  <c r="L19" i="114" s="1"/>
  <c r="G39" i="123" s="1"/>
  <c r="K12" i="114"/>
  <c r="K19" i="114" s="1"/>
  <c r="D39" i="123" s="1"/>
  <c r="J12" i="114"/>
  <c r="J19" i="114" s="1"/>
  <c r="H12" i="114"/>
  <c r="G12" i="114" s="1"/>
  <c r="F12" i="114"/>
  <c r="L11" i="114"/>
  <c r="K11" i="114"/>
  <c r="J11" i="114"/>
  <c r="H11" i="114"/>
  <c r="G11" i="114"/>
  <c r="F11" i="114"/>
  <c r="H10" i="114"/>
  <c r="G10" i="114"/>
  <c r="F10" i="114"/>
  <c r="L9" i="114"/>
  <c r="K9" i="114"/>
  <c r="J9" i="114"/>
  <c r="H9" i="114"/>
  <c r="G9" i="114"/>
  <c r="F9" i="114"/>
  <c r="L8" i="114"/>
  <c r="L21" i="114" s="1"/>
  <c r="K8" i="114"/>
  <c r="K21" i="114" s="1"/>
  <c r="J8" i="114"/>
  <c r="J21" i="114" s="1"/>
  <c r="I39" i="123" s="1"/>
  <c r="H8" i="114"/>
  <c r="F8" i="114"/>
  <c r="G8" i="114" s="1"/>
  <c r="L7" i="114"/>
  <c r="K7" i="114"/>
  <c r="J7" i="114"/>
  <c r="H7" i="114"/>
  <c r="F7" i="114"/>
  <c r="G7" i="114" s="1"/>
  <c r="L6" i="114"/>
  <c r="K6" i="114"/>
  <c r="J6" i="114"/>
  <c r="J17" i="114" s="1"/>
  <c r="H6" i="114"/>
  <c r="F6" i="114"/>
  <c r="G6" i="114" s="1"/>
  <c r="L5" i="114"/>
  <c r="L17" i="114" s="1"/>
  <c r="F39" i="123" s="1"/>
  <c r="K5" i="114"/>
  <c r="J5" i="114"/>
  <c r="H5" i="114"/>
  <c r="G5" i="114"/>
  <c r="F5" i="114"/>
  <c r="L4" i="114"/>
  <c r="K4" i="114"/>
  <c r="J4" i="114"/>
  <c r="H4" i="114"/>
  <c r="L10" i="114" s="1"/>
  <c r="G4" i="114"/>
  <c r="F4" i="114"/>
  <c r="L3" i="114"/>
  <c r="L16" i="114" s="1"/>
  <c r="E39" i="123" s="1"/>
  <c r="K3" i="114"/>
  <c r="K16" i="114" s="1"/>
  <c r="B39" i="123" s="1"/>
  <c r="J3" i="114"/>
  <c r="J16" i="114" s="1"/>
  <c r="H3" i="114"/>
  <c r="F3" i="114"/>
  <c r="J10" i="114" s="1"/>
  <c r="H42" i="112"/>
  <c r="F42" i="112"/>
  <c r="G42" i="112" s="1"/>
  <c r="A42" i="112"/>
  <c r="H41" i="112"/>
  <c r="F41" i="112"/>
  <c r="G41" i="112" s="1"/>
  <c r="A41" i="112"/>
  <c r="H40" i="112"/>
  <c r="F40" i="112"/>
  <c r="G40" i="112" s="1"/>
  <c r="A40" i="112"/>
  <c r="H39" i="112"/>
  <c r="F39" i="112"/>
  <c r="G39" i="112" s="1"/>
  <c r="A39" i="112"/>
  <c r="H38" i="112"/>
  <c r="F38" i="112"/>
  <c r="G38" i="112" s="1"/>
  <c r="A38" i="112"/>
  <c r="H37" i="112"/>
  <c r="F37" i="112"/>
  <c r="G37" i="112" s="1"/>
  <c r="A37" i="112"/>
  <c r="H36" i="112"/>
  <c r="F36" i="112"/>
  <c r="G36" i="112" s="1"/>
  <c r="A36" i="112"/>
  <c r="H35" i="112"/>
  <c r="F35" i="112"/>
  <c r="G35" i="112" s="1"/>
  <c r="A35" i="112"/>
  <c r="H34" i="112"/>
  <c r="F34" i="112"/>
  <c r="G34" i="112" s="1"/>
  <c r="A34" i="112"/>
  <c r="H33" i="112"/>
  <c r="F33" i="112"/>
  <c r="G33" i="112" s="1"/>
  <c r="A33" i="112"/>
  <c r="H32" i="112"/>
  <c r="F32" i="112"/>
  <c r="G32" i="112" s="1"/>
  <c r="A32" i="112"/>
  <c r="H31" i="112"/>
  <c r="F31" i="112"/>
  <c r="G31" i="112" s="1"/>
  <c r="A31" i="112"/>
  <c r="H30" i="112"/>
  <c r="F30" i="112"/>
  <c r="G30" i="112" s="1"/>
  <c r="A30" i="112"/>
  <c r="H29" i="112"/>
  <c r="F29" i="112"/>
  <c r="G29" i="112" s="1"/>
  <c r="A29" i="112"/>
  <c r="H28" i="112"/>
  <c r="F28" i="112"/>
  <c r="G28" i="112" s="1"/>
  <c r="A28" i="112"/>
  <c r="H27" i="112"/>
  <c r="F27" i="112"/>
  <c r="G27" i="112" s="1"/>
  <c r="A27" i="112"/>
  <c r="H26" i="112"/>
  <c r="F26" i="112"/>
  <c r="G26" i="112" s="1"/>
  <c r="A26" i="112"/>
  <c r="H25" i="112"/>
  <c r="F25" i="112"/>
  <c r="G25" i="112" s="1"/>
  <c r="A25" i="112"/>
  <c r="H24" i="112"/>
  <c r="F24" i="112"/>
  <c r="G24" i="112" s="1"/>
  <c r="A24" i="112"/>
  <c r="H23" i="112"/>
  <c r="F23" i="112"/>
  <c r="G23" i="112" s="1"/>
  <c r="A23" i="112"/>
  <c r="H22" i="112"/>
  <c r="F22" i="112"/>
  <c r="G22" i="112" s="1"/>
  <c r="A22" i="112"/>
  <c r="H21" i="112"/>
  <c r="G21" i="112"/>
  <c r="F21" i="112"/>
  <c r="A21" i="112"/>
  <c r="H20" i="112"/>
  <c r="F20" i="112"/>
  <c r="G20" i="112" s="1"/>
  <c r="A20" i="112"/>
  <c r="H19" i="112"/>
  <c r="F19" i="112"/>
  <c r="G19" i="112" s="1"/>
  <c r="A19" i="112"/>
  <c r="L18" i="112"/>
  <c r="K18" i="112"/>
  <c r="J18" i="112"/>
  <c r="H18" i="112"/>
  <c r="G18" i="112"/>
  <c r="F18" i="112"/>
  <c r="A18" i="112"/>
  <c r="H17" i="112"/>
  <c r="G17" i="112"/>
  <c r="F17" i="112"/>
  <c r="A17" i="112"/>
  <c r="H16" i="112"/>
  <c r="F16" i="112"/>
  <c r="G16" i="112" s="1"/>
  <c r="A16" i="112"/>
  <c r="H15" i="112"/>
  <c r="F15" i="112"/>
  <c r="G15" i="112" s="1"/>
  <c r="A15" i="112"/>
  <c r="H14" i="112"/>
  <c r="F14" i="112"/>
  <c r="G14" i="112" s="1"/>
  <c r="H13" i="112"/>
  <c r="F13" i="112"/>
  <c r="G13" i="112" s="1"/>
  <c r="L12" i="112"/>
  <c r="L19" i="112" s="1"/>
  <c r="G37" i="123" s="1"/>
  <c r="K12" i="112"/>
  <c r="K19" i="112" s="1"/>
  <c r="D37" i="123" s="1"/>
  <c r="J12" i="112"/>
  <c r="J19" i="112" s="1"/>
  <c r="H12" i="112"/>
  <c r="F12" i="112"/>
  <c r="G12" i="112" s="1"/>
  <c r="L11" i="112"/>
  <c r="K11" i="112"/>
  <c r="J11" i="112"/>
  <c r="H11" i="112"/>
  <c r="G11" i="112"/>
  <c r="F11" i="112"/>
  <c r="H10" i="112"/>
  <c r="G10" i="112"/>
  <c r="F10" i="112"/>
  <c r="L9" i="112"/>
  <c r="K9" i="112"/>
  <c r="J9" i="112"/>
  <c r="H9" i="112"/>
  <c r="G9" i="112"/>
  <c r="F9" i="112"/>
  <c r="L8" i="112"/>
  <c r="L21" i="112" s="1"/>
  <c r="K8" i="112"/>
  <c r="K21" i="112" s="1"/>
  <c r="J8" i="112"/>
  <c r="J21" i="112" s="1"/>
  <c r="I37" i="123" s="1"/>
  <c r="H8" i="112"/>
  <c r="F8" i="112"/>
  <c r="G8" i="112" s="1"/>
  <c r="L7" i="112"/>
  <c r="K7" i="112"/>
  <c r="J7" i="112"/>
  <c r="H7" i="112"/>
  <c r="F7" i="112"/>
  <c r="G7" i="112" s="1"/>
  <c r="L6" i="112"/>
  <c r="K6" i="112"/>
  <c r="J6" i="112"/>
  <c r="H6" i="112"/>
  <c r="F6" i="112"/>
  <c r="G6" i="112" s="1"/>
  <c r="L5" i="112"/>
  <c r="K5" i="112"/>
  <c r="J5" i="112"/>
  <c r="H5" i="112"/>
  <c r="G5" i="112"/>
  <c r="F5" i="112"/>
  <c r="L4" i="112"/>
  <c r="K4" i="112"/>
  <c r="J4" i="112"/>
  <c r="H4" i="112"/>
  <c r="G4" i="112"/>
  <c r="F4" i="112"/>
  <c r="L3" i="112"/>
  <c r="L16" i="112" s="1"/>
  <c r="E37" i="123" s="1"/>
  <c r="K3" i="112"/>
  <c r="K16" i="112" s="1"/>
  <c r="B37" i="123" s="1"/>
  <c r="J3" i="112"/>
  <c r="J16" i="112" s="1"/>
  <c r="H3" i="112"/>
  <c r="L10" i="112" s="1"/>
  <c r="F3" i="112"/>
  <c r="G3" i="112" s="1"/>
  <c r="H42" i="111"/>
  <c r="F42" i="111"/>
  <c r="G42" i="111" s="1"/>
  <c r="A42" i="111"/>
  <c r="H41" i="111"/>
  <c r="F41" i="111"/>
  <c r="G41" i="111" s="1"/>
  <c r="A41" i="111"/>
  <c r="H40" i="111"/>
  <c r="F40" i="111"/>
  <c r="G40" i="111" s="1"/>
  <c r="A40" i="111"/>
  <c r="H39" i="111"/>
  <c r="F39" i="111"/>
  <c r="G39" i="111" s="1"/>
  <c r="A39" i="111"/>
  <c r="H38" i="111"/>
  <c r="F38" i="111"/>
  <c r="G38" i="111" s="1"/>
  <c r="A38" i="111"/>
  <c r="H37" i="111"/>
  <c r="F37" i="111"/>
  <c r="G37" i="111" s="1"/>
  <c r="A37" i="111"/>
  <c r="H36" i="111"/>
  <c r="F36" i="111"/>
  <c r="G36" i="111" s="1"/>
  <c r="A36" i="111"/>
  <c r="H35" i="111"/>
  <c r="F35" i="111"/>
  <c r="G35" i="111" s="1"/>
  <c r="A35" i="111"/>
  <c r="H34" i="111"/>
  <c r="F34" i="111"/>
  <c r="G34" i="111" s="1"/>
  <c r="A34" i="111"/>
  <c r="H33" i="111"/>
  <c r="F33" i="111"/>
  <c r="G33" i="111" s="1"/>
  <c r="A33" i="111"/>
  <c r="H32" i="111"/>
  <c r="F32" i="111"/>
  <c r="G32" i="111" s="1"/>
  <c r="H31" i="111"/>
  <c r="L5" i="111" s="1"/>
  <c r="F31" i="111"/>
  <c r="H30" i="111"/>
  <c r="F30" i="111"/>
  <c r="G30" i="111" s="1"/>
  <c r="H29" i="111"/>
  <c r="G29" i="111"/>
  <c r="F29" i="111"/>
  <c r="H28" i="111"/>
  <c r="F28" i="111"/>
  <c r="G28" i="111" s="1"/>
  <c r="H27" i="111"/>
  <c r="L7" i="111" s="1"/>
  <c r="F27" i="111"/>
  <c r="J7" i="111" s="1"/>
  <c r="H26" i="111"/>
  <c r="F26" i="111"/>
  <c r="G26" i="111" s="1"/>
  <c r="H25" i="111"/>
  <c r="G25" i="111"/>
  <c r="F25" i="111"/>
  <c r="H24" i="111"/>
  <c r="F24" i="111"/>
  <c r="G24" i="111" s="1"/>
  <c r="H23" i="111"/>
  <c r="F23" i="111"/>
  <c r="G23" i="111" s="1"/>
  <c r="H22" i="111"/>
  <c r="F22" i="111"/>
  <c r="G22" i="111" s="1"/>
  <c r="L21" i="111"/>
  <c r="J21" i="111"/>
  <c r="I36" i="123" s="1"/>
  <c r="H21" i="111"/>
  <c r="F21" i="111"/>
  <c r="G21" i="111" s="1"/>
  <c r="H20" i="111"/>
  <c r="F20" i="111"/>
  <c r="G20" i="111" s="1"/>
  <c r="H19" i="111"/>
  <c r="F19" i="111"/>
  <c r="G19" i="111" s="1"/>
  <c r="L18" i="111"/>
  <c r="K18" i="111"/>
  <c r="H18" i="111"/>
  <c r="F18" i="111"/>
  <c r="G18" i="111" s="1"/>
  <c r="H17" i="111"/>
  <c r="F17" i="111"/>
  <c r="G17" i="111" s="1"/>
  <c r="K16" i="111"/>
  <c r="J16" i="111"/>
  <c r="H16" i="111"/>
  <c r="F16" i="111"/>
  <c r="G16" i="111" s="1"/>
  <c r="H15" i="111"/>
  <c r="G15" i="111" s="1"/>
  <c r="F15" i="111"/>
  <c r="A15" i="111"/>
  <c r="H14" i="111"/>
  <c r="G14" i="111"/>
  <c r="F14" i="111"/>
  <c r="H13" i="111"/>
  <c r="F13" i="111"/>
  <c r="G13" i="111" s="1"/>
  <c r="L12" i="111"/>
  <c r="L19" i="111" s="1"/>
  <c r="G36" i="123" s="1"/>
  <c r="K12" i="111"/>
  <c r="K19" i="111" s="1"/>
  <c r="D36" i="123" s="1"/>
  <c r="J12" i="111"/>
  <c r="J19" i="111" s="1"/>
  <c r="H12" i="111"/>
  <c r="F12" i="111"/>
  <c r="G12" i="111" s="1"/>
  <c r="L11" i="111"/>
  <c r="K11" i="111"/>
  <c r="J11" i="111"/>
  <c r="J18" i="111" s="1"/>
  <c r="H11" i="111"/>
  <c r="F11" i="111"/>
  <c r="G11" i="111" s="1"/>
  <c r="H10" i="111"/>
  <c r="F10" i="111"/>
  <c r="G10" i="111" s="1"/>
  <c r="L9" i="111"/>
  <c r="J9" i="111"/>
  <c r="H9" i="111"/>
  <c r="L4" i="111" s="1"/>
  <c r="G9" i="111"/>
  <c r="F9" i="111"/>
  <c r="L8" i="111"/>
  <c r="K8" i="111"/>
  <c r="J8" i="111"/>
  <c r="H8" i="111"/>
  <c r="F8" i="111"/>
  <c r="G8" i="111" s="1"/>
  <c r="H7" i="111"/>
  <c r="F7" i="111"/>
  <c r="G7" i="111" s="1"/>
  <c r="L6" i="111"/>
  <c r="H6" i="111"/>
  <c r="G6" i="111" s="1"/>
  <c r="K4" i="111" s="1"/>
  <c r="F6" i="111"/>
  <c r="H5" i="111"/>
  <c r="F5" i="111"/>
  <c r="G5" i="111" s="1"/>
  <c r="H4" i="111"/>
  <c r="L10" i="111" s="1"/>
  <c r="F4" i="111"/>
  <c r="J10" i="111" s="1"/>
  <c r="L3" i="111"/>
  <c r="L16" i="111" s="1"/>
  <c r="E36" i="123" s="1"/>
  <c r="K3" i="111"/>
  <c r="J3" i="111"/>
  <c r="H3" i="111"/>
  <c r="F3" i="111"/>
  <c r="J6" i="111" s="1"/>
  <c r="H42" i="113"/>
  <c r="G42" i="113"/>
  <c r="F42" i="113"/>
  <c r="A42" i="113"/>
  <c r="H41" i="113"/>
  <c r="F41" i="113"/>
  <c r="G41" i="113" s="1"/>
  <c r="A41" i="113"/>
  <c r="H40" i="113"/>
  <c r="F40" i="113"/>
  <c r="G40" i="113" s="1"/>
  <c r="A40" i="113"/>
  <c r="H39" i="113"/>
  <c r="G39" i="113"/>
  <c r="F39" i="113"/>
  <c r="A39" i="113"/>
  <c r="H38" i="113"/>
  <c r="G38" i="113"/>
  <c r="F38" i="113"/>
  <c r="A38" i="113"/>
  <c r="H37" i="113"/>
  <c r="F37" i="113"/>
  <c r="G37" i="113" s="1"/>
  <c r="A37" i="113"/>
  <c r="H36" i="113"/>
  <c r="F36" i="113"/>
  <c r="G36" i="113" s="1"/>
  <c r="A36" i="113"/>
  <c r="H35" i="113"/>
  <c r="G35" i="113" s="1"/>
  <c r="F35" i="113"/>
  <c r="A35" i="113"/>
  <c r="H34" i="113"/>
  <c r="G34" i="113"/>
  <c r="F34" i="113"/>
  <c r="A34" i="113"/>
  <c r="H33" i="113"/>
  <c r="F33" i="113"/>
  <c r="G33" i="113" s="1"/>
  <c r="A33" i="113"/>
  <c r="H32" i="113"/>
  <c r="F32" i="113"/>
  <c r="G32" i="113" s="1"/>
  <c r="A32" i="113"/>
  <c r="H31" i="113"/>
  <c r="G31" i="113"/>
  <c r="F31" i="113"/>
  <c r="A31" i="113"/>
  <c r="H30" i="113"/>
  <c r="G30" i="113"/>
  <c r="F30" i="113"/>
  <c r="A30" i="113"/>
  <c r="H29" i="113"/>
  <c r="F29" i="113"/>
  <c r="G29" i="113" s="1"/>
  <c r="A29" i="113"/>
  <c r="H28" i="113"/>
  <c r="F28" i="113"/>
  <c r="G28" i="113" s="1"/>
  <c r="H27" i="113"/>
  <c r="G27" i="113"/>
  <c r="F27" i="113"/>
  <c r="H26" i="113"/>
  <c r="G26" i="113"/>
  <c r="F26" i="113"/>
  <c r="H25" i="113"/>
  <c r="F25" i="113"/>
  <c r="G25" i="113" s="1"/>
  <c r="H24" i="113"/>
  <c r="F24" i="113"/>
  <c r="G24" i="113" s="1"/>
  <c r="K10" i="113" s="1"/>
  <c r="H23" i="113"/>
  <c r="F23" i="113"/>
  <c r="G23" i="113" s="1"/>
  <c r="H22" i="113"/>
  <c r="G22" i="113"/>
  <c r="F22" i="113"/>
  <c r="H21" i="113"/>
  <c r="F21" i="113"/>
  <c r="G21" i="113" s="1"/>
  <c r="H20" i="113"/>
  <c r="F20" i="113"/>
  <c r="G20" i="113" s="1"/>
  <c r="H19" i="113"/>
  <c r="F19" i="113"/>
  <c r="G19" i="113" s="1"/>
  <c r="J18" i="113"/>
  <c r="H18" i="113"/>
  <c r="G18" i="113"/>
  <c r="F18" i="113"/>
  <c r="H17" i="113"/>
  <c r="G17" i="113"/>
  <c r="F17" i="113"/>
  <c r="H16" i="113"/>
  <c r="G16" i="113"/>
  <c r="F16" i="113"/>
  <c r="H15" i="113"/>
  <c r="F15" i="113"/>
  <c r="G15" i="113" s="1"/>
  <c r="H14" i="113"/>
  <c r="F14" i="113"/>
  <c r="G14" i="113" s="1"/>
  <c r="H13" i="113"/>
  <c r="F13" i="113"/>
  <c r="G13" i="113" s="1"/>
  <c r="L12" i="113"/>
  <c r="L19" i="113" s="1"/>
  <c r="G38" i="123" s="1"/>
  <c r="K12" i="113"/>
  <c r="K19" i="113" s="1"/>
  <c r="D38" i="123" s="1"/>
  <c r="J12" i="113"/>
  <c r="J19" i="113" s="1"/>
  <c r="H12" i="113"/>
  <c r="G12" i="113"/>
  <c r="F12" i="113"/>
  <c r="L11" i="113"/>
  <c r="L18" i="113" s="1"/>
  <c r="K11" i="113"/>
  <c r="K18" i="113" s="1"/>
  <c r="J11" i="113"/>
  <c r="H11" i="113"/>
  <c r="F11" i="113"/>
  <c r="G11" i="113" s="1"/>
  <c r="L10" i="113"/>
  <c r="J10" i="113"/>
  <c r="H10" i="113"/>
  <c r="F10" i="113"/>
  <c r="G10" i="113" s="1"/>
  <c r="L9" i="113"/>
  <c r="K9" i="113"/>
  <c r="J9" i="113"/>
  <c r="J21" i="113" s="1"/>
  <c r="I38" i="123" s="1"/>
  <c r="H9" i="113"/>
  <c r="F9" i="113"/>
  <c r="G9" i="113" s="1"/>
  <c r="L8" i="113"/>
  <c r="L21" i="113" s="1"/>
  <c r="K8" i="113"/>
  <c r="K21" i="113" s="1"/>
  <c r="J8" i="113"/>
  <c r="H8" i="113"/>
  <c r="L4" i="113" s="1"/>
  <c r="L17" i="113" s="1"/>
  <c r="F38" i="123" s="1"/>
  <c r="F8" i="113"/>
  <c r="G8" i="113" s="1"/>
  <c r="L7" i="113"/>
  <c r="K7" i="113"/>
  <c r="J7" i="113"/>
  <c r="H7" i="113"/>
  <c r="F7" i="113"/>
  <c r="G7" i="113" s="1"/>
  <c r="L6" i="113"/>
  <c r="K6" i="113"/>
  <c r="J6" i="113"/>
  <c r="H6" i="113"/>
  <c r="F6" i="113"/>
  <c r="G6" i="113" s="1"/>
  <c r="L5" i="113"/>
  <c r="K5" i="113"/>
  <c r="J5" i="113"/>
  <c r="H5" i="113"/>
  <c r="F5" i="113"/>
  <c r="G5" i="113" s="1"/>
  <c r="J4" i="113"/>
  <c r="J17" i="113" s="1"/>
  <c r="H4" i="113"/>
  <c r="G4" i="113"/>
  <c r="F4" i="113"/>
  <c r="H3" i="113"/>
  <c r="L3" i="113" s="1"/>
  <c r="L16" i="113" s="1"/>
  <c r="E38" i="123" s="1"/>
  <c r="F3" i="113"/>
  <c r="J3" i="113" s="1"/>
  <c r="J16" i="113" s="1"/>
  <c r="H42" i="110"/>
  <c r="F42" i="110"/>
  <c r="G42" i="110" s="1"/>
  <c r="A42" i="110"/>
  <c r="H41" i="110"/>
  <c r="F41" i="110"/>
  <c r="G41" i="110" s="1"/>
  <c r="A41" i="110"/>
  <c r="H40" i="110"/>
  <c r="G40" i="110" s="1"/>
  <c r="F40" i="110"/>
  <c r="A40" i="110"/>
  <c r="H39" i="110"/>
  <c r="G39" i="110"/>
  <c r="F39" i="110"/>
  <c r="A39" i="110"/>
  <c r="H38" i="110"/>
  <c r="F38" i="110"/>
  <c r="G38" i="110" s="1"/>
  <c r="A38" i="110"/>
  <c r="H37" i="110"/>
  <c r="F37" i="110"/>
  <c r="G37" i="110" s="1"/>
  <c r="A37" i="110"/>
  <c r="H36" i="110"/>
  <c r="G36" i="110"/>
  <c r="F36" i="110"/>
  <c r="H35" i="110"/>
  <c r="F35" i="110"/>
  <c r="G35" i="110" s="1"/>
  <c r="H34" i="110"/>
  <c r="G34" i="110"/>
  <c r="F34" i="110"/>
  <c r="H33" i="110"/>
  <c r="F33" i="110"/>
  <c r="G33" i="110" s="1"/>
  <c r="H32" i="110"/>
  <c r="F32" i="110"/>
  <c r="G32" i="110" s="1"/>
  <c r="H31" i="110"/>
  <c r="G31" i="110"/>
  <c r="F31" i="110"/>
  <c r="H30" i="110"/>
  <c r="G30" i="110"/>
  <c r="F30" i="110"/>
  <c r="H29" i="110"/>
  <c r="F29" i="110"/>
  <c r="G29" i="110" s="1"/>
  <c r="H28" i="110"/>
  <c r="F28" i="110"/>
  <c r="G28" i="110" s="1"/>
  <c r="K4" i="110" s="1"/>
  <c r="H27" i="110"/>
  <c r="F27" i="110"/>
  <c r="G27" i="110" s="1"/>
  <c r="H26" i="110"/>
  <c r="F26" i="110"/>
  <c r="G26" i="110" s="1"/>
  <c r="H25" i="110"/>
  <c r="F25" i="110"/>
  <c r="G25" i="110" s="1"/>
  <c r="H24" i="110"/>
  <c r="G24" i="110"/>
  <c r="F24" i="110"/>
  <c r="H23" i="110"/>
  <c r="F23" i="110"/>
  <c r="G23" i="110" s="1"/>
  <c r="H22" i="110"/>
  <c r="F22" i="110"/>
  <c r="G22" i="110" s="1"/>
  <c r="L21" i="110"/>
  <c r="K21" i="110"/>
  <c r="J21" i="110"/>
  <c r="I35" i="123" s="1"/>
  <c r="H21" i="110"/>
  <c r="L3" i="110" s="1"/>
  <c r="L16" i="110" s="1"/>
  <c r="E35" i="123" s="1"/>
  <c r="F21" i="110"/>
  <c r="H20" i="110"/>
  <c r="G20" i="110"/>
  <c r="F20" i="110"/>
  <c r="H19" i="110"/>
  <c r="L4" i="110" s="1"/>
  <c r="F19" i="110"/>
  <c r="G19" i="110" s="1"/>
  <c r="H18" i="110"/>
  <c r="G18" i="110"/>
  <c r="F18" i="110"/>
  <c r="H17" i="110"/>
  <c r="G17" i="110"/>
  <c r="F17" i="110"/>
  <c r="H16" i="110"/>
  <c r="F16" i="110"/>
  <c r="G16" i="110" s="1"/>
  <c r="H15" i="110"/>
  <c r="G15" i="110"/>
  <c r="F15" i="110"/>
  <c r="A15" i="110"/>
  <c r="H14" i="110"/>
  <c r="F14" i="110"/>
  <c r="G14" i="110" s="1"/>
  <c r="H13" i="110"/>
  <c r="G13" i="110"/>
  <c r="F13" i="110"/>
  <c r="L12" i="110"/>
  <c r="L19" i="110" s="1"/>
  <c r="G35" i="123" s="1"/>
  <c r="K12" i="110"/>
  <c r="K19" i="110" s="1"/>
  <c r="D35" i="123" s="1"/>
  <c r="J12" i="110"/>
  <c r="J19" i="110" s="1"/>
  <c r="H12" i="110"/>
  <c r="F12" i="110"/>
  <c r="G12" i="110" s="1"/>
  <c r="L11" i="110"/>
  <c r="L18" i="110" s="1"/>
  <c r="K11" i="110"/>
  <c r="K18" i="110" s="1"/>
  <c r="J11" i="110"/>
  <c r="J18" i="110" s="1"/>
  <c r="H11" i="110"/>
  <c r="G11" i="110"/>
  <c r="F11" i="110"/>
  <c r="L10" i="110"/>
  <c r="K10" i="110"/>
  <c r="J10" i="110"/>
  <c r="H10" i="110"/>
  <c r="F10" i="110"/>
  <c r="G10" i="110" s="1"/>
  <c r="L9" i="110"/>
  <c r="K9" i="110"/>
  <c r="J9" i="110"/>
  <c r="H9" i="110"/>
  <c r="F9" i="110"/>
  <c r="G9" i="110" s="1"/>
  <c r="L8" i="110"/>
  <c r="K8" i="110"/>
  <c r="J8" i="110"/>
  <c r="H8" i="110"/>
  <c r="G8" i="110"/>
  <c r="F8" i="110"/>
  <c r="J7" i="110"/>
  <c r="H7" i="110"/>
  <c r="L5" i="110" s="1"/>
  <c r="F7" i="110"/>
  <c r="J5" i="110" s="1"/>
  <c r="L6" i="110"/>
  <c r="K6" i="110"/>
  <c r="J6" i="110"/>
  <c r="H6" i="110"/>
  <c r="L7" i="110" s="1"/>
  <c r="G6" i="110"/>
  <c r="K7" i="110" s="1"/>
  <c r="F6" i="110"/>
  <c r="H5" i="110"/>
  <c r="G5" i="110"/>
  <c r="F5" i="110"/>
  <c r="H4" i="110"/>
  <c r="F4" i="110"/>
  <c r="G4" i="110" s="1"/>
  <c r="H3" i="110"/>
  <c r="G3" i="110"/>
  <c r="F3" i="110"/>
  <c r="H42" i="109"/>
  <c r="F42" i="109"/>
  <c r="G42" i="109" s="1"/>
  <c r="A42" i="109"/>
  <c r="H41" i="109"/>
  <c r="F41" i="109"/>
  <c r="G41" i="109" s="1"/>
  <c r="A41" i="109"/>
  <c r="H40" i="109"/>
  <c r="F40" i="109"/>
  <c r="G40" i="109" s="1"/>
  <c r="A40" i="109"/>
  <c r="H39" i="109"/>
  <c r="F39" i="109"/>
  <c r="G39" i="109" s="1"/>
  <c r="A39" i="109"/>
  <c r="H38" i="109"/>
  <c r="F38" i="109"/>
  <c r="G38" i="109" s="1"/>
  <c r="A38" i="109"/>
  <c r="H37" i="109"/>
  <c r="F37" i="109"/>
  <c r="G37" i="109" s="1"/>
  <c r="A37" i="109"/>
  <c r="H36" i="109"/>
  <c r="F36" i="109"/>
  <c r="G36" i="109" s="1"/>
  <c r="A36" i="109"/>
  <c r="H35" i="109"/>
  <c r="F35" i="109"/>
  <c r="G35" i="109" s="1"/>
  <c r="A35" i="109"/>
  <c r="H34" i="109"/>
  <c r="F34" i="109"/>
  <c r="G34" i="109" s="1"/>
  <c r="A34" i="109"/>
  <c r="H33" i="109"/>
  <c r="F33" i="109"/>
  <c r="G33" i="109" s="1"/>
  <c r="A33" i="109"/>
  <c r="H32" i="109"/>
  <c r="F32" i="109"/>
  <c r="G32" i="109" s="1"/>
  <c r="A32" i="109"/>
  <c r="H31" i="109"/>
  <c r="F31" i="109"/>
  <c r="G31" i="109" s="1"/>
  <c r="A31" i="109"/>
  <c r="H30" i="109"/>
  <c r="F30" i="109"/>
  <c r="G30" i="109" s="1"/>
  <c r="A30" i="109"/>
  <c r="H29" i="109"/>
  <c r="F29" i="109"/>
  <c r="G29" i="109" s="1"/>
  <c r="A29" i="109"/>
  <c r="H28" i="109"/>
  <c r="F28" i="109"/>
  <c r="G28" i="109" s="1"/>
  <c r="A28" i="109"/>
  <c r="H27" i="109"/>
  <c r="F27" i="109"/>
  <c r="G27" i="109" s="1"/>
  <c r="A27" i="109"/>
  <c r="H26" i="109"/>
  <c r="F26" i="109"/>
  <c r="G26" i="109" s="1"/>
  <c r="A26" i="109"/>
  <c r="H25" i="109"/>
  <c r="F25" i="109"/>
  <c r="G25" i="109" s="1"/>
  <c r="A25" i="109"/>
  <c r="H24" i="109"/>
  <c r="F24" i="109"/>
  <c r="G24" i="109" s="1"/>
  <c r="A24" i="109"/>
  <c r="H23" i="109"/>
  <c r="F23" i="109"/>
  <c r="G23" i="109" s="1"/>
  <c r="A23" i="109"/>
  <c r="H22" i="109"/>
  <c r="F22" i="109"/>
  <c r="G22" i="109" s="1"/>
  <c r="H21" i="109"/>
  <c r="F21" i="109"/>
  <c r="G21" i="109" s="1"/>
  <c r="H20" i="109"/>
  <c r="F20" i="109"/>
  <c r="G20" i="109" s="1"/>
  <c r="J19" i="109"/>
  <c r="H19" i="109"/>
  <c r="F19" i="109"/>
  <c r="G19" i="109" s="1"/>
  <c r="K18" i="109"/>
  <c r="H18" i="109"/>
  <c r="F18" i="109"/>
  <c r="G18" i="109" s="1"/>
  <c r="H17" i="109"/>
  <c r="F17" i="109"/>
  <c r="G17" i="109" s="1"/>
  <c r="H16" i="109"/>
  <c r="F16" i="109"/>
  <c r="G16" i="109" s="1"/>
  <c r="H15" i="109"/>
  <c r="F15" i="109"/>
  <c r="G15" i="109" s="1"/>
  <c r="H14" i="109"/>
  <c r="F14" i="109"/>
  <c r="G14" i="109" s="1"/>
  <c r="H13" i="109"/>
  <c r="F13" i="109"/>
  <c r="G13" i="109" s="1"/>
  <c r="L12" i="109"/>
  <c r="L19" i="109" s="1"/>
  <c r="G34" i="123" s="1"/>
  <c r="K12" i="109"/>
  <c r="K19" i="109" s="1"/>
  <c r="D34" i="123" s="1"/>
  <c r="J12" i="109"/>
  <c r="H12" i="109"/>
  <c r="F12" i="109"/>
  <c r="G12" i="109" s="1"/>
  <c r="L11" i="109"/>
  <c r="L18" i="109" s="1"/>
  <c r="K11" i="109"/>
  <c r="J11" i="109"/>
  <c r="J18" i="109" s="1"/>
  <c r="H11" i="109"/>
  <c r="F11" i="109"/>
  <c r="G11" i="109" s="1"/>
  <c r="L10" i="109"/>
  <c r="K10" i="109"/>
  <c r="J10" i="109"/>
  <c r="H10" i="109"/>
  <c r="G10" i="109"/>
  <c r="F10" i="109"/>
  <c r="L9" i="109"/>
  <c r="K9" i="109"/>
  <c r="J9" i="109"/>
  <c r="H9" i="109"/>
  <c r="F9" i="109"/>
  <c r="G9" i="109" s="1"/>
  <c r="L8" i="109"/>
  <c r="L21" i="109" s="1"/>
  <c r="K8" i="109"/>
  <c r="K21" i="109" s="1"/>
  <c r="J8" i="109"/>
  <c r="J21" i="109" s="1"/>
  <c r="I34" i="123" s="1"/>
  <c r="H8" i="109"/>
  <c r="F8" i="109"/>
  <c r="J3" i="109" s="1"/>
  <c r="J16" i="109" s="1"/>
  <c r="L7" i="109"/>
  <c r="K7" i="109"/>
  <c r="J7" i="109"/>
  <c r="H7" i="109"/>
  <c r="L3" i="109" s="1"/>
  <c r="L16" i="109" s="1"/>
  <c r="E34" i="123" s="1"/>
  <c r="F7" i="109"/>
  <c r="G7" i="109" s="1"/>
  <c r="L6" i="109"/>
  <c r="K6" i="109"/>
  <c r="J6" i="109"/>
  <c r="H6" i="109"/>
  <c r="G6" i="109"/>
  <c r="F6" i="109"/>
  <c r="L5" i="109"/>
  <c r="K5" i="109"/>
  <c r="J5" i="109"/>
  <c r="H5" i="109"/>
  <c r="G5" i="109" s="1"/>
  <c r="F5" i="109"/>
  <c r="H4" i="109"/>
  <c r="G4" i="109"/>
  <c r="F4" i="109"/>
  <c r="H3" i="109"/>
  <c r="L4" i="109" s="1"/>
  <c r="L17" i="109" s="1"/>
  <c r="F34" i="123" s="1"/>
  <c r="F3" i="109"/>
  <c r="G3" i="109" s="1"/>
  <c r="K4" i="109" s="1"/>
  <c r="K17" i="109" s="1"/>
  <c r="C34" i="123" s="1"/>
  <c r="H42" i="108"/>
  <c r="F42" i="108"/>
  <c r="G42" i="108" s="1"/>
  <c r="A42" i="108"/>
  <c r="H41" i="108"/>
  <c r="F41" i="108"/>
  <c r="G41" i="108" s="1"/>
  <c r="A41" i="108"/>
  <c r="H40" i="108"/>
  <c r="G40" i="108"/>
  <c r="F40" i="108"/>
  <c r="A40" i="108"/>
  <c r="H39" i="108"/>
  <c r="F39" i="108"/>
  <c r="G39" i="108" s="1"/>
  <c r="A39" i="108"/>
  <c r="H38" i="108"/>
  <c r="F38" i="108"/>
  <c r="G38" i="108" s="1"/>
  <c r="A38" i="108"/>
  <c r="H37" i="108"/>
  <c r="F37" i="108"/>
  <c r="G37" i="108" s="1"/>
  <c r="A37" i="108"/>
  <c r="H36" i="108"/>
  <c r="F36" i="108"/>
  <c r="G36" i="108" s="1"/>
  <c r="A36" i="108"/>
  <c r="H35" i="108"/>
  <c r="F35" i="108"/>
  <c r="G35" i="108" s="1"/>
  <c r="A35" i="108"/>
  <c r="H34" i="108"/>
  <c r="F34" i="108"/>
  <c r="G34" i="108" s="1"/>
  <c r="A34" i="108"/>
  <c r="H33" i="108"/>
  <c r="F33" i="108"/>
  <c r="G33" i="108" s="1"/>
  <c r="H32" i="108"/>
  <c r="L5" i="108" s="1"/>
  <c r="F32" i="108"/>
  <c r="J5" i="108" s="1"/>
  <c r="H31" i="108"/>
  <c r="F31" i="108"/>
  <c r="G31" i="108" s="1"/>
  <c r="H30" i="108"/>
  <c r="G30" i="108"/>
  <c r="F30" i="108"/>
  <c r="H29" i="108"/>
  <c r="F29" i="108"/>
  <c r="G29" i="108" s="1"/>
  <c r="H28" i="108"/>
  <c r="G28" i="108" s="1"/>
  <c r="F28" i="108"/>
  <c r="H27" i="108"/>
  <c r="G27" i="108"/>
  <c r="F27" i="108"/>
  <c r="H26" i="108"/>
  <c r="G26" i="108"/>
  <c r="F26" i="108"/>
  <c r="H25" i="108"/>
  <c r="F25" i="108"/>
  <c r="G25" i="108" s="1"/>
  <c r="H24" i="108"/>
  <c r="F24" i="108"/>
  <c r="G24" i="108" s="1"/>
  <c r="H23" i="108"/>
  <c r="F23" i="108"/>
  <c r="G23" i="108" s="1"/>
  <c r="H22" i="108"/>
  <c r="F22" i="108"/>
  <c r="G22" i="108" s="1"/>
  <c r="L21" i="108"/>
  <c r="H21" i="108"/>
  <c r="G21" i="108"/>
  <c r="F21" i="108"/>
  <c r="H20" i="108"/>
  <c r="F20" i="108"/>
  <c r="G20" i="108" s="1"/>
  <c r="L19" i="108"/>
  <c r="H19" i="108"/>
  <c r="F19" i="108"/>
  <c r="G19" i="108" s="1"/>
  <c r="J18" i="108"/>
  <c r="H18" i="108"/>
  <c r="F18" i="108"/>
  <c r="G18" i="108" s="1"/>
  <c r="H17" i="108"/>
  <c r="F17" i="108"/>
  <c r="G17" i="108" s="1"/>
  <c r="H16" i="108"/>
  <c r="F16" i="108"/>
  <c r="G16" i="108" s="1"/>
  <c r="H15" i="108"/>
  <c r="F15" i="108"/>
  <c r="G15" i="108" s="1"/>
  <c r="H14" i="108"/>
  <c r="F14" i="108"/>
  <c r="G14" i="108" s="1"/>
  <c r="H13" i="108"/>
  <c r="F13" i="108"/>
  <c r="G13" i="108" s="1"/>
  <c r="L12" i="108"/>
  <c r="K12" i="108"/>
  <c r="K19" i="108" s="1"/>
  <c r="D33" i="123" s="1"/>
  <c r="J12" i="108"/>
  <c r="J19" i="108" s="1"/>
  <c r="H12" i="108"/>
  <c r="G12" i="108"/>
  <c r="F12" i="108"/>
  <c r="L11" i="108"/>
  <c r="L18" i="108" s="1"/>
  <c r="K11" i="108"/>
  <c r="K18" i="108" s="1"/>
  <c r="J11" i="108"/>
  <c r="H11" i="108"/>
  <c r="L7" i="108" s="1"/>
  <c r="F11" i="108"/>
  <c r="J7" i="108" s="1"/>
  <c r="L10" i="108"/>
  <c r="K10" i="108"/>
  <c r="J10" i="108"/>
  <c r="H10" i="108"/>
  <c r="F10" i="108"/>
  <c r="G10" i="108" s="1"/>
  <c r="L9" i="108"/>
  <c r="J9" i="108"/>
  <c r="J21" i="108" s="1"/>
  <c r="I33" i="123" s="1"/>
  <c r="H9" i="108"/>
  <c r="G9" i="108"/>
  <c r="F9" i="108"/>
  <c r="L8" i="108"/>
  <c r="K8" i="108"/>
  <c r="J8" i="108"/>
  <c r="H8" i="108"/>
  <c r="G8" i="108" s="1"/>
  <c r="F8" i="108"/>
  <c r="H7" i="108"/>
  <c r="G7" i="108" s="1"/>
  <c r="K4" i="108" s="1"/>
  <c r="F7" i="108"/>
  <c r="L6" i="108"/>
  <c r="K6" i="108"/>
  <c r="J6" i="108"/>
  <c r="H6" i="108"/>
  <c r="F6" i="108"/>
  <c r="G6" i="108" s="1"/>
  <c r="H5" i="108"/>
  <c r="F5" i="108"/>
  <c r="G5" i="108" s="1"/>
  <c r="K9" i="108" s="1"/>
  <c r="K21" i="108" s="1"/>
  <c r="L4" i="108"/>
  <c r="J4" i="108"/>
  <c r="H4" i="108"/>
  <c r="F4" i="108"/>
  <c r="G4" i="108" s="1"/>
  <c r="L3" i="108"/>
  <c r="L16" i="108" s="1"/>
  <c r="E33" i="123" s="1"/>
  <c r="H3" i="108"/>
  <c r="G3" i="108" s="1"/>
  <c r="F3" i="108"/>
  <c r="H42" i="107"/>
  <c r="G42" i="107"/>
  <c r="F42" i="107"/>
  <c r="A42" i="107"/>
  <c r="H41" i="107"/>
  <c r="G41" i="107"/>
  <c r="F41" i="107"/>
  <c r="A41" i="107"/>
  <c r="H40" i="107"/>
  <c r="G40" i="107"/>
  <c r="F40" i="107"/>
  <c r="A40" i="107"/>
  <c r="H39" i="107"/>
  <c r="G39" i="107"/>
  <c r="F39" i="107"/>
  <c r="A39" i="107"/>
  <c r="H38" i="107"/>
  <c r="F38" i="107"/>
  <c r="G38" i="107" s="1"/>
  <c r="A38" i="107"/>
  <c r="H37" i="107"/>
  <c r="F37" i="107"/>
  <c r="G37" i="107" s="1"/>
  <c r="H36" i="107"/>
  <c r="L6" i="107" s="1"/>
  <c r="F36" i="107"/>
  <c r="J6" i="107" s="1"/>
  <c r="H35" i="107"/>
  <c r="F35" i="107"/>
  <c r="G35" i="107" s="1"/>
  <c r="H34" i="107"/>
  <c r="F34" i="107"/>
  <c r="G34" i="107" s="1"/>
  <c r="H33" i="107"/>
  <c r="G33" i="107"/>
  <c r="F33" i="107"/>
  <c r="H32" i="107"/>
  <c r="F32" i="107"/>
  <c r="G32" i="107" s="1"/>
  <c r="H31" i="107"/>
  <c r="G31" i="107"/>
  <c r="F31" i="107"/>
  <c r="H30" i="107"/>
  <c r="F30" i="107"/>
  <c r="G30" i="107" s="1"/>
  <c r="H29" i="107"/>
  <c r="G29" i="107"/>
  <c r="F29" i="107"/>
  <c r="H28" i="107"/>
  <c r="F28" i="107"/>
  <c r="G28" i="107" s="1"/>
  <c r="H27" i="107"/>
  <c r="F27" i="107"/>
  <c r="J4" i="107" s="1"/>
  <c r="H26" i="107"/>
  <c r="F26" i="107"/>
  <c r="G26" i="107" s="1"/>
  <c r="H25" i="107"/>
  <c r="L4" i="107" s="1"/>
  <c r="F25" i="107"/>
  <c r="G25" i="107" s="1"/>
  <c r="H24" i="107"/>
  <c r="F24" i="107"/>
  <c r="G24" i="107" s="1"/>
  <c r="H23" i="107"/>
  <c r="G23" i="107"/>
  <c r="F23" i="107"/>
  <c r="H22" i="107"/>
  <c r="F22" i="107"/>
  <c r="G22" i="107" s="1"/>
  <c r="H21" i="107"/>
  <c r="F21" i="107"/>
  <c r="G21" i="107" s="1"/>
  <c r="H20" i="107"/>
  <c r="F20" i="107"/>
  <c r="G20" i="107" s="1"/>
  <c r="H19" i="107"/>
  <c r="F19" i="107"/>
  <c r="G19" i="107" s="1"/>
  <c r="H18" i="107"/>
  <c r="F18" i="107"/>
  <c r="G18" i="107" s="1"/>
  <c r="H17" i="107"/>
  <c r="F17" i="107"/>
  <c r="G17" i="107" s="1"/>
  <c r="H16" i="107"/>
  <c r="F16" i="107"/>
  <c r="G16" i="107" s="1"/>
  <c r="H15" i="107"/>
  <c r="G15" i="107"/>
  <c r="F15" i="107"/>
  <c r="H14" i="107"/>
  <c r="F14" i="107"/>
  <c r="G14" i="107" s="1"/>
  <c r="H13" i="107"/>
  <c r="G13" i="107"/>
  <c r="F13" i="107"/>
  <c r="L12" i="107"/>
  <c r="L19" i="107" s="1"/>
  <c r="G32" i="123" s="1"/>
  <c r="K12" i="107"/>
  <c r="K19" i="107" s="1"/>
  <c r="D32" i="123" s="1"/>
  <c r="J12" i="107"/>
  <c r="J19" i="107" s="1"/>
  <c r="H12" i="107"/>
  <c r="F12" i="107"/>
  <c r="G12" i="107" s="1"/>
  <c r="L11" i="107"/>
  <c r="L18" i="107" s="1"/>
  <c r="K11" i="107"/>
  <c r="K18" i="107" s="1"/>
  <c r="J11" i="107"/>
  <c r="J18" i="107" s="1"/>
  <c r="H11" i="107"/>
  <c r="F11" i="107"/>
  <c r="G11" i="107" s="1"/>
  <c r="L10" i="107"/>
  <c r="K10" i="107"/>
  <c r="J10" i="107"/>
  <c r="H10" i="107"/>
  <c r="G10" i="107"/>
  <c r="F10" i="107"/>
  <c r="H9" i="107"/>
  <c r="G9" i="107"/>
  <c r="F9" i="107"/>
  <c r="L8" i="107"/>
  <c r="L21" i="107" s="1"/>
  <c r="K8" i="107"/>
  <c r="J8" i="107"/>
  <c r="H8" i="107"/>
  <c r="F8" i="107"/>
  <c r="G8" i="107" s="1"/>
  <c r="L7" i="107"/>
  <c r="K7" i="107"/>
  <c r="J7" i="107"/>
  <c r="H7" i="107"/>
  <c r="F7" i="107"/>
  <c r="G7" i="107" s="1"/>
  <c r="H6" i="107"/>
  <c r="L3" i="107" s="1"/>
  <c r="L16" i="107" s="1"/>
  <c r="E32" i="123" s="1"/>
  <c r="F6" i="107"/>
  <c r="J3" i="107" s="1"/>
  <c r="J16" i="107" s="1"/>
  <c r="L5" i="107"/>
  <c r="H5" i="107"/>
  <c r="L9" i="107" s="1"/>
  <c r="F5" i="107"/>
  <c r="J9" i="107" s="1"/>
  <c r="H4" i="107"/>
  <c r="G4" i="107"/>
  <c r="F4" i="107"/>
  <c r="H3" i="107"/>
  <c r="G3" i="107"/>
  <c r="F3" i="107"/>
  <c r="H42" i="106"/>
  <c r="F42" i="106"/>
  <c r="G42" i="106" s="1"/>
  <c r="A42" i="106"/>
  <c r="H41" i="106"/>
  <c r="F41" i="106"/>
  <c r="G41" i="106" s="1"/>
  <c r="A41" i="106"/>
  <c r="H40" i="106"/>
  <c r="F40" i="106"/>
  <c r="G40" i="106" s="1"/>
  <c r="A40" i="106"/>
  <c r="H39" i="106"/>
  <c r="F39" i="106"/>
  <c r="G39" i="106" s="1"/>
  <c r="A39" i="106"/>
  <c r="H38" i="106"/>
  <c r="G38" i="106"/>
  <c r="F38" i="106"/>
  <c r="A38" i="106"/>
  <c r="H37" i="106"/>
  <c r="F37" i="106"/>
  <c r="G37" i="106" s="1"/>
  <c r="A37" i="106"/>
  <c r="H36" i="106"/>
  <c r="F36" i="106"/>
  <c r="G36" i="106" s="1"/>
  <c r="A36" i="106"/>
  <c r="H35" i="106"/>
  <c r="G35" i="106" s="1"/>
  <c r="F35" i="106"/>
  <c r="A35" i="106"/>
  <c r="H34" i="106"/>
  <c r="F34" i="106"/>
  <c r="G34" i="106" s="1"/>
  <c r="A34" i="106"/>
  <c r="H33" i="106"/>
  <c r="F33" i="106"/>
  <c r="G33" i="106" s="1"/>
  <c r="A33" i="106"/>
  <c r="H32" i="106"/>
  <c r="F32" i="106"/>
  <c r="G32" i="106" s="1"/>
  <c r="A32" i="106"/>
  <c r="H31" i="106"/>
  <c r="F31" i="106"/>
  <c r="G31" i="106" s="1"/>
  <c r="A31" i="106"/>
  <c r="H30" i="106"/>
  <c r="G30" i="106"/>
  <c r="F30" i="106"/>
  <c r="H29" i="106"/>
  <c r="F29" i="106"/>
  <c r="G29" i="106" s="1"/>
  <c r="H28" i="106"/>
  <c r="F28" i="106"/>
  <c r="G28" i="106" s="1"/>
  <c r="H27" i="106"/>
  <c r="G27" i="106"/>
  <c r="F27" i="106"/>
  <c r="H26" i="106"/>
  <c r="G26" i="106" s="1"/>
  <c r="F26" i="106"/>
  <c r="H25" i="106"/>
  <c r="G25" i="106"/>
  <c r="F25" i="106"/>
  <c r="H24" i="106"/>
  <c r="F24" i="106"/>
  <c r="G24" i="106" s="1"/>
  <c r="H23" i="106"/>
  <c r="F23" i="106"/>
  <c r="G23" i="106" s="1"/>
  <c r="H22" i="106"/>
  <c r="F22" i="106"/>
  <c r="G22" i="106" s="1"/>
  <c r="H21" i="106"/>
  <c r="F21" i="106"/>
  <c r="G21" i="106" s="1"/>
  <c r="H20" i="106"/>
  <c r="F20" i="106"/>
  <c r="G20" i="106" s="1"/>
  <c r="K19" i="106"/>
  <c r="D31" i="123" s="1"/>
  <c r="H19" i="106"/>
  <c r="F19" i="106"/>
  <c r="G19" i="106" s="1"/>
  <c r="K18" i="106"/>
  <c r="H18" i="106"/>
  <c r="F18" i="106"/>
  <c r="G18" i="106" s="1"/>
  <c r="H17" i="106"/>
  <c r="F17" i="106"/>
  <c r="G17" i="106" s="1"/>
  <c r="H16" i="106"/>
  <c r="F16" i="106"/>
  <c r="G16" i="106" s="1"/>
  <c r="H15" i="106"/>
  <c r="F15" i="106"/>
  <c r="G15" i="106" s="1"/>
  <c r="H14" i="106"/>
  <c r="G14" i="106"/>
  <c r="F14" i="106"/>
  <c r="H13" i="106"/>
  <c r="F13" i="106"/>
  <c r="G13" i="106" s="1"/>
  <c r="L12" i="106"/>
  <c r="L19" i="106" s="1"/>
  <c r="G31" i="123" s="1"/>
  <c r="K12" i="106"/>
  <c r="J12" i="106"/>
  <c r="J19" i="106" s="1"/>
  <c r="H12" i="106"/>
  <c r="G12" i="106"/>
  <c r="F12" i="106"/>
  <c r="L11" i="106"/>
  <c r="L18" i="106" s="1"/>
  <c r="K11" i="106"/>
  <c r="J11" i="106"/>
  <c r="J18" i="106" s="1"/>
  <c r="H11" i="106"/>
  <c r="G11" i="106"/>
  <c r="F11" i="106"/>
  <c r="L10" i="106"/>
  <c r="K10" i="106"/>
  <c r="J10" i="106"/>
  <c r="H10" i="106"/>
  <c r="L5" i="106" s="1"/>
  <c r="F10" i="106"/>
  <c r="G10" i="106" s="1"/>
  <c r="J9" i="106"/>
  <c r="H9" i="106"/>
  <c r="F9" i="106"/>
  <c r="G9" i="106" s="1"/>
  <c r="L8" i="106"/>
  <c r="K8" i="106"/>
  <c r="J8" i="106"/>
  <c r="J21" i="106" s="1"/>
  <c r="I31" i="123" s="1"/>
  <c r="H8" i="106"/>
  <c r="L9" i="106" s="1"/>
  <c r="F8" i="106"/>
  <c r="G8" i="106" s="1"/>
  <c r="L7" i="106"/>
  <c r="K7" i="106"/>
  <c r="J7" i="106"/>
  <c r="H7" i="106"/>
  <c r="G7" i="106"/>
  <c r="F7" i="106"/>
  <c r="H6" i="106"/>
  <c r="G6" i="106" s="1"/>
  <c r="F6" i="106"/>
  <c r="H5" i="106"/>
  <c r="G5" i="106"/>
  <c r="F5" i="106"/>
  <c r="H4" i="106"/>
  <c r="L6" i="106" s="1"/>
  <c r="F4" i="106"/>
  <c r="J6" i="106" s="1"/>
  <c r="L3" i="106"/>
  <c r="L16" i="106" s="1"/>
  <c r="E31" i="123" s="1"/>
  <c r="K3" i="106"/>
  <c r="K16" i="106" s="1"/>
  <c r="B31" i="123" s="1"/>
  <c r="J3" i="106"/>
  <c r="J16" i="106" s="1"/>
  <c r="H3" i="106"/>
  <c r="L4" i="106" s="1"/>
  <c r="F3" i="106"/>
  <c r="J4" i="106" s="1"/>
  <c r="H42" i="104"/>
  <c r="G42" i="104"/>
  <c r="F42" i="104"/>
  <c r="A42" i="104"/>
  <c r="H41" i="104"/>
  <c r="F41" i="104"/>
  <c r="G41" i="104" s="1"/>
  <c r="A41" i="104"/>
  <c r="H40" i="104"/>
  <c r="F40" i="104"/>
  <c r="G40" i="104" s="1"/>
  <c r="A40" i="104"/>
  <c r="H39" i="104"/>
  <c r="F39" i="104"/>
  <c r="G39" i="104" s="1"/>
  <c r="A39" i="104"/>
  <c r="H38" i="104"/>
  <c r="F38" i="104"/>
  <c r="G38" i="104" s="1"/>
  <c r="H37" i="104"/>
  <c r="F37" i="104"/>
  <c r="G37" i="104" s="1"/>
  <c r="H36" i="104"/>
  <c r="F36" i="104"/>
  <c r="G36" i="104" s="1"/>
  <c r="H35" i="104"/>
  <c r="F35" i="104"/>
  <c r="G35" i="104" s="1"/>
  <c r="H34" i="104"/>
  <c r="F34" i="104"/>
  <c r="G34" i="104" s="1"/>
  <c r="H33" i="104"/>
  <c r="F33" i="104"/>
  <c r="G33" i="104" s="1"/>
  <c r="H32" i="104"/>
  <c r="F32" i="104"/>
  <c r="G32" i="104" s="1"/>
  <c r="H31" i="104"/>
  <c r="G31" i="104"/>
  <c r="F31" i="104"/>
  <c r="H30" i="104"/>
  <c r="F30" i="104"/>
  <c r="G30" i="104" s="1"/>
  <c r="H29" i="104"/>
  <c r="F29" i="104"/>
  <c r="G29" i="104" s="1"/>
  <c r="H28" i="104"/>
  <c r="F28" i="104"/>
  <c r="G28" i="104" s="1"/>
  <c r="H27" i="104"/>
  <c r="G27" i="104"/>
  <c r="K6" i="104" s="1"/>
  <c r="F27" i="104"/>
  <c r="H26" i="104"/>
  <c r="G26" i="104"/>
  <c r="F26" i="104"/>
  <c r="H25" i="104"/>
  <c r="F25" i="104"/>
  <c r="G25" i="104" s="1"/>
  <c r="H24" i="104"/>
  <c r="F24" i="104"/>
  <c r="G24" i="104" s="1"/>
  <c r="H23" i="104"/>
  <c r="L5" i="104" s="1"/>
  <c r="F23" i="104"/>
  <c r="G23" i="104" s="1"/>
  <c r="H22" i="104"/>
  <c r="G22" i="104"/>
  <c r="F22" i="104"/>
  <c r="H21" i="104"/>
  <c r="L4" i="104" s="1"/>
  <c r="L17" i="104" s="1"/>
  <c r="F29" i="123" s="1"/>
  <c r="F21" i="104"/>
  <c r="G21" i="104" s="1"/>
  <c r="H20" i="104"/>
  <c r="F20" i="104"/>
  <c r="G20" i="104" s="1"/>
  <c r="H19" i="104"/>
  <c r="F19" i="104"/>
  <c r="G19" i="104" s="1"/>
  <c r="H18" i="104"/>
  <c r="F18" i="104"/>
  <c r="G18" i="104" s="1"/>
  <c r="H17" i="104"/>
  <c r="F17" i="104"/>
  <c r="G17" i="104" s="1"/>
  <c r="K9" i="104" s="1"/>
  <c r="K21" i="104" s="1"/>
  <c r="L16" i="104"/>
  <c r="E29" i="123" s="1"/>
  <c r="K16" i="104"/>
  <c r="B29" i="123" s="1"/>
  <c r="J16" i="104"/>
  <c r="H16" i="104"/>
  <c r="F16" i="104"/>
  <c r="G16" i="104" s="1"/>
  <c r="H15" i="104"/>
  <c r="G15" i="104"/>
  <c r="F15" i="104"/>
  <c r="H14" i="104"/>
  <c r="F14" i="104"/>
  <c r="G14" i="104" s="1"/>
  <c r="H13" i="104"/>
  <c r="F13" i="104"/>
  <c r="G13" i="104" s="1"/>
  <c r="H12" i="104"/>
  <c r="G12" i="104"/>
  <c r="F12" i="104"/>
  <c r="L11" i="104"/>
  <c r="L18" i="104" s="1"/>
  <c r="K11" i="104"/>
  <c r="K18" i="104" s="1"/>
  <c r="J11" i="104"/>
  <c r="J18" i="104" s="1"/>
  <c r="H11" i="104"/>
  <c r="F11" i="104"/>
  <c r="G11" i="104" s="1"/>
  <c r="L10" i="104"/>
  <c r="K10" i="104"/>
  <c r="J10" i="104"/>
  <c r="H10" i="104"/>
  <c r="L12" i="104" s="1"/>
  <c r="L19" i="104" s="1"/>
  <c r="G29" i="123" s="1"/>
  <c r="F10" i="104"/>
  <c r="J12" i="104" s="1"/>
  <c r="J19" i="104" s="1"/>
  <c r="L9" i="104"/>
  <c r="H9" i="104"/>
  <c r="F9" i="104"/>
  <c r="G9" i="104" s="1"/>
  <c r="L8" i="104"/>
  <c r="L21" i="104" s="1"/>
  <c r="K8" i="104"/>
  <c r="J8" i="104"/>
  <c r="H8" i="104"/>
  <c r="G8" i="104"/>
  <c r="F8" i="104"/>
  <c r="L7" i="104"/>
  <c r="K7" i="104"/>
  <c r="J7" i="104"/>
  <c r="H7" i="104"/>
  <c r="G7" i="104"/>
  <c r="F7" i="104"/>
  <c r="L6" i="104"/>
  <c r="J6" i="104"/>
  <c r="H6" i="104"/>
  <c r="F6" i="104"/>
  <c r="G6" i="104" s="1"/>
  <c r="H5" i="104"/>
  <c r="F5" i="104"/>
  <c r="G5" i="104" s="1"/>
  <c r="J4" i="104"/>
  <c r="H4" i="104"/>
  <c r="F4" i="104"/>
  <c r="G4" i="104" s="1"/>
  <c r="L3" i="104"/>
  <c r="K3" i="104"/>
  <c r="J3" i="104"/>
  <c r="H3" i="104"/>
  <c r="G3" i="104"/>
  <c r="F3" i="104"/>
  <c r="H42" i="103"/>
  <c r="F42" i="103"/>
  <c r="G42" i="103" s="1"/>
  <c r="A42" i="103"/>
  <c r="H41" i="103"/>
  <c r="G41" i="103" s="1"/>
  <c r="F41" i="103"/>
  <c r="A41" i="103"/>
  <c r="H40" i="103"/>
  <c r="F40" i="103"/>
  <c r="G40" i="103" s="1"/>
  <c r="A40" i="103"/>
  <c r="H39" i="103"/>
  <c r="F39" i="103"/>
  <c r="G39" i="103" s="1"/>
  <c r="A39" i="103"/>
  <c r="H38" i="103"/>
  <c r="F38" i="103"/>
  <c r="G38" i="103" s="1"/>
  <c r="A38" i="103"/>
  <c r="H37" i="103"/>
  <c r="F37" i="103"/>
  <c r="G37" i="103" s="1"/>
  <c r="A37" i="103"/>
  <c r="H36" i="103"/>
  <c r="G36" i="103"/>
  <c r="F36" i="103"/>
  <c r="A36" i="103"/>
  <c r="H35" i="103"/>
  <c r="F35" i="103"/>
  <c r="G35" i="103" s="1"/>
  <c r="A35" i="103"/>
  <c r="H34" i="103"/>
  <c r="F34" i="103"/>
  <c r="G34" i="103" s="1"/>
  <c r="A34" i="103"/>
  <c r="H33" i="103"/>
  <c r="G33" i="103" s="1"/>
  <c r="F33" i="103"/>
  <c r="A33" i="103"/>
  <c r="H32" i="103"/>
  <c r="F32" i="103"/>
  <c r="G32" i="103" s="1"/>
  <c r="A32" i="103"/>
  <c r="H31" i="103"/>
  <c r="F31" i="103"/>
  <c r="G31" i="103" s="1"/>
  <c r="H30" i="103"/>
  <c r="F30" i="103"/>
  <c r="G30" i="103" s="1"/>
  <c r="H29" i="103"/>
  <c r="F29" i="103"/>
  <c r="G29" i="103" s="1"/>
  <c r="H28" i="103"/>
  <c r="F28" i="103"/>
  <c r="G28" i="103" s="1"/>
  <c r="H27" i="103"/>
  <c r="G27" i="103"/>
  <c r="F27" i="103"/>
  <c r="H26" i="103"/>
  <c r="F26" i="103"/>
  <c r="G26" i="103" s="1"/>
  <c r="H25" i="103"/>
  <c r="F25" i="103"/>
  <c r="G25" i="103" s="1"/>
  <c r="H24" i="103"/>
  <c r="L9" i="103" s="1"/>
  <c r="G24" i="103"/>
  <c r="K9" i="103" s="1"/>
  <c r="F24" i="103"/>
  <c r="H23" i="103"/>
  <c r="G23" i="103" s="1"/>
  <c r="F23" i="103"/>
  <c r="H22" i="103"/>
  <c r="F22" i="103"/>
  <c r="G22" i="103" s="1"/>
  <c r="H21" i="103"/>
  <c r="F21" i="103"/>
  <c r="G21" i="103" s="1"/>
  <c r="H20" i="103"/>
  <c r="F20" i="103"/>
  <c r="G20" i="103" s="1"/>
  <c r="H19" i="103"/>
  <c r="F19" i="103"/>
  <c r="G19" i="103" s="1"/>
  <c r="H18" i="103"/>
  <c r="G18" i="103"/>
  <c r="F18" i="103"/>
  <c r="H17" i="103"/>
  <c r="G17" i="103"/>
  <c r="F17" i="103"/>
  <c r="H16" i="103"/>
  <c r="F16" i="103"/>
  <c r="G16" i="103" s="1"/>
  <c r="H15" i="103"/>
  <c r="F15" i="103"/>
  <c r="G15" i="103" s="1"/>
  <c r="H14" i="103"/>
  <c r="F14" i="103"/>
  <c r="G14" i="103" s="1"/>
  <c r="K7" i="103" s="1"/>
  <c r="H13" i="103"/>
  <c r="F13" i="103"/>
  <c r="G13" i="103" s="1"/>
  <c r="L12" i="103"/>
  <c r="L19" i="103" s="1"/>
  <c r="G28" i="123" s="1"/>
  <c r="K12" i="103"/>
  <c r="K19" i="103" s="1"/>
  <c r="D28" i="123" s="1"/>
  <c r="J12" i="103"/>
  <c r="J19" i="103" s="1"/>
  <c r="H12" i="103"/>
  <c r="G12" i="103"/>
  <c r="F12" i="103"/>
  <c r="L11" i="103"/>
  <c r="L18" i="103" s="1"/>
  <c r="K11" i="103"/>
  <c r="K18" i="103" s="1"/>
  <c r="J11" i="103"/>
  <c r="J18" i="103" s="1"/>
  <c r="H11" i="103"/>
  <c r="F11" i="103"/>
  <c r="G11" i="103" s="1"/>
  <c r="L10" i="103"/>
  <c r="K10" i="103"/>
  <c r="J10" i="103"/>
  <c r="H10" i="103"/>
  <c r="G10" i="103" s="1"/>
  <c r="F10" i="103"/>
  <c r="J9" i="103"/>
  <c r="H9" i="103"/>
  <c r="F9" i="103"/>
  <c r="G9" i="103" s="1"/>
  <c r="L8" i="103"/>
  <c r="K8" i="103"/>
  <c r="J8" i="103"/>
  <c r="J21" i="103" s="1"/>
  <c r="I28" i="123" s="1"/>
  <c r="H8" i="103"/>
  <c r="F8" i="103"/>
  <c r="G8" i="103" s="1"/>
  <c r="L7" i="103"/>
  <c r="J7" i="103"/>
  <c r="H7" i="103"/>
  <c r="F7" i="103"/>
  <c r="G7" i="103" s="1"/>
  <c r="L6" i="103"/>
  <c r="K6" i="103"/>
  <c r="J6" i="103"/>
  <c r="H6" i="103"/>
  <c r="L4" i="103" s="1"/>
  <c r="F6" i="103"/>
  <c r="J4" i="103" s="1"/>
  <c r="H5" i="103"/>
  <c r="F5" i="103"/>
  <c r="G5" i="103" s="1"/>
  <c r="H4" i="103"/>
  <c r="F4" i="103"/>
  <c r="G4" i="103" s="1"/>
  <c r="L3" i="103"/>
  <c r="L16" i="103" s="1"/>
  <c r="E28" i="123" s="1"/>
  <c r="K3" i="103"/>
  <c r="K16" i="103" s="1"/>
  <c r="B28" i="123" s="1"/>
  <c r="J3" i="103"/>
  <c r="J16" i="103" s="1"/>
  <c r="H3" i="103"/>
  <c r="L5" i="103" s="1"/>
  <c r="F3" i="103"/>
  <c r="J5" i="103" s="1"/>
  <c r="H42" i="102"/>
  <c r="F42" i="102"/>
  <c r="G42" i="102" s="1"/>
  <c r="A42" i="102"/>
  <c r="H41" i="102"/>
  <c r="F41" i="102"/>
  <c r="G41" i="102" s="1"/>
  <c r="A41" i="102"/>
  <c r="H40" i="102"/>
  <c r="F40" i="102"/>
  <c r="G40" i="102" s="1"/>
  <c r="A40" i="102"/>
  <c r="H39" i="102"/>
  <c r="F39" i="102"/>
  <c r="G39" i="102" s="1"/>
  <c r="A39" i="102"/>
  <c r="H38" i="102"/>
  <c r="G38" i="102" s="1"/>
  <c r="F38" i="102"/>
  <c r="A38" i="102"/>
  <c r="H37" i="102"/>
  <c r="G37" i="102"/>
  <c r="F37" i="102"/>
  <c r="A37" i="102"/>
  <c r="H36" i="102"/>
  <c r="G36" i="102"/>
  <c r="F36" i="102"/>
  <c r="A36" i="102"/>
  <c r="H35" i="102"/>
  <c r="F35" i="102"/>
  <c r="G35" i="102" s="1"/>
  <c r="A35" i="102"/>
  <c r="H34" i="102"/>
  <c r="F34" i="102"/>
  <c r="G34" i="102" s="1"/>
  <c r="A34" i="102"/>
  <c r="H33" i="102"/>
  <c r="F33" i="102"/>
  <c r="G33" i="102" s="1"/>
  <c r="A33" i="102"/>
  <c r="H32" i="102"/>
  <c r="F32" i="102"/>
  <c r="G32" i="102" s="1"/>
  <c r="A32" i="102"/>
  <c r="H31" i="102"/>
  <c r="F31" i="102"/>
  <c r="G31" i="102" s="1"/>
  <c r="A31" i="102"/>
  <c r="H30" i="102"/>
  <c r="G30" i="102" s="1"/>
  <c r="F30" i="102"/>
  <c r="A30" i="102"/>
  <c r="H29" i="102"/>
  <c r="G29" i="102"/>
  <c r="F29" i="102"/>
  <c r="A29" i="102"/>
  <c r="H28" i="102"/>
  <c r="G28" i="102"/>
  <c r="F28" i="102"/>
  <c r="A28" i="102"/>
  <c r="H27" i="102"/>
  <c r="F27" i="102"/>
  <c r="G27" i="102" s="1"/>
  <c r="A27" i="102"/>
  <c r="H26" i="102"/>
  <c r="F26" i="102"/>
  <c r="G26" i="102" s="1"/>
  <c r="A26" i="102"/>
  <c r="H25" i="102"/>
  <c r="F25" i="102"/>
  <c r="G25" i="102" s="1"/>
  <c r="A25" i="102"/>
  <c r="H24" i="102"/>
  <c r="F24" i="102"/>
  <c r="G24" i="102" s="1"/>
  <c r="A24" i="102"/>
  <c r="H23" i="102"/>
  <c r="F23" i="102"/>
  <c r="G23" i="102" s="1"/>
  <c r="A23" i="102"/>
  <c r="H22" i="102"/>
  <c r="G22" i="102" s="1"/>
  <c r="F22" i="102"/>
  <c r="H21" i="102"/>
  <c r="G21" i="102"/>
  <c r="F21" i="102"/>
  <c r="H20" i="102"/>
  <c r="F20" i="102"/>
  <c r="G20" i="102" s="1"/>
  <c r="H19" i="102"/>
  <c r="F19" i="102"/>
  <c r="G19" i="102" s="1"/>
  <c r="H18" i="102"/>
  <c r="F18" i="102"/>
  <c r="G18" i="102" s="1"/>
  <c r="H17" i="102"/>
  <c r="F17" i="102"/>
  <c r="G17" i="102" s="1"/>
  <c r="L16" i="102"/>
  <c r="E27" i="123" s="1"/>
  <c r="K16" i="102"/>
  <c r="B27" i="123" s="1"/>
  <c r="H16" i="102"/>
  <c r="F16" i="102"/>
  <c r="G16" i="102" s="1"/>
  <c r="H15" i="102"/>
  <c r="F15" i="102"/>
  <c r="G15" i="102" s="1"/>
  <c r="H14" i="102"/>
  <c r="G14" i="102"/>
  <c r="F14" i="102"/>
  <c r="H13" i="102"/>
  <c r="G13" i="102"/>
  <c r="F13" i="102"/>
  <c r="L12" i="102"/>
  <c r="L19" i="102" s="1"/>
  <c r="G27" i="123" s="1"/>
  <c r="K12" i="102"/>
  <c r="K19" i="102" s="1"/>
  <c r="D27" i="123" s="1"/>
  <c r="J12" i="102"/>
  <c r="J19" i="102" s="1"/>
  <c r="H12" i="102"/>
  <c r="F12" i="102"/>
  <c r="G12" i="102" s="1"/>
  <c r="L11" i="102"/>
  <c r="L18" i="102" s="1"/>
  <c r="K11" i="102"/>
  <c r="K18" i="102" s="1"/>
  <c r="J11" i="102"/>
  <c r="J18" i="102" s="1"/>
  <c r="H11" i="102"/>
  <c r="L4" i="102" s="1"/>
  <c r="L17" i="102" s="1"/>
  <c r="F27" i="123" s="1"/>
  <c r="F11" i="102"/>
  <c r="J4" i="102" s="1"/>
  <c r="L10" i="102"/>
  <c r="K10" i="102"/>
  <c r="J10" i="102"/>
  <c r="H10" i="102"/>
  <c r="F10" i="102"/>
  <c r="G10" i="102" s="1"/>
  <c r="L9" i="102"/>
  <c r="J9" i="102"/>
  <c r="H9" i="102"/>
  <c r="F9" i="102"/>
  <c r="G9" i="102" s="1"/>
  <c r="L8" i="102"/>
  <c r="L21" i="102" s="1"/>
  <c r="K8" i="102"/>
  <c r="J8" i="102"/>
  <c r="J21" i="102" s="1"/>
  <c r="I27" i="123" s="1"/>
  <c r="H8" i="102"/>
  <c r="F8" i="102"/>
  <c r="G8" i="102" s="1"/>
  <c r="H7" i="102"/>
  <c r="L7" i="102" s="1"/>
  <c r="F7" i="102"/>
  <c r="G7" i="102" s="1"/>
  <c r="K7" i="102" s="1"/>
  <c r="L6" i="102"/>
  <c r="K6" i="102"/>
  <c r="J6" i="102"/>
  <c r="H6" i="102"/>
  <c r="F6" i="102"/>
  <c r="G6" i="102" s="1"/>
  <c r="J5" i="102"/>
  <c r="H5" i="102"/>
  <c r="L5" i="102" s="1"/>
  <c r="G5" i="102"/>
  <c r="F5" i="102"/>
  <c r="H4" i="102"/>
  <c r="G4" i="102" s="1"/>
  <c r="F4" i="102"/>
  <c r="L3" i="102"/>
  <c r="K3" i="102"/>
  <c r="J3" i="102"/>
  <c r="J16" i="102" s="1"/>
  <c r="H3" i="102"/>
  <c r="G3" i="102"/>
  <c r="K9" i="102" s="1"/>
  <c r="F3" i="102"/>
  <c r="H42" i="105"/>
  <c r="G42" i="105"/>
  <c r="F42" i="105"/>
  <c r="A42" i="105"/>
  <c r="H41" i="105"/>
  <c r="G41" i="105"/>
  <c r="F41" i="105"/>
  <c r="A41" i="105"/>
  <c r="H40" i="105"/>
  <c r="F40" i="105"/>
  <c r="G40" i="105" s="1"/>
  <c r="A40" i="105"/>
  <c r="H39" i="105"/>
  <c r="F39" i="105"/>
  <c r="G39" i="105" s="1"/>
  <c r="A39" i="105"/>
  <c r="H38" i="105"/>
  <c r="F38" i="105"/>
  <c r="G38" i="105" s="1"/>
  <c r="A38" i="105"/>
  <c r="H37" i="105"/>
  <c r="F37" i="105"/>
  <c r="G37" i="105" s="1"/>
  <c r="A37" i="105"/>
  <c r="H36" i="105"/>
  <c r="G36" i="105"/>
  <c r="F36" i="105"/>
  <c r="A36" i="105"/>
  <c r="H35" i="105"/>
  <c r="G35" i="105"/>
  <c r="F35" i="105"/>
  <c r="A35" i="105"/>
  <c r="H34" i="105"/>
  <c r="G34" i="105"/>
  <c r="F34" i="105"/>
  <c r="A34" i="105"/>
  <c r="H33" i="105"/>
  <c r="G33" i="105"/>
  <c r="F33" i="105"/>
  <c r="A33" i="105"/>
  <c r="H32" i="105"/>
  <c r="F32" i="105"/>
  <c r="G32" i="105" s="1"/>
  <c r="H31" i="105"/>
  <c r="F31" i="105"/>
  <c r="G31" i="105" s="1"/>
  <c r="H30" i="105"/>
  <c r="L4" i="105" s="1"/>
  <c r="L17" i="105" s="1"/>
  <c r="F30" i="123" s="1"/>
  <c r="F30" i="105"/>
  <c r="G30" i="105" s="1"/>
  <c r="H29" i="105"/>
  <c r="G29" i="105"/>
  <c r="F29" i="105"/>
  <c r="H28" i="105"/>
  <c r="F28" i="105"/>
  <c r="G28" i="105" s="1"/>
  <c r="H27" i="105"/>
  <c r="F27" i="105"/>
  <c r="G27" i="105" s="1"/>
  <c r="H26" i="105"/>
  <c r="F26" i="105"/>
  <c r="G26" i="105" s="1"/>
  <c r="H25" i="105"/>
  <c r="G25" i="105" s="1"/>
  <c r="F25" i="105"/>
  <c r="H24" i="105"/>
  <c r="G24" i="105"/>
  <c r="F24" i="105"/>
  <c r="H23" i="105"/>
  <c r="F23" i="105"/>
  <c r="G23" i="105" s="1"/>
  <c r="H22" i="105"/>
  <c r="F22" i="105"/>
  <c r="G22" i="105" s="1"/>
  <c r="H21" i="105"/>
  <c r="F21" i="105"/>
  <c r="G21" i="105" s="1"/>
  <c r="H20" i="105"/>
  <c r="F20" i="105"/>
  <c r="G20" i="105" s="1"/>
  <c r="H19" i="105"/>
  <c r="G19" i="105"/>
  <c r="F19" i="105"/>
  <c r="K18" i="105"/>
  <c r="H18" i="105"/>
  <c r="G18" i="105"/>
  <c r="F18" i="105"/>
  <c r="J4" i="105" s="1"/>
  <c r="H17" i="105"/>
  <c r="G17" i="105"/>
  <c r="F17" i="105"/>
  <c r="H16" i="105"/>
  <c r="F16" i="105"/>
  <c r="G16" i="105" s="1"/>
  <c r="H15" i="105"/>
  <c r="F15" i="105"/>
  <c r="G15" i="105" s="1"/>
  <c r="H14" i="105"/>
  <c r="F14" i="105"/>
  <c r="G14" i="105" s="1"/>
  <c r="H13" i="105"/>
  <c r="G13" i="105"/>
  <c r="F13" i="105"/>
  <c r="L12" i="105"/>
  <c r="L19" i="105" s="1"/>
  <c r="G30" i="123" s="1"/>
  <c r="K12" i="105"/>
  <c r="K19" i="105" s="1"/>
  <c r="D30" i="123" s="1"/>
  <c r="J12" i="105"/>
  <c r="J19" i="105" s="1"/>
  <c r="H12" i="105"/>
  <c r="L5" i="105" s="1"/>
  <c r="F12" i="105"/>
  <c r="G12" i="105" s="1"/>
  <c r="L11" i="105"/>
  <c r="L18" i="105" s="1"/>
  <c r="K11" i="105"/>
  <c r="J11" i="105"/>
  <c r="J18" i="105" s="1"/>
  <c r="H11" i="105"/>
  <c r="G11" i="105" s="1"/>
  <c r="F11" i="105"/>
  <c r="L10" i="105"/>
  <c r="K10" i="105"/>
  <c r="J10" i="105"/>
  <c r="H10" i="105"/>
  <c r="F10" i="105"/>
  <c r="G10" i="105" s="1"/>
  <c r="H9" i="105"/>
  <c r="L9" i="105" s="1"/>
  <c r="F9" i="105"/>
  <c r="G9" i="105" s="1"/>
  <c r="L8" i="105"/>
  <c r="K8" i="105"/>
  <c r="J8" i="105"/>
  <c r="H8" i="105"/>
  <c r="F8" i="105"/>
  <c r="G8" i="105" s="1"/>
  <c r="L7" i="105"/>
  <c r="K7" i="105"/>
  <c r="J7" i="105"/>
  <c r="H7" i="105"/>
  <c r="F7" i="105"/>
  <c r="G7" i="105" s="1"/>
  <c r="L6" i="105"/>
  <c r="K6" i="105"/>
  <c r="J6" i="105"/>
  <c r="H6" i="105"/>
  <c r="F6" i="105"/>
  <c r="G6" i="105" s="1"/>
  <c r="H5" i="105"/>
  <c r="F5" i="105"/>
  <c r="G5" i="105" s="1"/>
  <c r="H4" i="105"/>
  <c r="F4" i="105"/>
  <c r="G4" i="105" s="1"/>
  <c r="L3" i="105"/>
  <c r="L16" i="105" s="1"/>
  <c r="E30" i="123" s="1"/>
  <c r="K3" i="105"/>
  <c r="K16" i="105" s="1"/>
  <c r="B30" i="123" s="1"/>
  <c r="J3" i="105"/>
  <c r="J16" i="105" s="1"/>
  <c r="H3" i="105"/>
  <c r="F3" i="105"/>
  <c r="G3" i="105" s="1"/>
  <c r="H42" i="100"/>
  <c r="F42" i="100"/>
  <c r="G42" i="100" s="1"/>
  <c r="A42" i="100"/>
  <c r="H41" i="100"/>
  <c r="F41" i="100"/>
  <c r="G41" i="100" s="1"/>
  <c r="A41" i="100"/>
  <c r="H40" i="100"/>
  <c r="G40" i="100"/>
  <c r="F40" i="100"/>
  <c r="A40" i="100"/>
  <c r="H39" i="100"/>
  <c r="G39" i="100"/>
  <c r="F39" i="100"/>
  <c r="A39" i="100"/>
  <c r="H38" i="100"/>
  <c r="G38" i="100"/>
  <c r="F38" i="100"/>
  <c r="A38" i="100"/>
  <c r="H37" i="100"/>
  <c r="F37" i="100"/>
  <c r="G37" i="100" s="1"/>
  <c r="A37" i="100"/>
  <c r="H36" i="100"/>
  <c r="F36" i="100"/>
  <c r="G36" i="100" s="1"/>
  <c r="A36" i="100"/>
  <c r="H35" i="100"/>
  <c r="F35" i="100"/>
  <c r="G35" i="100" s="1"/>
  <c r="A35" i="100"/>
  <c r="H34" i="100"/>
  <c r="F34" i="100"/>
  <c r="G34" i="100" s="1"/>
  <c r="A34" i="100"/>
  <c r="H33" i="100"/>
  <c r="F33" i="100"/>
  <c r="G33" i="100" s="1"/>
  <c r="A33" i="100"/>
  <c r="H32" i="100"/>
  <c r="G32" i="100"/>
  <c r="F32" i="100"/>
  <c r="A32" i="100"/>
  <c r="H31" i="100"/>
  <c r="G31" i="100"/>
  <c r="F31" i="100"/>
  <c r="A31" i="100"/>
  <c r="H30" i="100"/>
  <c r="G30" i="100"/>
  <c r="F30" i="100"/>
  <c r="H29" i="100"/>
  <c r="F29" i="100"/>
  <c r="G29" i="100" s="1"/>
  <c r="H28" i="100"/>
  <c r="F28" i="100"/>
  <c r="G28" i="100" s="1"/>
  <c r="H27" i="100"/>
  <c r="F27" i="100"/>
  <c r="G27" i="100" s="1"/>
  <c r="H26" i="100"/>
  <c r="F26" i="100"/>
  <c r="G26" i="100" s="1"/>
  <c r="H25" i="100"/>
  <c r="F25" i="100"/>
  <c r="G25" i="100" s="1"/>
  <c r="H24" i="100"/>
  <c r="F24" i="100"/>
  <c r="G24" i="100" s="1"/>
  <c r="H23" i="100"/>
  <c r="F23" i="100"/>
  <c r="G23" i="100" s="1"/>
  <c r="H22" i="100"/>
  <c r="G22" i="100"/>
  <c r="F22" i="100"/>
  <c r="H21" i="100"/>
  <c r="G21" i="100"/>
  <c r="F21" i="100"/>
  <c r="H20" i="100"/>
  <c r="G20" i="100"/>
  <c r="F20" i="100"/>
  <c r="H19" i="100"/>
  <c r="F19" i="100"/>
  <c r="G19" i="100" s="1"/>
  <c r="H18" i="100"/>
  <c r="F18" i="100"/>
  <c r="G18" i="100" s="1"/>
  <c r="H17" i="100"/>
  <c r="F17" i="100"/>
  <c r="G17" i="100" s="1"/>
  <c r="L16" i="100"/>
  <c r="K16" i="100"/>
  <c r="B25" i="123" s="1"/>
  <c r="J16" i="100"/>
  <c r="H16" i="100"/>
  <c r="G16" i="100"/>
  <c r="F16" i="100"/>
  <c r="H15" i="100"/>
  <c r="F15" i="100"/>
  <c r="G15" i="100" s="1"/>
  <c r="H14" i="100"/>
  <c r="G14" i="100" s="1"/>
  <c r="F14" i="100"/>
  <c r="H13" i="100"/>
  <c r="F13" i="100"/>
  <c r="G13" i="100" s="1"/>
  <c r="L12" i="100"/>
  <c r="L19" i="100" s="1"/>
  <c r="G25" i="123" s="1"/>
  <c r="K12" i="100"/>
  <c r="K19" i="100" s="1"/>
  <c r="D25" i="123" s="1"/>
  <c r="J12" i="100"/>
  <c r="J19" i="100" s="1"/>
  <c r="H12" i="100"/>
  <c r="F12" i="100"/>
  <c r="G12" i="100" s="1"/>
  <c r="L11" i="100"/>
  <c r="L18" i="100" s="1"/>
  <c r="K11" i="100"/>
  <c r="K18" i="100" s="1"/>
  <c r="J11" i="100"/>
  <c r="J18" i="100" s="1"/>
  <c r="H11" i="100"/>
  <c r="L4" i="100" s="1"/>
  <c r="L17" i="100" s="1"/>
  <c r="F25" i="123" s="1"/>
  <c r="F11" i="100"/>
  <c r="G11" i="100" s="1"/>
  <c r="L10" i="100"/>
  <c r="K10" i="100"/>
  <c r="J10" i="100"/>
  <c r="H10" i="100"/>
  <c r="F10" i="100"/>
  <c r="G10" i="100" s="1"/>
  <c r="L9" i="100"/>
  <c r="L21" i="100" s="1"/>
  <c r="K9" i="100"/>
  <c r="J9" i="100"/>
  <c r="H9" i="100"/>
  <c r="F9" i="100"/>
  <c r="G9" i="100" s="1"/>
  <c r="L8" i="100"/>
  <c r="K8" i="100"/>
  <c r="K21" i="100" s="1"/>
  <c r="J8" i="100"/>
  <c r="J21" i="100" s="1"/>
  <c r="I25" i="123" s="1"/>
  <c r="H8" i="100"/>
  <c r="F8" i="100"/>
  <c r="G8" i="100" s="1"/>
  <c r="L7" i="100"/>
  <c r="K7" i="100"/>
  <c r="J7" i="100"/>
  <c r="H7" i="100"/>
  <c r="F7" i="100"/>
  <c r="G7" i="100" s="1"/>
  <c r="H6" i="100"/>
  <c r="L6" i="100" s="1"/>
  <c r="F6" i="100"/>
  <c r="G6" i="100" s="1"/>
  <c r="J5" i="100"/>
  <c r="H5" i="100"/>
  <c r="F5" i="100"/>
  <c r="G5" i="100" s="1"/>
  <c r="J4" i="100"/>
  <c r="H4" i="100"/>
  <c r="L5" i="100" s="1"/>
  <c r="F4" i="100"/>
  <c r="G4" i="100" s="1"/>
  <c r="L3" i="100"/>
  <c r="K3" i="100"/>
  <c r="J3" i="100"/>
  <c r="H3" i="100"/>
  <c r="G3" i="100" s="1"/>
  <c r="F3" i="100"/>
  <c r="H42" i="99"/>
  <c r="G42" i="99" s="1"/>
  <c r="F42" i="99"/>
  <c r="A42" i="99"/>
  <c r="H41" i="99"/>
  <c r="F41" i="99"/>
  <c r="G41" i="99" s="1"/>
  <c r="A41" i="99"/>
  <c r="H40" i="99"/>
  <c r="F40" i="99"/>
  <c r="G40" i="99" s="1"/>
  <c r="A40" i="99"/>
  <c r="H39" i="99"/>
  <c r="F39" i="99"/>
  <c r="G39" i="99" s="1"/>
  <c r="A39" i="99"/>
  <c r="H38" i="99"/>
  <c r="F38" i="99"/>
  <c r="G38" i="99" s="1"/>
  <c r="A38" i="99"/>
  <c r="H37" i="99"/>
  <c r="F37" i="99"/>
  <c r="G37" i="99" s="1"/>
  <c r="A37" i="99"/>
  <c r="H36" i="99"/>
  <c r="G36" i="99"/>
  <c r="F36" i="99"/>
  <c r="A36" i="99"/>
  <c r="H35" i="99"/>
  <c r="F35" i="99"/>
  <c r="G35" i="99" s="1"/>
  <c r="A35" i="99"/>
  <c r="H34" i="99"/>
  <c r="G34" i="99" s="1"/>
  <c r="F34" i="99"/>
  <c r="A34" i="99"/>
  <c r="H33" i="99"/>
  <c r="F33" i="99"/>
  <c r="G33" i="99" s="1"/>
  <c r="A33" i="99"/>
  <c r="H32" i="99"/>
  <c r="F32" i="99"/>
  <c r="G32" i="99" s="1"/>
  <c r="A32" i="99"/>
  <c r="H31" i="99"/>
  <c r="F31" i="99"/>
  <c r="G31" i="99" s="1"/>
  <c r="A31" i="99"/>
  <c r="H30" i="99"/>
  <c r="F30" i="99"/>
  <c r="G30" i="99" s="1"/>
  <c r="A30" i="99"/>
  <c r="H29" i="99"/>
  <c r="F29" i="99"/>
  <c r="G29" i="99" s="1"/>
  <c r="A29" i="99"/>
  <c r="H28" i="99"/>
  <c r="G28" i="99"/>
  <c r="F28" i="99"/>
  <c r="A28" i="99"/>
  <c r="H27" i="99"/>
  <c r="F27" i="99"/>
  <c r="G27" i="99" s="1"/>
  <c r="H26" i="99"/>
  <c r="G26" i="99" s="1"/>
  <c r="F26" i="99"/>
  <c r="H25" i="99"/>
  <c r="G25" i="99"/>
  <c r="F25" i="99"/>
  <c r="H24" i="99"/>
  <c r="F24" i="99"/>
  <c r="G24" i="99" s="1"/>
  <c r="H23" i="99"/>
  <c r="F23" i="99"/>
  <c r="G23" i="99" s="1"/>
  <c r="H22" i="99"/>
  <c r="F22" i="99"/>
  <c r="G22" i="99" s="1"/>
  <c r="H21" i="99"/>
  <c r="F21" i="99"/>
  <c r="G21" i="99" s="1"/>
  <c r="H20" i="99"/>
  <c r="F20" i="99"/>
  <c r="G20" i="99" s="1"/>
  <c r="K19" i="99"/>
  <c r="D24" i="123" s="1"/>
  <c r="H19" i="99"/>
  <c r="G19" i="99" s="1"/>
  <c r="F19" i="99"/>
  <c r="J18" i="99"/>
  <c r="H18" i="99"/>
  <c r="F18" i="99"/>
  <c r="G18" i="99" s="1"/>
  <c r="H17" i="99"/>
  <c r="F17" i="99"/>
  <c r="G17" i="99" s="1"/>
  <c r="H16" i="99"/>
  <c r="F16" i="99"/>
  <c r="G16" i="99" s="1"/>
  <c r="H15" i="99"/>
  <c r="F15" i="99"/>
  <c r="G15" i="99" s="1"/>
  <c r="H14" i="99"/>
  <c r="G14" i="99"/>
  <c r="F14" i="99"/>
  <c r="H13" i="99"/>
  <c r="F13" i="99"/>
  <c r="G13" i="99" s="1"/>
  <c r="K9" i="99" s="1"/>
  <c r="L12" i="99"/>
  <c r="L19" i="99" s="1"/>
  <c r="G24" i="123" s="1"/>
  <c r="K12" i="99"/>
  <c r="J12" i="99"/>
  <c r="J19" i="99" s="1"/>
  <c r="H12" i="99"/>
  <c r="F12" i="99"/>
  <c r="G12" i="99" s="1"/>
  <c r="L11" i="99"/>
  <c r="L18" i="99" s="1"/>
  <c r="K11" i="99"/>
  <c r="K18" i="99" s="1"/>
  <c r="J11" i="99"/>
  <c r="H11" i="99"/>
  <c r="G11" i="99"/>
  <c r="F11" i="99"/>
  <c r="L10" i="99"/>
  <c r="K10" i="99"/>
  <c r="J10" i="99"/>
  <c r="H10" i="99"/>
  <c r="L5" i="99" s="1"/>
  <c r="F10" i="99"/>
  <c r="G10" i="99" s="1"/>
  <c r="K5" i="99" s="1"/>
  <c r="L9" i="99"/>
  <c r="J9" i="99"/>
  <c r="H9" i="99"/>
  <c r="L4" i="99" s="1"/>
  <c r="F9" i="99"/>
  <c r="G9" i="99" s="1"/>
  <c r="K4" i="99" s="1"/>
  <c r="K17" i="99" s="1"/>
  <c r="C24" i="123" s="1"/>
  <c r="L8" i="99"/>
  <c r="L21" i="99" s="1"/>
  <c r="K8" i="99"/>
  <c r="J8" i="99"/>
  <c r="J21" i="99" s="1"/>
  <c r="I24" i="123" s="1"/>
  <c r="H8" i="99"/>
  <c r="F8" i="99"/>
  <c r="G8" i="99" s="1"/>
  <c r="L7" i="99"/>
  <c r="K7" i="99"/>
  <c r="J7" i="99"/>
  <c r="H7" i="99"/>
  <c r="G7" i="99"/>
  <c r="F7" i="99"/>
  <c r="L6" i="99"/>
  <c r="K6" i="99"/>
  <c r="J6" i="99"/>
  <c r="H6" i="99"/>
  <c r="G6" i="99" s="1"/>
  <c r="F6" i="99"/>
  <c r="H5" i="99"/>
  <c r="G5" i="99"/>
  <c r="F5" i="99"/>
  <c r="H4" i="99"/>
  <c r="F4" i="99"/>
  <c r="G4" i="99" s="1"/>
  <c r="H3" i="99"/>
  <c r="L3" i="99" s="1"/>
  <c r="L16" i="99" s="1"/>
  <c r="E24" i="123" s="1"/>
  <c r="F3" i="99"/>
  <c r="G3" i="99" s="1"/>
  <c r="H42" i="98"/>
  <c r="F42" i="98"/>
  <c r="G42" i="98" s="1"/>
  <c r="A42" i="98"/>
  <c r="H41" i="98"/>
  <c r="F41" i="98"/>
  <c r="G41" i="98" s="1"/>
  <c r="A41" i="98"/>
  <c r="H40" i="98"/>
  <c r="F40" i="98"/>
  <c r="G40" i="98" s="1"/>
  <c r="A40" i="98"/>
  <c r="H39" i="98"/>
  <c r="F39" i="98"/>
  <c r="G39" i="98" s="1"/>
  <c r="A39" i="98"/>
  <c r="H38" i="98"/>
  <c r="F38" i="98"/>
  <c r="G38" i="98" s="1"/>
  <c r="A38" i="98"/>
  <c r="H37" i="98"/>
  <c r="F37" i="98"/>
  <c r="G37" i="98" s="1"/>
  <c r="A37" i="98"/>
  <c r="H36" i="98"/>
  <c r="F36" i="98"/>
  <c r="G36" i="98" s="1"/>
  <c r="A36" i="98"/>
  <c r="H35" i="98"/>
  <c r="F35" i="98"/>
  <c r="G35" i="98" s="1"/>
  <c r="A35" i="98"/>
  <c r="H34" i="98"/>
  <c r="F34" i="98"/>
  <c r="G34" i="98" s="1"/>
  <c r="A34" i="98"/>
  <c r="H33" i="98"/>
  <c r="F33" i="98"/>
  <c r="G33" i="98" s="1"/>
  <c r="H32" i="98"/>
  <c r="G32" i="98"/>
  <c r="F32" i="98"/>
  <c r="H31" i="98"/>
  <c r="F31" i="98"/>
  <c r="G31" i="98" s="1"/>
  <c r="H30" i="98"/>
  <c r="F30" i="98"/>
  <c r="G30" i="98" s="1"/>
  <c r="H29" i="98"/>
  <c r="F29" i="98"/>
  <c r="G29" i="98" s="1"/>
  <c r="H28" i="98"/>
  <c r="F28" i="98"/>
  <c r="G28" i="98" s="1"/>
  <c r="H27" i="98"/>
  <c r="G27" i="98"/>
  <c r="F27" i="98"/>
  <c r="H26" i="98"/>
  <c r="F26" i="98"/>
  <c r="G26" i="98" s="1"/>
  <c r="H25" i="98"/>
  <c r="F25" i="98"/>
  <c r="G25" i="98" s="1"/>
  <c r="H24" i="98"/>
  <c r="F24" i="98"/>
  <c r="G24" i="98" s="1"/>
  <c r="H23" i="98"/>
  <c r="F23" i="98"/>
  <c r="G23" i="98" s="1"/>
  <c r="H22" i="98"/>
  <c r="L5" i="98" s="1"/>
  <c r="G22" i="98"/>
  <c r="F22" i="98"/>
  <c r="H21" i="98"/>
  <c r="G21" i="98"/>
  <c r="F21" i="98"/>
  <c r="H20" i="98"/>
  <c r="G20" i="98"/>
  <c r="F20" i="98"/>
  <c r="K19" i="98"/>
  <c r="H19" i="98"/>
  <c r="F19" i="98"/>
  <c r="G19" i="98" s="1"/>
  <c r="H18" i="98"/>
  <c r="F18" i="98"/>
  <c r="G18" i="98" s="1"/>
  <c r="H17" i="98"/>
  <c r="F17" i="98"/>
  <c r="G17" i="98" s="1"/>
  <c r="L16" i="98"/>
  <c r="E23" i="123" s="1"/>
  <c r="K16" i="98"/>
  <c r="B23" i="123" s="1"/>
  <c r="J16" i="98"/>
  <c r="H16" i="98"/>
  <c r="G16" i="98"/>
  <c r="F16" i="98"/>
  <c r="H15" i="98"/>
  <c r="F15" i="98"/>
  <c r="G15" i="98" s="1"/>
  <c r="H14" i="98"/>
  <c r="F14" i="98"/>
  <c r="G14" i="98" s="1"/>
  <c r="H13" i="98"/>
  <c r="F13" i="98"/>
  <c r="G13" i="98" s="1"/>
  <c r="L12" i="98"/>
  <c r="L19" i="98" s="1"/>
  <c r="G23" i="123" s="1"/>
  <c r="K12" i="98"/>
  <c r="J12" i="98"/>
  <c r="J19" i="98" s="1"/>
  <c r="H12" i="98"/>
  <c r="G12" i="98"/>
  <c r="K6" i="98" s="1"/>
  <c r="F12" i="98"/>
  <c r="L11" i="98"/>
  <c r="L18" i="98" s="1"/>
  <c r="K11" i="98"/>
  <c r="K18" i="98" s="1"/>
  <c r="J11" i="98"/>
  <c r="J18" i="98" s="1"/>
  <c r="H11" i="98"/>
  <c r="F11" i="98"/>
  <c r="G11" i="98" s="1"/>
  <c r="L10" i="98"/>
  <c r="K10" i="98"/>
  <c r="J10" i="98"/>
  <c r="H10" i="98"/>
  <c r="F10" i="98"/>
  <c r="G10" i="98" s="1"/>
  <c r="L9" i="98"/>
  <c r="L21" i="98" s="1"/>
  <c r="H9" i="98"/>
  <c r="F9" i="98"/>
  <c r="G9" i="98" s="1"/>
  <c r="L8" i="98"/>
  <c r="K8" i="98"/>
  <c r="J8" i="98"/>
  <c r="H8" i="98"/>
  <c r="F8" i="98"/>
  <c r="G8" i="98" s="1"/>
  <c r="H7" i="98"/>
  <c r="F7" i="98"/>
  <c r="J9" i="98" s="1"/>
  <c r="J21" i="98" s="1"/>
  <c r="I23" i="123" s="1"/>
  <c r="L6" i="98"/>
  <c r="J6" i="98"/>
  <c r="H6" i="98"/>
  <c r="F6" i="98"/>
  <c r="G6" i="98" s="1"/>
  <c r="H5" i="98"/>
  <c r="F5" i="98"/>
  <c r="G5" i="98" s="1"/>
  <c r="J4" i="98"/>
  <c r="H4" i="98"/>
  <c r="G4" i="98" s="1"/>
  <c r="F4" i="98"/>
  <c r="L3" i="98"/>
  <c r="K3" i="98"/>
  <c r="J3" i="98"/>
  <c r="H3" i="98"/>
  <c r="L7" i="98" s="1"/>
  <c r="F3" i="98"/>
  <c r="G3" i="98" s="1"/>
  <c r="K7" i="98" s="1"/>
  <c r="H42" i="97"/>
  <c r="G42" i="97" s="1"/>
  <c r="F42" i="97"/>
  <c r="A42" i="97"/>
  <c r="H41" i="97"/>
  <c r="F41" i="97"/>
  <c r="G41" i="97" s="1"/>
  <c r="A41" i="97"/>
  <c r="H40" i="97"/>
  <c r="F40" i="97"/>
  <c r="G40" i="97" s="1"/>
  <c r="A40" i="97"/>
  <c r="H39" i="97"/>
  <c r="F39" i="97"/>
  <c r="G39" i="97" s="1"/>
  <c r="A39" i="97"/>
  <c r="H38" i="97"/>
  <c r="F38" i="97"/>
  <c r="G38" i="97" s="1"/>
  <c r="A38" i="97"/>
  <c r="H37" i="97"/>
  <c r="F37" i="97"/>
  <c r="G37" i="97" s="1"/>
  <c r="A37" i="97"/>
  <c r="H36" i="97"/>
  <c r="G36" i="97"/>
  <c r="F36" i="97"/>
  <c r="A36" i="97"/>
  <c r="H35" i="97"/>
  <c r="F35" i="97"/>
  <c r="G35" i="97" s="1"/>
  <c r="A35" i="97"/>
  <c r="H34" i="97"/>
  <c r="G34" i="97" s="1"/>
  <c r="F34" i="97"/>
  <c r="A34" i="97"/>
  <c r="H33" i="97"/>
  <c r="F33" i="97"/>
  <c r="G33" i="97" s="1"/>
  <c r="A33" i="97"/>
  <c r="H32" i="97"/>
  <c r="F32" i="97"/>
  <c r="G32" i="97" s="1"/>
  <c r="A32" i="97"/>
  <c r="H31" i="97"/>
  <c r="F31" i="97"/>
  <c r="G31" i="97" s="1"/>
  <c r="A31" i="97"/>
  <c r="H30" i="97"/>
  <c r="F30" i="97"/>
  <c r="G30" i="97" s="1"/>
  <c r="A30" i="97"/>
  <c r="H29" i="97"/>
  <c r="F29" i="97"/>
  <c r="G29" i="97" s="1"/>
  <c r="A29" i="97"/>
  <c r="H28" i="97"/>
  <c r="G28" i="97"/>
  <c r="F28" i="97"/>
  <c r="A28" i="97"/>
  <c r="H27" i="97"/>
  <c r="F27" i="97"/>
  <c r="G27" i="97" s="1"/>
  <c r="H26" i="97"/>
  <c r="G26" i="97"/>
  <c r="F26" i="97"/>
  <c r="H25" i="97"/>
  <c r="G25" i="97"/>
  <c r="F25" i="97"/>
  <c r="H24" i="97"/>
  <c r="F24" i="97"/>
  <c r="G24" i="97" s="1"/>
  <c r="H23" i="97"/>
  <c r="F23" i="97"/>
  <c r="G23" i="97" s="1"/>
  <c r="H22" i="97"/>
  <c r="F22" i="97"/>
  <c r="G22" i="97" s="1"/>
  <c r="H21" i="97"/>
  <c r="F21" i="97"/>
  <c r="G21" i="97" s="1"/>
  <c r="H20" i="97"/>
  <c r="G20" i="97"/>
  <c r="F20" i="97"/>
  <c r="K19" i="97"/>
  <c r="H19" i="97"/>
  <c r="F19" i="97"/>
  <c r="G19" i="97" s="1"/>
  <c r="J18" i="97"/>
  <c r="H18" i="97"/>
  <c r="F18" i="97"/>
  <c r="G18" i="97" s="1"/>
  <c r="H17" i="97"/>
  <c r="F17" i="97"/>
  <c r="G17" i="97" s="1"/>
  <c r="H16" i="97"/>
  <c r="F16" i="97"/>
  <c r="G16" i="97" s="1"/>
  <c r="H15" i="97"/>
  <c r="L4" i="97" s="1"/>
  <c r="L17" i="97" s="1"/>
  <c r="F22" i="123" s="1"/>
  <c r="F15" i="97"/>
  <c r="G15" i="97" s="1"/>
  <c r="H14" i="97"/>
  <c r="F14" i="97"/>
  <c r="G14" i="97" s="1"/>
  <c r="H13" i="97"/>
  <c r="F13" i="97"/>
  <c r="G13" i="97" s="1"/>
  <c r="L12" i="97"/>
  <c r="L19" i="97" s="1"/>
  <c r="G22" i="123" s="1"/>
  <c r="K12" i="97"/>
  <c r="J12" i="97"/>
  <c r="J19" i="97" s="1"/>
  <c r="H12" i="97"/>
  <c r="F12" i="97"/>
  <c r="G12" i="97" s="1"/>
  <c r="K7" i="97" s="1"/>
  <c r="L11" i="97"/>
  <c r="L18" i="97" s="1"/>
  <c r="K11" i="97"/>
  <c r="K18" i="97" s="1"/>
  <c r="J11" i="97"/>
  <c r="H11" i="97"/>
  <c r="G11" i="97"/>
  <c r="F11" i="97"/>
  <c r="L10" i="97"/>
  <c r="K10" i="97"/>
  <c r="J10" i="97"/>
  <c r="H10" i="97"/>
  <c r="F10" i="97"/>
  <c r="G10" i="97" s="1"/>
  <c r="L9" i="97"/>
  <c r="J9" i="97"/>
  <c r="H9" i="97"/>
  <c r="F9" i="97"/>
  <c r="G9" i="97" s="1"/>
  <c r="L8" i="97"/>
  <c r="L21" i="97" s="1"/>
  <c r="K8" i="97"/>
  <c r="J8" i="97"/>
  <c r="J21" i="97" s="1"/>
  <c r="I22" i="123" s="1"/>
  <c r="H8" i="97"/>
  <c r="F8" i="97"/>
  <c r="G8" i="97" s="1"/>
  <c r="L7" i="97"/>
  <c r="J7" i="97"/>
  <c r="H7" i="97"/>
  <c r="G7" i="97"/>
  <c r="F7" i="97"/>
  <c r="L6" i="97"/>
  <c r="K6" i="97"/>
  <c r="J6" i="97"/>
  <c r="H6" i="97"/>
  <c r="G6" i="97" s="1"/>
  <c r="F6" i="97"/>
  <c r="H5" i="97"/>
  <c r="F5" i="97"/>
  <c r="G5" i="97" s="1"/>
  <c r="K9" i="97" s="1"/>
  <c r="H4" i="97"/>
  <c r="L5" i="97" s="1"/>
  <c r="F4" i="97"/>
  <c r="G4" i="97" s="1"/>
  <c r="L3" i="97"/>
  <c r="L16" i="97" s="1"/>
  <c r="E22" i="123" s="1"/>
  <c r="K3" i="97"/>
  <c r="K16" i="97" s="1"/>
  <c r="B22" i="123" s="1"/>
  <c r="J3" i="97"/>
  <c r="J16" i="97" s="1"/>
  <c r="H3" i="97"/>
  <c r="F3" i="97"/>
  <c r="G3" i="97" s="1"/>
  <c r="H42" i="96"/>
  <c r="F42" i="96"/>
  <c r="G42" i="96" s="1"/>
  <c r="A42" i="96"/>
  <c r="H41" i="96"/>
  <c r="F41" i="96"/>
  <c r="G41" i="96" s="1"/>
  <c r="A41" i="96"/>
  <c r="H40" i="96"/>
  <c r="F40" i="96"/>
  <c r="G40" i="96" s="1"/>
  <c r="A40" i="96"/>
  <c r="H39" i="96"/>
  <c r="F39" i="96"/>
  <c r="G39" i="96" s="1"/>
  <c r="A39" i="96"/>
  <c r="H38" i="96"/>
  <c r="G38" i="96"/>
  <c r="F38" i="96"/>
  <c r="A38" i="96"/>
  <c r="H37" i="96"/>
  <c r="G37" i="96"/>
  <c r="F37" i="96"/>
  <c r="A37" i="96"/>
  <c r="H36" i="96"/>
  <c r="F36" i="96"/>
  <c r="G36" i="96" s="1"/>
  <c r="A36" i="96"/>
  <c r="H35" i="96"/>
  <c r="F35" i="96"/>
  <c r="G35" i="96" s="1"/>
  <c r="A35" i="96"/>
  <c r="H34" i="96"/>
  <c r="F34" i="96"/>
  <c r="G34" i="96" s="1"/>
  <c r="A34" i="96"/>
  <c r="H33" i="96"/>
  <c r="F33" i="96"/>
  <c r="G33" i="96" s="1"/>
  <c r="A33" i="96"/>
  <c r="H32" i="96"/>
  <c r="F32" i="96"/>
  <c r="G32" i="96" s="1"/>
  <c r="A32" i="96"/>
  <c r="H31" i="96"/>
  <c r="F31" i="96"/>
  <c r="G31" i="96" s="1"/>
  <c r="A31" i="96"/>
  <c r="H30" i="96"/>
  <c r="G30" i="96"/>
  <c r="F30" i="96"/>
  <c r="A30" i="96"/>
  <c r="H29" i="96"/>
  <c r="G29" i="96"/>
  <c r="F29" i="96"/>
  <c r="H28" i="96"/>
  <c r="L7" i="96" s="1"/>
  <c r="F28" i="96"/>
  <c r="J7" i="96" s="1"/>
  <c r="H27" i="96"/>
  <c r="F27" i="96"/>
  <c r="G27" i="96" s="1"/>
  <c r="H26" i="96"/>
  <c r="F26" i="96"/>
  <c r="G26" i="96" s="1"/>
  <c r="H25" i="96"/>
  <c r="F25" i="96"/>
  <c r="G25" i="96" s="1"/>
  <c r="H24" i="96"/>
  <c r="F24" i="96"/>
  <c r="G24" i="96" s="1"/>
  <c r="H23" i="96"/>
  <c r="F23" i="96"/>
  <c r="G23" i="96" s="1"/>
  <c r="H22" i="96"/>
  <c r="G22" i="96"/>
  <c r="F22" i="96"/>
  <c r="L21" i="96"/>
  <c r="H21" i="96"/>
  <c r="F21" i="96"/>
  <c r="G21" i="96" s="1"/>
  <c r="H20" i="96"/>
  <c r="F20" i="96"/>
  <c r="G20" i="96" s="1"/>
  <c r="H19" i="96"/>
  <c r="F19" i="96"/>
  <c r="G19" i="96" s="1"/>
  <c r="H18" i="96"/>
  <c r="F18" i="96"/>
  <c r="G18" i="96" s="1"/>
  <c r="H17" i="96"/>
  <c r="L5" i="96" s="1"/>
  <c r="G17" i="96"/>
  <c r="F17" i="96"/>
  <c r="L16" i="96"/>
  <c r="H16" i="96"/>
  <c r="G16" i="96"/>
  <c r="F16" i="96"/>
  <c r="H15" i="96"/>
  <c r="F15" i="96"/>
  <c r="G15" i="96" s="1"/>
  <c r="H14" i="96"/>
  <c r="F14" i="96"/>
  <c r="G14" i="96" s="1"/>
  <c r="H13" i="96"/>
  <c r="G13" i="96"/>
  <c r="F13" i="96"/>
  <c r="L12" i="96"/>
  <c r="L19" i="96" s="1"/>
  <c r="G21" i="123" s="1"/>
  <c r="K12" i="96"/>
  <c r="K19" i="96" s="1"/>
  <c r="D21" i="123" s="1"/>
  <c r="J12" i="96"/>
  <c r="J19" i="96" s="1"/>
  <c r="H12" i="96"/>
  <c r="F12" i="96"/>
  <c r="G12" i="96" s="1"/>
  <c r="L11" i="96"/>
  <c r="L18" i="96" s="1"/>
  <c r="K11" i="96"/>
  <c r="K18" i="96" s="1"/>
  <c r="J11" i="96"/>
  <c r="J18" i="96" s="1"/>
  <c r="H11" i="96"/>
  <c r="F11" i="96"/>
  <c r="G11" i="96" s="1"/>
  <c r="L10" i="96"/>
  <c r="K10" i="96"/>
  <c r="J10" i="96"/>
  <c r="H10" i="96"/>
  <c r="F10" i="96"/>
  <c r="G10" i="96" s="1"/>
  <c r="L9" i="96"/>
  <c r="K9" i="96"/>
  <c r="J9" i="96"/>
  <c r="H9" i="96"/>
  <c r="F9" i="96"/>
  <c r="G9" i="96" s="1"/>
  <c r="L8" i="96"/>
  <c r="K8" i="96"/>
  <c r="K21" i="96" s="1"/>
  <c r="J8" i="96"/>
  <c r="J21" i="96" s="1"/>
  <c r="I21" i="123" s="1"/>
  <c r="H8" i="96"/>
  <c r="L4" i="96" s="1"/>
  <c r="G8" i="96"/>
  <c r="F8" i="96"/>
  <c r="J4" i="96" s="1"/>
  <c r="H7" i="96"/>
  <c r="F7" i="96"/>
  <c r="G7" i="96" s="1"/>
  <c r="L6" i="96"/>
  <c r="K6" i="96"/>
  <c r="J6" i="96"/>
  <c r="H6" i="96"/>
  <c r="F6" i="96"/>
  <c r="G6" i="96" s="1"/>
  <c r="H5" i="96"/>
  <c r="F5" i="96"/>
  <c r="J5" i="96" s="1"/>
  <c r="H4" i="96"/>
  <c r="F4" i="96"/>
  <c r="G4" i="96" s="1"/>
  <c r="L3" i="96"/>
  <c r="K3" i="96"/>
  <c r="K16" i="96" s="1"/>
  <c r="B21" i="123" s="1"/>
  <c r="J3" i="96"/>
  <c r="J16" i="96" s="1"/>
  <c r="H3" i="96"/>
  <c r="G3" i="96"/>
  <c r="F3" i="96"/>
  <c r="H42" i="95"/>
  <c r="G42" i="95"/>
  <c r="F42" i="95"/>
  <c r="A42" i="95"/>
  <c r="H41" i="95"/>
  <c r="F41" i="95"/>
  <c r="G41" i="95" s="1"/>
  <c r="A41" i="95"/>
  <c r="H40" i="95"/>
  <c r="F40" i="95"/>
  <c r="G40" i="95" s="1"/>
  <c r="A40" i="95"/>
  <c r="H39" i="95"/>
  <c r="F39" i="95"/>
  <c r="G39" i="95" s="1"/>
  <c r="A39" i="95"/>
  <c r="H38" i="95"/>
  <c r="F38" i="95"/>
  <c r="G38" i="95" s="1"/>
  <c r="A38" i="95"/>
  <c r="H37" i="95"/>
  <c r="G37" i="95"/>
  <c r="F37" i="95"/>
  <c r="A37" i="95"/>
  <c r="H36" i="95"/>
  <c r="G36" i="95"/>
  <c r="F36" i="95"/>
  <c r="A36" i="95"/>
  <c r="H35" i="95"/>
  <c r="G35" i="95"/>
  <c r="F35" i="95"/>
  <c r="A35" i="95"/>
  <c r="H34" i="95"/>
  <c r="G34" i="95"/>
  <c r="F34" i="95"/>
  <c r="A34" i="95"/>
  <c r="H33" i="95"/>
  <c r="F33" i="95"/>
  <c r="G33" i="95" s="1"/>
  <c r="A33" i="95"/>
  <c r="H32" i="95"/>
  <c r="F32" i="95"/>
  <c r="G32" i="95" s="1"/>
  <c r="A32" i="95"/>
  <c r="H31" i="95"/>
  <c r="F31" i="95"/>
  <c r="G31" i="95" s="1"/>
  <c r="A31" i="95"/>
  <c r="H30" i="95"/>
  <c r="F30" i="95"/>
  <c r="G30" i="95" s="1"/>
  <c r="A30" i="95"/>
  <c r="H29" i="95"/>
  <c r="G29" i="95"/>
  <c r="F29" i="95"/>
  <c r="A29" i="95"/>
  <c r="H28" i="95"/>
  <c r="G28" i="95"/>
  <c r="F28" i="95"/>
  <c r="A28" i="95"/>
  <c r="H27" i="95"/>
  <c r="G27" i="95"/>
  <c r="F27" i="95"/>
  <c r="A27" i="95"/>
  <c r="H26" i="95"/>
  <c r="G26" i="95"/>
  <c r="F26" i="95"/>
  <c r="A26" i="95"/>
  <c r="H25" i="95"/>
  <c r="F25" i="95"/>
  <c r="G25" i="95" s="1"/>
  <c r="H24" i="95"/>
  <c r="F24" i="95"/>
  <c r="G24" i="95" s="1"/>
  <c r="H23" i="95"/>
  <c r="F23" i="95"/>
  <c r="G23" i="95" s="1"/>
  <c r="H22" i="95"/>
  <c r="F22" i="95"/>
  <c r="G22" i="95" s="1"/>
  <c r="L21" i="95"/>
  <c r="H21" i="95"/>
  <c r="F21" i="95"/>
  <c r="G21" i="95" s="1"/>
  <c r="H20" i="95"/>
  <c r="F20" i="95"/>
  <c r="G20" i="95" s="1"/>
  <c r="H19" i="95"/>
  <c r="F19" i="95"/>
  <c r="G19" i="95" s="1"/>
  <c r="H18" i="95"/>
  <c r="F18" i="95"/>
  <c r="G18" i="95" s="1"/>
  <c r="H17" i="95"/>
  <c r="F17" i="95"/>
  <c r="G17" i="95" s="1"/>
  <c r="H16" i="95"/>
  <c r="G16" i="95"/>
  <c r="F16" i="95"/>
  <c r="H15" i="95"/>
  <c r="F15" i="95"/>
  <c r="G15" i="95" s="1"/>
  <c r="H14" i="95"/>
  <c r="F14" i="95"/>
  <c r="G14" i="95" s="1"/>
  <c r="H13" i="95"/>
  <c r="G13" i="95"/>
  <c r="F13" i="95"/>
  <c r="L12" i="95"/>
  <c r="L19" i="95" s="1"/>
  <c r="G20" i="123" s="1"/>
  <c r="K12" i="95"/>
  <c r="K19" i="95" s="1"/>
  <c r="D20" i="123" s="1"/>
  <c r="J12" i="95"/>
  <c r="J19" i="95" s="1"/>
  <c r="H12" i="95"/>
  <c r="G12" i="95"/>
  <c r="F12" i="95"/>
  <c r="L11" i="95"/>
  <c r="L18" i="95" s="1"/>
  <c r="K11" i="95"/>
  <c r="K18" i="95" s="1"/>
  <c r="J11" i="95"/>
  <c r="J18" i="95" s="1"/>
  <c r="H11" i="95"/>
  <c r="F11" i="95"/>
  <c r="G11" i="95" s="1"/>
  <c r="L10" i="95"/>
  <c r="K10" i="95"/>
  <c r="J10" i="95"/>
  <c r="H10" i="95"/>
  <c r="F10" i="95"/>
  <c r="G10" i="95" s="1"/>
  <c r="L9" i="95"/>
  <c r="K9" i="95"/>
  <c r="J9" i="95"/>
  <c r="H9" i="95"/>
  <c r="F9" i="95"/>
  <c r="G9" i="95" s="1"/>
  <c r="L8" i="95"/>
  <c r="K8" i="95"/>
  <c r="K21" i="95" s="1"/>
  <c r="J8" i="95"/>
  <c r="J21" i="95" s="1"/>
  <c r="I20" i="123" s="1"/>
  <c r="H8" i="95"/>
  <c r="G8" i="95"/>
  <c r="F8" i="95"/>
  <c r="L7" i="95"/>
  <c r="K7" i="95"/>
  <c r="J7" i="95"/>
  <c r="H7" i="95"/>
  <c r="G7" i="95"/>
  <c r="F7" i="95"/>
  <c r="L6" i="95"/>
  <c r="K6" i="95"/>
  <c r="J6" i="95"/>
  <c r="H6" i="95"/>
  <c r="G6" i="95"/>
  <c r="F6" i="95"/>
  <c r="L5" i="95"/>
  <c r="K5" i="95"/>
  <c r="J5" i="95"/>
  <c r="H5" i="95"/>
  <c r="F5" i="95"/>
  <c r="G5" i="95" s="1"/>
  <c r="L4" i="95"/>
  <c r="L17" i="95" s="1"/>
  <c r="F20" i="123" s="1"/>
  <c r="K4" i="95"/>
  <c r="K17" i="95" s="1"/>
  <c r="C20" i="123" s="1"/>
  <c r="J4" i="95"/>
  <c r="J17" i="95" s="1"/>
  <c r="H4" i="95"/>
  <c r="F4" i="95"/>
  <c r="G4" i="95" s="1"/>
  <c r="H3" i="95"/>
  <c r="L3" i="95" s="1"/>
  <c r="L16" i="95" s="1"/>
  <c r="E20" i="123" s="1"/>
  <c r="G3" i="95"/>
  <c r="F3" i="95"/>
  <c r="H42" i="94"/>
  <c r="G42" i="94" s="1"/>
  <c r="F42" i="94"/>
  <c r="A42" i="94"/>
  <c r="H41" i="94"/>
  <c r="F41" i="94"/>
  <c r="G41" i="94" s="1"/>
  <c r="A41" i="94"/>
  <c r="H40" i="94"/>
  <c r="F40" i="94"/>
  <c r="G40" i="94" s="1"/>
  <c r="A40" i="94"/>
  <c r="H39" i="94"/>
  <c r="G39" i="94"/>
  <c r="F39" i="94"/>
  <c r="A39" i="94"/>
  <c r="H38" i="94"/>
  <c r="F38" i="94"/>
  <c r="G38" i="94" s="1"/>
  <c r="A38" i="94"/>
  <c r="H37" i="94"/>
  <c r="F37" i="94"/>
  <c r="G37" i="94" s="1"/>
  <c r="A37" i="94"/>
  <c r="H36" i="94"/>
  <c r="F36" i="94"/>
  <c r="G36" i="94" s="1"/>
  <c r="A36" i="94"/>
  <c r="H35" i="94"/>
  <c r="F35" i="94"/>
  <c r="G35" i="94" s="1"/>
  <c r="A35" i="94"/>
  <c r="H34" i="94"/>
  <c r="G34" i="94" s="1"/>
  <c r="F34" i="94"/>
  <c r="A34" i="94"/>
  <c r="H33" i="94"/>
  <c r="F33" i="94"/>
  <c r="G33" i="94" s="1"/>
  <c r="A33" i="94"/>
  <c r="H32" i="94"/>
  <c r="F32" i="94"/>
  <c r="G32" i="94" s="1"/>
  <c r="A32" i="94"/>
  <c r="H31" i="94"/>
  <c r="G31" i="94"/>
  <c r="F31" i="94"/>
  <c r="A31" i="94"/>
  <c r="H30" i="94"/>
  <c r="F30" i="94"/>
  <c r="G30" i="94" s="1"/>
  <c r="A30" i="94"/>
  <c r="H29" i="94"/>
  <c r="F29" i="94"/>
  <c r="G29" i="94" s="1"/>
  <c r="A29" i="94"/>
  <c r="H28" i="94"/>
  <c r="F28" i="94"/>
  <c r="G28" i="94" s="1"/>
  <c r="A28" i="94"/>
  <c r="H27" i="94"/>
  <c r="F27" i="94"/>
  <c r="G27" i="94" s="1"/>
  <c r="A27" i="94"/>
  <c r="H26" i="94"/>
  <c r="G26" i="94" s="1"/>
  <c r="F26" i="94"/>
  <c r="A26" i="94"/>
  <c r="H25" i="94"/>
  <c r="F25" i="94"/>
  <c r="G25" i="94" s="1"/>
  <c r="A25" i="94"/>
  <c r="H24" i="94"/>
  <c r="F24" i="94"/>
  <c r="G24" i="94" s="1"/>
  <c r="A24" i="94"/>
  <c r="H23" i="94"/>
  <c r="G23" i="94"/>
  <c r="F23" i="94"/>
  <c r="A23" i="94"/>
  <c r="H22" i="94"/>
  <c r="F22" i="94"/>
  <c r="G22" i="94" s="1"/>
  <c r="A22" i="94"/>
  <c r="H21" i="94"/>
  <c r="F21" i="94"/>
  <c r="G21" i="94" s="1"/>
  <c r="A21" i="94"/>
  <c r="H20" i="94"/>
  <c r="F20" i="94"/>
  <c r="G20" i="94" s="1"/>
  <c r="A20" i="94"/>
  <c r="L19" i="94"/>
  <c r="H19" i="94"/>
  <c r="F19" i="94"/>
  <c r="G19" i="94" s="1"/>
  <c r="A19" i="94"/>
  <c r="K18" i="94"/>
  <c r="J18" i="94"/>
  <c r="H18" i="94"/>
  <c r="G18" i="94"/>
  <c r="F18" i="94"/>
  <c r="A18" i="94"/>
  <c r="H17" i="94"/>
  <c r="F17" i="94"/>
  <c r="G17" i="94" s="1"/>
  <c r="A17" i="94"/>
  <c r="K16" i="94"/>
  <c r="J16" i="94"/>
  <c r="H16" i="94"/>
  <c r="F16" i="94"/>
  <c r="G16" i="94" s="1"/>
  <c r="A16" i="94"/>
  <c r="H15" i="94"/>
  <c r="F15" i="94"/>
  <c r="G15" i="94" s="1"/>
  <c r="H14" i="94"/>
  <c r="G14" i="94"/>
  <c r="F14" i="94"/>
  <c r="H13" i="94"/>
  <c r="F13" i="94"/>
  <c r="G13" i="94" s="1"/>
  <c r="L12" i="94"/>
  <c r="K12" i="94"/>
  <c r="K19" i="94" s="1"/>
  <c r="D19" i="123" s="1"/>
  <c r="J12" i="94"/>
  <c r="J19" i="94" s="1"/>
  <c r="H12" i="94"/>
  <c r="F12" i="94"/>
  <c r="G12" i="94" s="1"/>
  <c r="L11" i="94"/>
  <c r="L18" i="94" s="1"/>
  <c r="K11" i="94"/>
  <c r="J11" i="94"/>
  <c r="H11" i="94"/>
  <c r="L7" i="94" s="1"/>
  <c r="G11" i="94"/>
  <c r="K7" i="94" s="1"/>
  <c r="F11" i="94"/>
  <c r="J7" i="94" s="1"/>
  <c r="L10" i="94"/>
  <c r="K10" i="94"/>
  <c r="J10" i="94"/>
  <c r="H10" i="94"/>
  <c r="L6" i="94" s="1"/>
  <c r="F10" i="94"/>
  <c r="J6" i="94" s="1"/>
  <c r="L9" i="94"/>
  <c r="L21" i="94" s="1"/>
  <c r="K9" i="94"/>
  <c r="K21" i="94" s="1"/>
  <c r="J9" i="94"/>
  <c r="H9" i="94"/>
  <c r="L4" i="94" s="1"/>
  <c r="L17" i="94" s="1"/>
  <c r="F19" i="123" s="1"/>
  <c r="G9" i="94"/>
  <c r="F9" i="94"/>
  <c r="L8" i="94"/>
  <c r="K8" i="94"/>
  <c r="J8" i="94"/>
  <c r="J21" i="94" s="1"/>
  <c r="I19" i="123" s="1"/>
  <c r="H8" i="94"/>
  <c r="G8" i="94" s="1"/>
  <c r="F8" i="94"/>
  <c r="H7" i="94"/>
  <c r="F7" i="94"/>
  <c r="G7" i="94" s="1"/>
  <c r="H6" i="94"/>
  <c r="G6" i="94"/>
  <c r="F6" i="94"/>
  <c r="H5" i="94"/>
  <c r="L5" i="94" s="1"/>
  <c r="F5" i="94"/>
  <c r="G5" i="94" s="1"/>
  <c r="H4" i="94"/>
  <c r="F4" i="94"/>
  <c r="G4" i="94" s="1"/>
  <c r="L3" i="94"/>
  <c r="L16" i="94" s="1"/>
  <c r="E19" i="123" s="1"/>
  <c r="K3" i="94"/>
  <c r="J3" i="94"/>
  <c r="H3" i="94"/>
  <c r="F3" i="94"/>
  <c r="J4" i="94" s="1"/>
  <c r="H42" i="93"/>
  <c r="G42" i="93"/>
  <c r="F42" i="93"/>
  <c r="A42" i="93"/>
  <c r="H41" i="93"/>
  <c r="G41" i="93"/>
  <c r="F41" i="93"/>
  <c r="A41" i="93"/>
  <c r="H40" i="93"/>
  <c r="G40" i="93" s="1"/>
  <c r="F40" i="93"/>
  <c r="A40" i="93"/>
  <c r="H39" i="93"/>
  <c r="F39" i="93"/>
  <c r="G39" i="93" s="1"/>
  <c r="A39" i="93"/>
  <c r="H38" i="93"/>
  <c r="F38" i="93"/>
  <c r="G38" i="93" s="1"/>
  <c r="A38" i="93"/>
  <c r="H37" i="93"/>
  <c r="F37" i="93"/>
  <c r="G37" i="93" s="1"/>
  <c r="A37" i="93"/>
  <c r="H36" i="93"/>
  <c r="F36" i="93"/>
  <c r="G36" i="93" s="1"/>
  <c r="A36" i="93"/>
  <c r="H35" i="93"/>
  <c r="F35" i="93"/>
  <c r="G35" i="93" s="1"/>
  <c r="A35" i="93"/>
  <c r="H34" i="93"/>
  <c r="G34" i="93"/>
  <c r="F34" i="93"/>
  <c r="A34" i="93"/>
  <c r="H33" i="93"/>
  <c r="G33" i="93"/>
  <c r="F33" i="93"/>
  <c r="A33" i="93"/>
  <c r="H32" i="93"/>
  <c r="G32" i="93" s="1"/>
  <c r="F32" i="93"/>
  <c r="H31" i="93"/>
  <c r="F31" i="93"/>
  <c r="G31" i="93" s="1"/>
  <c r="H30" i="93"/>
  <c r="G30" i="93"/>
  <c r="F30" i="93"/>
  <c r="H29" i="93"/>
  <c r="F29" i="93"/>
  <c r="G29" i="93" s="1"/>
  <c r="H28" i="93"/>
  <c r="F28" i="93"/>
  <c r="G28" i="93" s="1"/>
  <c r="H27" i="93"/>
  <c r="F27" i="93"/>
  <c r="G27" i="93" s="1"/>
  <c r="H26" i="93"/>
  <c r="F26" i="93"/>
  <c r="G26" i="93" s="1"/>
  <c r="H25" i="93"/>
  <c r="G25" i="93"/>
  <c r="F25" i="93"/>
  <c r="H24" i="93"/>
  <c r="G24" i="93"/>
  <c r="F24" i="93"/>
  <c r="H23" i="93"/>
  <c r="F23" i="93"/>
  <c r="G23" i="93" s="1"/>
  <c r="H22" i="93"/>
  <c r="G22" i="93"/>
  <c r="F22" i="93"/>
  <c r="H21" i="93"/>
  <c r="F21" i="93"/>
  <c r="G21" i="93" s="1"/>
  <c r="H20" i="93"/>
  <c r="F20" i="93"/>
  <c r="G20" i="93" s="1"/>
  <c r="K6" i="93" s="1"/>
  <c r="H19" i="93"/>
  <c r="L7" i="93" s="1"/>
  <c r="F19" i="93"/>
  <c r="J7" i="93" s="1"/>
  <c r="H18" i="93"/>
  <c r="F18" i="93"/>
  <c r="G18" i="93" s="1"/>
  <c r="H17" i="93"/>
  <c r="F17" i="93"/>
  <c r="G17" i="93" s="1"/>
  <c r="L16" i="93"/>
  <c r="K16" i="93"/>
  <c r="J16" i="93"/>
  <c r="H16" i="93"/>
  <c r="G16" i="93" s="1"/>
  <c r="F16" i="93"/>
  <c r="H15" i="93"/>
  <c r="F15" i="93"/>
  <c r="G15" i="93" s="1"/>
  <c r="H14" i="93"/>
  <c r="G14" i="93"/>
  <c r="F14" i="93"/>
  <c r="H13" i="93"/>
  <c r="F13" i="93"/>
  <c r="G13" i="93" s="1"/>
  <c r="L12" i="93"/>
  <c r="L19" i="93" s="1"/>
  <c r="G18" i="123" s="1"/>
  <c r="K12" i="93"/>
  <c r="K19" i="93" s="1"/>
  <c r="D18" i="123" s="1"/>
  <c r="J12" i="93"/>
  <c r="J19" i="93" s="1"/>
  <c r="H12" i="93"/>
  <c r="F12" i="93"/>
  <c r="G12" i="93" s="1"/>
  <c r="L11" i="93"/>
  <c r="L18" i="93" s="1"/>
  <c r="K11" i="93"/>
  <c r="K18" i="93" s="1"/>
  <c r="J11" i="93"/>
  <c r="J18" i="93" s="1"/>
  <c r="H11" i="93"/>
  <c r="G11" i="93"/>
  <c r="F11" i="93"/>
  <c r="L10" i="93"/>
  <c r="K10" i="93"/>
  <c r="J10" i="93"/>
  <c r="H10" i="93"/>
  <c r="F10" i="93"/>
  <c r="G10" i="93" s="1"/>
  <c r="L9" i="93"/>
  <c r="K9" i="93"/>
  <c r="J9" i="93"/>
  <c r="H9" i="93"/>
  <c r="F9" i="93"/>
  <c r="G9" i="93" s="1"/>
  <c r="L8" i="93"/>
  <c r="L21" i="93" s="1"/>
  <c r="K8" i="93"/>
  <c r="K21" i="93" s="1"/>
  <c r="J8" i="93"/>
  <c r="J21" i="93" s="1"/>
  <c r="I18" i="123" s="1"/>
  <c r="H8" i="93"/>
  <c r="L4" i="93" s="1"/>
  <c r="F8" i="93"/>
  <c r="J4" i="93" s="1"/>
  <c r="H7" i="93"/>
  <c r="F7" i="93"/>
  <c r="G7" i="93" s="1"/>
  <c r="L6" i="93"/>
  <c r="J6" i="93"/>
  <c r="H6" i="93"/>
  <c r="F6" i="93"/>
  <c r="G6" i="93" s="1"/>
  <c r="L5" i="93"/>
  <c r="H5" i="93"/>
  <c r="F5" i="93"/>
  <c r="G5" i="93" s="1"/>
  <c r="H4" i="93"/>
  <c r="G4" i="93" s="1"/>
  <c r="F4" i="93"/>
  <c r="L3" i="93"/>
  <c r="K3" i="93"/>
  <c r="J3" i="93"/>
  <c r="H3" i="93"/>
  <c r="F3" i="93"/>
  <c r="G3" i="93" s="1"/>
  <c r="H42" i="92"/>
  <c r="G42" i="92"/>
  <c r="F42" i="92"/>
  <c r="A42" i="92"/>
  <c r="H41" i="92"/>
  <c r="F41" i="92"/>
  <c r="G41" i="92" s="1"/>
  <c r="A41" i="92"/>
  <c r="H40" i="92"/>
  <c r="F40" i="92"/>
  <c r="G40" i="92" s="1"/>
  <c r="A40" i="92"/>
  <c r="H39" i="92"/>
  <c r="F39" i="92"/>
  <c r="G39" i="92" s="1"/>
  <c r="A39" i="92"/>
  <c r="H38" i="92"/>
  <c r="F38" i="92"/>
  <c r="G38" i="92" s="1"/>
  <c r="A38" i="92"/>
  <c r="H37" i="92"/>
  <c r="G37" i="92"/>
  <c r="F37" i="92"/>
  <c r="A37" i="92"/>
  <c r="H36" i="92"/>
  <c r="G36" i="92"/>
  <c r="F36" i="92"/>
  <c r="A36" i="92"/>
  <c r="H35" i="92"/>
  <c r="G35" i="92"/>
  <c r="F35" i="92"/>
  <c r="A35" i="92"/>
  <c r="H34" i="92"/>
  <c r="G34" i="92"/>
  <c r="F34" i="92"/>
  <c r="A34" i="92"/>
  <c r="H33" i="92"/>
  <c r="F33" i="92"/>
  <c r="G33" i="92" s="1"/>
  <c r="A33" i="92"/>
  <c r="H32" i="92"/>
  <c r="F32" i="92"/>
  <c r="G32" i="92" s="1"/>
  <c r="A32" i="92"/>
  <c r="H31" i="92"/>
  <c r="F31" i="92"/>
  <c r="G31" i="92" s="1"/>
  <c r="A31" i="92"/>
  <c r="H30" i="92"/>
  <c r="F30" i="92"/>
  <c r="G30" i="92" s="1"/>
  <c r="A30" i="92"/>
  <c r="H29" i="92"/>
  <c r="G29" i="92"/>
  <c r="F29" i="92"/>
  <c r="H28" i="92"/>
  <c r="F28" i="92"/>
  <c r="G28" i="92" s="1"/>
  <c r="H27" i="92"/>
  <c r="G27" i="92"/>
  <c r="F27" i="92"/>
  <c r="H26" i="92"/>
  <c r="F26" i="92"/>
  <c r="G26" i="92" s="1"/>
  <c r="H25" i="92"/>
  <c r="G25" i="92"/>
  <c r="F25" i="92"/>
  <c r="H24" i="92"/>
  <c r="F24" i="92"/>
  <c r="G24" i="92" s="1"/>
  <c r="H23" i="92"/>
  <c r="F23" i="92"/>
  <c r="G23" i="92" s="1"/>
  <c r="H22" i="92"/>
  <c r="F22" i="92"/>
  <c r="G22" i="92" s="1"/>
  <c r="L21" i="92"/>
  <c r="K21" i="92"/>
  <c r="J21" i="92"/>
  <c r="I17" i="123" s="1"/>
  <c r="H21" i="92"/>
  <c r="F21" i="92"/>
  <c r="G21" i="92" s="1"/>
  <c r="H20" i="92"/>
  <c r="F20" i="92"/>
  <c r="G20" i="92" s="1"/>
  <c r="K19" i="92"/>
  <c r="D17" i="123" s="1"/>
  <c r="H19" i="92"/>
  <c r="L7" i="92" s="1"/>
  <c r="F19" i="92"/>
  <c r="G19" i="92" s="1"/>
  <c r="K7" i="92" s="1"/>
  <c r="H18" i="92"/>
  <c r="F18" i="92"/>
  <c r="G18" i="92" s="1"/>
  <c r="H17" i="92"/>
  <c r="F17" i="92"/>
  <c r="G17" i="92" s="1"/>
  <c r="J16" i="92"/>
  <c r="H16" i="92"/>
  <c r="F16" i="92"/>
  <c r="G16" i="92" s="1"/>
  <c r="H15" i="92"/>
  <c r="L5" i="92" s="1"/>
  <c r="F15" i="92"/>
  <c r="G15" i="92" s="1"/>
  <c r="H14" i="92"/>
  <c r="F14" i="92"/>
  <c r="G14" i="92" s="1"/>
  <c r="H13" i="92"/>
  <c r="G13" i="92"/>
  <c r="F13" i="92"/>
  <c r="L12" i="92"/>
  <c r="L19" i="92" s="1"/>
  <c r="G17" i="123" s="1"/>
  <c r="K12" i="92"/>
  <c r="J12" i="92"/>
  <c r="J19" i="92" s="1"/>
  <c r="H12" i="92"/>
  <c r="G12" i="92"/>
  <c r="F12" i="92"/>
  <c r="L11" i="92"/>
  <c r="L18" i="92" s="1"/>
  <c r="K11" i="92"/>
  <c r="K18" i="92" s="1"/>
  <c r="J11" i="92"/>
  <c r="J18" i="92" s="1"/>
  <c r="H11" i="92"/>
  <c r="G11" i="92"/>
  <c r="F11" i="92"/>
  <c r="L10" i="92"/>
  <c r="K10" i="92"/>
  <c r="J10" i="92"/>
  <c r="H10" i="92"/>
  <c r="L6" i="92" s="1"/>
  <c r="F10" i="92"/>
  <c r="G10" i="92" s="1"/>
  <c r="K6" i="92" s="1"/>
  <c r="L9" i="92"/>
  <c r="K9" i="92"/>
  <c r="J9" i="92"/>
  <c r="H9" i="92"/>
  <c r="L4" i="92" s="1"/>
  <c r="F9" i="92"/>
  <c r="G9" i="92" s="1"/>
  <c r="L8" i="92"/>
  <c r="K8" i="92"/>
  <c r="J8" i="92"/>
  <c r="H8" i="92"/>
  <c r="G8" i="92"/>
  <c r="F8" i="92"/>
  <c r="J7" i="92"/>
  <c r="H7" i="92"/>
  <c r="G7" i="92"/>
  <c r="F7" i="92"/>
  <c r="H6" i="92"/>
  <c r="G6" i="92"/>
  <c r="F6" i="92"/>
  <c r="H5" i="92"/>
  <c r="F5" i="92"/>
  <c r="G5" i="92" s="1"/>
  <c r="H4" i="92"/>
  <c r="F4" i="92"/>
  <c r="G4" i="92" s="1"/>
  <c r="L3" i="92"/>
  <c r="L16" i="92" s="1"/>
  <c r="E17" i="123" s="1"/>
  <c r="K3" i="92"/>
  <c r="K16" i="92" s="1"/>
  <c r="B17" i="123" s="1"/>
  <c r="J3" i="92"/>
  <c r="H3" i="92"/>
  <c r="F3" i="92"/>
  <c r="G3" i="92" s="1"/>
  <c r="H42" i="91"/>
  <c r="F42" i="91"/>
  <c r="G42" i="91" s="1"/>
  <c r="A42" i="91"/>
  <c r="H41" i="91"/>
  <c r="F41" i="91"/>
  <c r="G41" i="91" s="1"/>
  <c r="A41" i="91"/>
  <c r="H40" i="91"/>
  <c r="F40" i="91"/>
  <c r="G40" i="91" s="1"/>
  <c r="A40" i="91"/>
  <c r="H39" i="91"/>
  <c r="F39" i="91"/>
  <c r="G39" i="91" s="1"/>
  <c r="A39" i="91"/>
  <c r="H38" i="91"/>
  <c r="F38" i="91"/>
  <c r="G38" i="91" s="1"/>
  <c r="A38" i="91"/>
  <c r="H37" i="91"/>
  <c r="F37" i="91"/>
  <c r="G37" i="91" s="1"/>
  <c r="A37" i="91"/>
  <c r="H36" i="91"/>
  <c r="F36" i="91"/>
  <c r="G36" i="91" s="1"/>
  <c r="A36" i="91"/>
  <c r="H35" i="91"/>
  <c r="G35" i="91"/>
  <c r="F35" i="91"/>
  <c r="A35" i="91"/>
  <c r="H34" i="91"/>
  <c r="F34" i="91"/>
  <c r="G34" i="91" s="1"/>
  <c r="A34" i="91"/>
  <c r="H33" i="91"/>
  <c r="F33" i="91"/>
  <c r="G33" i="91" s="1"/>
  <c r="A33" i="91"/>
  <c r="H32" i="91"/>
  <c r="F32" i="91"/>
  <c r="G32" i="91" s="1"/>
  <c r="A32" i="91"/>
  <c r="H31" i="91"/>
  <c r="F31" i="91"/>
  <c r="G31" i="91" s="1"/>
  <c r="A31" i="91"/>
  <c r="H30" i="91"/>
  <c r="F30" i="91"/>
  <c r="G30" i="91" s="1"/>
  <c r="A30" i="91"/>
  <c r="H29" i="91"/>
  <c r="F29" i="91"/>
  <c r="G29" i="91" s="1"/>
  <c r="A29" i="91"/>
  <c r="H28" i="91"/>
  <c r="F28" i="91" a="1"/>
  <c r="F28" i="91"/>
  <c r="G28" i="91" s="1"/>
  <c r="H27" i="91"/>
  <c r="G27" i="91"/>
  <c r="F27" i="91"/>
  <c r="H26" i="91"/>
  <c r="F26" i="91"/>
  <c r="G26" i="91" s="1"/>
  <c r="H25" i="91"/>
  <c r="G25" i="91" s="1"/>
  <c r="F25" i="91"/>
  <c r="H24" i="91"/>
  <c r="G24" i="91"/>
  <c r="F24" i="91"/>
  <c r="H23" i="91"/>
  <c r="F23" i="91"/>
  <c r="G23" i="91" s="1"/>
  <c r="H22" i="91"/>
  <c r="F22" i="91"/>
  <c r="G22" i="91" s="1"/>
  <c r="H21" i="91"/>
  <c r="F21" i="91"/>
  <c r="G21" i="91" s="1"/>
  <c r="H20" i="91"/>
  <c r="F20" i="91"/>
  <c r="G20" i="91" s="1"/>
  <c r="H19" i="91"/>
  <c r="F19" i="91"/>
  <c r="J9" i="91" s="1"/>
  <c r="H18" i="91"/>
  <c r="G18" i="91"/>
  <c r="F18" i="91"/>
  <c r="H17" i="91"/>
  <c r="G17" i="91"/>
  <c r="F17" i="91"/>
  <c r="H16" i="91"/>
  <c r="L9" i="91" s="1"/>
  <c r="L21" i="91" s="1"/>
  <c r="G16" i="91"/>
  <c r="F16" i="91"/>
  <c r="H15" i="91"/>
  <c r="F15" i="91"/>
  <c r="G15" i="91" s="1"/>
  <c r="H14" i="91"/>
  <c r="F14" i="91"/>
  <c r="G14" i="91" s="1"/>
  <c r="H13" i="91"/>
  <c r="F13" i="91"/>
  <c r="G13" i="91" s="1"/>
  <c r="L12" i="91"/>
  <c r="L19" i="91" s="1"/>
  <c r="G16" i="123" s="1"/>
  <c r="K12" i="91"/>
  <c r="K19" i="91" s="1"/>
  <c r="D16" i="123" s="1"/>
  <c r="J12" i="91"/>
  <c r="J19" i="91" s="1"/>
  <c r="H12" i="91"/>
  <c r="G12" i="91"/>
  <c r="F12" i="91"/>
  <c r="L11" i="91"/>
  <c r="L18" i="91" s="1"/>
  <c r="K11" i="91"/>
  <c r="K18" i="91" s="1"/>
  <c r="J11" i="91"/>
  <c r="J18" i="91" s="1"/>
  <c r="H11" i="91"/>
  <c r="G11" i="91" s="1"/>
  <c r="F11" i="91"/>
  <c r="L10" i="91"/>
  <c r="K10" i="91"/>
  <c r="J10" i="91"/>
  <c r="H10" i="91"/>
  <c r="F10" i="91"/>
  <c r="G10" i="91" s="1"/>
  <c r="H9" i="91"/>
  <c r="F9" i="91"/>
  <c r="G9" i="91" s="1"/>
  <c r="L8" i="91"/>
  <c r="K8" i="91"/>
  <c r="J8" i="91"/>
  <c r="H8" i="91"/>
  <c r="L5" i="91" s="1"/>
  <c r="F8" i="91"/>
  <c r="J5" i="91" s="1"/>
  <c r="L7" i="91"/>
  <c r="K7" i="91"/>
  <c r="J7" i="91"/>
  <c r="H7" i="91"/>
  <c r="L4" i="91" s="1"/>
  <c r="F7" i="91"/>
  <c r="J4" i="91" s="1"/>
  <c r="L6" i="91"/>
  <c r="K6" i="91"/>
  <c r="J6" i="91"/>
  <c r="H6" i="91"/>
  <c r="F6" i="91"/>
  <c r="G6" i="91" s="1"/>
  <c r="H5" i="91"/>
  <c r="F5" i="91"/>
  <c r="G5" i="91" s="1"/>
  <c r="H4" i="91"/>
  <c r="F4" i="91"/>
  <c r="G4" i="91" s="1"/>
  <c r="L3" i="91"/>
  <c r="L16" i="91" s="1"/>
  <c r="E16" i="123" s="1"/>
  <c r="K3" i="91"/>
  <c r="K16" i="91" s="1"/>
  <c r="B16" i="123" s="1"/>
  <c r="J3" i="91"/>
  <c r="J16" i="91" s="1"/>
  <c r="H3" i="91"/>
  <c r="F3" i="91"/>
  <c r="G3" i="91" s="1"/>
  <c r="H42" i="90"/>
  <c r="F42" i="90"/>
  <c r="G42" i="90" s="1"/>
  <c r="A42" i="90"/>
  <c r="H41" i="90"/>
  <c r="F41" i="90"/>
  <c r="G41" i="90" s="1"/>
  <c r="A41" i="90"/>
  <c r="H40" i="90"/>
  <c r="F40" i="90"/>
  <c r="G40" i="90" s="1"/>
  <c r="A40" i="90"/>
  <c r="H39" i="90"/>
  <c r="F39" i="90"/>
  <c r="G39" i="90" s="1"/>
  <c r="A39" i="90"/>
  <c r="H38" i="90"/>
  <c r="F38" i="90"/>
  <c r="G38" i="90" s="1"/>
  <c r="A38" i="90"/>
  <c r="H37" i="90"/>
  <c r="G37" i="90"/>
  <c r="F37" i="90"/>
  <c r="A37" i="90"/>
  <c r="H36" i="90"/>
  <c r="F36" i="90"/>
  <c r="G36" i="90" s="1"/>
  <c r="A36" i="90"/>
  <c r="H35" i="90"/>
  <c r="F35" i="90"/>
  <c r="G35" i="90" s="1"/>
  <c r="A35" i="90"/>
  <c r="H34" i="90"/>
  <c r="F34" i="90"/>
  <c r="G34" i="90" s="1"/>
  <c r="A34" i="90"/>
  <c r="H33" i="90"/>
  <c r="F33" i="90"/>
  <c r="G33" i="90" s="1"/>
  <c r="A33" i="90"/>
  <c r="H32" i="90"/>
  <c r="F32" i="90"/>
  <c r="G32" i="90" s="1"/>
  <c r="A32" i="90"/>
  <c r="H31" i="90"/>
  <c r="F31" i="90"/>
  <c r="G31" i="90" s="1"/>
  <c r="A31" i="90"/>
  <c r="H30" i="90"/>
  <c r="F30" i="90"/>
  <c r="G30" i="90" s="1"/>
  <c r="H29" i="90"/>
  <c r="F29" i="90"/>
  <c r="G29" i="90" s="1"/>
  <c r="H28" i="90"/>
  <c r="G28" i="90" s="1"/>
  <c r="F28" i="90"/>
  <c r="H27" i="90"/>
  <c r="G27" i="90"/>
  <c r="F27" i="90"/>
  <c r="H26" i="90"/>
  <c r="F26" i="90"/>
  <c r="G26" i="90" s="1"/>
  <c r="H25" i="90"/>
  <c r="F25" i="90"/>
  <c r="G25" i="90" s="1"/>
  <c r="H24" i="90"/>
  <c r="L6" i="90" s="1"/>
  <c r="F24" i="90"/>
  <c r="G24" i="90" s="1"/>
  <c r="H23" i="90"/>
  <c r="F23" i="90"/>
  <c r="G23" i="90" s="1"/>
  <c r="H22" i="90"/>
  <c r="F22" i="90"/>
  <c r="G22" i="90" s="1"/>
  <c r="L21" i="90"/>
  <c r="H21" i="90"/>
  <c r="G21" i="90"/>
  <c r="F21" i="90"/>
  <c r="H20" i="90"/>
  <c r="F20" i="90"/>
  <c r="G20" i="90" s="1"/>
  <c r="K19" i="90"/>
  <c r="D15" i="123" s="1"/>
  <c r="J19" i="90"/>
  <c r="H19" i="90"/>
  <c r="F19" i="90"/>
  <c r="G19" i="90" s="1"/>
  <c r="H18" i="90"/>
  <c r="F18" i="90"/>
  <c r="G18" i="90" s="1"/>
  <c r="H17" i="90"/>
  <c r="F17" i="90"/>
  <c r="G17" i="90" s="1"/>
  <c r="K16" i="90"/>
  <c r="B15" i="123" s="1"/>
  <c r="J16" i="90"/>
  <c r="H16" i="90"/>
  <c r="L5" i="90" s="1"/>
  <c r="F16" i="90"/>
  <c r="J5" i="90" s="1"/>
  <c r="H15" i="90"/>
  <c r="F15" i="90"/>
  <c r="G15" i="90" s="1"/>
  <c r="H14" i="90"/>
  <c r="F14" i="90"/>
  <c r="G14" i="90" s="1"/>
  <c r="H13" i="90"/>
  <c r="F13" i="90"/>
  <c r="G13" i="90" s="1"/>
  <c r="L12" i="90"/>
  <c r="L19" i="90" s="1"/>
  <c r="G15" i="123" s="1"/>
  <c r="K12" i="90"/>
  <c r="J12" i="90"/>
  <c r="H12" i="90"/>
  <c r="G12" i="90"/>
  <c r="K6" i="90" s="1"/>
  <c r="F12" i="90"/>
  <c r="L11" i="90"/>
  <c r="L18" i="90" s="1"/>
  <c r="K11" i="90"/>
  <c r="K18" i="90" s="1"/>
  <c r="J11" i="90"/>
  <c r="J18" i="90" s="1"/>
  <c r="H11" i="90"/>
  <c r="F11" i="90"/>
  <c r="G11" i="90" s="1"/>
  <c r="L10" i="90"/>
  <c r="K10" i="90"/>
  <c r="J10" i="90"/>
  <c r="H10" i="90"/>
  <c r="F10" i="90"/>
  <c r="G10" i="90" s="1"/>
  <c r="L9" i="90"/>
  <c r="J9" i="90"/>
  <c r="J21" i="90" s="1"/>
  <c r="I15" i="123" s="1"/>
  <c r="H9" i="90"/>
  <c r="G9" i="90"/>
  <c r="F9" i="90"/>
  <c r="L8" i="90"/>
  <c r="K8" i="90"/>
  <c r="J8" i="90"/>
  <c r="H8" i="90"/>
  <c r="G8" i="90"/>
  <c r="F8" i="90"/>
  <c r="J7" i="90"/>
  <c r="H7" i="90"/>
  <c r="F7" i="90"/>
  <c r="G7" i="90" s="1"/>
  <c r="H6" i="90"/>
  <c r="F6" i="90"/>
  <c r="G6" i="90" s="1"/>
  <c r="H5" i="90"/>
  <c r="F5" i="90"/>
  <c r="G5" i="90" s="1"/>
  <c r="H4" i="90"/>
  <c r="L4" i="90" s="1"/>
  <c r="F4" i="90"/>
  <c r="G4" i="90" s="1"/>
  <c r="L3" i="90"/>
  <c r="L16" i="90" s="1"/>
  <c r="E15" i="123" s="1"/>
  <c r="K3" i="90"/>
  <c r="J3" i="90"/>
  <c r="H3" i="90"/>
  <c r="L7" i="90" s="1"/>
  <c r="F3" i="90"/>
  <c r="G3" i="90" s="1"/>
  <c r="K7" i="90" s="1"/>
  <c r="H42" i="89"/>
  <c r="G42" i="89"/>
  <c r="F42" i="89"/>
  <c r="A42" i="89"/>
  <c r="H41" i="89"/>
  <c r="F41" i="89"/>
  <c r="G41" i="89" s="1"/>
  <c r="A41" i="89"/>
  <c r="H40" i="89"/>
  <c r="G40" i="89"/>
  <c r="F40" i="89"/>
  <c r="A40" i="89"/>
  <c r="H39" i="89"/>
  <c r="F39" i="89"/>
  <c r="G39" i="89" s="1"/>
  <c r="A39" i="89"/>
  <c r="H38" i="89"/>
  <c r="F38" i="89"/>
  <c r="G38" i="89" s="1"/>
  <c r="A38" i="89"/>
  <c r="H37" i="89"/>
  <c r="F37" i="89"/>
  <c r="G37" i="89" s="1"/>
  <c r="A37" i="89"/>
  <c r="H36" i="89"/>
  <c r="F36" i="89"/>
  <c r="G36" i="89" s="1"/>
  <c r="A36" i="89"/>
  <c r="H35" i="89"/>
  <c r="F35" i="89"/>
  <c r="G35" i="89" s="1"/>
  <c r="A35" i="89"/>
  <c r="H34" i="89"/>
  <c r="G34" i="89"/>
  <c r="F34" i="89"/>
  <c r="A34" i="89"/>
  <c r="H33" i="89"/>
  <c r="F33" i="89"/>
  <c r="G33" i="89" s="1"/>
  <c r="A33" i="89"/>
  <c r="H32" i="89"/>
  <c r="G32" i="89"/>
  <c r="F32" i="89"/>
  <c r="A32" i="89"/>
  <c r="H31" i="89"/>
  <c r="F31" i="89"/>
  <c r="G31" i="89" s="1"/>
  <c r="A31" i="89"/>
  <c r="H30" i="89"/>
  <c r="F30" i="89"/>
  <c r="G30" i="89" s="1"/>
  <c r="A30" i="89"/>
  <c r="H29" i="89"/>
  <c r="F29" i="89"/>
  <c r="G29" i="89" s="1"/>
  <c r="A29" i="89"/>
  <c r="H28" i="89"/>
  <c r="F28" i="89"/>
  <c r="G28" i="89" s="1"/>
  <c r="A28" i="89"/>
  <c r="H27" i="89"/>
  <c r="F27" i="89"/>
  <c r="G27" i="89" s="1"/>
  <c r="A27" i="89"/>
  <c r="H26" i="89"/>
  <c r="G26" i="89"/>
  <c r="F26" i="89"/>
  <c r="A26" i="89"/>
  <c r="H25" i="89"/>
  <c r="F25" i="89"/>
  <c r="G25" i="89" s="1"/>
  <c r="A25" i="89"/>
  <c r="H24" i="89"/>
  <c r="G24" i="89"/>
  <c r="F24" i="89"/>
  <c r="A24" i="89"/>
  <c r="H23" i="89"/>
  <c r="F23" i="89"/>
  <c r="G23" i="89" s="1"/>
  <c r="A23" i="89"/>
  <c r="H22" i="89"/>
  <c r="F22" i="89"/>
  <c r="G22" i="89" s="1"/>
  <c r="A22" i="89"/>
  <c r="H21" i="89"/>
  <c r="F21" i="89"/>
  <c r="G21" i="89" s="1"/>
  <c r="A21" i="89"/>
  <c r="H20" i="89"/>
  <c r="F20" i="89"/>
  <c r="G20" i="89" s="1"/>
  <c r="L19" i="89"/>
  <c r="J19" i="89"/>
  <c r="H19" i="89"/>
  <c r="G19" i="89"/>
  <c r="F19" i="89"/>
  <c r="J18" i="89"/>
  <c r="H18" i="89"/>
  <c r="G18" i="89"/>
  <c r="F18" i="89"/>
  <c r="H17" i="89"/>
  <c r="F17" i="89"/>
  <c r="G17" i="89" s="1"/>
  <c r="H16" i="89"/>
  <c r="F16" i="89"/>
  <c r="G16" i="89" s="1"/>
  <c r="H15" i="89"/>
  <c r="F15" i="89"/>
  <c r="G15" i="89" s="1"/>
  <c r="H14" i="89"/>
  <c r="F14" i="89"/>
  <c r="G14" i="89" s="1"/>
  <c r="H13" i="89"/>
  <c r="F13" i="89"/>
  <c r="G13" i="89" s="1"/>
  <c r="L12" i="89"/>
  <c r="K12" i="89"/>
  <c r="K19" i="89" s="1"/>
  <c r="D14" i="123" s="1"/>
  <c r="J12" i="89"/>
  <c r="H12" i="89"/>
  <c r="F12" i="89"/>
  <c r="G12" i="89" s="1"/>
  <c r="L11" i="89"/>
  <c r="L18" i="89" s="1"/>
  <c r="K11" i="89"/>
  <c r="K18" i="89" s="1"/>
  <c r="J11" i="89"/>
  <c r="H11" i="89"/>
  <c r="F11" i="89"/>
  <c r="G11" i="89" s="1"/>
  <c r="L10" i="89"/>
  <c r="K10" i="89"/>
  <c r="J10" i="89"/>
  <c r="H10" i="89"/>
  <c r="F10" i="89"/>
  <c r="G10" i="89" s="1"/>
  <c r="L9" i="89"/>
  <c r="J9" i="89"/>
  <c r="H9" i="89"/>
  <c r="L4" i="89" s="1"/>
  <c r="F9" i="89"/>
  <c r="G9" i="89" s="1"/>
  <c r="L8" i="89"/>
  <c r="L21" i="89" s="1"/>
  <c r="K8" i="89"/>
  <c r="J8" i="89"/>
  <c r="J21" i="89" s="1"/>
  <c r="I14" i="123" s="1"/>
  <c r="H8" i="89"/>
  <c r="L6" i="89" s="1"/>
  <c r="G8" i="89"/>
  <c r="K6" i="89" s="1"/>
  <c r="F8" i="89"/>
  <c r="L7" i="89"/>
  <c r="K7" i="89"/>
  <c r="J7" i="89"/>
  <c r="H7" i="89"/>
  <c r="F7" i="89"/>
  <c r="G7" i="89" s="1"/>
  <c r="J6" i="89"/>
  <c r="H6" i="89"/>
  <c r="F6" i="89"/>
  <c r="G6" i="89" s="1"/>
  <c r="H5" i="89"/>
  <c r="F5" i="89"/>
  <c r="G5" i="89" s="1"/>
  <c r="H4" i="89"/>
  <c r="F4" i="89"/>
  <c r="G4" i="89" s="1"/>
  <c r="L3" i="89"/>
  <c r="L16" i="89" s="1"/>
  <c r="E14" i="123" s="1"/>
  <c r="K3" i="89"/>
  <c r="K16" i="89" s="1"/>
  <c r="B14" i="123" s="1"/>
  <c r="J3" i="89"/>
  <c r="J16" i="89" s="1"/>
  <c r="H3" i="89"/>
  <c r="L5" i="89" s="1"/>
  <c r="F3" i="89"/>
  <c r="J5" i="89" s="1"/>
  <c r="H42" i="88"/>
  <c r="F42" i="88"/>
  <c r="G42" i="88" s="1"/>
  <c r="A42" i="88"/>
  <c r="H41" i="88"/>
  <c r="G41" i="88"/>
  <c r="F41" i="88"/>
  <c r="A41" i="88"/>
  <c r="H40" i="88"/>
  <c r="G40" i="88"/>
  <c r="F40" i="88"/>
  <c r="A40" i="88"/>
  <c r="H39" i="88"/>
  <c r="G39" i="88" s="1"/>
  <c r="F39" i="88"/>
  <c r="A39" i="88"/>
  <c r="H38" i="88"/>
  <c r="G38" i="88"/>
  <c r="F38" i="88"/>
  <c r="A38" i="88"/>
  <c r="H37" i="88"/>
  <c r="F37" i="88"/>
  <c r="G37" i="88" s="1"/>
  <c r="A37" i="88"/>
  <c r="H36" i="88"/>
  <c r="F36" i="88"/>
  <c r="G36" i="88" s="1"/>
  <c r="A36" i="88"/>
  <c r="H35" i="88"/>
  <c r="F35" i="88"/>
  <c r="G35" i="88" s="1"/>
  <c r="H34" i="88"/>
  <c r="F34" i="88"/>
  <c r="G34" i="88" s="1"/>
  <c r="H33" i="88"/>
  <c r="L4" i="88" s="1"/>
  <c r="L17" i="88" s="1"/>
  <c r="F13" i="123" s="1"/>
  <c r="F33" i="88"/>
  <c r="G33" i="88" s="1"/>
  <c r="H32" i="88"/>
  <c r="F32" i="88"/>
  <c r="G32" i="88" s="1"/>
  <c r="H31" i="88"/>
  <c r="G31" i="88"/>
  <c r="F31" i="88"/>
  <c r="H30" i="88"/>
  <c r="G30" i="88" s="1"/>
  <c r="F30" i="88"/>
  <c r="H29" i="88"/>
  <c r="F29" i="88"/>
  <c r="G29" i="88" s="1"/>
  <c r="H28" i="88"/>
  <c r="F28" i="88"/>
  <c r="G28" i="88" s="1"/>
  <c r="H27" i="88"/>
  <c r="F27" i="88"/>
  <c r="G27" i="88" s="1"/>
  <c r="H26" i="88"/>
  <c r="F26" i="88"/>
  <c r="G26" i="88" s="1"/>
  <c r="H25" i="88"/>
  <c r="F25" i="88"/>
  <c r="G25" i="88" s="1"/>
  <c r="H24" i="88"/>
  <c r="F24" i="88"/>
  <c r="G24" i="88" s="1"/>
  <c r="H23" i="88"/>
  <c r="F23" i="88"/>
  <c r="G23" i="88" s="1"/>
  <c r="H22" i="88"/>
  <c r="F22" i="88"/>
  <c r="G22" i="88" s="1"/>
  <c r="H21" i="88"/>
  <c r="F21" i="88"/>
  <c r="G21" i="88" s="1"/>
  <c r="H20" i="88"/>
  <c r="F20" i="88"/>
  <c r="G20" i="88" s="1"/>
  <c r="H19" i="88"/>
  <c r="F19" i="88"/>
  <c r="G19" i="88" s="1"/>
  <c r="H18" i="88"/>
  <c r="F18" i="88"/>
  <c r="G18" i="88" s="1"/>
  <c r="H17" i="88"/>
  <c r="F17" i="88"/>
  <c r="G17" i="88" s="1"/>
  <c r="L16" i="88"/>
  <c r="E13" i="123" s="1"/>
  <c r="K16" i="88"/>
  <c r="J16" i="88"/>
  <c r="H16" i="88"/>
  <c r="L6" i="88" s="1"/>
  <c r="F16" i="88"/>
  <c r="G16" i="88" s="1"/>
  <c r="K6" i="88" s="1"/>
  <c r="H15" i="88"/>
  <c r="G15" i="88"/>
  <c r="F15" i="88"/>
  <c r="H14" i="88"/>
  <c r="G14" i="88" s="1"/>
  <c r="F14" i="88"/>
  <c r="H13" i="88"/>
  <c r="F13" i="88"/>
  <c r="G13" i="88" s="1"/>
  <c r="L12" i="88"/>
  <c r="L19" i="88" s="1"/>
  <c r="G13" i="123" s="1"/>
  <c r="K12" i="88"/>
  <c r="K19" i="88" s="1"/>
  <c r="D13" i="123" s="1"/>
  <c r="J12" i="88"/>
  <c r="J19" i="88" s="1"/>
  <c r="H12" i="88"/>
  <c r="F12" i="88"/>
  <c r="G12" i="88" s="1"/>
  <c r="L11" i="88"/>
  <c r="L18" i="88" s="1"/>
  <c r="K11" i="88"/>
  <c r="K18" i="88" s="1"/>
  <c r="J11" i="88"/>
  <c r="J18" i="88" s="1"/>
  <c r="H11" i="88"/>
  <c r="F11" i="88"/>
  <c r="G11" i="88" s="1"/>
  <c r="L10" i="88"/>
  <c r="K10" i="88"/>
  <c r="J10" i="88"/>
  <c r="H10" i="88"/>
  <c r="L5" i="88" s="1"/>
  <c r="F10" i="88"/>
  <c r="J5" i="88" s="1"/>
  <c r="L9" i="88"/>
  <c r="K9" i="88"/>
  <c r="J9" i="88"/>
  <c r="H9" i="88"/>
  <c r="F9" i="88"/>
  <c r="G9" i="88" s="1"/>
  <c r="L8" i="88"/>
  <c r="L21" i="88" s="1"/>
  <c r="K8" i="88"/>
  <c r="K21" i="88" s="1"/>
  <c r="J8" i="88"/>
  <c r="J21" i="88" s="1"/>
  <c r="I13" i="123" s="1"/>
  <c r="H8" i="88"/>
  <c r="G8" i="88" s="1"/>
  <c r="F8" i="88"/>
  <c r="L7" i="88"/>
  <c r="K7" i="88"/>
  <c r="J7" i="88"/>
  <c r="H7" i="88"/>
  <c r="G7" i="88"/>
  <c r="F7" i="88"/>
  <c r="J6" i="88"/>
  <c r="H6" i="88"/>
  <c r="F6" i="88"/>
  <c r="G6" i="88" s="1"/>
  <c r="H5" i="88"/>
  <c r="F5" i="88"/>
  <c r="G5" i="88" s="1"/>
  <c r="H4" i="88"/>
  <c r="G4" i="88"/>
  <c r="F4" i="88"/>
  <c r="L3" i="88"/>
  <c r="K3" i="88"/>
  <c r="J3" i="88"/>
  <c r="H3" i="88"/>
  <c r="G3" i="88"/>
  <c r="F3" i="88"/>
  <c r="H42" i="87"/>
  <c r="G42" i="87" s="1"/>
  <c r="F42" i="87"/>
  <c r="A42" i="87"/>
  <c r="H41" i="87"/>
  <c r="F41" i="87"/>
  <c r="G41" i="87" s="1"/>
  <c r="A41" i="87"/>
  <c r="H40" i="87"/>
  <c r="F40" i="87"/>
  <c r="G40" i="87" s="1"/>
  <c r="A40" i="87"/>
  <c r="H39" i="87"/>
  <c r="F39" i="87"/>
  <c r="G39" i="87" s="1"/>
  <c r="A39" i="87"/>
  <c r="H38" i="87"/>
  <c r="F38" i="87"/>
  <c r="G38" i="87" s="1"/>
  <c r="A38" i="87"/>
  <c r="H37" i="87"/>
  <c r="G37" i="87"/>
  <c r="F37" i="87"/>
  <c r="A37" i="87"/>
  <c r="H36" i="87"/>
  <c r="F36" i="87"/>
  <c r="G36" i="87" s="1"/>
  <c r="A36" i="87"/>
  <c r="H35" i="87"/>
  <c r="F35" i="87"/>
  <c r="G35" i="87" s="1"/>
  <c r="A35" i="87"/>
  <c r="H34" i="87"/>
  <c r="G34" i="87" s="1"/>
  <c r="F34" i="87"/>
  <c r="A34" i="87"/>
  <c r="H33" i="87"/>
  <c r="F33" i="87"/>
  <c r="G33" i="87" s="1"/>
  <c r="A33" i="87"/>
  <c r="H32" i="87"/>
  <c r="F32" i="87"/>
  <c r="G32" i="87" s="1"/>
  <c r="A32" i="87"/>
  <c r="H31" i="87"/>
  <c r="F31" i="87"/>
  <c r="G31" i="87" s="1"/>
  <c r="A31" i="87"/>
  <c r="H30" i="87"/>
  <c r="F30" i="87"/>
  <c r="G30" i="87" s="1"/>
  <c r="A30" i="87"/>
  <c r="H29" i="87"/>
  <c r="G29" i="87"/>
  <c r="F29" i="87"/>
  <c r="A29" i="87"/>
  <c r="H28" i="87"/>
  <c r="F28" i="87"/>
  <c r="G28" i="87" s="1"/>
  <c r="A28" i="87"/>
  <c r="H27" i="87"/>
  <c r="F27" i="87"/>
  <c r="G27" i="87" s="1"/>
  <c r="H26" i="87"/>
  <c r="G26" i="87"/>
  <c r="F26" i="87"/>
  <c r="H25" i="87"/>
  <c r="F25" i="87"/>
  <c r="G25" i="87" s="1"/>
  <c r="H24" i="87"/>
  <c r="F24" i="87"/>
  <c r="G24" i="87" s="1"/>
  <c r="H23" i="87"/>
  <c r="F23" i="87"/>
  <c r="G23" i="87" s="1"/>
  <c r="H22" i="87"/>
  <c r="F22" i="87"/>
  <c r="G22" i="87" s="1"/>
  <c r="H21" i="87"/>
  <c r="L9" i="87" s="1"/>
  <c r="F21" i="87"/>
  <c r="J9" i="87" s="1"/>
  <c r="H20" i="87"/>
  <c r="G20" i="87"/>
  <c r="F20" i="87"/>
  <c r="H19" i="87"/>
  <c r="F19" i="87"/>
  <c r="G19" i="87" s="1"/>
  <c r="H18" i="87"/>
  <c r="L6" i="87" s="1"/>
  <c r="F18" i="87"/>
  <c r="G18" i="87" s="1"/>
  <c r="K6" i="87" s="1"/>
  <c r="L17" i="87"/>
  <c r="H17" i="87"/>
  <c r="F17" i="87"/>
  <c r="G17" i="87" s="1"/>
  <c r="H16" i="87"/>
  <c r="F16" i="87"/>
  <c r="G16" i="87" s="1"/>
  <c r="H15" i="87"/>
  <c r="F15" i="87"/>
  <c r="G15" i="87" s="1"/>
  <c r="H14" i="87"/>
  <c r="F14" i="87"/>
  <c r="G14" i="87" s="1"/>
  <c r="H13" i="87"/>
  <c r="F13" i="87"/>
  <c r="G13" i="87" s="1"/>
  <c r="L12" i="87"/>
  <c r="L18" i="87" s="1"/>
  <c r="G12" i="123" s="1"/>
  <c r="K12" i="87"/>
  <c r="K18" i="87" s="1"/>
  <c r="D12" i="123" s="1"/>
  <c r="J12" i="87"/>
  <c r="J18" i="87" s="1"/>
  <c r="H12" i="87"/>
  <c r="L5" i="87" s="1"/>
  <c r="F12" i="87"/>
  <c r="G12" i="87" s="1"/>
  <c r="K5" i="87" s="1"/>
  <c r="L11" i="87"/>
  <c r="K11" i="87"/>
  <c r="K17" i="87" s="1"/>
  <c r="J11" i="87"/>
  <c r="J17" i="87" s="1"/>
  <c r="H11" i="87"/>
  <c r="F11" i="87"/>
  <c r="G11" i="87" s="1"/>
  <c r="L10" i="87"/>
  <c r="K10" i="87"/>
  <c r="J10" i="87"/>
  <c r="H10" i="87"/>
  <c r="F10" i="87"/>
  <c r="G10" i="87" s="1"/>
  <c r="H9" i="87"/>
  <c r="F9" i="87"/>
  <c r="G9" i="87" s="1"/>
  <c r="L8" i="87"/>
  <c r="K8" i="87"/>
  <c r="J8" i="87"/>
  <c r="J20" i="87" s="1"/>
  <c r="I12" i="123" s="1"/>
  <c r="H8" i="87"/>
  <c r="G8" i="87"/>
  <c r="F8" i="87"/>
  <c r="L7" i="87"/>
  <c r="K7" i="87"/>
  <c r="J7" i="87"/>
  <c r="H7" i="87"/>
  <c r="F7" i="87"/>
  <c r="G7" i="87" s="1"/>
  <c r="H6" i="87"/>
  <c r="G6" i="87"/>
  <c r="F6" i="87"/>
  <c r="H5" i="87"/>
  <c r="F5" i="87"/>
  <c r="G5" i="87" s="1"/>
  <c r="H4" i="87"/>
  <c r="F4" i="87"/>
  <c r="G4" i="87" s="1"/>
  <c r="L3" i="87"/>
  <c r="L15" i="87" s="1"/>
  <c r="E12" i="123" s="1"/>
  <c r="K3" i="87"/>
  <c r="K15" i="87" s="1"/>
  <c r="B12" i="123" s="1"/>
  <c r="J3" i="87"/>
  <c r="J15" i="87" s="1"/>
  <c r="H3" i="87"/>
  <c r="L4" i="87" s="1"/>
  <c r="L16" i="87" s="1"/>
  <c r="F12" i="123" s="1"/>
  <c r="F3" i="87"/>
  <c r="J4" i="87" s="1"/>
  <c r="H42" i="86"/>
  <c r="F42" i="86"/>
  <c r="G42" i="86" s="1"/>
  <c r="A42" i="86"/>
  <c r="H41" i="86"/>
  <c r="F41" i="86"/>
  <c r="G41" i="86" s="1"/>
  <c r="A41" i="86"/>
  <c r="H40" i="86"/>
  <c r="G40" i="86"/>
  <c r="F40" i="86"/>
  <c r="A40" i="86"/>
  <c r="H39" i="86"/>
  <c r="F39" i="86"/>
  <c r="G39" i="86" s="1"/>
  <c r="H38" i="86"/>
  <c r="G38" i="86" s="1"/>
  <c r="F38" i="86"/>
  <c r="H37" i="86"/>
  <c r="G37" i="86"/>
  <c r="F37" i="86"/>
  <c r="H36" i="86"/>
  <c r="F36" i="86"/>
  <c r="G36" i="86" s="1"/>
  <c r="H35" i="86"/>
  <c r="F35" i="86"/>
  <c r="G35" i="86" s="1"/>
  <c r="H34" i="86"/>
  <c r="F34" i="86"/>
  <c r="G34" i="86" s="1"/>
  <c r="H33" i="86"/>
  <c r="F33" i="86"/>
  <c r="G33" i="86" s="1"/>
  <c r="H32" i="86"/>
  <c r="F32" i="86"/>
  <c r="G32" i="86" s="1"/>
  <c r="H31" i="86"/>
  <c r="F31" i="86"/>
  <c r="G31" i="86" s="1"/>
  <c r="H30" i="86"/>
  <c r="F30" i="86"/>
  <c r="G30" i="86" s="1"/>
  <c r="H29" i="86"/>
  <c r="G29" i="86"/>
  <c r="F29" i="86"/>
  <c r="H28" i="86"/>
  <c r="F28" i="86"/>
  <c r="G28" i="86" s="1"/>
  <c r="H27" i="86"/>
  <c r="G27" i="86" s="1"/>
  <c r="F27" i="86"/>
  <c r="H26" i="86"/>
  <c r="F26" i="86"/>
  <c r="G26" i="86" s="1"/>
  <c r="H25" i="86"/>
  <c r="G25" i="86"/>
  <c r="F25" i="86"/>
  <c r="H24" i="86"/>
  <c r="F24" i="86"/>
  <c r="G24" i="86" s="1"/>
  <c r="H23" i="86"/>
  <c r="F23" i="86"/>
  <c r="G23" i="86" s="1"/>
  <c r="H22" i="86"/>
  <c r="F22" i="86"/>
  <c r="G22" i="86" s="1"/>
  <c r="J21" i="86"/>
  <c r="I11" i="123" s="1"/>
  <c r="H21" i="86"/>
  <c r="G21" i="86"/>
  <c r="F21" i="86"/>
  <c r="H20" i="86"/>
  <c r="F20" i="86"/>
  <c r="G20" i="86" s="1"/>
  <c r="H19" i="86"/>
  <c r="G19" i="86" s="1"/>
  <c r="F19" i="86"/>
  <c r="K18" i="86"/>
  <c r="H18" i="86"/>
  <c r="F18" i="86"/>
  <c r="G18" i="86" s="1"/>
  <c r="H17" i="86"/>
  <c r="L7" i="86" s="1"/>
  <c r="F17" i="86"/>
  <c r="G17" i="86" s="1"/>
  <c r="K7" i="86" s="1"/>
  <c r="H16" i="86"/>
  <c r="F16" i="86"/>
  <c r="G16" i="86" s="1"/>
  <c r="H15" i="86"/>
  <c r="L5" i="86" s="1"/>
  <c r="F15" i="86"/>
  <c r="J5" i="86" s="1"/>
  <c r="H14" i="86"/>
  <c r="F14" i="86"/>
  <c r="G14" i="86" s="1"/>
  <c r="H13" i="86"/>
  <c r="G13" i="86"/>
  <c r="F13" i="86"/>
  <c r="L12" i="86"/>
  <c r="L19" i="86" s="1"/>
  <c r="G11" i="123" s="1"/>
  <c r="K12" i="86"/>
  <c r="K19" i="86" s="1"/>
  <c r="D11" i="123" s="1"/>
  <c r="J12" i="86"/>
  <c r="J19" i="86" s="1"/>
  <c r="H12" i="86"/>
  <c r="G12" i="86" s="1"/>
  <c r="F12" i="86"/>
  <c r="L11" i="86"/>
  <c r="L18" i="86" s="1"/>
  <c r="K11" i="86"/>
  <c r="J11" i="86"/>
  <c r="J18" i="86" s="1"/>
  <c r="H11" i="86"/>
  <c r="G11" i="86"/>
  <c r="F11" i="86"/>
  <c r="L10" i="86"/>
  <c r="K10" i="86"/>
  <c r="J10" i="86"/>
  <c r="H10" i="86"/>
  <c r="F10" i="86"/>
  <c r="G10" i="86" s="1"/>
  <c r="L9" i="86"/>
  <c r="K9" i="86"/>
  <c r="J9" i="86"/>
  <c r="H9" i="86"/>
  <c r="L4" i="86" s="1"/>
  <c r="F9" i="86"/>
  <c r="G9" i="86" s="1"/>
  <c r="L8" i="86"/>
  <c r="L21" i="86" s="1"/>
  <c r="K8" i="86"/>
  <c r="K21" i="86" s="1"/>
  <c r="J8" i="86"/>
  <c r="H8" i="86"/>
  <c r="G8" i="86"/>
  <c r="F8" i="86"/>
  <c r="H7" i="86"/>
  <c r="G7" i="86"/>
  <c r="F7" i="86"/>
  <c r="L6" i="86"/>
  <c r="K6" i="86"/>
  <c r="J6" i="86"/>
  <c r="H6" i="86"/>
  <c r="F6" i="86"/>
  <c r="G6" i="86" s="1"/>
  <c r="H5" i="86"/>
  <c r="F5" i="86"/>
  <c r="G5" i="86" s="1"/>
  <c r="H4" i="86"/>
  <c r="F4" i="86"/>
  <c r="G4" i="86" s="1"/>
  <c r="J3" i="86"/>
  <c r="J16" i="86" s="1"/>
  <c r="H3" i="86"/>
  <c r="L3" i="86" s="1"/>
  <c r="L16" i="86" s="1"/>
  <c r="E11" i="123" s="1"/>
  <c r="F3" i="86"/>
  <c r="G3" i="86" s="1"/>
  <c r="H42" i="85"/>
  <c r="F42" i="85"/>
  <c r="G42" i="85" s="1"/>
  <c r="A42" i="85"/>
  <c r="H41" i="85"/>
  <c r="F41" i="85"/>
  <c r="G41" i="85" s="1"/>
  <c r="A41" i="85"/>
  <c r="H40" i="85"/>
  <c r="F40" i="85"/>
  <c r="G40" i="85" s="1"/>
  <c r="A40" i="85"/>
  <c r="H39" i="85"/>
  <c r="G39" i="85"/>
  <c r="F39" i="85"/>
  <c r="A39" i="85"/>
  <c r="H38" i="85"/>
  <c r="F38" i="85"/>
  <c r="G38" i="85" s="1"/>
  <c r="A38" i="85"/>
  <c r="H37" i="85"/>
  <c r="F37" i="85"/>
  <c r="G37" i="85" s="1"/>
  <c r="A37" i="85"/>
  <c r="H36" i="85"/>
  <c r="F36" i="85"/>
  <c r="G36" i="85" s="1"/>
  <c r="A36" i="85"/>
  <c r="H35" i="85"/>
  <c r="F35" i="85"/>
  <c r="G35" i="85" s="1"/>
  <c r="A35" i="85"/>
  <c r="H34" i="85"/>
  <c r="F34" i="85"/>
  <c r="G34" i="85" s="1"/>
  <c r="A34" i="85"/>
  <c r="H33" i="85"/>
  <c r="F33" i="85"/>
  <c r="G33" i="85" s="1"/>
  <c r="A33" i="85"/>
  <c r="H32" i="85"/>
  <c r="F32" i="85"/>
  <c r="G32" i="85" s="1"/>
  <c r="A32" i="85"/>
  <c r="H31" i="85"/>
  <c r="G31" i="85"/>
  <c r="F31" i="85"/>
  <c r="A31" i="85"/>
  <c r="H30" i="85"/>
  <c r="F30" i="85"/>
  <c r="G30" i="85" s="1"/>
  <c r="A30" i="85"/>
  <c r="H29" i="85"/>
  <c r="F29" i="85"/>
  <c r="G29" i="85" s="1"/>
  <c r="A29" i="85"/>
  <c r="H28" i="85"/>
  <c r="F28" i="85"/>
  <c r="G28" i="85" s="1"/>
  <c r="A28" i="85"/>
  <c r="H27" i="85"/>
  <c r="F27" i="85"/>
  <c r="G27" i="85" s="1"/>
  <c r="A27" i="85"/>
  <c r="H26" i="85"/>
  <c r="F26" i="85"/>
  <c r="G26" i="85" s="1"/>
  <c r="A26" i="85"/>
  <c r="H25" i="85"/>
  <c r="F25" i="85"/>
  <c r="G25" i="85" s="1"/>
  <c r="H24" i="85"/>
  <c r="G24" i="85"/>
  <c r="F24" i="85"/>
  <c r="H23" i="85"/>
  <c r="F23" i="85"/>
  <c r="G23" i="85" s="1"/>
  <c r="H22" i="85"/>
  <c r="F22" i="85"/>
  <c r="G22" i="85" s="1"/>
  <c r="H21" i="85"/>
  <c r="F21" i="85"/>
  <c r="G21" i="85" s="1"/>
  <c r="H20" i="85"/>
  <c r="F20" i="85"/>
  <c r="G20" i="85" s="1"/>
  <c r="H19" i="85"/>
  <c r="L7" i="85" s="1"/>
  <c r="F19" i="85"/>
  <c r="J7" i="85" s="1"/>
  <c r="J18" i="85"/>
  <c r="H18" i="85"/>
  <c r="G18" i="85"/>
  <c r="F18" i="85"/>
  <c r="H17" i="85"/>
  <c r="F17" i="85"/>
  <c r="G17" i="85" s="1"/>
  <c r="L16" i="85"/>
  <c r="K16" i="85"/>
  <c r="H16" i="85"/>
  <c r="G16" i="85" s="1"/>
  <c r="F16" i="85"/>
  <c r="H15" i="85"/>
  <c r="F15" i="85"/>
  <c r="G15" i="85" s="1"/>
  <c r="H14" i="85"/>
  <c r="F14" i="85"/>
  <c r="G14" i="85" s="1"/>
  <c r="H13" i="85"/>
  <c r="F13" i="85"/>
  <c r="G13" i="85" s="1"/>
  <c r="L12" i="85"/>
  <c r="L19" i="85" s="1"/>
  <c r="G10" i="123" s="1"/>
  <c r="K12" i="85"/>
  <c r="K19" i="85" s="1"/>
  <c r="D10" i="123" s="1"/>
  <c r="J12" i="85"/>
  <c r="J19" i="85" s="1"/>
  <c r="H12" i="85"/>
  <c r="L9" i="85" s="1"/>
  <c r="G12" i="85"/>
  <c r="F12" i="85"/>
  <c r="L11" i="85"/>
  <c r="L18" i="85" s="1"/>
  <c r="K11" i="85"/>
  <c r="K18" i="85" s="1"/>
  <c r="J11" i="85"/>
  <c r="H11" i="85"/>
  <c r="F11" i="85"/>
  <c r="G11" i="85" s="1"/>
  <c r="L10" i="85"/>
  <c r="K10" i="85"/>
  <c r="J10" i="85"/>
  <c r="H10" i="85"/>
  <c r="F10" i="85"/>
  <c r="G10" i="85" s="1"/>
  <c r="H9" i="85"/>
  <c r="L5" i="85" s="1"/>
  <c r="F9" i="85"/>
  <c r="J5" i="85" s="1"/>
  <c r="L8" i="85"/>
  <c r="K8" i="85"/>
  <c r="J8" i="85"/>
  <c r="H8" i="85"/>
  <c r="F8" i="85"/>
  <c r="G8" i="85" s="1"/>
  <c r="H7" i="85"/>
  <c r="F7" i="85"/>
  <c r="J4" i="85" s="1"/>
  <c r="J17" i="85" s="1"/>
  <c r="L6" i="85"/>
  <c r="K6" i="85"/>
  <c r="J6" i="85"/>
  <c r="H6" i="85"/>
  <c r="L4" i="85" s="1"/>
  <c r="F6" i="85"/>
  <c r="G6" i="85" s="1"/>
  <c r="H5" i="85"/>
  <c r="F5" i="85"/>
  <c r="G5" i="85" s="1"/>
  <c r="H4" i="85"/>
  <c r="G4" i="85"/>
  <c r="F4" i="85"/>
  <c r="L3" i="85"/>
  <c r="K3" i="85"/>
  <c r="J3" i="85"/>
  <c r="J16" i="85" s="1"/>
  <c r="J20" i="85" s="1"/>
  <c r="H3" i="85"/>
  <c r="F3" i="85"/>
  <c r="G3" i="85" s="1"/>
  <c r="H42" i="83"/>
  <c r="F42" i="83"/>
  <c r="G42" i="83" s="1"/>
  <c r="A42" i="83"/>
  <c r="H41" i="83"/>
  <c r="F41" i="83"/>
  <c r="G41" i="83" s="1"/>
  <c r="A41" i="83"/>
  <c r="H40" i="83"/>
  <c r="F40" i="83"/>
  <c r="G40" i="83" s="1"/>
  <c r="A40" i="83"/>
  <c r="H39" i="83"/>
  <c r="G39" i="83"/>
  <c r="F39" i="83"/>
  <c r="A39" i="83"/>
  <c r="H38" i="83"/>
  <c r="F38" i="83"/>
  <c r="G38" i="83" s="1"/>
  <c r="A38" i="83"/>
  <c r="H37" i="83"/>
  <c r="G37" i="83"/>
  <c r="F37" i="83"/>
  <c r="A37" i="83"/>
  <c r="H36" i="83"/>
  <c r="G36" i="83"/>
  <c r="F36" i="83"/>
  <c r="A36" i="83"/>
  <c r="H35" i="83"/>
  <c r="F35" i="83"/>
  <c r="G35" i="83" s="1"/>
  <c r="A35" i="83"/>
  <c r="H34" i="83"/>
  <c r="F34" i="83"/>
  <c r="G34" i="83" s="1"/>
  <c r="A34" i="83"/>
  <c r="H33" i="83"/>
  <c r="F33" i="83"/>
  <c r="G33" i="83" s="1"/>
  <c r="A33" i="83"/>
  <c r="H32" i="83"/>
  <c r="F32" i="83"/>
  <c r="G32" i="83" s="1"/>
  <c r="H31" i="83"/>
  <c r="F31" i="83"/>
  <c r="J5" i="83" s="1"/>
  <c r="H30" i="83"/>
  <c r="G30" i="83"/>
  <c r="F30" i="83"/>
  <c r="H29" i="83"/>
  <c r="F29" i="83"/>
  <c r="G29" i="83" s="1"/>
  <c r="H28" i="83"/>
  <c r="G28" i="83"/>
  <c r="F28" i="83"/>
  <c r="H27" i="83"/>
  <c r="F27" i="83"/>
  <c r="G27" i="83" s="1"/>
  <c r="H26" i="83"/>
  <c r="G26" i="83"/>
  <c r="F26" i="83"/>
  <c r="H25" i="83"/>
  <c r="F25" i="83"/>
  <c r="G25" i="83" s="1"/>
  <c r="H24" i="83"/>
  <c r="F24" i="83"/>
  <c r="G24" i="83" s="1"/>
  <c r="H23" i="83"/>
  <c r="F23" i="83"/>
  <c r="G23" i="83" s="1"/>
  <c r="H22" i="83"/>
  <c r="L4" i="83" s="1"/>
  <c r="F22" i="83"/>
  <c r="J4" i="83" s="1"/>
  <c r="H21" i="83"/>
  <c r="G21" i="83"/>
  <c r="F21" i="83"/>
  <c r="H20" i="83"/>
  <c r="F20" i="83"/>
  <c r="G20" i="83" s="1"/>
  <c r="L19" i="83"/>
  <c r="G9" i="123" s="1"/>
  <c r="J19" i="83"/>
  <c r="H19" i="83"/>
  <c r="G19" i="83"/>
  <c r="F19" i="83"/>
  <c r="J18" i="83"/>
  <c r="H18" i="83"/>
  <c r="F18" i="83"/>
  <c r="G18" i="83" s="1"/>
  <c r="H17" i="83"/>
  <c r="F17" i="83"/>
  <c r="G17" i="83" s="1"/>
  <c r="L16" i="83"/>
  <c r="E9" i="123" s="1"/>
  <c r="K16" i="83"/>
  <c r="B9" i="123" s="1"/>
  <c r="J16" i="83"/>
  <c r="H16" i="83"/>
  <c r="L5" i="83" s="1"/>
  <c r="F16" i="83"/>
  <c r="G16" i="83" s="1"/>
  <c r="H15" i="83"/>
  <c r="F15" i="83"/>
  <c r="G15" i="83" s="1"/>
  <c r="H14" i="83"/>
  <c r="G14" i="83"/>
  <c r="F14" i="83"/>
  <c r="H13" i="83"/>
  <c r="F13" i="83"/>
  <c r="G13" i="83" s="1"/>
  <c r="L12" i="83"/>
  <c r="K12" i="83"/>
  <c r="K19" i="83" s="1"/>
  <c r="D9" i="123" s="1"/>
  <c r="J12" i="83"/>
  <c r="H12" i="83"/>
  <c r="L6" i="83" s="1"/>
  <c r="F12" i="83"/>
  <c r="G12" i="83" s="1"/>
  <c r="K6" i="83" s="1"/>
  <c r="L11" i="83"/>
  <c r="L18" i="83" s="1"/>
  <c r="K11" i="83"/>
  <c r="K18" i="83" s="1"/>
  <c r="J11" i="83"/>
  <c r="H11" i="83"/>
  <c r="F11" i="83"/>
  <c r="G11" i="83" s="1"/>
  <c r="L10" i="83"/>
  <c r="K10" i="83"/>
  <c r="J10" i="83"/>
  <c r="H10" i="83"/>
  <c r="F10" i="83"/>
  <c r="G10" i="83" s="1"/>
  <c r="L9" i="83"/>
  <c r="K9" i="83"/>
  <c r="J9" i="83"/>
  <c r="J21" i="83" s="1"/>
  <c r="I9" i="123" s="1"/>
  <c r="H9" i="83"/>
  <c r="F9" i="83"/>
  <c r="G9" i="83" s="1"/>
  <c r="L8" i="83"/>
  <c r="L21" i="83" s="1"/>
  <c r="K8" i="83"/>
  <c r="K21" i="83" s="1"/>
  <c r="J8" i="83"/>
  <c r="H8" i="83"/>
  <c r="F8" i="83"/>
  <c r="G8" i="83" s="1"/>
  <c r="H7" i="83"/>
  <c r="F7" i="83"/>
  <c r="G7" i="83" s="1"/>
  <c r="J6" i="83"/>
  <c r="H6" i="83"/>
  <c r="F6" i="83"/>
  <c r="G6" i="83" s="1"/>
  <c r="H5" i="83"/>
  <c r="L7" i="83" s="1"/>
  <c r="F5" i="83"/>
  <c r="J7" i="83" s="1"/>
  <c r="H4" i="83"/>
  <c r="G4" i="83"/>
  <c r="F4" i="83"/>
  <c r="L3" i="83"/>
  <c r="K3" i="83"/>
  <c r="J3" i="83"/>
  <c r="H3" i="83"/>
  <c r="F3" i="83"/>
  <c r="G3" i="83" s="1"/>
  <c r="H42" i="82"/>
  <c r="G42" i="82"/>
  <c r="F42" i="82"/>
  <c r="A42" i="82"/>
  <c r="H41" i="82"/>
  <c r="G41" i="82"/>
  <c r="F41" i="82"/>
  <c r="A41" i="82"/>
  <c r="H40" i="82"/>
  <c r="G40" i="82"/>
  <c r="F40" i="82"/>
  <c r="A40" i="82"/>
  <c r="H39" i="82"/>
  <c r="G39" i="82"/>
  <c r="F39" i="82"/>
  <c r="A39" i="82"/>
  <c r="H38" i="82"/>
  <c r="F38" i="82"/>
  <c r="G38" i="82" s="1"/>
  <c r="A38" i="82"/>
  <c r="H37" i="82"/>
  <c r="F37" i="82"/>
  <c r="G37" i="82" s="1"/>
  <c r="A37" i="82"/>
  <c r="H36" i="82"/>
  <c r="F36" i="82"/>
  <c r="G36" i="82" s="1"/>
  <c r="A36" i="82"/>
  <c r="H35" i="82"/>
  <c r="F35" i="82"/>
  <c r="G35" i="82" s="1"/>
  <c r="A35" i="82"/>
  <c r="H34" i="82"/>
  <c r="G34" i="82"/>
  <c r="F34" i="82"/>
  <c r="A34" i="82"/>
  <c r="H33" i="82"/>
  <c r="G33" i="82"/>
  <c r="F33" i="82"/>
  <c r="A33" i="82"/>
  <c r="H32" i="82"/>
  <c r="G32" i="82"/>
  <c r="F32" i="82"/>
  <c r="A32" i="82"/>
  <c r="H31" i="82"/>
  <c r="G31" i="82"/>
  <c r="F31" i="82"/>
  <c r="A31" i="82"/>
  <c r="H30" i="82"/>
  <c r="F30" i="82"/>
  <c r="G30" i="82" s="1"/>
  <c r="A30" i="82"/>
  <c r="H29" i="82"/>
  <c r="F29" i="82"/>
  <c r="G29" i="82" s="1"/>
  <c r="A29" i="82"/>
  <c r="H28" i="82"/>
  <c r="F28" i="82"/>
  <c r="G28" i="82" s="1"/>
  <c r="A28" i="82"/>
  <c r="H27" i="82"/>
  <c r="F27" i="82"/>
  <c r="G27" i="82" s="1"/>
  <c r="A27" i="82"/>
  <c r="H26" i="82"/>
  <c r="G26" i="82"/>
  <c r="F26" i="82"/>
  <c r="A26" i="82"/>
  <c r="H25" i="82"/>
  <c r="G25" i="82"/>
  <c r="F25" i="82"/>
  <c r="H24" i="82"/>
  <c r="F24" i="82"/>
  <c r="J5" i="82" s="1"/>
  <c r="H23" i="82"/>
  <c r="G23" i="82"/>
  <c r="F23" i="82"/>
  <c r="H22" i="82"/>
  <c r="F22" i="82"/>
  <c r="G22" i="82" s="1"/>
  <c r="H21" i="82"/>
  <c r="F21" i="82"/>
  <c r="G21" i="82" s="1"/>
  <c r="H20" i="82"/>
  <c r="F20" i="82"/>
  <c r="G20" i="82" s="1"/>
  <c r="L19" i="82"/>
  <c r="G8" i="123" s="1"/>
  <c r="H19" i="82"/>
  <c r="F19" i="82"/>
  <c r="G19" i="82" s="1"/>
  <c r="H18" i="82"/>
  <c r="F18" i="82"/>
  <c r="G18" i="82" s="1"/>
  <c r="H17" i="82"/>
  <c r="F17" i="82"/>
  <c r="G17" i="82" s="1"/>
  <c r="H16" i="82"/>
  <c r="F16" i="82"/>
  <c r="G16" i="82" s="1"/>
  <c r="H15" i="82"/>
  <c r="F15" i="82"/>
  <c r="G15" i="82" s="1"/>
  <c r="H14" i="82"/>
  <c r="L9" i="82" s="1"/>
  <c r="F14" i="82"/>
  <c r="G14" i="82" s="1"/>
  <c r="H13" i="82"/>
  <c r="F13" i="82"/>
  <c r="G13" i="82" s="1"/>
  <c r="L12" i="82"/>
  <c r="K12" i="82"/>
  <c r="K19" i="82" s="1"/>
  <c r="D8" i="123" s="1"/>
  <c r="J12" i="82"/>
  <c r="J19" i="82" s="1"/>
  <c r="H12" i="82"/>
  <c r="G12" i="82"/>
  <c r="F12" i="82"/>
  <c r="L11" i="82"/>
  <c r="L18" i="82" s="1"/>
  <c r="K11" i="82"/>
  <c r="K18" i="82" s="1"/>
  <c r="J11" i="82"/>
  <c r="J18" i="82" s="1"/>
  <c r="H11" i="82"/>
  <c r="G11" i="82"/>
  <c r="F11" i="82"/>
  <c r="L10" i="82"/>
  <c r="K10" i="82"/>
  <c r="J10" i="82"/>
  <c r="H10" i="82"/>
  <c r="G10" i="82"/>
  <c r="F10" i="82"/>
  <c r="H9" i="82"/>
  <c r="F9" i="82"/>
  <c r="G9" i="82" s="1"/>
  <c r="L8" i="82"/>
  <c r="K8" i="82"/>
  <c r="J8" i="82"/>
  <c r="H8" i="82"/>
  <c r="L5" i="82" s="1"/>
  <c r="F8" i="82"/>
  <c r="G8" i="82" s="1"/>
  <c r="L7" i="82"/>
  <c r="K7" i="82"/>
  <c r="J7" i="82"/>
  <c r="H7" i="82"/>
  <c r="F7" i="82"/>
  <c r="J6" i="82" s="1"/>
  <c r="L6" i="82"/>
  <c r="H6" i="82"/>
  <c r="G6" i="82"/>
  <c r="F6" i="82"/>
  <c r="H5" i="82"/>
  <c r="G5" i="82"/>
  <c r="F5" i="82"/>
  <c r="H4" i="82"/>
  <c r="F4" i="82"/>
  <c r="J9" i="82" s="1"/>
  <c r="L3" i="82"/>
  <c r="L16" i="82" s="1"/>
  <c r="E8" i="123" s="1"/>
  <c r="K3" i="82"/>
  <c r="K16" i="82" s="1"/>
  <c r="B8" i="123" s="1"/>
  <c r="J3" i="82"/>
  <c r="J16" i="82" s="1"/>
  <c r="H3" i="82"/>
  <c r="L4" i="82" s="1"/>
  <c r="F3" i="82"/>
  <c r="G3" i="82" s="1"/>
  <c r="H42" i="80"/>
  <c r="F42" i="80"/>
  <c r="G42" i="80" s="1"/>
  <c r="A42" i="80"/>
  <c r="H41" i="80"/>
  <c r="G41" i="80"/>
  <c r="F41" i="80"/>
  <c r="A41" i="80"/>
  <c r="H40" i="80"/>
  <c r="F40" i="80"/>
  <c r="G40" i="80" s="1"/>
  <c r="A40" i="80"/>
  <c r="H39" i="80"/>
  <c r="F39" i="80"/>
  <c r="G39" i="80" s="1"/>
  <c r="A39" i="80"/>
  <c r="H38" i="80"/>
  <c r="F38" i="80"/>
  <c r="G38" i="80" s="1"/>
  <c r="A38" i="80"/>
  <c r="H37" i="80"/>
  <c r="F37" i="80"/>
  <c r="G37" i="80" s="1"/>
  <c r="A37" i="80"/>
  <c r="H36" i="80"/>
  <c r="F36" i="80"/>
  <c r="G36" i="80" s="1"/>
  <c r="A36" i="80"/>
  <c r="H35" i="80"/>
  <c r="F35" i="80"/>
  <c r="G35" i="80" s="1"/>
  <c r="A35" i="80"/>
  <c r="H34" i="80"/>
  <c r="F34" i="80"/>
  <c r="G34" i="80" s="1"/>
  <c r="A34" i="80"/>
  <c r="H33" i="80"/>
  <c r="G33" i="80"/>
  <c r="F33" i="80"/>
  <c r="A33" i="80"/>
  <c r="H32" i="80"/>
  <c r="F32" i="80"/>
  <c r="G32" i="80" s="1"/>
  <c r="A32" i="80"/>
  <c r="H31" i="80"/>
  <c r="F31" i="80"/>
  <c r="G31" i="80" s="1"/>
  <c r="A31" i="80"/>
  <c r="H30" i="80"/>
  <c r="F30" i="80"/>
  <c r="G30" i="80" s="1"/>
  <c r="A30" i="80"/>
  <c r="H29" i="80"/>
  <c r="F29" i="80"/>
  <c r="G29" i="80" s="1"/>
  <c r="A29" i="80"/>
  <c r="H28" i="80"/>
  <c r="F28" i="80"/>
  <c r="G28" i="80" s="1"/>
  <c r="A28" i="80"/>
  <c r="H27" i="80"/>
  <c r="F27" i="80"/>
  <c r="G27" i="80" s="1"/>
  <c r="A27" i="80"/>
  <c r="H26" i="80"/>
  <c r="F26" i="80"/>
  <c r="G26" i="80" s="1"/>
  <c r="H25" i="80"/>
  <c r="F25" i="80"/>
  <c r="G25" i="80" s="1"/>
  <c r="H24" i="80"/>
  <c r="F24" i="80"/>
  <c r="G24" i="80" s="1"/>
  <c r="H23" i="80"/>
  <c r="G23" i="80"/>
  <c r="F23" i="80"/>
  <c r="H22" i="80"/>
  <c r="F22" i="80"/>
  <c r="G22" i="80" s="1"/>
  <c r="K21" i="80"/>
  <c r="H21" i="80"/>
  <c r="F21" i="80"/>
  <c r="G21" i="80" s="1"/>
  <c r="H20" i="80"/>
  <c r="F20" i="80"/>
  <c r="G20" i="80" s="1"/>
  <c r="H19" i="80"/>
  <c r="F19" i="80"/>
  <c r="G19" i="80" s="1"/>
  <c r="H18" i="80"/>
  <c r="F18" i="80"/>
  <c r="G18" i="80" s="1"/>
  <c r="L17" i="80"/>
  <c r="F7" i="123" s="1"/>
  <c r="H17" i="80"/>
  <c r="F17" i="80"/>
  <c r="G17" i="80" s="1"/>
  <c r="H16" i="80"/>
  <c r="F16" i="80"/>
  <c r="G16" i="80" s="1"/>
  <c r="H15" i="80"/>
  <c r="G15" i="80"/>
  <c r="F15" i="80"/>
  <c r="H14" i="80"/>
  <c r="F14" i="80"/>
  <c r="G14" i="80" s="1"/>
  <c r="H13" i="80"/>
  <c r="F13" i="80"/>
  <c r="G13" i="80" s="1"/>
  <c r="L12" i="80"/>
  <c r="L19" i="80" s="1"/>
  <c r="G7" i="123" s="1"/>
  <c r="K12" i="80"/>
  <c r="K19" i="80" s="1"/>
  <c r="D7" i="123" s="1"/>
  <c r="J12" i="80"/>
  <c r="J19" i="80" s="1"/>
  <c r="H12" i="80"/>
  <c r="F12" i="80"/>
  <c r="G12" i="80" s="1"/>
  <c r="L11" i="80"/>
  <c r="L18" i="80" s="1"/>
  <c r="K11" i="80"/>
  <c r="K18" i="80" s="1"/>
  <c r="J11" i="80"/>
  <c r="J18" i="80" s="1"/>
  <c r="H11" i="80"/>
  <c r="F11" i="80"/>
  <c r="G11" i="80" s="1"/>
  <c r="L10" i="80"/>
  <c r="K10" i="80"/>
  <c r="J10" i="80"/>
  <c r="H10" i="80"/>
  <c r="G10" i="80"/>
  <c r="F10" i="80"/>
  <c r="L9" i="80"/>
  <c r="K9" i="80"/>
  <c r="J9" i="80"/>
  <c r="H9" i="80"/>
  <c r="G9" i="80"/>
  <c r="F9" i="80"/>
  <c r="L8" i="80"/>
  <c r="L21" i="80" s="1"/>
  <c r="K8" i="80"/>
  <c r="J8" i="80"/>
  <c r="J21" i="80" s="1"/>
  <c r="I7" i="123" s="1"/>
  <c r="H8" i="80"/>
  <c r="G8" i="80"/>
  <c r="F8" i="80"/>
  <c r="L7" i="80"/>
  <c r="K7" i="80"/>
  <c r="J7" i="80"/>
  <c r="H7" i="80"/>
  <c r="F7" i="80"/>
  <c r="G7" i="80" s="1"/>
  <c r="L6" i="80"/>
  <c r="K6" i="80"/>
  <c r="J6" i="80"/>
  <c r="H6" i="80"/>
  <c r="L3" i="80" s="1"/>
  <c r="L16" i="80" s="1"/>
  <c r="E7" i="123" s="1"/>
  <c r="F6" i="80"/>
  <c r="J3" i="80" s="1"/>
  <c r="J16" i="80" s="1"/>
  <c r="L5" i="80"/>
  <c r="J5" i="80"/>
  <c r="H5" i="80"/>
  <c r="F5" i="80"/>
  <c r="J4" i="80" s="1"/>
  <c r="J17" i="80" s="1"/>
  <c r="L4" i="80"/>
  <c r="H4" i="80"/>
  <c r="G4" i="80"/>
  <c r="F4" i="80"/>
  <c r="H3" i="80"/>
  <c r="G3" i="80"/>
  <c r="F3" i="80"/>
  <c r="H42" i="79"/>
  <c r="F42" i="79"/>
  <c r="G42" i="79" s="1"/>
  <c r="A42" i="79"/>
  <c r="H41" i="79"/>
  <c r="F41" i="79"/>
  <c r="G41" i="79" s="1"/>
  <c r="A41" i="79"/>
  <c r="H40" i="79"/>
  <c r="F40" i="79"/>
  <c r="G40" i="79" s="1"/>
  <c r="A40" i="79"/>
  <c r="H39" i="79"/>
  <c r="F39" i="79"/>
  <c r="G39" i="79" s="1"/>
  <c r="A39" i="79"/>
  <c r="H38" i="79"/>
  <c r="G38" i="79"/>
  <c r="F38" i="79"/>
  <c r="A38" i="79"/>
  <c r="H37" i="79"/>
  <c r="F37" i="79"/>
  <c r="G37" i="79" s="1"/>
  <c r="A37" i="79"/>
  <c r="H36" i="79"/>
  <c r="F36" i="79"/>
  <c r="G36" i="79" s="1"/>
  <c r="A36" i="79"/>
  <c r="H35" i="79"/>
  <c r="F35" i="79"/>
  <c r="G35" i="79" s="1"/>
  <c r="A35" i="79"/>
  <c r="H34" i="79"/>
  <c r="F34" i="79"/>
  <c r="G34" i="79" s="1"/>
  <c r="A34" i="79"/>
  <c r="H33" i="79"/>
  <c r="F33" i="79"/>
  <c r="G33" i="79" s="1"/>
  <c r="A33" i="79"/>
  <c r="H32" i="79"/>
  <c r="F32" i="79"/>
  <c r="G32" i="79" s="1"/>
  <c r="A32" i="79"/>
  <c r="H31" i="79"/>
  <c r="F31" i="79"/>
  <c r="G31" i="79" s="1"/>
  <c r="A31" i="79"/>
  <c r="H30" i="79"/>
  <c r="G30" i="79"/>
  <c r="F30" i="79"/>
  <c r="H29" i="79"/>
  <c r="F29" i="79"/>
  <c r="G29" i="79" s="1"/>
  <c r="H28" i="79"/>
  <c r="F28" i="79"/>
  <c r="G28" i="79" s="1"/>
  <c r="H27" i="79"/>
  <c r="G27" i="79"/>
  <c r="F27" i="79"/>
  <c r="H26" i="79"/>
  <c r="F26" i="79"/>
  <c r="G26" i="79" s="1"/>
  <c r="H25" i="79"/>
  <c r="G25" i="79"/>
  <c r="F25" i="79"/>
  <c r="H24" i="79"/>
  <c r="G24" i="79"/>
  <c r="F24" i="79"/>
  <c r="H23" i="79"/>
  <c r="F23" i="79"/>
  <c r="G23" i="79" s="1"/>
  <c r="H22" i="79"/>
  <c r="F22" i="79"/>
  <c r="G22" i="79" s="1"/>
  <c r="J21" i="79"/>
  <c r="I6" i="123" s="1"/>
  <c r="H21" i="79"/>
  <c r="G21" i="79"/>
  <c r="F21" i="79"/>
  <c r="H20" i="79"/>
  <c r="F20" i="79"/>
  <c r="G20" i="79" s="1"/>
  <c r="K19" i="79"/>
  <c r="H19" i="79"/>
  <c r="F19" i="79"/>
  <c r="G19" i="79" s="1"/>
  <c r="K9" i="79" s="1"/>
  <c r="K18" i="79"/>
  <c r="H18" i="79"/>
  <c r="F18" i="79"/>
  <c r="G18" i="79" s="1"/>
  <c r="H17" i="79"/>
  <c r="F17" i="79"/>
  <c r="G17" i="79" s="1"/>
  <c r="H16" i="79"/>
  <c r="F16" i="79"/>
  <c r="G16" i="79" s="1"/>
  <c r="H15" i="79"/>
  <c r="F15" i="79"/>
  <c r="G15" i="79" s="1"/>
  <c r="H14" i="79"/>
  <c r="G14" i="79"/>
  <c r="K6" i="79" s="1"/>
  <c r="F14" i="79"/>
  <c r="J6" i="79" s="1"/>
  <c r="H13" i="79"/>
  <c r="F13" i="79"/>
  <c r="G13" i="79" s="1"/>
  <c r="L12" i="79"/>
  <c r="L19" i="79" s="1"/>
  <c r="G6" i="123" s="1"/>
  <c r="K12" i="79"/>
  <c r="J12" i="79"/>
  <c r="J19" i="79" s="1"/>
  <c r="H12" i="79"/>
  <c r="G12" i="79"/>
  <c r="F12" i="79"/>
  <c r="L11" i="79"/>
  <c r="L18" i="79" s="1"/>
  <c r="K11" i="79"/>
  <c r="J11" i="79"/>
  <c r="J18" i="79" s="1"/>
  <c r="H11" i="79"/>
  <c r="G11" i="79"/>
  <c r="F11" i="79"/>
  <c r="L10" i="79"/>
  <c r="K10" i="79"/>
  <c r="J10" i="79"/>
  <c r="H10" i="79"/>
  <c r="F10" i="79"/>
  <c r="G10" i="79" s="1"/>
  <c r="L9" i="79"/>
  <c r="J9" i="79"/>
  <c r="H9" i="79"/>
  <c r="F9" i="79"/>
  <c r="G9" i="79" s="1"/>
  <c r="L8" i="79"/>
  <c r="L21" i="79" s="1"/>
  <c r="K8" i="79"/>
  <c r="K21" i="79" s="1"/>
  <c r="J8" i="79"/>
  <c r="H8" i="79"/>
  <c r="F8" i="79"/>
  <c r="G8" i="79" s="1"/>
  <c r="L7" i="79"/>
  <c r="K7" i="79"/>
  <c r="J7" i="79"/>
  <c r="H7" i="79"/>
  <c r="G7" i="79"/>
  <c r="F7" i="79"/>
  <c r="L6" i="79"/>
  <c r="H6" i="79"/>
  <c r="G6" i="79"/>
  <c r="F6" i="79"/>
  <c r="H5" i="79"/>
  <c r="L5" i="79" s="1"/>
  <c r="F5" i="79"/>
  <c r="J5" i="79" s="1"/>
  <c r="H4" i="79"/>
  <c r="L4" i="79" s="1"/>
  <c r="F4" i="79"/>
  <c r="G4" i="79" s="1"/>
  <c r="L3" i="79"/>
  <c r="L16" i="79" s="1"/>
  <c r="E6" i="123" s="1"/>
  <c r="K3" i="79"/>
  <c r="K16" i="79" s="1"/>
  <c r="B6" i="123" s="1"/>
  <c r="J3" i="79"/>
  <c r="J16" i="79" s="1"/>
  <c r="H3" i="79"/>
  <c r="F3" i="79"/>
  <c r="G3" i="79" s="1"/>
  <c r="H42" i="57"/>
  <c r="G42" i="57" s="1"/>
  <c r="F42" i="57"/>
  <c r="A42" i="57"/>
  <c r="H41" i="57"/>
  <c r="F41" i="57"/>
  <c r="G41" i="57" s="1"/>
  <c r="A41" i="57"/>
  <c r="H40" i="57"/>
  <c r="F40" i="57"/>
  <c r="G40" i="57" s="1"/>
  <c r="A40" i="57"/>
  <c r="H39" i="57"/>
  <c r="G39" i="57"/>
  <c r="F39" i="57"/>
  <c r="A39" i="57"/>
  <c r="H38" i="57"/>
  <c r="F38" i="57"/>
  <c r="G38" i="57" s="1"/>
  <c r="A38" i="57"/>
  <c r="H37" i="57"/>
  <c r="F37" i="57"/>
  <c r="G37" i="57" s="1"/>
  <c r="A37" i="57"/>
  <c r="H36" i="57"/>
  <c r="F36" i="57"/>
  <c r="G36" i="57" s="1"/>
  <c r="A36" i="57"/>
  <c r="H35" i="57"/>
  <c r="G35" i="57"/>
  <c r="F35" i="57"/>
  <c r="A35" i="57"/>
  <c r="H34" i="57"/>
  <c r="G34" i="57" s="1"/>
  <c r="F34" i="57"/>
  <c r="A34" i="57"/>
  <c r="H33" i="57"/>
  <c r="F33" i="57"/>
  <c r="G33" i="57" s="1"/>
  <c r="A33" i="57"/>
  <c r="H32" i="57"/>
  <c r="F32" i="57"/>
  <c r="G32" i="57" s="1"/>
  <c r="A32" i="57"/>
  <c r="H31" i="57"/>
  <c r="G31" i="57"/>
  <c r="F31" i="57"/>
  <c r="A31" i="57"/>
  <c r="H30" i="57"/>
  <c r="F30" i="57"/>
  <c r="G30" i="57" s="1"/>
  <c r="A30" i="57"/>
  <c r="H29" i="57"/>
  <c r="F29" i="57"/>
  <c r="G29" i="57" s="1"/>
  <c r="H28" i="57"/>
  <c r="F28" i="57"/>
  <c r="G28" i="57" s="1"/>
  <c r="H27" i="57"/>
  <c r="F27" i="57"/>
  <c r="G27" i="57" s="1"/>
  <c r="H26" i="57"/>
  <c r="G26" i="57" s="1"/>
  <c r="F26" i="57"/>
  <c r="H25" i="57"/>
  <c r="L4" i="57" s="1"/>
  <c r="L17" i="57" s="1"/>
  <c r="F5" i="123" s="1"/>
  <c r="F25" i="57"/>
  <c r="H24" i="57"/>
  <c r="F24" i="57"/>
  <c r="G24" i="57" s="1"/>
  <c r="H23" i="57"/>
  <c r="F23" i="57"/>
  <c r="G23" i="57" s="1"/>
  <c r="H22" i="57"/>
  <c r="G22" i="57"/>
  <c r="F22" i="57"/>
  <c r="H21" i="57"/>
  <c r="G21" i="57"/>
  <c r="F21" i="57"/>
  <c r="H20" i="57"/>
  <c r="F20" i="57"/>
  <c r="J4" i="57" s="1"/>
  <c r="J17" i="57" s="1"/>
  <c r="H19" i="57"/>
  <c r="F19" i="57"/>
  <c r="G19" i="57" s="1"/>
  <c r="J18" i="57"/>
  <c r="H18" i="57"/>
  <c r="G18" i="57"/>
  <c r="F18" i="57"/>
  <c r="H17" i="57"/>
  <c r="G17" i="57"/>
  <c r="F17" i="57"/>
  <c r="H16" i="57"/>
  <c r="F16" i="57"/>
  <c r="G16" i="57" s="1"/>
  <c r="H15" i="57"/>
  <c r="F15" i="57"/>
  <c r="G15" i="57" s="1"/>
  <c r="K5" i="57" s="1"/>
  <c r="H14" i="57"/>
  <c r="G14" i="57"/>
  <c r="F14" i="57"/>
  <c r="H13" i="57"/>
  <c r="F13" i="57"/>
  <c r="G13" i="57" s="1"/>
  <c r="L12" i="57"/>
  <c r="L19" i="57" s="1"/>
  <c r="G5" i="123" s="1"/>
  <c r="K12" i="57"/>
  <c r="K19" i="57" s="1"/>
  <c r="D5" i="123" s="1"/>
  <c r="J12" i="57"/>
  <c r="J19" i="57" s="1"/>
  <c r="H12" i="57"/>
  <c r="F12" i="57"/>
  <c r="G12" i="57" s="1"/>
  <c r="L11" i="57"/>
  <c r="L18" i="57" s="1"/>
  <c r="K11" i="57"/>
  <c r="K18" i="57" s="1"/>
  <c r="J11" i="57"/>
  <c r="H11" i="57"/>
  <c r="G11" i="57" s="1"/>
  <c r="F11" i="57"/>
  <c r="L10" i="57"/>
  <c r="K10" i="57"/>
  <c r="J10" i="57"/>
  <c r="H10" i="57"/>
  <c r="F10" i="57"/>
  <c r="G10" i="57" s="1"/>
  <c r="H9" i="57"/>
  <c r="G9" i="57"/>
  <c r="F9" i="57"/>
  <c r="L8" i="57"/>
  <c r="K8" i="57"/>
  <c r="J8" i="57"/>
  <c r="H8" i="57"/>
  <c r="F8" i="57"/>
  <c r="G8" i="57" s="1"/>
  <c r="L7" i="57"/>
  <c r="K7" i="57"/>
  <c r="J7" i="57"/>
  <c r="H7" i="57"/>
  <c r="F7" i="57"/>
  <c r="G7" i="57" s="1"/>
  <c r="L6" i="57"/>
  <c r="K6" i="57"/>
  <c r="J6" i="57"/>
  <c r="H6" i="57"/>
  <c r="L3" i="57" s="1"/>
  <c r="L16" i="57" s="1"/>
  <c r="E5" i="123" s="1"/>
  <c r="F6" i="57"/>
  <c r="G6" i="57" s="1"/>
  <c r="L5" i="57"/>
  <c r="J5" i="57"/>
  <c r="H5" i="57"/>
  <c r="F5" i="57"/>
  <c r="G5" i="57" s="1"/>
  <c r="H4" i="57"/>
  <c r="F4" i="57"/>
  <c r="G4" i="57" s="1"/>
  <c r="H3" i="57"/>
  <c r="L9" i="57" s="1"/>
  <c r="L21" i="57" s="1"/>
  <c r="F3" i="57"/>
  <c r="J9" i="57" s="1"/>
  <c r="J21" i="57" s="1"/>
  <c r="I5" i="123" s="1"/>
  <c r="B36" i="123"/>
  <c r="G33" i="123"/>
  <c r="E25" i="123"/>
  <c r="D23" i="123"/>
  <c r="D22" i="123"/>
  <c r="E21" i="123"/>
  <c r="G19" i="123"/>
  <c r="B19" i="123"/>
  <c r="E18" i="123"/>
  <c r="B18" i="123"/>
  <c r="G14" i="123"/>
  <c r="B13" i="123"/>
  <c r="E10" i="123"/>
  <c r="B10" i="123"/>
  <c r="D6" i="123"/>
  <c r="H26" i="123" l="1"/>
  <c r="J26" i="123" s="1"/>
  <c r="L21" i="122"/>
  <c r="J17" i="122"/>
  <c r="J20" i="122" s="1"/>
  <c r="L17" i="122"/>
  <c r="K9" i="122"/>
  <c r="K21" i="122" s="1"/>
  <c r="G8" i="122"/>
  <c r="K5" i="122" s="1"/>
  <c r="G21" i="122"/>
  <c r="K7" i="122" s="1"/>
  <c r="G5" i="122"/>
  <c r="K6" i="122" s="1"/>
  <c r="G9" i="122"/>
  <c r="K4" i="122" s="1"/>
  <c r="K17" i="122" s="1"/>
  <c r="G16" i="122"/>
  <c r="J17" i="121"/>
  <c r="J20" i="121" s="1"/>
  <c r="L17" i="121"/>
  <c r="G7" i="121"/>
  <c r="K4" i="121" s="1"/>
  <c r="G4" i="121"/>
  <c r="K5" i="121" s="1"/>
  <c r="L21" i="120"/>
  <c r="J17" i="120"/>
  <c r="J20" i="120" s="1"/>
  <c r="L17" i="120"/>
  <c r="F42" i="123" s="1"/>
  <c r="K6" i="120"/>
  <c r="K9" i="120"/>
  <c r="K21" i="120" s="1"/>
  <c r="K5" i="120"/>
  <c r="G14" i="120"/>
  <c r="G23" i="120"/>
  <c r="G21" i="120"/>
  <c r="K4" i="120" s="1"/>
  <c r="K17" i="120" s="1"/>
  <c r="C42" i="123" s="1"/>
  <c r="H42" i="123" s="1"/>
  <c r="J42" i="123" s="1"/>
  <c r="J9" i="120"/>
  <c r="J21" i="120" s="1"/>
  <c r="I42" i="123" s="1"/>
  <c r="G22" i="120"/>
  <c r="K7" i="120" s="1"/>
  <c r="L21" i="118"/>
  <c r="K5" i="118"/>
  <c r="K9" i="118"/>
  <c r="K21" i="118" s="1"/>
  <c r="K4" i="118"/>
  <c r="K17" i="118" s="1"/>
  <c r="C40" i="123" s="1"/>
  <c r="H40" i="123" s="1"/>
  <c r="L17" i="118"/>
  <c r="F40" i="123" s="1"/>
  <c r="G8" i="118"/>
  <c r="J9" i="118"/>
  <c r="J21" i="118" s="1"/>
  <c r="I40" i="123" s="1"/>
  <c r="J4" i="118"/>
  <c r="J17" i="118" s="1"/>
  <c r="J20" i="118" s="1"/>
  <c r="J21" i="119"/>
  <c r="I41" i="123" s="1"/>
  <c r="J17" i="119"/>
  <c r="L17" i="119"/>
  <c r="F41" i="123" s="1"/>
  <c r="K11" i="119"/>
  <c r="K18" i="119" s="1"/>
  <c r="G11" i="119"/>
  <c r="K5" i="119" s="1"/>
  <c r="J11" i="119"/>
  <c r="J18" i="119" s="1"/>
  <c r="J20" i="119" s="1"/>
  <c r="G4" i="119"/>
  <c r="K9" i="119" s="1"/>
  <c r="K21" i="119" s="1"/>
  <c r="G14" i="119"/>
  <c r="K4" i="119" s="1"/>
  <c r="J20" i="114"/>
  <c r="G3" i="114"/>
  <c r="K10" i="114" s="1"/>
  <c r="K17" i="114" s="1"/>
  <c r="C39" i="123" s="1"/>
  <c r="H39" i="123" s="1"/>
  <c r="J39" i="123" s="1"/>
  <c r="L17" i="112"/>
  <c r="F37" i="123" s="1"/>
  <c r="K10" i="112"/>
  <c r="K17" i="112" s="1"/>
  <c r="C37" i="123" s="1"/>
  <c r="H37" i="123" s="1"/>
  <c r="J37" i="123" s="1"/>
  <c r="J10" i="112"/>
  <c r="J17" i="112" s="1"/>
  <c r="J20" i="112" s="1"/>
  <c r="K9" i="111"/>
  <c r="K21" i="111" s="1"/>
  <c r="L17" i="111"/>
  <c r="F36" i="123" s="1"/>
  <c r="K5" i="111"/>
  <c r="G3" i="111"/>
  <c r="K6" i="111" s="1"/>
  <c r="G27" i="111"/>
  <c r="K7" i="111" s="1"/>
  <c r="G4" i="111"/>
  <c r="K10" i="111" s="1"/>
  <c r="J4" i="111"/>
  <c r="G31" i="111"/>
  <c r="J5" i="111"/>
  <c r="J20" i="113"/>
  <c r="K4" i="113"/>
  <c r="K17" i="113" s="1"/>
  <c r="C38" i="123" s="1"/>
  <c r="G3" i="113"/>
  <c r="K3" i="113" s="1"/>
  <c r="K16" i="113" s="1"/>
  <c r="B38" i="123" s="1"/>
  <c r="K3" i="110"/>
  <c r="K16" i="110" s="1"/>
  <c r="B35" i="123" s="1"/>
  <c r="H35" i="123" s="1"/>
  <c r="J35" i="123" s="1"/>
  <c r="L17" i="110"/>
  <c r="F35" i="123" s="1"/>
  <c r="G7" i="110"/>
  <c r="K5" i="110" s="1"/>
  <c r="K17" i="110" s="1"/>
  <c r="C35" i="123" s="1"/>
  <c r="J3" i="110"/>
  <c r="J16" i="110" s="1"/>
  <c r="G21" i="110"/>
  <c r="J4" i="110"/>
  <c r="J17" i="110" s="1"/>
  <c r="K3" i="109"/>
  <c r="K16" i="109" s="1"/>
  <c r="B34" i="123" s="1"/>
  <c r="H34" i="123" s="1"/>
  <c r="J34" i="123" s="1"/>
  <c r="J4" i="109"/>
  <c r="J17" i="109" s="1"/>
  <c r="J20" i="109" s="1"/>
  <c r="G8" i="109"/>
  <c r="K3" i="108"/>
  <c r="K16" i="108" s="1"/>
  <c r="B33" i="123" s="1"/>
  <c r="J17" i="108"/>
  <c r="L17" i="108"/>
  <c r="F33" i="123" s="1"/>
  <c r="J3" i="108"/>
  <c r="J16" i="108" s="1"/>
  <c r="J20" i="108" s="1"/>
  <c r="G11" i="108"/>
  <c r="K7" i="108" s="1"/>
  <c r="G32" i="108"/>
  <c r="K5" i="108" s="1"/>
  <c r="K17" i="108" s="1"/>
  <c r="C33" i="123" s="1"/>
  <c r="K4" i="107"/>
  <c r="L17" i="107"/>
  <c r="F32" i="123" s="1"/>
  <c r="K3" i="107"/>
  <c r="K16" i="107" s="1"/>
  <c r="B32" i="123" s="1"/>
  <c r="K5" i="107"/>
  <c r="J21" i="107"/>
  <c r="I32" i="123" s="1"/>
  <c r="G6" i="107"/>
  <c r="G5" i="107"/>
  <c r="K9" i="107" s="1"/>
  <c r="K21" i="107" s="1"/>
  <c r="J5" i="107"/>
  <c r="J17" i="107" s="1"/>
  <c r="J20" i="107" s="1"/>
  <c r="G27" i="107"/>
  <c r="G36" i="107"/>
  <c r="K6" i="107" s="1"/>
  <c r="K9" i="106"/>
  <c r="K21" i="106" s="1"/>
  <c r="L21" i="106"/>
  <c r="K5" i="106"/>
  <c r="L17" i="106"/>
  <c r="F31" i="123" s="1"/>
  <c r="G3" i="106"/>
  <c r="K4" i="106" s="1"/>
  <c r="J5" i="106"/>
  <c r="J17" i="106" s="1"/>
  <c r="J20" i="106" s="1"/>
  <c r="G4" i="106"/>
  <c r="K6" i="106" s="1"/>
  <c r="K4" i="104"/>
  <c r="K5" i="104"/>
  <c r="J9" i="104"/>
  <c r="J21" i="104" s="1"/>
  <c r="I29" i="123" s="1"/>
  <c r="J5" i="104"/>
  <c r="J17" i="104" s="1"/>
  <c r="J20" i="104" s="1"/>
  <c r="G10" i="104"/>
  <c r="K12" i="104" s="1"/>
  <c r="K19" i="104" s="1"/>
  <c r="D29" i="123" s="1"/>
  <c r="J17" i="103"/>
  <c r="L17" i="103"/>
  <c r="F28" i="123" s="1"/>
  <c r="J20" i="103"/>
  <c r="K21" i="103"/>
  <c r="L21" i="103"/>
  <c r="G6" i="103"/>
  <c r="K4" i="103" s="1"/>
  <c r="G3" i="103"/>
  <c r="K5" i="103" s="1"/>
  <c r="K21" i="102"/>
  <c r="K4" i="102"/>
  <c r="K5" i="102"/>
  <c r="G11" i="102"/>
  <c r="J7" i="102"/>
  <c r="J17" i="102" s="1"/>
  <c r="J20" i="102" s="1"/>
  <c r="K5" i="105"/>
  <c r="K4" i="105"/>
  <c r="L21" i="105"/>
  <c r="K9" i="105"/>
  <c r="K21" i="105" s="1"/>
  <c r="J9" i="105"/>
  <c r="J21" i="105" s="1"/>
  <c r="I30" i="123" s="1"/>
  <c r="J5" i="105"/>
  <c r="J17" i="105" s="1"/>
  <c r="J20" i="105" s="1"/>
  <c r="K5" i="100"/>
  <c r="K6" i="100"/>
  <c r="K4" i="100"/>
  <c r="K17" i="100" s="1"/>
  <c r="C25" i="123" s="1"/>
  <c r="H25" i="123" s="1"/>
  <c r="J25" i="123" s="1"/>
  <c r="J6" i="100"/>
  <c r="J17" i="100" s="1"/>
  <c r="J20" i="100" s="1"/>
  <c r="K21" i="99"/>
  <c r="L17" i="99"/>
  <c r="F24" i="123" s="1"/>
  <c r="K3" i="99"/>
  <c r="K16" i="99" s="1"/>
  <c r="B24" i="123" s="1"/>
  <c r="H24" i="123" s="1"/>
  <c r="J24" i="123" s="1"/>
  <c r="J3" i="99"/>
  <c r="J16" i="99" s="1"/>
  <c r="J5" i="99"/>
  <c r="J4" i="99"/>
  <c r="K5" i="98"/>
  <c r="K4" i="98"/>
  <c r="K17" i="98" s="1"/>
  <c r="C23" i="123" s="1"/>
  <c r="L4" i="98"/>
  <c r="L17" i="98" s="1"/>
  <c r="F23" i="123" s="1"/>
  <c r="J5" i="98"/>
  <c r="J17" i="98" s="1"/>
  <c r="J20" i="98" s="1"/>
  <c r="J7" i="98"/>
  <c r="G7" i="98"/>
  <c r="K9" i="98" s="1"/>
  <c r="K21" i="98" s="1"/>
  <c r="K5" i="97"/>
  <c r="K21" i="97"/>
  <c r="K4" i="97"/>
  <c r="K17" i="97" s="1"/>
  <c r="C22" i="123" s="1"/>
  <c r="H22" i="123" s="1"/>
  <c r="J22" i="123" s="1"/>
  <c r="J5" i="97"/>
  <c r="J4" i="97"/>
  <c r="J17" i="97" s="1"/>
  <c r="J20" i="97" s="1"/>
  <c r="K5" i="96"/>
  <c r="J17" i="96"/>
  <c r="J20" i="96" s="1"/>
  <c r="K4" i="96"/>
  <c r="L17" i="96"/>
  <c r="F21" i="123" s="1"/>
  <c r="G5" i="96"/>
  <c r="G28" i="96"/>
  <c r="K7" i="96" s="1"/>
  <c r="K3" i="95"/>
  <c r="K16" i="95" s="1"/>
  <c r="B20" i="123" s="1"/>
  <c r="H20" i="123" s="1"/>
  <c r="J20" i="123" s="1"/>
  <c r="J3" i="95"/>
  <c r="J16" i="95" s="1"/>
  <c r="J20" i="95" s="1"/>
  <c r="K5" i="94"/>
  <c r="G3" i="94"/>
  <c r="K4" i="94" s="1"/>
  <c r="K17" i="94" s="1"/>
  <c r="C19" i="123" s="1"/>
  <c r="H19" i="123" s="1"/>
  <c r="J19" i="123" s="1"/>
  <c r="J5" i="94"/>
  <c r="J17" i="94" s="1"/>
  <c r="J20" i="94" s="1"/>
  <c r="G10" i="94"/>
  <c r="K6" i="94" s="1"/>
  <c r="K5" i="93"/>
  <c r="L17" i="93"/>
  <c r="F18" i="123" s="1"/>
  <c r="J5" i="93"/>
  <c r="J17" i="93" s="1"/>
  <c r="J20" i="93" s="1"/>
  <c r="G8" i="93"/>
  <c r="K4" i="93" s="1"/>
  <c r="K17" i="93" s="1"/>
  <c r="C18" i="123" s="1"/>
  <c r="H18" i="123" s="1"/>
  <c r="J18" i="123" s="1"/>
  <c r="G19" i="93"/>
  <c r="K7" i="93" s="1"/>
  <c r="L17" i="92"/>
  <c r="F17" i="123" s="1"/>
  <c r="K5" i="92"/>
  <c r="K4" i="92"/>
  <c r="K17" i="92" s="1"/>
  <c r="C17" i="123" s="1"/>
  <c r="H17" i="123" s="1"/>
  <c r="J17" i="123" s="1"/>
  <c r="J4" i="92"/>
  <c r="J17" i="92" s="1"/>
  <c r="J20" i="92" s="1"/>
  <c r="J5" i="92"/>
  <c r="J6" i="92"/>
  <c r="J17" i="91"/>
  <c r="J20" i="91" s="1"/>
  <c r="L17" i="91"/>
  <c r="F16" i="123" s="1"/>
  <c r="K9" i="91"/>
  <c r="K21" i="91" s="1"/>
  <c r="J21" i="91"/>
  <c r="I16" i="123" s="1"/>
  <c r="G19" i="91"/>
  <c r="G7" i="91"/>
  <c r="K4" i="91" s="1"/>
  <c r="K17" i="91" s="1"/>
  <c r="C16" i="123" s="1"/>
  <c r="H16" i="123" s="1"/>
  <c r="J16" i="123" s="1"/>
  <c r="G8" i="91"/>
  <c r="K5" i="91" s="1"/>
  <c r="K9" i="90"/>
  <c r="K21" i="90" s="1"/>
  <c r="K4" i="90"/>
  <c r="L17" i="90"/>
  <c r="F15" i="123" s="1"/>
  <c r="J4" i="90"/>
  <c r="J17" i="90" s="1"/>
  <c r="J20" i="90" s="1"/>
  <c r="G16" i="90"/>
  <c r="K5" i="90" s="1"/>
  <c r="J6" i="90"/>
  <c r="K9" i="89"/>
  <c r="K21" i="89" s="1"/>
  <c r="L17" i="89"/>
  <c r="F14" i="123" s="1"/>
  <c r="K4" i="89"/>
  <c r="K17" i="89" s="1"/>
  <c r="C14" i="123" s="1"/>
  <c r="H14" i="123" s="1"/>
  <c r="J14" i="123" s="1"/>
  <c r="G3" i="89"/>
  <c r="K5" i="89" s="1"/>
  <c r="J4" i="89"/>
  <c r="J17" i="89" s="1"/>
  <c r="J20" i="89" s="1"/>
  <c r="K4" i="88"/>
  <c r="K5" i="88"/>
  <c r="J4" i="88"/>
  <c r="J17" i="88" s="1"/>
  <c r="J20" i="88" s="1"/>
  <c r="G10" i="88"/>
  <c r="L20" i="87"/>
  <c r="G3" i="87"/>
  <c r="K4" i="87" s="1"/>
  <c r="K16" i="87" s="1"/>
  <c r="C12" i="123" s="1"/>
  <c r="H12" i="123" s="1"/>
  <c r="J12" i="123" s="1"/>
  <c r="J5" i="87"/>
  <c r="J16" i="87" s="1"/>
  <c r="J19" i="87" s="1"/>
  <c r="J6" i="87"/>
  <c r="G21" i="87"/>
  <c r="K9" i="87" s="1"/>
  <c r="K20" i="87" s="1"/>
  <c r="K5" i="86"/>
  <c r="L17" i="86"/>
  <c r="F11" i="123" s="1"/>
  <c r="K4" i="86"/>
  <c r="K3" i="86"/>
  <c r="K16" i="86" s="1"/>
  <c r="B11" i="123" s="1"/>
  <c r="J4" i="86"/>
  <c r="J17" i="86" s="1"/>
  <c r="J20" i="86" s="1"/>
  <c r="G15" i="86"/>
  <c r="J7" i="86"/>
  <c r="K4" i="85"/>
  <c r="K17" i="85" s="1"/>
  <c r="C10" i="123" s="1"/>
  <c r="H10" i="123" s="1"/>
  <c r="L17" i="85"/>
  <c r="F10" i="123" s="1"/>
  <c r="L21" i="85"/>
  <c r="K9" i="85"/>
  <c r="K21" i="85" s="1"/>
  <c r="G7" i="85"/>
  <c r="G9" i="85"/>
  <c r="K5" i="85" s="1"/>
  <c r="G19" i="85"/>
  <c r="K7" i="85" s="1"/>
  <c r="J9" i="85"/>
  <c r="J21" i="85" s="1"/>
  <c r="I10" i="123" s="1"/>
  <c r="K5" i="83"/>
  <c r="J20" i="83"/>
  <c r="J17" i="83"/>
  <c r="L17" i="83"/>
  <c r="F9" i="123" s="1"/>
  <c r="K4" i="83"/>
  <c r="G31" i="83"/>
  <c r="G22" i="83"/>
  <c r="G5" i="83"/>
  <c r="K7" i="83" s="1"/>
  <c r="J21" i="82"/>
  <c r="I8" i="123" s="1"/>
  <c r="L21" i="82"/>
  <c r="K4" i="82"/>
  <c r="L17" i="82"/>
  <c r="F8" i="123" s="1"/>
  <c r="G7" i="82"/>
  <c r="K6" i="82" s="1"/>
  <c r="J4" i="82"/>
  <c r="J17" i="82" s="1"/>
  <c r="J20" i="82" s="1"/>
  <c r="G24" i="82"/>
  <c r="K5" i="82" s="1"/>
  <c r="G4" i="82"/>
  <c r="K9" i="82" s="1"/>
  <c r="K21" i="82" s="1"/>
  <c r="K5" i="80"/>
  <c r="K3" i="80"/>
  <c r="K16" i="80" s="1"/>
  <c r="B7" i="123" s="1"/>
  <c r="J20" i="80"/>
  <c r="G6" i="80"/>
  <c r="G5" i="80"/>
  <c r="K4" i="80" s="1"/>
  <c r="K4" i="79"/>
  <c r="L17" i="79"/>
  <c r="F6" i="123" s="1"/>
  <c r="G5" i="79"/>
  <c r="K5" i="79" s="1"/>
  <c r="J4" i="79"/>
  <c r="J17" i="79" s="1"/>
  <c r="J20" i="79" s="1"/>
  <c r="K3" i="57"/>
  <c r="K16" i="57" s="1"/>
  <c r="B5" i="123" s="1"/>
  <c r="G25" i="57"/>
  <c r="G3" i="57"/>
  <c r="K9" i="57" s="1"/>
  <c r="K21" i="57" s="1"/>
  <c r="G20" i="57"/>
  <c r="K4" i="57" s="1"/>
  <c r="K17" i="57" s="1"/>
  <c r="C5" i="123" s="1"/>
  <c r="J3" i="57"/>
  <c r="J16" i="57" s="1"/>
  <c r="J20" i="57" s="1"/>
  <c r="K17" i="121" l="1"/>
  <c r="J40" i="123"/>
  <c r="K17" i="119"/>
  <c r="C41" i="123" s="1"/>
  <c r="H41" i="123" s="1"/>
  <c r="J41" i="123" s="1"/>
  <c r="K17" i="111"/>
  <c r="C36" i="123" s="1"/>
  <c r="H36" i="123" s="1"/>
  <c r="J36" i="123" s="1"/>
  <c r="J17" i="111"/>
  <c r="J20" i="111" s="1"/>
  <c r="H38" i="123"/>
  <c r="J38" i="123" s="1"/>
  <c r="J20" i="110"/>
  <c r="H33" i="123"/>
  <c r="J33" i="123" s="1"/>
  <c r="K17" i="107"/>
  <c r="C32" i="123" s="1"/>
  <c r="H32" i="123" s="1"/>
  <c r="J32" i="123" s="1"/>
  <c r="K17" i="106"/>
  <c r="C31" i="123" s="1"/>
  <c r="H31" i="123" s="1"/>
  <c r="J31" i="123" s="1"/>
  <c r="K17" i="104"/>
  <c r="C29" i="123" s="1"/>
  <c r="H29" i="123" s="1"/>
  <c r="J29" i="123" s="1"/>
  <c r="K17" i="103"/>
  <c r="C28" i="123" s="1"/>
  <c r="H28" i="123" s="1"/>
  <c r="J28" i="123" s="1"/>
  <c r="K17" i="102"/>
  <c r="C27" i="123" s="1"/>
  <c r="H27" i="123" s="1"/>
  <c r="J27" i="123" s="1"/>
  <c r="K17" i="105"/>
  <c r="C30" i="123" s="1"/>
  <c r="H30" i="123" s="1"/>
  <c r="J30" i="123" s="1"/>
  <c r="J17" i="99"/>
  <c r="J20" i="99"/>
  <c r="H23" i="123"/>
  <c r="J23" i="123" s="1"/>
  <c r="K17" i="96"/>
  <c r="C21" i="123" s="1"/>
  <c r="H21" i="123" s="1"/>
  <c r="J21" i="123" s="1"/>
  <c r="K17" i="90"/>
  <c r="C15" i="123" s="1"/>
  <c r="H15" i="123" s="1"/>
  <c r="J15" i="123" s="1"/>
  <c r="K17" i="88"/>
  <c r="C13" i="123" s="1"/>
  <c r="H13" i="123" s="1"/>
  <c r="J13" i="123" s="1"/>
  <c r="K17" i="86"/>
  <c r="C11" i="123" s="1"/>
  <c r="H11" i="123"/>
  <c r="J11" i="123" s="1"/>
  <c r="J10" i="123"/>
  <c r="K17" i="83"/>
  <c r="C9" i="123" s="1"/>
  <c r="H9" i="123" s="1"/>
  <c r="J9" i="123" s="1"/>
  <c r="K17" i="82"/>
  <c r="C8" i="123" s="1"/>
  <c r="H8" i="123" s="1"/>
  <c r="J8" i="123" s="1"/>
  <c r="K17" i="80"/>
  <c r="C7" i="123" s="1"/>
  <c r="H7" i="123" s="1"/>
  <c r="J7" i="123" s="1"/>
  <c r="K17" i="79"/>
  <c r="C6" i="123" s="1"/>
  <c r="H6" i="123" s="1"/>
  <c r="J6" i="123" s="1"/>
  <c r="H5" i="123"/>
  <c r="J5" i="123" s="1"/>
  <c r="A6" i="120"/>
  <c r="A9" i="100"/>
  <c r="A13" i="88"/>
  <c r="A25" i="85"/>
  <c r="A11" i="112"/>
  <c r="A19" i="108"/>
  <c r="A15" i="83"/>
  <c r="A25" i="83"/>
  <c r="A35" i="86"/>
  <c r="A3" i="86"/>
  <c r="A8" i="98"/>
  <c r="A18" i="89"/>
  <c r="A8" i="113"/>
  <c r="A22" i="79"/>
  <c r="A17" i="79"/>
  <c r="A24" i="113"/>
  <c r="A20" i="105"/>
  <c r="A11" i="93"/>
  <c r="A8" i="111"/>
  <c r="A15" i="104"/>
  <c r="A6" i="96"/>
  <c r="A22" i="105"/>
  <c r="A16" i="107"/>
  <c r="A35" i="88"/>
  <c r="A20" i="93"/>
  <c r="A12" i="109"/>
  <c r="A14" i="106"/>
  <c r="A16" i="82"/>
  <c r="A3" i="80"/>
  <c r="A33" i="88"/>
  <c r="A7" i="109"/>
  <c r="A9" i="97"/>
  <c r="A8" i="104"/>
  <c r="A18" i="79"/>
  <c r="A9" i="108"/>
  <c r="A27" i="96"/>
  <c r="A22" i="99"/>
  <c r="A4" i="103"/>
  <c r="A22" i="90"/>
  <c r="A19" i="92"/>
  <c r="A18" i="102"/>
  <c r="A26" i="87"/>
  <c r="A28" i="90"/>
  <c r="A22" i="86"/>
  <c r="A21" i="95"/>
  <c r="A7" i="85"/>
  <c r="A22" i="88"/>
  <c r="A9" i="103"/>
  <c r="A22" i="95"/>
  <c r="A6" i="82"/>
  <c r="A9" i="111"/>
  <c r="A5" i="93"/>
  <c r="A15" i="90"/>
  <c r="A10" i="99"/>
  <c r="A15" i="86"/>
  <c r="A21" i="93"/>
  <c r="A24" i="91"/>
  <c r="A3" i="91"/>
  <c r="A11" i="111"/>
  <c r="A9" i="96"/>
  <c r="A22" i="111"/>
  <c r="A20" i="100"/>
  <c r="A10" i="114"/>
  <c r="A13" i="118"/>
  <c r="A19" i="57"/>
  <c r="A5" i="91"/>
  <c r="A9" i="109"/>
  <c r="A5" i="111"/>
  <c r="A20" i="82"/>
  <c r="A4" i="112"/>
  <c r="A15" i="95"/>
  <c r="A22" i="122"/>
  <c r="A21" i="110"/>
  <c r="A6" i="57"/>
  <c r="A22" i="92"/>
  <c r="A21" i="98"/>
  <c r="A17" i="98"/>
  <c r="A11" i="80"/>
  <c r="A33" i="110"/>
  <c r="A5" i="96"/>
  <c r="A13" i="83"/>
  <c r="A5" i="79"/>
  <c r="A10" i="109"/>
  <c r="A20" i="108"/>
  <c r="A23" i="97"/>
  <c r="A3" i="104"/>
  <c r="A7" i="120"/>
  <c r="A30" i="93"/>
  <c r="A29" i="93"/>
  <c r="A15" i="88"/>
  <c r="A22" i="108"/>
  <c r="A12" i="91"/>
  <c r="A12" i="102"/>
  <c r="A8" i="121"/>
  <c r="A11" i="105"/>
  <c r="A16" i="111"/>
  <c r="A3" i="57"/>
  <c r="A14" i="122"/>
  <c r="A22" i="82"/>
  <c r="A29" i="106"/>
  <c r="A13" i="103"/>
  <c r="A9" i="90"/>
  <c r="A31" i="98"/>
  <c r="A31" i="108"/>
  <c r="A28" i="79"/>
  <c r="A12" i="114"/>
  <c r="A7" i="88"/>
  <c r="A14" i="91"/>
  <c r="A17" i="120"/>
  <c r="A14" i="80"/>
  <c r="A36" i="104"/>
  <c r="A14" i="79"/>
  <c r="A29" i="86"/>
  <c r="A8" i="106"/>
  <c r="A4" i="110"/>
  <c r="A5" i="85"/>
  <c r="A29" i="90"/>
  <c r="A11" i="87"/>
  <c r="A15" i="109"/>
  <c r="A25" i="108"/>
  <c r="A7" i="94"/>
  <c r="A10" i="120"/>
  <c r="A5" i="118"/>
  <c r="A5" i="82"/>
  <c r="A7" i="114"/>
  <c r="A7" i="95"/>
  <c r="A26" i="110"/>
  <c r="A14" i="110"/>
  <c r="A18" i="107"/>
  <c r="A3" i="106"/>
  <c r="A22" i="80"/>
  <c r="A3" i="113"/>
  <c r="A26" i="108"/>
  <c r="A20" i="111"/>
  <c r="A23" i="104"/>
  <c r="A21" i="103"/>
  <c r="A34" i="86"/>
  <c r="A13" i="85"/>
  <c r="A10" i="110"/>
  <c r="A3" i="120"/>
  <c r="A8" i="103"/>
  <c r="A21" i="57"/>
  <c r="A11" i="110"/>
  <c r="A13" i="111"/>
  <c r="A20" i="92"/>
  <c r="A11" i="120"/>
  <c r="A4" i="83"/>
  <c r="A16" i="118"/>
  <c r="A8" i="105"/>
  <c r="A12" i="100"/>
  <c r="A8" i="85"/>
  <c r="A32" i="108"/>
  <c r="A9" i="99"/>
  <c r="A28" i="96"/>
  <c r="A7" i="96"/>
  <c r="A19" i="88"/>
  <c r="A5" i="120"/>
  <c r="A7" i="103"/>
  <c r="A31" i="88"/>
  <c r="A5" i="114"/>
  <c r="A36" i="110"/>
  <c r="A15" i="105"/>
  <c r="A20" i="113"/>
  <c r="A35" i="104"/>
  <c r="A11" i="96"/>
  <c r="A24" i="79"/>
  <c r="A12" i="118"/>
  <c r="A19" i="79"/>
  <c r="A28" i="106"/>
  <c r="A32" i="120"/>
  <c r="A24" i="108"/>
  <c r="A27" i="93"/>
  <c r="A13" i="96"/>
  <c r="A15" i="79"/>
  <c r="A30" i="86"/>
  <c r="A7" i="90"/>
  <c r="A5" i="107"/>
  <c r="A12" i="79"/>
  <c r="A14" i="103"/>
  <c r="A18" i="91"/>
  <c r="A14" i="108"/>
  <c r="A19" i="95"/>
  <c r="A16" i="121"/>
  <c r="A20" i="107"/>
  <c r="A9" i="102"/>
  <c r="A13" i="108"/>
  <c r="A16" i="119"/>
  <c r="A23" i="85"/>
  <c r="A21" i="90"/>
  <c r="A23" i="99"/>
  <c r="A20" i="109"/>
  <c r="A30" i="111"/>
  <c r="A12" i="86"/>
  <c r="A10" i="121"/>
  <c r="A4" i="89"/>
  <c r="A3" i="98"/>
  <c r="A4" i="79"/>
  <c r="A11" i="82"/>
  <c r="A23" i="111"/>
  <c r="A11" i="107"/>
  <c r="A10" i="90"/>
  <c r="A23" i="95"/>
  <c r="A12" i="111"/>
  <c r="A18" i="122"/>
  <c r="A15" i="113"/>
  <c r="A21" i="105"/>
  <c r="A9" i="94"/>
  <c r="A26" i="86"/>
  <c r="A25" i="111"/>
  <c r="A7" i="91"/>
  <c r="A5" i="94"/>
  <c r="A27" i="113"/>
  <c r="A15" i="107"/>
  <c r="A24" i="83"/>
  <c r="A18" i="85"/>
  <c r="A25" i="79"/>
  <c r="A5" i="87"/>
  <c r="A19" i="91"/>
  <c r="A18" i="83"/>
  <c r="A19" i="113"/>
  <c r="A28" i="57"/>
  <c r="A11" i="103"/>
  <c r="A25" i="91"/>
  <c r="A28" i="100"/>
  <c r="A21" i="107"/>
  <c r="A39" i="86"/>
  <c r="A6" i="111"/>
  <c r="A9" i="118"/>
  <c r="A6" i="91"/>
  <c r="A15" i="93"/>
  <c r="A5" i="103"/>
  <c r="A10" i="104"/>
  <c r="A6" i="110"/>
  <c r="A20" i="102"/>
  <c r="A19" i="97"/>
  <c r="A3" i="112"/>
  <c r="A13" i="110"/>
  <c r="A18" i="88"/>
  <c r="A33" i="98"/>
  <c r="A23" i="80"/>
  <c r="A7" i="107"/>
  <c r="A25" i="121"/>
  <c r="A19" i="83"/>
  <c r="A9" i="112"/>
  <c r="A10" i="108"/>
  <c r="A31" i="83"/>
  <c r="A31" i="104"/>
  <c r="A4" i="113"/>
  <c r="A25" i="110"/>
  <c r="A10" i="57"/>
  <c r="A12" i="80"/>
  <c r="A9" i="57"/>
  <c r="A19" i="85"/>
  <c r="A3" i="109"/>
  <c r="A9" i="89"/>
  <c r="A8" i="94"/>
  <c r="A25" i="80"/>
  <c r="A22" i="85"/>
  <c r="A9" i="106"/>
  <c r="A16" i="113"/>
  <c r="A22" i="103"/>
  <c r="A17" i="102"/>
  <c r="A24" i="80"/>
  <c r="A23" i="106"/>
  <c r="A3" i="111"/>
  <c r="A11" i="118"/>
  <c r="A7" i="83"/>
  <c r="A32" i="110"/>
  <c r="A16" i="90"/>
  <c r="A36" i="107"/>
  <c r="A9" i="80"/>
  <c r="A20" i="96"/>
  <c r="A3" i="108"/>
  <c r="A14" i="85"/>
  <c r="A10" i="95"/>
  <c r="A13" i="79"/>
  <c r="A8" i="114"/>
  <c r="A14" i="111"/>
  <c r="A8" i="119"/>
  <c r="A13" i="95"/>
  <c r="A30" i="120"/>
  <c r="A8" i="118"/>
  <c r="A9" i="93"/>
  <c r="A23" i="83"/>
  <c r="A15" i="98"/>
  <c r="A3" i="103"/>
  <c r="A21" i="91"/>
  <c r="A3" i="110"/>
  <c r="A5" i="121"/>
  <c r="A11" i="102"/>
  <c r="A3" i="118"/>
  <c r="A26" i="120"/>
  <c r="A14" i="96"/>
  <c r="A27" i="97"/>
  <c r="A11" i="95"/>
  <c r="A3" i="107"/>
  <c r="A15" i="82"/>
  <c r="A22" i="91"/>
  <c r="A25" i="120"/>
  <c r="A5" i="106"/>
  <c r="A6" i="87"/>
  <c r="A14" i="94"/>
  <c r="A18" i="90"/>
  <c r="A16" i="57"/>
  <c r="A16" i="95"/>
  <c r="A13" i="102"/>
  <c r="A12" i="94"/>
  <c r="A10" i="97"/>
  <c r="A4" i="105"/>
  <c r="A19" i="96"/>
  <c r="A12" i="89"/>
  <c r="A17" i="88"/>
  <c r="A5" i="89"/>
  <c r="A10" i="83"/>
  <c r="A5" i="110"/>
  <c r="A8" i="92"/>
  <c r="A23" i="118"/>
  <c r="A21" i="83"/>
  <c r="A12" i="104"/>
  <c r="A30" i="103"/>
  <c r="A19" i="93"/>
  <c r="A13" i="87"/>
  <c r="A16" i="79"/>
  <c r="A23" i="91"/>
  <c r="A21" i="118"/>
  <c r="A12" i="105"/>
  <c r="A17" i="57"/>
  <c r="A14" i="121"/>
  <c r="A17" i="104"/>
  <c r="A17" i="103"/>
  <c r="A6" i="95"/>
  <c r="A25" i="57"/>
  <c r="A29" i="120"/>
  <c r="A17" i="109"/>
  <c r="A26" i="107"/>
  <c r="A29" i="100"/>
  <c r="A22" i="96"/>
  <c r="A30" i="110"/>
  <c r="A8" i="90"/>
  <c r="A3" i="114"/>
  <c r="A29" i="103"/>
  <c r="A4" i="80"/>
  <c r="A21" i="109"/>
  <c r="A3" i="102"/>
  <c r="A27" i="83"/>
  <c r="A29" i="105"/>
  <c r="A28" i="83"/>
  <c r="A16" i="100"/>
  <c r="A22" i="109"/>
  <c r="A11" i="90"/>
  <c r="A21" i="120"/>
  <c r="A15" i="80"/>
  <c r="A6" i="99"/>
  <c r="A7" i="86"/>
  <c r="A13" i="89"/>
  <c r="A21" i="102"/>
  <c r="A3" i="82"/>
  <c r="A25" i="92"/>
  <c r="A3" i="85"/>
  <c r="A18" i="110"/>
  <c r="A31" i="93"/>
  <c r="A31" i="86"/>
  <c r="A24" i="85"/>
  <c r="A12" i="93"/>
  <c r="A10" i="80"/>
  <c r="A27" i="103"/>
  <c r="A27" i="120"/>
  <c r="A10" i="91"/>
  <c r="A22" i="104"/>
  <c r="A8" i="100"/>
  <c r="A18" i="100"/>
  <c r="A16" i="102"/>
  <c r="A27" i="87"/>
  <c r="A22" i="97"/>
  <c r="A17" i="110"/>
  <c r="A3" i="96"/>
  <c r="A23" i="93"/>
  <c r="A7" i="110"/>
  <c r="A8" i="80"/>
  <c r="A15" i="120"/>
  <c r="A7" i="87"/>
  <c r="A25" i="100"/>
  <c r="A17" i="106"/>
  <c r="A15" i="103"/>
  <c r="A11" i="121"/>
  <c r="A5" i="99"/>
  <c r="A5" i="109"/>
  <c r="A34" i="110"/>
  <c r="A6" i="103"/>
  <c r="A26" i="100"/>
  <c r="A18" i="109"/>
  <c r="A19" i="109"/>
  <c r="A31" i="105"/>
  <c r="A20" i="79"/>
  <c r="A30" i="104"/>
  <c r="A3" i="90"/>
  <c r="A26" i="121"/>
  <c r="A15" i="108"/>
  <c r="A22" i="120"/>
  <c r="A12" i="120"/>
  <c r="A37" i="86"/>
  <c r="A17" i="83"/>
  <c r="A12" i="82"/>
  <c r="A15" i="94"/>
  <c r="A17" i="85"/>
  <c r="A14" i="86"/>
  <c r="A6" i="104"/>
  <c r="A32" i="111"/>
  <c r="A24" i="122"/>
  <c r="A9" i="88"/>
  <c r="A24" i="110"/>
  <c r="A29" i="111"/>
  <c r="A6" i="113"/>
  <c r="A14" i="98"/>
  <c r="A24" i="87"/>
  <c r="A13" i="99"/>
  <c r="A3" i="105"/>
  <c r="A20" i="104"/>
  <c r="A14" i="102"/>
  <c r="A19" i="82"/>
  <c r="A13" i="90"/>
  <c r="A15" i="122"/>
  <c r="A7" i="106"/>
  <c r="A19" i="87"/>
  <c r="A14" i="93"/>
  <c r="A17" i="119"/>
  <c r="A6" i="79"/>
  <c r="A11" i="89"/>
  <c r="A13" i="106"/>
  <c r="A25" i="86"/>
  <c r="A31" i="120"/>
  <c r="A5" i="104"/>
  <c r="A7" i="108"/>
  <c r="A20" i="97"/>
  <c r="A11" i="85"/>
  <c r="A10" i="89"/>
  <c r="A17" i="96"/>
  <c r="A23" i="103"/>
  <c r="A10" i="88"/>
  <c r="A4" i="96"/>
  <c r="A7" i="97"/>
  <c r="A31" i="103"/>
  <c r="A28" i="113"/>
  <c r="A32" i="86"/>
  <c r="A7" i="121"/>
  <c r="A4" i="98"/>
  <c r="A27" i="100"/>
  <c r="A17" i="97"/>
  <c r="A19" i="119"/>
  <c r="A4" i="109"/>
  <c r="A3" i="119"/>
  <c r="A34" i="107"/>
  <c r="A11" i="106"/>
  <c r="A23" i="107"/>
  <c r="A23" i="87"/>
  <c r="A12" i="92"/>
  <c r="A3" i="83"/>
  <c r="A25" i="122"/>
  <c r="A6" i="121"/>
  <c r="A13" i="122"/>
  <c r="A27" i="122"/>
  <c r="A24" i="111"/>
  <c r="A16" i="109"/>
  <c r="A12" i="103"/>
  <c r="A22" i="118"/>
  <c r="A13" i="80"/>
  <c r="A20" i="85"/>
  <c r="A21" i="113"/>
  <c r="A13" i="82"/>
  <c r="A17" i="89"/>
  <c r="A7" i="80"/>
  <c r="A20" i="95"/>
  <c r="A4" i="121"/>
  <c r="A16" i="98"/>
  <c r="A24" i="121"/>
  <c r="A28" i="92"/>
  <c r="A27" i="111"/>
  <c r="A17" i="107"/>
  <c r="A29" i="57"/>
  <c r="A5" i="98"/>
  <c r="A13" i="104"/>
  <c r="A7" i="104"/>
  <c r="A7" i="119"/>
  <c r="A12" i="122"/>
  <c r="A21" i="122"/>
  <c r="A14" i="107"/>
  <c r="A32" i="98"/>
  <c r="A18" i="97"/>
  <c r="A33" i="107"/>
  <c r="A6" i="93"/>
  <c r="A15" i="99"/>
  <c r="A17" i="86"/>
  <c r="A28" i="122"/>
  <c r="A24" i="99"/>
  <c r="A19" i="90"/>
  <c r="A11" i="99"/>
  <c r="A6" i="118"/>
  <c r="A30" i="88"/>
  <c r="A10" i="119"/>
  <c r="A4" i="87"/>
  <c r="A9" i="110"/>
  <c r="A16" i="93"/>
  <c r="A18" i="87"/>
  <c r="A8" i="88"/>
  <c r="A19" i="118"/>
  <c r="A26" i="83"/>
  <c r="A22" i="57"/>
  <c r="A25" i="106"/>
  <c r="A16" i="91"/>
  <c r="A28" i="86"/>
  <c r="A30" i="83"/>
  <c r="A4" i="111"/>
  <c r="A16" i="110"/>
  <c r="A13" i="119"/>
  <c r="A18" i="80"/>
  <c r="A13" i="107"/>
  <c r="A5" i="83"/>
  <c r="A31" i="111"/>
  <c r="A11" i="122"/>
  <c r="A7" i="57"/>
  <c r="A23" i="110"/>
  <c r="A14" i="92"/>
  <c r="A5" i="113"/>
  <c r="A26" i="106"/>
  <c r="A20" i="120"/>
  <c r="A16" i="83"/>
  <c r="A21" i="97"/>
  <c r="A10" i="96"/>
  <c r="A20" i="103"/>
  <c r="A5" i="57"/>
  <c r="A13" i="91"/>
  <c r="A13" i="98"/>
  <c r="A18" i="103"/>
  <c r="A5" i="112"/>
  <c r="A10" i="105"/>
  <c r="A27" i="99"/>
  <c r="A21" i="96"/>
  <c r="A10" i="86"/>
  <c r="A18" i="108"/>
  <c r="A17" i="95"/>
  <c r="A8" i="79"/>
  <c r="A27" i="107"/>
  <c r="A4" i="94"/>
  <c r="A7" i="112"/>
  <c r="A19" i="98"/>
  <c r="A13" i="94"/>
  <c r="A25" i="103"/>
  <c r="A24" i="105"/>
  <c r="A11" i="119"/>
  <c r="A8" i="82"/>
  <c r="A6" i="92"/>
  <c r="A5" i="88"/>
  <c r="A15" i="89"/>
  <c r="A9" i="107"/>
  <c r="A33" i="86"/>
  <c r="A12" i="88"/>
  <c r="A27" i="90"/>
  <c r="A26" i="103"/>
  <c r="A4" i="107"/>
  <c r="A29" i="79"/>
  <c r="A12" i="112"/>
  <c r="A27" i="92"/>
  <c r="A4" i="114"/>
  <c r="A16" i="106"/>
  <c r="A20" i="99"/>
  <c r="A15" i="106"/>
  <c r="A5" i="80"/>
  <c r="A12" i="98"/>
  <c r="A36" i="86"/>
  <c r="A15" i="97"/>
  <c r="A7" i="113"/>
  <c r="A16" i="108"/>
  <c r="A4" i="99"/>
  <c r="A13" i="100"/>
  <c r="A30" i="90"/>
  <c r="A14" i="120"/>
  <c r="A10" i="85"/>
  <c r="A26" i="90"/>
  <c r="A17" i="87"/>
  <c r="A4" i="118"/>
  <c r="A16" i="99"/>
  <c r="A8" i="109"/>
  <c r="A26" i="97"/>
  <c r="A26" i="79"/>
  <c r="A6" i="109"/>
  <c r="A10" i="100"/>
  <c r="A27" i="57"/>
  <c r="A6" i="86"/>
  <c r="A18" i="99"/>
  <c r="A14" i="104"/>
  <c r="A8" i="86"/>
  <c r="A26" i="99"/>
  <c r="A20" i="91"/>
  <c r="A4" i="85"/>
  <c r="A30" i="98"/>
  <c r="A26" i="96"/>
  <c r="A7" i="105"/>
  <c r="A32" i="88"/>
  <c r="A7" i="89"/>
  <c r="A16" i="89"/>
  <c r="A5" i="90"/>
  <c r="A17" i="100"/>
  <c r="A20" i="86"/>
  <c r="A26" i="93"/>
  <c r="A27" i="121"/>
  <c r="A7" i="102"/>
  <c r="A10" i="122"/>
  <c r="A24" i="107"/>
  <c r="A23" i="122"/>
  <c r="A5" i="95"/>
  <c r="A25" i="95"/>
  <c r="A25" i="93"/>
  <c r="A17" i="90"/>
  <c r="A34" i="104"/>
  <c r="A18" i="121"/>
  <c r="A6" i="119"/>
  <c r="A18" i="104"/>
  <c r="A17" i="108"/>
  <c r="A12" i="95"/>
  <c r="A9" i="85"/>
  <c r="A22" i="83"/>
  <c r="A38" i="104"/>
  <c r="A10" i="94"/>
  <c r="A9" i="119"/>
  <c r="A26" i="104"/>
  <c r="A14" i="99"/>
  <c r="A21" i="111"/>
  <c r="A22" i="102"/>
  <c r="A19" i="99"/>
  <c r="A27" i="104"/>
  <c r="A10" i="118"/>
  <c r="A25" i="96"/>
  <c r="A13" i="120"/>
  <c r="A30" i="105"/>
  <c r="A16" i="122"/>
  <c r="A4" i="100"/>
  <c r="A27" i="98"/>
  <c r="A28" i="88"/>
  <c r="A25" i="88"/>
  <c r="A15" i="119"/>
  <c r="A9" i="122"/>
  <c r="A4" i="57"/>
  <c r="A16" i="85"/>
  <c r="A28" i="93"/>
  <c r="A20" i="110"/>
  <c r="A29" i="83"/>
  <c r="A30" i="79"/>
  <c r="A20" i="106"/>
  <c r="A17" i="118"/>
  <c r="A18" i="96"/>
  <c r="A14" i="95"/>
  <c r="A30" i="106"/>
  <c r="A18" i="105"/>
  <c r="A23" i="79"/>
  <c r="A14" i="88"/>
  <c r="A9" i="105"/>
  <c r="A7" i="111"/>
  <c r="A19" i="121"/>
  <c r="A5" i="122"/>
  <c r="A25" i="105"/>
  <c r="A24" i="100"/>
  <c r="A24" i="82"/>
  <c r="A12" i="119"/>
  <c r="A8" i="95"/>
  <c r="A14" i="105"/>
  <c r="A20" i="122"/>
  <c r="A4" i="108"/>
  <c r="A9" i="114"/>
  <c r="A12" i="90"/>
  <c r="A19" i="111"/>
  <c r="A11" i="97"/>
  <c r="A28" i="91"/>
  <c r="A10" i="106"/>
  <c r="A12" i="99"/>
  <c r="A5" i="100"/>
  <c r="A18" i="93"/>
  <c r="A12" i="83"/>
  <c r="A6" i="107"/>
  <c r="A26" i="91"/>
  <c r="A14" i="113"/>
  <c r="A11" i="94"/>
  <c r="A13" i="114"/>
  <c r="A17" i="93"/>
  <c r="A14" i="119"/>
  <c r="A4" i="104"/>
  <c r="A22" i="87"/>
  <c r="A8" i="122"/>
  <c r="A12" i="121"/>
  <c r="A16" i="92"/>
  <c r="A19" i="80"/>
  <c r="A10" i="79"/>
  <c r="A25" i="82"/>
  <c r="A26" i="98"/>
  <c r="A11" i="83"/>
  <c r="A9" i="86"/>
  <c r="A16" i="80"/>
  <c r="A4" i="102"/>
  <c r="A29" i="96"/>
  <c r="A25" i="107"/>
  <c r="A17" i="121"/>
  <c r="A24" i="98"/>
  <c r="A9" i="121"/>
  <c r="A15" i="57"/>
  <c r="A14" i="57"/>
  <c r="A11" i="79"/>
  <c r="A3" i="97"/>
  <c r="A26" i="80"/>
  <c r="A3" i="87"/>
  <c r="A6" i="102"/>
  <c r="A19" i="100"/>
  <c r="A20" i="88"/>
  <c r="A6" i="106"/>
  <c r="A7" i="93"/>
  <c r="A23" i="57"/>
  <c r="A29" i="122"/>
  <c r="A15" i="118"/>
  <c r="A19" i="103"/>
  <c r="A25" i="113"/>
  <c r="A22" i="121"/>
  <c r="A23" i="92"/>
  <c r="A28" i="107"/>
  <c r="A13" i="57"/>
  <c r="A30" i="107"/>
  <c r="A11" i="109"/>
  <c r="A18" i="86"/>
  <c r="A20" i="90"/>
  <c r="A6" i="89"/>
  <c r="A21" i="88"/>
  <c r="A19" i="110"/>
  <c r="A4" i="90"/>
  <c r="A28" i="104"/>
  <c r="A23" i="98"/>
  <c r="A14" i="100"/>
  <c r="A10" i="112"/>
  <c r="A20" i="118"/>
  <c r="A24" i="90"/>
  <c r="A4" i="106"/>
  <c r="A3" i="93"/>
  <c r="A5" i="86"/>
  <c r="A10" i="103"/>
  <c r="A24" i="95"/>
  <c r="A6" i="122"/>
  <c r="A35" i="110"/>
  <c r="A8" i="57"/>
  <c r="A8" i="96"/>
  <c r="A24" i="57"/>
  <c r="A3" i="88"/>
  <c r="A6" i="114"/>
  <c r="A18" i="119"/>
  <c r="A30" i="100"/>
  <c r="A16" i="88"/>
  <c r="A5" i="97"/>
  <c r="A8" i="102"/>
  <c r="A3" i="92"/>
  <c r="A6" i="108"/>
  <c r="A3" i="122"/>
  <c r="A24" i="120"/>
  <c r="A3" i="94"/>
  <c r="A17" i="80"/>
  <c r="A32" i="83"/>
  <c r="A9" i="82"/>
  <c r="A7" i="100"/>
  <c r="A19" i="106"/>
  <c r="A27" i="88"/>
  <c r="A24" i="96"/>
  <c r="A24" i="104"/>
  <c r="A7" i="98"/>
  <c r="A20" i="80"/>
  <c r="A14" i="89"/>
  <c r="A30" i="108"/>
  <c r="A23" i="82"/>
  <c r="A21" i="80"/>
  <c r="A31" i="110"/>
  <c r="A11" i="108"/>
  <c r="A27" i="106"/>
  <c r="A4" i="88"/>
  <c r="A37" i="107"/>
  <c r="A16" i="96"/>
  <c r="A4" i="119"/>
  <c r="A21" i="104"/>
  <c r="A18" i="111"/>
  <c r="A12" i="85"/>
  <c r="A17" i="99"/>
  <c r="A7" i="79"/>
  <c r="A8" i="107"/>
  <c r="A20" i="89"/>
  <c r="A10" i="92"/>
  <c r="A4" i="86"/>
  <c r="A12" i="96"/>
  <c r="A10" i="98"/>
  <c r="A17" i="82"/>
  <c r="A6" i="94"/>
  <c r="A13" i="93"/>
  <c r="A11" i="57"/>
  <c r="A6" i="112"/>
  <c r="A17" i="91"/>
  <c r="A27" i="105"/>
  <c r="A8" i="89"/>
  <c r="A16" i="97"/>
  <c r="A16" i="103"/>
  <c r="A15" i="121"/>
  <c r="A14" i="82"/>
  <c r="A25" i="90"/>
  <c r="A24" i="103"/>
  <c r="A19" i="86"/>
  <c r="A25" i="87"/>
  <c r="A12" i="113"/>
  <c r="A24" i="106"/>
  <c r="A28" i="108"/>
  <c r="A13" i="97"/>
  <c r="A27" i="79"/>
  <c r="A12" i="107"/>
  <c r="A10" i="82"/>
  <c r="A19" i="122"/>
  <c r="A20" i="87"/>
  <c r="A18" i="120"/>
  <c r="A24" i="88"/>
  <c r="A19" i="120"/>
  <c r="A9" i="113"/>
  <c r="A6" i="85"/>
  <c r="A25" i="97"/>
  <c r="A15" i="87"/>
  <c r="A7" i="118"/>
  <c r="A27" i="86"/>
  <c r="A11" i="114"/>
  <c r="A8" i="97"/>
  <c r="A10" i="102"/>
  <c r="A6" i="88"/>
  <c r="A11" i="113"/>
  <c r="A30" i="122"/>
  <c r="A18" i="118"/>
  <c r="A13" i="121"/>
  <c r="A4" i="122"/>
  <c r="A21" i="86"/>
  <c r="A3" i="95"/>
  <c r="A23" i="108"/>
  <c r="A8" i="91"/>
  <c r="A23" i="96"/>
  <c r="A13" i="105"/>
  <c r="A9" i="83"/>
  <c r="A12" i="110"/>
  <c r="A14" i="109"/>
  <c r="A13" i="113"/>
  <c r="A14" i="97"/>
  <c r="A4" i="91"/>
  <c r="A21" i="108"/>
  <c r="A11" i="104"/>
  <c r="A16" i="104"/>
  <c r="A28" i="110"/>
  <c r="A22" i="107"/>
  <c r="A12" i="57"/>
  <c r="A14" i="90"/>
  <c r="A29" i="110"/>
  <c r="A33" i="108"/>
  <c r="A24" i="86"/>
  <c r="A27" i="108"/>
  <c r="A32" i="93"/>
  <c r="A26" i="122"/>
  <c r="A18" i="113"/>
  <c r="A12" i="97"/>
  <c r="A23" i="113"/>
  <c r="A6" i="90"/>
  <c r="A25" i="104"/>
  <c r="A29" i="88"/>
  <c r="A21" i="87"/>
  <c r="A14" i="112"/>
  <c r="A8" i="110"/>
  <c r="A11" i="88"/>
  <c r="A21" i="82"/>
  <c r="A23" i="86"/>
  <c r="A11" i="91"/>
  <c r="A22" i="110"/>
  <c r="A8" i="83"/>
  <c r="A25" i="99"/>
  <c r="A21" i="121"/>
  <c r="A25" i="98"/>
  <c r="A26" i="88"/>
  <c r="A18" i="92"/>
  <c r="A5" i="102"/>
  <c r="A16" i="87"/>
  <c r="A6" i="100"/>
  <c r="A15" i="91"/>
  <c r="A7" i="82"/>
  <c r="A23" i="88"/>
  <c r="A26" i="111"/>
  <c r="A10" i="107"/>
  <c r="A19" i="89"/>
  <c r="A28" i="103"/>
  <c r="A8" i="108"/>
  <c r="A27" i="91"/>
  <c r="A21" i="79"/>
  <c r="A31" i="107"/>
  <c r="A28" i="121"/>
  <c r="A5" i="92"/>
  <c r="A4" i="97"/>
  <c r="A21" i="99"/>
  <c r="A9" i="79"/>
  <c r="A19" i="105"/>
  <c r="A22" i="100"/>
  <c r="A4" i="95"/>
  <c r="A19" i="104"/>
  <c r="A4" i="120"/>
  <c r="A20" i="121"/>
  <c r="A9" i="87"/>
  <c r="A21" i="100"/>
  <c r="A29" i="104"/>
  <c r="A4" i="92"/>
  <c r="A12" i="87"/>
  <c r="A18" i="95"/>
  <c r="A13" i="112"/>
  <c r="A18" i="82"/>
  <c r="A11" i="86"/>
  <c r="A13" i="86"/>
  <c r="A22" i="93"/>
  <c r="A26" i="113"/>
  <c r="A29" i="98"/>
  <c r="A37" i="104"/>
  <c r="A14" i="118"/>
  <c r="A21" i="106"/>
  <c r="A21" i="85"/>
  <c r="A32" i="107"/>
  <c r="A18" i="106"/>
  <c r="A18" i="57"/>
  <c r="A4" i="93"/>
  <c r="A28" i="111"/>
  <c r="A7" i="122"/>
  <c r="A28" i="98"/>
  <c r="A17" i="122"/>
  <c r="A3" i="121"/>
  <c r="A3" i="99"/>
  <c r="A22" i="113"/>
  <c r="A15" i="85"/>
  <c r="A3" i="89"/>
  <c r="A5" i="108"/>
  <c r="A5" i="119"/>
  <c r="A17" i="113"/>
  <c r="A12" i="108"/>
  <c r="A9" i="104"/>
  <c r="A35" i="107"/>
  <c r="A14" i="87"/>
  <c r="A23" i="105"/>
  <c r="A17" i="105"/>
  <c r="A15" i="92"/>
  <c r="A12" i="106"/>
  <c r="A10" i="87"/>
  <c r="A20" i="98"/>
  <c r="A8" i="112"/>
  <c r="A22" i="98"/>
  <c r="A38" i="86"/>
  <c r="A6" i="105"/>
  <c r="A6" i="98"/>
  <c r="A28" i="105"/>
  <c r="A20" i="83"/>
  <c r="A21" i="92"/>
  <c r="A29" i="92"/>
  <c r="A15" i="102"/>
  <c r="A23" i="120"/>
  <c r="A22" i="106"/>
  <c r="A29" i="107"/>
  <c r="A8" i="87"/>
  <c r="A23" i="121"/>
  <c r="A13" i="109"/>
  <c r="A8" i="99"/>
  <c r="A26" i="57"/>
  <c r="A11" i="92"/>
  <c r="A3" i="100"/>
  <c r="A24" i="93"/>
  <c r="A11" i="100"/>
  <c r="A19" i="102"/>
  <c r="A19" i="107"/>
  <c r="A10" i="111"/>
  <c r="A14" i="83"/>
  <c r="A32" i="104"/>
  <c r="A16" i="120"/>
  <c r="A26" i="105"/>
  <c r="A27" i="110"/>
  <c r="A13" i="92"/>
  <c r="A29" i="108"/>
  <c r="A23" i="90"/>
  <c r="A6" i="80"/>
  <c r="A26" i="92"/>
  <c r="A24" i="97"/>
  <c r="A28" i="120"/>
  <c r="A32" i="105"/>
  <c r="A20" i="57"/>
  <c r="A15" i="96"/>
  <c r="A17" i="111"/>
  <c r="A9" i="98"/>
  <c r="A7" i="99"/>
  <c r="A9" i="95"/>
  <c r="A24" i="92"/>
  <c r="A6" i="83"/>
  <c r="A34" i="88"/>
  <c r="A10" i="113"/>
  <c r="A18" i="98"/>
  <c r="A3" i="79"/>
  <c r="A6" i="97"/>
  <c r="A9" i="120"/>
  <c r="A7" i="92"/>
  <c r="A33" i="104"/>
  <c r="A11" i="98"/>
  <c r="A10" i="93"/>
  <c r="A9" i="91"/>
  <c r="A4" i="82"/>
  <c r="A17" i="92"/>
  <c r="A23" i="100"/>
  <c r="A8" i="120"/>
  <c r="A8" i="93"/>
  <c r="A16" i="86"/>
  <c r="A16" i="105"/>
  <c r="A5" i="105"/>
  <c r="A15" i="100"/>
  <c r="A9" i="9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<sst xmlns="http://schemas.openxmlformats.org/spreadsheetml/2006/main" count="3512" uniqueCount="88">
  <si>
    <t>汇总统计</t>
  </si>
  <si>
    <t>白班</t>
  </si>
  <si>
    <t>夜班</t>
  </si>
  <si>
    <t>总小时数</t>
  </si>
  <si>
    <t>调度席</t>
  </si>
  <si>
    <t>目录</t>
  </si>
  <si>
    <t>带班</t>
  </si>
  <si>
    <t>席位</t>
  </si>
  <si>
    <t>教员</t>
  </si>
  <si>
    <t>温若春</t>
  </si>
  <si>
    <t>明嘉</t>
  </si>
  <si>
    <t>徐万友</t>
  </si>
  <si>
    <t>耿若岩</t>
  </si>
  <si>
    <t>李明</t>
  </si>
  <si>
    <t>张虎</t>
  </si>
  <si>
    <t>马莲花</t>
  </si>
  <si>
    <t>刘国莲</t>
  </si>
  <si>
    <t>杜涛</t>
  </si>
  <si>
    <t>张文中</t>
  </si>
  <si>
    <t xml:space="preserve"> </t>
  </si>
  <si>
    <t>李秋实</t>
  </si>
  <si>
    <t>周岸</t>
  </si>
  <si>
    <t>詹泽彬</t>
  </si>
  <si>
    <t>张笑延</t>
  </si>
  <si>
    <t>沈宁</t>
  </si>
  <si>
    <t>胡鑫</t>
  </si>
  <si>
    <t>邓心豪</t>
  </si>
  <si>
    <t>黄恩</t>
  </si>
  <si>
    <t>严亮</t>
  </si>
  <si>
    <t>边昊</t>
  </si>
  <si>
    <t>张宗根</t>
  </si>
  <si>
    <t>宋天霖</t>
  </si>
  <si>
    <t>蔡昊霖</t>
  </si>
  <si>
    <t>叶大鹏</t>
  </si>
  <si>
    <t>王建超</t>
  </si>
  <si>
    <t>潘伟生</t>
  </si>
  <si>
    <t>王风瑞</t>
  </si>
  <si>
    <t>金鼎</t>
  </si>
  <si>
    <t>董志华</t>
  </si>
  <si>
    <t>姜文夫</t>
  </si>
  <si>
    <t>郭永杰</t>
  </si>
  <si>
    <t>朱永春</t>
  </si>
  <si>
    <t>刘琦</t>
  </si>
  <si>
    <t>吴疆</t>
  </si>
  <si>
    <t>巴富毅</t>
  </si>
  <si>
    <t>陈宏伟</t>
  </si>
  <si>
    <t>蒋露裕</t>
  </si>
  <si>
    <t>蓝宇航</t>
  </si>
  <si>
    <t>返回目录</t>
  </si>
  <si>
    <t>日  期</t>
  </si>
  <si>
    <t>岗  位</t>
  </si>
  <si>
    <t>上岗时刻</t>
  </si>
  <si>
    <t>交接班</t>
  </si>
  <si>
    <t>离岗时刻</t>
  </si>
  <si>
    <t>时段工作小时</t>
  </si>
  <si>
    <t>白班小时</t>
  </si>
  <si>
    <t>夜班小时 (0200-0800)</t>
  </si>
  <si>
    <t>统   计</t>
  </si>
  <si>
    <t>各席位总小时</t>
  </si>
  <si>
    <t>夜班小时 (0000-0800)</t>
  </si>
  <si>
    <t>备注</t>
  </si>
  <si>
    <t>航班调度席</t>
  </si>
  <si>
    <t>完成</t>
  </si>
  <si>
    <t>带班主任席执勤小时</t>
  </si>
  <si>
    <t>带班主任</t>
  </si>
  <si>
    <t>机场管制席执勤小时</t>
  </si>
  <si>
    <t>机场协调席执勤小时</t>
  </si>
  <si>
    <t>放行席执勤小时</t>
  </si>
  <si>
    <t>地面席执勤小时</t>
  </si>
  <si>
    <t>生产调度席执勤小时</t>
  </si>
  <si>
    <t>航班调度席执勤小时</t>
  </si>
  <si>
    <t>综合协调席小时</t>
  </si>
  <si>
    <t>见习管制员小时</t>
  </si>
  <si>
    <t>管制教员席小时</t>
  </si>
  <si>
    <t>月度总小时统计</t>
  </si>
  <si>
    <t>西塔台协调席</t>
  </si>
  <si>
    <t>统计</t>
  </si>
  <si>
    <t>席位执勤小时</t>
  </si>
  <si>
    <t>管制教员小时</t>
  </si>
  <si>
    <t>西塔台管制席</t>
  </si>
  <si>
    <t>月度总小时</t>
  </si>
  <si>
    <t>东塔台协调席</t>
  </si>
  <si>
    <t>东塔台管制席</t>
  </si>
  <si>
    <t>放行席</t>
  </si>
  <si>
    <t>地面席</t>
  </si>
  <si>
    <t>综合协调席</t>
  </si>
  <si>
    <t>管制教员席</t>
  </si>
  <si>
    <t>见习管制员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</si>
</sst>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8" formatCode="0.0_ "/>
    <numFmt numFmtId="179" formatCode="0.00_);[Red]\(0.00\)"/>
    <numFmt numFmtId="180" formatCode="h:mm:ss;@"/>
    <numFmt numFmtId="181" formatCode="0.0_);[Red]\(0.0\)"/>
    <numFmt numFmtId="182" formatCode="0.0"/>
    <numFmt numFmtId="183" formatCode="0.00_ "/>
  </numFmts>
  <fonts count="18" x14ac:knownFonts="1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rgb="FFFF0000"/>
      <name val="宋体"/>
      <charset val="134"/>
      <scheme val="minor"/>
    </font>
    <font>
      <b/>
      <sz val="14"/>
      <color theme="4"/>
      <name val="宋体"/>
      <charset val="134"/>
      <scheme val="minor"/>
    </font>
    <font>
      <b/>
      <sz val="14"/>
      <color theme="7"/>
      <name val="宋体"/>
      <charset val="134"/>
      <scheme val="minor"/>
    </font>
    <font>
      <b/>
      <sz val="14"/>
      <color theme="9"/>
      <name val="宋体"/>
      <charset val="134"/>
      <scheme val="minor"/>
    </font>
    <font>
      <b/>
      <sz val="18"/>
      <color theme="1"/>
      <name val="宋体"/>
      <charset val="134"/>
      <scheme val="minor"/>
    </font>
    <font>
      <sz val="18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sz val="16"/>
      <color theme="1"/>
      <name val="宋体"/>
      <charset val="134"/>
      <scheme val="minor"/>
    </font>
    <font>
      <b/>
      <sz val="16"/>
      <color rgb="FFFF000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20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>
      <alignment vertical="center"/>
    </xf>
  </cellStyleXfs>
  <cellXfs count="71">
    <xf numFmtId="0" fontId="0" fillId="0" borderId="0" xfId="0"/>
    <xf numFmtId="0" fontId="0" fillId="0" borderId="0" xfId="0" applyNumberFormat="1"/>
    <xf numFmtId="178" fontId="0" fillId="0" borderId="0" xfId="0" applyNumberFormat="1"/>
    <xf numFmtId="179" fontId="0" fillId="0" borderId="0" xfId="0" applyNumberFormat="1"/>
    <xf numFmtId="179" fontId="1" fillId="0" borderId="0" xfId="0" applyNumberFormat="1" applyFont="1"/>
    <xf numFmtId="180" fontId="3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 wrapText="1"/>
    </xf>
    <xf numFmtId="178" fontId="3" fillId="0" borderId="1" xfId="0" applyNumberFormat="1" applyFont="1" applyBorder="1" applyAlignment="1">
      <alignment horizontal="center" vertical="center" wrapText="1"/>
    </xf>
    <xf numFmtId="179" fontId="1" fillId="0" borderId="1" xfId="0" applyNumberFormat="1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 wrapText="1"/>
    </xf>
    <xf numFmtId="179" fontId="1" fillId="0" borderId="1" xfId="0" applyNumberFormat="1" applyFont="1" applyFill="1" applyBorder="1" applyAlignment="1">
      <alignment horizontal="center" vertical="center" wrapText="1"/>
    </xf>
    <xf numFmtId="179" fontId="5" fillId="0" borderId="1" xfId="0" applyNumberFormat="1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 vertical="center"/>
    </xf>
    <xf numFmtId="181" fontId="5" fillId="0" borderId="1" xfId="0" applyNumberFormat="1" applyFont="1" applyFill="1" applyBorder="1" applyAlignment="1"/>
    <xf numFmtId="0" fontId="0" fillId="0" borderId="1" xfId="0" applyFont="1" applyFill="1" applyBorder="1" applyAlignment="1"/>
    <xf numFmtId="21" fontId="0" fillId="0" borderId="0" xfId="0" applyNumberFormat="1"/>
    <xf numFmtId="179" fontId="6" fillId="0" borderId="1" xfId="0" applyNumberFormat="1" applyFont="1" applyFill="1" applyBorder="1" applyAlignment="1">
      <alignment horizontal="center" vertical="center"/>
    </xf>
    <xf numFmtId="178" fontId="6" fillId="0" borderId="1" xfId="0" applyNumberFormat="1" applyFont="1" applyFill="1" applyBorder="1" applyAlignment="1">
      <alignment horizontal="center" vertical="center"/>
    </xf>
    <xf numFmtId="181" fontId="6" fillId="0" borderId="1" xfId="0" applyNumberFormat="1" applyFont="1" applyFill="1" applyBorder="1" applyAlignment="1"/>
    <xf numFmtId="179" fontId="7" fillId="0" borderId="1" xfId="0" applyNumberFormat="1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181" fontId="7" fillId="0" borderId="1" xfId="0" applyNumberFormat="1" applyFont="1" applyFill="1" applyBorder="1" applyAlignment="1"/>
    <xf numFmtId="179" fontId="8" fillId="0" borderId="1" xfId="0" applyNumberFormat="1" applyFont="1" applyFill="1" applyBorder="1" applyAlignment="1">
      <alignment horizontal="center" vertical="center"/>
    </xf>
    <xf numFmtId="178" fontId="8" fillId="0" borderId="1" xfId="0" applyNumberFormat="1" applyFont="1" applyFill="1" applyBorder="1" applyAlignment="1">
      <alignment horizontal="center" vertical="center"/>
    </xf>
    <xf numFmtId="181" fontId="8" fillId="0" borderId="1" xfId="0" applyNumberFormat="1" applyFont="1" applyFill="1" applyBorder="1" applyAlignment="1"/>
    <xf numFmtId="179" fontId="11" fillId="0" borderId="2" xfId="0" applyNumberFormat="1" applyFont="1" applyFill="1" applyBorder="1" applyAlignment="1">
      <alignment horizontal="center" vertical="center"/>
    </xf>
    <xf numFmtId="180" fontId="11" fillId="0" borderId="2" xfId="0" applyNumberFormat="1" applyFont="1" applyFill="1" applyBorder="1" applyAlignment="1">
      <alignment horizontal="center" vertical="center" wrapText="1"/>
    </xf>
    <xf numFmtId="180" fontId="11" fillId="2" borderId="2" xfId="0" applyNumberFormat="1" applyFont="1" applyFill="1" applyBorder="1" applyAlignment="1">
      <alignment horizontal="center" vertical="center" wrapText="1"/>
    </xf>
    <xf numFmtId="179" fontId="11" fillId="3" borderId="2" xfId="0" applyNumberFormat="1" applyFont="1" applyFill="1" applyBorder="1" applyAlignment="1">
      <alignment horizontal="center" vertical="center" wrapText="1"/>
    </xf>
    <xf numFmtId="180" fontId="11" fillId="0" borderId="1" xfId="0" applyNumberFormat="1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/>
    </xf>
    <xf numFmtId="181" fontId="12" fillId="0" borderId="1" xfId="0" applyNumberFormat="1" applyFont="1" applyFill="1" applyBorder="1" applyAlignment="1">
      <alignment horizontal="center"/>
    </xf>
    <xf numFmtId="181" fontId="12" fillId="2" borderId="1" xfId="0" applyNumberFormat="1" applyFont="1" applyFill="1" applyBorder="1" applyAlignment="1">
      <alignment horizontal="center"/>
    </xf>
    <xf numFmtId="181" fontId="12" fillId="3" borderId="1" xfId="0" applyNumberFormat="1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179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181" fontId="12" fillId="0" borderId="1" xfId="0" applyNumberFormat="1" applyFont="1" applyBorder="1" applyAlignment="1">
      <alignment horizontal="center"/>
    </xf>
    <xf numFmtId="0" fontId="0" fillId="0" borderId="1" xfId="0" applyBorder="1"/>
    <xf numFmtId="179" fontId="4" fillId="0" borderId="1" xfId="0" applyNumberFormat="1" applyFont="1" applyBorder="1" applyAlignment="1">
      <alignment horizontal="center" vertical="center"/>
    </xf>
    <xf numFmtId="46" fontId="5" fillId="0" borderId="1" xfId="0" applyNumberFormat="1" applyFont="1" applyBorder="1" applyAlignment="1">
      <alignment horizontal="center" vertical="center"/>
    </xf>
    <xf numFmtId="0" fontId="16" fillId="5" borderId="1" xfId="0" applyFont="1" applyFill="1" applyBorder="1" applyAlignment="1">
      <alignment horizontal="center"/>
    </xf>
    <xf numFmtId="0" fontId="2" fillId="0" borderId="1" xfId="1" applyFont="1" applyBorder="1" applyAlignment="1"/>
    <xf numFmtId="178" fontId="16" fillId="0" borderId="1" xfId="0" applyNumberFormat="1" applyFont="1" applyBorder="1" applyAlignment="1">
      <alignment horizontal="center" vertical="center"/>
    </xf>
    <xf numFmtId="178" fontId="0" fillId="0" borderId="1" xfId="0" applyNumberFormat="1" applyBorder="1" applyAlignment="1">
      <alignment horizontal="center"/>
    </xf>
    <xf numFmtId="0" fontId="14" fillId="0" borderId="1" xfId="1" applyFont="1" applyBorder="1" applyAlignment="1"/>
    <xf numFmtId="0" fontId="14" fillId="0" borderId="1" xfId="1" applyBorder="1" applyAlignment="1"/>
    <xf numFmtId="182" fontId="0" fillId="0" borderId="1" xfId="0" applyNumberFormat="1" applyBorder="1" applyAlignment="1">
      <alignment horizontal="center" vertical="center"/>
    </xf>
    <xf numFmtId="183" fontId="0" fillId="0" borderId="0" xfId="0" applyNumberFormat="1"/>
    <xf numFmtId="182" fontId="16" fillId="0" borderId="1" xfId="0" applyNumberFormat="1" applyFont="1" applyBorder="1" applyAlignment="1">
      <alignment horizontal="center" vertical="center"/>
    </xf>
    <xf numFmtId="0" fontId="16" fillId="0" borderId="0" xfId="0" applyFont="1"/>
    <xf numFmtId="0" fontId="16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5" fillId="4" borderId="1" xfId="0" applyFont="1" applyFill="1" applyBorder="1" applyAlignment="1">
      <alignment horizontal="center"/>
    </xf>
    <xf numFmtId="180" fontId="2" fillId="0" borderId="1" xfId="1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81" fontId="13" fillId="0" borderId="3" xfId="0" applyNumberFormat="1" applyFont="1" applyFill="1" applyBorder="1" applyAlignment="1">
      <alignment horizontal="center" vertical="center"/>
    </xf>
    <xf numFmtId="181" fontId="13" fillId="0" borderId="4" xfId="0" applyNumberFormat="1" applyFont="1" applyFill="1" applyBorder="1" applyAlignment="1">
      <alignment horizontal="center" vertical="center"/>
    </xf>
    <xf numFmtId="181" fontId="13" fillId="0" borderId="5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180" fontId="14" fillId="0" borderId="1" xfId="1" applyNumberForma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42"/>
  <sheetViews>
    <sheetView topLeftCell="A4" workbookViewId="0">
      <selection activeCell="A37" sqref="A37"/>
    </sheetView>
  </sheetViews>
  <sheetFormatPr defaultColWidth="9" defaultRowHeight="13.5" x14ac:dyDescent="0.15"/>
  <cols>
    <col min="10" max="10" width="9.125" customWidth="1"/>
  </cols>
  <sheetData>
    <row r="1" spans="1:15" ht="14.1" customHeight="1" x14ac:dyDescent="0.15">
      <c r="A1" s="44"/>
      <c r="B1" s="61" t="s">
        <v>0</v>
      </c>
      <c r="C1" s="61"/>
      <c r="D1" s="61"/>
      <c r="E1" s="61"/>
      <c r="F1" s="61"/>
      <c r="G1" s="61"/>
    </row>
    <row r="2" spans="1:15" ht="14.1" customHeight="1" x14ac:dyDescent="0.15">
      <c r="A2" s="44"/>
      <c r="B2" s="61"/>
      <c r="C2" s="61"/>
      <c r="D2" s="61"/>
      <c r="E2" s="61"/>
      <c r="F2" s="61"/>
      <c r="G2" s="61"/>
    </row>
    <row r="3" spans="1:15" ht="14.1" customHeight="1" x14ac:dyDescent="0.15">
      <c r="A3" s="44"/>
      <c r="B3" s="57" t="s">
        <v>1</v>
      </c>
      <c r="C3" s="57"/>
      <c r="D3" s="57"/>
      <c r="E3" s="57" t="s">
        <v>2</v>
      </c>
      <c r="F3" s="58"/>
      <c r="G3" s="58"/>
      <c r="H3" s="59" t="s">
        <v>3</v>
      </c>
      <c r="I3" s="59" t="s">
        <v>4</v>
      </c>
    </row>
    <row r="4" spans="1:15" x14ac:dyDescent="0.15">
      <c r="A4" s="44" t="s">
        <v>5</v>
      </c>
      <c r="B4" s="47" t="s">
        <v>6</v>
      </c>
      <c r="C4" s="47" t="s">
        <v>7</v>
      </c>
      <c r="D4" s="47" t="s">
        <v>8</v>
      </c>
      <c r="E4" s="47" t="s">
        <v>6</v>
      </c>
      <c r="F4" s="47" t="s">
        <v>7</v>
      </c>
      <c r="G4" s="47" t="s">
        <v>8</v>
      </c>
      <c r="H4" s="60"/>
      <c r="I4" s="60"/>
    </row>
    <row r="5" spans="1:15" x14ac:dyDescent="0.15">
      <c r="A5" s="48" t="s">
        <v>9</v>
      </c>
      <c r="B5" s="49">
        <f>温若春!K16</f>
        <v>39.659444444444496</v>
      </c>
      <c r="C5" s="49">
        <f>温若春!K17</f>
        <v>13.331388888888915</v>
      </c>
      <c r="D5" s="49">
        <f>温若春!K19</f>
        <v>0</v>
      </c>
      <c r="E5" s="49">
        <f>温若春!L16</f>
        <v>25.871944444444459</v>
      </c>
      <c r="F5" s="49">
        <f>温若春!L17</f>
        <v>0.80527777777776022</v>
      </c>
      <c r="G5" s="49">
        <f>温若春!L19</f>
        <v>0</v>
      </c>
      <c r="H5" s="50">
        <f>SUM(B5:G5)</f>
        <v>79.668055555555625</v>
      </c>
      <c r="I5" s="53">
        <f>温若春!J21</f>
        <v>6.2938888888888798</v>
      </c>
      <c r="J5" s="54">
        <f>SUM(H5:I5)</f>
        <v>85.961944444444498</v>
      </c>
    </row>
    <row r="6" spans="1:15" x14ac:dyDescent="0.15">
      <c r="A6" s="51" t="s">
        <v>10</v>
      </c>
      <c r="B6" s="50">
        <f>明嘉!K16</f>
        <v>0</v>
      </c>
      <c r="C6" s="50">
        <f>明嘉!K17</f>
        <v>42.19999999999996</v>
      </c>
      <c r="D6" s="50">
        <f>明嘉!K19</f>
        <v>0</v>
      </c>
      <c r="E6" s="49">
        <f>明嘉!L16</f>
        <v>0</v>
      </c>
      <c r="F6" s="49">
        <f>明嘉!L17</f>
        <v>18.266944444444427</v>
      </c>
      <c r="G6" s="49">
        <f>明嘉!L19</f>
        <v>0</v>
      </c>
      <c r="H6" s="50">
        <f t="shared" ref="H6:H40" si="0">SUM(B6:G6)</f>
        <v>60.466944444444387</v>
      </c>
      <c r="I6" s="53">
        <f>明嘉!J21</f>
        <v>13.560000000000022</v>
      </c>
      <c r="J6" s="54">
        <f t="shared" ref="J6:J42" si="1">SUM(H6:I6)</f>
        <v>74.02694444444441</v>
      </c>
    </row>
    <row r="7" spans="1:15" x14ac:dyDescent="0.15">
      <c r="A7" s="48" t="s">
        <v>11</v>
      </c>
      <c r="B7" s="49">
        <f>徐万友!K16</f>
        <v>53.282222222222302</v>
      </c>
      <c r="C7" s="49">
        <f>徐万友!K17</f>
        <v>4.2616666666666827</v>
      </c>
      <c r="D7" s="49">
        <f>徐万友!K19</f>
        <v>0</v>
      </c>
      <c r="E7" s="49">
        <f>徐万友!L16</f>
        <v>25.552222222222223</v>
      </c>
      <c r="F7" s="49">
        <f>徐万友!L17</f>
        <v>4.2933333333333366</v>
      </c>
      <c r="G7" s="49">
        <f>徐万友!L19</f>
        <v>0</v>
      </c>
      <c r="H7" s="50">
        <f t="shared" si="0"/>
        <v>87.38944444444455</v>
      </c>
      <c r="I7" s="53">
        <f>徐万友!J21</f>
        <v>0</v>
      </c>
      <c r="J7" s="54">
        <f t="shared" si="1"/>
        <v>87.38944444444455</v>
      </c>
    </row>
    <row r="8" spans="1:15" x14ac:dyDescent="0.15">
      <c r="A8" s="52" t="s">
        <v>12</v>
      </c>
      <c r="B8" s="49">
        <f>耿若岩!K16</f>
        <v>0</v>
      </c>
      <c r="C8" s="49">
        <f>耿若岩!K17</f>
        <v>25.511944444444538</v>
      </c>
      <c r="D8" s="49">
        <f>耿若岩!K19</f>
        <v>0</v>
      </c>
      <c r="E8" s="49">
        <f>耿若岩!L16</f>
        <v>0</v>
      </c>
      <c r="F8" s="49">
        <f>耿若岩!L17</f>
        <v>24.42499999999999</v>
      </c>
      <c r="G8" s="49">
        <f>耿若岩!L19</f>
        <v>0</v>
      </c>
      <c r="H8" s="50">
        <f t="shared" si="0"/>
        <v>49.936944444444528</v>
      </c>
      <c r="I8" s="55">
        <f>耿若岩!J21</f>
        <v>5.9369444444444177</v>
      </c>
      <c r="J8" s="54">
        <f t="shared" si="1"/>
        <v>55.873888888888942</v>
      </c>
    </row>
    <row r="9" spans="1:15" x14ac:dyDescent="0.15">
      <c r="A9" s="48" t="s">
        <v>13</v>
      </c>
      <c r="B9" s="49">
        <f>李明!K16</f>
        <v>0</v>
      </c>
      <c r="C9" s="49">
        <f>李明!K17</f>
        <v>51.707777777777729</v>
      </c>
      <c r="D9" s="49">
        <f>李明!K19</f>
        <v>0</v>
      </c>
      <c r="E9" s="49">
        <f>李明!L16</f>
        <v>0</v>
      </c>
      <c r="F9" s="49">
        <f>李明!L17</f>
        <v>28.795833333333306</v>
      </c>
      <c r="G9" s="49">
        <f>李明!L19</f>
        <v>0</v>
      </c>
      <c r="H9" s="50">
        <f t="shared" si="0"/>
        <v>80.503611111111042</v>
      </c>
      <c r="I9" s="53">
        <f>李明!J21</f>
        <v>0</v>
      </c>
      <c r="J9" s="54">
        <f t="shared" si="1"/>
        <v>80.503611111111042</v>
      </c>
    </row>
    <row r="10" spans="1:15" x14ac:dyDescent="0.15">
      <c r="A10" s="51" t="s">
        <v>14</v>
      </c>
      <c r="B10" s="49">
        <f>张虎!K16</f>
        <v>0</v>
      </c>
      <c r="C10" s="49">
        <f>张虎!K17</f>
        <v>33.862499999999983</v>
      </c>
      <c r="D10" s="49">
        <f>张虎!K19</f>
        <v>0</v>
      </c>
      <c r="E10" s="49">
        <f>张虎!L16</f>
        <v>0</v>
      </c>
      <c r="F10" s="49">
        <f>张虎!L17</f>
        <v>18.45805555555555</v>
      </c>
      <c r="G10" s="49">
        <f>张虎!L19</f>
        <v>0</v>
      </c>
      <c r="H10" s="50">
        <f t="shared" si="0"/>
        <v>52.320555555555529</v>
      </c>
      <c r="I10" s="53">
        <f>张虎!J21</f>
        <v>9.4244444444444664</v>
      </c>
      <c r="J10" s="54">
        <f t="shared" si="1"/>
        <v>61.744999999999997</v>
      </c>
    </row>
    <row r="11" spans="1:15" x14ac:dyDescent="0.15">
      <c r="A11" s="48" t="s">
        <v>15</v>
      </c>
      <c r="B11" s="49">
        <f>马莲花!K16</f>
        <v>41.050555555555569</v>
      </c>
      <c r="C11" s="49">
        <f>马莲花!K17</f>
        <v>22.911111111111097</v>
      </c>
      <c r="D11" s="49">
        <f>马莲花!K19</f>
        <v>0</v>
      </c>
      <c r="E11" s="49">
        <f>马莲花!L16</f>
        <v>17.001111111111118</v>
      </c>
      <c r="F11" s="49">
        <f>马莲花!L17</f>
        <v>13.541944444444439</v>
      </c>
      <c r="G11" s="49">
        <f>马莲花!L19</f>
        <v>0</v>
      </c>
      <c r="H11" s="50">
        <f t="shared" si="0"/>
        <v>94.504722222222227</v>
      </c>
      <c r="I11" s="53">
        <f>马莲花!J21</f>
        <v>0</v>
      </c>
      <c r="J11" s="54">
        <f t="shared" si="1"/>
        <v>94.504722222222227</v>
      </c>
    </row>
    <row r="12" spans="1:15" x14ac:dyDescent="0.15">
      <c r="A12" s="48" t="s">
        <v>16</v>
      </c>
      <c r="B12" s="49">
        <f>刘国莲!K15</f>
        <v>0</v>
      </c>
      <c r="C12" s="49">
        <f>刘国莲!K16</f>
        <v>23.952222222222222</v>
      </c>
      <c r="D12" s="49">
        <f>刘国莲!K18</f>
        <v>0</v>
      </c>
      <c r="E12" s="49">
        <f>刘国莲!L15</f>
        <v>0</v>
      </c>
      <c r="F12" s="49">
        <f>刘国莲!L16</f>
        <v>27.546111111111109</v>
      </c>
      <c r="G12" s="49">
        <f>刘国莲!L18</f>
        <v>0</v>
      </c>
      <c r="H12" s="50">
        <f t="shared" si="0"/>
        <v>51.498333333333335</v>
      </c>
      <c r="I12" s="53">
        <f>刘国莲!J20</f>
        <v>12.375555555555577</v>
      </c>
      <c r="J12" s="54">
        <f t="shared" si="1"/>
        <v>63.873888888888914</v>
      </c>
    </row>
    <row r="13" spans="1:15" x14ac:dyDescent="0.15">
      <c r="A13" s="48" t="s">
        <v>17</v>
      </c>
      <c r="B13" s="49">
        <f>杜涛!K16</f>
        <v>0</v>
      </c>
      <c r="C13" s="49">
        <f>杜涛!K17</f>
        <v>51.341666666666676</v>
      </c>
      <c r="D13" s="49">
        <f>杜涛!K19</f>
        <v>0</v>
      </c>
      <c r="E13" s="49">
        <f>杜涛!L16</f>
        <v>0</v>
      </c>
      <c r="F13" s="49">
        <f>杜涛!L17</f>
        <v>33.281388888888884</v>
      </c>
      <c r="G13" s="49">
        <f>杜涛!L19</f>
        <v>0</v>
      </c>
      <c r="H13" s="50">
        <f t="shared" si="0"/>
        <v>84.623055555555567</v>
      </c>
      <c r="I13" s="53">
        <f>杜涛!J21</f>
        <v>0</v>
      </c>
      <c r="J13" s="54">
        <f t="shared" si="1"/>
        <v>84.623055555555567</v>
      </c>
    </row>
    <row r="14" spans="1:15" x14ac:dyDescent="0.15">
      <c r="A14" s="48" t="s">
        <v>18</v>
      </c>
      <c r="B14" s="49">
        <f>张文中!K16</f>
        <v>0</v>
      </c>
      <c r="C14" s="49">
        <f>张文中!K17</f>
        <v>17.1736111111111</v>
      </c>
      <c r="D14" s="49">
        <f>张文中!K19</f>
        <v>0</v>
      </c>
      <c r="E14" s="49">
        <f>张文中!L16</f>
        <v>0</v>
      </c>
      <c r="F14" s="49">
        <f>张文中!L17</f>
        <v>21.779166666666605</v>
      </c>
      <c r="G14" s="49">
        <f>张文中!L19</f>
        <v>0</v>
      </c>
      <c r="H14" s="50">
        <f t="shared" si="0"/>
        <v>38.952777777777705</v>
      </c>
      <c r="I14" s="53">
        <f>张文中!J21</f>
        <v>7.6425000000000018</v>
      </c>
      <c r="J14" s="54">
        <f t="shared" si="1"/>
        <v>46.59527777777771</v>
      </c>
      <c r="O14" s="56" t="s">
        <v>19</v>
      </c>
    </row>
    <row r="15" spans="1:15" x14ac:dyDescent="0.15">
      <c r="A15" s="48" t="s">
        <v>20</v>
      </c>
      <c r="B15" s="49">
        <f>李秋实!K16</f>
        <v>0</v>
      </c>
      <c r="C15" s="49">
        <f>李秋实!K17</f>
        <v>30.754166666666684</v>
      </c>
      <c r="D15" s="49">
        <f>李秋实!K19</f>
        <v>0</v>
      </c>
      <c r="E15" s="49">
        <f>李秋实!L16</f>
        <v>0</v>
      </c>
      <c r="F15" s="49">
        <f>李秋实!L17</f>
        <v>29.727222222222203</v>
      </c>
      <c r="G15" s="49">
        <f>李秋实!L19</f>
        <v>0</v>
      </c>
      <c r="H15" s="50">
        <f t="shared" si="0"/>
        <v>60.481388888888887</v>
      </c>
      <c r="I15" s="53">
        <f>李秋实!J21</f>
        <v>11.971666666666657</v>
      </c>
      <c r="J15" s="54">
        <f t="shared" si="1"/>
        <v>72.453055555555551</v>
      </c>
    </row>
    <row r="16" spans="1:15" x14ac:dyDescent="0.15">
      <c r="A16" s="51" t="s">
        <v>21</v>
      </c>
      <c r="B16" s="49">
        <f>周岸!K16</f>
        <v>0</v>
      </c>
      <c r="C16" s="49">
        <f>周岸!K17</f>
        <v>22.395555555555571</v>
      </c>
      <c r="D16" s="49">
        <f>周岸!K19</f>
        <v>0</v>
      </c>
      <c r="E16" s="49">
        <f>周岸!L16</f>
        <v>0</v>
      </c>
      <c r="F16" s="49">
        <f>周岸!L17</f>
        <v>24.894166666666628</v>
      </c>
      <c r="G16" s="49">
        <f>周岸!L19</f>
        <v>0</v>
      </c>
      <c r="H16" s="50">
        <f t="shared" si="0"/>
        <v>47.289722222222196</v>
      </c>
      <c r="I16" s="53">
        <f>周岸!J21</f>
        <v>22.161388888888894</v>
      </c>
      <c r="J16" s="54">
        <f t="shared" si="1"/>
        <v>69.451111111111089</v>
      </c>
    </row>
    <row r="17" spans="1:10" x14ac:dyDescent="0.15">
      <c r="A17" s="48" t="s">
        <v>22</v>
      </c>
      <c r="B17" s="49">
        <f>詹泽彬!K16</f>
        <v>0</v>
      </c>
      <c r="C17" s="49">
        <f>詹泽彬!K17</f>
        <v>40.185000000000073</v>
      </c>
      <c r="D17" s="49">
        <f>詹泽彬!K19</f>
        <v>0</v>
      </c>
      <c r="E17" s="49">
        <f>詹泽彬!L16</f>
        <v>0</v>
      </c>
      <c r="F17" s="49">
        <f>詹泽彬!L17</f>
        <v>32.605833333333337</v>
      </c>
      <c r="G17" s="49">
        <f>詹泽彬!L19</f>
        <v>0</v>
      </c>
      <c r="H17" s="50">
        <f t="shared" si="0"/>
        <v>72.79083333333341</v>
      </c>
      <c r="I17" s="53">
        <f>詹泽彬!J21</f>
        <v>0</v>
      </c>
      <c r="J17" s="54">
        <f t="shared" si="1"/>
        <v>72.79083333333341</v>
      </c>
    </row>
    <row r="18" spans="1:10" x14ac:dyDescent="0.15">
      <c r="A18" s="51" t="s">
        <v>23</v>
      </c>
      <c r="B18" s="49">
        <f>张笑延!K16</f>
        <v>0</v>
      </c>
      <c r="C18" s="49">
        <f>张笑延!K17</f>
        <v>55.64083333333339</v>
      </c>
      <c r="D18" s="49">
        <f>张笑延!K19</f>
        <v>0</v>
      </c>
      <c r="E18" s="49">
        <f>张笑延!L16</f>
        <v>0</v>
      </c>
      <c r="F18" s="49">
        <f>张笑延!L17</f>
        <v>24.575277777777782</v>
      </c>
      <c r="G18" s="49">
        <f>张笑延!L19</f>
        <v>0</v>
      </c>
      <c r="H18" s="50">
        <f t="shared" si="0"/>
        <v>80.216111111111175</v>
      </c>
      <c r="I18" s="53">
        <f>张笑延!J21</f>
        <v>0</v>
      </c>
      <c r="J18" s="54">
        <f t="shared" si="1"/>
        <v>80.216111111111175</v>
      </c>
    </row>
    <row r="19" spans="1:10" x14ac:dyDescent="0.15">
      <c r="A19" s="52" t="s">
        <v>24</v>
      </c>
      <c r="B19" s="50">
        <f>沈宁!K16</f>
        <v>0</v>
      </c>
      <c r="C19" s="50">
        <f>沈宁!K17</f>
        <v>12.326666666666689</v>
      </c>
      <c r="D19" s="50">
        <f>沈宁!K19</f>
        <v>0</v>
      </c>
      <c r="E19" s="50">
        <f>沈宁!L16</f>
        <v>0</v>
      </c>
      <c r="F19" s="50">
        <f>沈宁!L17</f>
        <v>27.471666666666675</v>
      </c>
      <c r="G19" s="50">
        <f>沈宁!L19</f>
        <v>0</v>
      </c>
      <c r="H19" s="50">
        <f t="shared" si="0"/>
        <v>39.79833333333336</v>
      </c>
      <c r="I19" s="53">
        <f>沈宁!J21</f>
        <v>0</v>
      </c>
      <c r="J19" s="54">
        <f t="shared" si="1"/>
        <v>39.79833333333336</v>
      </c>
    </row>
    <row r="20" spans="1:10" x14ac:dyDescent="0.15">
      <c r="A20" s="52" t="s">
        <v>25</v>
      </c>
      <c r="B20" s="50">
        <f>胡鑫!K16</f>
        <v>75.292777777777843</v>
      </c>
      <c r="C20" s="50">
        <f>胡鑫!K17</f>
        <v>0</v>
      </c>
      <c r="D20" s="50">
        <f>胡鑫!K19</f>
        <v>0</v>
      </c>
      <c r="E20" s="50">
        <f>胡鑫!L16</f>
        <v>30.260277777777741</v>
      </c>
      <c r="F20" s="50">
        <f>胡鑫!L17</f>
        <v>0</v>
      </c>
      <c r="G20" s="50">
        <f>胡鑫!L19</f>
        <v>0</v>
      </c>
      <c r="H20" s="50">
        <f t="shared" si="0"/>
        <v>105.55305555555559</v>
      </c>
      <c r="I20" s="53">
        <f>胡鑫!J21</f>
        <v>0</v>
      </c>
      <c r="J20" s="54">
        <f t="shared" si="1"/>
        <v>105.55305555555559</v>
      </c>
    </row>
    <row r="21" spans="1:10" x14ac:dyDescent="0.15">
      <c r="A21" s="51" t="s">
        <v>26</v>
      </c>
      <c r="B21" s="50">
        <f>邓心豪!K16</f>
        <v>0</v>
      </c>
      <c r="C21" s="50">
        <f>邓心豪!K17</f>
        <v>39.231944444444466</v>
      </c>
      <c r="D21" s="50">
        <f>邓心豪!K19</f>
        <v>0</v>
      </c>
      <c r="E21" s="50">
        <f>邓心豪!L16</f>
        <v>0</v>
      </c>
      <c r="F21" s="50">
        <f>邓心豪!L17</f>
        <v>22.708611111111097</v>
      </c>
      <c r="G21" s="50">
        <f>邓心豪!L19</f>
        <v>0</v>
      </c>
      <c r="H21" s="50">
        <f t="shared" si="0"/>
        <v>61.940555555555562</v>
      </c>
      <c r="I21" s="53">
        <f>邓心豪!J21</f>
        <v>0</v>
      </c>
      <c r="J21" s="54">
        <f t="shared" si="1"/>
        <v>61.940555555555562</v>
      </c>
    </row>
    <row r="22" spans="1:10" x14ac:dyDescent="0.15">
      <c r="A22" s="52" t="s">
        <v>27</v>
      </c>
      <c r="B22" s="50">
        <f>黄恩!K16</f>
        <v>0</v>
      </c>
      <c r="C22" s="50">
        <f>黄恩!K17</f>
        <v>28.617777777777782</v>
      </c>
      <c r="D22" s="50">
        <f>黄恩!K19</f>
        <v>0</v>
      </c>
      <c r="E22" s="50">
        <f>黄恩!L16</f>
        <v>0</v>
      </c>
      <c r="F22" s="50">
        <f>黄恩!L17</f>
        <v>22.497777777777713</v>
      </c>
      <c r="G22" s="50">
        <f>黄恩!L19</f>
        <v>0</v>
      </c>
      <c r="H22" s="50">
        <f t="shared" si="0"/>
        <v>51.115555555555495</v>
      </c>
      <c r="I22" s="53">
        <f>黄恩!J21</f>
        <v>6.9561111111111114</v>
      </c>
      <c r="J22" s="54">
        <f t="shared" si="1"/>
        <v>58.071666666666609</v>
      </c>
    </row>
    <row r="23" spans="1:10" x14ac:dyDescent="0.15">
      <c r="A23" s="52" t="s">
        <v>28</v>
      </c>
      <c r="B23" s="50">
        <f>严亮!K16</f>
        <v>0</v>
      </c>
      <c r="C23" s="50">
        <f>严亮!K17</f>
        <v>47.906111111111166</v>
      </c>
      <c r="D23" s="50">
        <f>严亮!K19</f>
        <v>0</v>
      </c>
      <c r="E23" s="50">
        <f>严亮!L16</f>
        <v>0</v>
      </c>
      <c r="F23" s="50">
        <f>严亮!L17</f>
        <v>22.898888888888866</v>
      </c>
      <c r="G23" s="50">
        <f>严亮!L19</f>
        <v>0</v>
      </c>
      <c r="H23" s="50">
        <f t="shared" si="0"/>
        <v>70.805000000000035</v>
      </c>
      <c r="I23" s="53">
        <f>严亮!J21</f>
        <v>3.6772222222222331</v>
      </c>
      <c r="J23" s="54">
        <f t="shared" si="1"/>
        <v>74.482222222222262</v>
      </c>
    </row>
    <row r="24" spans="1:10" x14ac:dyDescent="0.15">
      <c r="A24" s="48" t="s">
        <v>29</v>
      </c>
      <c r="B24" s="50">
        <f>边昊!K16</f>
        <v>60.926111111111148</v>
      </c>
      <c r="C24" s="50">
        <f>边昊!K17</f>
        <v>6.784999999999993</v>
      </c>
      <c r="D24" s="50">
        <f>边昊!K19</f>
        <v>0</v>
      </c>
      <c r="E24" s="50">
        <f>边昊!L16</f>
        <v>39.029722222222198</v>
      </c>
      <c r="F24" s="50">
        <f>边昊!L17</f>
        <v>0</v>
      </c>
      <c r="G24" s="50">
        <f>边昊!L19</f>
        <v>0</v>
      </c>
      <c r="H24" s="50">
        <f t="shared" si="0"/>
        <v>106.74083333333334</v>
      </c>
      <c r="I24" s="53">
        <f>边昊!J21</f>
        <v>2.5502777777777723</v>
      </c>
      <c r="J24" s="54">
        <f t="shared" si="1"/>
        <v>109.29111111111112</v>
      </c>
    </row>
    <row r="25" spans="1:10" x14ac:dyDescent="0.15">
      <c r="A25" s="51" t="s">
        <v>30</v>
      </c>
      <c r="B25" s="50">
        <f>张宗根!K16</f>
        <v>0</v>
      </c>
      <c r="C25" s="50">
        <f>张宗根!K17</f>
        <v>42.098055555555632</v>
      </c>
      <c r="D25" s="50">
        <f>张宗根!K19</f>
        <v>0</v>
      </c>
      <c r="E25" s="50">
        <f>张宗根!L16</f>
        <v>0</v>
      </c>
      <c r="F25" s="50">
        <f>张宗根!L17</f>
        <v>23.253055555555559</v>
      </c>
      <c r="G25" s="50">
        <f>张宗根!L19</f>
        <v>1.8099999999999838</v>
      </c>
      <c r="H25" s="50">
        <f t="shared" si="0"/>
        <v>67.161111111111182</v>
      </c>
      <c r="I25" s="53">
        <f>张宗根!J21</f>
        <v>0</v>
      </c>
      <c r="J25" s="54">
        <f t="shared" si="1"/>
        <v>67.161111111111182</v>
      </c>
    </row>
    <row r="26" spans="1:10" x14ac:dyDescent="0.15">
      <c r="A26" s="48" t="s">
        <v>31</v>
      </c>
      <c r="B26" s="50">
        <f>宋天霖!K16</f>
        <v>0</v>
      </c>
      <c r="C26" s="50">
        <f>宋天霖!K17</f>
        <v>0</v>
      </c>
      <c r="D26" s="50">
        <f>宋天霖!K19</f>
        <v>0</v>
      </c>
      <c r="E26" s="50">
        <f>宋天霖!L16</f>
        <v>0</v>
      </c>
      <c r="F26" s="50">
        <f>宋天霖!L17</f>
        <v>0</v>
      </c>
      <c r="G26" s="50">
        <f>宋天霖!L19</f>
        <v>0</v>
      </c>
      <c r="H26" s="50">
        <f t="shared" si="0"/>
        <v>0</v>
      </c>
      <c r="I26" s="53">
        <f>宋天霖!J21</f>
        <v>0</v>
      </c>
      <c r="J26" s="54">
        <f t="shared" si="1"/>
        <v>0</v>
      </c>
    </row>
    <row r="27" spans="1:10" x14ac:dyDescent="0.15">
      <c r="A27" s="51" t="s">
        <v>32</v>
      </c>
      <c r="B27" s="50">
        <f>蔡昊霖!K16</f>
        <v>0</v>
      </c>
      <c r="C27" s="50">
        <f>蔡昊霖!K17</f>
        <v>34.596111111111149</v>
      </c>
      <c r="D27" s="50">
        <f>蔡昊霖!K19</f>
        <v>0</v>
      </c>
      <c r="E27" s="50">
        <f>蔡昊霖!L16</f>
        <v>0</v>
      </c>
      <c r="F27" s="50">
        <f>蔡昊霖!L17</f>
        <v>21.38111111111111</v>
      </c>
      <c r="G27" s="50">
        <f>蔡昊霖!L19</f>
        <v>0</v>
      </c>
      <c r="H27" s="50">
        <f t="shared" si="0"/>
        <v>55.97722222222226</v>
      </c>
      <c r="I27" s="53">
        <f>蔡昊霖!J21</f>
        <v>1.0122222222222241</v>
      </c>
      <c r="J27" s="54">
        <f t="shared" si="1"/>
        <v>56.989444444444487</v>
      </c>
    </row>
    <row r="28" spans="1:10" x14ac:dyDescent="0.15">
      <c r="A28" s="51" t="s">
        <v>33</v>
      </c>
      <c r="B28" s="50">
        <f>叶大鹏!K16</f>
        <v>0</v>
      </c>
      <c r="C28" s="50">
        <f>叶大鹏!K17</f>
        <v>35.411111111111168</v>
      </c>
      <c r="D28" s="50">
        <f>叶大鹏!K19</f>
        <v>0</v>
      </c>
      <c r="E28" s="50">
        <f>叶大鹏!L16</f>
        <v>0</v>
      </c>
      <c r="F28" s="50">
        <f>叶大鹏!L17</f>
        <v>28.636666666666638</v>
      </c>
      <c r="G28" s="50">
        <f>叶大鹏!L19</f>
        <v>0</v>
      </c>
      <c r="H28" s="50">
        <f t="shared" si="0"/>
        <v>64.04777777777781</v>
      </c>
      <c r="I28" s="53">
        <f>叶大鹏!J21</f>
        <v>0.80194444444444768</v>
      </c>
      <c r="J28" s="54">
        <f t="shared" si="1"/>
        <v>64.849722222222255</v>
      </c>
    </row>
    <row r="29" spans="1:10" x14ac:dyDescent="0.15">
      <c r="A29" s="51" t="s">
        <v>34</v>
      </c>
      <c r="B29" s="50">
        <f>王建超!K16</f>
        <v>0</v>
      </c>
      <c r="C29" s="50">
        <f>王建超!K17</f>
        <v>35.33916666666665</v>
      </c>
      <c r="D29" s="50">
        <f>王建超!K19</f>
        <v>8.4097222222222321</v>
      </c>
      <c r="E29" s="50">
        <f>王建超!L16</f>
        <v>0</v>
      </c>
      <c r="F29" s="50">
        <f>王建超!L17</f>
        <v>26.461111111111023</v>
      </c>
      <c r="G29" s="50">
        <f>王建超!L19</f>
        <v>8.6744444444444362</v>
      </c>
      <c r="H29" s="50">
        <f t="shared" si="0"/>
        <v>78.884444444444341</v>
      </c>
      <c r="I29" s="53">
        <f>王建超!J21</f>
        <v>5.9766666666666959</v>
      </c>
      <c r="J29" s="54">
        <f t="shared" si="1"/>
        <v>84.861111111111043</v>
      </c>
    </row>
    <row r="30" spans="1:10" x14ac:dyDescent="0.15">
      <c r="A30" s="51" t="s">
        <v>35</v>
      </c>
      <c r="B30" s="50">
        <f>潘伟生!K16</f>
        <v>0</v>
      </c>
      <c r="C30" s="50">
        <f>潘伟生!K17</f>
        <v>29.732500000000009</v>
      </c>
      <c r="D30" s="50">
        <f>潘伟生!K19</f>
        <v>0</v>
      </c>
      <c r="E30" s="50">
        <f>潘伟生!L16</f>
        <v>0</v>
      </c>
      <c r="F30" s="50">
        <f>潘伟生!L17</f>
        <v>34.796666666666653</v>
      </c>
      <c r="G30" s="50">
        <f>潘伟生!L19</f>
        <v>0</v>
      </c>
      <c r="H30" s="50">
        <f t="shared" si="0"/>
        <v>64.529166666666669</v>
      </c>
      <c r="I30" s="53">
        <f>潘伟生!J21</f>
        <v>11.581388888888904</v>
      </c>
      <c r="J30" s="54">
        <f t="shared" si="1"/>
        <v>76.110555555555578</v>
      </c>
    </row>
    <row r="31" spans="1:10" x14ac:dyDescent="0.15">
      <c r="A31" s="48" t="s">
        <v>36</v>
      </c>
      <c r="B31" s="50">
        <f>王风瑞!K16</f>
        <v>0</v>
      </c>
      <c r="C31" s="50">
        <f>王风瑞!K17</f>
        <v>24.236388888888893</v>
      </c>
      <c r="D31" s="50">
        <f>王风瑞!K19</f>
        <v>0</v>
      </c>
      <c r="E31" s="50">
        <f>王风瑞!L16</f>
        <v>0</v>
      </c>
      <c r="F31" s="50">
        <f>王风瑞!L17</f>
        <v>29.318888888888846</v>
      </c>
      <c r="G31" s="50">
        <f>王风瑞!L19</f>
        <v>0</v>
      </c>
      <c r="H31" s="50">
        <f t="shared" si="0"/>
        <v>53.555277777777739</v>
      </c>
      <c r="I31" s="53">
        <f>王风瑞!J21</f>
        <v>17.107222222222227</v>
      </c>
      <c r="J31" s="54">
        <f t="shared" si="1"/>
        <v>70.662499999999966</v>
      </c>
    </row>
    <row r="32" spans="1:10" x14ac:dyDescent="0.15">
      <c r="A32" s="48" t="s">
        <v>37</v>
      </c>
      <c r="B32" s="50">
        <f>金鼎!K16</f>
        <v>42.665833333333346</v>
      </c>
      <c r="C32" s="50">
        <f>金鼎!K17</f>
        <v>6.8055555555555607</v>
      </c>
      <c r="D32" s="50">
        <f>金鼎!K19</f>
        <v>0</v>
      </c>
      <c r="E32" s="50">
        <f>金鼎!L16</f>
        <v>24.841388888888858</v>
      </c>
      <c r="F32" s="50">
        <f>金鼎!L17</f>
        <v>14.498611111111112</v>
      </c>
      <c r="G32" s="50">
        <f>金鼎!L19</f>
        <v>0</v>
      </c>
      <c r="H32" s="50">
        <f t="shared" si="0"/>
        <v>88.811388888888885</v>
      </c>
      <c r="I32" s="53">
        <f>金鼎!J21</f>
        <v>2.3355555555555592</v>
      </c>
      <c r="J32" s="54">
        <f t="shared" si="1"/>
        <v>91.146944444444443</v>
      </c>
    </row>
    <row r="33" spans="1:10" x14ac:dyDescent="0.15">
      <c r="A33" s="48" t="s">
        <v>38</v>
      </c>
      <c r="B33" s="50">
        <f>董志华!K16</f>
        <v>49.908611111111171</v>
      </c>
      <c r="C33" s="50">
        <f>董志华!K17</f>
        <v>10.290833333333349</v>
      </c>
      <c r="D33" s="50">
        <f>董志华!K19</f>
        <v>0</v>
      </c>
      <c r="E33" s="50">
        <f>董志华!L16</f>
        <v>22.766944444444416</v>
      </c>
      <c r="F33" s="50">
        <f>董志华!L17</f>
        <v>9.3291666666666586</v>
      </c>
      <c r="G33" s="50">
        <f>董志华!L19</f>
        <v>0</v>
      </c>
      <c r="H33" s="50">
        <f t="shared" si="0"/>
        <v>92.295555555555609</v>
      </c>
      <c r="I33" s="53">
        <f>董志华!J21</f>
        <v>3.3891666666666715</v>
      </c>
      <c r="J33" s="54">
        <f t="shared" si="1"/>
        <v>95.684722222222277</v>
      </c>
    </row>
    <row r="34" spans="1:10" x14ac:dyDescent="0.15">
      <c r="A34" s="51" t="s">
        <v>39</v>
      </c>
      <c r="B34" s="50">
        <f>姜文夫!K16</f>
        <v>49.205000000000055</v>
      </c>
      <c r="C34" s="50">
        <f>姜文夫!K17</f>
        <v>0</v>
      </c>
      <c r="D34" s="50">
        <f>姜文夫!K19</f>
        <v>0</v>
      </c>
      <c r="E34" s="50">
        <f>姜文夫!L16</f>
        <v>26.539444444444417</v>
      </c>
      <c r="F34" s="50">
        <f>姜文夫!L17</f>
        <v>2.2930555555555565</v>
      </c>
      <c r="G34" s="50">
        <f>姜文夫!L19</f>
        <v>0</v>
      </c>
      <c r="H34" s="50">
        <f t="shared" si="0"/>
        <v>78.037500000000023</v>
      </c>
      <c r="I34" s="53">
        <f>姜文夫!J21</f>
        <v>0</v>
      </c>
      <c r="J34" s="54">
        <f t="shared" si="1"/>
        <v>78.037500000000023</v>
      </c>
    </row>
    <row r="35" spans="1:10" x14ac:dyDescent="0.15">
      <c r="A35" s="51" t="s">
        <v>40</v>
      </c>
      <c r="B35" s="50">
        <f>郭永杰!K16</f>
        <v>40.276666666666699</v>
      </c>
      <c r="C35" s="50">
        <f>郭永杰!K17</f>
        <v>32.563888888888897</v>
      </c>
      <c r="D35" s="50">
        <f>郭永杰!K19</f>
        <v>0</v>
      </c>
      <c r="E35" s="50">
        <f>郭永杰!L16</f>
        <v>15.194444444444422</v>
      </c>
      <c r="F35" s="50">
        <f>郭永杰!L17</f>
        <v>14.618333333333302</v>
      </c>
      <c r="G35" s="50">
        <f>郭永杰!L19</f>
        <v>0</v>
      </c>
      <c r="H35" s="50">
        <f t="shared" si="0"/>
        <v>102.65333333333332</v>
      </c>
      <c r="I35" s="53">
        <f>郭永杰!J21</f>
        <v>0</v>
      </c>
      <c r="J35" s="54">
        <f t="shared" si="1"/>
        <v>102.65333333333332</v>
      </c>
    </row>
    <row r="36" spans="1:10" x14ac:dyDescent="0.15">
      <c r="A36" s="51" t="s">
        <v>41</v>
      </c>
      <c r="B36" s="50">
        <f>朱永春!K16</f>
        <v>0</v>
      </c>
      <c r="C36" s="50">
        <f>朱永春!K17</f>
        <v>35.053055555555609</v>
      </c>
      <c r="D36" s="50">
        <f>朱永春!K19</f>
        <v>0</v>
      </c>
      <c r="E36" s="50">
        <f>朱永春!L16</f>
        <v>0</v>
      </c>
      <c r="F36" s="50">
        <f>朱永春!L17</f>
        <v>24.220277777777824</v>
      </c>
      <c r="G36" s="50">
        <f>朱永春!L19</f>
        <v>0</v>
      </c>
      <c r="H36" s="50">
        <f t="shared" si="0"/>
        <v>59.273333333333433</v>
      </c>
      <c r="I36" s="53">
        <f>朱永春!J21</f>
        <v>5.2552777777777919</v>
      </c>
      <c r="J36" s="54">
        <f t="shared" si="1"/>
        <v>64.528611111111218</v>
      </c>
    </row>
    <row r="37" spans="1:10" x14ac:dyDescent="0.15">
      <c r="A37" s="48" t="s">
        <v>42</v>
      </c>
      <c r="B37" s="50">
        <f>刘琦!K16</f>
        <v>0</v>
      </c>
      <c r="C37" s="50">
        <f>刘琦!K17</f>
        <v>31.529722222222247</v>
      </c>
      <c r="D37" s="50">
        <f>刘琦!K19</f>
        <v>0</v>
      </c>
      <c r="E37" s="50">
        <f>刘琦!L16</f>
        <v>0</v>
      </c>
      <c r="F37" s="50">
        <f>刘琦!L17</f>
        <v>1.008611111111112</v>
      </c>
      <c r="G37" s="50">
        <f>刘琦!L19</f>
        <v>0</v>
      </c>
      <c r="H37" s="50">
        <f t="shared" si="0"/>
        <v>32.538333333333362</v>
      </c>
      <c r="I37" s="53">
        <f>刘琦!J21</f>
        <v>0</v>
      </c>
      <c r="J37" s="54">
        <f t="shared" si="1"/>
        <v>32.538333333333362</v>
      </c>
    </row>
    <row r="38" spans="1:10" x14ac:dyDescent="0.15">
      <c r="A38" s="51" t="s">
        <v>43</v>
      </c>
      <c r="B38" s="50">
        <f>吴疆!K16</f>
        <v>58.359722222222246</v>
      </c>
      <c r="C38" s="50">
        <f>吴疆!K17</f>
        <v>14.623055555555494</v>
      </c>
      <c r="D38" s="50">
        <f>吴疆!K19</f>
        <v>0</v>
      </c>
      <c r="E38" s="50">
        <f>吴疆!L16</f>
        <v>33.341944444444408</v>
      </c>
      <c r="F38" s="50">
        <f>吴疆!L17</f>
        <v>2.7</v>
      </c>
      <c r="G38" s="50">
        <f>吴疆!L19</f>
        <v>0</v>
      </c>
      <c r="H38" s="50">
        <f t="shared" si="0"/>
        <v>109.02472222222215</v>
      </c>
      <c r="I38" s="53">
        <f>吴疆!J21</f>
        <v>0</v>
      </c>
      <c r="J38" s="54">
        <f t="shared" si="1"/>
        <v>109.02472222222215</v>
      </c>
    </row>
    <row r="39" spans="1:10" x14ac:dyDescent="0.15">
      <c r="A39" s="48" t="s">
        <v>44</v>
      </c>
      <c r="B39" s="50">
        <f>巴富毅!K16</f>
        <v>0</v>
      </c>
      <c r="C39" s="50">
        <f>巴富毅!K17</f>
        <v>29.894999999999953</v>
      </c>
      <c r="D39" s="50">
        <f>巴富毅!K19</f>
        <v>0</v>
      </c>
      <c r="E39" s="50">
        <f>巴富毅!L16</f>
        <v>0</v>
      </c>
      <c r="F39" s="50">
        <f>巴富毅!L17</f>
        <v>1.3947222222222218</v>
      </c>
      <c r="G39" s="50">
        <f>巴富毅!L19</f>
        <v>0</v>
      </c>
      <c r="H39" s="50">
        <f t="shared" si="0"/>
        <v>31.289722222222174</v>
      </c>
      <c r="I39" s="53">
        <f>巴富毅!J21</f>
        <v>0</v>
      </c>
      <c r="J39" s="54">
        <f t="shared" si="1"/>
        <v>31.289722222222174</v>
      </c>
    </row>
    <row r="40" spans="1:10" x14ac:dyDescent="0.15">
      <c r="A40" s="51" t="s">
        <v>45</v>
      </c>
      <c r="B40" s="50">
        <f>陈宏伟!K16</f>
        <v>0</v>
      </c>
      <c r="C40" s="50">
        <f>陈宏伟!K17</f>
        <v>28.354444444444468</v>
      </c>
      <c r="D40" s="50">
        <f>陈宏伟!K19</f>
        <v>0</v>
      </c>
      <c r="E40" s="50">
        <f>陈宏伟!L16</f>
        <v>0</v>
      </c>
      <c r="F40" s="50">
        <f>陈宏伟!L17</f>
        <v>25.999722222222154</v>
      </c>
      <c r="G40" s="50">
        <f>陈宏伟!L19</f>
        <v>0</v>
      </c>
      <c r="H40" s="50">
        <f t="shared" si="0"/>
        <v>54.354166666666622</v>
      </c>
      <c r="I40" s="53">
        <f>陈宏伟!J21</f>
        <v>3.2122222222222083</v>
      </c>
      <c r="J40" s="54">
        <f t="shared" si="1"/>
        <v>57.566388888888831</v>
      </c>
    </row>
    <row r="41" spans="1:10" x14ac:dyDescent="0.15">
      <c r="A41" s="48" t="s">
        <v>46</v>
      </c>
      <c r="B41" s="50">
        <f>蒋露裕!K16</f>
        <v>0</v>
      </c>
      <c r="C41" s="50">
        <f>蒋露裕!K17</f>
        <v>13.922777777777732</v>
      </c>
      <c r="D41" s="50">
        <f>蒋露裕!K19</f>
        <v>0</v>
      </c>
      <c r="E41" s="50">
        <f>蒋露裕!L16</f>
        <v>0</v>
      </c>
      <c r="F41" s="50">
        <f>蒋露裕!L17</f>
        <v>10.088888888888903</v>
      </c>
      <c r="G41" s="50">
        <f>蒋露裕!L19</f>
        <v>0</v>
      </c>
      <c r="H41" s="50">
        <f t="shared" ref="H41:H42" si="2">SUM(B41:G41)</f>
        <v>24.011666666666635</v>
      </c>
      <c r="I41" s="53">
        <f>蒋露裕!J21</f>
        <v>1.4102777777777762</v>
      </c>
      <c r="J41" s="54">
        <f t="shared" si="1"/>
        <v>25.42194444444441</v>
      </c>
    </row>
    <row r="42" spans="1:10" x14ac:dyDescent="0.15">
      <c r="A42" s="48" t="s">
        <v>47</v>
      </c>
      <c r="B42" s="50">
        <f>蓝宇航!K16</f>
        <v>0</v>
      </c>
      <c r="C42" s="50">
        <f>蓝宇航!K17</f>
        <v>43.39166666666668</v>
      </c>
      <c r="D42" s="50">
        <f>蓝宇航!K19</f>
        <v>0</v>
      </c>
      <c r="E42" s="50">
        <f>蓝宇航!L16</f>
        <v>0</v>
      </c>
      <c r="F42" s="50">
        <f>蓝宇航!L17</f>
        <v>26.426944444444487</v>
      </c>
      <c r="G42" s="50">
        <f>蓝宇航!L19</f>
        <v>0</v>
      </c>
      <c r="H42" s="50">
        <f t="shared" si="2"/>
        <v>69.818611111111167</v>
      </c>
      <c r="I42" s="53">
        <f>蓝宇航!J21</f>
        <v>5.3297222222222391</v>
      </c>
      <c r="J42" s="54">
        <f t="shared" si="1"/>
        <v>75.148333333333412</v>
      </c>
    </row>
  </sheetData>
  <mergeCells count="5">
    <mergeCell ref="B3:D3"/>
    <mergeCell ref="E3:G3"/>
    <mergeCell ref="H3:H4"/>
    <mergeCell ref="I3:I4"/>
    <mergeCell ref="B1:G2"/>
  </mergeCells>
  <phoneticPr fontId="17" type="noConversion"/>
  <hyperlinks>
    <hyperlink ref="A5" location="'温若春'!A1" display="温若春"/>
    <hyperlink ref="A6" location="'明嘉'!A1" display="明嘉"/>
    <hyperlink ref="A7" location="'徐万友'!A1" display="徐万友"/>
    <hyperlink ref="A8" location="耿若岩!A1" display="耿若岩"/>
    <hyperlink ref="A9" location="'李明'!A1" display="李明"/>
    <hyperlink ref="A10" location="'张虎'!A1" display="张虎"/>
    <hyperlink ref="A11" location="'马莲花'!A1" display="马莲花"/>
    <hyperlink ref="A12" location="'刘国莲'!A1" display="刘国莲"/>
    <hyperlink ref="A13" location="'杜涛'!A1" display="杜涛"/>
    <hyperlink ref="A14" location="'张文中'!A1" display="张文中"/>
    <hyperlink ref="A15" location="'李秋实'!A1" display="李秋实"/>
    <hyperlink ref="A16" location="'周岸'!A1" display="周岸"/>
    <hyperlink ref="A17" location="'詹泽彬'!A1" display="詹泽彬"/>
    <hyperlink ref="A18" location="'张笑延'!A1" display="张笑延"/>
    <hyperlink ref="A19" location="'沈宁'!A1" display="沈宁"/>
    <hyperlink ref="A20" location="'胡鑫'!A1" display="胡鑫"/>
    <hyperlink ref="A21" location="'邓心豪'!A1" display="邓心豪"/>
    <hyperlink ref="A22" location="'黄恩'!A1" display="黄恩"/>
    <hyperlink ref="A23" location="'严亮'!A1" display="严亮"/>
    <hyperlink ref="A24" location="'边昊'!A1" display="边昊"/>
    <hyperlink ref="A25" location="'张宗根'!A1" display="张宗根"/>
    <hyperlink ref="A26" location="'宋天霖'!A1" display="宋天霖"/>
    <hyperlink ref="A27" location="'蔡昊霖'!A1" display="蔡昊霖"/>
    <hyperlink ref="A28" location="'叶大鹏'!A1" display="叶大鹏"/>
    <hyperlink ref="A29" location="'王建超'!A1" display="王建超"/>
    <hyperlink ref="A30" location="'潘伟生'!A1" display="潘伟生"/>
    <hyperlink ref="A31" location="'王风瑞'!A1" display="王风瑞"/>
    <hyperlink ref="A32" location="'金鼎'!A1" display="金鼎"/>
    <hyperlink ref="A33" location="'董志华'!A1" display="董志华"/>
    <hyperlink ref="A34" location="'姜文夫'!A1" display="姜文夫"/>
    <hyperlink ref="A35" location="'郭永杰'!A1" display="郭永杰"/>
    <hyperlink ref="A36" location="'朱永春'!A1" display="朱永春"/>
    <hyperlink ref="A37" location="'刘琦'!A1" display="刘琦"/>
    <hyperlink ref="A38" location="'吴疆'!A1" display="吴疆"/>
    <hyperlink ref="A39" location="'巴富毅'!A1" display="巴富毅"/>
    <hyperlink ref="A40" location="'陈宏伟'!A1" display="陈宏伟"/>
    <hyperlink ref="A41" location="'蒋露裕'!A1" display="蒋露裕"/>
    <hyperlink ref="A42" location="'蓝宇航'!A1" display="蓝宇航"/>
  </hyperlinks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46144.354022106498</v>
      </c>
      <c r="B3" s="5" t="s">
        <v>61</v>
      </c>
      <c r="C3" s="11">
        <v>0.35401620370370401</v>
      </c>
      <c r="D3" s="11" t="s">
        <v>62</v>
      </c>
      <c r="E3" s="11">
        <v>0.49344907407407401</v>
      </c>
      <c r="F3" s="12">
        <f t="shared" ref="F3:F42" si="1">(IF(E3-C3&lt;0,"24:00"-C3+E3,E3-C3))*24</f>
        <v>3.34638888888888</v>
      </c>
      <c r="G3" s="13">
        <f t="shared" ref="G3:G42" si="2">F3-H3</f>
        <v>3.34638888888888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65.531388888888955</v>
      </c>
      <c r="K3" s="18">
        <f>SUMIF(B:B,"带班主任",G:G)</f>
        <v>39.659444444444496</v>
      </c>
      <c r="L3" s="18">
        <f>SUMIF(B:B,"带班主任",H:H)</f>
        <v>25.871944444444459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46144.807853819402</v>
      </c>
      <c r="B4" s="5" t="s">
        <v>64</v>
      </c>
      <c r="C4" s="11">
        <v>0.80784722222222205</v>
      </c>
      <c r="D4" s="11" t="s">
        <v>62</v>
      </c>
      <c r="E4" s="11">
        <v>0.94804398148148195</v>
      </c>
      <c r="F4" s="12">
        <f t="shared" si="1"/>
        <v>3.3647222222222375</v>
      </c>
      <c r="G4" s="13">
        <f t="shared" si="2"/>
        <v>3.3647222222222375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8.1344444444444406</v>
      </c>
      <c r="K4" s="23">
        <f>SUMIF(B:B,"西塔台管制席",G:G)+SUMIF(B:B,"东塔台管制席",G:G)</f>
        <v>7.3291666666666808</v>
      </c>
      <c r="L4" s="23">
        <f>SUMIF(B:B,"西塔台管制席",H:H)+SUMIF(B:B,"东塔台管制席",H:H)</f>
        <v>0.80527777777776022</v>
      </c>
      <c r="M4" s="19"/>
    </row>
    <row r="5" spans="1:16" ht="18.75" x14ac:dyDescent="0.25">
      <c r="A5" s="10">
        <f t="shared" ca="1" si="0"/>
        <v>46145.373979398202</v>
      </c>
      <c r="B5" s="5" t="s">
        <v>61</v>
      </c>
      <c r="C5" s="11">
        <v>0.37396990740740699</v>
      </c>
      <c r="D5" s="11" t="s">
        <v>62</v>
      </c>
      <c r="E5" s="11">
        <v>0.49678240740740698</v>
      </c>
      <c r="F5" s="12">
        <f t="shared" si="1"/>
        <v>2.9474999999999998</v>
      </c>
      <c r="G5" s="13">
        <f t="shared" si="2"/>
        <v>2.9474999999999998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6.0022222222222341</v>
      </c>
      <c r="K5" s="23">
        <f>SUMIF(B:B,"西塔台协调席",G:G)+SUMIF(B:B,"东塔台协调席",G:G)</f>
        <v>6.0022222222222341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46145.511405324098</v>
      </c>
      <c r="B6" s="5" t="s">
        <v>64</v>
      </c>
      <c r="C6" s="11">
        <v>0.51140046296296304</v>
      </c>
      <c r="D6" s="11" t="s">
        <v>62</v>
      </c>
      <c r="E6" s="11">
        <v>0.54966435185185203</v>
      </c>
      <c r="F6" s="12">
        <f t="shared" si="1"/>
        <v>0.91833333333333567</v>
      </c>
      <c r="G6" s="13">
        <f t="shared" si="2"/>
        <v>0.91833333333333567</v>
      </c>
      <c r="H6" s="13">
        <f t="shared" si="3"/>
        <v>0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46146.138885648099</v>
      </c>
      <c r="B7" s="5" t="s">
        <v>64</v>
      </c>
      <c r="C7" s="11">
        <v>0.93818287037036996</v>
      </c>
      <c r="D7" s="11" t="s">
        <v>62</v>
      </c>
      <c r="E7" s="11">
        <v>0.13916666666666699</v>
      </c>
      <c r="F7" s="12">
        <f t="shared" si="1"/>
        <v>4.8236111111111288</v>
      </c>
      <c r="G7" s="13">
        <f t="shared" si="2"/>
        <v>1.483611111111121</v>
      </c>
      <c r="H7" s="13">
        <f t="shared" si="3"/>
        <v>3.3400000000000079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46148.547749074103</v>
      </c>
      <c r="B8" s="5" t="s">
        <v>64</v>
      </c>
      <c r="C8" s="11">
        <v>0.54774305555555602</v>
      </c>
      <c r="D8" s="11" t="s">
        <v>62</v>
      </c>
      <c r="E8" s="11">
        <v>0.81137731481481501</v>
      </c>
      <c r="F8" s="12">
        <f t="shared" si="1"/>
        <v>6.3272222222222156</v>
      </c>
      <c r="G8" s="13">
        <f t="shared" si="2"/>
        <v>6.3272222222222156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46149.132429282399</v>
      </c>
      <c r="B9" s="5" t="s">
        <v>64</v>
      </c>
      <c r="C9" s="11">
        <v>0.13241898148148101</v>
      </c>
      <c r="D9" s="11" t="s">
        <v>62</v>
      </c>
      <c r="E9" s="11">
        <v>0.28472222222222199</v>
      </c>
      <c r="F9" s="12">
        <f t="shared" si="1"/>
        <v>3.6552777777777834</v>
      </c>
      <c r="G9" s="13">
        <f t="shared" si="2"/>
        <v>0</v>
      </c>
      <c r="H9" s="13">
        <f t="shared" si="3"/>
        <v>3.6552777777777834</v>
      </c>
      <c r="I9" s="21" t="s">
        <v>70</v>
      </c>
      <c r="J9" s="22">
        <f>SUMIF(B:B,"航班调度席",F:F)</f>
        <v>6.2938888888888798</v>
      </c>
      <c r="K9" s="23">
        <f>SUMIF(B:B,"航班调度席",G:G)</f>
        <v>6.2938888888888798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46149.7922322917</v>
      </c>
      <c r="B10" s="5" t="s">
        <v>64</v>
      </c>
      <c r="C10" s="11">
        <v>0.79222222222222205</v>
      </c>
      <c r="D10" s="11" t="s">
        <v>62</v>
      </c>
      <c r="E10" s="11">
        <v>0.94517361111111098</v>
      </c>
      <c r="F10" s="12">
        <f t="shared" si="1"/>
        <v>3.6708333333333343</v>
      </c>
      <c r="G10" s="13">
        <f t="shared" si="2"/>
        <v>3.6708333333333343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46150.293535995399</v>
      </c>
      <c r="B11" s="5" t="s">
        <v>64</v>
      </c>
      <c r="C11" s="11">
        <v>0.29353009259259299</v>
      </c>
      <c r="D11" s="11" t="s">
        <v>62</v>
      </c>
      <c r="E11" s="11">
        <v>0.362951388888889</v>
      </c>
      <c r="F11" s="12">
        <f t="shared" si="1"/>
        <v>1.6661111111111042</v>
      </c>
      <c r="G11" s="13">
        <f t="shared" si="2"/>
        <v>0.71083333333334453</v>
      </c>
      <c r="H11" s="13">
        <f t="shared" si="3"/>
        <v>0.95527777777775968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46152.93635625</v>
      </c>
      <c r="B12" s="5" t="s">
        <v>64</v>
      </c>
      <c r="C12" s="11">
        <v>0.93635416666666704</v>
      </c>
      <c r="D12" s="11" t="s">
        <v>62</v>
      </c>
      <c r="E12" s="11">
        <v>0.13793981481481499</v>
      </c>
      <c r="F12" s="12">
        <f t="shared" si="1"/>
        <v>4.8380555555555507</v>
      </c>
      <c r="G12" s="13">
        <f t="shared" si="2"/>
        <v>1.527499999999991</v>
      </c>
      <c r="H12" s="13">
        <f t="shared" si="3"/>
        <v>3.3105555555555597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46153.543825000001</v>
      </c>
      <c r="B13" s="5" t="s">
        <v>64</v>
      </c>
      <c r="C13" s="11">
        <v>0.54381944444444397</v>
      </c>
      <c r="D13" s="11" t="s">
        <v>62</v>
      </c>
      <c r="E13" s="11">
        <v>0.62721064814814798</v>
      </c>
      <c r="F13" s="12">
        <f t="shared" si="1"/>
        <v>2.0013888888888962</v>
      </c>
      <c r="G13" s="13">
        <f t="shared" si="2"/>
        <v>2.0013888888888962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46153.627254629602</v>
      </c>
      <c r="B14" s="5" t="s">
        <v>75</v>
      </c>
      <c r="C14" s="11">
        <v>0.62724537037036998</v>
      </c>
      <c r="D14" s="11" t="s">
        <v>62</v>
      </c>
      <c r="E14" s="11">
        <v>0.74292824074074104</v>
      </c>
      <c r="F14" s="12">
        <f t="shared" si="1"/>
        <v>2.7763888888889054</v>
      </c>
      <c r="G14" s="13">
        <f t="shared" si="2"/>
        <v>2.7763888888889054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46153.7569881944</v>
      </c>
      <c r="B15" s="5" t="s">
        <v>75</v>
      </c>
      <c r="C15" s="11">
        <v>0.75697916666666698</v>
      </c>
      <c r="D15" s="11" t="s">
        <v>62</v>
      </c>
      <c r="E15" s="11">
        <v>0.76907407407407402</v>
      </c>
      <c r="F15" s="12">
        <f t="shared" si="1"/>
        <v>0.29027777777776897</v>
      </c>
      <c r="G15" s="13">
        <f t="shared" si="2"/>
        <v>0.29027777777776897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46154.129624189802</v>
      </c>
      <c r="B16" s="5" t="s">
        <v>64</v>
      </c>
      <c r="C16" s="11">
        <v>0.129618055555556</v>
      </c>
      <c r="D16" s="11" t="s">
        <v>62</v>
      </c>
      <c r="E16" s="11">
        <v>0.30026620370370399</v>
      </c>
      <c r="F16" s="12">
        <f t="shared" si="1"/>
        <v>4.0955555555555518</v>
      </c>
      <c r="G16" s="13">
        <f t="shared" si="2"/>
        <v>0</v>
      </c>
      <c r="H16" s="13">
        <f t="shared" si="3"/>
        <v>4.0955555555555518</v>
      </c>
      <c r="I16" s="35" t="s">
        <v>63</v>
      </c>
      <c r="J16" s="36">
        <f t="shared" ref="J16:L16" si="4">J3</f>
        <v>65.531388888888955</v>
      </c>
      <c r="K16" s="37">
        <f t="shared" si="4"/>
        <v>39.659444444444496</v>
      </c>
      <c r="L16" s="38">
        <f t="shared" si="4"/>
        <v>25.871944444444459</v>
      </c>
      <c r="M16" s="39"/>
    </row>
    <row r="17" spans="1:13" ht="20.25" x14ac:dyDescent="0.25">
      <c r="A17" s="10">
        <f t="shared" ca="1" si="0"/>
        <v>46156.357398726897</v>
      </c>
      <c r="B17" s="5" t="s">
        <v>64</v>
      </c>
      <c r="C17" s="11">
        <v>0.35739583333333302</v>
      </c>
      <c r="D17" s="11" t="s">
        <v>62</v>
      </c>
      <c r="E17" s="11">
        <v>0.49481481481481498</v>
      </c>
      <c r="F17" s="12">
        <f t="shared" si="1"/>
        <v>3.2980555555555671</v>
      </c>
      <c r="G17" s="13">
        <f t="shared" si="2"/>
        <v>3.2980555555555671</v>
      </c>
      <c r="H17" s="13">
        <f t="shared" si="3"/>
        <v>0</v>
      </c>
      <c r="I17" s="35" t="s">
        <v>77</v>
      </c>
      <c r="J17" s="36">
        <f>J4+J5+J6+J7+J10</f>
        <v>14.136666666666674</v>
      </c>
      <c r="K17" s="37">
        <f>K4+K5+K6+K7+K10</f>
        <v>13.331388888888915</v>
      </c>
      <c r="L17" s="38">
        <f>L4+L5+L6+L7+L10</f>
        <v>0.80527777777776022</v>
      </c>
      <c r="M17" s="39"/>
    </row>
    <row r="18" spans="1:13" ht="20.25" x14ac:dyDescent="0.25">
      <c r="A18" s="10">
        <f t="shared" ca="1" si="0"/>
        <v>46156.509299652796</v>
      </c>
      <c r="B18" s="5" t="s">
        <v>64</v>
      </c>
      <c r="C18" s="11">
        <v>0.50929398148148197</v>
      </c>
      <c r="D18" s="11" t="s">
        <v>62</v>
      </c>
      <c r="E18" s="11">
        <v>0.52833333333333299</v>
      </c>
      <c r="F18" s="12">
        <f t="shared" si="1"/>
        <v>0.45694444444442439</v>
      </c>
      <c r="G18" s="13">
        <f t="shared" si="2"/>
        <v>0.45694444444442439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46156.794289699101</v>
      </c>
      <c r="B19" s="5" t="s">
        <v>64</v>
      </c>
      <c r="C19" s="11">
        <v>0.79428240740740697</v>
      </c>
      <c r="D19" s="11" t="s">
        <v>62</v>
      </c>
      <c r="E19" s="11">
        <v>0.94472222222222202</v>
      </c>
      <c r="F19" s="12">
        <f t="shared" si="1"/>
        <v>3.6105555555555613</v>
      </c>
      <c r="G19" s="13">
        <f t="shared" si="2"/>
        <v>3.6105555555555613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46157.299787731499</v>
      </c>
      <c r="B20" s="5" t="s">
        <v>79</v>
      </c>
      <c r="C20" s="11">
        <v>0.29978009259259297</v>
      </c>
      <c r="D20" s="11" t="s">
        <v>62</v>
      </c>
      <c r="E20" s="11">
        <v>0.42509259259259302</v>
      </c>
      <c r="F20" s="12">
        <f t="shared" si="1"/>
        <v>3.0075000000000012</v>
      </c>
      <c r="G20" s="13">
        <f t="shared" si="2"/>
        <v>2.202222222222241</v>
      </c>
      <c r="H20" s="13">
        <f t="shared" si="3"/>
        <v>0.80527777777776022</v>
      </c>
      <c r="I20" s="40" t="s">
        <v>80</v>
      </c>
      <c r="J20" s="65">
        <f>J16+J17+J18+J19</f>
        <v>79.668055555555625</v>
      </c>
      <c r="K20" s="66"/>
      <c r="L20" s="67"/>
      <c r="M20" s="41"/>
    </row>
    <row r="21" spans="1:13" ht="20.25" x14ac:dyDescent="0.25">
      <c r="A21" s="10">
        <f t="shared" ca="1" si="0"/>
        <v>46157.508734027797</v>
      </c>
      <c r="B21" s="5" t="s">
        <v>75</v>
      </c>
      <c r="C21" s="11">
        <v>0.50872685185185196</v>
      </c>
      <c r="D21" s="11" t="s">
        <v>62</v>
      </c>
      <c r="E21" s="11">
        <v>0.63104166666666694</v>
      </c>
      <c r="F21" s="12">
        <f t="shared" si="1"/>
        <v>2.9355555555555597</v>
      </c>
      <c r="G21" s="13">
        <f t="shared" si="2"/>
        <v>2.9355555555555597</v>
      </c>
      <c r="H21" s="13">
        <f t="shared" si="3"/>
        <v>0</v>
      </c>
      <c r="I21" s="42" t="s">
        <v>4</v>
      </c>
      <c r="J21" s="43">
        <f>SUM(J8:J9)</f>
        <v>6.2938888888888798</v>
      </c>
      <c r="K21" s="37">
        <f>SUM(K8:K9)</f>
        <v>6.2938888888888798</v>
      </c>
      <c r="L21" s="38">
        <f>SUM(L8:L9)</f>
        <v>0</v>
      </c>
      <c r="M21" s="44"/>
    </row>
    <row r="22" spans="1:13" ht="18.75" x14ac:dyDescent="0.15">
      <c r="A22" s="10">
        <f t="shared" ca="1" si="0"/>
        <v>46157.751840740697</v>
      </c>
      <c r="B22" s="5" t="s">
        <v>79</v>
      </c>
      <c r="C22" s="11">
        <v>0.75184027777777795</v>
      </c>
      <c r="D22" s="11" t="s">
        <v>62</v>
      </c>
      <c r="E22" s="11">
        <v>0.84065972222222196</v>
      </c>
      <c r="F22" s="12">
        <f t="shared" si="1"/>
        <v>2.1316666666666562</v>
      </c>
      <c r="G22" s="13">
        <f t="shared" si="2"/>
        <v>2.1316666666666562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46168.936233101798</v>
      </c>
      <c r="B23" s="5" t="s">
        <v>64</v>
      </c>
      <c r="C23" s="11">
        <v>0.93622685185185195</v>
      </c>
      <c r="D23" s="11" t="s">
        <v>62</v>
      </c>
      <c r="E23" s="11">
        <v>0.13726851851851901</v>
      </c>
      <c r="F23" s="12">
        <f t="shared" si="1"/>
        <v>4.8250000000000099</v>
      </c>
      <c r="G23" s="13">
        <f t="shared" si="2"/>
        <v>1.5305555555555537</v>
      </c>
      <c r="H23" s="13">
        <f t="shared" si="3"/>
        <v>3.2944444444444563</v>
      </c>
      <c r="I23"/>
      <c r="J23"/>
    </row>
    <row r="24" spans="1:13" ht="18.75" x14ac:dyDescent="0.15">
      <c r="A24" s="10">
        <f t="shared" ca="1" si="0"/>
        <v>46169.542219675903</v>
      </c>
      <c r="B24" s="5" t="s">
        <v>64</v>
      </c>
      <c r="C24" s="11">
        <v>0.54221064814814801</v>
      </c>
      <c r="D24" s="11" t="s">
        <v>62</v>
      </c>
      <c r="E24" s="11">
        <v>0.62844907407407402</v>
      </c>
      <c r="F24" s="12">
        <f t="shared" si="1"/>
        <v>2.0697222222222242</v>
      </c>
      <c r="G24" s="13">
        <f t="shared" si="2"/>
        <v>2.0697222222222242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46169.628484259301</v>
      </c>
      <c r="B25" s="5" t="s">
        <v>79</v>
      </c>
      <c r="C25" s="11">
        <v>0.62848379629629603</v>
      </c>
      <c r="D25" s="11" t="s">
        <v>62</v>
      </c>
      <c r="E25" s="11">
        <v>0.75328703703703703</v>
      </c>
      <c r="F25" s="12">
        <f t="shared" si="1"/>
        <v>2.9952777777777841</v>
      </c>
      <c r="G25" s="13">
        <f t="shared" si="2"/>
        <v>2.9952777777777841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46169.763038773097</v>
      </c>
      <c r="B26" s="5" t="s">
        <v>64</v>
      </c>
      <c r="C26" s="11">
        <v>0.753310185185185</v>
      </c>
      <c r="D26" s="11" t="s">
        <v>62</v>
      </c>
      <c r="E26" s="11">
        <v>0.79751157407407403</v>
      </c>
      <c r="F26" s="12">
        <f t="shared" si="1"/>
        <v>1.0608333333333366</v>
      </c>
      <c r="G26" s="13">
        <f t="shared" si="2"/>
        <v>1.0608333333333366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46170.132100925897</v>
      </c>
      <c r="B27" s="5" t="s">
        <v>64</v>
      </c>
      <c r="C27" s="11">
        <v>0.13209490740740701</v>
      </c>
      <c r="D27" s="11" t="s">
        <v>62</v>
      </c>
      <c r="E27" s="11">
        <v>0.29511574074074098</v>
      </c>
      <c r="F27" s="12">
        <f t="shared" si="1"/>
        <v>3.9125000000000156</v>
      </c>
      <c r="G27" s="13">
        <f t="shared" si="2"/>
        <v>0</v>
      </c>
      <c r="H27" s="13">
        <f t="shared" si="3"/>
        <v>3.9125000000000156</v>
      </c>
      <c r="I27"/>
      <c r="J27"/>
    </row>
    <row r="28" spans="1:13" ht="18.75" x14ac:dyDescent="0.15">
      <c r="A28" s="10">
        <f t="shared" ca="1" si="0"/>
        <v>46172.938047685202</v>
      </c>
      <c r="B28" s="5" t="s">
        <v>64</v>
      </c>
      <c r="C28" s="11">
        <v>0.93804398148148105</v>
      </c>
      <c r="D28" s="11" t="s">
        <v>62</v>
      </c>
      <c r="E28" s="11">
        <v>0.13784722222222201</v>
      </c>
      <c r="F28" s="12">
        <f t="shared" si="1"/>
        <v>4.7952777777777831</v>
      </c>
      <c r="G28" s="13">
        <f t="shared" si="2"/>
        <v>1.4869444444444548</v>
      </c>
      <c r="H28" s="13">
        <f t="shared" si="3"/>
        <v>3.3083333333333282</v>
      </c>
      <c r="I28"/>
      <c r="J28"/>
    </row>
    <row r="29" spans="1:13" ht="18.75" x14ac:dyDescent="0.15">
      <c r="A29" s="10">
        <f t="shared" ca="1" si="0"/>
        <v>46173.543724074101</v>
      </c>
      <c r="B29" s="5" t="s">
        <v>64</v>
      </c>
      <c r="C29" s="11">
        <v>0.54371527777777795</v>
      </c>
      <c r="D29" s="11" t="s">
        <v>62</v>
      </c>
      <c r="E29" s="11">
        <v>0.79960648148148195</v>
      </c>
      <c r="F29" s="12">
        <f t="shared" si="1"/>
        <v>6.1413888888888959</v>
      </c>
      <c r="G29" s="13">
        <f t="shared" si="2"/>
        <v>6.1413888888888959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46144.503522106497</v>
      </c>
      <c r="B3" s="5" t="s">
        <v>81</v>
      </c>
      <c r="C3" s="11">
        <v>0.50351851851851903</v>
      </c>
      <c r="D3" s="11" t="s">
        <v>62</v>
      </c>
      <c r="E3" s="11">
        <v>0.62991898148148195</v>
      </c>
      <c r="F3" s="12">
        <f t="shared" ref="F3:F42" si="1">(IF(E3-C3&lt;0,"24:00"-C3+E3,E3-C3))*24</f>
        <v>3.0336111111111101</v>
      </c>
      <c r="G3" s="13">
        <f t="shared" ref="G3:G42" si="2">F3-H3</f>
        <v>3.0336111111111101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46144.754701620397</v>
      </c>
      <c r="B4" s="5" t="s">
        <v>82</v>
      </c>
      <c r="C4" s="11">
        <v>0.75469907407407399</v>
      </c>
      <c r="D4" s="11" t="s">
        <v>62</v>
      </c>
      <c r="E4" s="11">
        <v>0.87937500000000002</v>
      </c>
      <c r="F4" s="12">
        <f t="shared" si="1"/>
        <v>2.9922222222222246</v>
      </c>
      <c r="G4" s="13">
        <f t="shared" si="2"/>
        <v>2.9922222222222246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34.334166666666633</v>
      </c>
      <c r="K4" s="23">
        <f>SUMIF(B:B,"西塔台管制席",G:G)+SUMIF(B:B,"东塔台管制席",G:G)</f>
        <v>23.75027777777774</v>
      </c>
      <c r="L4" s="23">
        <f>SUMIF(B:B,"西塔台管制席",H:H)+SUMIF(B:B,"东塔台管制席",H:H)</f>
        <v>10.583888888888895</v>
      </c>
      <c r="M4" s="19"/>
    </row>
    <row r="5" spans="1:16" ht="18.75" x14ac:dyDescent="0.25">
      <c r="A5" s="10">
        <f t="shared" ca="1" si="0"/>
        <v>46145.4601078704</v>
      </c>
      <c r="B5" s="5" t="s">
        <v>75</v>
      </c>
      <c r="C5" s="11">
        <v>0.46010416666666698</v>
      </c>
      <c r="D5" s="11" t="s">
        <v>62</v>
      </c>
      <c r="E5" s="11">
        <v>0.50572916666666701</v>
      </c>
      <c r="F5" s="12">
        <f t="shared" si="1"/>
        <v>1.0950000000000006</v>
      </c>
      <c r="G5" s="13">
        <f t="shared" si="2"/>
        <v>1.0950000000000006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23.948055555555548</v>
      </c>
      <c r="K5" s="23">
        <f>SUMIF(B:B,"西塔台协调席",G:G)+SUMIF(B:B,"东塔台协调席",G:G)</f>
        <v>18.449722222222224</v>
      </c>
      <c r="L5" s="23">
        <f>SUMIF(B:B,"西塔台协调席",H:H)+SUMIF(B:B,"东塔台协调席",H:H)</f>
        <v>5.4983333333333224</v>
      </c>
      <c r="M5" s="19"/>
    </row>
    <row r="6" spans="1:16" ht="18.75" x14ac:dyDescent="0.25">
      <c r="A6" s="10">
        <f t="shared" ca="1" si="0"/>
        <v>46145.585875231503</v>
      </c>
      <c r="B6" s="5" t="s">
        <v>75</v>
      </c>
      <c r="C6" s="11">
        <v>0.58586805555555599</v>
      </c>
      <c r="D6" s="11" t="s">
        <v>62</v>
      </c>
      <c r="E6" s="11">
        <v>0.76119212962963001</v>
      </c>
      <c r="F6" s="12">
        <f t="shared" si="1"/>
        <v>4.2077777777777765</v>
      </c>
      <c r="G6" s="13">
        <f t="shared" si="2"/>
        <v>4.2077777777777765</v>
      </c>
      <c r="H6" s="13">
        <f t="shared" si="3"/>
        <v>0</v>
      </c>
      <c r="I6" s="21" t="s">
        <v>67</v>
      </c>
      <c r="J6" s="22">
        <f>SUMIF(B:B,"放行席",F:F)</f>
        <v>2.1847222222222085</v>
      </c>
      <c r="K6" s="23">
        <f>SUMIF(B:B,"放行席",G:G)</f>
        <v>0</v>
      </c>
      <c r="L6" s="23">
        <f>SUMIF(B:B,"放行席",H:H)</f>
        <v>2.1847222222222085</v>
      </c>
      <c r="M6" s="19"/>
    </row>
    <row r="7" spans="1:16" ht="18.75" x14ac:dyDescent="0.25">
      <c r="A7" s="10">
        <f t="shared" ca="1" si="0"/>
        <v>46145.835623148101</v>
      </c>
      <c r="B7" s="5" t="s">
        <v>79</v>
      </c>
      <c r="C7" s="11">
        <v>0.83561342592592602</v>
      </c>
      <c r="D7" s="11" t="s">
        <v>62</v>
      </c>
      <c r="E7" s="11">
        <v>0.96393518518518495</v>
      </c>
      <c r="F7" s="12">
        <f t="shared" si="1"/>
        <v>3.0797222222222143</v>
      </c>
      <c r="G7" s="13">
        <f t="shared" si="2"/>
        <v>3.0797222222222143</v>
      </c>
      <c r="H7" s="13">
        <f t="shared" si="3"/>
        <v>0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46146.298470601898</v>
      </c>
      <c r="B8" s="5" t="s">
        <v>81</v>
      </c>
      <c r="C8" s="11">
        <v>0.29846064814814799</v>
      </c>
      <c r="D8" s="11" t="s">
        <v>62</v>
      </c>
      <c r="E8" s="11">
        <v>0.36359953703703701</v>
      </c>
      <c r="F8" s="12">
        <f t="shared" si="1"/>
        <v>1.5633333333333366</v>
      </c>
      <c r="G8" s="13">
        <f t="shared" si="2"/>
        <v>0.72638888888889674</v>
      </c>
      <c r="H8" s="13">
        <f t="shared" si="3"/>
        <v>0.83694444444443983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46149.014790277797</v>
      </c>
      <c r="B9" s="5" t="s">
        <v>82</v>
      </c>
      <c r="C9" s="11">
        <v>1.47800925925926E-2</v>
      </c>
      <c r="D9" s="11" t="s">
        <v>62</v>
      </c>
      <c r="E9" s="11">
        <v>0.14505787037036999</v>
      </c>
      <c r="F9" s="12">
        <f t="shared" si="1"/>
        <v>3.1266666666666572</v>
      </c>
      <c r="G9" s="13">
        <f t="shared" si="2"/>
        <v>0</v>
      </c>
      <c r="H9" s="13">
        <f t="shared" si="3"/>
        <v>3.1266666666666572</v>
      </c>
      <c r="I9" s="21" t="s">
        <v>70</v>
      </c>
      <c r="J9" s="22">
        <f>SUMIF(B:B,"航班调度席",F:F)</f>
        <v>13.560000000000022</v>
      </c>
      <c r="K9" s="23">
        <f>SUMIF(B:B,"航班调度席",G:G)</f>
        <v>13.560000000000022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46149.960323263898</v>
      </c>
      <c r="B10" s="5" t="s">
        <v>75</v>
      </c>
      <c r="C10" s="11">
        <v>0.96031250000000001</v>
      </c>
      <c r="D10" s="11" t="s">
        <v>62</v>
      </c>
      <c r="E10" s="11">
        <v>0.12533564814814799</v>
      </c>
      <c r="F10" s="12">
        <f t="shared" si="1"/>
        <v>3.9605555555555512</v>
      </c>
      <c r="G10" s="13">
        <f t="shared" si="2"/>
        <v>0.95249999999999968</v>
      </c>
      <c r="H10" s="13">
        <f t="shared" si="3"/>
        <v>3.0080555555555515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46152.379265393502</v>
      </c>
      <c r="B11" s="5" t="s">
        <v>61</v>
      </c>
      <c r="C11" s="11">
        <v>0.37925925925925902</v>
      </c>
      <c r="D11" s="11" t="s">
        <v>62</v>
      </c>
      <c r="E11" s="11">
        <v>0.51214120370370397</v>
      </c>
      <c r="F11" s="12">
        <f t="shared" si="1"/>
        <v>3.1891666666666789</v>
      </c>
      <c r="G11" s="13">
        <f t="shared" si="2"/>
        <v>3.1891666666666789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46152.620939120403</v>
      </c>
      <c r="B12" s="5" t="s">
        <v>61</v>
      </c>
      <c r="C12" s="11">
        <v>0.62093750000000003</v>
      </c>
      <c r="D12" s="11" t="s">
        <v>62</v>
      </c>
      <c r="E12" s="11">
        <v>0.77281250000000001</v>
      </c>
      <c r="F12" s="12">
        <f t="shared" si="1"/>
        <v>3.6449999999999996</v>
      </c>
      <c r="G12" s="13">
        <f t="shared" si="2"/>
        <v>3.6449999999999996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46153.013586805602</v>
      </c>
      <c r="B13" s="5" t="s">
        <v>82</v>
      </c>
      <c r="C13" s="11">
        <v>1.35763888888889E-2</v>
      </c>
      <c r="D13" s="11" t="s">
        <v>62</v>
      </c>
      <c r="E13" s="11">
        <v>0.14590277777777799</v>
      </c>
      <c r="F13" s="12">
        <f t="shared" si="1"/>
        <v>3.1758333333333382</v>
      </c>
      <c r="G13" s="13">
        <f t="shared" si="2"/>
        <v>0</v>
      </c>
      <c r="H13" s="13">
        <f t="shared" si="3"/>
        <v>3.1758333333333382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46154.133680555598</v>
      </c>
      <c r="B14" s="5" t="s">
        <v>83</v>
      </c>
      <c r="C14" s="11">
        <v>0.133680555555556</v>
      </c>
      <c r="D14" s="11" t="s">
        <v>62</v>
      </c>
      <c r="E14" s="11">
        <v>0.22471064814814801</v>
      </c>
      <c r="F14" s="12">
        <f t="shared" si="1"/>
        <v>2.1847222222222085</v>
      </c>
      <c r="G14" s="13">
        <f t="shared" si="2"/>
        <v>0</v>
      </c>
      <c r="H14" s="13">
        <f t="shared" si="3"/>
        <v>2.1847222222222085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46154.224752893497</v>
      </c>
      <c r="B15" s="5" t="s">
        <v>82</v>
      </c>
      <c r="C15" s="11">
        <v>0.22474537037037001</v>
      </c>
      <c r="D15" s="11" t="s">
        <v>62</v>
      </c>
      <c r="E15" s="11">
        <v>0.30594907407407401</v>
      </c>
      <c r="F15" s="12">
        <f t="shared" si="1"/>
        <v>1.948888888888896</v>
      </c>
      <c r="G15" s="13">
        <f t="shared" si="2"/>
        <v>0</v>
      </c>
      <c r="H15" s="13">
        <f t="shared" si="3"/>
        <v>1.948888888888896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46156.357623148098</v>
      </c>
      <c r="B16" s="5" t="s">
        <v>82</v>
      </c>
      <c r="C16" s="11">
        <v>0.35761574074074098</v>
      </c>
      <c r="D16" s="11" t="s">
        <v>62</v>
      </c>
      <c r="E16" s="11">
        <v>0.51057870370370395</v>
      </c>
      <c r="F16" s="12">
        <f t="shared" si="1"/>
        <v>3.6711111111111112</v>
      </c>
      <c r="G16" s="13">
        <f t="shared" si="2"/>
        <v>3.6711111111111112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46156.6271649306</v>
      </c>
      <c r="B17" s="5" t="s">
        <v>81</v>
      </c>
      <c r="C17" s="11">
        <v>0.62716435185185204</v>
      </c>
      <c r="D17" s="11" t="s">
        <v>62</v>
      </c>
      <c r="E17" s="11">
        <v>0.755694444444444</v>
      </c>
      <c r="F17" s="12">
        <f t="shared" si="1"/>
        <v>3.084722222222207</v>
      </c>
      <c r="G17" s="13">
        <f t="shared" si="2"/>
        <v>3.084722222222207</v>
      </c>
      <c r="H17" s="13">
        <f t="shared" si="3"/>
        <v>0</v>
      </c>
      <c r="I17" s="35" t="s">
        <v>77</v>
      </c>
      <c r="J17" s="36">
        <f>J4+J5+J6+J7+J10</f>
        <v>60.466944444444387</v>
      </c>
      <c r="K17" s="37">
        <f>K4+K5+K6+K7+K10</f>
        <v>42.19999999999996</v>
      </c>
      <c r="L17" s="38">
        <f>L4+L5+L6+L7+L10</f>
        <v>18.266944444444427</v>
      </c>
      <c r="M17" s="39"/>
    </row>
    <row r="18" spans="1:13" ht="20.25" x14ac:dyDescent="0.25">
      <c r="A18" s="10">
        <f t="shared" ca="1" si="0"/>
        <v>46156.875331828698</v>
      </c>
      <c r="B18" s="5" t="s">
        <v>82</v>
      </c>
      <c r="C18" s="11">
        <v>0.87532407407407398</v>
      </c>
      <c r="D18" s="11" t="s">
        <v>62</v>
      </c>
      <c r="E18" s="11">
        <v>0.96277777777777795</v>
      </c>
      <c r="F18" s="12">
        <f t="shared" si="1"/>
        <v>2.0988888888888955</v>
      </c>
      <c r="G18" s="13">
        <f t="shared" si="2"/>
        <v>2.0988888888888955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46157.379617129598</v>
      </c>
      <c r="B19" s="5" t="s">
        <v>61</v>
      </c>
      <c r="C19" s="11">
        <v>0.37960648148148102</v>
      </c>
      <c r="D19" s="11" t="s">
        <v>62</v>
      </c>
      <c r="E19" s="11">
        <v>0.50217592592592597</v>
      </c>
      <c r="F19" s="12">
        <f t="shared" si="1"/>
        <v>2.9416666666666789</v>
      </c>
      <c r="G19" s="13">
        <f t="shared" si="2"/>
        <v>2.9416666666666789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46157.566541666703</v>
      </c>
      <c r="B20" s="5" t="s">
        <v>61</v>
      </c>
      <c r="C20" s="11">
        <v>0.566539351851852</v>
      </c>
      <c r="D20" s="11" t="s">
        <v>62</v>
      </c>
      <c r="E20" s="11">
        <v>0.724212962962963</v>
      </c>
      <c r="F20" s="12">
        <f t="shared" si="1"/>
        <v>3.784166666666664</v>
      </c>
      <c r="G20" s="13">
        <f t="shared" si="2"/>
        <v>3.784166666666664</v>
      </c>
      <c r="H20" s="13">
        <f t="shared" si="3"/>
        <v>0</v>
      </c>
      <c r="I20" s="40" t="s">
        <v>80</v>
      </c>
      <c r="J20" s="65">
        <f>J16+J17+J18+J19</f>
        <v>60.466944444444387</v>
      </c>
      <c r="K20" s="66"/>
      <c r="L20" s="67"/>
      <c r="M20" s="41"/>
    </row>
    <row r="21" spans="1:13" ht="20.25" x14ac:dyDescent="0.25">
      <c r="A21" s="10">
        <f t="shared" ca="1" si="0"/>
        <v>46157.752149537002</v>
      </c>
      <c r="B21" s="5" t="s">
        <v>75</v>
      </c>
      <c r="C21" s="11">
        <v>0.75214120370370396</v>
      </c>
      <c r="D21" s="11" t="s">
        <v>62</v>
      </c>
      <c r="E21" s="11">
        <v>0.836863425925926</v>
      </c>
      <c r="F21" s="12">
        <f t="shared" si="1"/>
        <v>2.0333333333333288</v>
      </c>
      <c r="G21" s="13">
        <f t="shared" si="2"/>
        <v>2.0333333333333288</v>
      </c>
      <c r="H21" s="13">
        <f t="shared" si="3"/>
        <v>0</v>
      </c>
      <c r="I21" s="42" t="s">
        <v>4</v>
      </c>
      <c r="J21" s="43">
        <f>SUM(J8:J9)</f>
        <v>13.560000000000022</v>
      </c>
      <c r="K21" s="37">
        <f>SUM(K8:K9)</f>
        <v>13.560000000000022</v>
      </c>
      <c r="L21" s="38">
        <f>SUM(L8:L9)</f>
        <v>0</v>
      </c>
      <c r="M21" s="44"/>
    </row>
    <row r="22" spans="1:13" ht="18.75" x14ac:dyDescent="0.15">
      <c r="A22" s="10">
        <f t="shared" ca="1" si="0"/>
        <v>46168.508394328703</v>
      </c>
      <c r="B22" s="5" t="s">
        <v>82</v>
      </c>
      <c r="C22" s="11">
        <v>0.50839120370370405</v>
      </c>
      <c r="D22" s="11" t="s">
        <v>62</v>
      </c>
      <c r="E22" s="11">
        <v>0.59332175925925901</v>
      </c>
      <c r="F22" s="12">
        <f t="shared" si="1"/>
        <v>2.0383333333333189</v>
      </c>
      <c r="G22" s="13">
        <f t="shared" si="2"/>
        <v>2.0383333333333189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46168.605401157402</v>
      </c>
      <c r="B23" s="5" t="s">
        <v>82</v>
      </c>
      <c r="C23" s="11">
        <v>0.60539351851851897</v>
      </c>
      <c r="D23" s="11" t="s">
        <v>62</v>
      </c>
      <c r="E23" s="11">
        <v>0.63251157407407399</v>
      </c>
      <c r="F23" s="12">
        <f t="shared" si="1"/>
        <v>0.6508333333333205</v>
      </c>
      <c r="G23" s="13">
        <f t="shared" si="2"/>
        <v>0.6508333333333205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46168.749832523099</v>
      </c>
      <c r="B24" s="5" t="s">
        <v>82</v>
      </c>
      <c r="C24" s="11">
        <v>0.74982638888888897</v>
      </c>
      <c r="D24" s="11" t="s">
        <v>62</v>
      </c>
      <c r="E24" s="11">
        <v>0.87959490740740698</v>
      </c>
      <c r="F24" s="12">
        <f t="shared" si="1"/>
        <v>3.1144444444444321</v>
      </c>
      <c r="G24" s="13">
        <f t="shared" si="2"/>
        <v>3.1144444444444321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46169.416989583297</v>
      </c>
      <c r="B25" s="5" t="s">
        <v>82</v>
      </c>
      <c r="C25" s="11">
        <v>0.41697916666666701</v>
      </c>
      <c r="D25" s="11" t="s">
        <v>62</v>
      </c>
      <c r="E25" s="11">
        <v>0.51216435185185205</v>
      </c>
      <c r="F25" s="12">
        <f t="shared" si="1"/>
        <v>2.2844444444444409</v>
      </c>
      <c r="G25" s="13">
        <f t="shared" si="2"/>
        <v>2.2844444444444409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46169.624611921303</v>
      </c>
      <c r="B26" s="5" t="s">
        <v>75</v>
      </c>
      <c r="C26" s="11">
        <v>0.62460648148148101</v>
      </c>
      <c r="D26" s="11" t="s">
        <v>62</v>
      </c>
      <c r="E26" s="11">
        <v>0.76278935185185204</v>
      </c>
      <c r="F26" s="12">
        <f t="shared" si="1"/>
        <v>3.3163888888889046</v>
      </c>
      <c r="G26" s="13">
        <f t="shared" si="2"/>
        <v>3.3163888888889046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46169.834035763903</v>
      </c>
      <c r="B27" s="5" t="s">
        <v>79</v>
      </c>
      <c r="C27" s="11">
        <v>0.83402777777777803</v>
      </c>
      <c r="D27" s="11" t="s">
        <v>62</v>
      </c>
      <c r="E27" s="11">
        <v>0.96193287037037001</v>
      </c>
      <c r="F27" s="12">
        <f t="shared" si="1"/>
        <v>3.0697222222222074</v>
      </c>
      <c r="G27" s="13">
        <f t="shared" si="2"/>
        <v>3.0697222222222074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46170.299602893501</v>
      </c>
      <c r="B28" s="5" t="s">
        <v>82</v>
      </c>
      <c r="C28" s="11">
        <v>0.29959490740740702</v>
      </c>
      <c r="D28" s="11" t="s">
        <v>62</v>
      </c>
      <c r="E28" s="11">
        <v>0.364606481481482</v>
      </c>
      <c r="F28" s="12">
        <f t="shared" si="1"/>
        <v>1.5602777777777996</v>
      </c>
      <c r="G28" s="13">
        <f t="shared" si="2"/>
        <v>0.75055555555557651</v>
      </c>
      <c r="H28" s="13">
        <f t="shared" si="3"/>
        <v>0.80972222222222312</v>
      </c>
      <c r="I28"/>
      <c r="J28"/>
    </row>
    <row r="29" spans="1:13" ht="18.75" x14ac:dyDescent="0.15">
      <c r="A29" s="10">
        <f t="shared" ca="1" si="0"/>
        <v>46173.013063541701</v>
      </c>
      <c r="B29" s="5" t="s">
        <v>75</v>
      </c>
      <c r="C29" s="11">
        <v>1.30555555555556E-2</v>
      </c>
      <c r="D29" s="11" t="s">
        <v>62</v>
      </c>
      <c r="E29" s="11">
        <v>8.1944444444444403E-2</v>
      </c>
      <c r="F29" s="12">
        <f t="shared" si="1"/>
        <v>1.6533333333333313</v>
      </c>
      <c r="G29" s="13">
        <f t="shared" si="2"/>
        <v>0</v>
      </c>
      <c r="H29" s="13">
        <f t="shared" si="3"/>
        <v>1.6533333333333313</v>
      </c>
      <c r="I29"/>
      <c r="J29"/>
    </row>
    <row r="30" spans="1:13" ht="18.75" x14ac:dyDescent="0.15">
      <c r="A30" s="10">
        <f t="shared" ca="1" si="0"/>
        <v>46173.082001736097</v>
      </c>
      <c r="B30" s="5" t="s">
        <v>82</v>
      </c>
      <c r="C30" s="11">
        <v>8.2002314814814806E-2</v>
      </c>
      <c r="D30" s="11" t="s">
        <v>62</v>
      </c>
      <c r="E30" s="11">
        <v>0.145451388888889</v>
      </c>
      <c r="F30" s="12">
        <f t="shared" si="1"/>
        <v>1.5227777777777809</v>
      </c>
      <c r="G30" s="13">
        <f t="shared" si="2"/>
        <v>0</v>
      </c>
      <c r="H30" s="13">
        <f t="shared" si="3"/>
        <v>1.5227777777777809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46144.5434872685</v>
      </c>
      <c r="B3" s="5" t="s">
        <v>64</v>
      </c>
      <c r="C3" s="11">
        <v>0.54348379629629595</v>
      </c>
      <c r="D3" s="11" t="s">
        <v>62</v>
      </c>
      <c r="E3" s="11">
        <v>0.77197916666666699</v>
      </c>
      <c r="F3" s="12">
        <f t="shared" ref="F3:F42" si="1">(IF(E3-C3&lt;0,"24:00"-C3+E3,E3-C3))*24</f>
        <v>5.483888888888905</v>
      </c>
      <c r="G3" s="13">
        <f t="shared" ref="G3:G42" si="2">F3-H3</f>
        <v>5.483888888888905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78.834444444444543</v>
      </c>
      <c r="K3" s="18">
        <f>SUMIF(B:B,"带班主任",G:G)</f>
        <v>53.282222222222302</v>
      </c>
      <c r="L3" s="18">
        <f>SUMIF(B:B,"带班主任",H:H)</f>
        <v>25.552222222222223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46145.423927893498</v>
      </c>
      <c r="B4" s="5" t="s">
        <v>64</v>
      </c>
      <c r="C4" s="11">
        <v>0.41836805555555601</v>
      </c>
      <c r="D4" s="11" t="s">
        <v>62</v>
      </c>
      <c r="E4" s="11">
        <v>0.51083333333333303</v>
      </c>
      <c r="F4" s="12">
        <f t="shared" si="1"/>
        <v>2.2191666666666485</v>
      </c>
      <c r="G4" s="13">
        <f t="shared" si="2"/>
        <v>2.2191666666666485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2.5886111111111045</v>
      </c>
      <c r="K4" s="23">
        <f>SUMIF(B:B,"西塔台管制席",G:G)+SUMIF(B:B,"东塔台管制席",G:G)</f>
        <v>1.8377777777777764</v>
      </c>
      <c r="L4" s="23">
        <f>SUMIF(B:B,"西塔台管制席",H:H)+SUMIF(B:B,"东塔台管制席",H:H)</f>
        <v>0.75083333333332813</v>
      </c>
      <c r="M4" s="19"/>
    </row>
    <row r="5" spans="1:16" ht="18.75" x14ac:dyDescent="0.25">
      <c r="A5" s="10">
        <f t="shared" ca="1" si="0"/>
        <v>46145.625401620397</v>
      </c>
      <c r="B5" s="5" t="s">
        <v>79</v>
      </c>
      <c r="C5" s="11">
        <v>0.62539351851851899</v>
      </c>
      <c r="D5" s="11" t="s">
        <v>62</v>
      </c>
      <c r="E5" s="11">
        <v>0.67034722222222198</v>
      </c>
      <c r="F5" s="12">
        <f t="shared" si="1"/>
        <v>1.0788888888888719</v>
      </c>
      <c r="G5" s="13">
        <f t="shared" si="2"/>
        <v>1.0788888888888719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5.9663888888889147</v>
      </c>
      <c r="K5" s="23">
        <f>SUMIF(B:B,"西塔台协调席",G:G)+SUMIF(B:B,"东塔台协调席",G:G)</f>
        <v>2.4238888888889063</v>
      </c>
      <c r="L5" s="23">
        <f>SUMIF(B:B,"西塔台协调席",H:H)+SUMIF(B:B,"东塔台协调席",H:H)</f>
        <v>3.5425000000000084</v>
      </c>
      <c r="M5" s="19"/>
    </row>
    <row r="6" spans="1:16" ht="18.75" x14ac:dyDescent="0.25">
      <c r="A6" s="10">
        <f t="shared" ca="1" si="0"/>
        <v>46145.670389120402</v>
      </c>
      <c r="B6" s="5" t="s">
        <v>64</v>
      </c>
      <c r="C6" s="11">
        <v>0.67038194444444399</v>
      </c>
      <c r="D6" s="11" t="s">
        <v>62</v>
      </c>
      <c r="E6" s="11">
        <v>0.80481481481481498</v>
      </c>
      <c r="F6" s="12">
        <f t="shared" si="1"/>
        <v>3.2263888888889038</v>
      </c>
      <c r="G6" s="13">
        <f t="shared" si="2"/>
        <v>3.2263888888889038</v>
      </c>
      <c r="H6" s="13">
        <f t="shared" si="3"/>
        <v>0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46145.830811458298</v>
      </c>
      <c r="B7" s="5" t="s">
        <v>64</v>
      </c>
      <c r="C7" s="11">
        <v>0.83081018518518501</v>
      </c>
      <c r="D7" s="11" t="s">
        <v>62</v>
      </c>
      <c r="E7" s="11">
        <v>0.94123842592592599</v>
      </c>
      <c r="F7" s="12">
        <f t="shared" si="1"/>
        <v>2.6502777777777835</v>
      </c>
      <c r="G7" s="13">
        <f t="shared" si="2"/>
        <v>2.6502777777777835</v>
      </c>
      <c r="H7" s="13">
        <f t="shared" si="3"/>
        <v>0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46146.302049768499</v>
      </c>
      <c r="B8" s="5" t="s">
        <v>79</v>
      </c>
      <c r="C8" s="11">
        <v>0.30204861111111098</v>
      </c>
      <c r="D8" s="11" t="s">
        <v>62</v>
      </c>
      <c r="E8" s="11">
        <v>0.364953703703704</v>
      </c>
      <c r="F8" s="12">
        <f t="shared" si="1"/>
        <v>1.5097222222222326</v>
      </c>
      <c r="G8" s="13">
        <f t="shared" si="2"/>
        <v>0.75888888888890449</v>
      </c>
      <c r="H8" s="13">
        <f t="shared" si="3"/>
        <v>0.75083333333332813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46148.9392351852</v>
      </c>
      <c r="B9" s="5" t="s">
        <v>64</v>
      </c>
      <c r="C9" s="11">
        <v>0.93922453703703701</v>
      </c>
      <c r="D9" s="11" t="s">
        <v>62</v>
      </c>
      <c r="E9" s="11">
        <v>0.14453703703703699</v>
      </c>
      <c r="F9" s="12">
        <f t="shared" si="1"/>
        <v>4.9274999999999993</v>
      </c>
      <c r="G9" s="13">
        <f t="shared" si="2"/>
        <v>1.4586111111111117</v>
      </c>
      <c r="H9" s="13">
        <f t="shared" si="3"/>
        <v>3.4688888888888876</v>
      </c>
      <c r="I9" s="21" t="s">
        <v>70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46149.939606365697</v>
      </c>
      <c r="B10" s="5" t="s">
        <v>64</v>
      </c>
      <c r="C10" s="11">
        <v>0.93960648148148096</v>
      </c>
      <c r="D10" s="11" t="s">
        <v>62</v>
      </c>
      <c r="E10" s="11">
        <v>0.138240740740741</v>
      </c>
      <c r="F10" s="12">
        <f t="shared" si="1"/>
        <v>4.7672222222222409</v>
      </c>
      <c r="G10" s="13">
        <f t="shared" si="2"/>
        <v>1.449444444444457</v>
      </c>
      <c r="H10" s="13">
        <f t="shared" si="3"/>
        <v>3.3177777777777839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46153.132118865702</v>
      </c>
      <c r="B11" s="5" t="s">
        <v>64</v>
      </c>
      <c r="C11" s="11">
        <v>0.132118055555556</v>
      </c>
      <c r="D11" s="11" t="s">
        <v>62</v>
      </c>
      <c r="E11" s="11">
        <v>0.320578703703704</v>
      </c>
      <c r="F11" s="12">
        <f t="shared" si="1"/>
        <v>4.5230555555555521</v>
      </c>
      <c r="G11" s="13">
        <f t="shared" si="2"/>
        <v>0</v>
      </c>
      <c r="H11" s="13">
        <f t="shared" si="3"/>
        <v>4.5230555555555521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46156.5262934028</v>
      </c>
      <c r="B12" s="5" t="s">
        <v>64</v>
      </c>
      <c r="C12" s="11">
        <v>0.526284722222222</v>
      </c>
      <c r="D12" s="11" t="s">
        <v>62</v>
      </c>
      <c r="E12" s="11">
        <v>0.80390046296296302</v>
      </c>
      <c r="F12" s="12">
        <f t="shared" si="1"/>
        <v>6.6627777777777846</v>
      </c>
      <c r="G12" s="13">
        <f t="shared" si="2"/>
        <v>6.6627777777777846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46157.291303009297</v>
      </c>
      <c r="B13" s="5" t="s">
        <v>64</v>
      </c>
      <c r="C13" s="11">
        <v>0.291296296296296</v>
      </c>
      <c r="D13" s="11" t="s">
        <v>62</v>
      </c>
      <c r="E13" s="11">
        <v>0.55388888888888899</v>
      </c>
      <c r="F13" s="12">
        <f t="shared" si="1"/>
        <v>6.3022222222222322</v>
      </c>
      <c r="G13" s="13">
        <f t="shared" si="2"/>
        <v>5.2933333333333445</v>
      </c>
      <c r="H13" s="13">
        <f t="shared" si="3"/>
        <v>1.0088888888888876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46157.796677546299</v>
      </c>
      <c r="B14" s="5" t="s">
        <v>64</v>
      </c>
      <c r="C14" s="11">
        <v>0.79666666666666697</v>
      </c>
      <c r="D14" s="11" t="s">
        <v>62</v>
      </c>
      <c r="E14" s="11">
        <v>0.94314814814814796</v>
      </c>
      <c r="F14" s="12">
        <f t="shared" si="1"/>
        <v>3.5155555555555438</v>
      </c>
      <c r="G14" s="13">
        <f t="shared" si="2"/>
        <v>3.5155555555555438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46158.296190509303</v>
      </c>
      <c r="B15" s="5" t="s">
        <v>64</v>
      </c>
      <c r="C15" s="11">
        <v>0.296180555555556</v>
      </c>
      <c r="D15" s="11" t="s">
        <v>62</v>
      </c>
      <c r="E15" s="11">
        <v>0.36775462962963001</v>
      </c>
      <c r="F15" s="12">
        <f t="shared" si="1"/>
        <v>1.7177777777777763</v>
      </c>
      <c r="G15" s="13">
        <f t="shared" si="2"/>
        <v>0.82611111111112878</v>
      </c>
      <c r="H15" s="13">
        <f t="shared" si="3"/>
        <v>0.89166666666664751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46160.959533333298</v>
      </c>
      <c r="B16" s="5" t="s">
        <v>75</v>
      </c>
      <c r="C16" s="11">
        <v>0.95954861111111101</v>
      </c>
      <c r="D16" s="11" t="s">
        <v>62</v>
      </c>
      <c r="E16" s="11">
        <v>0.14760416666666701</v>
      </c>
      <c r="F16" s="12">
        <f t="shared" si="1"/>
        <v>4.5133333333333443</v>
      </c>
      <c r="G16" s="13">
        <f t="shared" si="2"/>
        <v>0.97083333333333588</v>
      </c>
      <c r="H16" s="13">
        <f t="shared" si="3"/>
        <v>3.5425000000000084</v>
      </c>
      <c r="I16" s="35" t="s">
        <v>63</v>
      </c>
      <c r="J16" s="36">
        <f t="shared" ref="J16:L16" si="4">J3</f>
        <v>78.834444444444543</v>
      </c>
      <c r="K16" s="37">
        <f t="shared" si="4"/>
        <v>53.282222222222302</v>
      </c>
      <c r="L16" s="38">
        <f t="shared" si="4"/>
        <v>25.552222222222223</v>
      </c>
      <c r="M16" s="39"/>
    </row>
    <row r="17" spans="1:13" ht="20.25" x14ac:dyDescent="0.25">
      <c r="A17" s="10">
        <f t="shared" ca="1" si="0"/>
        <v>46161.939122453703</v>
      </c>
      <c r="B17" s="5" t="s">
        <v>64</v>
      </c>
      <c r="C17" s="11">
        <v>0.93912037037036999</v>
      </c>
      <c r="D17" s="11" t="s">
        <v>62</v>
      </c>
      <c r="E17" s="11">
        <v>0.141238425925926</v>
      </c>
      <c r="F17" s="12">
        <f t="shared" si="1"/>
        <v>4.8508333333333447</v>
      </c>
      <c r="G17" s="13">
        <f t="shared" si="2"/>
        <v>1.4611111111111206</v>
      </c>
      <c r="H17" s="13">
        <f t="shared" si="3"/>
        <v>3.3897222222222241</v>
      </c>
      <c r="I17" s="35" t="s">
        <v>77</v>
      </c>
      <c r="J17" s="36">
        <f>J4+J5+J6+J7+J10</f>
        <v>8.5550000000000193</v>
      </c>
      <c r="K17" s="37">
        <f>K4+K5+K6+K7+K10</f>
        <v>4.2616666666666827</v>
      </c>
      <c r="L17" s="38">
        <f>L4+L5+L6+L7+L10</f>
        <v>4.2933333333333366</v>
      </c>
      <c r="M17" s="39"/>
    </row>
    <row r="18" spans="1:13" ht="20.25" x14ac:dyDescent="0.25">
      <c r="A18" s="10">
        <f t="shared" ca="1" si="0"/>
        <v>46165.134764467599</v>
      </c>
      <c r="B18" s="5" t="s">
        <v>64</v>
      </c>
      <c r="C18" s="11">
        <v>0.134756944444444</v>
      </c>
      <c r="D18" s="11" t="s">
        <v>62</v>
      </c>
      <c r="E18" s="11">
        <v>0.29812499999999997</v>
      </c>
      <c r="F18" s="12">
        <f t="shared" si="1"/>
        <v>3.9208333333333432</v>
      </c>
      <c r="G18" s="13">
        <f t="shared" si="2"/>
        <v>0</v>
      </c>
      <c r="H18" s="13">
        <f t="shared" si="3"/>
        <v>3.9208333333333432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46166.133505787002</v>
      </c>
      <c r="B19" s="5" t="s">
        <v>64</v>
      </c>
      <c r="C19" s="11">
        <v>0.13349537037036999</v>
      </c>
      <c r="D19" s="11" t="s">
        <v>62</v>
      </c>
      <c r="E19" s="11">
        <v>0.29815972222222198</v>
      </c>
      <c r="F19" s="12">
        <f t="shared" si="1"/>
        <v>3.9519444444444476</v>
      </c>
      <c r="G19" s="13">
        <f t="shared" si="2"/>
        <v>0</v>
      </c>
      <c r="H19" s="13">
        <f t="shared" si="3"/>
        <v>3.9519444444444476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46168.355986689799</v>
      </c>
      <c r="B20" s="5" t="s">
        <v>64</v>
      </c>
      <c r="C20" s="11">
        <v>0.35598379629629601</v>
      </c>
      <c r="D20" s="11" t="s">
        <v>62</v>
      </c>
      <c r="E20" s="11">
        <v>0.52799768518518497</v>
      </c>
      <c r="F20" s="12">
        <f t="shared" si="1"/>
        <v>4.1283333333333356</v>
      </c>
      <c r="G20" s="13">
        <f t="shared" si="2"/>
        <v>4.1283333333333356</v>
      </c>
      <c r="H20" s="13">
        <f t="shared" si="3"/>
        <v>0</v>
      </c>
      <c r="I20" s="40" t="s">
        <v>80</v>
      </c>
      <c r="J20" s="65">
        <f>J16+J17+J18+J19</f>
        <v>87.389444444444564</v>
      </c>
      <c r="K20" s="66"/>
      <c r="L20" s="67"/>
      <c r="M20" s="41"/>
    </row>
    <row r="21" spans="1:13" ht="20.25" x14ac:dyDescent="0.25">
      <c r="A21" s="10">
        <f t="shared" ca="1" si="0"/>
        <v>46168.623800925903</v>
      </c>
      <c r="B21" s="5" t="s">
        <v>64</v>
      </c>
      <c r="C21" s="11">
        <v>0.62379629629629596</v>
      </c>
      <c r="D21" s="11" t="s">
        <v>62</v>
      </c>
      <c r="E21" s="11">
        <v>0.79874999999999996</v>
      </c>
      <c r="F21" s="12">
        <f t="shared" si="1"/>
        <v>4.198888888888896</v>
      </c>
      <c r="G21" s="13">
        <f t="shared" si="2"/>
        <v>4.198888888888896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46168.903065046303</v>
      </c>
      <c r="B22" s="5" t="s">
        <v>81</v>
      </c>
      <c r="C22" s="11">
        <v>0.90305555555555495</v>
      </c>
      <c r="D22" s="11" t="s">
        <v>62</v>
      </c>
      <c r="E22" s="11">
        <v>0.96359953703703705</v>
      </c>
      <c r="F22" s="12">
        <f t="shared" si="1"/>
        <v>1.4530555555555704</v>
      </c>
      <c r="G22" s="13">
        <f t="shared" si="2"/>
        <v>1.4530555555555704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46169.418116435198</v>
      </c>
      <c r="B23" s="5" t="s">
        <v>64</v>
      </c>
      <c r="C23" s="11">
        <v>0.41811342592592599</v>
      </c>
      <c r="D23" s="11" t="s">
        <v>62</v>
      </c>
      <c r="E23" s="11">
        <v>0.550648148148148</v>
      </c>
      <c r="F23" s="12">
        <f t="shared" si="1"/>
        <v>3.1808333333333283</v>
      </c>
      <c r="G23" s="13">
        <f t="shared" si="2"/>
        <v>3.1808333333333283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46169.624675925901</v>
      </c>
      <c r="B24" s="5" t="s">
        <v>64</v>
      </c>
      <c r="C24" s="11">
        <v>0.62467592592592602</v>
      </c>
      <c r="D24" s="11" t="s">
        <v>62</v>
      </c>
      <c r="E24" s="11">
        <v>0.75694444444444497</v>
      </c>
      <c r="F24" s="12">
        <f t="shared" si="1"/>
        <v>3.1744444444444548</v>
      </c>
      <c r="G24" s="13">
        <f t="shared" si="2"/>
        <v>3.1744444444444548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46169.792507407401</v>
      </c>
      <c r="B25" s="5" t="s">
        <v>64</v>
      </c>
      <c r="C25" s="11">
        <v>0.79249999999999998</v>
      </c>
      <c r="D25" s="11" t="s">
        <v>62</v>
      </c>
      <c r="E25" s="11">
        <v>0.94428240740740699</v>
      </c>
      <c r="F25" s="12">
        <f t="shared" si="1"/>
        <v>3.6427777777777681</v>
      </c>
      <c r="G25" s="13">
        <f t="shared" si="2"/>
        <v>3.6427777777777681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46170.288366666697</v>
      </c>
      <c r="B26" s="5" t="s">
        <v>64</v>
      </c>
      <c r="C26" s="11">
        <v>0.28835648148148102</v>
      </c>
      <c r="D26" s="11" t="s">
        <v>62</v>
      </c>
      <c r="E26" s="11">
        <v>0.36292824074074098</v>
      </c>
      <c r="F26" s="12">
        <f t="shared" si="1"/>
        <v>1.7897222222222391</v>
      </c>
      <c r="G26" s="13">
        <f t="shared" si="2"/>
        <v>0.710277777777792</v>
      </c>
      <c r="H26" s="13">
        <f t="shared" si="3"/>
        <v>1.0794444444444471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46143.585206481497</v>
      </c>
      <c r="B3" s="5" t="s">
        <v>79</v>
      </c>
      <c r="C3" s="11">
        <v>0.58519675925925896</v>
      </c>
      <c r="D3" s="11" t="s">
        <v>62</v>
      </c>
      <c r="E3" s="11">
        <v>0.71393518518518495</v>
      </c>
      <c r="F3" s="12">
        <f t="shared" ref="F3:F42" si="1">(IF(E3-C3&lt;0,"24:00"-C3+E3,E3-C3))*24</f>
        <v>3.0897222222222238</v>
      </c>
      <c r="G3" s="13">
        <f t="shared" ref="G3:G42" si="2">F3-H3</f>
        <v>3.0897222222222238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46143.718670023103</v>
      </c>
      <c r="B4" s="5" t="s">
        <v>61</v>
      </c>
      <c r="C4" s="11">
        <v>0.71866898148148195</v>
      </c>
      <c r="D4" s="11" t="s">
        <v>62</v>
      </c>
      <c r="E4" s="11">
        <v>0.763043981481481</v>
      </c>
      <c r="F4" s="12">
        <f t="shared" si="1"/>
        <v>1.0649999999999773</v>
      </c>
      <c r="G4" s="13">
        <f t="shared" si="2"/>
        <v>1.0649999999999773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37.334722222222268</v>
      </c>
      <c r="K4" s="23">
        <f>SUMIF(B:B,"西塔台管制席",G:G)+SUMIF(B:B,"东塔台管制席",G:G)</f>
        <v>22.672777777777853</v>
      </c>
      <c r="L4" s="23">
        <f>SUMIF(B:B,"西塔台管制席",H:H)+SUMIF(B:B,"东塔台管制席",H:H)</f>
        <v>14.66194444444441</v>
      </c>
      <c r="M4" s="19"/>
    </row>
    <row r="5" spans="1:16" ht="18.75" x14ac:dyDescent="0.25">
      <c r="A5" s="10">
        <f t="shared" ca="1" si="0"/>
        <v>46143.836086574098</v>
      </c>
      <c r="B5" s="5" t="s">
        <v>79</v>
      </c>
      <c r="C5" s="11">
        <v>0.83607638888888902</v>
      </c>
      <c r="D5" s="11" t="s">
        <v>62</v>
      </c>
      <c r="E5" s="11">
        <v>0.95883101851851904</v>
      </c>
      <c r="F5" s="12">
        <f t="shared" si="1"/>
        <v>2.9461111111111205</v>
      </c>
      <c r="G5" s="13">
        <f t="shared" si="2"/>
        <v>2.9461111111111205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8.3211111111111418</v>
      </c>
      <c r="K5" s="23">
        <f>SUMIF(B:B,"西塔台协调席",G:G)+SUMIF(B:B,"东塔台协调席",G:G)</f>
        <v>2.8391666666666868</v>
      </c>
      <c r="L5" s="23">
        <f>SUMIF(B:B,"西塔台协调席",H:H)+SUMIF(B:B,"东塔台协调席",H:H)</f>
        <v>5.4819444444444549</v>
      </c>
      <c r="M5" s="19"/>
    </row>
    <row r="6" spans="1:16" ht="18.75" x14ac:dyDescent="0.25">
      <c r="A6" s="10">
        <f t="shared" ca="1" si="0"/>
        <v>46144.293197337996</v>
      </c>
      <c r="B6" s="5" t="s">
        <v>81</v>
      </c>
      <c r="C6" s="11">
        <v>0.29319444444444398</v>
      </c>
      <c r="D6" s="11" t="s">
        <v>62</v>
      </c>
      <c r="E6" s="11">
        <v>0.36322916666666699</v>
      </c>
      <c r="F6" s="12">
        <f t="shared" si="1"/>
        <v>1.6808333333333523</v>
      </c>
      <c r="G6" s="13">
        <f t="shared" si="2"/>
        <v>0.71750000000001624</v>
      </c>
      <c r="H6" s="13">
        <f t="shared" si="3"/>
        <v>0.96333333333333604</v>
      </c>
      <c r="I6" s="21" t="s">
        <v>67</v>
      </c>
      <c r="J6" s="22">
        <f>SUMIF(B:B,"放行席",F:F)</f>
        <v>4.2811111111111213</v>
      </c>
      <c r="K6" s="23">
        <f>SUMIF(B:B,"放行席",G:G)</f>
        <v>0</v>
      </c>
      <c r="L6" s="23">
        <f>SUMIF(B:B,"放行席",H:H)</f>
        <v>4.2811111111111213</v>
      </c>
      <c r="M6" s="19"/>
    </row>
    <row r="7" spans="1:16" ht="18.75" x14ac:dyDescent="0.25">
      <c r="A7" s="10">
        <f t="shared" ca="1" si="0"/>
        <v>46148.133028356497</v>
      </c>
      <c r="B7" s="5" t="s">
        <v>83</v>
      </c>
      <c r="C7" s="11">
        <v>0.13302083333333301</v>
      </c>
      <c r="D7" s="11" t="s">
        <v>62</v>
      </c>
      <c r="E7" s="11">
        <v>0.22434027777777801</v>
      </c>
      <c r="F7" s="12">
        <f t="shared" si="1"/>
        <v>2.1916666666666802</v>
      </c>
      <c r="G7" s="13">
        <f t="shared" si="2"/>
        <v>0</v>
      </c>
      <c r="H7" s="13">
        <f t="shared" si="3"/>
        <v>2.1916666666666802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46148.231081828701</v>
      </c>
      <c r="B8" s="5" t="s">
        <v>81</v>
      </c>
      <c r="C8" s="11">
        <v>0.23107638888888901</v>
      </c>
      <c r="D8" s="11" t="s">
        <v>62</v>
      </c>
      <c r="E8" s="11">
        <v>0.296643518518519</v>
      </c>
      <c r="F8" s="12">
        <f t="shared" si="1"/>
        <v>1.5736111111111197</v>
      </c>
      <c r="G8" s="13">
        <f t="shared" si="2"/>
        <v>0</v>
      </c>
      <c r="H8" s="13">
        <f t="shared" si="3"/>
        <v>1.5736111111111197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46151.134143055599</v>
      </c>
      <c r="B9" s="5" t="s">
        <v>83</v>
      </c>
      <c r="C9" s="11">
        <v>0.13414351851851899</v>
      </c>
      <c r="D9" s="11" t="s">
        <v>62</v>
      </c>
      <c r="E9" s="11">
        <v>0.22120370370370401</v>
      </c>
      <c r="F9" s="12">
        <f t="shared" si="1"/>
        <v>2.0894444444444407</v>
      </c>
      <c r="G9" s="13">
        <f t="shared" si="2"/>
        <v>0</v>
      </c>
      <c r="H9" s="13">
        <f t="shared" si="3"/>
        <v>2.0894444444444407</v>
      </c>
      <c r="I9" s="21" t="s">
        <v>70</v>
      </c>
      <c r="J9" s="22">
        <f>SUMIF(B:B,"航班调度席",F:F)</f>
        <v>5.9369444444444177</v>
      </c>
      <c r="K9" s="23">
        <f>SUMIF(B:B,"航班调度席",G:G)</f>
        <v>5.9369444444444177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46151.772244444401</v>
      </c>
      <c r="B10" s="5" t="s">
        <v>82</v>
      </c>
      <c r="C10" s="11">
        <v>0.77223379629629596</v>
      </c>
      <c r="D10" s="11" t="s">
        <v>62</v>
      </c>
      <c r="E10" s="11">
        <v>0.85968750000000005</v>
      </c>
      <c r="F10" s="12">
        <f t="shared" si="1"/>
        <v>2.0988888888888981</v>
      </c>
      <c r="G10" s="13">
        <f t="shared" si="2"/>
        <v>2.0988888888888981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46152.015688310203</v>
      </c>
      <c r="B11" s="5" t="s">
        <v>79</v>
      </c>
      <c r="C11" s="11">
        <v>1.5682870370370399E-2</v>
      </c>
      <c r="D11" s="11" t="s">
        <v>62</v>
      </c>
      <c r="E11" s="11">
        <v>0.16230324074074101</v>
      </c>
      <c r="F11" s="12">
        <f t="shared" si="1"/>
        <v>3.518888888888895</v>
      </c>
      <c r="G11" s="13">
        <f t="shared" si="2"/>
        <v>0</v>
      </c>
      <c r="H11" s="13">
        <f t="shared" si="3"/>
        <v>3.518888888888895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46154.502101620397</v>
      </c>
      <c r="B12" s="5" t="s">
        <v>81</v>
      </c>
      <c r="C12" s="11">
        <v>0.50209490740740703</v>
      </c>
      <c r="D12" s="11" t="s">
        <v>62</v>
      </c>
      <c r="E12" s="11">
        <v>0.59049768518518497</v>
      </c>
      <c r="F12" s="12">
        <f t="shared" si="1"/>
        <v>2.1216666666666706</v>
      </c>
      <c r="G12" s="13">
        <f t="shared" si="2"/>
        <v>2.1216666666666706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46154.669070717602</v>
      </c>
      <c r="B13" s="5" t="s">
        <v>82</v>
      </c>
      <c r="C13" s="11">
        <v>0.6690625</v>
      </c>
      <c r="D13" s="11" t="s">
        <v>62</v>
      </c>
      <c r="E13" s="11">
        <v>0.75806712962962997</v>
      </c>
      <c r="F13" s="12">
        <f t="shared" si="1"/>
        <v>2.1361111111111191</v>
      </c>
      <c r="G13" s="13">
        <f t="shared" si="2"/>
        <v>2.1361111111111191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46155.355498263903</v>
      </c>
      <c r="B14" s="5" t="s">
        <v>61</v>
      </c>
      <c r="C14" s="11">
        <v>0.35549768518518499</v>
      </c>
      <c r="D14" s="11" t="s">
        <v>62</v>
      </c>
      <c r="E14" s="11">
        <v>0.41846064814814798</v>
      </c>
      <c r="F14" s="12">
        <f t="shared" si="1"/>
        <v>1.511111111111112</v>
      </c>
      <c r="G14" s="13">
        <f t="shared" si="2"/>
        <v>1.511111111111112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46155.418510069401</v>
      </c>
      <c r="B15" s="5" t="s">
        <v>79</v>
      </c>
      <c r="C15" s="11">
        <v>0.41850694444444397</v>
      </c>
      <c r="D15" s="11" t="s">
        <v>62</v>
      </c>
      <c r="E15" s="11">
        <v>0.50930555555555601</v>
      </c>
      <c r="F15" s="12">
        <f t="shared" si="1"/>
        <v>2.1791666666666889</v>
      </c>
      <c r="G15" s="13">
        <f t="shared" si="2"/>
        <v>2.1791666666666889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46155.855565972197</v>
      </c>
      <c r="B16" s="5" t="s">
        <v>79</v>
      </c>
      <c r="C16" s="11">
        <v>0.83333333333333304</v>
      </c>
      <c r="D16" s="11" t="s">
        <v>62</v>
      </c>
      <c r="E16" s="11">
        <v>0.95880787037036996</v>
      </c>
      <c r="F16" s="12">
        <f t="shared" si="1"/>
        <v>3.0113888888888862</v>
      </c>
      <c r="G16" s="13">
        <f t="shared" si="2"/>
        <v>3.0113888888888862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46159.015343749998</v>
      </c>
      <c r="B17" s="5" t="s">
        <v>79</v>
      </c>
      <c r="C17" s="11">
        <v>1.53356481481481E-2</v>
      </c>
      <c r="D17" s="11" t="s">
        <v>62</v>
      </c>
      <c r="E17" s="11">
        <v>0.10210648148148101</v>
      </c>
      <c r="F17" s="12">
        <f t="shared" si="1"/>
        <v>2.0824999999999898</v>
      </c>
      <c r="G17" s="13">
        <f t="shared" si="2"/>
        <v>0</v>
      </c>
      <c r="H17" s="13">
        <f t="shared" si="3"/>
        <v>2.0824999999999898</v>
      </c>
      <c r="I17" s="35" t="s">
        <v>77</v>
      </c>
      <c r="J17" s="36">
        <f>J4+J5+J6+J7+J10</f>
        <v>49.936944444444535</v>
      </c>
      <c r="K17" s="37">
        <f>K4+K5+K6+K7+K10</f>
        <v>25.511944444444538</v>
      </c>
      <c r="L17" s="38">
        <f>L4+L5+L6+L7+L10</f>
        <v>24.42499999999999</v>
      </c>
      <c r="M17" s="39"/>
    </row>
    <row r="18" spans="1:13" ht="20.25" x14ac:dyDescent="0.25">
      <c r="A18" s="10">
        <f t="shared" ca="1" si="0"/>
        <v>46159.110377199097</v>
      </c>
      <c r="B18" s="5" t="s">
        <v>82</v>
      </c>
      <c r="C18" s="11">
        <v>0.11037037037036999</v>
      </c>
      <c r="D18" s="11" t="s">
        <v>62</v>
      </c>
      <c r="E18" s="11">
        <v>0.146030092592593</v>
      </c>
      <c r="F18" s="12">
        <f t="shared" si="1"/>
        <v>0.85583333333335221</v>
      </c>
      <c r="G18" s="13">
        <f t="shared" si="2"/>
        <v>0</v>
      </c>
      <c r="H18" s="13">
        <f t="shared" si="3"/>
        <v>0.85583333333335221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46159.953654976904</v>
      </c>
      <c r="B19" s="5" t="s">
        <v>79</v>
      </c>
      <c r="C19" s="11">
        <v>0.95364583333333297</v>
      </c>
      <c r="D19" s="11" t="s">
        <v>62</v>
      </c>
      <c r="E19" s="11">
        <v>0.102858796296296</v>
      </c>
      <c r="F19" s="12">
        <f t="shared" si="1"/>
        <v>3.5811111111111131</v>
      </c>
      <c r="G19" s="13">
        <f t="shared" si="2"/>
        <v>1.1125000000000091</v>
      </c>
      <c r="H19" s="13">
        <f t="shared" si="3"/>
        <v>2.468611111111104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46167.292459837998</v>
      </c>
      <c r="B20" s="5" t="s">
        <v>82</v>
      </c>
      <c r="C20" s="11">
        <v>0.29245370370370399</v>
      </c>
      <c r="D20" s="11" t="s">
        <v>62</v>
      </c>
      <c r="E20" s="11">
        <v>0.42736111111111103</v>
      </c>
      <c r="F20" s="12">
        <f t="shared" si="1"/>
        <v>3.2377777777777688</v>
      </c>
      <c r="G20" s="13">
        <f t="shared" si="2"/>
        <v>2.256666666666673</v>
      </c>
      <c r="H20" s="13">
        <f t="shared" si="3"/>
        <v>0.98111111111109572</v>
      </c>
      <c r="I20" s="40" t="s">
        <v>80</v>
      </c>
      <c r="J20" s="65">
        <f>J16+J17+J18+J19</f>
        <v>49.936944444444535</v>
      </c>
      <c r="K20" s="66"/>
      <c r="L20" s="67"/>
      <c r="M20" s="41"/>
    </row>
    <row r="21" spans="1:13" ht="20.25" x14ac:dyDescent="0.25">
      <c r="A21" s="10">
        <f t="shared" ca="1" si="0"/>
        <v>46167.629796990703</v>
      </c>
      <c r="B21" s="5" t="s">
        <v>61</v>
      </c>
      <c r="C21" s="11">
        <v>0.62979166666666697</v>
      </c>
      <c r="D21" s="11" t="s">
        <v>62</v>
      </c>
      <c r="E21" s="11">
        <v>0.76982638888888899</v>
      </c>
      <c r="F21" s="12">
        <f t="shared" si="1"/>
        <v>3.3608333333333285</v>
      </c>
      <c r="G21" s="13">
        <f t="shared" si="2"/>
        <v>3.3608333333333285</v>
      </c>
      <c r="H21" s="13">
        <f t="shared" si="3"/>
        <v>0</v>
      </c>
      <c r="I21" s="42" t="s">
        <v>4</v>
      </c>
      <c r="J21" s="43">
        <f>SUM(J8:J9)</f>
        <v>5.9369444444444177</v>
      </c>
      <c r="K21" s="37">
        <f>SUM(K8:K9)</f>
        <v>5.9369444444444177</v>
      </c>
      <c r="L21" s="38">
        <f>SUM(L8:L9)</f>
        <v>0</v>
      </c>
      <c r="M21" s="44"/>
    </row>
    <row r="22" spans="1:13" ht="18.75" x14ac:dyDescent="0.15">
      <c r="A22" s="10">
        <f t="shared" ca="1" si="0"/>
        <v>46167.833647569401</v>
      </c>
      <c r="B22" s="5" t="s">
        <v>82</v>
      </c>
      <c r="C22" s="11">
        <v>0.83364583333333298</v>
      </c>
      <c r="D22" s="11" t="s">
        <v>62</v>
      </c>
      <c r="E22" s="11">
        <v>0.960706018518518</v>
      </c>
      <c r="F22" s="12">
        <f t="shared" si="1"/>
        <v>3.0494444444444406</v>
      </c>
      <c r="G22" s="13">
        <f t="shared" si="2"/>
        <v>3.0494444444444406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46168.293133564803</v>
      </c>
      <c r="B23" s="5" t="s">
        <v>82</v>
      </c>
      <c r="C23" s="11">
        <v>0.29312500000000002</v>
      </c>
      <c r="D23" s="11" t="s">
        <v>62</v>
      </c>
      <c r="E23" s="11">
        <v>0.36636574074074102</v>
      </c>
      <c r="F23" s="12">
        <f t="shared" si="1"/>
        <v>1.7577777777777839</v>
      </c>
      <c r="G23" s="13">
        <f t="shared" si="2"/>
        <v>0.7927777777777929</v>
      </c>
      <c r="H23" s="13">
        <f t="shared" si="3"/>
        <v>0.96499999999999098</v>
      </c>
      <c r="I23"/>
      <c r="J23"/>
    </row>
    <row r="24" spans="1:13" ht="18.75" x14ac:dyDescent="0.15">
      <c r="A24" s="10">
        <f t="shared" ca="1" si="0"/>
        <v>46171.015728356499</v>
      </c>
      <c r="B24" s="5" t="s">
        <v>75</v>
      </c>
      <c r="C24" s="11">
        <v>1.57291666666667E-2</v>
      </c>
      <c r="D24" s="11" t="s">
        <v>62</v>
      </c>
      <c r="E24" s="11">
        <v>0.13843749999999999</v>
      </c>
      <c r="F24" s="12">
        <f t="shared" si="1"/>
        <v>2.944999999999999</v>
      </c>
      <c r="G24" s="13">
        <f t="shared" si="2"/>
        <v>0</v>
      </c>
      <c r="H24" s="13">
        <f t="shared" si="3"/>
        <v>2.944999999999999</v>
      </c>
      <c r="I24"/>
      <c r="J24"/>
    </row>
    <row r="25" spans="1:13" ht="18.75" x14ac:dyDescent="0.15">
      <c r="A25" s="10">
        <f t="shared" ca="1" si="0"/>
        <v>46172.139358333297</v>
      </c>
      <c r="B25" s="5" t="s">
        <v>82</v>
      </c>
      <c r="C25" s="11">
        <v>0.139351851851852</v>
      </c>
      <c r="D25" s="11" t="s">
        <v>62</v>
      </c>
      <c r="E25" s="11">
        <v>0.29726851851851799</v>
      </c>
      <c r="F25" s="12">
        <f t="shared" si="1"/>
        <v>3.7899999999999836</v>
      </c>
      <c r="G25" s="13">
        <f t="shared" si="2"/>
        <v>0</v>
      </c>
      <c r="H25" s="13">
        <f t="shared" si="3"/>
        <v>3.7899999999999836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46144.501096874999</v>
      </c>
      <c r="B3" s="5" t="s">
        <v>82</v>
      </c>
      <c r="C3" s="11">
        <v>0.50108796296296299</v>
      </c>
      <c r="D3" s="11" t="s">
        <v>62</v>
      </c>
      <c r="E3" s="11">
        <v>0.63127314814814794</v>
      </c>
      <c r="F3" s="12">
        <f t="shared" ref="F3:F42" si="1">(IF(E3-C3&lt;0,"24:00"-C3+E3,E3-C3))*24</f>
        <v>3.124444444444439</v>
      </c>
      <c r="G3" s="13">
        <f t="shared" ref="G3:G42" si="2">F3-H3</f>
        <v>3.124444444444439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46144.751424768503</v>
      </c>
      <c r="B4" s="5" t="s">
        <v>81</v>
      </c>
      <c r="C4" s="11">
        <v>0.751423611111111</v>
      </c>
      <c r="D4" s="11" t="s">
        <v>62</v>
      </c>
      <c r="E4" s="11">
        <v>0.87969907407407399</v>
      </c>
      <c r="F4" s="12">
        <f t="shared" si="1"/>
        <v>3.0786111111111119</v>
      </c>
      <c r="G4" s="13">
        <f t="shared" si="2"/>
        <v>3.0786111111111119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41.275833333333296</v>
      </c>
      <c r="K4" s="23">
        <f>SUMIF(B:B,"西塔台管制席",G:G)+SUMIF(B:B,"东塔台管制席",G:G)</f>
        <v>29.38499999999997</v>
      </c>
      <c r="L4" s="23">
        <f>SUMIF(B:B,"西塔台管制席",H:H)+SUMIF(B:B,"东塔台管制席",H:H)</f>
        <v>11.890833333333322</v>
      </c>
      <c r="M4" s="19"/>
    </row>
    <row r="5" spans="1:16" ht="18.75" x14ac:dyDescent="0.25">
      <c r="A5" s="10">
        <f t="shared" ca="1" si="0"/>
        <v>46146.140035300901</v>
      </c>
      <c r="B5" s="5" t="s">
        <v>84</v>
      </c>
      <c r="C5" s="11">
        <v>0.14003472222222199</v>
      </c>
      <c r="D5" s="11" t="s">
        <v>62</v>
      </c>
      <c r="E5" s="11">
        <v>0.21118055555555601</v>
      </c>
      <c r="F5" s="12">
        <f t="shared" si="1"/>
        <v>1.7075000000000164</v>
      </c>
      <c r="G5" s="13">
        <f t="shared" si="2"/>
        <v>0</v>
      </c>
      <c r="H5" s="13">
        <f t="shared" si="3"/>
        <v>1.7075000000000164</v>
      </c>
      <c r="I5" s="21" t="s">
        <v>66</v>
      </c>
      <c r="J5" s="22">
        <f>SUMIF(B:B,"西塔台协调席",F:F)+SUMIF(B:B,"东塔台协调席",F:F)</f>
        <v>31.059722222222163</v>
      </c>
      <c r="K5" s="23">
        <f>SUMIF(B:B,"西塔台协调席",G:G)+SUMIF(B:B,"东塔台协调席",G:G)</f>
        <v>22.322777777777759</v>
      </c>
      <c r="L5" s="23">
        <f>SUMIF(B:B,"西塔台协调席",H:H)+SUMIF(B:B,"东塔台协调席",H:H)</f>
        <v>8.7369444444444078</v>
      </c>
      <c r="M5" s="19"/>
    </row>
    <row r="6" spans="1:16" ht="18.75" x14ac:dyDescent="0.25">
      <c r="A6" s="10">
        <f t="shared" ca="1" si="0"/>
        <v>46146.211222800899</v>
      </c>
      <c r="B6" s="5" t="s">
        <v>81</v>
      </c>
      <c r="C6" s="11">
        <v>0.21121527777777799</v>
      </c>
      <c r="D6" s="11" t="s">
        <v>62</v>
      </c>
      <c r="E6" s="11">
        <v>0.30358796296296298</v>
      </c>
      <c r="F6" s="12">
        <f t="shared" si="1"/>
        <v>2.2169444444444397</v>
      </c>
      <c r="G6" s="13">
        <f t="shared" si="2"/>
        <v>0</v>
      </c>
      <c r="H6" s="13">
        <f t="shared" si="3"/>
        <v>2.2169444444444397</v>
      </c>
      <c r="I6" s="21" t="s">
        <v>67</v>
      </c>
      <c r="J6" s="22">
        <f>SUMIF(B:B,"放行席",F:F)</f>
        <v>4.2805555555555683</v>
      </c>
      <c r="K6" s="23">
        <f>SUMIF(B:B,"放行席",G:G)</f>
        <v>0</v>
      </c>
      <c r="L6" s="23">
        <f>SUMIF(B:B,"放行席",H:H)</f>
        <v>4.2805555555555683</v>
      </c>
      <c r="M6" s="19"/>
    </row>
    <row r="7" spans="1:16" ht="18.75" x14ac:dyDescent="0.25">
      <c r="A7" s="10">
        <f t="shared" ca="1" si="0"/>
        <v>46148.501309143503</v>
      </c>
      <c r="B7" s="5" t="s">
        <v>79</v>
      </c>
      <c r="C7" s="11">
        <v>0.50130787037036995</v>
      </c>
      <c r="D7" s="11" t="s">
        <v>62</v>
      </c>
      <c r="E7" s="11">
        <v>0.63296296296296295</v>
      </c>
      <c r="F7" s="12">
        <f t="shared" si="1"/>
        <v>3.1597222222222321</v>
      </c>
      <c r="G7" s="13">
        <f t="shared" si="2"/>
        <v>3.1597222222222321</v>
      </c>
      <c r="H7" s="13">
        <f t="shared" si="3"/>
        <v>0</v>
      </c>
      <c r="I7" s="21" t="s">
        <v>68</v>
      </c>
      <c r="J7" s="22">
        <f>SUMIF(B:B,"地面席",F:F)</f>
        <v>3.8875000000000082</v>
      </c>
      <c r="K7" s="23">
        <f>SUMIF(B:B,"地面席",G:G)</f>
        <v>0</v>
      </c>
      <c r="L7" s="23">
        <f>SUMIF(B:B,"地面席",H:H)</f>
        <v>3.8875000000000082</v>
      </c>
      <c r="M7" s="19"/>
    </row>
    <row r="8" spans="1:16" ht="18.75" x14ac:dyDescent="0.25">
      <c r="A8" s="10">
        <f t="shared" ca="1" si="0"/>
        <v>46148.751919212998</v>
      </c>
      <c r="B8" s="5" t="s">
        <v>75</v>
      </c>
      <c r="C8" s="11">
        <v>0.75190972222222197</v>
      </c>
      <c r="D8" s="11" t="s">
        <v>62</v>
      </c>
      <c r="E8" s="11">
        <v>0.88085648148148099</v>
      </c>
      <c r="F8" s="12">
        <f t="shared" si="1"/>
        <v>3.0947222222222166</v>
      </c>
      <c r="G8" s="13">
        <f t="shared" si="2"/>
        <v>3.0947222222222166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46149.418372800901</v>
      </c>
      <c r="B9" s="5" t="s">
        <v>79</v>
      </c>
      <c r="C9" s="11">
        <v>0.41836805555555601</v>
      </c>
      <c r="D9" s="11" t="s">
        <v>62</v>
      </c>
      <c r="E9" s="11">
        <v>0.52009259259259299</v>
      </c>
      <c r="F9" s="12">
        <f t="shared" si="1"/>
        <v>2.4413888888888877</v>
      </c>
      <c r="G9" s="13">
        <f t="shared" si="2"/>
        <v>2.4413888888888877</v>
      </c>
      <c r="H9" s="13">
        <f t="shared" si="3"/>
        <v>0</v>
      </c>
      <c r="I9" s="21" t="s">
        <v>70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46149.833098379597</v>
      </c>
      <c r="B10" s="5" t="s">
        <v>79</v>
      </c>
      <c r="C10" s="11">
        <v>0.833090277777778</v>
      </c>
      <c r="D10" s="11" t="s">
        <v>62</v>
      </c>
      <c r="E10" s="11">
        <v>0.965208333333333</v>
      </c>
      <c r="F10" s="12">
        <f t="shared" si="1"/>
        <v>3.1708333333333201</v>
      </c>
      <c r="G10" s="13">
        <f t="shared" si="2"/>
        <v>3.1708333333333201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46150.301639004603</v>
      </c>
      <c r="B11" s="5" t="s">
        <v>75</v>
      </c>
      <c r="C11" s="11">
        <v>0.30163194444444402</v>
      </c>
      <c r="D11" s="11" t="s">
        <v>62</v>
      </c>
      <c r="E11" s="11">
        <v>0.36409722222222202</v>
      </c>
      <c r="F11" s="12">
        <f t="shared" si="1"/>
        <v>1.4991666666666719</v>
      </c>
      <c r="G11" s="13">
        <f t="shared" si="2"/>
        <v>0.73833333333333684</v>
      </c>
      <c r="H11" s="13">
        <f t="shared" si="3"/>
        <v>0.76083333333333503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46153.133499305601</v>
      </c>
      <c r="B12" s="5" t="s">
        <v>83</v>
      </c>
      <c r="C12" s="11">
        <v>0.13349537037036999</v>
      </c>
      <c r="D12" s="11" t="s">
        <v>62</v>
      </c>
      <c r="E12" s="11">
        <v>0.21873842592592599</v>
      </c>
      <c r="F12" s="12">
        <f t="shared" si="1"/>
        <v>2.0458333333333441</v>
      </c>
      <c r="G12" s="13">
        <f t="shared" si="2"/>
        <v>0</v>
      </c>
      <c r="H12" s="13">
        <f t="shared" si="3"/>
        <v>2.0458333333333441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46153.9606158565</v>
      </c>
      <c r="B13" s="5" t="s">
        <v>75</v>
      </c>
      <c r="C13" s="11">
        <v>0.96061342592592602</v>
      </c>
      <c r="D13" s="11" t="s">
        <v>62</v>
      </c>
      <c r="E13" s="11">
        <v>0.12052083333333299</v>
      </c>
      <c r="F13" s="12">
        <f t="shared" si="1"/>
        <v>3.8377777777777675</v>
      </c>
      <c r="G13" s="13">
        <f t="shared" si="2"/>
        <v>0.94527777777777544</v>
      </c>
      <c r="H13" s="13">
        <f t="shared" si="3"/>
        <v>2.8924999999999921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46157.138896875003</v>
      </c>
      <c r="B14" s="5" t="s">
        <v>84</v>
      </c>
      <c r="C14" s="11">
        <v>0.13888888888888901</v>
      </c>
      <c r="D14" s="11" t="s">
        <v>62</v>
      </c>
      <c r="E14" s="11">
        <v>0.22972222222222199</v>
      </c>
      <c r="F14" s="12">
        <f t="shared" si="1"/>
        <v>2.1799999999999917</v>
      </c>
      <c r="G14" s="13">
        <f t="shared" si="2"/>
        <v>0</v>
      </c>
      <c r="H14" s="13">
        <f t="shared" si="3"/>
        <v>2.1799999999999917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46158.140859375002</v>
      </c>
      <c r="B15" s="5" t="s">
        <v>82</v>
      </c>
      <c r="C15" s="11">
        <v>0.140856481481481</v>
      </c>
      <c r="D15" s="11" t="s">
        <v>62</v>
      </c>
      <c r="E15" s="11">
        <v>0.30342592592592599</v>
      </c>
      <c r="F15" s="12">
        <f t="shared" si="1"/>
        <v>3.9016666666666797</v>
      </c>
      <c r="G15" s="13">
        <f t="shared" si="2"/>
        <v>0</v>
      </c>
      <c r="H15" s="13">
        <f t="shared" si="3"/>
        <v>3.9016666666666797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46160.356686458297</v>
      </c>
      <c r="B16" s="5" t="s">
        <v>75</v>
      </c>
      <c r="C16" s="11">
        <v>0.356678240740741</v>
      </c>
      <c r="D16" s="11" t="s">
        <v>62</v>
      </c>
      <c r="E16" s="11">
        <v>0.50872685185185196</v>
      </c>
      <c r="F16" s="12">
        <f t="shared" si="1"/>
        <v>3.6491666666666629</v>
      </c>
      <c r="G16" s="13">
        <f t="shared" si="2"/>
        <v>3.6491666666666629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46160.627100231497</v>
      </c>
      <c r="B17" s="5" t="s">
        <v>79</v>
      </c>
      <c r="C17" s="11">
        <v>0.62709490740740703</v>
      </c>
      <c r="D17" s="11" t="s">
        <v>62</v>
      </c>
      <c r="E17" s="11">
        <v>0.76027777777777805</v>
      </c>
      <c r="F17" s="12">
        <f t="shared" si="1"/>
        <v>3.1963888888889045</v>
      </c>
      <c r="G17" s="13">
        <f t="shared" si="2"/>
        <v>3.1963888888889045</v>
      </c>
      <c r="H17" s="13">
        <f t="shared" si="3"/>
        <v>0</v>
      </c>
      <c r="I17" s="35" t="s">
        <v>77</v>
      </c>
      <c r="J17" s="36">
        <f>J4+J5+J6+J7+J10</f>
        <v>80.503611111111027</v>
      </c>
      <c r="K17" s="37">
        <f>K4+K5+K6+K7+K10</f>
        <v>51.707777777777729</v>
      </c>
      <c r="L17" s="38">
        <f>L4+L5+L6+L7+L10</f>
        <v>28.795833333333306</v>
      </c>
      <c r="M17" s="39"/>
    </row>
    <row r="18" spans="1:13" ht="20.25" x14ac:dyDescent="0.25">
      <c r="A18" s="10">
        <f t="shared" ca="1" si="0"/>
        <v>46160.957059143497</v>
      </c>
      <c r="B18" s="5" t="s">
        <v>75</v>
      </c>
      <c r="C18" s="11">
        <v>0.87510416666666702</v>
      </c>
      <c r="D18" s="11" t="s">
        <v>62</v>
      </c>
      <c r="E18" s="11">
        <v>0.96403935185185197</v>
      </c>
      <c r="F18" s="12">
        <f t="shared" si="1"/>
        <v>2.1344444444444388</v>
      </c>
      <c r="G18" s="13">
        <f t="shared" si="2"/>
        <v>2.1344444444444388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46161.301164236102</v>
      </c>
      <c r="B19" s="5" t="s">
        <v>82</v>
      </c>
      <c r="C19" s="11">
        <v>0.30115740740740699</v>
      </c>
      <c r="D19" s="11" t="s">
        <v>62</v>
      </c>
      <c r="E19" s="11">
        <v>0.3178125</v>
      </c>
      <c r="F19" s="12">
        <f t="shared" si="1"/>
        <v>0.3997222222222323</v>
      </c>
      <c r="G19" s="13">
        <f t="shared" si="2"/>
        <v>0</v>
      </c>
      <c r="H19" s="13">
        <f t="shared" si="3"/>
        <v>0.3997222222222323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46161.317851504602</v>
      </c>
      <c r="B20" s="5" t="s">
        <v>79</v>
      </c>
      <c r="C20" s="11">
        <v>0.317847222222222</v>
      </c>
      <c r="D20" s="11" t="s">
        <v>62</v>
      </c>
      <c r="E20" s="11">
        <v>0.46564814814814798</v>
      </c>
      <c r="F20" s="12">
        <f t="shared" si="1"/>
        <v>3.5472222222222234</v>
      </c>
      <c r="G20" s="13">
        <f t="shared" si="2"/>
        <v>3.1755555555555599</v>
      </c>
      <c r="H20" s="13">
        <f t="shared" si="3"/>
        <v>0.37166666666666348</v>
      </c>
      <c r="I20" s="40" t="s">
        <v>80</v>
      </c>
      <c r="J20" s="65">
        <f>J16+J17+J18+J19</f>
        <v>80.503611111111027</v>
      </c>
      <c r="K20" s="66"/>
      <c r="L20" s="67"/>
      <c r="M20" s="41"/>
    </row>
    <row r="21" spans="1:13" ht="20.25" x14ac:dyDescent="0.25">
      <c r="A21" s="10">
        <f t="shared" ca="1" si="0"/>
        <v>46161.540829398102</v>
      </c>
      <c r="B21" s="5" t="s">
        <v>75</v>
      </c>
      <c r="C21" s="11">
        <v>0.54082175925925902</v>
      </c>
      <c r="D21" s="11" t="s">
        <v>62</v>
      </c>
      <c r="E21" s="11">
        <v>0.63284722222222201</v>
      </c>
      <c r="F21" s="12">
        <f t="shared" si="1"/>
        <v>2.2086111111111117</v>
      </c>
      <c r="G21" s="13">
        <f t="shared" si="2"/>
        <v>2.2086111111111117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46161.7512236111</v>
      </c>
      <c r="B22" s="5" t="s">
        <v>79</v>
      </c>
      <c r="C22" s="11">
        <v>0.75121527777777797</v>
      </c>
      <c r="D22" s="11" t="s">
        <v>62</v>
      </c>
      <c r="E22" s="11">
        <v>0.84118055555555504</v>
      </c>
      <c r="F22" s="12">
        <f t="shared" si="1"/>
        <v>2.1591666666666498</v>
      </c>
      <c r="G22" s="13">
        <f t="shared" si="2"/>
        <v>2.1591666666666498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46165.001649305603</v>
      </c>
      <c r="B23" s="5" t="s">
        <v>79</v>
      </c>
      <c r="C23" s="11">
        <v>1.6435185185185201E-3</v>
      </c>
      <c r="D23" s="11" t="s">
        <v>62</v>
      </c>
      <c r="E23" s="11">
        <v>0.14800925925925901</v>
      </c>
      <c r="F23" s="12">
        <f t="shared" si="1"/>
        <v>3.5127777777777718</v>
      </c>
      <c r="G23" s="13">
        <f t="shared" si="2"/>
        <v>0</v>
      </c>
      <c r="H23" s="13">
        <f t="shared" si="3"/>
        <v>3.5127777777777718</v>
      </c>
      <c r="I23"/>
      <c r="J23"/>
    </row>
    <row r="24" spans="1:13" ht="18.75" x14ac:dyDescent="0.15">
      <c r="A24" s="10">
        <f t="shared" ca="1" si="0"/>
        <v>46166.015251157398</v>
      </c>
      <c r="B24" s="5" t="s">
        <v>81</v>
      </c>
      <c r="C24" s="11">
        <v>1.52430555555556E-2</v>
      </c>
      <c r="D24" s="11" t="s">
        <v>62</v>
      </c>
      <c r="E24" s="11">
        <v>0.102256944444444</v>
      </c>
      <c r="F24" s="12">
        <f t="shared" si="1"/>
        <v>2.0883333333333214</v>
      </c>
      <c r="G24" s="13">
        <f t="shared" si="2"/>
        <v>0</v>
      </c>
      <c r="H24" s="13">
        <f t="shared" si="3"/>
        <v>2.0883333333333214</v>
      </c>
      <c r="I24"/>
      <c r="J24"/>
    </row>
    <row r="25" spans="1:13" ht="18.75" x14ac:dyDescent="0.15">
      <c r="A25" s="10">
        <f t="shared" ca="1" si="0"/>
        <v>46166.102283796303</v>
      </c>
      <c r="B25" s="5" t="s">
        <v>79</v>
      </c>
      <c r="C25" s="11">
        <v>0.10228009259259301</v>
      </c>
      <c r="D25" s="11" t="s">
        <v>62</v>
      </c>
      <c r="E25" s="11">
        <v>0.144606481481481</v>
      </c>
      <c r="F25" s="12">
        <f t="shared" si="1"/>
        <v>1.0158333333333118</v>
      </c>
      <c r="G25" s="13">
        <f t="shared" si="2"/>
        <v>0</v>
      </c>
      <c r="H25" s="13">
        <f t="shared" si="3"/>
        <v>1.0158333333333118</v>
      </c>
      <c r="I25"/>
      <c r="J25"/>
    </row>
    <row r="26" spans="1:13" ht="18.75" x14ac:dyDescent="0.15">
      <c r="A26" s="10">
        <f t="shared" ca="1" si="0"/>
        <v>46168.957631134297</v>
      </c>
      <c r="B26" s="5" t="s">
        <v>82</v>
      </c>
      <c r="C26" s="11">
        <v>0.957627314814815</v>
      </c>
      <c r="D26" s="11" t="s">
        <v>62</v>
      </c>
      <c r="E26" s="11">
        <v>0.112048611111111</v>
      </c>
      <c r="F26" s="12">
        <f t="shared" si="1"/>
        <v>3.7061111111111043</v>
      </c>
      <c r="G26" s="13">
        <f t="shared" si="2"/>
        <v>1.01694444444444</v>
      </c>
      <c r="H26" s="13">
        <f t="shared" si="3"/>
        <v>2.6891666666666643</v>
      </c>
      <c r="I26"/>
      <c r="J26"/>
    </row>
    <row r="27" spans="1:13" ht="18.75" x14ac:dyDescent="0.15">
      <c r="A27" s="10">
        <f t="shared" ca="1" si="0"/>
        <v>46170.133706365697</v>
      </c>
      <c r="B27" s="5" t="s">
        <v>83</v>
      </c>
      <c r="C27" s="11">
        <v>0.13370370370370399</v>
      </c>
      <c r="D27" s="11" t="s">
        <v>62</v>
      </c>
      <c r="E27" s="11">
        <v>0.22681712962962999</v>
      </c>
      <c r="F27" s="12">
        <f t="shared" si="1"/>
        <v>2.2347222222222243</v>
      </c>
      <c r="G27" s="13">
        <f t="shared" si="2"/>
        <v>0</v>
      </c>
      <c r="H27" s="13">
        <f t="shared" si="3"/>
        <v>2.2347222222222243</v>
      </c>
      <c r="I27"/>
      <c r="J27"/>
    </row>
    <row r="28" spans="1:13" ht="18.75" x14ac:dyDescent="0.15">
      <c r="A28" s="10">
        <f t="shared" ca="1" si="0"/>
        <v>46172.356263888898</v>
      </c>
      <c r="B28" s="5" t="s">
        <v>82</v>
      </c>
      <c r="C28" s="11">
        <v>0.35626157407407399</v>
      </c>
      <c r="D28" s="11" t="s">
        <v>62</v>
      </c>
      <c r="E28" s="11">
        <v>0.51128472222222199</v>
      </c>
      <c r="F28" s="12">
        <f t="shared" si="1"/>
        <v>3.7205555555555518</v>
      </c>
      <c r="G28" s="13">
        <f t="shared" si="2"/>
        <v>3.7205555555555518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46172.626060185197</v>
      </c>
      <c r="B29" s="5" t="s">
        <v>81</v>
      </c>
      <c r="C29" s="11">
        <v>0.62605324074074098</v>
      </c>
      <c r="D29" s="11" t="s">
        <v>62</v>
      </c>
      <c r="E29" s="11">
        <v>0.76570601851851805</v>
      </c>
      <c r="F29" s="12">
        <f t="shared" si="1"/>
        <v>3.3516666666666497</v>
      </c>
      <c r="G29" s="13">
        <f t="shared" si="2"/>
        <v>3.3516666666666497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46172.875351041701</v>
      </c>
      <c r="B30" s="5" t="s">
        <v>82</v>
      </c>
      <c r="C30" s="11">
        <v>0.87534722222222205</v>
      </c>
      <c r="D30" s="11" t="s">
        <v>62</v>
      </c>
      <c r="E30" s="11">
        <v>0.96343749999999995</v>
      </c>
      <c r="F30" s="12">
        <f t="shared" si="1"/>
        <v>2.1141666666666694</v>
      </c>
      <c r="G30" s="13">
        <f t="shared" si="2"/>
        <v>2.1141666666666694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46173.3009096065</v>
      </c>
      <c r="B31" s="5" t="s">
        <v>75</v>
      </c>
      <c r="C31" s="11">
        <v>0.30090277777777802</v>
      </c>
      <c r="D31" s="11" t="s">
        <v>62</v>
      </c>
      <c r="E31" s="11">
        <v>0.46341435185185198</v>
      </c>
      <c r="F31" s="12">
        <f t="shared" si="1"/>
        <v>3.9002777777777751</v>
      </c>
      <c r="G31" s="13">
        <f t="shared" si="2"/>
        <v>3.121944444444456</v>
      </c>
      <c r="H31" s="13">
        <f t="shared" si="3"/>
        <v>0.77833333333331911</v>
      </c>
      <c r="I31"/>
      <c r="J31"/>
    </row>
    <row r="32" spans="1:13" ht="18.75" x14ac:dyDescent="0.15">
      <c r="A32" s="10">
        <f t="shared" ca="1" si="0"/>
        <v>46173.543381944401</v>
      </c>
      <c r="B32" s="5" t="s">
        <v>79</v>
      </c>
      <c r="C32" s="11">
        <v>0.54337962962963005</v>
      </c>
      <c r="D32" s="11" t="s">
        <v>62</v>
      </c>
      <c r="E32" s="11">
        <v>0.631122685185185</v>
      </c>
      <c r="F32" s="12">
        <f t="shared" si="1"/>
        <v>2.1058333333333188</v>
      </c>
      <c r="G32" s="13">
        <f t="shared" si="2"/>
        <v>2.1058333333333188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42"/>
  <sheetViews>
    <sheetView topLeftCell="A7" zoomScale="85" zoomScaleNormal="85" workbookViewId="0">
      <selection activeCell="E26" sqref="E26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46144.353470023103</v>
      </c>
      <c r="B3" s="5" t="s">
        <v>81</v>
      </c>
      <c r="C3" s="11">
        <v>0.35350694444444403</v>
      </c>
      <c r="D3" s="11" t="s">
        <v>62</v>
      </c>
      <c r="E3" s="11">
        <v>0.50765046296296301</v>
      </c>
      <c r="F3" s="12">
        <f t="shared" ref="F3:F42" si="1">(IF(E3-C3&lt;0,"24:00"-C3+E3,E3-C3))*24</f>
        <v>3.6994444444444556</v>
      </c>
      <c r="G3" s="13">
        <f t="shared" ref="G3:G42" si="2">F3-H3</f>
        <v>3.6994444444444556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46144.627203009302</v>
      </c>
      <c r="B4" s="5" t="s">
        <v>82</v>
      </c>
      <c r="C4" s="11">
        <v>0.62719907407407405</v>
      </c>
      <c r="D4" s="11" t="s">
        <v>62</v>
      </c>
      <c r="E4" s="11">
        <v>0.75914351851851902</v>
      </c>
      <c r="F4" s="12">
        <f t="shared" si="1"/>
        <v>3.1666666666666794</v>
      </c>
      <c r="G4" s="13">
        <f t="shared" si="2"/>
        <v>3.1666666666666794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24.106111111111105</v>
      </c>
      <c r="K4" s="23">
        <f>SUMIF(B:B,"西塔台管制席",G:G)+SUMIF(B:B,"东塔台管制席",G:G)</f>
        <v>14.088055555555563</v>
      </c>
      <c r="L4" s="23">
        <f>SUMIF(B:B,"西塔台管制席",H:H)+SUMIF(B:B,"东塔台管制席",H:H)</f>
        <v>10.018055555555542</v>
      </c>
      <c r="M4" s="19"/>
    </row>
    <row r="5" spans="1:16" ht="18.75" x14ac:dyDescent="0.25">
      <c r="A5" s="10">
        <f t="shared" ca="1" si="0"/>
        <v>46144.8772880787</v>
      </c>
      <c r="B5" s="5" t="s">
        <v>81</v>
      </c>
      <c r="C5" s="11">
        <v>0.87728009259259299</v>
      </c>
      <c r="D5" s="11" t="s">
        <v>62</v>
      </c>
      <c r="E5" s="11">
        <v>0.96478009259259301</v>
      </c>
      <c r="F5" s="12">
        <f t="shared" si="1"/>
        <v>2.1000000000000005</v>
      </c>
      <c r="G5" s="13">
        <f t="shared" si="2"/>
        <v>2.1000000000000005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24.100833333333313</v>
      </c>
      <c r="K5" s="23">
        <f>SUMIF(B:B,"西塔台协调席",G:G)+SUMIF(B:B,"东塔台协调席",G:G)</f>
        <v>19.77444444444442</v>
      </c>
      <c r="L5" s="23">
        <f>SUMIF(B:B,"西塔台协调席",H:H)+SUMIF(B:B,"东塔台协调席",H:H)</f>
        <v>4.3263888888888964</v>
      </c>
      <c r="M5" s="19"/>
    </row>
    <row r="6" spans="1:16" ht="18.75" x14ac:dyDescent="0.25">
      <c r="A6" s="10">
        <f t="shared" ca="1" si="0"/>
        <v>46145.3004596065</v>
      </c>
      <c r="B6" s="5" t="s">
        <v>79</v>
      </c>
      <c r="C6" s="11">
        <v>0.300451388888889</v>
      </c>
      <c r="D6" s="11" t="s">
        <v>62</v>
      </c>
      <c r="E6" s="11">
        <v>0.42770833333333302</v>
      </c>
      <c r="F6" s="12">
        <f t="shared" si="1"/>
        <v>3.0541666666666565</v>
      </c>
      <c r="G6" s="13">
        <f t="shared" si="2"/>
        <v>2.265000000000001</v>
      </c>
      <c r="H6" s="13">
        <f t="shared" si="3"/>
        <v>0.78916666666665547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46145.503290972199</v>
      </c>
      <c r="B7" s="5" t="s">
        <v>79</v>
      </c>
      <c r="C7" s="11">
        <v>0.50328703703703703</v>
      </c>
      <c r="D7" s="11" t="s">
        <v>62</v>
      </c>
      <c r="E7" s="11">
        <v>0.51443287037037</v>
      </c>
      <c r="F7" s="12">
        <f t="shared" si="1"/>
        <v>0.26749999999999119</v>
      </c>
      <c r="G7" s="13">
        <f t="shared" si="2"/>
        <v>0.26749999999999119</v>
      </c>
      <c r="H7" s="13">
        <f t="shared" si="3"/>
        <v>0</v>
      </c>
      <c r="I7" s="21" t="s">
        <v>68</v>
      </c>
      <c r="J7" s="22">
        <f>SUMIF(B:B,"地面席",F:F)</f>
        <v>4.113611111111112</v>
      </c>
      <c r="K7" s="23">
        <f>SUMIF(B:B,"地面席",G:G)</f>
        <v>0</v>
      </c>
      <c r="L7" s="23">
        <f>SUMIF(B:B,"地面席",H:H)</f>
        <v>4.113611111111112</v>
      </c>
      <c r="M7" s="19"/>
    </row>
    <row r="8" spans="1:16" ht="18.75" x14ac:dyDescent="0.25">
      <c r="A8" s="10">
        <f t="shared" ca="1" si="0"/>
        <v>46145.529767245403</v>
      </c>
      <c r="B8" s="5" t="s">
        <v>79</v>
      </c>
      <c r="C8" s="11">
        <v>0.52975694444444399</v>
      </c>
      <c r="D8" s="11" t="s">
        <v>62</v>
      </c>
      <c r="E8" s="11">
        <v>0.63074074074074105</v>
      </c>
      <c r="F8" s="12">
        <f t="shared" si="1"/>
        <v>2.4236111111111294</v>
      </c>
      <c r="G8" s="13">
        <f t="shared" si="2"/>
        <v>2.4236111111111294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46145.7554087963</v>
      </c>
      <c r="B9" s="5" t="s">
        <v>75</v>
      </c>
      <c r="C9" s="11">
        <v>0.75540509259259303</v>
      </c>
      <c r="D9" s="11" t="s">
        <v>62</v>
      </c>
      <c r="E9" s="11">
        <v>0.841168981481481</v>
      </c>
      <c r="F9" s="12">
        <f t="shared" si="1"/>
        <v>2.0583333333333114</v>
      </c>
      <c r="G9" s="13">
        <f t="shared" si="2"/>
        <v>2.0583333333333114</v>
      </c>
      <c r="H9" s="13">
        <f t="shared" si="3"/>
        <v>0</v>
      </c>
      <c r="I9" s="21" t="s">
        <v>70</v>
      </c>
      <c r="J9" s="22">
        <f>SUMIF(B:B,"航班调度席",F:F)</f>
        <v>9.4244444444444664</v>
      </c>
      <c r="K9" s="23">
        <f>SUMIF(B:B,"航班调度席",G:G)</f>
        <v>9.4244444444444664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46148.376961111098</v>
      </c>
      <c r="B10" s="5" t="s">
        <v>61</v>
      </c>
      <c r="C10" s="11">
        <v>0.37695601851851901</v>
      </c>
      <c r="D10" s="11" t="s">
        <v>62</v>
      </c>
      <c r="E10" s="11">
        <v>0.50574074074074105</v>
      </c>
      <c r="F10" s="12">
        <f t="shared" si="1"/>
        <v>3.0908333333333289</v>
      </c>
      <c r="G10" s="13">
        <f t="shared" si="2"/>
        <v>3.0908333333333289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46148.611768402799</v>
      </c>
      <c r="B11" s="5" t="s">
        <v>61</v>
      </c>
      <c r="C11" s="11">
        <v>0.611759259259259</v>
      </c>
      <c r="D11" s="11" t="s">
        <v>62</v>
      </c>
      <c r="E11" s="11">
        <v>0.74540509259259302</v>
      </c>
      <c r="F11" s="12">
        <f t="shared" si="1"/>
        <v>3.2075000000000164</v>
      </c>
      <c r="G11" s="13">
        <f t="shared" si="2"/>
        <v>3.2075000000000164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46149.377704976898</v>
      </c>
      <c r="B12" s="5" t="s">
        <v>61</v>
      </c>
      <c r="C12" s="11">
        <v>0.377696759259259</v>
      </c>
      <c r="D12" s="11" t="s">
        <v>62</v>
      </c>
      <c r="E12" s="11">
        <v>0.50795138888888902</v>
      </c>
      <c r="F12" s="12">
        <f t="shared" si="1"/>
        <v>3.1261111111111206</v>
      </c>
      <c r="G12" s="13">
        <f t="shared" si="2"/>
        <v>3.1261111111111206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46149.623090624998</v>
      </c>
      <c r="B13" s="5" t="s">
        <v>75</v>
      </c>
      <c r="C13" s="11">
        <v>0.62309027777777803</v>
      </c>
      <c r="D13" s="11" t="s">
        <v>62</v>
      </c>
      <c r="E13" s="11">
        <v>0.73193287037037003</v>
      </c>
      <c r="F13" s="12">
        <f t="shared" si="1"/>
        <v>2.6122222222222078</v>
      </c>
      <c r="G13" s="13">
        <f t="shared" si="2"/>
        <v>2.6122222222222078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46152.959544907397</v>
      </c>
      <c r="B14" s="5" t="s">
        <v>75</v>
      </c>
      <c r="C14" s="11">
        <v>0.95953703703703697</v>
      </c>
      <c r="D14" s="11" t="s">
        <v>62</v>
      </c>
      <c r="E14" s="11">
        <v>0.108738425925926</v>
      </c>
      <c r="F14" s="12">
        <f t="shared" si="1"/>
        <v>3.5808333333333371</v>
      </c>
      <c r="G14" s="13">
        <f t="shared" si="2"/>
        <v>0.97111111111111281</v>
      </c>
      <c r="H14" s="13">
        <f t="shared" si="3"/>
        <v>2.6097222222222243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46154.015032523203</v>
      </c>
      <c r="B15" s="5" t="s">
        <v>82</v>
      </c>
      <c r="C15" s="11">
        <v>1.50231481481481E-2</v>
      </c>
      <c r="D15" s="11" t="s">
        <v>62</v>
      </c>
      <c r="E15" s="11">
        <v>0.14442129629629599</v>
      </c>
      <c r="F15" s="12">
        <f t="shared" si="1"/>
        <v>3.1055555555555499</v>
      </c>
      <c r="G15" s="13">
        <f t="shared" si="2"/>
        <v>0</v>
      </c>
      <c r="H15" s="13">
        <f t="shared" si="3"/>
        <v>3.1055555555555499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46157.1404741898</v>
      </c>
      <c r="B16" s="5" t="s">
        <v>82</v>
      </c>
      <c r="C16" s="11">
        <v>0.140474537037037</v>
      </c>
      <c r="D16" s="11" t="s">
        <v>62</v>
      </c>
      <c r="E16" s="11">
        <v>0.229814814814815</v>
      </c>
      <c r="F16" s="12">
        <f t="shared" si="1"/>
        <v>2.1441666666666723</v>
      </c>
      <c r="G16" s="13">
        <f t="shared" si="2"/>
        <v>0</v>
      </c>
      <c r="H16" s="13">
        <f t="shared" si="3"/>
        <v>2.1441666666666723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46157.229846875001</v>
      </c>
      <c r="B17" s="5" t="s">
        <v>75</v>
      </c>
      <c r="C17" s="11">
        <v>0.230196759259259</v>
      </c>
      <c r="D17" s="11" t="s">
        <v>62</v>
      </c>
      <c r="E17" s="11">
        <v>0.301724537037037</v>
      </c>
      <c r="F17" s="12">
        <f t="shared" si="1"/>
        <v>1.7166666666666719</v>
      </c>
      <c r="G17" s="13">
        <f t="shared" si="2"/>
        <v>0</v>
      </c>
      <c r="H17" s="13">
        <f t="shared" si="3"/>
        <v>1.7166666666666719</v>
      </c>
      <c r="I17" s="35" t="s">
        <v>77</v>
      </c>
      <c r="J17" s="36">
        <f>J4+J5+J6+J7+J10</f>
        <v>52.320555555555529</v>
      </c>
      <c r="K17" s="37">
        <f>K4+K5+K6+K7+K10</f>
        <v>33.862499999999983</v>
      </c>
      <c r="L17" s="38">
        <f>L4+L5+L6+L7+L10</f>
        <v>18.45805555555555</v>
      </c>
      <c r="M17" s="39"/>
    </row>
    <row r="18" spans="1:13" ht="20.25" x14ac:dyDescent="0.25">
      <c r="A18" s="10">
        <f t="shared" ca="1" si="0"/>
        <v>46158.142293634301</v>
      </c>
      <c r="B18" s="5" t="s">
        <v>84</v>
      </c>
      <c r="C18" s="11">
        <v>0.14229166666666701</v>
      </c>
      <c r="D18" s="11" t="s">
        <v>62</v>
      </c>
      <c r="E18" s="11">
        <v>0.22125</v>
      </c>
      <c r="F18" s="12">
        <f t="shared" si="1"/>
        <v>1.8949999999999918</v>
      </c>
      <c r="G18" s="13">
        <f t="shared" si="2"/>
        <v>0</v>
      </c>
      <c r="H18" s="13">
        <f t="shared" si="3"/>
        <v>1.8949999999999918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46169.139849537001</v>
      </c>
      <c r="B19" s="5" t="s">
        <v>84</v>
      </c>
      <c r="C19" s="11">
        <v>0.13984953703703701</v>
      </c>
      <c r="D19" s="11" t="s">
        <v>62</v>
      </c>
      <c r="E19" s="11">
        <v>0.23229166666666701</v>
      </c>
      <c r="F19" s="12">
        <f t="shared" si="1"/>
        <v>2.21861111111112</v>
      </c>
      <c r="G19" s="13">
        <f t="shared" si="2"/>
        <v>0</v>
      </c>
      <c r="H19" s="13">
        <f t="shared" si="3"/>
        <v>2.21861111111112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46170.139966435199</v>
      </c>
      <c r="B20" s="5" t="s">
        <v>82</v>
      </c>
      <c r="C20" s="11">
        <v>0.13996527777777801</v>
      </c>
      <c r="D20" s="11" t="s">
        <v>62</v>
      </c>
      <c r="E20" s="11">
        <v>0.305763888888889</v>
      </c>
      <c r="F20" s="12">
        <f t="shared" si="1"/>
        <v>3.9791666666666639</v>
      </c>
      <c r="G20" s="13">
        <f t="shared" si="2"/>
        <v>0</v>
      </c>
      <c r="H20" s="13">
        <f t="shared" si="3"/>
        <v>3.9791666666666639</v>
      </c>
      <c r="I20" s="40" t="s">
        <v>80</v>
      </c>
      <c r="J20" s="65">
        <f>J16+J17+J18+J19</f>
        <v>52.320555555555529</v>
      </c>
      <c r="K20" s="66"/>
      <c r="L20" s="67"/>
      <c r="M20" s="41"/>
    </row>
    <row r="21" spans="1:13" ht="20.25" x14ac:dyDescent="0.25">
      <c r="A21" s="10">
        <f t="shared" ca="1" si="0"/>
        <v>46172.501150347198</v>
      </c>
      <c r="B21" s="5" t="s">
        <v>81</v>
      </c>
      <c r="C21" s="11">
        <v>0.50114583333333296</v>
      </c>
      <c r="D21" s="11" t="s">
        <v>62</v>
      </c>
      <c r="E21" s="11">
        <v>0.63035879629629599</v>
      </c>
      <c r="F21" s="12">
        <f t="shared" si="1"/>
        <v>3.1011111111111127</v>
      </c>
      <c r="G21" s="13">
        <f t="shared" si="2"/>
        <v>3.1011111111111127</v>
      </c>
      <c r="H21" s="13">
        <f t="shared" si="3"/>
        <v>0</v>
      </c>
      <c r="I21" s="42" t="s">
        <v>4</v>
      </c>
      <c r="J21" s="43">
        <f>SUM(J8:J9)</f>
        <v>9.4244444444444664</v>
      </c>
      <c r="K21" s="37">
        <f>SUM(K8:K9)</f>
        <v>9.4244444444444664</v>
      </c>
      <c r="L21" s="38">
        <f>SUM(L8:L9)</f>
        <v>0</v>
      </c>
      <c r="M21" s="44"/>
    </row>
    <row r="22" spans="1:13" ht="18.75" x14ac:dyDescent="0.15">
      <c r="A22" s="10">
        <f t="shared" ca="1" si="0"/>
        <v>46172.760737384298</v>
      </c>
      <c r="B22" s="5" t="s">
        <v>82</v>
      </c>
      <c r="C22" s="11">
        <v>0.76072916666666701</v>
      </c>
      <c r="D22" s="11" t="s">
        <v>62</v>
      </c>
      <c r="E22" s="11">
        <v>0.88076388888888901</v>
      </c>
      <c r="F22" s="12">
        <f t="shared" si="1"/>
        <v>2.880833333333328</v>
      </c>
      <c r="G22" s="13">
        <f t="shared" si="2"/>
        <v>2.880833333333328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46173.459382638903</v>
      </c>
      <c r="B23" s="5" t="s">
        <v>75</v>
      </c>
      <c r="C23" s="11">
        <v>0.45957175925925903</v>
      </c>
      <c r="D23" s="11" t="s">
        <v>62</v>
      </c>
      <c r="E23" s="11">
        <v>0.54759259259259296</v>
      </c>
      <c r="F23" s="12">
        <f t="shared" si="1"/>
        <v>2.1125000000000145</v>
      </c>
      <c r="G23" s="13">
        <f t="shared" si="2"/>
        <v>2.1125000000000145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46173.6271178241</v>
      </c>
      <c r="B24" s="5" t="s">
        <v>79</v>
      </c>
      <c r="C24" s="11">
        <v>0.627118055555556</v>
      </c>
      <c r="D24" s="11" t="s">
        <v>62</v>
      </c>
      <c r="E24" s="11">
        <v>0.75563657407407403</v>
      </c>
      <c r="F24" s="12">
        <f t="shared" si="1"/>
        <v>3.0844444444444328</v>
      </c>
      <c r="G24" s="13">
        <f t="shared" si="2"/>
        <v>3.0844444444444328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46173.834939004599</v>
      </c>
      <c r="B25" s="5" t="s">
        <v>75</v>
      </c>
      <c r="C25" s="11">
        <v>0.83493055555555595</v>
      </c>
      <c r="D25" s="11" t="s">
        <v>62</v>
      </c>
      <c r="E25" s="11">
        <v>0.96491898148148103</v>
      </c>
      <c r="F25" s="12">
        <f t="shared" si="1"/>
        <v>3.1197222222222019</v>
      </c>
      <c r="G25" s="13">
        <f t="shared" si="2"/>
        <v>3.1197222222222019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2"/>
  <sheetViews>
    <sheetView topLeftCell="A13" zoomScale="85" zoomScaleNormal="85" workbookViewId="0">
      <selection activeCell="D39" sqref="D3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46144.761509490701</v>
      </c>
      <c r="B3" s="5" t="s">
        <v>64</v>
      </c>
      <c r="C3" s="11">
        <v>0.76150462962962995</v>
      </c>
      <c r="D3" s="11" t="s">
        <v>62</v>
      </c>
      <c r="E3" s="11">
        <v>0.81372685185185201</v>
      </c>
      <c r="F3" s="12">
        <f t="shared" ref="F3:F42" si="1">(IF(E3-C3&lt;0,"24:00"-C3+E3,E3-C3))*24</f>
        <v>1.2533333333333294</v>
      </c>
      <c r="G3" s="13">
        <f t="shared" ref="G3:G42" si="2">F3-H3</f>
        <v>1.2533333333333294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58.051666666666677</v>
      </c>
      <c r="K3" s="18">
        <f>SUMIF(B:B,"带班主任",G:G)</f>
        <v>41.050555555555569</v>
      </c>
      <c r="L3" s="18">
        <f>SUMIF(B:B,"带班主任",H:H)</f>
        <v>17.001111111111118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46145.133811458298</v>
      </c>
      <c r="B4" s="5" t="s">
        <v>64</v>
      </c>
      <c r="C4" s="11">
        <v>0.13380787037037001</v>
      </c>
      <c r="D4" s="11" t="s">
        <v>62</v>
      </c>
      <c r="E4" s="11">
        <v>0.29935185185185198</v>
      </c>
      <c r="F4" s="12">
        <f t="shared" si="1"/>
        <v>3.9730555555555673</v>
      </c>
      <c r="G4" s="13">
        <f t="shared" si="2"/>
        <v>0</v>
      </c>
      <c r="H4" s="13">
        <f t="shared" si="3"/>
        <v>3.9730555555555673</v>
      </c>
      <c r="I4" s="21" t="s">
        <v>65</v>
      </c>
      <c r="J4" s="22">
        <f>SUMIF(B:B,"西塔台管制席",F:F)+SUMIF(B:B,"东塔台管制席",F:F)</f>
        <v>9.595833333333335</v>
      </c>
      <c r="K4" s="23">
        <f>SUMIF(B:B,"西塔台管制席",G:G)+SUMIF(B:B,"东塔台管制席",G:G)</f>
        <v>5.5883333333333294</v>
      </c>
      <c r="L4" s="23">
        <f>SUMIF(B:B,"西塔台管制席",H:H)+SUMIF(B:B,"东塔台管制席",H:H)</f>
        <v>4.0075000000000074</v>
      </c>
      <c r="M4" s="19"/>
    </row>
    <row r="5" spans="1:16" ht="18.75" x14ac:dyDescent="0.25">
      <c r="A5" s="10">
        <f t="shared" ca="1" si="0"/>
        <v>46145.794118055601</v>
      </c>
      <c r="B5" s="5" t="s">
        <v>64</v>
      </c>
      <c r="C5" s="11">
        <v>0.79410879629629605</v>
      </c>
      <c r="D5" s="11" t="s">
        <v>62</v>
      </c>
      <c r="E5" s="11">
        <v>0.836863425925926</v>
      </c>
      <c r="F5" s="12">
        <f t="shared" si="1"/>
        <v>1.0261111111111187</v>
      </c>
      <c r="G5" s="13">
        <f t="shared" si="2"/>
        <v>1.0261111111111187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24.673611111111068</v>
      </c>
      <c r="K5" s="23">
        <f>SUMIF(B:B,"西塔台协调席",G:G)+SUMIF(B:B,"东塔台协调席",G:G)</f>
        <v>17.322777777777766</v>
      </c>
      <c r="L5" s="23">
        <f>SUMIF(B:B,"西塔台协调席",H:H)+SUMIF(B:B,"东塔台协调席",H:H)</f>
        <v>7.3508333333333038</v>
      </c>
      <c r="M5" s="19"/>
    </row>
    <row r="6" spans="1:16" ht="18.75" x14ac:dyDescent="0.25">
      <c r="A6" s="10">
        <f t="shared" ca="1" si="0"/>
        <v>46145.836904050899</v>
      </c>
      <c r="B6" s="5" t="s">
        <v>75</v>
      </c>
      <c r="C6" s="11">
        <v>0.836898148148148</v>
      </c>
      <c r="D6" s="11" t="s">
        <v>62</v>
      </c>
      <c r="E6" s="11">
        <v>0.96402777777777804</v>
      </c>
      <c r="F6" s="12">
        <f t="shared" si="1"/>
        <v>3.0511111111111209</v>
      </c>
      <c r="G6" s="13">
        <f t="shared" si="2"/>
        <v>3.0511111111111209</v>
      </c>
      <c r="H6" s="13">
        <f t="shared" si="3"/>
        <v>0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46146.300237037001</v>
      </c>
      <c r="B7" s="5" t="s">
        <v>64</v>
      </c>
      <c r="C7" s="11">
        <v>0.30023148148148099</v>
      </c>
      <c r="D7" s="11" t="s">
        <v>62</v>
      </c>
      <c r="E7" s="11">
        <v>0.36347222222222197</v>
      </c>
      <c r="F7" s="12">
        <f t="shared" si="1"/>
        <v>1.5177777777777837</v>
      </c>
      <c r="G7" s="13">
        <f t="shared" si="2"/>
        <v>0.72333333333333583</v>
      </c>
      <c r="H7" s="13">
        <f t="shared" si="3"/>
        <v>0.79444444444444784</v>
      </c>
      <c r="I7" s="21" t="s">
        <v>68</v>
      </c>
      <c r="J7" s="22">
        <f>SUMIF(B:B,"地面席",F:F)</f>
        <v>2.1836111111111278</v>
      </c>
      <c r="K7" s="23">
        <f>SUMIF(B:B,"地面席",G:G)</f>
        <v>0</v>
      </c>
      <c r="L7" s="23">
        <f>SUMIF(B:B,"地面席",H:H)</f>
        <v>2.1836111111111278</v>
      </c>
      <c r="M7" s="19"/>
    </row>
    <row r="8" spans="1:16" ht="18.75" x14ac:dyDescent="0.25">
      <c r="A8" s="10">
        <f t="shared" ca="1" si="0"/>
        <v>46149.0165696759</v>
      </c>
      <c r="B8" s="5" t="s">
        <v>81</v>
      </c>
      <c r="C8" s="11">
        <v>1.6562500000000001E-2</v>
      </c>
      <c r="D8" s="11" t="s">
        <v>62</v>
      </c>
      <c r="E8" s="11">
        <v>0.116203703703704</v>
      </c>
      <c r="F8" s="12">
        <f t="shared" si="1"/>
        <v>2.3913888888888959</v>
      </c>
      <c r="G8" s="13">
        <f t="shared" si="2"/>
        <v>0</v>
      </c>
      <c r="H8" s="13">
        <f t="shared" si="3"/>
        <v>2.3913888888888959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46149.116231018503</v>
      </c>
      <c r="B9" s="5" t="s">
        <v>79</v>
      </c>
      <c r="C9" s="11">
        <v>0.116226851851852</v>
      </c>
      <c r="D9" s="11" t="s">
        <v>62</v>
      </c>
      <c r="E9" s="11">
        <v>0.145243055555556</v>
      </c>
      <c r="F9" s="12">
        <f t="shared" si="1"/>
        <v>0.69638888888889605</v>
      </c>
      <c r="G9" s="13">
        <f t="shared" si="2"/>
        <v>0</v>
      </c>
      <c r="H9" s="13">
        <f t="shared" si="3"/>
        <v>0.69638888888889605</v>
      </c>
      <c r="I9" s="21" t="s">
        <v>70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46149.543733101898</v>
      </c>
      <c r="B10" s="5" t="s">
        <v>64</v>
      </c>
      <c r="C10" s="11">
        <v>0.54372685185185199</v>
      </c>
      <c r="D10" s="11" t="s">
        <v>62</v>
      </c>
      <c r="E10" s="11">
        <v>0.63368055555555602</v>
      </c>
      <c r="F10" s="12">
        <f t="shared" si="1"/>
        <v>2.1588888888888969</v>
      </c>
      <c r="G10" s="13">
        <f t="shared" si="2"/>
        <v>2.1588888888888969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46149.7579871528</v>
      </c>
      <c r="B11" s="5" t="s">
        <v>64</v>
      </c>
      <c r="C11" s="11">
        <v>0.75798611111111103</v>
      </c>
      <c r="D11" s="11" t="s">
        <v>62</v>
      </c>
      <c r="E11" s="11">
        <v>0.79934027777777805</v>
      </c>
      <c r="F11" s="12">
        <f t="shared" si="1"/>
        <v>0.9925000000000086</v>
      </c>
      <c r="G11" s="13">
        <f t="shared" si="2"/>
        <v>0.9925000000000086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46149.959873148102</v>
      </c>
      <c r="B12" s="5" t="s">
        <v>64</v>
      </c>
      <c r="C12" s="11">
        <v>0.95987268518518498</v>
      </c>
      <c r="D12" s="11" t="s">
        <v>62</v>
      </c>
      <c r="E12" s="11">
        <v>0.124907407407407</v>
      </c>
      <c r="F12" s="12">
        <f t="shared" si="1"/>
        <v>3.9608333333333281</v>
      </c>
      <c r="G12" s="13">
        <f t="shared" si="2"/>
        <v>0.96305555555556044</v>
      </c>
      <c r="H12" s="13">
        <f t="shared" si="3"/>
        <v>2.9977777777777677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46152.356297222199</v>
      </c>
      <c r="B13" s="5" t="s">
        <v>64</v>
      </c>
      <c r="C13" s="11">
        <v>0.356296296296296</v>
      </c>
      <c r="D13" s="11" t="s">
        <v>62</v>
      </c>
      <c r="E13" s="11">
        <v>0.38831018518518501</v>
      </c>
      <c r="F13" s="12">
        <f t="shared" si="1"/>
        <v>0.7683333333333362</v>
      </c>
      <c r="G13" s="13">
        <f t="shared" si="2"/>
        <v>0.7683333333333362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46152.3999877315</v>
      </c>
      <c r="B14" s="5" t="s">
        <v>64</v>
      </c>
      <c r="C14" s="11">
        <v>0.399976851851852</v>
      </c>
      <c r="D14" s="11" t="s">
        <v>62</v>
      </c>
      <c r="E14" s="11">
        <v>0.51239583333333305</v>
      </c>
      <c r="F14" s="12">
        <f t="shared" si="1"/>
        <v>2.6980555555555452</v>
      </c>
      <c r="G14" s="13">
        <f t="shared" si="2"/>
        <v>2.6980555555555452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46152.513412384302</v>
      </c>
      <c r="B15" s="5" t="s">
        <v>75</v>
      </c>
      <c r="C15" s="11">
        <v>0.51340277777777799</v>
      </c>
      <c r="D15" s="11" t="s">
        <v>62</v>
      </c>
      <c r="E15" s="11">
        <v>0.55146990740740698</v>
      </c>
      <c r="F15" s="12">
        <f t="shared" si="1"/>
        <v>0.91361111111109583</v>
      </c>
      <c r="G15" s="13">
        <f t="shared" si="2"/>
        <v>0.91361111111109583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46152.794380787003</v>
      </c>
      <c r="B16" s="5" t="s">
        <v>75</v>
      </c>
      <c r="C16" s="11">
        <v>0.79437500000000005</v>
      </c>
      <c r="D16" s="11" t="s">
        <v>62</v>
      </c>
      <c r="E16" s="11">
        <v>0.841631944444444</v>
      </c>
      <c r="F16" s="12">
        <f t="shared" si="1"/>
        <v>1.1341666666666548</v>
      </c>
      <c r="G16" s="13">
        <f t="shared" si="2"/>
        <v>1.1341666666666548</v>
      </c>
      <c r="H16" s="13">
        <f t="shared" si="3"/>
        <v>0</v>
      </c>
      <c r="I16" s="35" t="s">
        <v>63</v>
      </c>
      <c r="J16" s="36">
        <f t="shared" ref="J16:L16" si="4">J3</f>
        <v>58.051666666666677</v>
      </c>
      <c r="K16" s="37">
        <f t="shared" si="4"/>
        <v>41.050555555555569</v>
      </c>
      <c r="L16" s="38">
        <f t="shared" si="4"/>
        <v>17.001111111111118</v>
      </c>
      <c r="M16" s="39"/>
    </row>
    <row r="17" spans="1:13" ht="20.25" x14ac:dyDescent="0.25">
      <c r="A17" s="10">
        <f t="shared" ca="1" si="0"/>
        <v>46154.139592129599</v>
      </c>
      <c r="B17" s="5" t="s">
        <v>84</v>
      </c>
      <c r="C17" s="11">
        <v>0.139583333333333</v>
      </c>
      <c r="D17" s="11" t="s">
        <v>62</v>
      </c>
      <c r="E17" s="11">
        <v>0.23056712962963</v>
      </c>
      <c r="F17" s="12">
        <f t="shared" si="1"/>
        <v>2.1836111111111278</v>
      </c>
      <c r="G17" s="13">
        <f t="shared" si="2"/>
        <v>0</v>
      </c>
      <c r="H17" s="13">
        <f t="shared" si="3"/>
        <v>2.1836111111111278</v>
      </c>
      <c r="I17" s="35" t="s">
        <v>77</v>
      </c>
      <c r="J17" s="36">
        <f>J4+J5+J6+J7+J10</f>
        <v>36.45305555555553</v>
      </c>
      <c r="K17" s="37">
        <f>K4+K5+K6+K7+K10</f>
        <v>22.911111111111097</v>
      </c>
      <c r="L17" s="38">
        <f>L4+L5+L6+L7+L10</f>
        <v>13.541944444444439</v>
      </c>
      <c r="M17" s="39"/>
    </row>
    <row r="18" spans="1:13" ht="20.25" x14ac:dyDescent="0.25">
      <c r="A18" s="10">
        <f t="shared" ca="1" si="0"/>
        <v>46157.2988774306</v>
      </c>
      <c r="B18" s="5" t="s">
        <v>75</v>
      </c>
      <c r="C18" s="11">
        <v>0.298877314814815</v>
      </c>
      <c r="D18" s="11" t="s">
        <v>62</v>
      </c>
      <c r="E18" s="11">
        <v>0.42409722222222201</v>
      </c>
      <c r="F18" s="12">
        <f t="shared" si="1"/>
        <v>3.0052777777777684</v>
      </c>
      <c r="G18" s="13">
        <f t="shared" si="2"/>
        <v>2.1783333333333368</v>
      </c>
      <c r="H18" s="13">
        <f t="shared" si="3"/>
        <v>0.8269444444444316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46157.506023032402</v>
      </c>
      <c r="B19" s="5" t="s">
        <v>79</v>
      </c>
      <c r="C19" s="11">
        <v>0.50601851851851898</v>
      </c>
      <c r="D19" s="11" t="s">
        <v>62</v>
      </c>
      <c r="E19" s="11">
        <v>0.60982638888888896</v>
      </c>
      <c r="F19" s="12">
        <f t="shared" si="1"/>
        <v>2.4913888888888795</v>
      </c>
      <c r="G19" s="13">
        <f t="shared" si="2"/>
        <v>2.4913888888888795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46157.960288888899</v>
      </c>
      <c r="B20" s="5" t="s">
        <v>75</v>
      </c>
      <c r="C20" s="11">
        <v>0.96028935185185205</v>
      </c>
      <c r="D20" s="11" t="s">
        <v>62</v>
      </c>
      <c r="E20" s="11">
        <v>0.11068287037037</v>
      </c>
      <c r="F20" s="12">
        <f t="shared" si="1"/>
        <v>3.6094444444444309</v>
      </c>
      <c r="G20" s="13">
        <f t="shared" si="2"/>
        <v>0.95305555555555088</v>
      </c>
      <c r="H20" s="13">
        <f t="shared" si="3"/>
        <v>2.65638888888888</v>
      </c>
      <c r="I20" s="40" t="s">
        <v>80</v>
      </c>
      <c r="J20" s="65">
        <f>J16+J17+J18+J19</f>
        <v>94.504722222222199</v>
      </c>
      <c r="K20" s="66"/>
      <c r="L20" s="67"/>
      <c r="M20" s="41"/>
    </row>
    <row r="21" spans="1:13" ht="20.25" x14ac:dyDescent="0.25">
      <c r="A21" s="10">
        <f t="shared" ca="1" si="0"/>
        <v>46160.546057407402</v>
      </c>
      <c r="B21" s="5" t="s">
        <v>64</v>
      </c>
      <c r="C21" s="11">
        <v>0.54605324074074102</v>
      </c>
      <c r="D21" s="11" t="s">
        <v>62</v>
      </c>
      <c r="E21" s="11">
        <v>0.80047453703703697</v>
      </c>
      <c r="F21" s="12">
        <f t="shared" si="1"/>
        <v>6.1061111111111028</v>
      </c>
      <c r="G21" s="13">
        <f t="shared" si="2"/>
        <v>6.1061111111111028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46161.133777661998</v>
      </c>
      <c r="B22" s="5" t="s">
        <v>64</v>
      </c>
      <c r="C22" s="11">
        <v>0.133773148148148</v>
      </c>
      <c r="D22" s="11" t="s">
        <v>62</v>
      </c>
      <c r="E22" s="11">
        <v>0.30177083333333299</v>
      </c>
      <c r="F22" s="12">
        <f t="shared" si="1"/>
        <v>4.0319444444444397</v>
      </c>
      <c r="G22" s="13">
        <f t="shared" si="2"/>
        <v>0</v>
      </c>
      <c r="H22" s="13">
        <f t="shared" si="3"/>
        <v>4.0319444444444397</v>
      </c>
      <c r="I22"/>
      <c r="J22"/>
    </row>
    <row r="23" spans="1:13" ht="18.75" x14ac:dyDescent="0.15">
      <c r="A23" s="10">
        <f t="shared" ca="1" si="0"/>
        <v>46161.797809953699</v>
      </c>
      <c r="B23" s="5" t="s">
        <v>64</v>
      </c>
      <c r="C23" s="11">
        <v>0.797800925925926</v>
      </c>
      <c r="D23" s="11" t="s">
        <v>62</v>
      </c>
      <c r="E23" s="11">
        <v>0.94927083333333295</v>
      </c>
      <c r="F23" s="12">
        <f t="shared" si="1"/>
        <v>3.6352777777777669</v>
      </c>
      <c r="G23" s="13">
        <f t="shared" si="2"/>
        <v>3.6352777777777669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46162.2931678241</v>
      </c>
      <c r="B24" s="5" t="s">
        <v>64</v>
      </c>
      <c r="C24" s="11">
        <v>0.29315972222222197</v>
      </c>
      <c r="D24" s="11" t="s">
        <v>62</v>
      </c>
      <c r="E24" s="11">
        <v>0.32369212962963001</v>
      </c>
      <c r="F24" s="12">
        <f t="shared" si="1"/>
        <v>0.73277777777779285</v>
      </c>
      <c r="G24" s="13">
        <f t="shared" si="2"/>
        <v>0</v>
      </c>
      <c r="H24" s="13">
        <f t="shared" si="3"/>
        <v>0.73277777777779285</v>
      </c>
      <c r="I24"/>
      <c r="J24"/>
    </row>
    <row r="25" spans="1:13" ht="18.75" x14ac:dyDescent="0.15">
      <c r="A25" s="10">
        <f t="shared" ca="1" si="0"/>
        <v>46164.939680787</v>
      </c>
      <c r="B25" s="5" t="s">
        <v>64</v>
      </c>
      <c r="C25" s="11">
        <v>0.93967592592592597</v>
      </c>
      <c r="D25" s="11" t="s">
        <v>62</v>
      </c>
      <c r="E25" s="11">
        <v>0.14540509259259299</v>
      </c>
      <c r="F25" s="12">
        <f t="shared" si="1"/>
        <v>4.9375000000000089</v>
      </c>
      <c r="G25" s="13">
        <f t="shared" si="2"/>
        <v>1.4477777777777772</v>
      </c>
      <c r="H25" s="13">
        <f t="shared" si="3"/>
        <v>3.4897222222222317</v>
      </c>
      <c r="I25"/>
      <c r="J25"/>
    </row>
    <row r="26" spans="1:13" ht="18.75" x14ac:dyDescent="0.15">
      <c r="A26" s="10">
        <f t="shared" ca="1" si="0"/>
        <v>46165.544894213002</v>
      </c>
      <c r="B26" s="5" t="s">
        <v>64</v>
      </c>
      <c r="C26" s="11">
        <v>0.54488425925925899</v>
      </c>
      <c r="D26" s="11" t="s">
        <v>62</v>
      </c>
      <c r="E26" s="11">
        <v>0.79797453703703702</v>
      </c>
      <c r="F26" s="12">
        <f t="shared" si="1"/>
        <v>6.0741666666666729</v>
      </c>
      <c r="G26" s="13">
        <f t="shared" si="2"/>
        <v>6.0741666666666729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46166.140064236097</v>
      </c>
      <c r="B27" s="5" t="s">
        <v>82</v>
      </c>
      <c r="C27" s="11">
        <v>0.14005787037037001</v>
      </c>
      <c r="D27" s="11" t="s">
        <v>62</v>
      </c>
      <c r="E27" s="11">
        <v>0.24408564814814801</v>
      </c>
      <c r="F27" s="12">
        <f t="shared" si="1"/>
        <v>2.4966666666666719</v>
      </c>
      <c r="G27" s="13">
        <f t="shared" si="2"/>
        <v>0</v>
      </c>
      <c r="H27" s="13">
        <f t="shared" si="3"/>
        <v>2.4966666666666719</v>
      </c>
      <c r="I27"/>
      <c r="J27"/>
    </row>
    <row r="28" spans="1:13" ht="18.75" x14ac:dyDescent="0.15">
      <c r="A28" s="10">
        <f t="shared" ca="1" si="0"/>
        <v>46166.244126736099</v>
      </c>
      <c r="B28" s="5" t="s">
        <v>75</v>
      </c>
      <c r="C28" s="11">
        <v>0.244189814814815</v>
      </c>
      <c r="D28" s="11" t="s">
        <v>62</v>
      </c>
      <c r="E28" s="11">
        <v>0.30569444444444399</v>
      </c>
      <c r="F28" s="12">
        <f t="shared" si="1"/>
        <v>1.4761111111110958</v>
      </c>
      <c r="G28" s="13">
        <f t="shared" si="2"/>
        <v>0</v>
      </c>
      <c r="H28" s="13">
        <f t="shared" si="3"/>
        <v>1.4761111111110958</v>
      </c>
      <c r="I28"/>
      <c r="J28"/>
    </row>
    <row r="29" spans="1:13" ht="18.75" x14ac:dyDescent="0.15">
      <c r="A29" s="10">
        <f t="shared" ca="1" si="0"/>
        <v>46168.581491319397</v>
      </c>
      <c r="B29" s="5" t="s">
        <v>81</v>
      </c>
      <c r="C29" s="11">
        <v>0.58148148148148104</v>
      </c>
      <c r="D29" s="11" t="s">
        <v>62</v>
      </c>
      <c r="E29" s="11">
        <v>0.63291666666666702</v>
      </c>
      <c r="F29" s="12">
        <f t="shared" si="1"/>
        <v>1.2344444444444633</v>
      </c>
      <c r="G29" s="13">
        <f t="shared" si="2"/>
        <v>1.2344444444444633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46168.757189351898</v>
      </c>
      <c r="B30" s="5" t="s">
        <v>81</v>
      </c>
      <c r="C30" s="11">
        <v>0.75722222222222202</v>
      </c>
      <c r="D30" s="11" t="s">
        <v>62</v>
      </c>
      <c r="E30" s="11">
        <v>0.91006944444444404</v>
      </c>
      <c r="F30" s="12">
        <f t="shared" si="1"/>
        <v>3.6683333333333286</v>
      </c>
      <c r="G30" s="13">
        <f t="shared" si="2"/>
        <v>3.6683333333333286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46169.299397569397</v>
      </c>
      <c r="B31" s="5" t="s">
        <v>79</v>
      </c>
      <c r="C31" s="11">
        <v>0.29939814814814802</v>
      </c>
      <c r="D31" s="11" t="s">
        <v>62</v>
      </c>
      <c r="E31" s="11">
        <v>0.40002314814814799</v>
      </c>
      <c r="F31" s="12">
        <f t="shared" si="1"/>
        <v>2.4149999999999991</v>
      </c>
      <c r="G31" s="13">
        <f t="shared" si="2"/>
        <v>1.6005555555555602</v>
      </c>
      <c r="H31" s="13">
        <f t="shared" si="3"/>
        <v>0.81444444444443898</v>
      </c>
      <c r="I31"/>
      <c r="J31"/>
    </row>
    <row r="32" spans="1:13" ht="18.75" x14ac:dyDescent="0.15">
      <c r="A32" s="10">
        <f t="shared" ca="1" si="0"/>
        <v>46169.400058101899</v>
      </c>
      <c r="B32" s="5" t="s">
        <v>81</v>
      </c>
      <c r="C32" s="11">
        <v>0.40005787037036999</v>
      </c>
      <c r="D32" s="11" t="s">
        <v>62</v>
      </c>
      <c r="E32" s="11">
        <v>0.42976851851851799</v>
      </c>
      <c r="F32" s="12">
        <f t="shared" si="1"/>
        <v>0.713055555555552</v>
      </c>
      <c r="G32" s="13">
        <f t="shared" si="2"/>
        <v>0.713055555555552</v>
      </c>
      <c r="H32" s="13">
        <f t="shared" si="3"/>
        <v>0</v>
      </c>
      <c r="I32"/>
      <c r="J32"/>
    </row>
    <row r="33" spans="1:11" ht="18.75" x14ac:dyDescent="0.15">
      <c r="A33" s="10">
        <f t="shared" ca="1" si="0"/>
        <v>46169.506974074102</v>
      </c>
      <c r="B33" s="5" t="s">
        <v>81</v>
      </c>
      <c r="C33" s="11">
        <v>0.50696759259259305</v>
      </c>
      <c r="D33" s="11" t="s">
        <v>62</v>
      </c>
      <c r="E33" s="11">
        <v>0.57064814814814802</v>
      </c>
      <c r="F33" s="12">
        <f t="shared" si="1"/>
        <v>1.5283333333333191</v>
      </c>
      <c r="G33" s="13">
        <f t="shared" si="2"/>
        <v>1.5283333333333191</v>
      </c>
      <c r="H33" s="13">
        <f t="shared" si="3"/>
        <v>0</v>
      </c>
      <c r="I33"/>
      <c r="J33"/>
    </row>
    <row r="34" spans="1:11" ht="18.75" x14ac:dyDescent="0.15">
      <c r="A34" s="10">
        <f t="shared" ca="1" si="0"/>
        <v>46169.570680555596</v>
      </c>
      <c r="B34" s="5" t="s">
        <v>79</v>
      </c>
      <c r="C34" s="11">
        <v>0.57067129629629598</v>
      </c>
      <c r="D34" s="11" t="s">
        <v>62</v>
      </c>
      <c r="E34" s="11">
        <v>0.63302083333333303</v>
      </c>
      <c r="F34" s="12">
        <f t="shared" si="1"/>
        <v>1.4963888888888892</v>
      </c>
      <c r="G34" s="13">
        <f t="shared" si="2"/>
        <v>1.4963888888888892</v>
      </c>
      <c r="H34" s="13">
        <f t="shared" si="3"/>
        <v>0</v>
      </c>
      <c r="I34"/>
      <c r="J34"/>
    </row>
    <row r="35" spans="1:11" ht="18.75" x14ac:dyDescent="0.15">
      <c r="A35" s="10">
        <f t="shared" ca="1" si="0"/>
        <v>46169.7586190972</v>
      </c>
      <c r="B35" s="5" t="s">
        <v>75</v>
      </c>
      <c r="C35" s="11">
        <v>0.75861111111111101</v>
      </c>
      <c r="D35" s="11" t="s">
        <v>62</v>
      </c>
      <c r="E35" s="11">
        <v>0.83979166666666705</v>
      </c>
      <c r="F35" s="12">
        <f t="shared" si="1"/>
        <v>1.9483333333333448</v>
      </c>
      <c r="G35" s="13">
        <f t="shared" si="2"/>
        <v>1.9483333333333448</v>
      </c>
      <c r="H35" s="13">
        <f t="shared" si="3"/>
        <v>0</v>
      </c>
      <c r="I35"/>
      <c r="J35"/>
    </row>
    <row r="36" spans="1:11" ht="18.75" x14ac:dyDescent="0.15">
      <c r="A36" s="10">
        <f t="shared" ca="1" si="0"/>
        <v>46172.355265625003</v>
      </c>
      <c r="B36" s="5" t="s">
        <v>64</v>
      </c>
      <c r="C36" s="11">
        <v>0.35526620370370399</v>
      </c>
      <c r="D36" s="11" t="s">
        <v>62</v>
      </c>
      <c r="E36" s="11">
        <v>0.40476851851851903</v>
      </c>
      <c r="F36" s="12">
        <f t="shared" si="1"/>
        <v>1.188055555555561</v>
      </c>
      <c r="G36" s="13">
        <f t="shared" si="2"/>
        <v>1.188055555555561</v>
      </c>
      <c r="H36" s="13">
        <f t="shared" si="3"/>
        <v>0</v>
      </c>
      <c r="I36"/>
      <c r="J36"/>
    </row>
    <row r="37" spans="1:11" ht="18.75" x14ac:dyDescent="0.15">
      <c r="A37" s="10">
        <f t="shared" ca="1" si="0"/>
        <v>46172.4183984954</v>
      </c>
      <c r="B37" s="5" t="s">
        <v>64</v>
      </c>
      <c r="C37" s="11">
        <v>0.41839120370370397</v>
      </c>
      <c r="D37" s="11" t="s">
        <v>62</v>
      </c>
      <c r="E37" s="11">
        <v>0.54969907407407403</v>
      </c>
      <c r="F37" s="12">
        <f t="shared" si="1"/>
        <v>3.1513888888888815</v>
      </c>
      <c r="G37" s="13">
        <f t="shared" si="2"/>
        <v>3.1513888888888815</v>
      </c>
      <c r="H37" s="13">
        <f t="shared" si="3"/>
        <v>0</v>
      </c>
      <c r="I37"/>
      <c r="J37"/>
    </row>
    <row r="38" spans="1:11" ht="18.75" x14ac:dyDescent="0.15">
      <c r="A38" s="10">
        <f t="shared" ca="1" si="0"/>
        <v>46172.793214236102</v>
      </c>
      <c r="B38" s="5" t="s">
        <v>64</v>
      </c>
      <c r="C38" s="11">
        <v>0.79320601851851802</v>
      </c>
      <c r="D38" s="11" t="s">
        <v>62</v>
      </c>
      <c r="E38" s="11">
        <v>0.94645833333333296</v>
      </c>
      <c r="F38" s="12">
        <f t="shared" si="1"/>
        <v>3.6780555555555585</v>
      </c>
      <c r="G38" s="13">
        <f t="shared" si="2"/>
        <v>3.6780555555555585</v>
      </c>
      <c r="H38" s="13">
        <f t="shared" si="3"/>
        <v>0</v>
      </c>
      <c r="I38" s="45"/>
      <c r="J38" s="46"/>
      <c r="K38" s="11"/>
    </row>
    <row r="39" spans="1:11" ht="18.75" x14ac:dyDescent="0.15">
      <c r="A39" s="10">
        <f t="shared" ca="1" si="0"/>
        <v>46173.292442361097</v>
      </c>
      <c r="B39" s="5" t="s">
        <v>64</v>
      </c>
      <c r="C39" s="11">
        <v>0.29244212962963001</v>
      </c>
      <c r="D39" s="11" t="s">
        <v>62</v>
      </c>
      <c r="E39" s="11">
        <v>0.54942129629629599</v>
      </c>
      <c r="F39" s="12">
        <f t="shared" si="1"/>
        <v>6.1674999999999836</v>
      </c>
      <c r="G39" s="13">
        <f t="shared" si="2"/>
        <v>5.1861111111111118</v>
      </c>
      <c r="H39" s="13">
        <f t="shared" si="3"/>
        <v>0.98138888888887132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46148.960211226899</v>
      </c>
      <c r="B3" s="5" t="s">
        <v>79</v>
      </c>
      <c r="C3" s="11">
        <v>0.960208333333333</v>
      </c>
      <c r="D3" s="11" t="s">
        <v>62</v>
      </c>
      <c r="E3" s="11">
        <v>0.120416666666667</v>
      </c>
      <c r="F3" s="12">
        <f t="shared" ref="F3:F42" si="1">(IF(E3-C3&lt;0,"24:00"-C3+E3,E3-C3))*24</f>
        <v>3.8450000000000162</v>
      </c>
      <c r="G3" s="13">
        <f t="shared" ref="G3:G42" si="2">F3-H3</f>
        <v>0.95500000000000806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2.8900000000000081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46150.013850115698</v>
      </c>
      <c r="B4" s="5" t="s">
        <v>81</v>
      </c>
      <c r="C4" s="11">
        <v>1.3842592592592601E-2</v>
      </c>
      <c r="D4" s="11" t="s">
        <v>62</v>
      </c>
      <c r="E4" s="11">
        <v>0.116793981481481</v>
      </c>
      <c r="F4" s="12">
        <f t="shared" si="1"/>
        <v>2.4708333333333217</v>
      </c>
      <c r="G4" s="13">
        <f t="shared" si="2"/>
        <v>0</v>
      </c>
      <c r="H4" s="13">
        <f t="shared" si="3"/>
        <v>2.4708333333333217</v>
      </c>
      <c r="I4" s="21" t="s">
        <v>65</v>
      </c>
      <c r="J4" s="22">
        <f>SUMIF(B:B,"西塔台管制席",F:F)+SUMIF(B:B,"东塔台管制席",F:F)</f>
        <v>22.062777777777775</v>
      </c>
      <c r="K4" s="23">
        <f>SUMIF(B:B,"西塔台管制席",G:G)+SUMIF(B:B,"东塔台管制席",G:G)</f>
        <v>8.2311111111111153</v>
      </c>
      <c r="L4" s="23">
        <f>SUMIF(B:B,"西塔台管制席",H:H)+SUMIF(B:B,"东塔台管制席",H:H)</f>
        <v>13.83166666666666</v>
      </c>
      <c r="M4" s="19"/>
    </row>
    <row r="5" spans="1:16" ht="18.75" x14ac:dyDescent="0.25">
      <c r="A5" s="10">
        <f t="shared" ca="1" si="0"/>
        <v>46150.116834953697</v>
      </c>
      <c r="B5" s="5" t="s">
        <v>79</v>
      </c>
      <c r="C5" s="11">
        <v>0.116828703703704</v>
      </c>
      <c r="D5" s="11" t="s">
        <v>62</v>
      </c>
      <c r="E5" s="11">
        <v>0.14526620370370399</v>
      </c>
      <c r="F5" s="12">
        <f t="shared" si="1"/>
        <v>0.68249999999999977</v>
      </c>
      <c r="G5" s="13">
        <f t="shared" si="2"/>
        <v>0</v>
      </c>
      <c r="H5" s="13">
        <f t="shared" si="3"/>
        <v>0.68249999999999977</v>
      </c>
      <c r="I5" s="21" t="s">
        <v>66</v>
      </c>
      <c r="J5" s="22">
        <f>SUMIF(B:B,"西塔台协调席",F:F)+SUMIF(B:B,"东塔台协调席",F:F)</f>
        <v>25.193611111111089</v>
      </c>
      <c r="K5" s="23">
        <f>SUMIF(B:B,"西塔台协调席",G:G)+SUMIF(B:B,"东塔台协调席",G:G)</f>
        <v>15.721111111111107</v>
      </c>
      <c r="L5" s="23">
        <f>SUMIF(B:B,"西塔台协调席",H:H)+SUMIF(B:B,"东塔台协调席",H:H)</f>
        <v>9.4724999999999842</v>
      </c>
      <c r="M5" s="19"/>
    </row>
    <row r="6" spans="1:16" ht="18.75" x14ac:dyDescent="0.25">
      <c r="A6" s="10">
        <f t="shared" ca="1" si="0"/>
        <v>46153.140378472199</v>
      </c>
      <c r="B6" s="5" t="s">
        <v>84</v>
      </c>
      <c r="C6" s="11">
        <v>0.14037037037037001</v>
      </c>
      <c r="D6" s="11" t="s">
        <v>62</v>
      </c>
      <c r="E6" s="11">
        <v>0.21745370370370401</v>
      </c>
      <c r="F6" s="12">
        <f t="shared" si="1"/>
        <v>1.8500000000000161</v>
      </c>
      <c r="G6" s="13">
        <f t="shared" si="2"/>
        <v>0</v>
      </c>
      <c r="H6" s="13">
        <f t="shared" si="3"/>
        <v>1.8500000000000161</v>
      </c>
      <c r="I6" s="21" t="s">
        <v>67</v>
      </c>
      <c r="J6" s="22">
        <f>SUMIF(B:B,"放行席",F:F)</f>
        <v>2.391944444444448</v>
      </c>
      <c r="K6" s="23">
        <f>SUMIF(B:B,"放行席",G:G)</f>
        <v>0</v>
      </c>
      <c r="L6" s="23">
        <f>SUMIF(B:B,"放行席",H:H)</f>
        <v>2.391944444444448</v>
      </c>
      <c r="M6" s="19"/>
    </row>
    <row r="7" spans="1:16" ht="18.75" x14ac:dyDescent="0.25">
      <c r="A7" s="10">
        <f t="shared" ca="1" si="0"/>
        <v>46153.217497800899</v>
      </c>
      <c r="B7" s="5" t="s">
        <v>81</v>
      </c>
      <c r="C7" s="11">
        <v>0.21748842592592599</v>
      </c>
      <c r="D7" s="11" t="s">
        <v>62</v>
      </c>
      <c r="E7" s="11">
        <v>0.308113425925926</v>
      </c>
      <c r="F7" s="12">
        <f t="shared" si="1"/>
        <v>2.1750000000000003</v>
      </c>
      <c r="G7" s="13">
        <f t="shared" si="2"/>
        <v>0</v>
      </c>
      <c r="H7" s="13">
        <f t="shared" si="3"/>
        <v>2.1750000000000003</v>
      </c>
      <c r="I7" s="21" t="s">
        <v>68</v>
      </c>
      <c r="J7" s="22">
        <f>SUMIF(B:B,"地面席",F:F)</f>
        <v>1.8500000000000161</v>
      </c>
      <c r="K7" s="23">
        <f>SUMIF(B:B,"地面席",G:G)</f>
        <v>0</v>
      </c>
      <c r="L7" s="23">
        <f>SUMIF(B:B,"地面席",H:H)</f>
        <v>1.8500000000000161</v>
      </c>
      <c r="M7" s="19"/>
    </row>
    <row r="8" spans="1:16" ht="18.75" x14ac:dyDescent="0.25">
      <c r="A8" s="10">
        <f t="shared" ca="1" si="0"/>
        <v>46154.1397782407</v>
      </c>
      <c r="B8" s="5" t="s">
        <v>82</v>
      </c>
      <c r="C8" s="11">
        <v>0.13976851851851901</v>
      </c>
      <c r="D8" s="11" t="s">
        <v>62</v>
      </c>
      <c r="E8" s="11">
        <v>0.23067129629629601</v>
      </c>
      <c r="F8" s="12">
        <f t="shared" si="1"/>
        <v>2.181666666666648</v>
      </c>
      <c r="G8" s="13">
        <f t="shared" si="2"/>
        <v>0</v>
      </c>
      <c r="H8" s="13">
        <f t="shared" si="3"/>
        <v>2.181666666666648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46156.35821875</v>
      </c>
      <c r="B9" s="5" t="s">
        <v>81</v>
      </c>
      <c r="C9" s="11">
        <v>0.358217592592593</v>
      </c>
      <c r="D9" s="11" t="s">
        <v>62</v>
      </c>
      <c r="E9" s="11">
        <v>0.51079861111111102</v>
      </c>
      <c r="F9" s="12">
        <f t="shared" si="1"/>
        <v>3.6619444444444325</v>
      </c>
      <c r="G9" s="13">
        <f t="shared" si="2"/>
        <v>3.6619444444444325</v>
      </c>
      <c r="H9" s="13">
        <f t="shared" si="3"/>
        <v>0</v>
      </c>
      <c r="I9" s="21" t="s">
        <v>70</v>
      </c>
      <c r="J9" s="22">
        <f>SUMIF(B:B,"航班调度席",F:F)</f>
        <v>12.375555555555577</v>
      </c>
      <c r="K9" s="23">
        <f>SUMIF(B:B,"航班调度席",G:G)</f>
        <v>12.375555555555577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46156.627269328703</v>
      </c>
      <c r="B10" s="5" t="s">
        <v>82</v>
      </c>
      <c r="C10" s="11">
        <v>0.62726851851851895</v>
      </c>
      <c r="D10" s="11" t="s">
        <v>62</v>
      </c>
      <c r="E10" s="11">
        <v>0.76122685185185202</v>
      </c>
      <c r="F10" s="12">
        <f t="shared" si="1"/>
        <v>3.2149999999999936</v>
      </c>
      <c r="G10" s="13">
        <f t="shared" si="2"/>
        <v>3.2149999999999936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46156.876125925897</v>
      </c>
      <c r="B11" s="5" t="s">
        <v>81</v>
      </c>
      <c r="C11" s="11">
        <v>0.87612268518518499</v>
      </c>
      <c r="D11" s="11" t="s">
        <v>62</v>
      </c>
      <c r="E11" s="11">
        <v>0.96489583333333295</v>
      </c>
      <c r="F11" s="12">
        <f t="shared" si="1"/>
        <v>2.1305555555555511</v>
      </c>
      <c r="G11" s="13">
        <f t="shared" si="2"/>
        <v>2.1305555555555511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46157.418241203697</v>
      </c>
      <c r="B12" s="5" t="s">
        <v>75</v>
      </c>
      <c r="C12" s="11">
        <v>0.41824074074074102</v>
      </c>
      <c r="D12" s="11" t="s">
        <v>62</v>
      </c>
      <c r="E12" s="11">
        <v>0.51591435185185197</v>
      </c>
      <c r="F12" s="12">
        <f t="shared" si="1"/>
        <v>2.3441666666666627</v>
      </c>
      <c r="G12" s="13">
        <f t="shared" si="2"/>
        <v>2.3441666666666627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46157.627115740703</v>
      </c>
      <c r="B13" s="5" t="s">
        <v>75</v>
      </c>
      <c r="C13" s="11">
        <v>0.62710648148148196</v>
      </c>
      <c r="D13" s="11" t="s">
        <v>62</v>
      </c>
      <c r="E13" s="11">
        <v>0.75697916666666698</v>
      </c>
      <c r="F13" s="12">
        <f t="shared" si="1"/>
        <v>3.1169444444444405</v>
      </c>
      <c r="G13" s="13">
        <f t="shared" si="2"/>
        <v>3.1169444444444405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46157.834393981502</v>
      </c>
      <c r="B14" s="5" t="s">
        <v>79</v>
      </c>
      <c r="C14" s="11">
        <v>0.83438657407407402</v>
      </c>
      <c r="D14" s="11" t="s">
        <v>62</v>
      </c>
      <c r="E14" s="11">
        <v>0.96418981481481503</v>
      </c>
      <c r="F14" s="12">
        <f t="shared" si="1"/>
        <v>3.1152777777777843</v>
      </c>
      <c r="G14" s="13">
        <f t="shared" si="2"/>
        <v>3.1152777777777843</v>
      </c>
      <c r="H14" s="13">
        <f t="shared" si="3"/>
        <v>0</v>
      </c>
      <c r="I14" s="69"/>
      <c r="J14" s="69"/>
      <c r="K14" s="69"/>
      <c r="L14" s="69"/>
      <c r="M14" s="69"/>
    </row>
    <row r="15" spans="1:16" ht="20.25" x14ac:dyDescent="0.25">
      <c r="A15" s="10">
        <f t="shared" ca="1" si="0"/>
        <v>46158.300071643498</v>
      </c>
      <c r="B15" s="5" t="s">
        <v>81</v>
      </c>
      <c r="C15" s="11">
        <v>0.300069444444444</v>
      </c>
      <c r="D15" s="11" t="s">
        <v>62</v>
      </c>
      <c r="E15" s="11">
        <v>0.36793981481481502</v>
      </c>
      <c r="F15" s="12">
        <f t="shared" si="1"/>
        <v>1.6288888888889046</v>
      </c>
      <c r="G15" s="13">
        <f t="shared" si="2"/>
        <v>0.83055555555556904</v>
      </c>
      <c r="H15" s="13">
        <f t="shared" si="3"/>
        <v>0.79833333333333556</v>
      </c>
      <c r="I15" s="35" t="s">
        <v>63</v>
      </c>
      <c r="J15" s="36">
        <f>J3</f>
        <v>0</v>
      </c>
      <c r="K15" s="37">
        <f>K3</f>
        <v>0</v>
      </c>
      <c r="L15" s="38">
        <f>L3</f>
        <v>0</v>
      </c>
      <c r="M15" s="39"/>
    </row>
    <row r="16" spans="1:16" ht="20.25" x14ac:dyDescent="0.25">
      <c r="A16" s="10">
        <f t="shared" ca="1" si="0"/>
        <v>46161.014045486103</v>
      </c>
      <c r="B16" s="5" t="s">
        <v>82</v>
      </c>
      <c r="C16" s="11">
        <v>1.40393518518519E-2</v>
      </c>
      <c r="D16" s="11" t="s">
        <v>62</v>
      </c>
      <c r="E16" s="11">
        <v>0.147418981481481</v>
      </c>
      <c r="F16" s="12">
        <f t="shared" si="1"/>
        <v>3.2011111111110981</v>
      </c>
      <c r="G16" s="13">
        <f t="shared" si="2"/>
        <v>0</v>
      </c>
      <c r="H16" s="13">
        <f t="shared" si="3"/>
        <v>3.2011111111110981</v>
      </c>
      <c r="I16" s="35" t="s">
        <v>77</v>
      </c>
      <c r="J16" s="36">
        <f>J4+J5+J6+J7+J10</f>
        <v>51.498333333333328</v>
      </c>
      <c r="K16" s="37">
        <f>K4+K5+K6+K7+K10</f>
        <v>23.952222222222222</v>
      </c>
      <c r="L16" s="38">
        <f>L4+L5+L6+L7+L10</f>
        <v>27.546111111111109</v>
      </c>
      <c r="M16" s="39"/>
    </row>
    <row r="17" spans="1:13" ht="20.25" x14ac:dyDescent="0.25">
      <c r="A17" s="10">
        <f t="shared" ca="1" si="0"/>
        <v>46161.960598842597</v>
      </c>
      <c r="B17" s="5" t="s">
        <v>79</v>
      </c>
      <c r="C17" s="11">
        <v>0.96059027777777795</v>
      </c>
      <c r="D17" s="11" t="s">
        <v>62</v>
      </c>
      <c r="E17" s="11">
        <v>0.12744212962963</v>
      </c>
      <c r="F17" s="12">
        <f t="shared" si="1"/>
        <v>4.0044444444444496</v>
      </c>
      <c r="G17" s="13">
        <f t="shared" si="2"/>
        <v>0.94583333333332931</v>
      </c>
      <c r="H17" s="13">
        <f t="shared" si="3"/>
        <v>3.0586111111111203</v>
      </c>
      <c r="I17" s="35" t="s">
        <v>72</v>
      </c>
      <c r="J17" s="36">
        <f t="shared" ref="J17:L18" si="4">J11</f>
        <v>0</v>
      </c>
      <c r="K17" s="37">
        <f t="shared" si="4"/>
        <v>0</v>
      </c>
      <c r="L17" s="38">
        <f t="shared" si="4"/>
        <v>0</v>
      </c>
      <c r="M17" s="39"/>
    </row>
    <row r="18" spans="1:13" ht="20.25" x14ac:dyDescent="0.25">
      <c r="A18" s="10">
        <f t="shared" ca="1" si="0"/>
        <v>46165.135106944399</v>
      </c>
      <c r="B18" s="5" t="s">
        <v>83</v>
      </c>
      <c r="C18" s="11">
        <v>0.13232638888888901</v>
      </c>
      <c r="D18" s="11" t="s">
        <v>62</v>
      </c>
      <c r="E18" s="11">
        <v>0.231990740740741</v>
      </c>
      <c r="F18" s="12">
        <f t="shared" si="1"/>
        <v>2.391944444444448</v>
      </c>
      <c r="G18" s="13">
        <f t="shared" si="2"/>
        <v>0</v>
      </c>
      <c r="H18" s="13">
        <f t="shared" si="3"/>
        <v>2.391944444444448</v>
      </c>
      <c r="I18" s="35" t="s">
        <v>78</v>
      </c>
      <c r="J18" s="36">
        <f t="shared" si="4"/>
        <v>0</v>
      </c>
      <c r="K18" s="37">
        <f t="shared" si="4"/>
        <v>0</v>
      </c>
      <c r="L18" s="38">
        <f t="shared" si="4"/>
        <v>0</v>
      </c>
      <c r="M18" s="39"/>
    </row>
    <row r="19" spans="1:13" ht="20.25" x14ac:dyDescent="0.15">
      <c r="A19" s="10">
        <f t="shared" ca="1" si="0"/>
        <v>46165.2320392361</v>
      </c>
      <c r="B19" s="5" t="s">
        <v>75</v>
      </c>
      <c r="C19" s="11">
        <v>0.23203703703703699</v>
      </c>
      <c r="D19" s="11" t="s">
        <v>62</v>
      </c>
      <c r="E19" s="11">
        <v>0.30568287037037001</v>
      </c>
      <c r="F19" s="12">
        <f t="shared" si="1"/>
        <v>1.7674999999999925</v>
      </c>
      <c r="G19" s="13">
        <f t="shared" si="2"/>
        <v>0</v>
      </c>
      <c r="H19" s="13">
        <f t="shared" si="3"/>
        <v>1.7674999999999925</v>
      </c>
      <c r="I19" s="40" t="s">
        <v>80</v>
      </c>
      <c r="J19" s="65">
        <f>J15+J16+J17+J18</f>
        <v>51.498333333333328</v>
      </c>
      <c r="K19" s="66"/>
      <c r="L19" s="67"/>
      <c r="M19" s="41"/>
    </row>
    <row r="20" spans="1:13" ht="20.25" x14ac:dyDescent="0.25">
      <c r="A20" s="10">
        <f t="shared" ca="1" si="0"/>
        <v>46166.14</v>
      </c>
      <c r="B20" s="5" t="s">
        <v>79</v>
      </c>
      <c r="C20" s="11">
        <v>0.14000000000000001</v>
      </c>
      <c r="D20" s="11" t="s">
        <v>62</v>
      </c>
      <c r="E20" s="11">
        <v>0.21574074074074101</v>
      </c>
      <c r="F20" s="12">
        <f t="shared" si="1"/>
        <v>1.8177777777777839</v>
      </c>
      <c r="G20" s="13">
        <f t="shared" si="2"/>
        <v>0</v>
      </c>
      <c r="H20" s="13">
        <f t="shared" si="3"/>
        <v>1.8177777777777839</v>
      </c>
      <c r="I20" s="42" t="s">
        <v>4</v>
      </c>
      <c r="J20" s="43">
        <f>SUM(J8:J9)</f>
        <v>12.375555555555577</v>
      </c>
      <c r="K20" s="37">
        <f>SUM(K8:K9)</f>
        <v>12.375555555555577</v>
      </c>
      <c r="L20" s="38">
        <f>SUM(L8:L9)</f>
        <v>0</v>
      </c>
      <c r="M20" s="44"/>
    </row>
    <row r="21" spans="1:13" ht="18.75" x14ac:dyDescent="0.15">
      <c r="A21" s="10">
        <f t="shared" ca="1" si="0"/>
        <v>46168.376124768503</v>
      </c>
      <c r="B21" s="5" t="s">
        <v>61</v>
      </c>
      <c r="C21" s="11">
        <v>0.37612268518518499</v>
      </c>
      <c r="D21" s="11" t="s">
        <v>62</v>
      </c>
      <c r="E21" s="11">
        <v>0.48976851851851899</v>
      </c>
      <c r="F21" s="12">
        <f t="shared" si="1"/>
        <v>2.727500000000016</v>
      </c>
      <c r="G21" s="13">
        <f t="shared" si="2"/>
        <v>2.727500000000016</v>
      </c>
      <c r="H21" s="13">
        <f t="shared" si="3"/>
        <v>0</v>
      </c>
      <c r="I21"/>
      <c r="J21"/>
    </row>
    <row r="22" spans="1:13" ht="18.75" x14ac:dyDescent="0.15">
      <c r="A22" s="10">
        <f t="shared" ca="1" si="0"/>
        <v>46168.517839814798</v>
      </c>
      <c r="B22" s="5" t="s">
        <v>81</v>
      </c>
      <c r="C22" s="11">
        <v>0.51783564814814798</v>
      </c>
      <c r="D22" s="11" t="s">
        <v>62</v>
      </c>
      <c r="E22" s="11">
        <v>0.58859953703703705</v>
      </c>
      <c r="F22" s="12">
        <f t="shared" si="1"/>
        <v>1.6983333333333377</v>
      </c>
      <c r="G22" s="13">
        <f t="shared" si="2"/>
        <v>1.6983333333333377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46168.626923842603</v>
      </c>
      <c r="B23" s="5" t="s">
        <v>61</v>
      </c>
      <c r="C23" s="11">
        <v>0.626921296296296</v>
      </c>
      <c r="D23" s="11" t="s">
        <v>62</v>
      </c>
      <c r="E23" s="11">
        <v>0.74275462962963001</v>
      </c>
      <c r="F23" s="12">
        <f t="shared" si="1"/>
        <v>2.7800000000000162</v>
      </c>
      <c r="G23" s="13">
        <f t="shared" si="2"/>
        <v>2.7800000000000162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46169.376673263898</v>
      </c>
      <c r="B24" s="5" t="s">
        <v>61</v>
      </c>
      <c r="C24" s="11">
        <v>0.37666666666666698</v>
      </c>
      <c r="D24" s="11" t="s">
        <v>62</v>
      </c>
      <c r="E24" s="11">
        <v>0.49106481481481501</v>
      </c>
      <c r="F24" s="12">
        <f t="shared" si="1"/>
        <v>2.7455555555555526</v>
      </c>
      <c r="G24" s="13">
        <f t="shared" si="2"/>
        <v>2.7455555555555526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46169.587929745401</v>
      </c>
      <c r="B25" s="5" t="s">
        <v>61</v>
      </c>
      <c r="C25" s="11">
        <v>0.58792824074074101</v>
      </c>
      <c r="D25" s="11" t="s">
        <v>62</v>
      </c>
      <c r="E25" s="11">
        <v>0.759699074074074</v>
      </c>
      <c r="F25" s="12">
        <f t="shared" si="1"/>
        <v>4.1224999999999916</v>
      </c>
      <c r="G25" s="13">
        <f t="shared" si="2"/>
        <v>4.1224999999999916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46172.959093402802</v>
      </c>
      <c r="B26" s="5" t="s">
        <v>81</v>
      </c>
      <c r="C26" s="11">
        <v>0.95908564814814801</v>
      </c>
      <c r="D26" s="11" t="s">
        <v>62</v>
      </c>
      <c r="E26" s="11">
        <v>9.4201388888888904E-2</v>
      </c>
      <c r="F26" s="12">
        <f t="shared" si="1"/>
        <v>3.2427777777777815</v>
      </c>
      <c r="G26" s="13">
        <f t="shared" si="2"/>
        <v>0.98194444444444784</v>
      </c>
      <c r="H26" s="13">
        <f t="shared" si="3"/>
        <v>2.2608333333333337</v>
      </c>
      <c r="I26"/>
      <c r="J26"/>
    </row>
    <row r="27" spans="1:13" ht="18.75" x14ac:dyDescent="0.15">
      <c r="A27" s="10">
        <f t="shared" ca="1" si="0"/>
        <v>46173.960117013899</v>
      </c>
      <c r="B27" s="5" t="s">
        <v>75</v>
      </c>
      <c r="C27" s="11">
        <v>0.96011574074074102</v>
      </c>
      <c r="D27" s="11" t="s">
        <v>62</v>
      </c>
      <c r="E27" s="11">
        <v>0.99997685185185203</v>
      </c>
      <c r="F27" s="12">
        <f t="shared" si="1"/>
        <v>0.95666666666666433</v>
      </c>
      <c r="G27" s="13">
        <f t="shared" si="2"/>
        <v>0.95666666666666433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 s="45"/>
      <c r="J37" s="46"/>
      <c r="K37" s="11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19:L19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7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42"/>
  <sheetViews>
    <sheetView topLeftCell="A10" zoomScale="85" zoomScaleNormal="85" workbookViewId="0">
      <selection activeCell="D35" sqref="D35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46145.131903703703</v>
      </c>
      <c r="B3" s="5" t="s">
        <v>83</v>
      </c>
      <c r="C3" s="11">
        <v>0.13189814814814799</v>
      </c>
      <c r="D3" s="11" t="s">
        <v>62</v>
      </c>
      <c r="E3" s="11">
        <v>0.21516203703703701</v>
      </c>
      <c r="F3" s="12">
        <f t="shared" ref="F3:F42" si="1">(IF(E3-C3&lt;0,"24:00"-C3+E3,E3-C3))*24</f>
        <v>1.9983333333333366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1.9983333333333366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46145.958123148099</v>
      </c>
      <c r="B4" s="5" t="s">
        <v>75</v>
      </c>
      <c r="C4" s="11">
        <v>0.95811342592592597</v>
      </c>
      <c r="D4" s="11" t="s">
        <v>62</v>
      </c>
      <c r="E4" s="11">
        <v>9.9641203703703704E-2</v>
      </c>
      <c r="F4" s="12">
        <f t="shared" si="1"/>
        <v>3.3966666666666661</v>
      </c>
      <c r="G4" s="13">
        <f t="shared" si="2"/>
        <v>1.0052777777777773</v>
      </c>
      <c r="H4" s="13">
        <f t="shared" si="3"/>
        <v>2.3913888888888888</v>
      </c>
      <c r="I4" s="21" t="s">
        <v>65</v>
      </c>
      <c r="J4" s="22">
        <f>SUMIF(B:B,"西塔台管制席",F:F)+SUMIF(B:B,"东塔台管制席",F:F)</f>
        <v>47.869722222222236</v>
      </c>
      <c r="K4" s="23">
        <f>SUMIF(B:B,"西塔台管制席",G:G)+SUMIF(B:B,"东塔台管制席",G:G)</f>
        <v>29.200277777777792</v>
      </c>
      <c r="L4" s="23">
        <f>SUMIF(B:B,"西塔台管制席",H:H)+SUMIF(B:B,"东塔台管制席",H:H)</f>
        <v>18.669444444444458</v>
      </c>
      <c r="M4" s="19"/>
    </row>
    <row r="5" spans="1:16" ht="18.75" x14ac:dyDescent="0.25">
      <c r="A5" s="10">
        <f t="shared" ca="1" si="0"/>
        <v>46146.645339467599</v>
      </c>
      <c r="B5" s="5" t="s">
        <v>79</v>
      </c>
      <c r="C5" s="11">
        <v>0.64533564814814803</v>
      </c>
      <c r="D5" s="11" t="s">
        <v>62</v>
      </c>
      <c r="E5" s="11">
        <v>0.77446759259259301</v>
      </c>
      <c r="F5" s="12">
        <f t="shared" si="1"/>
        <v>3.0991666666666795</v>
      </c>
      <c r="G5" s="13">
        <f t="shared" si="2"/>
        <v>3.0991666666666795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32.366388888888849</v>
      </c>
      <c r="K5" s="23">
        <f>SUMIF(B:B,"西塔台协调席",G:G)+SUMIF(B:B,"东塔台协调席",G:G)</f>
        <v>22.141388888888883</v>
      </c>
      <c r="L5" s="23">
        <f>SUMIF(B:B,"西塔台协调席",H:H)+SUMIF(B:B,"东塔台协调席",H:H)</f>
        <v>10.224999999999973</v>
      </c>
      <c r="M5" s="19"/>
    </row>
    <row r="6" spans="1:16" ht="18.75" x14ac:dyDescent="0.25">
      <c r="A6" s="10">
        <f t="shared" ca="1" si="0"/>
        <v>46148.513375347196</v>
      </c>
      <c r="B6" s="5" t="s">
        <v>75</v>
      </c>
      <c r="C6" s="11">
        <v>0.51336805555555598</v>
      </c>
      <c r="D6" s="11" t="s">
        <v>62</v>
      </c>
      <c r="E6" s="11">
        <v>0.63314814814814802</v>
      </c>
      <c r="F6" s="12">
        <f t="shared" si="1"/>
        <v>2.8747222222222089</v>
      </c>
      <c r="G6" s="13">
        <f t="shared" si="2"/>
        <v>2.8747222222222089</v>
      </c>
      <c r="H6" s="13">
        <f t="shared" si="3"/>
        <v>0</v>
      </c>
      <c r="I6" s="21" t="s">
        <v>67</v>
      </c>
      <c r="J6" s="22">
        <f>SUMIF(B:B,"放行席",F:F)</f>
        <v>4.386944444444449</v>
      </c>
      <c r="K6" s="23">
        <f>SUMIF(B:B,"放行席",G:G)</f>
        <v>0</v>
      </c>
      <c r="L6" s="23">
        <f>SUMIF(B:B,"放行席",H:H)</f>
        <v>4.386944444444449</v>
      </c>
      <c r="M6" s="19"/>
    </row>
    <row r="7" spans="1:16" ht="18.75" x14ac:dyDescent="0.25">
      <c r="A7" s="10">
        <f t="shared" ca="1" si="0"/>
        <v>46148.763349537003</v>
      </c>
      <c r="B7" s="5" t="s">
        <v>79</v>
      </c>
      <c r="C7" s="11">
        <v>0.76334490740740701</v>
      </c>
      <c r="D7" s="11" t="s">
        <v>62</v>
      </c>
      <c r="E7" s="11">
        <v>0.881851851851852</v>
      </c>
      <c r="F7" s="12">
        <f t="shared" si="1"/>
        <v>2.8441666666666796</v>
      </c>
      <c r="G7" s="13">
        <f t="shared" si="2"/>
        <v>2.8441666666666796</v>
      </c>
      <c r="H7" s="13">
        <f t="shared" si="3"/>
        <v>0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46149.417354629601</v>
      </c>
      <c r="B8" s="5" t="s">
        <v>75</v>
      </c>
      <c r="C8" s="11">
        <v>0.41734953703703698</v>
      </c>
      <c r="D8" s="11" t="s">
        <v>62</v>
      </c>
      <c r="E8" s="11">
        <v>0.52187499999999998</v>
      </c>
      <c r="F8" s="12">
        <f t="shared" si="1"/>
        <v>2.508611111111112</v>
      </c>
      <c r="G8" s="13">
        <f t="shared" si="2"/>
        <v>2.508611111111112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46149.625241550901</v>
      </c>
      <c r="B9" s="5" t="s">
        <v>79</v>
      </c>
      <c r="C9" s="11">
        <v>0.625231481481482</v>
      </c>
      <c r="D9" s="11" t="s">
        <v>62</v>
      </c>
      <c r="E9" s="11">
        <v>0.76768518518518503</v>
      </c>
      <c r="F9" s="12">
        <f t="shared" si="1"/>
        <v>3.4188888888888727</v>
      </c>
      <c r="G9" s="13">
        <f t="shared" si="2"/>
        <v>3.4188888888888727</v>
      </c>
      <c r="H9" s="13">
        <f t="shared" si="3"/>
        <v>0</v>
      </c>
      <c r="I9" s="21" t="s">
        <v>70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46149.8332354167</v>
      </c>
      <c r="B10" s="5" t="s">
        <v>75</v>
      </c>
      <c r="C10" s="11">
        <v>0.83322916666666702</v>
      </c>
      <c r="D10" s="11" t="s">
        <v>62</v>
      </c>
      <c r="E10" s="11">
        <v>0.96530092592592598</v>
      </c>
      <c r="F10" s="12">
        <f t="shared" si="1"/>
        <v>3.169722222222215</v>
      </c>
      <c r="G10" s="13">
        <f t="shared" si="2"/>
        <v>3.169722222222215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46150.297887963003</v>
      </c>
      <c r="B11" s="5" t="s">
        <v>79</v>
      </c>
      <c r="C11" s="11">
        <v>0.29788194444444399</v>
      </c>
      <c r="D11" s="11" t="s">
        <v>62</v>
      </c>
      <c r="E11" s="11">
        <v>0.36484953703703699</v>
      </c>
      <c r="F11" s="12">
        <f t="shared" si="1"/>
        <v>1.6072222222222319</v>
      </c>
      <c r="G11" s="13">
        <f t="shared" si="2"/>
        <v>0.7563888888888961</v>
      </c>
      <c r="H11" s="13">
        <f t="shared" si="3"/>
        <v>0.85083333333333577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46152.959009953702</v>
      </c>
      <c r="B12" s="5" t="s">
        <v>79</v>
      </c>
      <c r="C12" s="11">
        <v>0.95900462962962996</v>
      </c>
      <c r="D12" s="11" t="s">
        <v>62</v>
      </c>
      <c r="E12" s="11">
        <v>0.107847222222222</v>
      </c>
      <c r="F12" s="12">
        <f t="shared" si="1"/>
        <v>3.5722222222222086</v>
      </c>
      <c r="G12" s="13">
        <f t="shared" si="2"/>
        <v>0.9838888888888806</v>
      </c>
      <c r="H12" s="13">
        <f t="shared" si="3"/>
        <v>2.588333333333328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46154.0141784722</v>
      </c>
      <c r="B13" s="5" t="s">
        <v>81</v>
      </c>
      <c r="C13" s="11">
        <v>1.41782407407407E-2</v>
      </c>
      <c r="D13" s="11" t="s">
        <v>62</v>
      </c>
      <c r="E13" s="11">
        <v>0.115763888888889</v>
      </c>
      <c r="F13" s="12">
        <f t="shared" si="1"/>
        <v>2.4380555555555592</v>
      </c>
      <c r="G13" s="13">
        <f t="shared" si="2"/>
        <v>0</v>
      </c>
      <c r="H13" s="13">
        <f t="shared" si="3"/>
        <v>2.4380555555555592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46154.142373263901</v>
      </c>
      <c r="B14" s="5" t="s">
        <v>79</v>
      </c>
      <c r="C14" s="11">
        <v>0.115289351851852</v>
      </c>
      <c r="D14" s="11" t="s">
        <v>62</v>
      </c>
      <c r="E14" s="11">
        <v>0.142604166666667</v>
      </c>
      <c r="F14" s="12">
        <f t="shared" si="1"/>
        <v>0.65555555555556</v>
      </c>
      <c r="G14" s="13">
        <f t="shared" si="2"/>
        <v>0</v>
      </c>
      <c r="H14" s="13">
        <f t="shared" si="3"/>
        <v>0.65555555555556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46157.138023032399</v>
      </c>
      <c r="B15" s="5" t="s">
        <v>79</v>
      </c>
      <c r="C15" s="11">
        <v>0.13802083333333301</v>
      </c>
      <c r="D15" s="11" t="s">
        <v>62</v>
      </c>
      <c r="E15" s="11">
        <v>0.30629629629629601</v>
      </c>
      <c r="F15" s="12">
        <f t="shared" si="1"/>
        <v>4.0386111111111118</v>
      </c>
      <c r="G15" s="13">
        <f t="shared" si="2"/>
        <v>0</v>
      </c>
      <c r="H15" s="13">
        <f t="shared" si="3"/>
        <v>4.0386111111111118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46158.131750462999</v>
      </c>
      <c r="B16" s="5" t="s">
        <v>83</v>
      </c>
      <c r="C16" s="11">
        <v>0.13174768518518501</v>
      </c>
      <c r="D16" s="11" t="s">
        <v>62</v>
      </c>
      <c r="E16" s="11">
        <v>0.23127314814814801</v>
      </c>
      <c r="F16" s="12">
        <f t="shared" si="1"/>
        <v>2.3886111111111119</v>
      </c>
      <c r="G16" s="13">
        <f t="shared" si="2"/>
        <v>0</v>
      </c>
      <c r="H16" s="13">
        <f t="shared" si="3"/>
        <v>2.3886111111111119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46160.356786574099</v>
      </c>
      <c r="B17" s="5" t="s">
        <v>79</v>
      </c>
      <c r="C17" s="11">
        <v>0.35678240740740702</v>
      </c>
      <c r="D17" s="11" t="s">
        <v>62</v>
      </c>
      <c r="E17" s="11">
        <v>0.51054398148148195</v>
      </c>
      <c r="F17" s="12">
        <f t="shared" si="1"/>
        <v>3.6902777777777982</v>
      </c>
      <c r="G17" s="13">
        <f t="shared" si="2"/>
        <v>3.6902777777777982</v>
      </c>
      <c r="H17" s="13">
        <f t="shared" si="3"/>
        <v>0</v>
      </c>
      <c r="I17" s="35" t="s">
        <v>77</v>
      </c>
      <c r="J17" s="36">
        <f>J4+J5+J6+J7+J10</f>
        <v>84.623055555555538</v>
      </c>
      <c r="K17" s="37">
        <f>K4+K5+K6+K7+K10</f>
        <v>51.341666666666676</v>
      </c>
      <c r="L17" s="38">
        <f>L4+L5+L6+L7+L10</f>
        <v>33.281388888888884</v>
      </c>
      <c r="M17" s="39"/>
    </row>
    <row r="18" spans="1:13" ht="20.25" x14ac:dyDescent="0.25">
      <c r="A18" s="10">
        <f t="shared" ca="1" si="0"/>
        <v>46160.625437152798</v>
      </c>
      <c r="B18" s="5" t="s">
        <v>75</v>
      </c>
      <c r="C18" s="11">
        <v>0.62542824074074099</v>
      </c>
      <c r="D18" s="11" t="s">
        <v>62</v>
      </c>
      <c r="E18" s="11">
        <v>0.76084490740740696</v>
      </c>
      <c r="F18" s="12">
        <f t="shared" si="1"/>
        <v>3.2499999999999831</v>
      </c>
      <c r="G18" s="13">
        <f t="shared" si="2"/>
        <v>3.2499999999999831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46160.875882986104</v>
      </c>
      <c r="B19" s="5" t="s">
        <v>79</v>
      </c>
      <c r="C19" s="11">
        <v>0.87587962962962995</v>
      </c>
      <c r="D19" s="11" t="s">
        <v>62</v>
      </c>
      <c r="E19" s="11">
        <v>0.96256944444444403</v>
      </c>
      <c r="F19" s="12">
        <f t="shared" si="1"/>
        <v>2.0805555555555379</v>
      </c>
      <c r="G19" s="13">
        <f t="shared" si="2"/>
        <v>2.0805555555555379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46161.299536226797</v>
      </c>
      <c r="B20" s="5" t="s">
        <v>81</v>
      </c>
      <c r="C20" s="11">
        <v>0.29952546296296301</v>
      </c>
      <c r="D20" s="11" t="s">
        <v>62</v>
      </c>
      <c r="E20" s="11">
        <v>0.31789351851851799</v>
      </c>
      <c r="F20" s="12">
        <f t="shared" si="1"/>
        <v>0.44083333333331964</v>
      </c>
      <c r="G20" s="13">
        <f t="shared" si="2"/>
        <v>0</v>
      </c>
      <c r="H20" s="13">
        <f t="shared" si="3"/>
        <v>0.44083333333331964</v>
      </c>
      <c r="I20" s="40" t="s">
        <v>80</v>
      </c>
      <c r="J20" s="65">
        <f>J16+J17+J18+J19</f>
        <v>84.623055555555538</v>
      </c>
      <c r="K20" s="66"/>
      <c r="L20" s="67"/>
      <c r="M20" s="41"/>
    </row>
    <row r="21" spans="1:13" ht="20.25" x14ac:dyDescent="0.25">
      <c r="A21" s="10">
        <f t="shared" ca="1" si="0"/>
        <v>46161.317938310203</v>
      </c>
      <c r="B21" s="5" t="s">
        <v>75</v>
      </c>
      <c r="C21" s="11">
        <v>0.317928240740741</v>
      </c>
      <c r="D21" s="11" t="s">
        <v>62</v>
      </c>
      <c r="E21" s="11">
        <v>0.46537037037036999</v>
      </c>
      <c r="F21" s="12">
        <f t="shared" si="1"/>
        <v>3.5386111111110958</v>
      </c>
      <c r="G21" s="13">
        <f t="shared" si="2"/>
        <v>3.1688888888888882</v>
      </c>
      <c r="H21" s="13">
        <f t="shared" si="3"/>
        <v>0.36972222222220763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46161.541800462997</v>
      </c>
      <c r="B22" s="5" t="s">
        <v>79</v>
      </c>
      <c r="C22" s="11">
        <v>0.54179398148148195</v>
      </c>
      <c r="D22" s="11" t="s">
        <v>62</v>
      </c>
      <c r="E22" s="11">
        <v>0.63295138888888902</v>
      </c>
      <c r="F22" s="12">
        <f t="shared" si="1"/>
        <v>2.1877777777777698</v>
      </c>
      <c r="G22" s="13">
        <f t="shared" si="2"/>
        <v>2.1877777777777698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46165.137573263899</v>
      </c>
      <c r="B23" s="5" t="s">
        <v>79</v>
      </c>
      <c r="C23" s="11">
        <v>0.13756944444444399</v>
      </c>
      <c r="D23" s="11" t="s">
        <v>62</v>
      </c>
      <c r="E23" s="11">
        <v>0.30578703703703702</v>
      </c>
      <c r="F23" s="12">
        <f t="shared" si="1"/>
        <v>4.0372222222222325</v>
      </c>
      <c r="G23" s="13">
        <f t="shared" si="2"/>
        <v>0</v>
      </c>
      <c r="H23" s="13">
        <f t="shared" si="3"/>
        <v>4.0372222222222325</v>
      </c>
      <c r="I23"/>
      <c r="J23"/>
    </row>
    <row r="24" spans="1:13" ht="18.75" x14ac:dyDescent="0.15">
      <c r="A24" s="10">
        <f t="shared" ca="1" si="0"/>
        <v>46165.957527083301</v>
      </c>
      <c r="B24" s="5" t="s">
        <v>79</v>
      </c>
      <c r="C24" s="11">
        <v>0.95752314814814798</v>
      </c>
      <c r="D24" s="11" t="s">
        <v>62</v>
      </c>
      <c r="E24" s="11">
        <v>0.106354166666667</v>
      </c>
      <c r="F24" s="12">
        <f t="shared" si="1"/>
        <v>3.5719444444444566</v>
      </c>
      <c r="G24" s="13">
        <f t="shared" si="2"/>
        <v>1.0194444444444484</v>
      </c>
      <c r="H24" s="13">
        <f t="shared" si="3"/>
        <v>2.5525000000000082</v>
      </c>
      <c r="I24"/>
      <c r="J24"/>
    </row>
    <row r="25" spans="1:13" ht="18.75" x14ac:dyDescent="0.15">
      <c r="A25" s="10">
        <f t="shared" ca="1" si="0"/>
        <v>46169.011980787</v>
      </c>
      <c r="B25" s="5" t="s">
        <v>75</v>
      </c>
      <c r="C25" s="11">
        <v>1.19791666666667E-2</v>
      </c>
      <c r="D25" s="11" t="s">
        <v>62</v>
      </c>
      <c r="E25" s="11">
        <v>0.107997685185185</v>
      </c>
      <c r="F25" s="12">
        <f t="shared" si="1"/>
        <v>2.3044444444444396</v>
      </c>
      <c r="G25" s="13">
        <f t="shared" si="2"/>
        <v>0</v>
      </c>
      <c r="H25" s="13">
        <f t="shared" si="3"/>
        <v>2.3044444444444396</v>
      </c>
      <c r="I25"/>
      <c r="J25"/>
    </row>
    <row r="26" spans="1:13" ht="18.75" x14ac:dyDescent="0.15">
      <c r="A26" s="10">
        <f t="shared" ca="1" si="0"/>
        <v>46169.108071643503</v>
      </c>
      <c r="B26" s="5" t="s">
        <v>82</v>
      </c>
      <c r="C26" s="11">
        <v>0.10806712962963</v>
      </c>
      <c r="D26" s="11" t="s">
        <v>62</v>
      </c>
      <c r="E26" s="11">
        <v>0.14577546296296301</v>
      </c>
      <c r="F26" s="12">
        <f t="shared" si="1"/>
        <v>0.90499999999999226</v>
      </c>
      <c r="G26" s="13">
        <f t="shared" si="2"/>
        <v>0</v>
      </c>
      <c r="H26" s="13">
        <f t="shared" si="3"/>
        <v>0.90499999999999226</v>
      </c>
      <c r="I26"/>
      <c r="J26"/>
    </row>
    <row r="27" spans="1:13" ht="18.75" x14ac:dyDescent="0.15">
      <c r="A27" s="10">
        <f t="shared" ca="1" si="0"/>
        <v>46170.011835300902</v>
      </c>
      <c r="B27" s="5" t="s">
        <v>81</v>
      </c>
      <c r="C27" s="11">
        <v>1.1828703703703701E-2</v>
      </c>
      <c r="D27" s="11" t="s">
        <v>62</v>
      </c>
      <c r="E27" s="11">
        <v>0.106851851851852</v>
      </c>
      <c r="F27" s="12">
        <f t="shared" si="1"/>
        <v>2.2805555555555594</v>
      </c>
      <c r="G27" s="13">
        <f t="shared" si="2"/>
        <v>0</v>
      </c>
      <c r="H27" s="13">
        <f t="shared" si="3"/>
        <v>2.2805555555555594</v>
      </c>
      <c r="I27"/>
      <c r="J27"/>
    </row>
    <row r="28" spans="1:13" ht="18.75" x14ac:dyDescent="0.15">
      <c r="A28" s="10">
        <f t="shared" ca="1" si="0"/>
        <v>46170.106888773102</v>
      </c>
      <c r="B28" s="5" t="s">
        <v>79</v>
      </c>
      <c r="C28" s="11">
        <v>0.106886574074074</v>
      </c>
      <c r="D28" s="11" t="s">
        <v>62</v>
      </c>
      <c r="E28" s="11">
        <v>0.14519675925925901</v>
      </c>
      <c r="F28" s="12">
        <f t="shared" si="1"/>
        <v>0.9194444444444404</v>
      </c>
      <c r="G28" s="13">
        <f t="shared" si="2"/>
        <v>0</v>
      </c>
      <c r="H28" s="13">
        <f t="shared" si="3"/>
        <v>0.9194444444444404</v>
      </c>
      <c r="I28"/>
      <c r="J28"/>
    </row>
    <row r="29" spans="1:13" ht="18.75" x14ac:dyDescent="0.15">
      <c r="A29" s="10">
        <f t="shared" ca="1" si="0"/>
        <v>46172.507288310197</v>
      </c>
      <c r="B29" s="5" t="s">
        <v>81</v>
      </c>
      <c r="C29" s="11">
        <v>0.50732638888888903</v>
      </c>
      <c r="D29" s="11" t="s">
        <v>62</v>
      </c>
      <c r="E29" s="11">
        <v>0.51291666666666702</v>
      </c>
      <c r="F29" s="12">
        <f t="shared" si="1"/>
        <v>0.13416666666667165</v>
      </c>
      <c r="G29" s="13">
        <f t="shared" si="2"/>
        <v>0.13416666666667165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46172.512949305601</v>
      </c>
      <c r="B30" s="5" t="s">
        <v>82</v>
      </c>
      <c r="C30" s="11">
        <v>0.51293981481481499</v>
      </c>
      <c r="D30" s="11" t="s">
        <v>62</v>
      </c>
      <c r="E30" s="11">
        <v>0.63346064814814795</v>
      </c>
      <c r="F30" s="12">
        <f t="shared" si="1"/>
        <v>2.8924999999999912</v>
      </c>
      <c r="G30" s="13">
        <f t="shared" si="2"/>
        <v>2.8924999999999912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46172.760836458299</v>
      </c>
      <c r="B31" s="5" t="s">
        <v>81</v>
      </c>
      <c r="C31" s="11">
        <v>0.76083333333333303</v>
      </c>
      <c r="D31" s="11" t="s">
        <v>62</v>
      </c>
      <c r="E31" s="11">
        <v>0.88070601851851904</v>
      </c>
      <c r="F31" s="12">
        <f t="shared" si="1"/>
        <v>2.8769444444444643</v>
      </c>
      <c r="G31" s="13">
        <f t="shared" si="2"/>
        <v>2.8769444444444643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46172.958284838001</v>
      </c>
      <c r="B32" s="5" t="s">
        <v>82</v>
      </c>
      <c r="C32" s="11">
        <v>0.95827546296296295</v>
      </c>
      <c r="D32" s="11" t="s">
        <v>62</v>
      </c>
      <c r="E32" s="11">
        <v>8.8414351851851897E-2</v>
      </c>
      <c r="F32" s="12">
        <f t="shared" si="1"/>
        <v>3.1233333333333348</v>
      </c>
      <c r="G32" s="13">
        <f t="shared" si="2"/>
        <v>1.0013888888888891</v>
      </c>
      <c r="H32" s="13">
        <f t="shared" si="3"/>
        <v>2.1219444444444457</v>
      </c>
      <c r="I32"/>
      <c r="J32"/>
    </row>
    <row r="33" spans="1:11" ht="18.75" x14ac:dyDescent="0.15">
      <c r="A33" s="10">
        <f t="shared" ca="1" si="0"/>
        <v>46173.458405324098</v>
      </c>
      <c r="B33" s="5" t="s">
        <v>79</v>
      </c>
      <c r="C33" s="11">
        <v>0.45840277777777799</v>
      </c>
      <c r="D33" s="11" t="s">
        <v>62</v>
      </c>
      <c r="E33" s="11">
        <v>0.54799768518518499</v>
      </c>
      <c r="F33" s="12">
        <f t="shared" si="1"/>
        <v>2.150277777777768</v>
      </c>
      <c r="G33" s="13">
        <f t="shared" si="2"/>
        <v>2.150277777777768</v>
      </c>
      <c r="H33" s="13">
        <f t="shared" si="3"/>
        <v>0</v>
      </c>
      <c r="I33"/>
      <c r="J33"/>
    </row>
    <row r="34" spans="1:11" ht="18.75" x14ac:dyDescent="0.15">
      <c r="A34" s="10">
        <f t="shared" ca="1" si="0"/>
        <v>46173.624132291698</v>
      </c>
      <c r="B34" s="5" t="s">
        <v>75</v>
      </c>
      <c r="C34" s="11">
        <v>0.62413194444444398</v>
      </c>
      <c r="D34" s="11" t="s">
        <v>62</v>
      </c>
      <c r="E34" s="11">
        <v>0.75550925925925905</v>
      </c>
      <c r="F34" s="12">
        <f t="shared" si="1"/>
        <v>3.1530555555555617</v>
      </c>
      <c r="G34" s="13">
        <f t="shared" si="2"/>
        <v>3.1530555555555617</v>
      </c>
      <c r="H34" s="13">
        <f t="shared" si="3"/>
        <v>0</v>
      </c>
      <c r="I34"/>
      <c r="J34"/>
    </row>
    <row r="35" spans="1:11" ht="18.75" x14ac:dyDescent="0.15">
      <c r="A35" s="10">
        <f t="shared" ca="1" si="0"/>
        <v>46173.8339913194</v>
      </c>
      <c r="B35" s="5" t="s">
        <v>79</v>
      </c>
      <c r="C35" s="11">
        <v>0.83398148148148099</v>
      </c>
      <c r="D35" s="11" t="s">
        <v>62</v>
      </c>
      <c r="E35" s="11">
        <v>0.96212962962963</v>
      </c>
      <c r="F35" s="12">
        <f t="shared" si="1"/>
        <v>3.0755555555555762</v>
      </c>
      <c r="G35" s="13">
        <f t="shared" si="2"/>
        <v>3.0755555555555762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46145.0146215278</v>
      </c>
      <c r="B3" s="5" t="s">
        <v>75</v>
      </c>
      <c r="C3" s="11">
        <v>1.4618055555555599E-2</v>
      </c>
      <c r="D3" s="11" t="s">
        <v>62</v>
      </c>
      <c r="E3" s="11">
        <v>9.9629629629629596E-2</v>
      </c>
      <c r="F3" s="12">
        <f t="shared" ref="F3:F42" si="1">(IF(E3-C3&lt;0,"24:00"-C3+E3,E3-C3))*24</f>
        <v>2.0402777777777761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2.0402777777777761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46145.099667013899</v>
      </c>
      <c r="B4" s="5" t="s">
        <v>82</v>
      </c>
      <c r="C4" s="11">
        <v>9.9664351851851907E-2</v>
      </c>
      <c r="D4" s="11" t="s">
        <v>62</v>
      </c>
      <c r="E4" s="11">
        <v>0.14479166666666701</v>
      </c>
      <c r="F4" s="12">
        <f t="shared" si="1"/>
        <v>1.0830555555555625</v>
      </c>
      <c r="G4" s="13">
        <f t="shared" si="2"/>
        <v>0</v>
      </c>
      <c r="H4" s="13">
        <f t="shared" si="3"/>
        <v>1.0830555555555625</v>
      </c>
      <c r="I4" s="21" t="s">
        <v>65</v>
      </c>
      <c r="J4" s="22">
        <f>SUMIF(B:B,"西塔台管制席",F:F)+SUMIF(B:B,"东塔台管制席",F:F)</f>
        <v>16.811666666666646</v>
      </c>
      <c r="K4" s="23">
        <f>SUMIF(B:B,"西塔台管制席",G:G)+SUMIF(B:B,"东塔台管制席",G:G)</f>
        <v>5.2075000000000102</v>
      </c>
      <c r="L4" s="23">
        <f>SUMIF(B:B,"西塔台管制席",H:H)+SUMIF(B:B,"东塔台管制席",H:H)</f>
        <v>11.604166666666636</v>
      </c>
      <c r="M4" s="19"/>
    </row>
    <row r="5" spans="1:16" ht="18.75" x14ac:dyDescent="0.25">
      <c r="A5" s="10">
        <f t="shared" ca="1" si="0"/>
        <v>46146.139461342602</v>
      </c>
      <c r="B5" s="5" t="s">
        <v>82</v>
      </c>
      <c r="C5" s="11">
        <v>0.13945601851851899</v>
      </c>
      <c r="D5" s="11" t="s">
        <v>62</v>
      </c>
      <c r="E5" s="11">
        <v>0.30619212962962999</v>
      </c>
      <c r="F5" s="12">
        <f t="shared" si="1"/>
        <v>4.0016666666666643</v>
      </c>
      <c r="G5" s="13">
        <f t="shared" si="2"/>
        <v>0</v>
      </c>
      <c r="H5" s="13">
        <f t="shared" si="3"/>
        <v>4.0016666666666643</v>
      </c>
      <c r="I5" s="21" t="s">
        <v>66</v>
      </c>
      <c r="J5" s="22">
        <f>SUMIF(B:B,"西塔台协调席",F:F)+SUMIF(B:B,"东塔台协调席",F:F)</f>
        <v>19.175833333333273</v>
      </c>
      <c r="K5" s="23">
        <f>SUMIF(B:B,"西塔台协调席",G:G)+SUMIF(B:B,"东塔台协调席",G:G)</f>
        <v>11.96611111111109</v>
      </c>
      <c r="L5" s="23">
        <f>SUMIF(B:B,"西塔台协调席",H:H)+SUMIF(B:B,"东塔台协调席",H:H)</f>
        <v>7.209722222222184</v>
      </c>
      <c r="M5" s="19"/>
    </row>
    <row r="6" spans="1:16" ht="18.75" x14ac:dyDescent="0.25">
      <c r="A6" s="10">
        <f t="shared" ca="1" si="0"/>
        <v>46153.376883101897</v>
      </c>
      <c r="B6" s="5" t="s">
        <v>61</v>
      </c>
      <c r="C6" s="11">
        <v>0.37548611111111102</v>
      </c>
      <c r="D6" s="11" t="s">
        <v>62</v>
      </c>
      <c r="E6" s="11">
        <v>0.50924768518518504</v>
      </c>
      <c r="F6" s="12">
        <f t="shared" si="1"/>
        <v>3.2102777777777765</v>
      </c>
      <c r="G6" s="13">
        <f t="shared" si="2"/>
        <v>3.2102777777777765</v>
      </c>
      <c r="H6" s="13">
        <f t="shared" si="3"/>
        <v>0</v>
      </c>
      <c r="I6" s="21" t="s">
        <v>67</v>
      </c>
      <c r="J6" s="22">
        <f>SUMIF(B:B,"放行席",F:F)</f>
        <v>2.9652777777777839</v>
      </c>
      <c r="K6" s="23">
        <f>SUMIF(B:B,"放行席",G:G)</f>
        <v>0</v>
      </c>
      <c r="L6" s="23">
        <f>SUMIF(B:B,"放行席",H:H)</f>
        <v>2.9652777777777839</v>
      </c>
      <c r="M6" s="19"/>
    </row>
    <row r="7" spans="1:16" ht="18.75" x14ac:dyDescent="0.25">
      <c r="A7" s="10">
        <f t="shared" ca="1" si="0"/>
        <v>46153.5726236111</v>
      </c>
      <c r="B7" s="5" t="s">
        <v>61</v>
      </c>
      <c r="C7" s="11">
        <v>0.57261574074074095</v>
      </c>
      <c r="D7" s="11" t="s">
        <v>62</v>
      </c>
      <c r="E7" s="11">
        <v>0.75729166666666703</v>
      </c>
      <c r="F7" s="12">
        <f t="shared" si="1"/>
        <v>4.4322222222222258</v>
      </c>
      <c r="G7" s="13">
        <f t="shared" si="2"/>
        <v>4.4322222222222258</v>
      </c>
      <c r="H7" s="13">
        <f t="shared" si="3"/>
        <v>0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46161.129748148101</v>
      </c>
      <c r="B8" s="5" t="s">
        <v>83</v>
      </c>
      <c r="C8" s="11">
        <v>0.12974537037037001</v>
      </c>
      <c r="D8" s="11" t="s">
        <v>62</v>
      </c>
      <c r="E8" s="11">
        <v>0.25329861111111102</v>
      </c>
      <c r="F8" s="12">
        <f t="shared" si="1"/>
        <v>2.9652777777777839</v>
      </c>
      <c r="G8" s="13">
        <f t="shared" si="2"/>
        <v>0</v>
      </c>
      <c r="H8" s="13">
        <f t="shared" si="3"/>
        <v>2.9652777777777839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46162.138540393498</v>
      </c>
      <c r="B9" s="5" t="s">
        <v>79</v>
      </c>
      <c r="C9" s="11">
        <v>0.138530092592593</v>
      </c>
      <c r="D9" s="11" t="s">
        <v>62</v>
      </c>
      <c r="E9" s="11">
        <v>0.23583333333333301</v>
      </c>
      <c r="F9" s="12">
        <f t="shared" si="1"/>
        <v>2.33527777777776</v>
      </c>
      <c r="G9" s="13">
        <f t="shared" si="2"/>
        <v>0</v>
      </c>
      <c r="H9" s="13">
        <f t="shared" si="3"/>
        <v>2.33527777777776</v>
      </c>
      <c r="I9" s="21" t="s">
        <v>70</v>
      </c>
      <c r="J9" s="22">
        <f>SUMIF(B:B,"航班调度席",F:F)</f>
        <v>7.6425000000000018</v>
      </c>
      <c r="K9" s="23">
        <f>SUMIF(B:B,"航班调度席",G:G)</f>
        <v>7.6425000000000018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46162.272059953699</v>
      </c>
      <c r="B10" s="5" t="s">
        <v>81</v>
      </c>
      <c r="C10" s="11">
        <v>0.23587962962962999</v>
      </c>
      <c r="D10" s="11" t="s">
        <v>62</v>
      </c>
      <c r="E10" s="11">
        <v>0.30663194444444403</v>
      </c>
      <c r="F10" s="12">
        <f t="shared" si="1"/>
        <v>1.6980555555555368</v>
      </c>
      <c r="G10" s="13">
        <f t="shared" si="2"/>
        <v>0</v>
      </c>
      <c r="H10" s="13">
        <f t="shared" si="3"/>
        <v>1.6980555555555368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46164.501308217601</v>
      </c>
      <c r="B11" s="5" t="s">
        <v>81</v>
      </c>
      <c r="C11" s="11">
        <v>0.50061342592592595</v>
      </c>
      <c r="D11" s="11" t="s">
        <v>62</v>
      </c>
      <c r="E11" s="11">
        <v>0.65313657407407399</v>
      </c>
      <c r="F11" s="12">
        <f t="shared" si="1"/>
        <v>3.6605555555555531</v>
      </c>
      <c r="G11" s="13">
        <f t="shared" si="2"/>
        <v>3.6605555555555531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46164.727468518497</v>
      </c>
      <c r="B12" s="5" t="s">
        <v>81</v>
      </c>
      <c r="C12" s="11">
        <v>0.72123842592592602</v>
      </c>
      <c r="D12" s="11" t="s">
        <v>62</v>
      </c>
      <c r="E12" s="11">
        <v>0.79862268518518498</v>
      </c>
      <c r="F12" s="12">
        <f t="shared" si="1"/>
        <v>1.857222222222215</v>
      </c>
      <c r="G12" s="13">
        <f t="shared" si="2"/>
        <v>1.857222222222215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46164.8102127315</v>
      </c>
      <c r="B13" s="5" t="s">
        <v>81</v>
      </c>
      <c r="C13" s="11">
        <v>0.80979166666666702</v>
      </c>
      <c r="D13" s="11" t="s">
        <v>62</v>
      </c>
      <c r="E13" s="11">
        <v>0.88093750000000004</v>
      </c>
      <c r="F13" s="12">
        <f t="shared" si="1"/>
        <v>1.7074999999999925</v>
      </c>
      <c r="G13" s="13">
        <f t="shared" si="2"/>
        <v>1.7074999999999925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46165.299795486098</v>
      </c>
      <c r="B14" s="5" t="s">
        <v>79</v>
      </c>
      <c r="C14" s="11">
        <v>0.29840277777777802</v>
      </c>
      <c r="D14" s="11" t="s">
        <v>62</v>
      </c>
      <c r="E14" s="11">
        <v>0.36047453703703702</v>
      </c>
      <c r="F14" s="12">
        <f t="shared" si="1"/>
        <v>1.4897222222222162</v>
      </c>
      <c r="G14" s="13">
        <f t="shared" si="2"/>
        <v>0.65138888888889701</v>
      </c>
      <c r="H14" s="13">
        <f t="shared" si="3"/>
        <v>0.83833333333331916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46165.4434841435</v>
      </c>
      <c r="B15" s="5" t="s">
        <v>79</v>
      </c>
      <c r="C15" s="11">
        <v>0.44348379629629597</v>
      </c>
      <c r="D15" s="11" t="s">
        <v>62</v>
      </c>
      <c r="E15" s="11">
        <v>0.50490740740740703</v>
      </c>
      <c r="F15" s="12">
        <f t="shared" si="1"/>
        <v>1.4741666666666653</v>
      </c>
      <c r="G15" s="13">
        <f t="shared" si="2"/>
        <v>1.4741666666666653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46165.6273141204</v>
      </c>
      <c r="B16" s="5" t="s">
        <v>75</v>
      </c>
      <c r="C16" s="11">
        <v>0.62730324074074095</v>
      </c>
      <c r="D16" s="11" t="s">
        <v>62</v>
      </c>
      <c r="E16" s="11">
        <v>0.75422453703703696</v>
      </c>
      <c r="F16" s="12">
        <f t="shared" si="1"/>
        <v>3.0461111111111041</v>
      </c>
      <c r="G16" s="13">
        <f t="shared" si="2"/>
        <v>3.0461111111111041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46165.833557986101</v>
      </c>
      <c r="B17" s="5" t="s">
        <v>79</v>
      </c>
      <c r="C17" s="11">
        <v>0.833553240740741</v>
      </c>
      <c r="D17" s="11" t="s">
        <v>62</v>
      </c>
      <c r="E17" s="11">
        <v>0.96196759259259301</v>
      </c>
      <c r="F17" s="12">
        <f t="shared" si="1"/>
        <v>3.0819444444444484</v>
      </c>
      <c r="G17" s="13">
        <f t="shared" si="2"/>
        <v>3.0819444444444484</v>
      </c>
      <c r="H17" s="13">
        <f t="shared" si="3"/>
        <v>0</v>
      </c>
      <c r="I17" s="35" t="s">
        <v>77</v>
      </c>
      <c r="J17" s="36">
        <f>J4+J5+J6+J7+J10</f>
        <v>38.952777777777705</v>
      </c>
      <c r="K17" s="37">
        <f>K4+K5+K6+K7+K10</f>
        <v>17.1736111111111</v>
      </c>
      <c r="L17" s="38">
        <f>L4+L5+L6+L7+L10</f>
        <v>21.779166666666605</v>
      </c>
      <c r="M17" s="39"/>
    </row>
    <row r="18" spans="1:13" ht="20.25" x14ac:dyDescent="0.25">
      <c r="A18" s="10">
        <f t="shared" ca="1" si="0"/>
        <v>46166.297553935197</v>
      </c>
      <c r="B18" s="5" t="s">
        <v>75</v>
      </c>
      <c r="C18" s="11">
        <v>0.29759259259259302</v>
      </c>
      <c r="D18" s="11" t="s">
        <v>62</v>
      </c>
      <c r="E18" s="11">
        <v>0.36249999999999999</v>
      </c>
      <c r="F18" s="12">
        <f t="shared" si="1"/>
        <v>1.5577777777777673</v>
      </c>
      <c r="G18" s="13">
        <f t="shared" si="2"/>
        <v>0.70000000000000817</v>
      </c>
      <c r="H18" s="13">
        <f t="shared" si="3"/>
        <v>0.8577777777777591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46169.012017245397</v>
      </c>
      <c r="B19" s="5" t="s">
        <v>79</v>
      </c>
      <c r="C19" s="11">
        <v>1.20138888888889E-2</v>
      </c>
      <c r="D19" s="11" t="s">
        <v>62</v>
      </c>
      <c r="E19" s="11">
        <v>0.151423611111111</v>
      </c>
      <c r="F19" s="12">
        <f t="shared" si="1"/>
        <v>3.3458333333333301</v>
      </c>
      <c r="G19" s="13">
        <f t="shared" si="2"/>
        <v>0</v>
      </c>
      <c r="H19" s="13">
        <f t="shared" si="3"/>
        <v>3.3458333333333301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46169.958563078697</v>
      </c>
      <c r="B20" s="5" t="s">
        <v>75</v>
      </c>
      <c r="C20" s="11">
        <v>0.958553240740741</v>
      </c>
      <c r="D20" s="11" t="s">
        <v>62</v>
      </c>
      <c r="E20" s="11">
        <v>0.108900462962963</v>
      </c>
      <c r="F20" s="12">
        <f t="shared" si="1"/>
        <v>3.6083333333333285</v>
      </c>
      <c r="G20" s="13">
        <f t="shared" si="2"/>
        <v>0.99472222222221651</v>
      </c>
      <c r="H20" s="13">
        <f t="shared" si="3"/>
        <v>2.613611111111112</v>
      </c>
      <c r="I20" s="40" t="s">
        <v>80</v>
      </c>
      <c r="J20" s="65">
        <f>J16+J17+J18+J19</f>
        <v>38.952777777777705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7.6425000000000018</v>
      </c>
      <c r="K21" s="37">
        <f>SUM(K8:K9)</f>
        <v>7.6425000000000018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46145.145537037002</v>
      </c>
      <c r="B3" s="5" t="s">
        <v>84</v>
      </c>
      <c r="C3" s="11">
        <v>0.145532407407407</v>
      </c>
      <c r="D3" s="11" t="s">
        <v>62</v>
      </c>
      <c r="E3" s="11">
        <v>0.208206018518519</v>
      </c>
      <c r="F3" s="12">
        <f t="shared" ref="F3:F42" si="1">(IF(E3-C3&lt;0,"24:00"-C3+E3,E3-C3))*24</f>
        <v>1.504166666666688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1.504166666666688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46145.208235300903</v>
      </c>
      <c r="B4" s="5" t="s">
        <v>79</v>
      </c>
      <c r="C4" s="11">
        <v>0.20822916666666699</v>
      </c>
      <c r="D4" s="11" t="s">
        <v>62</v>
      </c>
      <c r="E4" s="11">
        <v>0.30446759259259298</v>
      </c>
      <c r="F4" s="12">
        <f t="shared" si="1"/>
        <v>2.3097222222222236</v>
      </c>
      <c r="G4" s="13">
        <f t="shared" si="2"/>
        <v>0</v>
      </c>
      <c r="H4" s="13">
        <f t="shared" si="3"/>
        <v>2.3097222222222236</v>
      </c>
      <c r="I4" s="21" t="s">
        <v>65</v>
      </c>
      <c r="J4" s="22">
        <f>SUMIF(B:B,"西塔台管制席",F:F)+SUMIF(B:B,"东塔台管制席",F:F)</f>
        <v>30.107222222222251</v>
      </c>
      <c r="K4" s="23">
        <f>SUMIF(B:B,"西塔台管制席",G:G)+SUMIF(B:B,"东塔台管制席",G:G)</f>
        <v>18.403333333333364</v>
      </c>
      <c r="L4" s="23">
        <f>SUMIF(B:B,"西塔台管制席",H:H)+SUMIF(B:B,"东塔台管制席",H:H)</f>
        <v>11.703888888888887</v>
      </c>
      <c r="M4" s="19"/>
    </row>
    <row r="5" spans="1:16" ht="18.75" x14ac:dyDescent="0.25">
      <c r="A5" s="10">
        <f t="shared" ca="1" si="0"/>
        <v>46148.3588207176</v>
      </c>
      <c r="B5" s="5" t="s">
        <v>79</v>
      </c>
      <c r="C5" s="11">
        <v>0.35881944444444402</v>
      </c>
      <c r="D5" s="11" t="s">
        <v>62</v>
      </c>
      <c r="E5" s="11">
        <v>0.50649305555555602</v>
      </c>
      <c r="F5" s="12">
        <f t="shared" si="1"/>
        <v>3.5441666666666878</v>
      </c>
      <c r="G5" s="13">
        <f t="shared" si="2"/>
        <v>3.5441666666666878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24.246388888888859</v>
      </c>
      <c r="K5" s="23">
        <f>SUMIF(B:B,"西塔台协调席",G:G)+SUMIF(B:B,"东塔台协调席",G:G)</f>
        <v>12.35083333333332</v>
      </c>
      <c r="L5" s="23">
        <f>SUMIF(B:B,"西塔台协调席",H:H)+SUMIF(B:B,"东塔台协调席",H:H)</f>
        <v>11.895555555555539</v>
      </c>
      <c r="M5" s="19"/>
    </row>
    <row r="6" spans="1:16" ht="18.75" x14ac:dyDescent="0.25">
      <c r="A6" s="10">
        <f t="shared" ca="1" si="0"/>
        <v>46148.6266650463</v>
      </c>
      <c r="B6" s="5" t="s">
        <v>75</v>
      </c>
      <c r="C6" s="11">
        <v>0.626655092592593</v>
      </c>
      <c r="D6" s="11" t="s">
        <v>62</v>
      </c>
      <c r="E6" s="11">
        <v>0.75561342592592595</v>
      </c>
      <c r="F6" s="12">
        <f t="shared" si="1"/>
        <v>3.0949999999999909</v>
      </c>
      <c r="G6" s="13">
        <f t="shared" si="2"/>
        <v>3.0949999999999909</v>
      </c>
      <c r="H6" s="13">
        <f t="shared" si="3"/>
        <v>0</v>
      </c>
      <c r="I6" s="21" t="s">
        <v>67</v>
      </c>
      <c r="J6" s="22">
        <f>SUMIF(B:B,"放行席",F:F)</f>
        <v>4.6236111111110878</v>
      </c>
      <c r="K6" s="23">
        <f>SUMIF(B:B,"放行席",G:G)</f>
        <v>0</v>
      </c>
      <c r="L6" s="23">
        <f>SUMIF(B:B,"放行席",H:H)</f>
        <v>4.6236111111110878</v>
      </c>
      <c r="M6" s="19"/>
    </row>
    <row r="7" spans="1:16" ht="18.75" x14ac:dyDescent="0.25">
      <c r="A7" s="10">
        <f t="shared" ca="1" si="0"/>
        <v>46148.876297453702</v>
      </c>
      <c r="B7" s="5" t="s">
        <v>79</v>
      </c>
      <c r="C7" s="11">
        <v>0.87629629629629602</v>
      </c>
      <c r="D7" s="11" t="s">
        <v>62</v>
      </c>
      <c r="E7" s="11">
        <v>0.96700231481481502</v>
      </c>
      <c r="F7" s="12">
        <f t="shared" si="1"/>
        <v>2.1769444444444561</v>
      </c>
      <c r="G7" s="13">
        <f t="shared" si="2"/>
        <v>2.1769444444444561</v>
      </c>
      <c r="H7" s="13">
        <f t="shared" si="3"/>
        <v>0</v>
      </c>
      <c r="I7" s="21" t="s">
        <v>68</v>
      </c>
      <c r="J7" s="22">
        <f>SUMIF(B:B,"地面席",F:F)</f>
        <v>1.504166666666688</v>
      </c>
      <c r="K7" s="23">
        <f>SUMIF(B:B,"地面席",G:G)</f>
        <v>0</v>
      </c>
      <c r="L7" s="23">
        <f>SUMIF(B:B,"地面席",H:H)</f>
        <v>1.504166666666688</v>
      </c>
      <c r="M7" s="19"/>
    </row>
    <row r="8" spans="1:16" ht="18.75" x14ac:dyDescent="0.25">
      <c r="A8" s="10">
        <f t="shared" ca="1" si="0"/>
        <v>46149.300156134297</v>
      </c>
      <c r="B8" s="5" t="s">
        <v>75</v>
      </c>
      <c r="C8" s="11">
        <v>0.30055555555555602</v>
      </c>
      <c r="D8" s="11" t="s">
        <v>62</v>
      </c>
      <c r="E8" s="11">
        <v>0.42348379629629601</v>
      </c>
      <c r="F8" s="12">
        <f t="shared" si="1"/>
        <v>2.9502777777777598</v>
      </c>
      <c r="G8" s="13">
        <f t="shared" si="2"/>
        <v>2.1636111111111127</v>
      </c>
      <c r="H8" s="13">
        <f t="shared" si="3"/>
        <v>0.78666666666664709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46149.515743865697</v>
      </c>
      <c r="B9" s="5" t="s">
        <v>79</v>
      </c>
      <c r="C9" s="11">
        <v>0.51574074074074105</v>
      </c>
      <c r="D9" s="11" t="s">
        <v>62</v>
      </c>
      <c r="E9" s="11">
        <v>0.63015046296296295</v>
      </c>
      <c r="F9" s="12">
        <f t="shared" si="1"/>
        <v>2.7458333333333256</v>
      </c>
      <c r="G9" s="13">
        <f t="shared" si="2"/>
        <v>2.7458333333333256</v>
      </c>
      <c r="H9" s="13">
        <f t="shared" si="3"/>
        <v>0</v>
      </c>
      <c r="I9" s="21" t="s">
        <v>70</v>
      </c>
      <c r="J9" s="22">
        <f>SUMIF(B:B,"航班调度席",F:F)</f>
        <v>11.971666666666657</v>
      </c>
      <c r="K9" s="23">
        <f>SUMIF(B:B,"航班调度席",G:G)</f>
        <v>11.971666666666657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46153.015694560199</v>
      </c>
      <c r="B10" s="5" t="s">
        <v>81</v>
      </c>
      <c r="C10" s="11">
        <v>1.56944444444444E-2</v>
      </c>
      <c r="D10" s="11" t="s">
        <v>62</v>
      </c>
      <c r="E10" s="11">
        <v>0.1446875</v>
      </c>
      <c r="F10" s="12">
        <f t="shared" si="1"/>
        <v>3.0958333333333341</v>
      </c>
      <c r="G10" s="13">
        <f t="shared" si="2"/>
        <v>0</v>
      </c>
      <c r="H10" s="13">
        <f t="shared" si="3"/>
        <v>3.0958333333333341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46153.959853703702</v>
      </c>
      <c r="B11" s="5" t="s">
        <v>79</v>
      </c>
      <c r="C11" s="11">
        <v>0.95984953703703701</v>
      </c>
      <c r="D11" s="11" t="s">
        <v>62</v>
      </c>
      <c r="E11" s="11">
        <v>0.120277777777778</v>
      </c>
      <c r="F11" s="12">
        <f t="shared" si="1"/>
        <v>3.8502777777777832</v>
      </c>
      <c r="G11" s="13">
        <f t="shared" si="2"/>
        <v>0.9636111111111112</v>
      </c>
      <c r="H11" s="13">
        <f t="shared" si="3"/>
        <v>2.886666666666672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46157.140675000002</v>
      </c>
      <c r="B12" s="5" t="s">
        <v>83</v>
      </c>
      <c r="C12" s="11">
        <v>0.140717592592593</v>
      </c>
      <c r="D12" s="11" t="s">
        <v>62</v>
      </c>
      <c r="E12" s="11">
        <v>0.229409722222222</v>
      </c>
      <c r="F12" s="12">
        <f t="shared" si="1"/>
        <v>2.1286111111110957</v>
      </c>
      <c r="G12" s="13">
        <f t="shared" si="2"/>
        <v>0</v>
      </c>
      <c r="H12" s="13">
        <f t="shared" si="3"/>
        <v>2.1286111111110957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46158.141227199099</v>
      </c>
      <c r="B13" s="5" t="s">
        <v>79</v>
      </c>
      <c r="C13" s="11">
        <v>0.14122685185185199</v>
      </c>
      <c r="D13" s="11" t="s">
        <v>62</v>
      </c>
      <c r="E13" s="11">
        <v>0.25922453703703702</v>
      </c>
      <c r="F13" s="12">
        <f t="shared" si="1"/>
        <v>2.8319444444444404</v>
      </c>
      <c r="G13" s="13">
        <f t="shared" si="2"/>
        <v>0</v>
      </c>
      <c r="H13" s="13">
        <f t="shared" si="3"/>
        <v>2.8319444444444404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46158.259252661999</v>
      </c>
      <c r="B14" s="5" t="s">
        <v>81</v>
      </c>
      <c r="C14" s="11">
        <v>0.25924768518518498</v>
      </c>
      <c r="D14" s="11" t="s">
        <v>62</v>
      </c>
      <c r="E14" s="11">
        <v>0.30546296296296299</v>
      </c>
      <c r="F14" s="12">
        <f t="shared" si="1"/>
        <v>1.1091666666666722</v>
      </c>
      <c r="G14" s="13">
        <f t="shared" si="2"/>
        <v>0</v>
      </c>
      <c r="H14" s="13">
        <f t="shared" si="3"/>
        <v>1.1091666666666722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46160.505482407403</v>
      </c>
      <c r="B15" s="5" t="s">
        <v>79</v>
      </c>
      <c r="C15" s="11">
        <v>0.50547453703703704</v>
      </c>
      <c r="D15" s="11" t="s">
        <v>62</v>
      </c>
      <c r="E15" s="11">
        <v>0.63175925925925902</v>
      </c>
      <c r="F15" s="12">
        <f t="shared" si="1"/>
        <v>3.0308333333333275</v>
      </c>
      <c r="G15" s="13">
        <f t="shared" si="2"/>
        <v>3.0308333333333275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46160.756230324099</v>
      </c>
      <c r="B16" s="5" t="s">
        <v>75</v>
      </c>
      <c r="C16" s="11">
        <v>0.75622685185185201</v>
      </c>
      <c r="D16" s="11" t="s">
        <v>62</v>
      </c>
      <c r="E16" s="11">
        <v>0.883541666666667</v>
      </c>
      <c r="F16" s="12">
        <f t="shared" si="1"/>
        <v>3.0555555555555598</v>
      </c>
      <c r="G16" s="13">
        <f t="shared" si="2"/>
        <v>3.0555555555555598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46161.458688078703</v>
      </c>
      <c r="B17" s="5" t="s">
        <v>79</v>
      </c>
      <c r="C17" s="11">
        <v>0.45868055555555598</v>
      </c>
      <c r="D17" s="11" t="s">
        <v>62</v>
      </c>
      <c r="E17" s="11">
        <v>0.54653935185185198</v>
      </c>
      <c r="F17" s="12">
        <f t="shared" si="1"/>
        <v>2.1086111111111041</v>
      </c>
      <c r="G17" s="13">
        <f t="shared" si="2"/>
        <v>2.1086111111111041</v>
      </c>
      <c r="H17" s="13">
        <f t="shared" si="3"/>
        <v>0</v>
      </c>
      <c r="I17" s="35" t="s">
        <v>77</v>
      </c>
      <c r="J17" s="36">
        <f>J4+J5+J6+J7+J10</f>
        <v>60.481388888888887</v>
      </c>
      <c r="K17" s="37">
        <f>K4+K5+K6+K7+K10</f>
        <v>30.754166666666684</v>
      </c>
      <c r="L17" s="38">
        <f>L4+L5+L6+L7+L10</f>
        <v>29.727222222222203</v>
      </c>
      <c r="M17" s="39"/>
    </row>
    <row r="18" spans="1:13" ht="20.25" x14ac:dyDescent="0.25">
      <c r="A18" s="10">
        <f t="shared" ca="1" si="0"/>
        <v>46161.627434953698</v>
      </c>
      <c r="B18" s="5" t="s">
        <v>75</v>
      </c>
      <c r="C18" s="11">
        <v>0.62743055555555605</v>
      </c>
      <c r="D18" s="11" t="s">
        <v>62</v>
      </c>
      <c r="E18" s="11">
        <v>0.75506944444444402</v>
      </c>
      <c r="F18" s="12">
        <f t="shared" si="1"/>
        <v>3.0633333333333113</v>
      </c>
      <c r="G18" s="13">
        <f t="shared" si="2"/>
        <v>3.0633333333333113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46161.835932638904</v>
      </c>
      <c r="B19" s="5" t="s">
        <v>79</v>
      </c>
      <c r="C19" s="11">
        <v>0.83597222222222201</v>
      </c>
      <c r="D19" s="11" t="s">
        <v>62</v>
      </c>
      <c r="E19" s="11">
        <v>0.96307870370370396</v>
      </c>
      <c r="F19" s="12">
        <f t="shared" si="1"/>
        <v>3.050555555555567</v>
      </c>
      <c r="G19" s="13">
        <f t="shared" si="2"/>
        <v>3.050555555555567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46162.300548842599</v>
      </c>
      <c r="B20" s="5" t="s">
        <v>79</v>
      </c>
      <c r="C20" s="11">
        <v>0.30054398148148098</v>
      </c>
      <c r="D20" s="11" t="s">
        <v>62</v>
      </c>
      <c r="E20" s="11">
        <v>0.36594907407407401</v>
      </c>
      <c r="F20" s="12">
        <f t="shared" si="1"/>
        <v>1.5697222222222327</v>
      </c>
      <c r="G20" s="13">
        <f t="shared" si="2"/>
        <v>0.78277777777778468</v>
      </c>
      <c r="H20" s="13">
        <f t="shared" si="3"/>
        <v>0.786944444444448</v>
      </c>
      <c r="I20" s="40" t="s">
        <v>80</v>
      </c>
      <c r="J20" s="65">
        <f>J16+J17+J18+J19</f>
        <v>60.481388888888887</v>
      </c>
      <c r="K20" s="66"/>
      <c r="L20" s="67"/>
      <c r="M20" s="41"/>
    </row>
    <row r="21" spans="1:13" ht="20.25" x14ac:dyDescent="0.25">
      <c r="A21" s="10">
        <f t="shared" ca="1" si="0"/>
        <v>46165.005323958299</v>
      </c>
      <c r="B21" s="5" t="s">
        <v>75</v>
      </c>
      <c r="C21" s="11">
        <v>5.3240740740740696E-3</v>
      </c>
      <c r="D21" s="11" t="s">
        <v>62</v>
      </c>
      <c r="E21" s="11">
        <v>0.127731481481481</v>
      </c>
      <c r="F21" s="12">
        <f t="shared" si="1"/>
        <v>2.9377777777777663</v>
      </c>
      <c r="G21" s="13">
        <f t="shared" si="2"/>
        <v>0</v>
      </c>
      <c r="H21" s="13">
        <f t="shared" si="3"/>
        <v>2.9377777777777663</v>
      </c>
      <c r="I21" s="42" t="s">
        <v>4</v>
      </c>
      <c r="J21" s="43">
        <f>SUM(J8:J9)</f>
        <v>11.971666666666657</v>
      </c>
      <c r="K21" s="37">
        <f>SUM(K8:K9)</f>
        <v>11.971666666666657</v>
      </c>
      <c r="L21" s="38">
        <f>SUM(L8:L9)</f>
        <v>0</v>
      </c>
      <c r="M21" s="44"/>
    </row>
    <row r="22" spans="1:13" ht="18.75" x14ac:dyDescent="0.15">
      <c r="A22" s="10">
        <f t="shared" ca="1" si="0"/>
        <v>46165.127765625002</v>
      </c>
      <c r="B22" s="5" t="s">
        <v>82</v>
      </c>
      <c r="C22" s="11">
        <v>0.12775462962963</v>
      </c>
      <c r="D22" s="11" t="s">
        <v>62</v>
      </c>
      <c r="E22" s="11">
        <v>0.143090277777778</v>
      </c>
      <c r="F22" s="12">
        <f t="shared" si="1"/>
        <v>0.36805555555555203</v>
      </c>
      <c r="G22" s="13">
        <f t="shared" si="2"/>
        <v>0</v>
      </c>
      <c r="H22" s="13">
        <f t="shared" si="3"/>
        <v>0.36805555555555203</v>
      </c>
      <c r="I22"/>
      <c r="J22"/>
    </row>
    <row r="23" spans="1:13" ht="18.75" x14ac:dyDescent="0.15">
      <c r="A23" s="10">
        <f t="shared" ca="1" si="0"/>
        <v>46165.959452777803</v>
      </c>
      <c r="B23" s="5" t="s">
        <v>75</v>
      </c>
      <c r="C23" s="11">
        <v>0.95944444444444399</v>
      </c>
      <c r="D23" s="11" t="s">
        <v>62</v>
      </c>
      <c r="E23" s="11">
        <v>0.10592592592592601</v>
      </c>
      <c r="F23" s="12">
        <f t="shared" si="1"/>
        <v>3.5155555555555686</v>
      </c>
      <c r="G23" s="13">
        <f t="shared" si="2"/>
        <v>0.97333333333334426</v>
      </c>
      <c r="H23" s="13">
        <f t="shared" si="3"/>
        <v>2.5422222222222244</v>
      </c>
      <c r="I23"/>
      <c r="J23"/>
    </row>
    <row r="24" spans="1:13" ht="18.75" x14ac:dyDescent="0.15">
      <c r="A24" s="10">
        <f t="shared" ca="1" si="0"/>
        <v>46169.130253240699</v>
      </c>
      <c r="B24" s="5" t="s">
        <v>83</v>
      </c>
      <c r="C24" s="11">
        <v>0.13024305555555599</v>
      </c>
      <c r="D24" s="11" t="s">
        <v>62</v>
      </c>
      <c r="E24" s="11">
        <v>0.234201388888889</v>
      </c>
      <c r="F24" s="12">
        <f t="shared" si="1"/>
        <v>2.4949999999999921</v>
      </c>
      <c r="G24" s="13">
        <f t="shared" si="2"/>
        <v>0</v>
      </c>
      <c r="H24" s="13">
        <f t="shared" si="3"/>
        <v>2.4949999999999921</v>
      </c>
      <c r="I24"/>
      <c r="J24"/>
    </row>
    <row r="25" spans="1:13" ht="18.75" x14ac:dyDescent="0.15">
      <c r="A25" s="10">
        <f t="shared" ca="1" si="0"/>
        <v>46170.140744097203</v>
      </c>
      <c r="B25" s="5" t="s">
        <v>79</v>
      </c>
      <c r="C25" s="11">
        <v>0.140740740740741</v>
      </c>
      <c r="D25" s="11" t="s">
        <v>62</v>
      </c>
      <c r="E25" s="11">
        <v>0.245763888888889</v>
      </c>
      <c r="F25" s="12">
        <f t="shared" si="1"/>
        <v>2.5205555555555521</v>
      </c>
      <c r="G25" s="13">
        <f t="shared" si="2"/>
        <v>0</v>
      </c>
      <c r="H25" s="13">
        <f t="shared" si="3"/>
        <v>2.5205555555555521</v>
      </c>
      <c r="I25"/>
      <c r="J25"/>
    </row>
    <row r="26" spans="1:13" ht="18.75" x14ac:dyDescent="0.15">
      <c r="A26" s="10">
        <f t="shared" ca="1" si="0"/>
        <v>46170.245800463003</v>
      </c>
      <c r="B26" s="5" t="s">
        <v>81</v>
      </c>
      <c r="C26" s="11">
        <v>0.24579861111111101</v>
      </c>
      <c r="D26" s="11" t="s">
        <v>62</v>
      </c>
      <c r="E26" s="11">
        <v>0.30512731481481498</v>
      </c>
      <c r="F26" s="12">
        <f t="shared" si="1"/>
        <v>1.4238888888888952</v>
      </c>
      <c r="G26" s="13">
        <f t="shared" si="2"/>
        <v>0</v>
      </c>
      <c r="H26" s="13">
        <f t="shared" si="3"/>
        <v>1.4238888888888952</v>
      </c>
      <c r="I26"/>
      <c r="J26"/>
    </row>
    <row r="27" spans="1:13" ht="18.75" x14ac:dyDescent="0.15">
      <c r="A27" s="10">
        <f t="shared" ca="1" si="0"/>
        <v>46172.379605786999</v>
      </c>
      <c r="B27" s="5" t="s">
        <v>61</v>
      </c>
      <c r="C27" s="11">
        <v>0.37968750000000001</v>
      </c>
      <c r="D27" s="11" t="s">
        <v>62</v>
      </c>
      <c r="E27" s="11">
        <v>0.51059027777777799</v>
      </c>
      <c r="F27" s="12">
        <f t="shared" si="1"/>
        <v>3.1416666666666715</v>
      </c>
      <c r="G27" s="13">
        <f t="shared" si="2"/>
        <v>3.1416666666666715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46172.629960763901</v>
      </c>
      <c r="B28" s="5" t="s">
        <v>61</v>
      </c>
      <c r="C28" s="11">
        <v>0.62995370370370396</v>
      </c>
      <c r="D28" s="11" t="s">
        <v>62</v>
      </c>
      <c r="E28" s="11">
        <v>0.71724537037036995</v>
      </c>
      <c r="F28" s="12">
        <f t="shared" si="1"/>
        <v>2.0949999999999838</v>
      </c>
      <c r="G28" s="13">
        <f t="shared" si="2"/>
        <v>2.0949999999999838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46173.374773842603</v>
      </c>
      <c r="B29" s="5" t="s">
        <v>61</v>
      </c>
      <c r="C29" s="11">
        <v>0.374768518518519</v>
      </c>
      <c r="D29" s="11" t="s">
        <v>62</v>
      </c>
      <c r="E29" s="11">
        <v>0.549490740740741</v>
      </c>
      <c r="F29" s="12">
        <f t="shared" si="1"/>
        <v>4.193333333333328</v>
      </c>
      <c r="G29" s="13">
        <f t="shared" si="2"/>
        <v>4.193333333333328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46173.629572453698</v>
      </c>
      <c r="B30" s="5" t="s">
        <v>61</v>
      </c>
      <c r="C30" s="11">
        <v>0.62957175925925901</v>
      </c>
      <c r="D30" s="11" t="s">
        <v>62</v>
      </c>
      <c r="E30" s="11">
        <v>0.73547453703703702</v>
      </c>
      <c r="F30" s="12">
        <f t="shared" si="1"/>
        <v>2.5416666666666723</v>
      </c>
      <c r="G30" s="13">
        <f t="shared" si="2"/>
        <v>2.5416666666666723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42"/>
  <sheetViews>
    <sheetView topLeftCell="A10" zoomScale="85" zoomScaleNormal="85" workbookViewId="0">
      <selection activeCell="D29" sqref="D2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46144.959674305603</v>
      </c>
      <c r="B3" s="5" t="s">
        <v>82</v>
      </c>
      <c r="C3" s="11">
        <v>0.95975694444444404</v>
      </c>
      <c r="D3" s="11" t="s">
        <v>62</v>
      </c>
      <c r="E3" s="11">
        <v>0.105324074074074</v>
      </c>
      <c r="F3" s="12">
        <f t="shared" ref="F3:F42" si="1">(IF(E3-C3&lt;0,"24:00"-C3+E3,E3-C3))*24</f>
        <v>3.4936111111111194</v>
      </c>
      <c r="G3" s="13">
        <f t="shared" ref="G3:G42" si="2">F3-H3</f>
        <v>0.96583333333334354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2.5277777777777759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46146.014308912003</v>
      </c>
      <c r="B4" s="5" t="s">
        <v>81</v>
      </c>
      <c r="C4" s="11">
        <v>1.4305555555555601E-2</v>
      </c>
      <c r="D4" s="11" t="s">
        <v>62</v>
      </c>
      <c r="E4" s="11">
        <v>0.142627314814815</v>
      </c>
      <c r="F4" s="12">
        <f t="shared" si="1"/>
        <v>3.0797222222222258</v>
      </c>
      <c r="G4" s="13">
        <f t="shared" si="2"/>
        <v>0</v>
      </c>
      <c r="H4" s="13">
        <f t="shared" si="3"/>
        <v>3.0797222222222258</v>
      </c>
      <c r="I4" s="21" t="s">
        <v>65</v>
      </c>
      <c r="J4" s="22">
        <f>SUMIF(B:B,"西塔台管制席",F:F)+SUMIF(B:B,"东塔台管制席",F:F)</f>
        <v>33.002777777777752</v>
      </c>
      <c r="K4" s="23">
        <f>SUMIF(B:B,"西塔台管制席",G:G)+SUMIF(B:B,"东塔台管制席",G:G)</f>
        <v>14.269999999999989</v>
      </c>
      <c r="L4" s="23">
        <f>SUMIF(B:B,"西塔台管制席",H:H)+SUMIF(B:B,"东塔台管制席",H:H)</f>
        <v>18.732777777777759</v>
      </c>
      <c r="M4" s="19"/>
    </row>
    <row r="5" spans="1:16" ht="18.75" x14ac:dyDescent="0.25">
      <c r="A5" s="10">
        <f t="shared" ca="1" si="0"/>
        <v>46149.139930092599</v>
      </c>
      <c r="B5" s="5" t="s">
        <v>82</v>
      </c>
      <c r="C5" s="11">
        <v>0.139930555555556</v>
      </c>
      <c r="D5" s="11" t="s">
        <v>62</v>
      </c>
      <c r="E5" s="11">
        <v>0.30641203703703701</v>
      </c>
      <c r="F5" s="12">
        <f t="shared" si="1"/>
        <v>3.9955555555555442</v>
      </c>
      <c r="G5" s="13">
        <f t="shared" si="2"/>
        <v>0</v>
      </c>
      <c r="H5" s="13">
        <f t="shared" si="3"/>
        <v>3.9955555555555442</v>
      </c>
      <c r="I5" s="21" t="s">
        <v>66</v>
      </c>
      <c r="J5" s="22">
        <f>SUMIF(B:B,"西塔台协调席",F:F)+SUMIF(B:B,"东塔台协调席",F:F)</f>
        <v>14.286944444444449</v>
      </c>
      <c r="K5" s="23">
        <f>SUMIF(B:B,"西塔台协调席",G:G)+SUMIF(B:B,"东塔台协调席",G:G)</f>
        <v>8.1255555555555823</v>
      </c>
      <c r="L5" s="23">
        <f>SUMIF(B:B,"西塔台协调席",H:H)+SUMIF(B:B,"东塔台协调席",H:H)</f>
        <v>6.161388888888867</v>
      </c>
      <c r="M5" s="19"/>
    </row>
    <row r="6" spans="1:16" ht="18.75" x14ac:dyDescent="0.25">
      <c r="A6" s="10">
        <f t="shared" ca="1" si="0"/>
        <v>46150.140136689799</v>
      </c>
      <c r="B6" s="5" t="s">
        <v>82</v>
      </c>
      <c r="C6" s="11">
        <v>0.140127314814815</v>
      </c>
      <c r="D6" s="11" t="s">
        <v>62</v>
      </c>
      <c r="E6" s="11">
        <v>0.234606481481481</v>
      </c>
      <c r="F6" s="12">
        <f t="shared" si="1"/>
        <v>2.2674999999999841</v>
      </c>
      <c r="G6" s="13">
        <f t="shared" si="2"/>
        <v>0</v>
      </c>
      <c r="H6" s="13">
        <f t="shared" si="3"/>
        <v>2.2674999999999841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46152.356430439802</v>
      </c>
      <c r="B7" s="5" t="s">
        <v>79</v>
      </c>
      <c r="C7" s="11">
        <v>0.35642361111111098</v>
      </c>
      <c r="D7" s="11" t="s">
        <v>62</v>
      </c>
      <c r="E7" s="11">
        <v>0.50488425925925895</v>
      </c>
      <c r="F7" s="12">
        <f t="shared" si="1"/>
        <v>3.5630555555555512</v>
      </c>
      <c r="G7" s="13">
        <f t="shared" si="2"/>
        <v>3.5630555555555512</v>
      </c>
      <c r="H7" s="13">
        <f t="shared" si="3"/>
        <v>0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46152.646157175899</v>
      </c>
      <c r="B8" s="5" t="s">
        <v>75</v>
      </c>
      <c r="C8" s="11">
        <v>0.64615740740740701</v>
      </c>
      <c r="D8" s="11" t="s">
        <v>62</v>
      </c>
      <c r="E8" s="11">
        <v>0.766087962962963</v>
      </c>
      <c r="F8" s="12">
        <f t="shared" si="1"/>
        <v>2.8783333333333436</v>
      </c>
      <c r="G8" s="13">
        <f t="shared" si="2"/>
        <v>2.8783333333333436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46152.875586111099</v>
      </c>
      <c r="B9" s="5" t="s">
        <v>79</v>
      </c>
      <c r="C9" s="11">
        <v>0.87557870370370405</v>
      </c>
      <c r="D9" s="11" t="s">
        <v>62</v>
      </c>
      <c r="E9" s="11">
        <v>0.96337962962962997</v>
      </c>
      <c r="F9" s="12">
        <f t="shared" si="1"/>
        <v>2.1072222222222221</v>
      </c>
      <c r="G9" s="13">
        <f t="shared" si="2"/>
        <v>2.1072222222222221</v>
      </c>
      <c r="H9" s="13">
        <f t="shared" si="3"/>
        <v>0</v>
      </c>
      <c r="I9" s="21" t="s">
        <v>70</v>
      </c>
      <c r="J9" s="22">
        <f>SUMIF(B:B,"航班调度席",F:F)</f>
        <v>22.161388888888894</v>
      </c>
      <c r="K9" s="23">
        <f>SUMIF(B:B,"航班调度席",G:G)</f>
        <v>22.161388888888894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46153.298691898097</v>
      </c>
      <c r="B10" s="5" t="s">
        <v>75</v>
      </c>
      <c r="C10" s="11">
        <v>0.29869212962962999</v>
      </c>
      <c r="D10" s="11" t="s">
        <v>62</v>
      </c>
      <c r="E10" s="11">
        <v>0.42574074074074097</v>
      </c>
      <c r="F10" s="12">
        <f t="shared" si="1"/>
        <v>3.0491666666666637</v>
      </c>
      <c r="G10" s="13">
        <f t="shared" si="2"/>
        <v>2.2177777777777918</v>
      </c>
      <c r="H10" s="13">
        <f t="shared" si="3"/>
        <v>0.83138888888887186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46153.507589236098</v>
      </c>
      <c r="B11" s="5" t="s">
        <v>79</v>
      </c>
      <c r="C11" s="11">
        <v>0.507581018518518</v>
      </c>
      <c r="D11" s="11" t="s">
        <v>62</v>
      </c>
      <c r="E11" s="11">
        <v>0.67034722222222198</v>
      </c>
      <c r="F11" s="12">
        <f t="shared" si="1"/>
        <v>3.9063888888888956</v>
      </c>
      <c r="G11" s="13">
        <f t="shared" si="2"/>
        <v>3.9063888888888956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46153.7892967593</v>
      </c>
      <c r="B12" s="5" t="s">
        <v>79</v>
      </c>
      <c r="C12" s="11">
        <v>0.789293981481482</v>
      </c>
      <c r="D12" s="11" t="s">
        <v>62</v>
      </c>
      <c r="E12" s="11">
        <v>0.83958333333333302</v>
      </c>
      <c r="F12" s="12">
        <f t="shared" si="1"/>
        <v>1.2069444444444244</v>
      </c>
      <c r="G12" s="13">
        <f t="shared" si="2"/>
        <v>1.2069444444444244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46156.957781481498</v>
      </c>
      <c r="B13" s="5" t="s">
        <v>82</v>
      </c>
      <c r="C13" s="11">
        <v>0.95777777777777795</v>
      </c>
      <c r="D13" s="11" t="s">
        <v>62</v>
      </c>
      <c r="E13" s="11">
        <v>0.11339120370370399</v>
      </c>
      <c r="F13" s="12">
        <f t="shared" si="1"/>
        <v>3.7347222222222247</v>
      </c>
      <c r="G13" s="13">
        <f t="shared" si="2"/>
        <v>1.0133333333333288</v>
      </c>
      <c r="H13" s="13">
        <f t="shared" si="3"/>
        <v>2.721388888888896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46158.012400925902</v>
      </c>
      <c r="B14" s="5" t="s">
        <v>81</v>
      </c>
      <c r="C14" s="11">
        <v>1.23958333333333E-2</v>
      </c>
      <c r="D14" s="11" t="s">
        <v>62</v>
      </c>
      <c r="E14" s="11">
        <v>0.10615740740740701</v>
      </c>
      <c r="F14" s="12">
        <f t="shared" si="1"/>
        <v>2.2502777777777689</v>
      </c>
      <c r="G14" s="13">
        <f t="shared" si="2"/>
        <v>0</v>
      </c>
      <c r="H14" s="13">
        <f t="shared" si="3"/>
        <v>2.2502777777777689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46158.106187384299</v>
      </c>
      <c r="B15" s="5" t="s">
        <v>79</v>
      </c>
      <c r="C15" s="11">
        <v>0.106180555555556</v>
      </c>
      <c r="D15" s="11" t="s">
        <v>62</v>
      </c>
      <c r="E15" s="11">
        <v>0.14577546296296301</v>
      </c>
      <c r="F15" s="12">
        <f t="shared" si="1"/>
        <v>0.95027777777776823</v>
      </c>
      <c r="G15" s="13">
        <f t="shared" si="2"/>
        <v>0</v>
      </c>
      <c r="H15" s="13">
        <f t="shared" si="3"/>
        <v>0.95027777777776823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46160.376619212999</v>
      </c>
      <c r="B16" s="5" t="s">
        <v>61</v>
      </c>
      <c r="C16" s="11">
        <v>0.37660879629629601</v>
      </c>
      <c r="D16" s="11" t="s">
        <v>62</v>
      </c>
      <c r="E16" s="11">
        <v>0.510625</v>
      </c>
      <c r="F16" s="12">
        <f t="shared" si="1"/>
        <v>3.2163888888888956</v>
      </c>
      <c r="G16" s="13">
        <f t="shared" si="2"/>
        <v>3.2163888888888956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46160.583560300904</v>
      </c>
      <c r="B17" s="5" t="s">
        <v>82</v>
      </c>
      <c r="C17" s="11">
        <v>0.583553240740741</v>
      </c>
      <c r="D17" s="11" t="s">
        <v>62</v>
      </c>
      <c r="E17" s="11">
        <v>0.605601851851852</v>
      </c>
      <c r="F17" s="12">
        <f t="shared" si="1"/>
        <v>0.52916666666666412</v>
      </c>
      <c r="G17" s="13">
        <f t="shared" si="2"/>
        <v>0.52916666666666412</v>
      </c>
      <c r="H17" s="13">
        <f t="shared" si="3"/>
        <v>0</v>
      </c>
      <c r="I17" s="35" t="s">
        <v>77</v>
      </c>
      <c r="J17" s="36">
        <f>J4+J5+J6+J7+J10</f>
        <v>47.289722222222203</v>
      </c>
      <c r="K17" s="37">
        <f>K4+K5+K6+K7+K10</f>
        <v>22.395555555555571</v>
      </c>
      <c r="L17" s="38">
        <f>L4+L5+L6+L7+L10</f>
        <v>24.894166666666628</v>
      </c>
      <c r="M17" s="39"/>
    </row>
    <row r="18" spans="1:13" ht="20.25" x14ac:dyDescent="0.25">
      <c r="A18" s="10">
        <f t="shared" ca="1" si="0"/>
        <v>46160.605644907402</v>
      </c>
      <c r="B18" s="5" t="s">
        <v>61</v>
      </c>
      <c r="C18" s="11">
        <v>0.60563657407407401</v>
      </c>
      <c r="D18" s="11" t="s">
        <v>62</v>
      </c>
      <c r="E18" s="11">
        <v>0.69255787037036998</v>
      </c>
      <c r="F18" s="12">
        <f t="shared" si="1"/>
        <v>2.0861111111111033</v>
      </c>
      <c r="G18" s="13">
        <f t="shared" si="2"/>
        <v>2.0861111111111033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46160.700472569399</v>
      </c>
      <c r="B19" s="5" t="s">
        <v>61</v>
      </c>
      <c r="C19" s="11">
        <v>0.70046296296296295</v>
      </c>
      <c r="D19" s="11" t="s">
        <v>62</v>
      </c>
      <c r="E19" s="11">
        <v>0.75343749999999998</v>
      </c>
      <c r="F19" s="12">
        <f t="shared" si="1"/>
        <v>1.2713888888888887</v>
      </c>
      <c r="G19" s="13">
        <f t="shared" si="2"/>
        <v>1.2713888888888887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46161.375297916697</v>
      </c>
      <c r="B20" s="5" t="s">
        <v>61</v>
      </c>
      <c r="C20" s="11">
        <v>0.37528935185185203</v>
      </c>
      <c r="D20" s="11" t="s">
        <v>62</v>
      </c>
      <c r="E20" s="11">
        <v>0.45782407407407399</v>
      </c>
      <c r="F20" s="12">
        <f t="shared" si="1"/>
        <v>1.9808333333333272</v>
      </c>
      <c r="G20" s="13">
        <f t="shared" si="2"/>
        <v>1.9808333333333272</v>
      </c>
      <c r="H20" s="13">
        <f t="shared" si="3"/>
        <v>0</v>
      </c>
      <c r="I20" s="40" t="s">
        <v>80</v>
      </c>
      <c r="J20" s="65">
        <f>J16+J17+J18+J19</f>
        <v>47.289722222222203</v>
      </c>
      <c r="K20" s="66"/>
      <c r="L20" s="67"/>
      <c r="M20" s="41"/>
    </row>
    <row r="21" spans="1:13" ht="20.25" x14ac:dyDescent="0.25">
      <c r="A21" s="10">
        <f t="shared" ca="1" si="0"/>
        <v>46161.457870833299</v>
      </c>
      <c r="B21" s="5" t="s">
        <v>75</v>
      </c>
      <c r="C21" s="11">
        <v>0.45787037037036998</v>
      </c>
      <c r="D21" s="11" t="s">
        <v>62</v>
      </c>
      <c r="E21" s="11">
        <v>0.50422453703703696</v>
      </c>
      <c r="F21" s="12">
        <f t="shared" si="1"/>
        <v>1.1125000000000074</v>
      </c>
      <c r="G21" s="13">
        <f t="shared" si="2"/>
        <v>1.1125000000000074</v>
      </c>
      <c r="H21" s="13">
        <f t="shared" si="3"/>
        <v>0</v>
      </c>
      <c r="I21" s="42" t="s">
        <v>4</v>
      </c>
      <c r="J21" s="43">
        <f>SUM(J8:J9)</f>
        <v>22.161388888888894</v>
      </c>
      <c r="K21" s="37">
        <f>SUM(K8:K9)</f>
        <v>22.161388888888894</v>
      </c>
      <c r="L21" s="38">
        <f>SUM(L8:L9)</f>
        <v>0</v>
      </c>
      <c r="M21" s="44"/>
    </row>
    <row r="22" spans="1:13" ht="18.75" x14ac:dyDescent="0.15">
      <c r="A22" s="10">
        <f t="shared" ca="1" si="0"/>
        <v>46161.585204166702</v>
      </c>
      <c r="B22" s="5" t="s">
        <v>61</v>
      </c>
      <c r="C22" s="11">
        <v>0.58519675925925896</v>
      </c>
      <c r="D22" s="11" t="s">
        <v>62</v>
      </c>
      <c r="E22" s="11">
        <v>0.731064814814815</v>
      </c>
      <c r="F22" s="12">
        <f t="shared" si="1"/>
        <v>3.500833333333345</v>
      </c>
      <c r="G22" s="13">
        <f t="shared" si="2"/>
        <v>3.500833333333345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46162.013885532397</v>
      </c>
      <c r="B23" s="5" t="s">
        <v>82</v>
      </c>
      <c r="C23" s="11">
        <v>1.48842592592593E-2</v>
      </c>
      <c r="D23" s="11" t="s">
        <v>62</v>
      </c>
      <c r="E23" s="11">
        <v>0.144803240740741</v>
      </c>
      <c r="F23" s="12">
        <f t="shared" si="1"/>
        <v>3.1180555555555607</v>
      </c>
      <c r="G23" s="13">
        <f t="shared" si="2"/>
        <v>0</v>
      </c>
      <c r="H23" s="13">
        <f t="shared" si="3"/>
        <v>3.1180555555555607</v>
      </c>
      <c r="I23"/>
      <c r="J23"/>
    </row>
    <row r="24" spans="1:13" ht="18.75" x14ac:dyDescent="0.15">
      <c r="A24" s="10">
        <f t="shared" ca="1" si="0"/>
        <v>46164.369631713002</v>
      </c>
      <c r="B24" s="5" t="s">
        <v>61</v>
      </c>
      <c r="C24" s="11">
        <v>0.36962962962962997</v>
      </c>
      <c r="D24" s="11" t="s">
        <v>62</v>
      </c>
      <c r="E24" s="11">
        <v>0.49980324074074101</v>
      </c>
      <c r="F24" s="12">
        <f t="shared" si="1"/>
        <v>3.1241666666666648</v>
      </c>
      <c r="G24" s="13">
        <f t="shared" si="2"/>
        <v>3.1241666666666648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46164.584876967601</v>
      </c>
      <c r="B25" s="5" t="s">
        <v>61</v>
      </c>
      <c r="C25" s="11">
        <v>0.58487268518518498</v>
      </c>
      <c r="D25" s="11" t="s">
        <v>62</v>
      </c>
      <c r="E25" s="11">
        <v>0.64578703703703699</v>
      </c>
      <c r="F25" s="12">
        <f t="shared" si="1"/>
        <v>1.4619444444444483</v>
      </c>
      <c r="G25" s="13">
        <f t="shared" si="2"/>
        <v>1.4619444444444483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46164.645835763899</v>
      </c>
      <c r="B26" s="5" t="s">
        <v>81</v>
      </c>
      <c r="C26" s="11">
        <v>0.64583333333333304</v>
      </c>
      <c r="D26" s="11" t="s">
        <v>62</v>
      </c>
      <c r="E26" s="11">
        <v>0.72570601851851801</v>
      </c>
      <c r="F26" s="12">
        <f t="shared" si="1"/>
        <v>1.9169444444444395</v>
      </c>
      <c r="G26" s="13">
        <f t="shared" si="2"/>
        <v>1.9169444444444395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46164.959248958301</v>
      </c>
      <c r="B27" s="5" t="s">
        <v>82</v>
      </c>
      <c r="C27" s="11">
        <v>0.959247685185185</v>
      </c>
      <c r="D27" s="11" t="s">
        <v>62</v>
      </c>
      <c r="E27" s="11">
        <v>0.13134259259259301</v>
      </c>
      <c r="F27" s="12">
        <f t="shared" si="1"/>
        <v>4.1302777777777919</v>
      </c>
      <c r="G27" s="13">
        <f t="shared" si="2"/>
        <v>0.97805555555555967</v>
      </c>
      <c r="H27" s="13">
        <f t="shared" si="3"/>
        <v>3.1522222222222323</v>
      </c>
      <c r="I27"/>
      <c r="J27"/>
    </row>
    <row r="28" spans="1:13" ht="18.75" x14ac:dyDescent="0.15">
      <c r="A28" s="10">
        <f t="shared" ca="1" si="0"/>
        <v>46165.500645370397</v>
      </c>
      <c r="B28" s="5" t="s">
        <v>61</v>
      </c>
      <c r="C28" s="11">
        <v>0.50063657407407403</v>
      </c>
      <c r="D28" s="11" t="s">
        <v>62</v>
      </c>
      <c r="E28" s="11">
        <v>0.73062499999999997</v>
      </c>
      <c r="F28" s="12" cm="1">
        <f t="array" ref="F28">(IF(E28-C28&lt;0,"24:00"-C28+I28+周岸!K24E28,E28-C28))*24</f>
        <v>5.5197222222222226</v>
      </c>
      <c r="G28" s="13">
        <f t="shared" si="2"/>
        <v>5.5197222222222226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46145.012776736097</v>
      </c>
      <c r="B3" s="5" t="s">
        <v>79</v>
      </c>
      <c r="C3" s="11">
        <v>1.27662037037037E-2</v>
      </c>
      <c r="D3" s="11" t="s">
        <v>62</v>
      </c>
      <c r="E3" s="11">
        <v>0.101608796296296</v>
      </c>
      <c r="F3" s="12">
        <f t="shared" ref="F3:F42" si="1">(IF(E3-C3&lt;0,"24:00"-C3+E3,E3-C3))*24</f>
        <v>2.1322222222222154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2.1322222222222154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46145.144539004599</v>
      </c>
      <c r="B4" s="5" t="s">
        <v>81</v>
      </c>
      <c r="C4" s="11">
        <v>0.104259259259259</v>
      </c>
      <c r="D4" s="11" t="s">
        <v>62</v>
      </c>
      <c r="E4" s="11">
        <v>0.14456018518518499</v>
      </c>
      <c r="F4" s="12">
        <f t="shared" si="1"/>
        <v>0.96722222222222376</v>
      </c>
      <c r="G4" s="13">
        <f t="shared" si="2"/>
        <v>0</v>
      </c>
      <c r="H4" s="13">
        <f t="shared" si="3"/>
        <v>0.96722222222222376</v>
      </c>
      <c r="I4" s="21" t="s">
        <v>65</v>
      </c>
      <c r="J4" s="22">
        <f>SUMIF(B:B,"西塔台管制席",F:F)+SUMIF(B:B,"东塔台管制席",F:F)</f>
        <v>53.707777777777835</v>
      </c>
      <c r="K4" s="23">
        <f>SUMIF(B:B,"西塔台管制席",G:G)+SUMIF(B:B,"东塔台管制席",G:G)</f>
        <v>30.707222222222256</v>
      </c>
      <c r="L4" s="23">
        <f>SUMIF(B:B,"西塔台管制席",H:H)+SUMIF(B:B,"东塔台管制席",H:H)</f>
        <v>23.000555555555572</v>
      </c>
      <c r="M4" s="19"/>
    </row>
    <row r="5" spans="1:16" ht="18.75" x14ac:dyDescent="0.25">
      <c r="A5" s="10">
        <f t="shared" ca="1" si="0"/>
        <v>46145.749987731499</v>
      </c>
      <c r="B5" s="5" t="s">
        <v>79</v>
      </c>
      <c r="C5" s="11">
        <v>0.74997685185185203</v>
      </c>
      <c r="D5" s="11" t="s">
        <v>62</v>
      </c>
      <c r="E5" s="11">
        <v>0.84021990740740704</v>
      </c>
      <c r="F5" s="12">
        <f t="shared" si="1"/>
        <v>2.1658333333333202</v>
      </c>
      <c r="G5" s="13">
        <f t="shared" si="2"/>
        <v>2.1658333333333202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13.946388888888908</v>
      </c>
      <c r="K5" s="23">
        <f>SUMIF(B:B,"西塔台协调席",G:G)+SUMIF(B:B,"东塔台协调席",G:G)</f>
        <v>9.4777777777778152</v>
      </c>
      <c r="L5" s="23">
        <f>SUMIF(B:B,"西塔台协调席",H:H)+SUMIF(B:B,"东塔台协调席",H:H)</f>
        <v>4.4686111111110947</v>
      </c>
      <c r="M5" s="19"/>
    </row>
    <row r="6" spans="1:16" ht="18.75" x14ac:dyDescent="0.25">
      <c r="A6" s="10">
        <f t="shared" ca="1" si="0"/>
        <v>46145.959824189798</v>
      </c>
      <c r="B6" s="5" t="s">
        <v>79</v>
      </c>
      <c r="C6" s="11">
        <v>0.95981481481481501</v>
      </c>
      <c r="D6" s="11" t="s">
        <v>62</v>
      </c>
      <c r="E6" s="11">
        <v>9.9178240740740706E-2</v>
      </c>
      <c r="F6" s="12">
        <f t="shared" si="1"/>
        <v>3.344722222222217</v>
      </c>
      <c r="G6" s="13">
        <f t="shared" si="2"/>
        <v>0.96444444444444022</v>
      </c>
      <c r="H6" s="13">
        <f t="shared" si="3"/>
        <v>2.3802777777777768</v>
      </c>
      <c r="I6" s="21" t="s">
        <v>67</v>
      </c>
      <c r="J6" s="22">
        <f>SUMIF(B:B,"放行席",F:F)</f>
        <v>2.1833333333333274</v>
      </c>
      <c r="K6" s="23">
        <f>SUMIF(B:B,"放行席",G:G)</f>
        <v>0</v>
      </c>
      <c r="L6" s="23">
        <f>SUMIF(B:B,"放行席",H:H)</f>
        <v>2.1833333333333274</v>
      </c>
      <c r="M6" s="19"/>
    </row>
    <row r="7" spans="1:16" ht="18.75" x14ac:dyDescent="0.25">
      <c r="A7" s="10">
        <f t="shared" ca="1" si="0"/>
        <v>46146.520016898103</v>
      </c>
      <c r="B7" s="5" t="s">
        <v>79</v>
      </c>
      <c r="C7" s="11">
        <v>0.52001157407407395</v>
      </c>
      <c r="D7" s="11" t="s">
        <v>62</v>
      </c>
      <c r="E7" s="11">
        <v>0.65040509259259305</v>
      </c>
      <c r="F7" s="12">
        <f t="shared" si="1"/>
        <v>3.1294444444444585</v>
      </c>
      <c r="G7" s="13">
        <f t="shared" si="2"/>
        <v>3.1294444444444585</v>
      </c>
      <c r="H7" s="13">
        <f t="shared" si="3"/>
        <v>0</v>
      </c>
      <c r="I7" s="21" t="s">
        <v>68</v>
      </c>
      <c r="J7" s="22">
        <f>SUMIF(B:B,"地面席",F:F)</f>
        <v>2.9533333333333447</v>
      </c>
      <c r="K7" s="23">
        <f>SUMIF(B:B,"地面席",G:G)</f>
        <v>0</v>
      </c>
      <c r="L7" s="23">
        <f>SUMIF(B:B,"地面席",H:H)</f>
        <v>2.9533333333333447</v>
      </c>
      <c r="M7" s="19"/>
    </row>
    <row r="8" spans="1:16" ht="18.75" x14ac:dyDescent="0.25">
      <c r="A8" s="10">
        <f t="shared" ca="1" si="0"/>
        <v>46146.7699041667</v>
      </c>
      <c r="B8" s="5" t="s">
        <v>79</v>
      </c>
      <c r="C8" s="11">
        <v>0.769895833333333</v>
      </c>
      <c r="D8" s="11" t="s">
        <v>62</v>
      </c>
      <c r="E8" s="11">
        <v>0.85826388888888905</v>
      </c>
      <c r="F8" s="12">
        <f t="shared" si="1"/>
        <v>2.1208333333333451</v>
      </c>
      <c r="G8" s="13">
        <f t="shared" si="2"/>
        <v>2.1208333333333451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46149.138503356502</v>
      </c>
      <c r="B9" s="5" t="s">
        <v>79</v>
      </c>
      <c r="C9" s="11">
        <v>0.13849537037036999</v>
      </c>
      <c r="D9" s="11" t="s">
        <v>62</v>
      </c>
      <c r="E9" s="11">
        <v>0.30655092592592598</v>
      </c>
      <c r="F9" s="12">
        <f t="shared" si="1"/>
        <v>4.0333333333333439</v>
      </c>
      <c r="G9" s="13">
        <f t="shared" si="2"/>
        <v>0</v>
      </c>
      <c r="H9" s="13">
        <f t="shared" si="3"/>
        <v>4.0333333333333439</v>
      </c>
      <c r="I9" s="21" t="s">
        <v>70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46150.131580439796</v>
      </c>
      <c r="B10" s="5" t="s">
        <v>83</v>
      </c>
      <c r="C10" s="11">
        <v>0.13157407407407401</v>
      </c>
      <c r="D10" s="11" t="s">
        <v>62</v>
      </c>
      <c r="E10" s="11">
        <v>0.22254629629629599</v>
      </c>
      <c r="F10" s="12">
        <f t="shared" si="1"/>
        <v>2.1833333333333274</v>
      </c>
      <c r="G10" s="13">
        <f t="shared" si="2"/>
        <v>0</v>
      </c>
      <c r="H10" s="13">
        <f t="shared" si="3"/>
        <v>2.1833333333333274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46152.500204976903</v>
      </c>
      <c r="B11" s="5" t="s">
        <v>79</v>
      </c>
      <c r="C11" s="11">
        <v>0.50019675925925899</v>
      </c>
      <c r="D11" s="11" t="s">
        <v>62</v>
      </c>
      <c r="E11" s="11">
        <v>0.66826388888888899</v>
      </c>
      <c r="F11" s="12">
        <f t="shared" si="1"/>
        <v>4.0336111111111199</v>
      </c>
      <c r="G11" s="13">
        <f t="shared" si="2"/>
        <v>4.0336111111111199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46152.763815509301</v>
      </c>
      <c r="B12" s="5" t="s">
        <v>79</v>
      </c>
      <c r="C12" s="11">
        <v>0.76380787037037001</v>
      </c>
      <c r="D12" s="11" t="s">
        <v>62</v>
      </c>
      <c r="E12" s="11">
        <v>0.87938657407407395</v>
      </c>
      <c r="F12" s="12">
        <f t="shared" si="1"/>
        <v>2.7738888888888944</v>
      </c>
      <c r="G12" s="13">
        <f t="shared" si="2"/>
        <v>2.7738888888888944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46153.417556481501</v>
      </c>
      <c r="B13" s="5" t="s">
        <v>79</v>
      </c>
      <c r="C13" s="11">
        <v>0.41754629629629603</v>
      </c>
      <c r="D13" s="11" t="s">
        <v>62</v>
      </c>
      <c r="E13" s="11">
        <v>0.51263888888888898</v>
      </c>
      <c r="F13" s="12">
        <f t="shared" si="1"/>
        <v>2.2822222222222308</v>
      </c>
      <c r="G13" s="13">
        <f t="shared" si="2"/>
        <v>2.2822222222222308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46153.667700694401</v>
      </c>
      <c r="B14" s="5" t="s">
        <v>79</v>
      </c>
      <c r="C14" s="11">
        <v>0.66769675925925898</v>
      </c>
      <c r="D14" s="11" t="s">
        <v>62</v>
      </c>
      <c r="E14" s="11">
        <v>0.79408564814814797</v>
      </c>
      <c r="F14" s="12">
        <f t="shared" si="1"/>
        <v>3.0333333333333359</v>
      </c>
      <c r="G14" s="13">
        <f t="shared" si="2"/>
        <v>3.0333333333333359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46153.836486111097</v>
      </c>
      <c r="B15" s="5" t="s">
        <v>75</v>
      </c>
      <c r="C15" s="11">
        <v>0.83648148148148105</v>
      </c>
      <c r="D15" s="11" t="s">
        <v>62</v>
      </c>
      <c r="E15" s="11">
        <v>0.96594907407407404</v>
      </c>
      <c r="F15" s="12">
        <f t="shared" si="1"/>
        <v>3.1072222222222319</v>
      </c>
      <c r="G15" s="13">
        <f t="shared" si="2"/>
        <v>3.1072222222222319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46154.299650462999</v>
      </c>
      <c r="B16" s="5" t="s">
        <v>82</v>
      </c>
      <c r="C16" s="11">
        <v>0.29974537037037002</v>
      </c>
      <c r="D16" s="11" t="s">
        <v>62</v>
      </c>
      <c r="E16" s="11">
        <v>0.365497685185185</v>
      </c>
      <c r="F16" s="12">
        <f t="shared" si="1"/>
        <v>1.5780555555555593</v>
      </c>
      <c r="G16" s="13">
        <f t="shared" si="2"/>
        <v>0.77194444444444832</v>
      </c>
      <c r="H16" s="13">
        <f t="shared" si="3"/>
        <v>0.806111111111111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46156.959850810199</v>
      </c>
      <c r="B17" s="5" t="s">
        <v>81</v>
      </c>
      <c r="C17" s="11">
        <v>0.95984953703703701</v>
      </c>
      <c r="D17" s="11" t="s">
        <v>62</v>
      </c>
      <c r="E17" s="11">
        <v>0.11346064814814801</v>
      </c>
      <c r="F17" s="12">
        <f t="shared" si="1"/>
        <v>3.6866666666666634</v>
      </c>
      <c r="G17" s="13">
        <f t="shared" si="2"/>
        <v>0.9636111111111112</v>
      </c>
      <c r="H17" s="13">
        <f t="shared" si="3"/>
        <v>2.7230555555555522</v>
      </c>
      <c r="I17" s="35" t="s">
        <v>77</v>
      </c>
      <c r="J17" s="36">
        <f>J4+J5+J6+J7+J10</f>
        <v>72.79083333333341</v>
      </c>
      <c r="K17" s="37">
        <f>K4+K5+K6+K7+K10</f>
        <v>40.185000000000073</v>
      </c>
      <c r="L17" s="38">
        <f>L4+L5+L6+L7+L10</f>
        <v>32.605833333333337</v>
      </c>
      <c r="M17" s="39"/>
    </row>
    <row r="18" spans="1:13" ht="20.25" x14ac:dyDescent="0.25">
      <c r="A18" s="10">
        <f t="shared" ca="1" si="0"/>
        <v>46158.013558796301</v>
      </c>
      <c r="B18" s="5" t="s">
        <v>82</v>
      </c>
      <c r="C18" s="11">
        <v>2.3414351851851901E-2</v>
      </c>
      <c r="D18" s="11" t="s">
        <v>62</v>
      </c>
      <c r="E18" s="11">
        <v>0.14656250000000001</v>
      </c>
      <c r="F18" s="12">
        <f t="shared" si="1"/>
        <v>2.9555555555555548</v>
      </c>
      <c r="G18" s="13">
        <f t="shared" si="2"/>
        <v>0</v>
      </c>
      <c r="H18" s="13">
        <f t="shared" si="3"/>
        <v>2.9555555555555548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46161.138016898098</v>
      </c>
      <c r="B19" s="5" t="s">
        <v>84</v>
      </c>
      <c r="C19" s="11">
        <v>0.138009259259259</v>
      </c>
      <c r="D19" s="11" t="s">
        <v>62</v>
      </c>
      <c r="E19" s="11">
        <v>0.26106481481481503</v>
      </c>
      <c r="F19" s="12">
        <f t="shared" si="1"/>
        <v>2.9533333333333447</v>
      </c>
      <c r="G19" s="13">
        <f t="shared" si="2"/>
        <v>0</v>
      </c>
      <c r="H19" s="13">
        <f t="shared" si="3"/>
        <v>2.9533333333333447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46162.138648495398</v>
      </c>
      <c r="B20" s="5" t="s">
        <v>82</v>
      </c>
      <c r="C20" s="11">
        <v>0.138645833333333</v>
      </c>
      <c r="D20" s="11" t="s">
        <v>62</v>
      </c>
      <c r="E20" s="11">
        <v>0.30605324074074097</v>
      </c>
      <c r="F20" s="12">
        <f t="shared" si="1"/>
        <v>4.0177777777777912</v>
      </c>
      <c r="G20" s="13">
        <f t="shared" si="2"/>
        <v>0</v>
      </c>
      <c r="H20" s="13">
        <f t="shared" si="3"/>
        <v>4.0177777777777912</v>
      </c>
      <c r="I20" s="40" t="s">
        <v>80</v>
      </c>
      <c r="J20" s="65">
        <f>J16+J17+J18+J19</f>
        <v>72.79083333333341</v>
      </c>
      <c r="K20" s="66"/>
      <c r="L20" s="67"/>
      <c r="M20" s="41"/>
    </row>
    <row r="21" spans="1:13" ht="20.25" x14ac:dyDescent="0.25">
      <c r="A21" s="10">
        <f t="shared" ca="1" si="0"/>
        <v>46164.500919444399</v>
      </c>
      <c r="B21" s="5" t="s">
        <v>82</v>
      </c>
      <c r="C21" s="11">
        <v>0.50091435185185196</v>
      </c>
      <c r="D21" s="11" t="s">
        <v>62</v>
      </c>
      <c r="E21" s="11">
        <v>0.64917824074074104</v>
      </c>
      <c r="F21" s="12">
        <f t="shared" si="1"/>
        <v>3.558333333333338</v>
      </c>
      <c r="G21" s="13">
        <f t="shared" si="2"/>
        <v>3.558333333333338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46164.750065161999</v>
      </c>
      <c r="B22" s="5" t="s">
        <v>82</v>
      </c>
      <c r="C22" s="11">
        <v>0.75005787037036997</v>
      </c>
      <c r="D22" s="11" t="s">
        <v>62</v>
      </c>
      <c r="E22" s="11">
        <v>0.88190972222222197</v>
      </c>
      <c r="F22" s="12">
        <f t="shared" si="1"/>
        <v>3.1644444444444479</v>
      </c>
      <c r="G22" s="13">
        <f t="shared" si="2"/>
        <v>3.1644444444444479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46165.300906249999</v>
      </c>
      <c r="B23" s="5" t="s">
        <v>75</v>
      </c>
      <c r="C23" s="11">
        <v>0.30090277777777802</v>
      </c>
      <c r="D23" s="11" t="s">
        <v>62</v>
      </c>
      <c r="E23" s="11">
        <v>0.33791666666666698</v>
      </c>
      <c r="F23" s="12">
        <f t="shared" si="1"/>
        <v>0.88833333333333497</v>
      </c>
      <c r="G23" s="13">
        <f t="shared" si="2"/>
        <v>0.11000000000001586</v>
      </c>
      <c r="H23" s="13">
        <f t="shared" si="3"/>
        <v>0.77833333333331911</v>
      </c>
      <c r="I23"/>
      <c r="J23"/>
    </row>
    <row r="24" spans="1:13" ht="18.75" x14ac:dyDescent="0.15">
      <c r="A24" s="10">
        <f t="shared" ca="1" si="0"/>
        <v>46165.353798379598</v>
      </c>
      <c r="B24" s="5" t="s">
        <v>75</v>
      </c>
      <c r="C24" s="11">
        <v>0.353796296296296</v>
      </c>
      <c r="D24" s="11" t="s">
        <v>62</v>
      </c>
      <c r="E24" s="11">
        <v>0.48499999999999999</v>
      </c>
      <c r="F24" s="12">
        <f t="shared" si="1"/>
        <v>3.1488888888888957</v>
      </c>
      <c r="G24" s="13">
        <f t="shared" si="2"/>
        <v>3.1488888888888957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46165.541358564798</v>
      </c>
      <c r="B25" s="5" t="s">
        <v>75</v>
      </c>
      <c r="C25" s="11">
        <v>0.54135416666666702</v>
      </c>
      <c r="D25" s="11" t="s">
        <v>62</v>
      </c>
      <c r="E25" s="11">
        <v>0.63085648148148199</v>
      </c>
      <c r="F25" s="12">
        <f t="shared" si="1"/>
        <v>2.1480555555555592</v>
      </c>
      <c r="G25" s="13">
        <f t="shared" si="2"/>
        <v>2.1480555555555592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46165.750140625001</v>
      </c>
      <c r="B26" s="5" t="s">
        <v>79</v>
      </c>
      <c r="C26" s="11">
        <v>0.75013888888888902</v>
      </c>
      <c r="D26" s="11" t="s">
        <v>62</v>
      </c>
      <c r="E26" s="11">
        <v>0.79777777777777803</v>
      </c>
      <c r="F26" s="12">
        <f t="shared" si="1"/>
        <v>1.1433333333333362</v>
      </c>
      <c r="G26" s="13">
        <f t="shared" si="2"/>
        <v>1.1433333333333362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46165.814963425903</v>
      </c>
      <c r="B27" s="5" t="s">
        <v>79</v>
      </c>
      <c r="C27" s="11">
        <v>0.81495370370370401</v>
      </c>
      <c r="D27" s="11" t="s">
        <v>62</v>
      </c>
      <c r="E27" s="11">
        <v>0.83787037037037004</v>
      </c>
      <c r="F27" s="12">
        <f t="shared" si="1"/>
        <v>0.54999999999998472</v>
      </c>
      <c r="G27" s="13">
        <f t="shared" si="2"/>
        <v>0.54999999999998472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46169.957685995403</v>
      </c>
      <c r="B28" s="5" t="s">
        <v>79</v>
      </c>
      <c r="C28" s="11">
        <v>0.95768518518518497</v>
      </c>
      <c r="D28" s="11" t="s">
        <v>62</v>
      </c>
      <c r="E28" s="11">
        <v>0.110497685185185</v>
      </c>
      <c r="F28" s="12">
        <f t="shared" si="1"/>
        <v>3.6675000000000004</v>
      </c>
      <c r="G28" s="13">
        <f t="shared" si="2"/>
        <v>1.0155555555555602</v>
      </c>
      <c r="H28" s="13">
        <f t="shared" si="3"/>
        <v>2.6519444444444402</v>
      </c>
      <c r="I28"/>
      <c r="J28"/>
    </row>
    <row r="29" spans="1:13" ht="18.75" x14ac:dyDescent="0.15">
      <c r="A29" s="10">
        <f t="shared" ca="1" si="0"/>
        <v>46173.1388903935</v>
      </c>
      <c r="B29" s="5" t="s">
        <v>79</v>
      </c>
      <c r="C29" s="11">
        <v>0.13888888888888901</v>
      </c>
      <c r="D29" s="11" t="s">
        <v>62</v>
      </c>
      <c r="E29" s="11">
        <v>0.30652777777777801</v>
      </c>
      <c r="F29" s="12">
        <f t="shared" si="1"/>
        <v>4.0233333333333361</v>
      </c>
      <c r="G29" s="13">
        <f t="shared" si="2"/>
        <v>0</v>
      </c>
      <c r="H29" s="13">
        <f t="shared" si="3"/>
        <v>4.0233333333333361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42"/>
  <sheetViews>
    <sheetView topLeftCell="A7" zoomScale="85" zoomScaleNormal="85" workbookViewId="0">
      <selection activeCell="K24" sqref="K2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46144.354693171299</v>
      </c>
      <c r="B3" s="5" t="s">
        <v>82</v>
      </c>
      <c r="C3" s="11">
        <v>0.35468749999999999</v>
      </c>
      <c r="D3" s="11" t="s">
        <v>62</v>
      </c>
      <c r="E3" s="11">
        <v>0.50621527777777797</v>
      </c>
      <c r="F3" s="12">
        <f t="shared" ref="F3:F42" si="1">(IF(E3-C3&lt;0,"24:00"-C3+E3,E3-C3))*24</f>
        <v>3.6366666666666716</v>
      </c>
      <c r="G3" s="13">
        <f t="shared" ref="G3:G42" si="2">F3-H3</f>
        <v>3.6366666666666716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46144.625334259297</v>
      </c>
      <c r="B4" s="5" t="s">
        <v>81</v>
      </c>
      <c r="C4" s="11">
        <v>0.62532407407407398</v>
      </c>
      <c r="D4" s="11" t="s">
        <v>62</v>
      </c>
      <c r="E4" s="11">
        <v>0.75841435185185202</v>
      </c>
      <c r="F4" s="12">
        <f t="shared" si="1"/>
        <v>3.194166666666673</v>
      </c>
      <c r="G4" s="13">
        <f t="shared" si="2"/>
        <v>3.194166666666673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39.598888888888879</v>
      </c>
      <c r="K4" s="23">
        <f>SUMIF(B:B,"西塔台管制席",G:G)+SUMIF(B:B,"东塔台管制席",G:G)</f>
        <v>26.647777777777776</v>
      </c>
      <c r="L4" s="23">
        <f>SUMIF(B:B,"西塔台管制席",H:H)+SUMIF(B:B,"东塔台管制席",H:H)</f>
        <v>12.951111111111107</v>
      </c>
      <c r="M4" s="19"/>
    </row>
    <row r="5" spans="1:16" ht="18.75" x14ac:dyDescent="0.25">
      <c r="A5" s="10">
        <f t="shared" ca="1" si="0"/>
        <v>46144.875323263899</v>
      </c>
      <c r="B5" s="5" t="s">
        <v>82</v>
      </c>
      <c r="C5" s="11">
        <v>0.87531250000000005</v>
      </c>
      <c r="D5" s="11" t="s">
        <v>62</v>
      </c>
      <c r="E5" s="11">
        <v>0.96481481481481501</v>
      </c>
      <c r="F5" s="12">
        <f t="shared" si="1"/>
        <v>2.1480555555555592</v>
      </c>
      <c r="G5" s="13">
        <f t="shared" si="2"/>
        <v>2.1480555555555592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36.452500000000057</v>
      </c>
      <c r="K5" s="23">
        <f>SUMIF(B:B,"西塔台协调席",G:G)+SUMIF(B:B,"东塔台协调席",G:G)</f>
        <v>28.993055555555618</v>
      </c>
      <c r="L5" s="23">
        <f>SUMIF(B:B,"西塔台协调席",H:H)+SUMIF(B:B,"东塔台协调席",H:H)</f>
        <v>7.459444444444439</v>
      </c>
      <c r="M5" s="19"/>
    </row>
    <row r="6" spans="1:16" ht="18.75" x14ac:dyDescent="0.25">
      <c r="A6" s="10">
        <f t="shared" ca="1" si="0"/>
        <v>46145.298167245397</v>
      </c>
      <c r="B6" s="5" t="s">
        <v>75</v>
      </c>
      <c r="C6" s="11">
        <v>0.29815972222222198</v>
      </c>
      <c r="D6" s="11" t="s">
        <v>62</v>
      </c>
      <c r="E6" s="11">
        <v>0.464513888888889</v>
      </c>
      <c r="F6" s="12">
        <f t="shared" si="1"/>
        <v>3.9925000000000086</v>
      </c>
      <c r="G6" s="13">
        <f t="shared" si="2"/>
        <v>3.1483333333333445</v>
      </c>
      <c r="H6" s="13">
        <f t="shared" si="3"/>
        <v>0.84416666666666407</v>
      </c>
      <c r="I6" s="21" t="s">
        <v>67</v>
      </c>
      <c r="J6" s="22">
        <f>SUMIF(B:B,"放行席",F:F)</f>
        <v>1.8972222222222239</v>
      </c>
      <c r="K6" s="23">
        <f>SUMIF(B:B,"放行席",G:G)</f>
        <v>0</v>
      </c>
      <c r="L6" s="23">
        <f>SUMIF(B:B,"放行席",H:H)</f>
        <v>1.8972222222222239</v>
      </c>
      <c r="M6" s="19"/>
    </row>
    <row r="7" spans="1:16" ht="18.75" x14ac:dyDescent="0.25">
      <c r="A7" s="10">
        <f t="shared" ca="1" si="0"/>
        <v>46145.500853356498</v>
      </c>
      <c r="B7" s="5" t="s">
        <v>75</v>
      </c>
      <c r="C7" s="11">
        <v>0.50113425925925903</v>
      </c>
      <c r="D7" s="11" t="s">
        <v>62</v>
      </c>
      <c r="E7" s="11">
        <v>0.58946759259259296</v>
      </c>
      <c r="F7" s="12">
        <f t="shared" si="1"/>
        <v>2.1200000000000143</v>
      </c>
      <c r="G7" s="13">
        <f t="shared" si="2"/>
        <v>2.1200000000000143</v>
      </c>
      <c r="H7" s="13">
        <f t="shared" si="3"/>
        <v>0</v>
      </c>
      <c r="I7" s="21" t="s">
        <v>68</v>
      </c>
      <c r="J7" s="22">
        <f>SUMIF(B:B,"地面席",F:F)</f>
        <v>2.2675000000000081</v>
      </c>
      <c r="K7" s="23">
        <f>SUMIF(B:B,"地面席",G:G)</f>
        <v>0</v>
      </c>
      <c r="L7" s="23">
        <f>SUMIF(B:B,"地面席",H:H)</f>
        <v>2.2675000000000081</v>
      </c>
      <c r="M7" s="19"/>
    </row>
    <row r="8" spans="1:16" ht="18.75" x14ac:dyDescent="0.25">
      <c r="A8" s="10">
        <f t="shared" ca="1" si="0"/>
        <v>46155.013039583297</v>
      </c>
      <c r="B8" s="5" t="s">
        <v>79</v>
      </c>
      <c r="C8" s="11">
        <v>1.3032407407407401E-2</v>
      </c>
      <c r="D8" s="11" t="s">
        <v>62</v>
      </c>
      <c r="E8" s="11">
        <v>0.14555555555555599</v>
      </c>
      <c r="F8" s="12">
        <f t="shared" si="1"/>
        <v>3.180555555555566</v>
      </c>
      <c r="G8" s="13">
        <f t="shared" si="2"/>
        <v>0</v>
      </c>
      <c r="H8" s="13">
        <f t="shared" si="3"/>
        <v>3.180555555555566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46156.500718981501</v>
      </c>
      <c r="B9" s="5" t="s">
        <v>82</v>
      </c>
      <c r="C9" s="11">
        <v>0.50071759259259296</v>
      </c>
      <c r="D9" s="11" t="s">
        <v>62</v>
      </c>
      <c r="E9" s="11">
        <v>0.63569444444444401</v>
      </c>
      <c r="F9" s="12">
        <f t="shared" si="1"/>
        <v>3.239444444444425</v>
      </c>
      <c r="G9" s="13">
        <f t="shared" si="2"/>
        <v>3.239444444444425</v>
      </c>
      <c r="H9" s="13">
        <f t="shared" si="3"/>
        <v>0</v>
      </c>
      <c r="I9" s="21" t="s">
        <v>70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46156.749906597201</v>
      </c>
      <c r="B10" s="5" t="s">
        <v>81</v>
      </c>
      <c r="C10" s="11">
        <v>0.74989583333333298</v>
      </c>
      <c r="D10" s="11" t="s">
        <v>62</v>
      </c>
      <c r="E10" s="11">
        <v>0.88179398148148103</v>
      </c>
      <c r="F10" s="12">
        <f t="shared" si="1"/>
        <v>3.165555555555553</v>
      </c>
      <c r="G10" s="13">
        <f t="shared" si="2"/>
        <v>3.165555555555553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46157.417223495402</v>
      </c>
      <c r="B11" s="5" t="s">
        <v>79</v>
      </c>
      <c r="C11" s="11">
        <v>0.41722222222222199</v>
      </c>
      <c r="D11" s="11" t="s">
        <v>62</v>
      </c>
      <c r="E11" s="11">
        <v>0.51070601851851805</v>
      </c>
      <c r="F11" s="12">
        <f t="shared" si="1"/>
        <v>2.2436111111111052</v>
      </c>
      <c r="G11" s="13">
        <f t="shared" si="2"/>
        <v>2.2436111111111052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46157.603999884297</v>
      </c>
      <c r="B12" s="5" t="s">
        <v>79</v>
      </c>
      <c r="C12" s="11">
        <v>0.60399305555555605</v>
      </c>
      <c r="D12" s="11" t="s">
        <v>62</v>
      </c>
      <c r="E12" s="11">
        <v>0.75770833333333298</v>
      </c>
      <c r="F12" s="12">
        <f t="shared" si="1"/>
        <v>3.6891666666666465</v>
      </c>
      <c r="G12" s="13">
        <f t="shared" si="2"/>
        <v>3.6891666666666465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46157.833052546302</v>
      </c>
      <c r="B13" s="5" t="s">
        <v>75</v>
      </c>
      <c r="C13" s="11">
        <v>0.83304398148148195</v>
      </c>
      <c r="D13" s="11" t="s">
        <v>62</v>
      </c>
      <c r="E13" s="11">
        <v>0.96481481481481501</v>
      </c>
      <c r="F13" s="12">
        <f t="shared" si="1"/>
        <v>3.1624999999999934</v>
      </c>
      <c r="G13" s="13">
        <f t="shared" si="2"/>
        <v>3.1624999999999934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46158.299213888902</v>
      </c>
      <c r="B14" s="5" t="s">
        <v>82</v>
      </c>
      <c r="C14" s="11">
        <v>0.29921296296296301</v>
      </c>
      <c r="D14" s="11" t="s">
        <v>62</v>
      </c>
      <c r="E14" s="11">
        <v>0.36956018518518502</v>
      </c>
      <c r="F14" s="12">
        <f t="shared" si="1"/>
        <v>1.6883333333333281</v>
      </c>
      <c r="G14" s="13">
        <f t="shared" si="2"/>
        <v>0.86944444444444891</v>
      </c>
      <c r="H14" s="13">
        <f t="shared" si="3"/>
        <v>0.81888888888887923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46160.958405671299</v>
      </c>
      <c r="B15" s="5" t="s">
        <v>79</v>
      </c>
      <c r="C15" s="11">
        <v>0.95840277777777805</v>
      </c>
      <c r="D15" s="11" t="s">
        <v>62</v>
      </c>
      <c r="E15" s="11">
        <v>0.14592592592592599</v>
      </c>
      <c r="F15" s="12">
        <f t="shared" si="1"/>
        <v>4.5005555555555503</v>
      </c>
      <c r="G15" s="13">
        <f t="shared" si="2"/>
        <v>0.99833333333332686</v>
      </c>
      <c r="H15" s="13">
        <f t="shared" si="3"/>
        <v>3.5022222222222235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46161.751293055597</v>
      </c>
      <c r="B16" s="5" t="s">
        <v>75</v>
      </c>
      <c r="C16" s="11">
        <v>0.75128472222222198</v>
      </c>
      <c r="D16" s="11" t="s">
        <v>62</v>
      </c>
      <c r="E16" s="11">
        <v>0.83946759259259296</v>
      </c>
      <c r="F16" s="12">
        <f t="shared" si="1"/>
        <v>2.1163888888889035</v>
      </c>
      <c r="G16" s="13">
        <f t="shared" si="2"/>
        <v>2.1163888888889035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46161.958950347202</v>
      </c>
      <c r="B17" s="5" t="s">
        <v>75</v>
      </c>
      <c r="C17" s="11">
        <v>0.95894675925925899</v>
      </c>
      <c r="D17" s="11" t="s">
        <v>62</v>
      </c>
      <c r="E17" s="11">
        <v>0.13289351851851899</v>
      </c>
      <c r="F17" s="12">
        <f t="shared" si="1"/>
        <v>4.1747222222222398</v>
      </c>
      <c r="G17" s="13">
        <f t="shared" si="2"/>
        <v>0.98527777777778391</v>
      </c>
      <c r="H17" s="13">
        <f t="shared" si="3"/>
        <v>3.1894444444444559</v>
      </c>
      <c r="I17" s="35" t="s">
        <v>77</v>
      </c>
      <c r="J17" s="36">
        <f>J4+J5+J6+J7+J10</f>
        <v>80.216111111111175</v>
      </c>
      <c r="K17" s="37">
        <f>K4+K5+K6+K7+K10</f>
        <v>55.64083333333339</v>
      </c>
      <c r="L17" s="38">
        <f>L4+L5+L6+L7+L10</f>
        <v>24.575277777777782</v>
      </c>
      <c r="M17" s="39"/>
    </row>
    <row r="18" spans="1:13" ht="20.25" x14ac:dyDescent="0.25">
      <c r="A18" s="10">
        <f t="shared" ca="1" si="0"/>
        <v>46163.951796064801</v>
      </c>
      <c r="B18" s="5" t="s">
        <v>75</v>
      </c>
      <c r="C18" s="11">
        <v>0.95179398148148098</v>
      </c>
      <c r="D18" s="11" t="s">
        <v>62</v>
      </c>
      <c r="E18" s="11">
        <v>0.107962962962963</v>
      </c>
      <c r="F18" s="12">
        <f t="shared" si="1"/>
        <v>3.7480555555555681</v>
      </c>
      <c r="G18" s="13">
        <f t="shared" si="2"/>
        <v>1.1569444444444561</v>
      </c>
      <c r="H18" s="13">
        <f t="shared" si="3"/>
        <v>2.591111111111112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46165.137710648101</v>
      </c>
      <c r="B19" s="5" t="s">
        <v>84</v>
      </c>
      <c r="C19" s="11">
        <v>0.13770833333333299</v>
      </c>
      <c r="D19" s="11" t="s">
        <v>62</v>
      </c>
      <c r="E19" s="11">
        <v>0.23218749999999999</v>
      </c>
      <c r="F19" s="12">
        <f t="shared" si="1"/>
        <v>2.2675000000000081</v>
      </c>
      <c r="G19" s="13">
        <f t="shared" si="2"/>
        <v>0</v>
      </c>
      <c r="H19" s="13">
        <f t="shared" si="3"/>
        <v>2.2675000000000081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46166.1304212963</v>
      </c>
      <c r="B20" s="5" t="s">
        <v>83</v>
      </c>
      <c r="C20" s="11">
        <v>0.13041666666666701</v>
      </c>
      <c r="D20" s="11" t="s">
        <v>62</v>
      </c>
      <c r="E20" s="11">
        <v>0.20946759259259301</v>
      </c>
      <c r="F20" s="12">
        <f t="shared" si="1"/>
        <v>1.8972222222222239</v>
      </c>
      <c r="G20" s="13">
        <f t="shared" si="2"/>
        <v>0</v>
      </c>
      <c r="H20" s="13">
        <f t="shared" si="3"/>
        <v>1.8972222222222239</v>
      </c>
      <c r="I20" s="40" t="s">
        <v>80</v>
      </c>
      <c r="J20" s="65">
        <f>J16+J17+J18+J19</f>
        <v>80.216111111111175</v>
      </c>
      <c r="K20" s="66"/>
      <c r="L20" s="67"/>
      <c r="M20" s="41"/>
    </row>
    <row r="21" spans="1:13" ht="20.25" x14ac:dyDescent="0.25">
      <c r="A21" s="10">
        <f t="shared" ca="1" si="0"/>
        <v>46166.209493287002</v>
      </c>
      <c r="B21" s="5" t="s">
        <v>79</v>
      </c>
      <c r="C21" s="11">
        <v>0.209490740740741</v>
      </c>
      <c r="D21" s="11" t="s">
        <v>62</v>
      </c>
      <c r="E21" s="11">
        <v>0.30386574074074102</v>
      </c>
      <c r="F21" s="12">
        <f t="shared" si="1"/>
        <v>2.2650000000000006</v>
      </c>
      <c r="G21" s="13">
        <f t="shared" si="2"/>
        <v>0</v>
      </c>
      <c r="H21" s="13">
        <f t="shared" si="3"/>
        <v>2.2650000000000006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46168.356785185199</v>
      </c>
      <c r="B22" s="5" t="s">
        <v>81</v>
      </c>
      <c r="C22" s="11">
        <v>0.35678240740740702</v>
      </c>
      <c r="D22" s="11" t="s">
        <v>62</v>
      </c>
      <c r="E22" s="11">
        <v>0.52291666666666703</v>
      </c>
      <c r="F22" s="12">
        <f t="shared" si="1"/>
        <v>3.9872222222222402</v>
      </c>
      <c r="G22" s="13">
        <f t="shared" si="2"/>
        <v>3.9872222222222402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46168.625044328699</v>
      </c>
      <c r="B23" s="5" t="s">
        <v>81</v>
      </c>
      <c r="C23" s="11">
        <v>0.62405092592592604</v>
      </c>
      <c r="D23" s="11" t="s">
        <v>62</v>
      </c>
      <c r="E23" s="11">
        <v>0.76145833333333302</v>
      </c>
      <c r="F23" s="12">
        <f t="shared" si="1"/>
        <v>3.2977777777777675</v>
      </c>
      <c r="G23" s="13">
        <f t="shared" si="2"/>
        <v>3.2977777777777675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46168.874954398103</v>
      </c>
      <c r="B24" s="5" t="s">
        <v>82</v>
      </c>
      <c r="C24" s="11">
        <v>0.87498842592592596</v>
      </c>
      <c r="D24" s="11" t="s">
        <v>62</v>
      </c>
      <c r="E24" s="11">
        <v>0.96341435185185198</v>
      </c>
      <c r="F24" s="12">
        <f t="shared" si="1"/>
        <v>2.1222222222222245</v>
      </c>
      <c r="G24" s="13">
        <f t="shared" si="2"/>
        <v>2.1222222222222245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46169.298556018497</v>
      </c>
      <c r="B25" s="5" t="s">
        <v>75</v>
      </c>
      <c r="C25" s="11">
        <v>0.29855324074074102</v>
      </c>
      <c r="D25" s="11" t="s">
        <v>62</v>
      </c>
      <c r="E25" s="11">
        <v>0.389201388888889</v>
      </c>
      <c r="F25" s="12">
        <f t="shared" si="1"/>
        <v>2.1755555555555515</v>
      </c>
      <c r="G25" s="13">
        <f t="shared" si="2"/>
        <v>1.3408333333333444</v>
      </c>
      <c r="H25" s="13">
        <f t="shared" si="3"/>
        <v>0.83472222222220704</v>
      </c>
      <c r="I25"/>
      <c r="J25"/>
    </row>
    <row r="26" spans="1:13" ht="18.75" x14ac:dyDescent="0.15">
      <c r="A26" s="10">
        <f t="shared" ca="1" si="0"/>
        <v>46169.389234374998</v>
      </c>
      <c r="B26" s="5" t="s">
        <v>82</v>
      </c>
      <c r="C26" s="11">
        <v>0.38922453703703702</v>
      </c>
      <c r="D26" s="11" t="s">
        <v>62</v>
      </c>
      <c r="E26" s="11">
        <v>0.42119212962962999</v>
      </c>
      <c r="F26" s="12">
        <f t="shared" si="1"/>
        <v>0.76722222222223113</v>
      </c>
      <c r="G26" s="13">
        <f t="shared" si="2"/>
        <v>0.76722222222223113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46169.507356134302</v>
      </c>
      <c r="B27" s="5" t="s">
        <v>82</v>
      </c>
      <c r="C27" s="11">
        <v>0.507349537037037</v>
      </c>
      <c r="D27" s="11" t="s">
        <v>62</v>
      </c>
      <c r="E27" s="11">
        <v>0.57525462962963003</v>
      </c>
      <c r="F27" s="12">
        <f t="shared" si="1"/>
        <v>1.6297222222222327</v>
      </c>
      <c r="G27" s="13">
        <f t="shared" si="2"/>
        <v>1.6297222222222327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46169.5752840278</v>
      </c>
      <c r="B28" s="5" t="s">
        <v>75</v>
      </c>
      <c r="C28" s="11">
        <v>0.575277777777778</v>
      </c>
      <c r="D28" s="11" t="s">
        <v>62</v>
      </c>
      <c r="E28" s="11">
        <v>0.630196759259259</v>
      </c>
      <c r="F28" s="12">
        <f t="shared" si="1"/>
        <v>1.318055555555544</v>
      </c>
      <c r="G28" s="13">
        <f t="shared" si="2"/>
        <v>1.318055555555544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46169.749395138897</v>
      </c>
      <c r="B29" s="5" t="s">
        <v>79</v>
      </c>
      <c r="C29" s="11">
        <v>0.74938657407407405</v>
      </c>
      <c r="D29" s="11" t="s">
        <v>62</v>
      </c>
      <c r="E29" s="11">
        <v>0.83968750000000003</v>
      </c>
      <c r="F29" s="12">
        <f t="shared" si="1"/>
        <v>2.1672222222222235</v>
      </c>
      <c r="G29" s="13">
        <f t="shared" si="2"/>
        <v>2.1672222222222235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46173.012529282401</v>
      </c>
      <c r="B30" s="5" t="s">
        <v>79</v>
      </c>
      <c r="C30" s="11">
        <v>1.2523148148148099E-2</v>
      </c>
      <c r="D30" s="11" t="s">
        <v>62</v>
      </c>
      <c r="E30" s="11">
        <v>0.145208333333333</v>
      </c>
      <c r="F30" s="12">
        <f t="shared" si="1"/>
        <v>3.1844444444444377</v>
      </c>
      <c r="G30" s="13">
        <f t="shared" si="2"/>
        <v>0</v>
      </c>
      <c r="H30" s="13">
        <f t="shared" si="3"/>
        <v>3.1844444444444377</v>
      </c>
      <c r="I30"/>
      <c r="J30"/>
    </row>
    <row r="31" spans="1:13" ht="18.75" x14ac:dyDescent="0.15">
      <c r="A31" s="10">
        <f t="shared" ca="1" si="0"/>
        <v>46173.750868171301</v>
      </c>
      <c r="B31" s="5" t="s">
        <v>79</v>
      </c>
      <c r="C31" s="11">
        <v>0.75086805555555503</v>
      </c>
      <c r="D31" s="11" t="s">
        <v>62</v>
      </c>
      <c r="E31" s="11">
        <v>0.83913194444444394</v>
      </c>
      <c r="F31" s="12">
        <f t="shared" si="1"/>
        <v>2.1183333333333341</v>
      </c>
      <c r="G31" s="13">
        <f t="shared" si="2"/>
        <v>2.1183333333333341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46173.957548495397</v>
      </c>
      <c r="B32" s="5" t="s">
        <v>79</v>
      </c>
      <c r="C32" s="11">
        <v>0.95754629629629595</v>
      </c>
      <c r="D32" s="11" t="s">
        <v>62</v>
      </c>
      <c r="E32" s="11">
        <v>0.99997685185185203</v>
      </c>
      <c r="F32" s="12">
        <f t="shared" si="1"/>
        <v>1.018333333333346</v>
      </c>
      <c r="G32" s="13">
        <f t="shared" si="2"/>
        <v>1.018333333333346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42"/>
  <sheetViews>
    <sheetView zoomScale="85" zoomScaleNormal="85" workbookViewId="0">
      <selection activeCell="D15" sqref="D15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46147.011701620402</v>
      </c>
      <c r="B3" s="5" t="s">
        <v>82</v>
      </c>
      <c r="C3" s="11">
        <v>1.17013888888889E-2</v>
      </c>
      <c r="D3" s="11" t="s">
        <v>62</v>
      </c>
      <c r="E3" s="11">
        <v>0.14581018518518499</v>
      </c>
      <c r="F3" s="12">
        <f t="shared" ref="F3:F42" si="1">(IF(E3-C3&lt;0,"24:00"-C3+E3,E3-C3))*24</f>
        <v>3.2186111111111058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3.2186111111111058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46147.951452777801</v>
      </c>
      <c r="B4" s="5" t="s">
        <v>81</v>
      </c>
      <c r="C4" s="11">
        <v>0.95144675925925903</v>
      </c>
      <c r="D4" s="11" t="s">
        <v>62</v>
      </c>
      <c r="E4" s="11">
        <v>0.14133101851851901</v>
      </c>
      <c r="F4" s="12">
        <f t="shared" si="1"/>
        <v>4.5572222222222392</v>
      </c>
      <c r="G4" s="13">
        <f t="shared" si="2"/>
        <v>1.1652777777777832</v>
      </c>
      <c r="H4" s="13">
        <f t="shared" si="3"/>
        <v>3.391944444444456</v>
      </c>
      <c r="I4" s="21" t="s">
        <v>65</v>
      </c>
      <c r="J4" s="22">
        <f>SUMIF(B:B,"西塔台管制席",F:F)+SUMIF(B:B,"东塔台管制席",F:F)</f>
        <v>14.264166666666675</v>
      </c>
      <c r="K4" s="23">
        <f>SUMIF(B:B,"西塔台管制席",G:G)+SUMIF(B:B,"东塔台管制席",G:G)</f>
        <v>3.3808333333333458</v>
      </c>
      <c r="L4" s="23">
        <f>SUMIF(B:B,"西塔台管制席",H:H)+SUMIF(B:B,"东塔台管制席",H:H)</f>
        <v>10.883333333333329</v>
      </c>
      <c r="M4" s="19"/>
    </row>
    <row r="5" spans="1:16" ht="18.75" x14ac:dyDescent="0.25">
      <c r="A5" s="10">
        <f t="shared" ca="1" si="0"/>
        <v>46150.355255439797</v>
      </c>
      <c r="B5" s="5" t="s">
        <v>75</v>
      </c>
      <c r="C5" s="11">
        <v>0.35525462962963</v>
      </c>
      <c r="D5" s="11" t="s">
        <v>62</v>
      </c>
      <c r="E5" s="11">
        <v>0.52809027777777795</v>
      </c>
      <c r="F5" s="12">
        <f t="shared" si="1"/>
        <v>4.1480555555555512</v>
      </c>
      <c r="G5" s="13">
        <f t="shared" si="2"/>
        <v>4.1480555555555512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16.880000000000017</v>
      </c>
      <c r="K5" s="23">
        <f>SUMIF(B:B,"西塔台协调席",G:G)+SUMIF(B:B,"东塔台协调席",G:G)</f>
        <v>8.9458333333333435</v>
      </c>
      <c r="L5" s="23">
        <f>SUMIF(B:B,"西塔台协调席",H:H)+SUMIF(B:B,"东塔台协调席",H:H)</f>
        <v>7.9341666666666733</v>
      </c>
      <c r="M5" s="19"/>
    </row>
    <row r="6" spans="1:16" ht="18.75" x14ac:dyDescent="0.25">
      <c r="A6" s="10">
        <f t="shared" ca="1" si="0"/>
        <v>46150.854735069399</v>
      </c>
      <c r="B6" s="5" t="s">
        <v>75</v>
      </c>
      <c r="C6" s="11">
        <v>0.85473379629629598</v>
      </c>
      <c r="D6" s="11" t="s">
        <v>62</v>
      </c>
      <c r="E6" s="11">
        <v>0.958090277777778</v>
      </c>
      <c r="F6" s="12">
        <f t="shared" si="1"/>
        <v>2.4805555555555685</v>
      </c>
      <c r="G6" s="13">
        <f t="shared" si="2"/>
        <v>2.4805555555555685</v>
      </c>
      <c r="H6" s="13">
        <f t="shared" si="3"/>
        <v>0</v>
      </c>
      <c r="I6" s="21" t="s">
        <v>67</v>
      </c>
      <c r="J6" s="22">
        <f>SUMIF(B:B,"放行席",F:F)</f>
        <v>4.8094444444444555</v>
      </c>
      <c r="K6" s="23">
        <f>SUMIF(B:B,"放行席",G:G)</f>
        <v>0</v>
      </c>
      <c r="L6" s="23">
        <f>SUMIF(B:B,"放行席",H:H)</f>
        <v>4.8094444444444555</v>
      </c>
      <c r="M6" s="19"/>
    </row>
    <row r="7" spans="1:16" ht="18.75" x14ac:dyDescent="0.25">
      <c r="A7" s="10">
        <f t="shared" ca="1" si="0"/>
        <v>46151.293715972199</v>
      </c>
      <c r="B7" s="5" t="s">
        <v>82</v>
      </c>
      <c r="C7" s="11">
        <v>0.29371527777777801</v>
      </c>
      <c r="D7" s="11" t="s">
        <v>62</v>
      </c>
      <c r="E7" s="11">
        <v>0.42560185185185201</v>
      </c>
      <c r="F7" s="12">
        <f t="shared" si="1"/>
        <v>3.1652777777777761</v>
      </c>
      <c r="G7" s="13">
        <f t="shared" si="2"/>
        <v>2.2144444444444566</v>
      </c>
      <c r="H7" s="13">
        <f t="shared" si="3"/>
        <v>0.95083333333331943</v>
      </c>
      <c r="I7" s="21" t="s">
        <v>68</v>
      </c>
      <c r="J7" s="22">
        <f>SUMIF(B:B,"地面席",F:F)</f>
        <v>3.8447222222222166</v>
      </c>
      <c r="K7" s="23">
        <f>SUMIF(B:B,"地面席",G:G)</f>
        <v>0</v>
      </c>
      <c r="L7" s="23">
        <f>SUMIF(B:B,"地面席",H:H)</f>
        <v>3.8447222222222166</v>
      </c>
      <c r="M7" s="19"/>
    </row>
    <row r="8" spans="1:16" ht="18.75" x14ac:dyDescent="0.25">
      <c r="A8" s="10">
        <f t="shared" ca="1" si="0"/>
        <v>46154.952011111098</v>
      </c>
      <c r="B8" s="5" t="s">
        <v>81</v>
      </c>
      <c r="C8" s="11">
        <v>0.95200231481481501</v>
      </c>
      <c r="D8" s="11" t="s">
        <v>62</v>
      </c>
      <c r="E8" s="11">
        <v>0.110219907407407</v>
      </c>
      <c r="F8" s="12">
        <f t="shared" si="1"/>
        <v>3.7972222222222078</v>
      </c>
      <c r="G8" s="13">
        <f t="shared" si="2"/>
        <v>1.1519444444444398</v>
      </c>
      <c r="H8" s="13">
        <f t="shared" si="3"/>
        <v>2.6452777777777681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46156.140134143498</v>
      </c>
      <c r="B9" s="5" t="s">
        <v>82</v>
      </c>
      <c r="C9" s="11">
        <v>0.140127314814815</v>
      </c>
      <c r="D9" s="11" t="s">
        <v>62</v>
      </c>
      <c r="E9" s="11">
        <v>0.29961805555555598</v>
      </c>
      <c r="F9" s="12">
        <f t="shared" si="1"/>
        <v>3.8277777777777837</v>
      </c>
      <c r="G9" s="13">
        <f t="shared" si="2"/>
        <v>0</v>
      </c>
      <c r="H9" s="13">
        <f t="shared" si="3"/>
        <v>3.8277777777777837</v>
      </c>
      <c r="I9" s="21" t="s">
        <v>70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46159.125704976897</v>
      </c>
      <c r="B10" s="5" t="s">
        <v>83</v>
      </c>
      <c r="C10" s="11">
        <v>0.125694444444444</v>
      </c>
      <c r="D10" s="11" t="s">
        <v>62</v>
      </c>
      <c r="E10" s="11">
        <v>0.22745370370370399</v>
      </c>
      <c r="F10" s="12">
        <f t="shared" si="1"/>
        <v>2.4422222222222398</v>
      </c>
      <c r="G10" s="13">
        <f t="shared" si="2"/>
        <v>0</v>
      </c>
      <c r="H10" s="13">
        <f t="shared" si="3"/>
        <v>2.4422222222222398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46160.139731713003</v>
      </c>
      <c r="B11" s="5" t="s">
        <v>84</v>
      </c>
      <c r="C11" s="11">
        <v>0.139722222222222</v>
      </c>
      <c r="D11" s="11" t="s">
        <v>62</v>
      </c>
      <c r="E11" s="11">
        <v>0.217592592592593</v>
      </c>
      <c r="F11" s="12">
        <f t="shared" si="1"/>
        <v>1.8688888888889041</v>
      </c>
      <c r="G11" s="13">
        <f t="shared" si="2"/>
        <v>0</v>
      </c>
      <c r="H11" s="13">
        <f t="shared" si="3"/>
        <v>1.8688888888889041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46168.137742592597</v>
      </c>
      <c r="B12" s="5" t="s">
        <v>84</v>
      </c>
      <c r="C12" s="11">
        <v>0.13774305555555599</v>
      </c>
      <c r="D12" s="11" t="s">
        <v>62</v>
      </c>
      <c r="E12" s="11">
        <v>0.22006944444444401</v>
      </c>
      <c r="F12" s="12">
        <f t="shared" si="1"/>
        <v>1.9758333333333125</v>
      </c>
      <c r="G12" s="13">
        <f t="shared" si="2"/>
        <v>0</v>
      </c>
      <c r="H12" s="13">
        <f t="shared" si="3"/>
        <v>1.9758333333333125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46168.220111226903</v>
      </c>
      <c r="B13" s="5" t="s">
        <v>81</v>
      </c>
      <c r="C13" s="11">
        <v>0.22010416666666699</v>
      </c>
      <c r="D13" s="11" t="s">
        <v>62</v>
      </c>
      <c r="E13" s="11">
        <v>0.299143518518519</v>
      </c>
      <c r="F13" s="12">
        <f t="shared" si="1"/>
        <v>1.8969444444444483</v>
      </c>
      <c r="G13" s="13">
        <f t="shared" si="2"/>
        <v>0</v>
      </c>
      <c r="H13" s="13">
        <f t="shared" si="3"/>
        <v>1.8969444444444483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46171.123937962999</v>
      </c>
      <c r="B14" s="5" t="s">
        <v>83</v>
      </c>
      <c r="C14" s="11">
        <v>0.123935185185185</v>
      </c>
      <c r="D14" s="11" t="s">
        <v>62</v>
      </c>
      <c r="E14" s="11">
        <v>0.22256944444444399</v>
      </c>
      <c r="F14" s="12">
        <f t="shared" si="1"/>
        <v>2.3672222222222157</v>
      </c>
      <c r="G14" s="13">
        <f t="shared" si="2"/>
        <v>0</v>
      </c>
      <c r="H14" s="13">
        <f t="shared" si="3"/>
        <v>2.3672222222222157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46171.951401504601</v>
      </c>
      <c r="B15" s="5" t="s">
        <v>82</v>
      </c>
      <c r="C15" s="11">
        <v>0.95140046296296299</v>
      </c>
      <c r="D15" s="11" t="s">
        <v>62</v>
      </c>
      <c r="E15" s="11">
        <v>0.12025462962963</v>
      </c>
      <c r="F15" s="12">
        <f t="shared" si="1"/>
        <v>4.0525000000000091</v>
      </c>
      <c r="G15" s="13">
        <f t="shared" si="2"/>
        <v>1.1663888888888891</v>
      </c>
      <c r="H15" s="13">
        <f t="shared" si="3"/>
        <v>2.88611111111112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77</v>
      </c>
      <c r="J17" s="36">
        <f>J4+J5+J6+J7+J10</f>
        <v>39.79833333333336</v>
      </c>
      <c r="K17" s="37">
        <f>K4+K5+K6+K7+K10</f>
        <v>12.326666666666689</v>
      </c>
      <c r="L17" s="38">
        <f>L4+L5+L6+L7+L10</f>
        <v>27.471666666666675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80</v>
      </c>
      <c r="J20" s="65">
        <f>J16+J17+J18+J19</f>
        <v>39.79833333333336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46143.132279398102</v>
      </c>
      <c r="B3" s="5" t="s">
        <v>64</v>
      </c>
      <c r="C3" s="11">
        <v>0.13226851851851901</v>
      </c>
      <c r="D3" s="11" t="s">
        <v>62</v>
      </c>
      <c r="E3" s="11">
        <v>0.29704861111111103</v>
      </c>
      <c r="F3" s="12">
        <f t="shared" ref="F3:F42" si="1">(IF(E3-C3&lt;0,"24:00"-C3+E3,E3-C3))*24</f>
        <v>3.9547222222222085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3.9547222222222085</v>
      </c>
      <c r="I3" s="16" t="s">
        <v>63</v>
      </c>
      <c r="J3" s="17">
        <f>SUMIF(B:B,"带班主任",F:F)</f>
        <v>105.55305555555557</v>
      </c>
      <c r="K3" s="18">
        <f>SUMIF(B:B,"带班主任",G:G)</f>
        <v>75.292777777777843</v>
      </c>
      <c r="L3" s="18">
        <f>SUMIF(B:B,"带班主任",H:H)</f>
        <v>30.260277777777741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46143.624960185203</v>
      </c>
      <c r="B4" s="5" t="s">
        <v>64</v>
      </c>
      <c r="C4" s="11">
        <v>0.62495370370370396</v>
      </c>
      <c r="D4" s="11" t="s">
        <v>62</v>
      </c>
      <c r="E4" s="11">
        <v>0.90650462962962997</v>
      </c>
      <c r="F4" s="12">
        <f t="shared" si="1"/>
        <v>6.7572222222222242</v>
      </c>
      <c r="G4" s="13">
        <f t="shared" si="2"/>
        <v>6.7572222222222242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46146.542623726898</v>
      </c>
      <c r="B5" s="5" t="s">
        <v>64</v>
      </c>
      <c r="C5" s="11">
        <v>0.54261574074074104</v>
      </c>
      <c r="D5" s="11" t="s">
        <v>62</v>
      </c>
      <c r="E5" s="11">
        <v>0.82043981481481498</v>
      </c>
      <c r="F5" s="12">
        <f t="shared" si="1"/>
        <v>6.6677777777777747</v>
      </c>
      <c r="G5" s="13">
        <f t="shared" si="2"/>
        <v>6.6677777777777747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46147.132622106503</v>
      </c>
      <c r="B6" s="5" t="s">
        <v>64</v>
      </c>
      <c r="C6" s="11">
        <v>0.13261574074074101</v>
      </c>
      <c r="D6" s="11" t="s">
        <v>62</v>
      </c>
      <c r="E6" s="11">
        <v>0.31194444444444402</v>
      </c>
      <c r="F6" s="12">
        <f t="shared" si="1"/>
        <v>4.3038888888888724</v>
      </c>
      <c r="G6" s="13">
        <f t="shared" si="2"/>
        <v>0</v>
      </c>
      <c r="H6" s="13">
        <f t="shared" si="3"/>
        <v>4.3038888888888724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46147.792879282402</v>
      </c>
      <c r="B7" s="5" t="s">
        <v>64</v>
      </c>
      <c r="C7" s="11">
        <v>0.79287037037037</v>
      </c>
      <c r="D7" s="11" t="s">
        <v>62</v>
      </c>
      <c r="E7" s="11">
        <v>0.95839120370370401</v>
      </c>
      <c r="F7" s="12">
        <f t="shared" si="1"/>
        <v>3.9725000000000161</v>
      </c>
      <c r="G7" s="13">
        <f t="shared" si="2"/>
        <v>3.9725000000000161</v>
      </c>
      <c r="H7" s="13">
        <f t="shared" si="3"/>
        <v>0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46148.292987963003</v>
      </c>
      <c r="B8" s="5" t="s">
        <v>64</v>
      </c>
      <c r="C8" s="11">
        <v>0.292986111111111</v>
      </c>
      <c r="D8" s="11" t="s">
        <v>62</v>
      </c>
      <c r="E8" s="11">
        <v>0.36615740740740699</v>
      </c>
      <c r="F8" s="12">
        <f t="shared" si="1"/>
        <v>1.7561111111111036</v>
      </c>
      <c r="G8" s="13">
        <f t="shared" si="2"/>
        <v>0.78777777777777613</v>
      </c>
      <c r="H8" s="13">
        <f t="shared" si="3"/>
        <v>0.9683333333333275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46150.355185879598</v>
      </c>
      <c r="B9" s="5" t="s">
        <v>64</v>
      </c>
      <c r="C9" s="11">
        <v>0.35518518518518499</v>
      </c>
      <c r="D9" s="11" t="s">
        <v>62</v>
      </c>
      <c r="E9" s="11">
        <v>0.54731481481481503</v>
      </c>
      <c r="F9" s="12">
        <f t="shared" si="1"/>
        <v>4.6111111111111214</v>
      </c>
      <c r="G9" s="13">
        <f t="shared" si="2"/>
        <v>4.6111111111111214</v>
      </c>
      <c r="H9" s="13">
        <f t="shared" si="3"/>
        <v>0</v>
      </c>
      <c r="I9" s="21" t="s">
        <v>70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46150.793343402802</v>
      </c>
      <c r="B10" s="5" t="s">
        <v>64</v>
      </c>
      <c r="C10" s="11">
        <v>0.793333333333333</v>
      </c>
      <c r="D10" s="11" t="s">
        <v>62</v>
      </c>
      <c r="E10" s="11">
        <v>0.94596064814814795</v>
      </c>
      <c r="F10" s="12">
        <f t="shared" si="1"/>
        <v>3.6630555555555588</v>
      </c>
      <c r="G10" s="13">
        <f t="shared" si="2"/>
        <v>3.6630555555555588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46151.2933646991</v>
      </c>
      <c r="B11" s="5" t="s">
        <v>64</v>
      </c>
      <c r="C11" s="11">
        <v>0.29335648148148102</v>
      </c>
      <c r="D11" s="11" t="s">
        <v>62</v>
      </c>
      <c r="E11" s="11">
        <v>0.54581018518518498</v>
      </c>
      <c r="F11" s="12">
        <f t="shared" si="1"/>
        <v>6.0588888888888945</v>
      </c>
      <c r="G11" s="13">
        <f t="shared" si="2"/>
        <v>5.0994444444444476</v>
      </c>
      <c r="H11" s="13">
        <f t="shared" si="3"/>
        <v>0.95944444444444699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46151.936998032397</v>
      </c>
      <c r="B12" s="5" t="s">
        <v>64</v>
      </c>
      <c r="C12" s="11">
        <v>0.93699074074074096</v>
      </c>
      <c r="D12" s="11" t="s">
        <v>62</v>
      </c>
      <c r="E12" s="11">
        <v>0.13230324074074101</v>
      </c>
      <c r="F12" s="12">
        <f t="shared" si="1"/>
        <v>4.6875000000000018</v>
      </c>
      <c r="G12" s="13">
        <f t="shared" si="2"/>
        <v>1.5122222222222175</v>
      </c>
      <c r="H12" s="13">
        <f t="shared" si="3"/>
        <v>3.1752777777777843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46154.356630324102</v>
      </c>
      <c r="B13" s="5" t="s">
        <v>64</v>
      </c>
      <c r="C13" s="11">
        <v>0.35662037037036998</v>
      </c>
      <c r="D13" s="11" t="s">
        <v>62</v>
      </c>
      <c r="E13" s="11">
        <v>0.55060185185185195</v>
      </c>
      <c r="F13" s="12">
        <f t="shared" si="1"/>
        <v>4.6555555555555674</v>
      </c>
      <c r="G13" s="13">
        <f t="shared" si="2"/>
        <v>4.6555555555555674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46154.793304282401</v>
      </c>
      <c r="B14" s="5" t="s">
        <v>64</v>
      </c>
      <c r="C14" s="11">
        <v>0.793298611111111</v>
      </c>
      <c r="D14" s="11" t="s">
        <v>62</v>
      </c>
      <c r="E14" s="11">
        <v>0.94451388888888899</v>
      </c>
      <c r="F14" s="12">
        <f t="shared" si="1"/>
        <v>3.6291666666666718</v>
      </c>
      <c r="G14" s="13">
        <f t="shared" si="2"/>
        <v>3.6291666666666718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46155.293914351903</v>
      </c>
      <c r="B15" s="5" t="s">
        <v>64</v>
      </c>
      <c r="C15" s="11">
        <v>0.293912037037037</v>
      </c>
      <c r="D15" s="11" t="s">
        <v>62</v>
      </c>
      <c r="E15" s="11">
        <v>0.54870370370370403</v>
      </c>
      <c r="F15" s="12">
        <f t="shared" si="1"/>
        <v>6.1150000000000091</v>
      </c>
      <c r="G15" s="13">
        <f t="shared" si="2"/>
        <v>5.1688888888889055</v>
      </c>
      <c r="H15" s="13">
        <f t="shared" si="3"/>
        <v>0.94611111111110358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46155.939158564797</v>
      </c>
      <c r="B16" s="5" t="s">
        <v>64</v>
      </c>
      <c r="C16" s="11">
        <v>0.939155092592593</v>
      </c>
      <c r="D16" s="11" t="s">
        <v>62</v>
      </c>
      <c r="E16" s="11">
        <v>0.13826388888888899</v>
      </c>
      <c r="F16" s="12">
        <f t="shared" si="1"/>
        <v>4.778611111111104</v>
      </c>
      <c r="G16" s="13">
        <f t="shared" si="2"/>
        <v>1.460277777777768</v>
      </c>
      <c r="H16" s="13">
        <f t="shared" si="3"/>
        <v>3.318333333333336</v>
      </c>
      <c r="I16" s="35" t="s">
        <v>63</v>
      </c>
      <c r="J16" s="36">
        <f t="shared" ref="J16:L16" si="4">J3</f>
        <v>105.55305555555557</v>
      </c>
      <c r="K16" s="37">
        <f t="shared" si="4"/>
        <v>75.292777777777843</v>
      </c>
      <c r="L16" s="38">
        <f t="shared" si="4"/>
        <v>30.260277777777741</v>
      </c>
      <c r="M16" s="39"/>
    </row>
    <row r="17" spans="1:13" ht="20.25" x14ac:dyDescent="0.25">
      <c r="A17" s="10">
        <f t="shared" ca="1" si="0"/>
        <v>46158.937697453701</v>
      </c>
      <c r="B17" s="5" t="s">
        <v>64</v>
      </c>
      <c r="C17" s="11">
        <v>0.93769675925925899</v>
      </c>
      <c r="D17" s="11" t="s">
        <v>62</v>
      </c>
      <c r="E17" s="11">
        <v>0.14011574074074101</v>
      </c>
      <c r="F17" s="12">
        <f t="shared" si="1"/>
        <v>4.858055555555568</v>
      </c>
      <c r="G17" s="13">
        <f t="shared" si="2"/>
        <v>1.4952777777777837</v>
      </c>
      <c r="H17" s="13">
        <f t="shared" si="3"/>
        <v>3.3627777777777843</v>
      </c>
      <c r="I17" s="35" t="s">
        <v>77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>
        <f t="shared" ca="1" si="0"/>
        <v>46159.542566203701</v>
      </c>
      <c r="B18" s="5" t="s">
        <v>64</v>
      </c>
      <c r="C18" s="11">
        <v>0.54255787037036995</v>
      </c>
      <c r="D18" s="11" t="s">
        <v>62</v>
      </c>
      <c r="E18" s="11">
        <v>0.79681712962963003</v>
      </c>
      <c r="F18" s="12">
        <f t="shared" si="1"/>
        <v>6.1022222222222418</v>
      </c>
      <c r="G18" s="13">
        <f t="shared" si="2"/>
        <v>6.1022222222222418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46160.132726736098</v>
      </c>
      <c r="B19" s="5" t="s">
        <v>64</v>
      </c>
      <c r="C19" s="11">
        <v>0.132719907407407</v>
      </c>
      <c r="D19" s="11" t="s">
        <v>62</v>
      </c>
      <c r="E19" s="11">
        <v>0.29831018518518498</v>
      </c>
      <c r="F19" s="12">
        <f t="shared" si="1"/>
        <v>3.9741666666666715</v>
      </c>
      <c r="G19" s="13">
        <f t="shared" si="2"/>
        <v>0</v>
      </c>
      <c r="H19" s="13">
        <f t="shared" si="3"/>
        <v>3.9741666666666715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46167.792131134302</v>
      </c>
      <c r="B20" s="5" t="s">
        <v>64</v>
      </c>
      <c r="C20" s="11">
        <v>0.79212962962962996</v>
      </c>
      <c r="D20" s="11" t="s">
        <v>62</v>
      </c>
      <c r="E20" s="11">
        <v>0.95387731481481497</v>
      </c>
      <c r="F20" s="12">
        <f t="shared" si="1"/>
        <v>3.8819444444444402</v>
      </c>
      <c r="G20" s="13">
        <f t="shared" si="2"/>
        <v>3.8819444444444402</v>
      </c>
      <c r="H20" s="13">
        <f t="shared" si="3"/>
        <v>0</v>
      </c>
      <c r="I20" s="40" t="s">
        <v>80</v>
      </c>
      <c r="J20" s="65">
        <f>J16+J17+J18+J19</f>
        <v>105.55305555555557</v>
      </c>
      <c r="K20" s="66"/>
      <c r="L20" s="67"/>
      <c r="M20" s="41"/>
    </row>
    <row r="21" spans="1:13" ht="20.25" x14ac:dyDescent="0.25">
      <c r="A21" s="10">
        <f t="shared" ca="1" si="0"/>
        <v>46168.292739467601</v>
      </c>
      <c r="B21" s="5" t="s">
        <v>64</v>
      </c>
      <c r="C21" s="11">
        <v>0.29273148148148098</v>
      </c>
      <c r="D21" s="11" t="s">
        <v>62</v>
      </c>
      <c r="E21" s="11">
        <v>0.36336805555555601</v>
      </c>
      <c r="F21" s="12">
        <f t="shared" si="1"/>
        <v>1.6952777777778008</v>
      </c>
      <c r="G21" s="13">
        <f t="shared" si="2"/>
        <v>0.72083333333335275</v>
      </c>
      <c r="H21" s="13">
        <f t="shared" si="3"/>
        <v>0.974444444444448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46170.354176041699</v>
      </c>
      <c r="B22" s="5" t="s">
        <v>64</v>
      </c>
      <c r="C22" s="11">
        <v>0.35416666666666702</v>
      </c>
      <c r="D22" s="11" t="s">
        <v>62</v>
      </c>
      <c r="E22" s="11">
        <v>0.54428240740740697</v>
      </c>
      <c r="F22" s="12">
        <f t="shared" si="1"/>
        <v>4.5627777777777592</v>
      </c>
      <c r="G22" s="13">
        <f t="shared" si="2"/>
        <v>4.5627777777777592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46170.792956712998</v>
      </c>
      <c r="B23" s="5" t="s">
        <v>64</v>
      </c>
      <c r="C23" s="11">
        <v>0.79295138888888905</v>
      </c>
      <c r="D23" s="11" t="s">
        <v>62</v>
      </c>
      <c r="E23" s="11">
        <v>0.94532407407407404</v>
      </c>
      <c r="F23" s="12">
        <f t="shared" si="1"/>
        <v>3.6569444444444397</v>
      </c>
      <c r="G23" s="13">
        <f t="shared" si="2"/>
        <v>3.6569444444444397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46171.290219444403</v>
      </c>
      <c r="B24" s="5" t="s">
        <v>64</v>
      </c>
      <c r="C24" s="11">
        <v>0.28951388888888901</v>
      </c>
      <c r="D24" s="11" t="s">
        <v>62</v>
      </c>
      <c r="E24" s="11">
        <v>0.55908564814814798</v>
      </c>
      <c r="F24" s="12">
        <f t="shared" si="1"/>
        <v>6.4697222222222148</v>
      </c>
      <c r="G24" s="13">
        <f t="shared" si="2"/>
        <v>5.4180555555555596</v>
      </c>
      <c r="H24" s="13">
        <f t="shared" si="3"/>
        <v>1.0516666666666552</v>
      </c>
      <c r="I24"/>
      <c r="J24"/>
    </row>
    <row r="25" spans="1:13" ht="18.75" x14ac:dyDescent="0.15">
      <c r="A25" s="10">
        <f t="shared" ca="1" si="0"/>
        <v>46171.938762037003</v>
      </c>
      <c r="B25" s="5" t="s">
        <v>64</v>
      </c>
      <c r="C25" s="11">
        <v>0.93876157407407401</v>
      </c>
      <c r="D25" s="11" t="s">
        <v>62</v>
      </c>
      <c r="E25" s="11">
        <v>0.136296296296296</v>
      </c>
      <c r="F25" s="12">
        <f t="shared" si="1"/>
        <v>4.7408333333333275</v>
      </c>
      <c r="G25" s="13">
        <f t="shared" si="2"/>
        <v>1.4697222222222237</v>
      </c>
      <c r="H25" s="13">
        <f t="shared" si="3"/>
        <v>3.2711111111111038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46143.019688888897</v>
      </c>
      <c r="B3" s="5" t="s">
        <v>75</v>
      </c>
      <c r="C3" s="11">
        <v>1.0127314814814801E-2</v>
      </c>
      <c r="D3" s="11" t="s">
        <v>62</v>
      </c>
      <c r="E3" s="11">
        <v>0.141724537037037</v>
      </c>
      <c r="F3" s="12">
        <f t="shared" ref="F3:F42" si="1">(IF(E3-C3&lt;0,"24:00"-C3+E3,E3-C3))*24</f>
        <v>3.1583333333333328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3.1583333333333328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46147.415124652798</v>
      </c>
      <c r="B4" s="5" t="s">
        <v>82</v>
      </c>
      <c r="C4" s="11">
        <v>0.41518518518518499</v>
      </c>
      <c r="D4" s="11" t="s">
        <v>62</v>
      </c>
      <c r="E4" s="11">
        <v>0.52834490740740703</v>
      </c>
      <c r="F4" s="12">
        <f t="shared" si="1"/>
        <v>2.7158333333333289</v>
      </c>
      <c r="G4" s="13">
        <f t="shared" si="2"/>
        <v>2.7158333333333289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24.033055555555592</v>
      </c>
      <c r="K4" s="23">
        <f>SUMIF(B:B,"西塔台管制席",G:G)+SUMIF(B:B,"东塔台管制席",G:G)</f>
        <v>14.462222222222257</v>
      </c>
      <c r="L4" s="23">
        <f>SUMIF(B:B,"西塔台管制席",H:H)+SUMIF(B:B,"东塔台管制席",H:H)</f>
        <v>9.5708333333333364</v>
      </c>
      <c r="M4" s="19"/>
    </row>
    <row r="5" spans="1:16" ht="18.75" x14ac:dyDescent="0.25">
      <c r="A5" s="10">
        <f t="shared" ca="1" si="0"/>
        <v>46147.647323726902</v>
      </c>
      <c r="B5" s="5" t="s">
        <v>81</v>
      </c>
      <c r="C5" s="11">
        <v>0.64731481481481501</v>
      </c>
      <c r="D5" s="11" t="s">
        <v>62</v>
      </c>
      <c r="E5" s="11">
        <v>0.77785879629629595</v>
      </c>
      <c r="F5" s="12">
        <f t="shared" si="1"/>
        <v>3.1330555555555426</v>
      </c>
      <c r="G5" s="13">
        <f t="shared" si="2"/>
        <v>3.1330555555555426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35.701111111111089</v>
      </c>
      <c r="K5" s="23">
        <f>SUMIF(B:B,"西塔台协调席",G:G)+SUMIF(B:B,"东塔台协调席",G:G)</f>
        <v>24.76972222222221</v>
      </c>
      <c r="L5" s="23">
        <f>SUMIF(B:B,"西塔台协调席",H:H)+SUMIF(B:B,"东塔台协调席",H:H)</f>
        <v>10.931388888888877</v>
      </c>
      <c r="M5" s="19"/>
    </row>
    <row r="6" spans="1:16" ht="18.75" x14ac:dyDescent="0.25">
      <c r="A6" s="10">
        <f t="shared" ca="1" si="0"/>
        <v>46147.874093749997</v>
      </c>
      <c r="B6" s="5" t="s">
        <v>81</v>
      </c>
      <c r="C6" s="11">
        <v>0.87408564814814804</v>
      </c>
      <c r="D6" s="11" t="s">
        <v>62</v>
      </c>
      <c r="E6" s="11">
        <v>0.95870370370370395</v>
      </c>
      <c r="F6" s="12">
        <f t="shared" si="1"/>
        <v>2.0308333333333417</v>
      </c>
      <c r="G6" s="13">
        <f t="shared" si="2"/>
        <v>2.0308333333333417</v>
      </c>
      <c r="H6" s="13">
        <f t="shared" si="3"/>
        <v>0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46148.289744212998</v>
      </c>
      <c r="B7" s="5" t="s">
        <v>82</v>
      </c>
      <c r="C7" s="11">
        <v>0.28973379629629598</v>
      </c>
      <c r="D7" s="11" t="s">
        <v>62</v>
      </c>
      <c r="E7" s="11">
        <v>0.30275462962963001</v>
      </c>
      <c r="F7" s="12">
        <f t="shared" si="1"/>
        <v>0.31250000000001688</v>
      </c>
      <c r="G7" s="13">
        <f t="shared" si="2"/>
        <v>0</v>
      </c>
      <c r="H7" s="13">
        <f t="shared" si="3"/>
        <v>0.31250000000001688</v>
      </c>
      <c r="I7" s="21" t="s">
        <v>68</v>
      </c>
      <c r="J7" s="22">
        <f>SUMIF(B:B,"地面席",F:F)</f>
        <v>2.2063888888888803</v>
      </c>
      <c r="K7" s="23">
        <f>SUMIF(B:B,"地面席",G:G)</f>
        <v>0</v>
      </c>
      <c r="L7" s="23">
        <f>SUMIF(B:B,"地面席",H:H)</f>
        <v>2.2063888888888803</v>
      </c>
      <c r="M7" s="19"/>
    </row>
    <row r="8" spans="1:16" ht="18.75" x14ac:dyDescent="0.25">
      <c r="A8" s="10">
        <f t="shared" ca="1" si="0"/>
        <v>46148.302777199096</v>
      </c>
      <c r="B8" s="5" t="s">
        <v>79</v>
      </c>
      <c r="C8" s="11">
        <v>0.30277777777777798</v>
      </c>
      <c r="D8" s="11" t="s">
        <v>62</v>
      </c>
      <c r="E8" s="11">
        <v>0.36865740740740699</v>
      </c>
      <c r="F8" s="12">
        <f t="shared" si="1"/>
        <v>1.5811111111110963</v>
      </c>
      <c r="G8" s="13">
        <f t="shared" si="2"/>
        <v>0.84777777777777619</v>
      </c>
      <c r="H8" s="13">
        <f t="shared" si="3"/>
        <v>0.73333333333332007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46150.687857291698</v>
      </c>
      <c r="B9" s="5" t="s">
        <v>75</v>
      </c>
      <c r="C9" s="11">
        <v>0.68784722222222205</v>
      </c>
      <c r="D9" s="11" t="s">
        <v>62</v>
      </c>
      <c r="E9" s="11">
        <v>0.77869212962962997</v>
      </c>
      <c r="F9" s="12">
        <f t="shared" si="1"/>
        <v>2.18027777777779</v>
      </c>
      <c r="G9" s="13">
        <f t="shared" si="2"/>
        <v>2.18027777777779</v>
      </c>
      <c r="H9" s="13">
        <f t="shared" si="3"/>
        <v>0</v>
      </c>
      <c r="I9" s="21" t="s">
        <v>70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46150.855521411999</v>
      </c>
      <c r="B10" s="5" t="s">
        <v>79</v>
      </c>
      <c r="C10" s="11">
        <v>0.85552083333333295</v>
      </c>
      <c r="D10" s="11" t="s">
        <v>62</v>
      </c>
      <c r="E10" s="11">
        <v>0.95805555555555599</v>
      </c>
      <c r="F10" s="12">
        <f t="shared" si="1"/>
        <v>2.460833333333353</v>
      </c>
      <c r="G10" s="13">
        <f t="shared" si="2"/>
        <v>2.460833333333353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46151.293607060201</v>
      </c>
      <c r="B11" s="5" t="s">
        <v>81</v>
      </c>
      <c r="C11" s="11">
        <v>0.29359953703703701</v>
      </c>
      <c r="D11" s="11" t="s">
        <v>62</v>
      </c>
      <c r="E11" s="11">
        <v>0.424108796296296</v>
      </c>
      <c r="F11" s="12">
        <f t="shared" si="1"/>
        <v>3.1322222222222158</v>
      </c>
      <c r="G11" s="13">
        <f t="shared" si="2"/>
        <v>2.1786111111111124</v>
      </c>
      <c r="H11" s="13">
        <f t="shared" si="3"/>
        <v>0.95361111111110342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46151.5277391204</v>
      </c>
      <c r="B12" s="5" t="s">
        <v>81</v>
      </c>
      <c r="C12" s="11">
        <v>0.52773148148148097</v>
      </c>
      <c r="D12" s="11" t="s">
        <v>62</v>
      </c>
      <c r="E12" s="11">
        <v>0.59223379629629602</v>
      </c>
      <c r="F12" s="12">
        <f t="shared" si="1"/>
        <v>1.5480555555555613</v>
      </c>
      <c r="G12" s="13">
        <f t="shared" si="2"/>
        <v>1.5480555555555613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46151.710260069398</v>
      </c>
      <c r="B13" s="5" t="s">
        <v>81</v>
      </c>
      <c r="C13" s="11">
        <v>0.71025462962963004</v>
      </c>
      <c r="D13" s="11" t="s">
        <v>62</v>
      </c>
      <c r="E13" s="11">
        <v>0.777013888888889</v>
      </c>
      <c r="F13" s="12">
        <f t="shared" si="1"/>
        <v>1.6022222222222151</v>
      </c>
      <c r="G13" s="13">
        <f t="shared" si="2"/>
        <v>1.6022222222222151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46154.946853935202</v>
      </c>
      <c r="B14" s="5" t="s">
        <v>82</v>
      </c>
      <c r="C14" s="11">
        <v>0.94685185185185206</v>
      </c>
      <c r="D14" s="11" t="s">
        <v>62</v>
      </c>
      <c r="E14" s="11">
        <v>0.110277777777778</v>
      </c>
      <c r="F14" s="12">
        <f t="shared" si="1"/>
        <v>3.9222222222222225</v>
      </c>
      <c r="G14" s="13">
        <f t="shared" si="2"/>
        <v>1.2755555555555507</v>
      </c>
      <c r="H14" s="13">
        <f t="shared" si="3"/>
        <v>2.6466666666666718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46156.1402548611</v>
      </c>
      <c r="B15" s="5" t="s">
        <v>79</v>
      </c>
      <c r="C15" s="11">
        <v>0.14026620370370399</v>
      </c>
      <c r="D15" s="11" t="s">
        <v>62</v>
      </c>
      <c r="E15" s="11">
        <v>0.23101851851851901</v>
      </c>
      <c r="F15" s="12">
        <f t="shared" si="1"/>
        <v>2.1780555555555603</v>
      </c>
      <c r="G15" s="13">
        <f t="shared" si="2"/>
        <v>0</v>
      </c>
      <c r="H15" s="13">
        <f t="shared" si="3"/>
        <v>2.1780555555555603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46156.231065509302</v>
      </c>
      <c r="B16" s="5" t="s">
        <v>81</v>
      </c>
      <c r="C16" s="11">
        <v>0.231064814814815</v>
      </c>
      <c r="D16" s="11" t="s">
        <v>62</v>
      </c>
      <c r="E16" s="11">
        <v>0.299143518518519</v>
      </c>
      <c r="F16" s="12">
        <f t="shared" si="1"/>
        <v>1.6338888888888961</v>
      </c>
      <c r="G16" s="13">
        <f t="shared" si="2"/>
        <v>0</v>
      </c>
      <c r="H16" s="13">
        <f t="shared" si="3"/>
        <v>1.6338888888888961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46159.014213194401</v>
      </c>
      <c r="B17" s="5" t="s">
        <v>75</v>
      </c>
      <c r="C17" s="11">
        <v>1.4212962962963E-2</v>
      </c>
      <c r="D17" s="11" t="s">
        <v>62</v>
      </c>
      <c r="E17" s="11">
        <v>8.6944444444444394E-2</v>
      </c>
      <c r="F17" s="12">
        <f t="shared" si="1"/>
        <v>1.7455555555555535</v>
      </c>
      <c r="G17" s="13">
        <f t="shared" si="2"/>
        <v>0</v>
      </c>
      <c r="H17" s="13">
        <f t="shared" si="3"/>
        <v>1.7455555555555535</v>
      </c>
      <c r="I17" s="35" t="s">
        <v>77</v>
      </c>
      <c r="J17" s="36">
        <f>J4+J5+J6+J7+J10</f>
        <v>61.940555555555562</v>
      </c>
      <c r="K17" s="37">
        <f>K4+K5+K6+K7+K10</f>
        <v>39.231944444444466</v>
      </c>
      <c r="L17" s="38">
        <f>L4+L5+L6+L7+L10</f>
        <v>22.708611111111097</v>
      </c>
      <c r="M17" s="39"/>
    </row>
    <row r="18" spans="1:13" ht="20.25" x14ac:dyDescent="0.25">
      <c r="A18" s="10">
        <f t="shared" ca="1" si="0"/>
        <v>46159.086978703701</v>
      </c>
      <c r="B18" s="5" t="s">
        <v>82</v>
      </c>
      <c r="C18" s="11">
        <v>8.6979166666666705E-2</v>
      </c>
      <c r="D18" s="11" t="s">
        <v>62</v>
      </c>
      <c r="E18" s="11">
        <v>0.110462962962963</v>
      </c>
      <c r="F18" s="12">
        <f t="shared" si="1"/>
        <v>0.56361111111111106</v>
      </c>
      <c r="G18" s="13">
        <f t="shared" si="2"/>
        <v>0</v>
      </c>
      <c r="H18" s="13">
        <f t="shared" si="3"/>
        <v>0.56361111111111106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46159.110503588003</v>
      </c>
      <c r="B19" s="5" t="s">
        <v>81</v>
      </c>
      <c r="C19" s="11">
        <v>0.110497685185185</v>
      </c>
      <c r="D19" s="11" t="s">
        <v>62</v>
      </c>
      <c r="E19" s="11">
        <v>0.13346064814814801</v>
      </c>
      <c r="F19" s="12">
        <f t="shared" si="1"/>
        <v>0.55111111111111211</v>
      </c>
      <c r="G19" s="13">
        <f t="shared" si="2"/>
        <v>0</v>
      </c>
      <c r="H19" s="13">
        <f t="shared" si="3"/>
        <v>0.55111111111111211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46162.353873263899</v>
      </c>
      <c r="B20" s="5" t="s">
        <v>81</v>
      </c>
      <c r="C20" s="11">
        <v>0.35386574074074101</v>
      </c>
      <c r="D20" s="11" t="s">
        <v>62</v>
      </c>
      <c r="E20" s="11">
        <v>0.52812499999999996</v>
      </c>
      <c r="F20" s="12">
        <f t="shared" si="1"/>
        <v>4.1822222222222152</v>
      </c>
      <c r="G20" s="13">
        <f t="shared" si="2"/>
        <v>4.1822222222222152</v>
      </c>
      <c r="H20" s="13">
        <f t="shared" si="3"/>
        <v>0</v>
      </c>
      <c r="I20" s="40" t="s">
        <v>80</v>
      </c>
      <c r="J20" s="65">
        <f>J16+J17+J18+J19</f>
        <v>61.940555555555562</v>
      </c>
      <c r="K20" s="66"/>
      <c r="L20" s="67"/>
      <c r="M20" s="41"/>
    </row>
    <row r="21" spans="1:13" ht="20.25" x14ac:dyDescent="0.25">
      <c r="A21" s="10">
        <f t="shared" ca="1" si="0"/>
        <v>46162.771521296301</v>
      </c>
      <c r="B21" s="5" t="s">
        <v>81</v>
      </c>
      <c r="C21" s="11">
        <v>0.771516203703704</v>
      </c>
      <c r="D21" s="11" t="s">
        <v>62</v>
      </c>
      <c r="E21" s="11">
        <v>0.86254629629629598</v>
      </c>
      <c r="F21" s="12">
        <f t="shared" si="1"/>
        <v>2.1847222222222076</v>
      </c>
      <c r="G21" s="13">
        <f t="shared" si="2"/>
        <v>2.1847222222222076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46163.293605671301</v>
      </c>
      <c r="B22" s="5" t="s">
        <v>82</v>
      </c>
      <c r="C22" s="11">
        <v>0.29359953703703701</v>
      </c>
      <c r="D22" s="11" t="s">
        <v>62</v>
      </c>
      <c r="E22" s="11">
        <v>0.42487268518518501</v>
      </c>
      <c r="F22" s="12">
        <f t="shared" si="1"/>
        <v>3.150555555555552</v>
      </c>
      <c r="G22" s="13">
        <f t="shared" si="2"/>
        <v>2.1969444444444486</v>
      </c>
      <c r="H22" s="13">
        <f t="shared" si="3"/>
        <v>0.95361111111110342</v>
      </c>
      <c r="I22"/>
      <c r="J22"/>
    </row>
    <row r="23" spans="1:13" ht="18.75" x14ac:dyDescent="0.15">
      <c r="A23" s="10">
        <f t="shared" ca="1" si="0"/>
        <v>46163.520843171304</v>
      </c>
      <c r="B23" s="5" t="s">
        <v>82</v>
      </c>
      <c r="C23" s="11">
        <v>0.52083333333333304</v>
      </c>
      <c r="D23" s="11" t="s">
        <v>62</v>
      </c>
      <c r="E23" s="11">
        <v>0.63356481481481497</v>
      </c>
      <c r="F23" s="12">
        <f t="shared" si="1"/>
        <v>2.7055555555555664</v>
      </c>
      <c r="G23" s="13">
        <f t="shared" si="2"/>
        <v>2.7055555555555664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46163.855342129602</v>
      </c>
      <c r="B24" s="5" t="s">
        <v>81</v>
      </c>
      <c r="C24" s="11">
        <v>0.855335648148148</v>
      </c>
      <c r="D24" s="11" t="s">
        <v>62</v>
      </c>
      <c r="E24" s="11">
        <v>0.95685185185185195</v>
      </c>
      <c r="F24" s="12">
        <f t="shared" si="1"/>
        <v>2.4363888888888949</v>
      </c>
      <c r="G24" s="13">
        <f t="shared" si="2"/>
        <v>2.4363888888888949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46166.625817361099</v>
      </c>
      <c r="B25" s="5" t="s">
        <v>75</v>
      </c>
      <c r="C25" s="11">
        <v>0.62581018518518505</v>
      </c>
      <c r="D25" s="11" t="s">
        <v>62</v>
      </c>
      <c r="E25" s="11">
        <v>0.71436342592592605</v>
      </c>
      <c r="F25" s="12">
        <f t="shared" si="1"/>
        <v>2.125277777777784</v>
      </c>
      <c r="G25" s="13">
        <f t="shared" si="2"/>
        <v>2.125277777777784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46166.793083680597</v>
      </c>
      <c r="B26" s="5" t="s">
        <v>79</v>
      </c>
      <c r="C26" s="11">
        <v>0.79343750000000002</v>
      </c>
      <c r="D26" s="11" t="s">
        <v>62</v>
      </c>
      <c r="E26" s="11">
        <v>0.88759259259259304</v>
      </c>
      <c r="F26" s="12">
        <f t="shared" si="1"/>
        <v>2.2597222222222326</v>
      </c>
      <c r="G26" s="13">
        <f t="shared" si="2"/>
        <v>2.2597222222222326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46168.139618634297</v>
      </c>
      <c r="B27" s="5" t="s">
        <v>79</v>
      </c>
      <c r="C27" s="11">
        <v>0.13961805555555601</v>
      </c>
      <c r="D27" s="11" t="s">
        <v>62</v>
      </c>
      <c r="E27" s="11">
        <v>0.23057870370370401</v>
      </c>
      <c r="F27" s="12">
        <f t="shared" si="1"/>
        <v>2.1830555555555522</v>
      </c>
      <c r="G27" s="13">
        <f t="shared" si="2"/>
        <v>0</v>
      </c>
      <c r="H27" s="13">
        <f t="shared" si="3"/>
        <v>2.1830555555555522</v>
      </c>
      <c r="I27"/>
      <c r="J27"/>
    </row>
    <row r="28" spans="1:13" ht="18.75" x14ac:dyDescent="0.15">
      <c r="A28" s="10">
        <f t="shared" ca="1" si="0"/>
        <v>46171.134460300898</v>
      </c>
      <c r="B28" s="5" t="s">
        <v>84</v>
      </c>
      <c r="C28" s="11">
        <v>0.13445601851851899</v>
      </c>
      <c r="D28" s="11" t="s">
        <v>62</v>
      </c>
      <c r="E28" s="11">
        <v>0.226388888888889</v>
      </c>
      <c r="F28" s="12">
        <f t="shared" si="1"/>
        <v>2.2063888888888803</v>
      </c>
      <c r="G28" s="13">
        <f t="shared" si="2"/>
        <v>0</v>
      </c>
      <c r="H28" s="13">
        <f t="shared" si="3"/>
        <v>2.2063888888888803</v>
      </c>
      <c r="I28"/>
      <c r="J28"/>
    </row>
    <row r="29" spans="1:13" ht="18.75" x14ac:dyDescent="0.15">
      <c r="A29" s="10">
        <f t="shared" ca="1" si="0"/>
        <v>46171.951339236097</v>
      </c>
      <c r="B29" s="5" t="s">
        <v>81</v>
      </c>
      <c r="C29" s="11">
        <v>0.95133101851851898</v>
      </c>
      <c r="D29" s="11" t="s">
        <v>62</v>
      </c>
      <c r="E29" s="11">
        <v>0.12037037037037</v>
      </c>
      <c r="F29" s="12">
        <f t="shared" si="1"/>
        <v>4.0569444444444249</v>
      </c>
      <c r="G29" s="13">
        <f t="shared" si="2"/>
        <v>1.168055555555545</v>
      </c>
      <c r="H29" s="13">
        <f t="shared" si="3"/>
        <v>2.88888888888888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42"/>
  <sheetViews>
    <sheetView topLeftCell="A10" zoomScale="85" zoomScaleNormal="85" workbookViewId="0">
      <selection activeCell="D27" sqref="D27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46143.1400840278</v>
      </c>
      <c r="B3" s="5" t="s">
        <v>82</v>
      </c>
      <c r="C3" s="11">
        <v>0.14008101851851901</v>
      </c>
      <c r="D3" s="11" t="s">
        <v>62</v>
      </c>
      <c r="E3" s="11">
        <v>0.25086805555555602</v>
      </c>
      <c r="F3" s="12">
        <f t="shared" ref="F3:F42" si="1">(IF(E3-C3&lt;0,"24:00"-C3+E3,E3-C3))*24</f>
        <v>2.6588888888888884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2.6588888888888884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46143.250900925901</v>
      </c>
      <c r="B4" s="5" t="s">
        <v>75</v>
      </c>
      <c r="C4" s="11">
        <v>0.25089120370370399</v>
      </c>
      <c r="D4" s="11" t="s">
        <v>62</v>
      </c>
      <c r="E4" s="11">
        <v>0.29850694444444398</v>
      </c>
      <c r="F4" s="12">
        <f t="shared" si="1"/>
        <v>1.1427777777777597</v>
      </c>
      <c r="G4" s="13">
        <f t="shared" si="2"/>
        <v>0</v>
      </c>
      <c r="H4" s="13">
        <f t="shared" si="3"/>
        <v>1.1427777777777597</v>
      </c>
      <c r="I4" s="21" t="s">
        <v>65</v>
      </c>
      <c r="J4" s="22">
        <f>SUMIF(B:B,"西塔台管制席",F:F)+SUMIF(B:B,"东塔台管制席",F:F)</f>
        <v>30.413333333333313</v>
      </c>
      <c r="K4" s="23">
        <f>SUMIF(B:B,"西塔台管制席",G:G)+SUMIF(B:B,"东塔台管制席",G:G)</f>
        <v>17.147222222222219</v>
      </c>
      <c r="L4" s="23">
        <f>SUMIF(B:B,"西塔台管制席",H:H)+SUMIF(B:B,"东塔台管制席",H:H)</f>
        <v>13.266111111111094</v>
      </c>
      <c r="M4" s="19"/>
    </row>
    <row r="5" spans="1:16" ht="18.75" x14ac:dyDescent="0.25">
      <c r="A5" s="10">
        <f t="shared" ca="1" si="0"/>
        <v>46146.423158680598</v>
      </c>
      <c r="B5" s="5" t="s">
        <v>61</v>
      </c>
      <c r="C5" s="11">
        <v>0.423148148148148</v>
      </c>
      <c r="D5" s="11" t="s">
        <v>62</v>
      </c>
      <c r="E5" s="11">
        <v>0.52275462962963004</v>
      </c>
      <c r="F5" s="12">
        <f t="shared" si="1"/>
        <v>2.3905555555555691</v>
      </c>
      <c r="G5" s="13">
        <f t="shared" si="2"/>
        <v>2.3905555555555691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18.721666666666607</v>
      </c>
      <c r="K5" s="23">
        <f>SUMIF(B:B,"西塔台协调席",G:G)+SUMIF(B:B,"东塔台协调席",G:G)</f>
        <v>11.470555555555562</v>
      </c>
      <c r="L5" s="23">
        <f>SUMIF(B:B,"西塔台协调席",H:H)+SUMIF(B:B,"东塔台协调席",H:H)</f>
        <v>7.2511111111110456</v>
      </c>
      <c r="M5" s="19"/>
    </row>
    <row r="6" spans="1:16" ht="18.75" x14ac:dyDescent="0.25">
      <c r="A6" s="10">
        <f t="shared" ca="1" si="0"/>
        <v>46146.522796180601</v>
      </c>
      <c r="B6" s="5" t="s">
        <v>75</v>
      </c>
      <c r="C6" s="11">
        <v>0.52289351851851895</v>
      </c>
      <c r="D6" s="11" t="s">
        <v>62</v>
      </c>
      <c r="E6" s="11">
        <v>0.62682870370370403</v>
      </c>
      <c r="F6" s="12">
        <f t="shared" si="1"/>
        <v>2.4944444444444418</v>
      </c>
      <c r="G6" s="13">
        <f t="shared" si="2"/>
        <v>2.4944444444444418</v>
      </c>
      <c r="H6" s="13">
        <f t="shared" si="3"/>
        <v>0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46146.710029861097</v>
      </c>
      <c r="B7" s="5" t="s">
        <v>75</v>
      </c>
      <c r="C7" s="11">
        <v>0.71002314814814804</v>
      </c>
      <c r="D7" s="11" t="s">
        <v>62</v>
      </c>
      <c r="E7" s="11">
        <v>0.78965277777777798</v>
      </c>
      <c r="F7" s="12">
        <f t="shared" si="1"/>
        <v>1.9111111111111185</v>
      </c>
      <c r="G7" s="13">
        <f t="shared" si="2"/>
        <v>1.9111111111111185</v>
      </c>
      <c r="H7" s="13">
        <f t="shared" si="3"/>
        <v>0</v>
      </c>
      <c r="I7" s="21" t="s">
        <v>68</v>
      </c>
      <c r="J7" s="22">
        <f>SUMIF(B:B,"地面席",F:F)</f>
        <v>1.9805555555555763</v>
      </c>
      <c r="K7" s="23">
        <f>SUMIF(B:B,"地面席",G:G)</f>
        <v>0</v>
      </c>
      <c r="L7" s="23">
        <f>SUMIF(B:B,"地面席",H:H)</f>
        <v>1.9805555555555763</v>
      </c>
      <c r="M7" s="19"/>
    </row>
    <row r="8" spans="1:16" ht="18.75" x14ac:dyDescent="0.25">
      <c r="A8" s="10">
        <f t="shared" ca="1" si="0"/>
        <v>46146.811068750001</v>
      </c>
      <c r="B8" s="5" t="s">
        <v>75</v>
      </c>
      <c r="C8" s="11">
        <v>0.81106481481481496</v>
      </c>
      <c r="D8" s="11" t="s">
        <v>62</v>
      </c>
      <c r="E8" s="11">
        <v>0.82297453703703705</v>
      </c>
      <c r="F8" s="12">
        <f t="shared" si="1"/>
        <v>0.28583333333333005</v>
      </c>
      <c r="G8" s="13">
        <f t="shared" si="2"/>
        <v>0.28583333333333005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46147.522239699101</v>
      </c>
      <c r="B9" s="5" t="s">
        <v>82</v>
      </c>
      <c r="C9" s="11">
        <v>0.52223379629629596</v>
      </c>
      <c r="D9" s="11" t="s">
        <v>62</v>
      </c>
      <c r="E9" s="11">
        <v>0.65398148148148105</v>
      </c>
      <c r="F9" s="12">
        <f t="shared" si="1"/>
        <v>3.1619444444444422</v>
      </c>
      <c r="G9" s="13">
        <f t="shared" si="2"/>
        <v>3.1619444444444422</v>
      </c>
      <c r="H9" s="13">
        <f t="shared" si="3"/>
        <v>0</v>
      </c>
      <c r="I9" s="21" t="s">
        <v>70</v>
      </c>
      <c r="J9" s="22">
        <f>SUMIF(B:B,"航班调度席",F:F)</f>
        <v>6.9561111111111114</v>
      </c>
      <c r="K9" s="23">
        <f>SUMIF(B:B,"航班调度席",G:G)</f>
        <v>6.9561111111111114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46147.680154166701</v>
      </c>
      <c r="B10" s="5" t="s">
        <v>82</v>
      </c>
      <c r="C10" s="11">
        <v>0.68020833333333297</v>
      </c>
      <c r="D10" s="11" t="s">
        <v>62</v>
      </c>
      <c r="E10" s="11">
        <v>0.755659722222222</v>
      </c>
      <c r="F10" s="12">
        <f t="shared" si="1"/>
        <v>1.8108333333333366</v>
      </c>
      <c r="G10" s="13">
        <f t="shared" si="2"/>
        <v>1.8108333333333366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46150.952610879598</v>
      </c>
      <c r="B11" s="5" t="s">
        <v>75</v>
      </c>
      <c r="C11" s="11">
        <v>0.95260416666666703</v>
      </c>
      <c r="D11" s="11" t="s">
        <v>62</v>
      </c>
      <c r="E11" s="11">
        <v>0.105324074074074</v>
      </c>
      <c r="F11" s="12">
        <f t="shared" si="1"/>
        <v>3.6652777777777676</v>
      </c>
      <c r="G11" s="13">
        <f t="shared" si="2"/>
        <v>1.1374999999999917</v>
      </c>
      <c r="H11" s="13">
        <f t="shared" si="3"/>
        <v>2.5277777777777759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46152.140070254602</v>
      </c>
      <c r="B12" s="5" t="s">
        <v>84</v>
      </c>
      <c r="C12" s="11">
        <v>0.140069444444444</v>
      </c>
      <c r="D12" s="11" t="s">
        <v>62</v>
      </c>
      <c r="E12" s="11">
        <v>0.22259259259259301</v>
      </c>
      <c r="F12" s="12">
        <f t="shared" si="1"/>
        <v>1.9805555555555763</v>
      </c>
      <c r="G12" s="13">
        <f t="shared" si="2"/>
        <v>0</v>
      </c>
      <c r="H12" s="13">
        <f t="shared" si="3"/>
        <v>1.9805555555555763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46155.142297453698</v>
      </c>
      <c r="B13" s="5" t="s">
        <v>82</v>
      </c>
      <c r="C13" s="11">
        <v>0.14229166666666701</v>
      </c>
      <c r="D13" s="11" t="s">
        <v>62</v>
      </c>
      <c r="E13" s="11">
        <v>0.24975694444444399</v>
      </c>
      <c r="F13" s="12">
        <f t="shared" si="1"/>
        <v>2.5791666666666475</v>
      </c>
      <c r="G13" s="13">
        <f t="shared" si="2"/>
        <v>0</v>
      </c>
      <c r="H13" s="13">
        <f t="shared" si="3"/>
        <v>2.5791666666666475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46155.2497934028</v>
      </c>
      <c r="B14" s="5" t="s">
        <v>75</v>
      </c>
      <c r="C14" s="11">
        <v>0.24979166666666699</v>
      </c>
      <c r="D14" s="11" t="s">
        <v>62</v>
      </c>
      <c r="E14" s="11">
        <v>0.29873842592592598</v>
      </c>
      <c r="F14" s="12">
        <f t="shared" si="1"/>
        <v>1.1747222222222156</v>
      </c>
      <c r="G14" s="13">
        <f t="shared" si="2"/>
        <v>0</v>
      </c>
      <c r="H14" s="13">
        <f t="shared" si="3"/>
        <v>1.1747222222222156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46155.952939699098</v>
      </c>
      <c r="B15" s="5" t="s">
        <v>79</v>
      </c>
      <c r="C15" s="11">
        <v>0.95293981481481504</v>
      </c>
      <c r="D15" s="11" t="s">
        <v>62</v>
      </c>
      <c r="E15" s="11">
        <v>0.10875</v>
      </c>
      <c r="F15" s="12">
        <f t="shared" si="1"/>
        <v>3.7394444444444392</v>
      </c>
      <c r="G15" s="13">
        <f t="shared" si="2"/>
        <v>1.1294444444444394</v>
      </c>
      <c r="H15" s="13">
        <f t="shared" si="3"/>
        <v>2.61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46158.357615740701</v>
      </c>
      <c r="B16" s="5" t="s">
        <v>82</v>
      </c>
      <c r="C16" s="11">
        <v>0.35761574074074098</v>
      </c>
      <c r="D16" s="11" t="s">
        <v>62</v>
      </c>
      <c r="E16" s="11">
        <v>0.53026620370370403</v>
      </c>
      <c r="F16" s="12">
        <f t="shared" si="1"/>
        <v>4.1436111111111131</v>
      </c>
      <c r="G16" s="13">
        <f t="shared" si="2"/>
        <v>4.1436111111111131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46158.621977199102</v>
      </c>
      <c r="B17" s="5" t="s">
        <v>61</v>
      </c>
      <c r="C17" s="11">
        <v>0.62196759259259304</v>
      </c>
      <c r="D17" s="11" t="s">
        <v>62</v>
      </c>
      <c r="E17" s="11">
        <v>0.64873842592592601</v>
      </c>
      <c r="F17" s="12">
        <f t="shared" si="1"/>
        <v>0.64249999999999119</v>
      </c>
      <c r="G17" s="13">
        <f t="shared" si="2"/>
        <v>0.64249999999999119</v>
      </c>
      <c r="H17" s="13">
        <f t="shared" si="3"/>
        <v>0</v>
      </c>
      <c r="I17" s="35" t="s">
        <v>77</v>
      </c>
      <c r="J17" s="36">
        <f>J4+J5+J6+J7+J10</f>
        <v>51.115555555555495</v>
      </c>
      <c r="K17" s="37">
        <f>K4+K5+K6+K7+K10</f>
        <v>28.617777777777782</v>
      </c>
      <c r="L17" s="38">
        <f>L4+L5+L6+L7+L10</f>
        <v>22.497777777777713</v>
      </c>
      <c r="M17" s="39"/>
    </row>
    <row r="18" spans="1:13" ht="20.25" x14ac:dyDescent="0.25">
      <c r="A18" s="10">
        <f t="shared" ca="1" si="0"/>
        <v>46158.648783333301</v>
      </c>
      <c r="B18" s="5" t="s">
        <v>81</v>
      </c>
      <c r="C18" s="11">
        <v>0.64877314814814802</v>
      </c>
      <c r="D18" s="11" t="s">
        <v>62</v>
      </c>
      <c r="E18" s="11">
        <v>0.77938657407407397</v>
      </c>
      <c r="F18" s="12">
        <f t="shared" si="1"/>
        <v>3.1347222222222229</v>
      </c>
      <c r="G18" s="13">
        <f t="shared" si="2"/>
        <v>3.1347222222222229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46159.295103819401</v>
      </c>
      <c r="B19" s="5" t="s">
        <v>75</v>
      </c>
      <c r="C19" s="11">
        <v>0.295104166666667</v>
      </c>
      <c r="D19" s="11" t="s">
        <v>62</v>
      </c>
      <c r="E19" s="11">
        <v>0.43778935185185203</v>
      </c>
      <c r="F19" s="12">
        <f t="shared" si="1"/>
        <v>3.4244444444444406</v>
      </c>
      <c r="G19" s="13">
        <f t="shared" si="2"/>
        <v>2.5069444444444571</v>
      </c>
      <c r="H19" s="13">
        <f t="shared" si="3"/>
        <v>0.91749999999998355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46159.648701967599</v>
      </c>
      <c r="B20" s="5" t="s">
        <v>79</v>
      </c>
      <c r="C20" s="11">
        <v>0.64869212962962997</v>
      </c>
      <c r="D20" s="11" t="s">
        <v>62</v>
      </c>
      <c r="E20" s="11">
        <v>0.73707175925925905</v>
      </c>
      <c r="F20" s="12">
        <f t="shared" si="1"/>
        <v>2.1211111111110981</v>
      </c>
      <c r="G20" s="13">
        <f t="shared" si="2"/>
        <v>2.1211111111110981</v>
      </c>
      <c r="H20" s="13">
        <f t="shared" si="3"/>
        <v>0</v>
      </c>
      <c r="I20" s="40" t="s">
        <v>80</v>
      </c>
      <c r="J20" s="65">
        <f>J16+J17+J18+J19</f>
        <v>51.115555555555495</v>
      </c>
      <c r="K20" s="66"/>
      <c r="L20" s="67"/>
      <c r="M20" s="41"/>
    </row>
    <row r="21" spans="1:13" ht="20.25" x14ac:dyDescent="0.25">
      <c r="A21" s="10">
        <f t="shared" ca="1" si="0"/>
        <v>46162.952893055597</v>
      </c>
      <c r="B21" s="5" t="s">
        <v>82</v>
      </c>
      <c r="C21" s="11">
        <v>0.95288194444444396</v>
      </c>
      <c r="D21" s="11" t="s">
        <v>62</v>
      </c>
      <c r="E21" s="11">
        <v>0.12619212962963</v>
      </c>
      <c r="F21" s="12">
        <f t="shared" si="1"/>
        <v>4.1594444444444649</v>
      </c>
      <c r="G21" s="13">
        <f t="shared" si="2"/>
        <v>1.1308333333333449</v>
      </c>
      <c r="H21" s="13">
        <f t="shared" si="3"/>
        <v>3.02861111111112</v>
      </c>
      <c r="I21" s="42" t="s">
        <v>4</v>
      </c>
      <c r="J21" s="43">
        <f>SUM(J8:J9)</f>
        <v>6.9561111111111114</v>
      </c>
      <c r="K21" s="37">
        <f>SUM(K8:K9)</f>
        <v>6.9561111111111114</v>
      </c>
      <c r="L21" s="38">
        <f>SUM(L8:L9)</f>
        <v>0</v>
      </c>
      <c r="M21" s="44"/>
    </row>
    <row r="22" spans="1:13" ht="18.75" x14ac:dyDescent="0.15">
      <c r="A22" s="10">
        <f t="shared" ca="1" si="0"/>
        <v>46164.138634606497</v>
      </c>
      <c r="B22" s="5" t="s">
        <v>79</v>
      </c>
      <c r="C22" s="11">
        <v>0.13863425925925901</v>
      </c>
      <c r="D22" s="11" t="s">
        <v>62</v>
      </c>
      <c r="E22" s="11">
        <v>0.23819444444444399</v>
      </c>
      <c r="F22" s="12">
        <f t="shared" si="1"/>
        <v>2.3894444444444396</v>
      </c>
      <c r="G22" s="13">
        <f t="shared" si="2"/>
        <v>0</v>
      </c>
      <c r="H22" s="13">
        <f t="shared" si="3"/>
        <v>2.3894444444444396</v>
      </c>
      <c r="I22"/>
      <c r="J22"/>
    </row>
    <row r="23" spans="1:13" ht="18.75" x14ac:dyDescent="0.15">
      <c r="A23" s="10">
        <f t="shared" ca="1" si="0"/>
        <v>46164.238368981503</v>
      </c>
      <c r="B23" s="5" t="s">
        <v>81</v>
      </c>
      <c r="C23" s="11">
        <v>0.23836805555555601</v>
      </c>
      <c r="D23" s="11" t="s">
        <v>62</v>
      </c>
      <c r="E23" s="11">
        <v>0.30038194444444399</v>
      </c>
      <c r="F23" s="12">
        <f t="shared" si="1"/>
        <v>1.4883333333333115</v>
      </c>
      <c r="G23" s="13">
        <f t="shared" si="2"/>
        <v>0</v>
      </c>
      <c r="H23" s="13">
        <f t="shared" si="3"/>
        <v>1.4883333333333115</v>
      </c>
      <c r="I23"/>
      <c r="J23"/>
    </row>
    <row r="24" spans="1:13" ht="18.75" x14ac:dyDescent="0.15">
      <c r="A24" s="10">
        <f t="shared" ca="1" si="0"/>
        <v>46166.354748726902</v>
      </c>
      <c r="B24" s="5" t="s">
        <v>79</v>
      </c>
      <c r="C24" s="11">
        <v>0.35474537037037002</v>
      </c>
      <c r="D24" s="11" t="s">
        <v>62</v>
      </c>
      <c r="E24" s="11">
        <v>0.444351851851852</v>
      </c>
      <c r="F24" s="12">
        <f t="shared" si="1"/>
        <v>2.1505555555555675</v>
      </c>
      <c r="G24" s="13">
        <f t="shared" si="2"/>
        <v>2.1505555555555675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46166.444405555601</v>
      </c>
      <c r="B25" s="5" t="s">
        <v>82</v>
      </c>
      <c r="C25" s="11">
        <v>0.44439814814814799</v>
      </c>
      <c r="D25" s="11" t="s">
        <v>62</v>
      </c>
      <c r="E25" s="11">
        <v>0.49082175925925903</v>
      </c>
      <c r="F25" s="12">
        <f t="shared" si="1"/>
        <v>1.114166666666665</v>
      </c>
      <c r="G25" s="13">
        <f t="shared" si="2"/>
        <v>1.114166666666665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46166.4908715278</v>
      </c>
      <c r="B26" s="5" t="s">
        <v>79</v>
      </c>
      <c r="C26" s="11">
        <v>0.49086805555555602</v>
      </c>
      <c r="D26" s="11" t="s">
        <v>62</v>
      </c>
      <c r="E26" s="11">
        <v>0.50689814814814804</v>
      </c>
      <c r="F26" s="12">
        <f t="shared" si="1"/>
        <v>0.38472222222220864</v>
      </c>
      <c r="G26" s="13">
        <f t="shared" si="2"/>
        <v>0.38472222222220864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46166.568744560202</v>
      </c>
      <c r="B27" s="5" t="s">
        <v>61</v>
      </c>
      <c r="C27" s="11">
        <v>0.56873842592592605</v>
      </c>
      <c r="D27" s="11" t="s">
        <v>62</v>
      </c>
      <c r="E27" s="11">
        <v>0.73219907407407403</v>
      </c>
      <c r="F27" s="12">
        <f t="shared" si="1"/>
        <v>3.9230555555555515</v>
      </c>
      <c r="G27" s="13">
        <f t="shared" si="2"/>
        <v>3.9230555555555515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42"/>
  <sheetViews>
    <sheetView zoomScale="85" zoomScaleNormal="85" workbookViewId="0">
      <selection activeCell="D33" sqref="D33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46143.141427083297</v>
      </c>
      <c r="B3" s="5" t="s">
        <v>84</v>
      </c>
      <c r="C3" s="11">
        <v>0.14142361111111099</v>
      </c>
      <c r="D3" s="11" t="s">
        <v>62</v>
      </c>
      <c r="E3" s="11">
        <v>0.221481481481481</v>
      </c>
      <c r="F3" s="12">
        <f t="shared" ref="F3:F42" si="1">(IF(E3-C3&lt;0,"24:00"-C3+E3,E3-C3))*24</f>
        <v>1.9213888888888804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1.9213888888888804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46144.005189930598</v>
      </c>
      <c r="B4" s="5" t="s">
        <v>82</v>
      </c>
      <c r="C4" s="11">
        <v>5.1851851851851902E-3</v>
      </c>
      <c r="D4" s="11" t="s">
        <v>62</v>
      </c>
      <c r="E4" s="11">
        <v>7.8240740740740805E-3</v>
      </c>
      <c r="F4" s="12">
        <f t="shared" si="1"/>
        <v>6.3333333333333366E-2</v>
      </c>
      <c r="G4" s="13">
        <f t="shared" si="2"/>
        <v>0</v>
      </c>
      <c r="H4" s="13">
        <f t="shared" si="3"/>
        <v>6.3333333333333366E-2</v>
      </c>
      <c r="I4" s="21" t="s">
        <v>65</v>
      </c>
      <c r="J4" s="22">
        <f>SUMIF(B:B,"西塔台管制席",F:F)+SUMIF(B:B,"东塔台管制席",F:F)</f>
        <v>26.835000000000058</v>
      </c>
      <c r="K4" s="23">
        <f>SUMIF(B:B,"西塔台管制席",G:G)+SUMIF(B:B,"东塔台管制席",G:G)</f>
        <v>20.778611111111161</v>
      </c>
      <c r="L4" s="23">
        <f>SUMIF(B:B,"西塔台管制席",H:H)+SUMIF(B:B,"东塔台管制席",H:H)</f>
        <v>6.0563888888888959</v>
      </c>
      <c r="M4" s="19"/>
    </row>
    <row r="5" spans="1:16" ht="18.75" x14ac:dyDescent="0.25">
      <c r="A5" s="10">
        <f t="shared" ca="1" si="0"/>
        <v>46144.007856944401</v>
      </c>
      <c r="B5" s="5" t="s">
        <v>79</v>
      </c>
      <c r="C5" s="11">
        <v>9.6643518518518493E-3</v>
      </c>
      <c r="D5" s="11" t="s">
        <v>62</v>
      </c>
      <c r="E5" s="11">
        <v>8.3946759259259304E-2</v>
      </c>
      <c r="F5" s="12">
        <f t="shared" si="1"/>
        <v>1.7827777777777789</v>
      </c>
      <c r="G5" s="13">
        <f t="shared" si="2"/>
        <v>0</v>
      </c>
      <c r="H5" s="13">
        <f t="shared" si="3"/>
        <v>1.7827777777777789</v>
      </c>
      <c r="I5" s="21" t="s">
        <v>66</v>
      </c>
      <c r="J5" s="22">
        <f>SUMIF(B:B,"西塔台协调席",F:F)+SUMIF(B:B,"东塔台协调席",F:F)</f>
        <v>37.000833333333325</v>
      </c>
      <c r="K5" s="23">
        <f>SUMIF(B:B,"西塔台协调席",G:G)+SUMIF(B:B,"东塔台协调席",G:G)</f>
        <v>27.127500000000005</v>
      </c>
      <c r="L5" s="23">
        <f>SUMIF(B:B,"西塔台协调席",H:H)+SUMIF(B:B,"东塔台协调席",H:H)</f>
        <v>9.8733333333333135</v>
      </c>
      <c r="M5" s="19"/>
    </row>
    <row r="6" spans="1:16" ht="18.75" x14ac:dyDescent="0.25">
      <c r="A6" s="10">
        <f t="shared" ca="1" si="0"/>
        <v>46147.415295601902</v>
      </c>
      <c r="B6" s="5" t="s">
        <v>81</v>
      </c>
      <c r="C6" s="11">
        <v>0.41528935185185201</v>
      </c>
      <c r="D6" s="11" t="s">
        <v>62</v>
      </c>
      <c r="E6" s="11">
        <v>0.52910879629629604</v>
      </c>
      <c r="F6" s="12">
        <f t="shared" si="1"/>
        <v>2.7316666666666567</v>
      </c>
      <c r="G6" s="13">
        <f t="shared" si="2"/>
        <v>2.7316666666666567</v>
      </c>
      <c r="H6" s="13">
        <f t="shared" si="3"/>
        <v>0</v>
      </c>
      <c r="I6" s="21" t="s">
        <v>67</v>
      </c>
      <c r="J6" s="22">
        <f>SUMIF(B:B,"放行席",F:F)</f>
        <v>2.5533333333333363</v>
      </c>
      <c r="K6" s="23">
        <f>SUMIF(B:B,"放行席",G:G)</f>
        <v>0</v>
      </c>
      <c r="L6" s="23">
        <f>SUMIF(B:B,"放行席",H:H)</f>
        <v>2.5533333333333363</v>
      </c>
      <c r="M6" s="19"/>
    </row>
    <row r="7" spans="1:16" ht="18.75" x14ac:dyDescent="0.25">
      <c r="A7" s="10">
        <f t="shared" ca="1" si="0"/>
        <v>46147.547949768501</v>
      </c>
      <c r="B7" s="5" t="s">
        <v>61</v>
      </c>
      <c r="C7" s="11">
        <v>0.54793981481481502</v>
      </c>
      <c r="D7" s="11" t="s">
        <v>62</v>
      </c>
      <c r="E7" s="11">
        <v>0.59406250000000005</v>
      </c>
      <c r="F7" s="12">
        <f t="shared" si="1"/>
        <v>1.1069444444444407</v>
      </c>
      <c r="G7" s="13">
        <f t="shared" si="2"/>
        <v>1.1069444444444407</v>
      </c>
      <c r="H7" s="13">
        <f t="shared" si="3"/>
        <v>0</v>
      </c>
      <c r="I7" s="21" t="s">
        <v>68</v>
      </c>
      <c r="J7" s="22">
        <f>SUMIF(B:B,"地面席",F:F)</f>
        <v>4.4158333333333202</v>
      </c>
      <c r="K7" s="23">
        <f>SUMIF(B:B,"地面席",G:G)</f>
        <v>0</v>
      </c>
      <c r="L7" s="23">
        <f>SUMIF(B:B,"地面席",H:H)</f>
        <v>4.4158333333333202</v>
      </c>
      <c r="M7" s="19"/>
    </row>
    <row r="8" spans="1:16" ht="18.75" x14ac:dyDescent="0.25">
      <c r="A8" s="10">
        <f t="shared" ca="1" si="0"/>
        <v>46147.876162731503</v>
      </c>
      <c r="B8" s="5" t="s">
        <v>82</v>
      </c>
      <c r="C8" s="11">
        <v>0.876157407407407</v>
      </c>
      <c r="D8" s="11" t="s">
        <v>62</v>
      </c>
      <c r="E8" s="11">
        <v>0.95912037037037001</v>
      </c>
      <c r="F8" s="12">
        <f t="shared" si="1"/>
        <v>1.9911111111111124</v>
      </c>
      <c r="G8" s="13">
        <f t="shared" si="2"/>
        <v>1.9911111111111124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46148.289827314802</v>
      </c>
      <c r="B9" s="5" t="s">
        <v>81</v>
      </c>
      <c r="C9" s="11">
        <v>0.28982638888888901</v>
      </c>
      <c r="D9" s="11" t="s">
        <v>62</v>
      </c>
      <c r="E9" s="11">
        <v>0.30281249999999998</v>
      </c>
      <c r="F9" s="12">
        <f t="shared" si="1"/>
        <v>0.31166666666666343</v>
      </c>
      <c r="G9" s="13">
        <f t="shared" si="2"/>
        <v>0</v>
      </c>
      <c r="H9" s="13">
        <f t="shared" si="3"/>
        <v>0.31166666666666343</v>
      </c>
      <c r="I9" s="21" t="s">
        <v>70</v>
      </c>
      <c r="J9" s="22">
        <f>SUMIF(B:B,"航班调度席",F:F)</f>
        <v>3.6772222222222331</v>
      </c>
      <c r="K9" s="23">
        <f>SUMIF(B:B,"航班调度席",G:G)</f>
        <v>3.6772222222222331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46148.302848263898</v>
      </c>
      <c r="B10" s="5" t="s">
        <v>75</v>
      </c>
      <c r="C10" s="11">
        <v>0.30284722222222199</v>
      </c>
      <c r="D10" s="11" t="s">
        <v>62</v>
      </c>
      <c r="E10" s="11">
        <v>0.36665509259259299</v>
      </c>
      <c r="F10" s="12">
        <f t="shared" si="1"/>
        <v>1.531388888888904</v>
      </c>
      <c r="G10" s="13">
        <f t="shared" si="2"/>
        <v>0.79972222222224021</v>
      </c>
      <c r="H10" s="13">
        <f t="shared" si="3"/>
        <v>0.7316666666666638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46152.156112962999</v>
      </c>
      <c r="B11" s="5" t="s">
        <v>79</v>
      </c>
      <c r="C11" s="11">
        <v>0.15611111111111101</v>
      </c>
      <c r="D11" s="11" t="s">
        <v>62</v>
      </c>
      <c r="E11" s="11">
        <v>0.30322916666666699</v>
      </c>
      <c r="F11" s="12">
        <f t="shared" si="1"/>
        <v>3.5308333333333435</v>
      </c>
      <c r="G11" s="13">
        <f t="shared" si="2"/>
        <v>0</v>
      </c>
      <c r="H11" s="13">
        <f t="shared" si="3"/>
        <v>3.5308333333333435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46155.126061574098</v>
      </c>
      <c r="B12" s="5" t="s">
        <v>83</v>
      </c>
      <c r="C12" s="11">
        <v>0.12605324074074101</v>
      </c>
      <c r="D12" s="11" t="s">
        <v>62</v>
      </c>
      <c r="E12" s="11">
        <v>0.23244212962963001</v>
      </c>
      <c r="F12" s="12">
        <f t="shared" si="1"/>
        <v>2.5533333333333363</v>
      </c>
      <c r="G12" s="13">
        <f t="shared" si="2"/>
        <v>0</v>
      </c>
      <c r="H12" s="13">
        <f t="shared" si="3"/>
        <v>2.5533333333333363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46156.003267939799</v>
      </c>
      <c r="B13" s="5" t="s">
        <v>81</v>
      </c>
      <c r="C13" s="11">
        <v>3.26388888888889E-3</v>
      </c>
      <c r="D13" s="11" t="s">
        <v>62</v>
      </c>
      <c r="E13" s="11">
        <v>0.103726851851852</v>
      </c>
      <c r="F13" s="12">
        <f t="shared" si="1"/>
        <v>2.411111111111115</v>
      </c>
      <c r="G13" s="13">
        <f t="shared" si="2"/>
        <v>0</v>
      </c>
      <c r="H13" s="13">
        <f t="shared" si="3"/>
        <v>2.411111111111115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46156.103757638899</v>
      </c>
      <c r="B14" s="5" t="s">
        <v>75</v>
      </c>
      <c r="C14" s="11">
        <v>0.10375</v>
      </c>
      <c r="D14" s="11" t="s">
        <v>62</v>
      </c>
      <c r="E14" s="11">
        <v>0.148935185185185</v>
      </c>
      <c r="F14" s="12">
        <f t="shared" si="1"/>
        <v>1.0844444444444403</v>
      </c>
      <c r="G14" s="13">
        <f t="shared" si="2"/>
        <v>0</v>
      </c>
      <c r="H14" s="13">
        <f t="shared" si="3"/>
        <v>1.0844444444444403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46158.357241203703</v>
      </c>
      <c r="B15" s="5" t="s">
        <v>81</v>
      </c>
      <c r="C15" s="11">
        <v>0.35723379629629598</v>
      </c>
      <c r="D15" s="11" t="s">
        <v>62</v>
      </c>
      <c r="E15" s="11">
        <v>0.53045138888888899</v>
      </c>
      <c r="F15" s="12">
        <f t="shared" si="1"/>
        <v>4.1572222222222326</v>
      </c>
      <c r="G15" s="13">
        <f t="shared" si="2"/>
        <v>4.1572222222222326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46158.855422222201</v>
      </c>
      <c r="B16" s="5" t="s">
        <v>82</v>
      </c>
      <c r="C16" s="11">
        <v>0.85541666666666705</v>
      </c>
      <c r="D16" s="11" t="s">
        <v>62</v>
      </c>
      <c r="E16" s="11">
        <v>0.95925925925925903</v>
      </c>
      <c r="F16" s="12">
        <f t="shared" si="1"/>
        <v>2.4922222222222077</v>
      </c>
      <c r="G16" s="13">
        <f t="shared" si="2"/>
        <v>2.4922222222222077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46159.295049189801</v>
      </c>
      <c r="B17" s="5" t="s">
        <v>79</v>
      </c>
      <c r="C17" s="11">
        <v>0.29504629629629597</v>
      </c>
      <c r="D17" s="11" t="s">
        <v>62</v>
      </c>
      <c r="E17" s="11">
        <v>0.30432870370370402</v>
      </c>
      <c r="F17" s="12">
        <f t="shared" si="1"/>
        <v>0.22277777777779306</v>
      </c>
      <c r="G17" s="13">
        <f t="shared" si="2"/>
        <v>0</v>
      </c>
      <c r="H17" s="13">
        <f t="shared" si="3"/>
        <v>0.22277777777779306</v>
      </c>
      <c r="I17" s="35" t="s">
        <v>77</v>
      </c>
      <c r="J17" s="36">
        <f>J4+J5+J6+J7+J10</f>
        <v>70.805000000000049</v>
      </c>
      <c r="K17" s="37">
        <f>K4+K5+K6+K7+K10</f>
        <v>47.906111111111166</v>
      </c>
      <c r="L17" s="38">
        <f>L4+L5+L6+L7+L10</f>
        <v>22.898888888888866</v>
      </c>
      <c r="M17" s="39"/>
    </row>
    <row r="18" spans="1:13" ht="20.25" x14ac:dyDescent="0.25">
      <c r="A18" s="10">
        <f t="shared" ca="1" si="0"/>
        <v>46159.314309722198</v>
      </c>
      <c r="B18" s="5" t="s">
        <v>79</v>
      </c>
      <c r="C18" s="11">
        <v>0.314305555555556</v>
      </c>
      <c r="D18" s="11" t="s">
        <v>62</v>
      </c>
      <c r="E18" s="11">
        <v>0.434189814814815</v>
      </c>
      <c r="F18" s="12">
        <f t="shared" si="1"/>
        <v>2.8772222222222159</v>
      </c>
      <c r="G18" s="13">
        <f t="shared" si="2"/>
        <v>2.4205555555555684</v>
      </c>
      <c r="H18" s="13">
        <f t="shared" si="3"/>
        <v>0.45666666666664746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46159.5219141204</v>
      </c>
      <c r="B19" s="5" t="s">
        <v>61</v>
      </c>
      <c r="C19" s="11">
        <v>0.52190972222222198</v>
      </c>
      <c r="D19" s="11" t="s">
        <v>62</v>
      </c>
      <c r="E19" s="11">
        <v>0.62900462962963</v>
      </c>
      <c r="F19" s="12">
        <f t="shared" si="1"/>
        <v>2.5702777777777923</v>
      </c>
      <c r="G19" s="13">
        <f t="shared" si="2"/>
        <v>2.5702777777777923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46159.648839930604</v>
      </c>
      <c r="B20" s="5" t="s">
        <v>75</v>
      </c>
      <c r="C20" s="11">
        <v>0.64883101851851899</v>
      </c>
      <c r="D20" s="11" t="s">
        <v>62</v>
      </c>
      <c r="E20" s="11">
        <v>0.7371875</v>
      </c>
      <c r="F20" s="12">
        <f t="shared" si="1"/>
        <v>2.1205555555555442</v>
      </c>
      <c r="G20" s="13">
        <f t="shared" si="2"/>
        <v>2.1205555555555442</v>
      </c>
      <c r="H20" s="13">
        <f t="shared" si="3"/>
        <v>0</v>
      </c>
      <c r="I20" s="40" t="s">
        <v>80</v>
      </c>
      <c r="J20" s="65">
        <f>J16+J17+J18+J19</f>
        <v>70.805000000000049</v>
      </c>
      <c r="K20" s="66"/>
      <c r="L20" s="67"/>
      <c r="M20" s="41"/>
    </row>
    <row r="21" spans="1:13" ht="20.25" x14ac:dyDescent="0.25">
      <c r="A21" s="10">
        <f t="shared" ca="1" si="0"/>
        <v>46162.353827777799</v>
      </c>
      <c r="B21" s="5" t="s">
        <v>82</v>
      </c>
      <c r="C21" s="11">
        <v>0.35381944444444402</v>
      </c>
      <c r="D21" s="11" t="s">
        <v>62</v>
      </c>
      <c r="E21" s="11">
        <v>0.52857638888888903</v>
      </c>
      <c r="F21" s="12">
        <f t="shared" si="1"/>
        <v>4.1941666666666801</v>
      </c>
      <c r="G21" s="13">
        <f t="shared" si="2"/>
        <v>4.1941666666666801</v>
      </c>
      <c r="H21" s="13">
        <f t="shared" si="3"/>
        <v>0</v>
      </c>
      <c r="I21" s="42" t="s">
        <v>4</v>
      </c>
      <c r="J21" s="43">
        <f>SUM(J8:J9)</f>
        <v>3.6772222222222331</v>
      </c>
      <c r="K21" s="37">
        <f>SUM(K8:K9)</f>
        <v>3.6772222222222331</v>
      </c>
      <c r="L21" s="38">
        <f>SUM(L8:L9)</f>
        <v>0</v>
      </c>
      <c r="M21" s="44"/>
    </row>
    <row r="22" spans="1:13" ht="18.75" x14ac:dyDescent="0.15">
      <c r="A22" s="10">
        <f t="shared" ca="1" si="0"/>
        <v>46162.6462986111</v>
      </c>
      <c r="B22" s="5" t="s">
        <v>81</v>
      </c>
      <c r="C22" s="11">
        <v>0.64629629629629604</v>
      </c>
      <c r="D22" s="11" t="s">
        <v>62</v>
      </c>
      <c r="E22" s="11">
        <v>0.73657407407407405</v>
      </c>
      <c r="F22" s="12">
        <f t="shared" si="1"/>
        <v>2.1666666666666723</v>
      </c>
      <c r="G22" s="13">
        <f t="shared" si="2"/>
        <v>2.1666666666666723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46163.293501736101</v>
      </c>
      <c r="B23" s="5" t="s">
        <v>81</v>
      </c>
      <c r="C23" s="11">
        <v>0.29349537037036999</v>
      </c>
      <c r="D23" s="11" t="s">
        <v>62</v>
      </c>
      <c r="E23" s="11">
        <v>0.423032407407407</v>
      </c>
      <c r="F23" s="12">
        <f t="shared" si="1"/>
        <v>3.1088888888888881</v>
      </c>
      <c r="G23" s="13">
        <f t="shared" si="2"/>
        <v>2.1527777777777763</v>
      </c>
      <c r="H23" s="13">
        <f t="shared" si="3"/>
        <v>0.9561111111111118</v>
      </c>
      <c r="I23"/>
      <c r="J23"/>
    </row>
    <row r="24" spans="1:13" ht="18.75" x14ac:dyDescent="0.15">
      <c r="A24" s="10">
        <f t="shared" ca="1" si="0"/>
        <v>46163.626723032401</v>
      </c>
      <c r="B24" s="5" t="s">
        <v>81</v>
      </c>
      <c r="C24" s="11">
        <v>0.62671296296296297</v>
      </c>
      <c r="D24" s="11" t="s">
        <v>62</v>
      </c>
      <c r="E24" s="11">
        <v>0.77761574074074102</v>
      </c>
      <c r="F24" s="12">
        <f t="shared" si="1"/>
        <v>3.6216666666666733</v>
      </c>
      <c r="G24" s="13">
        <f t="shared" si="2"/>
        <v>3.6216666666666733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46163.856146180602</v>
      </c>
      <c r="B25" s="5" t="s">
        <v>82</v>
      </c>
      <c r="C25" s="11">
        <v>0.85614583333333305</v>
      </c>
      <c r="D25" s="11" t="s">
        <v>62</v>
      </c>
      <c r="E25" s="11">
        <v>0.95766203703703701</v>
      </c>
      <c r="F25" s="12">
        <f t="shared" si="1"/>
        <v>2.4363888888888949</v>
      </c>
      <c r="G25" s="13">
        <f t="shared" si="2"/>
        <v>2.4363888888888949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46167.133278240697</v>
      </c>
      <c r="B26" s="5" t="s">
        <v>84</v>
      </c>
      <c r="C26" s="11">
        <v>0.133275462962963</v>
      </c>
      <c r="D26" s="11" t="s">
        <v>62</v>
      </c>
      <c r="E26" s="11">
        <v>0.23721064814814799</v>
      </c>
      <c r="F26" s="12">
        <f t="shared" si="1"/>
        <v>2.49444444444444</v>
      </c>
      <c r="G26" s="13">
        <f t="shared" si="2"/>
        <v>0</v>
      </c>
      <c r="H26" s="13">
        <f t="shared" si="3"/>
        <v>2.49444444444444</v>
      </c>
      <c r="I26"/>
      <c r="J26"/>
    </row>
    <row r="27" spans="1:13" ht="18.75" x14ac:dyDescent="0.15">
      <c r="A27" s="10">
        <f t="shared" ca="1" si="0"/>
        <v>46167.951721527803</v>
      </c>
      <c r="B27" s="5" t="s">
        <v>81</v>
      </c>
      <c r="C27" s="11">
        <v>0.95171296296296304</v>
      </c>
      <c r="D27" s="11" t="s">
        <v>62</v>
      </c>
      <c r="E27" s="11">
        <v>0.144722222222222</v>
      </c>
      <c r="F27" s="12">
        <f t="shared" si="1"/>
        <v>4.6322222222222154</v>
      </c>
      <c r="G27" s="13">
        <f t="shared" si="2"/>
        <v>1.1588888888888871</v>
      </c>
      <c r="H27" s="13">
        <f t="shared" si="3"/>
        <v>3.4733333333333283</v>
      </c>
      <c r="I27"/>
      <c r="J27"/>
    </row>
    <row r="28" spans="1:13" ht="18.75" x14ac:dyDescent="0.15">
      <c r="A28" s="10">
        <f t="shared" ca="1" si="0"/>
        <v>46170.521386921297</v>
      </c>
      <c r="B28" s="5" t="s">
        <v>82</v>
      </c>
      <c r="C28" s="11">
        <v>0.52145833333333302</v>
      </c>
      <c r="D28" s="11" t="s">
        <v>62</v>
      </c>
      <c r="E28" s="11">
        <v>0.69621527777777803</v>
      </c>
      <c r="F28" s="12">
        <f t="shared" si="1"/>
        <v>4.1941666666666801</v>
      </c>
      <c r="G28" s="13">
        <f t="shared" si="2"/>
        <v>4.1941666666666801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46170.771211689796</v>
      </c>
      <c r="B29" s="5" t="s">
        <v>81</v>
      </c>
      <c r="C29" s="11">
        <v>0.77120370370370395</v>
      </c>
      <c r="D29" s="11" t="s">
        <v>62</v>
      </c>
      <c r="E29" s="11">
        <v>0.86099537037036999</v>
      </c>
      <c r="F29" s="12">
        <f t="shared" si="1"/>
        <v>2.1549999999999851</v>
      </c>
      <c r="G29" s="13">
        <f t="shared" si="2"/>
        <v>2.1549999999999851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46171.413041898202</v>
      </c>
      <c r="B30" s="5" t="s">
        <v>81</v>
      </c>
      <c r="C30" s="11">
        <v>0.41303240740740699</v>
      </c>
      <c r="D30" s="11" t="s">
        <v>62</v>
      </c>
      <c r="E30" s="11">
        <v>0.52813657407407399</v>
      </c>
      <c r="F30" s="12">
        <f t="shared" si="1"/>
        <v>2.7625000000000082</v>
      </c>
      <c r="G30" s="13">
        <f t="shared" si="2"/>
        <v>2.7625000000000082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46171.608964004598</v>
      </c>
      <c r="B31" s="5" t="s">
        <v>82</v>
      </c>
      <c r="C31" s="11">
        <v>0.60895833333333305</v>
      </c>
      <c r="D31" s="11" t="s">
        <v>62</v>
      </c>
      <c r="E31" s="11">
        <v>0.73604166666666704</v>
      </c>
      <c r="F31" s="12">
        <f t="shared" si="1"/>
        <v>3.0500000000000158</v>
      </c>
      <c r="G31" s="13">
        <f t="shared" si="2"/>
        <v>3.0500000000000158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46171.8541863426</v>
      </c>
      <c r="B32" s="5" t="s">
        <v>81</v>
      </c>
      <c r="C32" s="11">
        <v>0.854178240740741</v>
      </c>
      <c r="D32" s="11" t="s">
        <v>62</v>
      </c>
      <c r="E32" s="11">
        <v>0.95952546296296304</v>
      </c>
      <c r="F32" s="12">
        <f t="shared" si="1"/>
        <v>2.5283333333333289</v>
      </c>
      <c r="G32" s="13">
        <f t="shared" si="2"/>
        <v>2.5283333333333289</v>
      </c>
      <c r="H32" s="13">
        <f t="shared" si="3"/>
        <v>0</v>
      </c>
      <c r="I32"/>
      <c r="J32"/>
    </row>
    <row r="33" spans="1:11" ht="18.75" x14ac:dyDescent="0.15">
      <c r="A33" s="10">
        <f t="shared" ca="1" si="0"/>
        <v>46172.295599189798</v>
      </c>
      <c r="B33" s="5" t="s">
        <v>81</v>
      </c>
      <c r="C33" s="11">
        <v>0.29562500000000003</v>
      </c>
      <c r="D33" s="11" t="s">
        <v>62</v>
      </c>
      <c r="E33" s="11">
        <v>0.36552083333333302</v>
      </c>
      <c r="F33" s="12">
        <f t="shared" si="1"/>
        <v>1.6774999999999918</v>
      </c>
      <c r="G33" s="13">
        <f t="shared" si="2"/>
        <v>0.77250000000000085</v>
      </c>
      <c r="H33" s="13">
        <f t="shared" si="3"/>
        <v>0.90499999999999092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46143.0210188657</v>
      </c>
      <c r="B3" s="5" t="s">
        <v>64</v>
      </c>
      <c r="C3" s="11">
        <v>1.1574074074074101E-5</v>
      </c>
      <c r="D3" s="11" t="s">
        <v>62</v>
      </c>
      <c r="E3" s="11">
        <v>0.139375</v>
      </c>
      <c r="F3" s="12">
        <f t="shared" ref="F3:F42" si="1">(IF(E3-C3&lt;0,"24:00"-C3+E3,E3-C3))*24</f>
        <v>3.3447222222222224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3.3447222222222224</v>
      </c>
      <c r="I3" s="16" t="s">
        <v>63</v>
      </c>
      <c r="J3" s="17">
        <f>SUMIF(B:B,"带班主任",F:F)</f>
        <v>99.955833333333345</v>
      </c>
      <c r="K3" s="18">
        <f>SUMIF(B:B,"带班主任",G:G)</f>
        <v>60.926111111111148</v>
      </c>
      <c r="L3" s="18">
        <f>SUMIF(B:B,"带班主任",H:H)</f>
        <v>39.029722222222198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46147.307673842603</v>
      </c>
      <c r="B4" s="5" t="s">
        <v>64</v>
      </c>
      <c r="C4" s="11">
        <v>0.30767361111111102</v>
      </c>
      <c r="D4" s="11" t="s">
        <v>62</v>
      </c>
      <c r="E4" s="11">
        <v>0.55192129629629605</v>
      </c>
      <c r="F4" s="12">
        <f t="shared" si="1"/>
        <v>5.8619444444444406</v>
      </c>
      <c r="G4" s="13">
        <f t="shared" si="2"/>
        <v>5.2461111111111141</v>
      </c>
      <c r="H4" s="13">
        <f t="shared" si="3"/>
        <v>0.61583333333332702</v>
      </c>
      <c r="I4" s="21" t="s">
        <v>65</v>
      </c>
      <c r="J4" s="22">
        <f>SUMIF(B:B,"西塔台管制席",F:F)+SUMIF(B:B,"东塔台管制席",F:F)</f>
        <v>3.8558333333333286</v>
      </c>
      <c r="K4" s="23">
        <f>SUMIF(B:B,"西塔台管制席",G:G)+SUMIF(B:B,"东塔台管制席",G:G)</f>
        <v>3.8558333333333286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46147.952816666701</v>
      </c>
      <c r="B5" s="5" t="s">
        <v>64</v>
      </c>
      <c r="C5" s="11">
        <v>0.95281249999999995</v>
      </c>
      <c r="D5" s="11" t="s">
        <v>62</v>
      </c>
      <c r="E5" s="11">
        <v>0.13846064814814801</v>
      </c>
      <c r="F5" s="12">
        <f t="shared" si="1"/>
        <v>4.4555555555555539</v>
      </c>
      <c r="G5" s="13">
        <f t="shared" si="2"/>
        <v>1.1325000000000016</v>
      </c>
      <c r="H5" s="13">
        <f t="shared" si="3"/>
        <v>3.3230555555555523</v>
      </c>
      <c r="I5" s="21" t="s">
        <v>66</v>
      </c>
      <c r="J5" s="22">
        <f>SUMIF(B:B,"西塔台协调席",F:F)+SUMIF(B:B,"东塔台协调席",F:F)</f>
        <v>2.8691666666666649</v>
      </c>
      <c r="K5" s="23">
        <f>SUMIF(B:B,"西塔台协调席",G:G)+SUMIF(B:B,"东塔台协调席",G:G)</f>
        <v>2.8691666666666649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46150.938834490698</v>
      </c>
      <c r="B6" s="5" t="s">
        <v>64</v>
      </c>
      <c r="C6" s="11">
        <v>0.93883101851851902</v>
      </c>
      <c r="D6" s="11" t="s">
        <v>62</v>
      </c>
      <c r="E6" s="11">
        <v>0.13840277777777801</v>
      </c>
      <c r="F6" s="12">
        <f t="shared" si="1"/>
        <v>4.789722222222216</v>
      </c>
      <c r="G6" s="13">
        <f t="shared" si="2"/>
        <v>1.4680555555555435</v>
      </c>
      <c r="H6" s="13">
        <f t="shared" si="3"/>
        <v>3.3216666666666725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46151.539674537002</v>
      </c>
      <c r="B7" s="5" t="s">
        <v>64</v>
      </c>
      <c r="C7" s="11">
        <v>0.53966435185185202</v>
      </c>
      <c r="D7" s="11" t="s">
        <v>62</v>
      </c>
      <c r="E7" s="11">
        <v>0.79865740740740698</v>
      </c>
      <c r="F7" s="12">
        <f t="shared" si="1"/>
        <v>6.2158333333333191</v>
      </c>
      <c r="G7" s="13">
        <f t="shared" si="2"/>
        <v>6.2158333333333191</v>
      </c>
      <c r="H7" s="13">
        <f t="shared" si="3"/>
        <v>0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46152.1275104167</v>
      </c>
      <c r="B8" s="5" t="s">
        <v>64</v>
      </c>
      <c r="C8" s="11">
        <v>0.1275</v>
      </c>
      <c r="D8" s="11" t="s">
        <v>62</v>
      </c>
      <c r="E8" s="11">
        <v>0.30273148148148099</v>
      </c>
      <c r="F8" s="12">
        <f t="shared" si="1"/>
        <v>4.2055555555555433</v>
      </c>
      <c r="G8" s="13">
        <f t="shared" si="2"/>
        <v>0</v>
      </c>
      <c r="H8" s="13">
        <f t="shared" si="3"/>
        <v>4.2055555555555433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46154.355641087997</v>
      </c>
      <c r="B9" s="5" t="s">
        <v>82</v>
      </c>
      <c r="C9" s="11">
        <v>0.35563657407407401</v>
      </c>
      <c r="D9" s="11" t="s">
        <v>62</v>
      </c>
      <c r="E9" s="11">
        <v>0.51629629629629603</v>
      </c>
      <c r="F9" s="12">
        <f t="shared" si="1"/>
        <v>3.8558333333333286</v>
      </c>
      <c r="G9" s="13">
        <f t="shared" si="2"/>
        <v>3.8558333333333286</v>
      </c>
      <c r="H9" s="13">
        <f t="shared" si="3"/>
        <v>0</v>
      </c>
      <c r="I9" s="21" t="s">
        <v>70</v>
      </c>
      <c r="J9" s="22">
        <f>SUMIF(B:B,"航班调度席",F:F)</f>
        <v>2.5502777777777723</v>
      </c>
      <c r="K9" s="23">
        <f>SUMIF(B:B,"航班调度席",G:G)</f>
        <v>0</v>
      </c>
      <c r="L9" s="23">
        <f>SUMIF(B:B,"航班调度席",H:H)</f>
        <v>2.5502777777777723</v>
      </c>
      <c r="M9" s="19"/>
    </row>
    <row r="10" spans="1:16" ht="18.75" x14ac:dyDescent="0.25">
      <c r="A10" s="10">
        <f t="shared" ca="1" si="0"/>
        <v>46154.837360879603</v>
      </c>
      <c r="B10" s="5" t="s">
        <v>81</v>
      </c>
      <c r="C10" s="11">
        <v>0.837361111111111</v>
      </c>
      <c r="D10" s="11" t="s">
        <v>62</v>
      </c>
      <c r="E10" s="11">
        <v>0.95690972222222204</v>
      </c>
      <c r="F10" s="12">
        <f t="shared" si="1"/>
        <v>2.8691666666666649</v>
      </c>
      <c r="G10" s="13">
        <f t="shared" si="2"/>
        <v>2.8691666666666649</v>
      </c>
      <c r="H10" s="13">
        <f t="shared" si="3"/>
        <v>0</v>
      </c>
      <c r="I10" s="21" t="s">
        <v>71</v>
      </c>
      <c r="J10" s="22">
        <f>SUMIF(B:B,"综合协调席",F:F)</f>
        <v>6.0000000000000053E-2</v>
      </c>
      <c r="K10" s="23">
        <f>SUMIF(B:B,"综合协调席",G:G)</f>
        <v>6.0000000000000053E-2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46155.358175694397</v>
      </c>
      <c r="B11" s="5" t="s">
        <v>85</v>
      </c>
      <c r="C11" s="11">
        <v>0.35817129629629602</v>
      </c>
      <c r="D11" s="11" t="s">
        <v>62</v>
      </c>
      <c r="E11" s="11">
        <v>0.36067129629629602</v>
      </c>
      <c r="F11" s="12">
        <f t="shared" si="1"/>
        <v>6.0000000000000053E-2</v>
      </c>
      <c r="G11" s="13">
        <f t="shared" si="2"/>
        <v>6.0000000000000053E-2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46155.541580902798</v>
      </c>
      <c r="B12" s="5" t="s">
        <v>64</v>
      </c>
      <c r="C12" s="11">
        <v>0.54157407407407399</v>
      </c>
      <c r="D12" s="11" t="s">
        <v>62</v>
      </c>
      <c r="E12" s="11">
        <v>0.79910879629629605</v>
      </c>
      <c r="F12" s="12">
        <f t="shared" si="1"/>
        <v>6.1808333333333296</v>
      </c>
      <c r="G12" s="13">
        <f t="shared" si="2"/>
        <v>6.1808333333333296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46156.003155439801</v>
      </c>
      <c r="B13" s="5" t="s">
        <v>61</v>
      </c>
      <c r="C13" s="11">
        <v>3.1481481481481499E-3</v>
      </c>
      <c r="D13" s="11" t="s">
        <v>62</v>
      </c>
      <c r="E13" s="11">
        <v>0.10940972222222201</v>
      </c>
      <c r="F13" s="12">
        <f t="shared" si="1"/>
        <v>2.5502777777777723</v>
      </c>
      <c r="G13" s="13">
        <f t="shared" si="2"/>
        <v>0</v>
      </c>
      <c r="H13" s="13">
        <f t="shared" si="3"/>
        <v>2.5502777777777723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46158.542554629603</v>
      </c>
      <c r="B14" s="5" t="s">
        <v>64</v>
      </c>
      <c r="C14" s="11">
        <v>0.54254629629629603</v>
      </c>
      <c r="D14" s="11" t="s">
        <v>62</v>
      </c>
      <c r="E14" s="11">
        <v>0.79715277777777804</v>
      </c>
      <c r="F14" s="12">
        <f t="shared" si="1"/>
        <v>6.1105555555555684</v>
      </c>
      <c r="G14" s="13">
        <f t="shared" si="2"/>
        <v>6.1105555555555684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46159.1341342593</v>
      </c>
      <c r="B15" s="5" t="s">
        <v>64</v>
      </c>
      <c r="C15" s="11">
        <v>0.13413194444444401</v>
      </c>
      <c r="D15" s="11" t="s">
        <v>62</v>
      </c>
      <c r="E15" s="11">
        <v>0.29990740740740701</v>
      </c>
      <c r="F15" s="12">
        <f t="shared" si="1"/>
        <v>3.9786111111111122</v>
      </c>
      <c r="G15" s="13">
        <f t="shared" si="2"/>
        <v>0</v>
      </c>
      <c r="H15" s="13">
        <f t="shared" si="3"/>
        <v>3.9786111111111122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46159.790907523202</v>
      </c>
      <c r="B16" s="5" t="s">
        <v>64</v>
      </c>
      <c r="C16" s="11">
        <v>0.79090277777777795</v>
      </c>
      <c r="D16" s="11" t="s">
        <v>62</v>
      </c>
      <c r="E16" s="11">
        <v>0.94564814814814802</v>
      </c>
      <c r="F16" s="12">
        <f t="shared" si="1"/>
        <v>3.7138888888888815</v>
      </c>
      <c r="G16" s="13">
        <f t="shared" si="2"/>
        <v>3.7138888888888815</v>
      </c>
      <c r="H16" s="13">
        <f t="shared" si="3"/>
        <v>0</v>
      </c>
      <c r="I16" s="35" t="s">
        <v>63</v>
      </c>
      <c r="J16" s="36">
        <f t="shared" ref="J16:L16" si="4">J3</f>
        <v>99.955833333333345</v>
      </c>
      <c r="K16" s="37">
        <f t="shared" si="4"/>
        <v>60.926111111111148</v>
      </c>
      <c r="L16" s="38">
        <f t="shared" si="4"/>
        <v>39.029722222222198</v>
      </c>
      <c r="M16" s="39"/>
    </row>
    <row r="17" spans="1:13" ht="20.25" x14ac:dyDescent="0.25">
      <c r="A17" s="10">
        <f t="shared" ca="1" si="0"/>
        <v>46160.293459838002</v>
      </c>
      <c r="B17" s="5" t="s">
        <v>64</v>
      </c>
      <c r="C17" s="11">
        <v>0.293449074074074</v>
      </c>
      <c r="D17" s="11" t="s">
        <v>62</v>
      </c>
      <c r="E17" s="11">
        <v>0.364803240740741</v>
      </c>
      <c r="F17" s="12">
        <f t="shared" si="1"/>
        <v>1.7125000000000079</v>
      </c>
      <c r="G17" s="13">
        <f t="shared" si="2"/>
        <v>0.75527777777779237</v>
      </c>
      <c r="H17" s="13">
        <f t="shared" si="3"/>
        <v>0.95722222222221554</v>
      </c>
      <c r="I17" s="35" t="s">
        <v>77</v>
      </c>
      <c r="J17" s="36">
        <f>J4+J5+J6+J7+J10</f>
        <v>6.784999999999993</v>
      </c>
      <c r="K17" s="37">
        <f>K4+K5+K6+K7+K10</f>
        <v>6.784999999999993</v>
      </c>
      <c r="L17" s="38">
        <f>L4+L5+L6+L7+L10</f>
        <v>0</v>
      </c>
      <c r="M17" s="39"/>
    </row>
    <row r="18" spans="1:13" ht="20.25" x14ac:dyDescent="0.25">
      <c r="A18" s="10">
        <f t="shared" ca="1" si="0"/>
        <v>46162.938788310203</v>
      </c>
      <c r="B18" s="5" t="s">
        <v>64</v>
      </c>
      <c r="C18" s="11">
        <v>0.93878472222222198</v>
      </c>
      <c r="D18" s="11" t="s">
        <v>62</v>
      </c>
      <c r="E18" s="11">
        <v>0.13932870370370401</v>
      </c>
      <c r="F18" s="12">
        <f t="shared" si="1"/>
        <v>4.813055555555569</v>
      </c>
      <c r="G18" s="13">
        <f t="shared" si="2"/>
        <v>1.4691666666666725</v>
      </c>
      <c r="H18" s="13">
        <f t="shared" si="3"/>
        <v>3.3438888888888965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46163.544272106497</v>
      </c>
      <c r="B19" s="5" t="s">
        <v>64</v>
      </c>
      <c r="C19" s="11">
        <v>0.54427083333333304</v>
      </c>
      <c r="D19" s="11" t="s">
        <v>62</v>
      </c>
      <c r="E19" s="11">
        <v>0.81093749999999998</v>
      </c>
      <c r="F19" s="12">
        <f t="shared" si="1"/>
        <v>6.4000000000000066</v>
      </c>
      <c r="G19" s="13">
        <f t="shared" si="2"/>
        <v>6.4000000000000066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46164.131090277799</v>
      </c>
      <c r="B20" s="5" t="s">
        <v>64</v>
      </c>
      <c r="C20" s="11">
        <v>0.13108796296296299</v>
      </c>
      <c r="D20" s="11" t="s">
        <v>62</v>
      </c>
      <c r="E20" s="11">
        <v>0.30043981481481502</v>
      </c>
      <c r="F20" s="12">
        <f t="shared" si="1"/>
        <v>4.0644444444444492</v>
      </c>
      <c r="G20" s="13">
        <f t="shared" si="2"/>
        <v>0</v>
      </c>
      <c r="H20" s="13">
        <f t="shared" si="3"/>
        <v>4.0644444444444492</v>
      </c>
      <c r="I20" s="40" t="s">
        <v>80</v>
      </c>
      <c r="J20" s="65">
        <f>J16+J17+J18+J19</f>
        <v>106.74083333333334</v>
      </c>
      <c r="K20" s="66"/>
      <c r="L20" s="67"/>
      <c r="M20" s="41"/>
    </row>
    <row r="21" spans="1:13" ht="20.25" x14ac:dyDescent="0.25">
      <c r="A21" s="10">
        <f t="shared" ca="1" si="0"/>
        <v>46166.349761342601</v>
      </c>
      <c r="B21" s="5" t="s">
        <v>64</v>
      </c>
      <c r="C21" s="11">
        <v>0.349756944444444</v>
      </c>
      <c r="D21" s="11" t="s">
        <v>62</v>
      </c>
      <c r="E21" s="11">
        <v>0.54983796296296295</v>
      </c>
      <c r="F21" s="12">
        <f t="shared" si="1"/>
        <v>4.8019444444444552</v>
      </c>
      <c r="G21" s="13">
        <f t="shared" si="2"/>
        <v>4.8019444444444552</v>
      </c>
      <c r="H21" s="13">
        <f t="shared" si="3"/>
        <v>0</v>
      </c>
      <c r="I21" s="42" t="s">
        <v>4</v>
      </c>
      <c r="J21" s="43">
        <f>SUM(J8:J9)</f>
        <v>2.5502777777777723</v>
      </c>
      <c r="K21" s="37">
        <f>SUM(K8:K9)</f>
        <v>0</v>
      </c>
      <c r="L21" s="38">
        <f>SUM(L8:L9)</f>
        <v>2.5502777777777723</v>
      </c>
      <c r="M21" s="44"/>
    </row>
    <row r="22" spans="1:13" ht="18.75" x14ac:dyDescent="0.15">
      <c r="A22" s="10">
        <f t="shared" ca="1" si="0"/>
        <v>46166.792575115702</v>
      </c>
      <c r="B22" s="5" t="s">
        <v>64</v>
      </c>
      <c r="C22" s="11">
        <v>0.79256944444444499</v>
      </c>
      <c r="D22" s="11" t="s">
        <v>62</v>
      </c>
      <c r="E22" s="11">
        <v>0.94401620370370398</v>
      </c>
      <c r="F22" s="12">
        <f t="shared" si="1"/>
        <v>3.6347222222222157</v>
      </c>
      <c r="G22" s="13">
        <f t="shared" si="2"/>
        <v>3.6347222222222157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46167.290685648099</v>
      </c>
      <c r="B23" s="5" t="s">
        <v>64</v>
      </c>
      <c r="C23" s="11">
        <v>0.29068287037036999</v>
      </c>
      <c r="D23" s="11" t="s">
        <v>62</v>
      </c>
      <c r="E23" s="11">
        <v>0.54881944444444397</v>
      </c>
      <c r="F23" s="12">
        <f t="shared" si="1"/>
        <v>6.1952777777777754</v>
      </c>
      <c r="G23" s="13">
        <f t="shared" si="2"/>
        <v>5.1716666666666633</v>
      </c>
      <c r="H23" s="13">
        <f t="shared" si="3"/>
        <v>1.0236111111111117</v>
      </c>
      <c r="I23"/>
      <c r="J23"/>
    </row>
    <row r="24" spans="1:13" ht="18.75" x14ac:dyDescent="0.15">
      <c r="A24" s="10">
        <f t="shared" ca="1" si="0"/>
        <v>46167.947085185202</v>
      </c>
      <c r="B24" s="5" t="s">
        <v>64</v>
      </c>
      <c r="C24" s="11">
        <v>0.94708333333333306</v>
      </c>
      <c r="D24" s="11" t="s">
        <v>62</v>
      </c>
      <c r="E24" s="11">
        <v>0.145532407407407</v>
      </c>
      <c r="F24" s="12">
        <f t="shared" si="1"/>
        <v>4.7627777777777744</v>
      </c>
      <c r="G24" s="13">
        <f t="shared" si="2"/>
        <v>1.2700000000000067</v>
      </c>
      <c r="H24" s="13">
        <f t="shared" si="3"/>
        <v>3.4927777777777678</v>
      </c>
      <c r="I24"/>
      <c r="J24"/>
    </row>
    <row r="25" spans="1:13" ht="18.75" x14ac:dyDescent="0.15">
      <c r="A25" s="10">
        <f t="shared" ca="1" si="0"/>
        <v>46170.938816666698</v>
      </c>
      <c r="B25" s="5" t="s">
        <v>64</v>
      </c>
      <c r="C25" s="11">
        <v>0.93880787037036995</v>
      </c>
      <c r="D25" s="11" t="s">
        <v>62</v>
      </c>
      <c r="E25" s="11">
        <v>0.137638888888889</v>
      </c>
      <c r="F25" s="12">
        <f t="shared" si="1"/>
        <v>4.7719444444444576</v>
      </c>
      <c r="G25" s="13">
        <f t="shared" si="2"/>
        <v>1.4686111111111213</v>
      </c>
      <c r="H25" s="13">
        <f t="shared" si="3"/>
        <v>3.3033333333333363</v>
      </c>
      <c r="I25"/>
      <c r="J25"/>
    </row>
    <row r="26" spans="1:13" ht="18.75" x14ac:dyDescent="0.15">
      <c r="A26" s="10">
        <f t="shared" ca="1" si="0"/>
        <v>46171.553883564797</v>
      </c>
      <c r="B26" s="5" t="s">
        <v>64</v>
      </c>
      <c r="C26" s="11">
        <v>0.55387731481481495</v>
      </c>
      <c r="D26" s="11" t="s">
        <v>62</v>
      </c>
      <c r="E26" s="11">
        <v>0.79916666666666702</v>
      </c>
      <c r="F26" s="12">
        <f t="shared" si="1"/>
        <v>5.8869444444444499</v>
      </c>
      <c r="G26" s="13">
        <f t="shared" si="2"/>
        <v>5.8869444444444499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46172.130010763904</v>
      </c>
      <c r="B27" s="5" t="s">
        <v>64</v>
      </c>
      <c r="C27" s="11">
        <v>0.13</v>
      </c>
      <c r="D27" s="11" t="s">
        <v>62</v>
      </c>
      <c r="E27" s="11">
        <v>0.29895833333333299</v>
      </c>
      <c r="F27" s="12">
        <f t="shared" si="1"/>
        <v>4.0549999999999917</v>
      </c>
      <c r="G27" s="13">
        <f t="shared" si="2"/>
        <v>0</v>
      </c>
      <c r="H27" s="13">
        <f t="shared" si="3"/>
        <v>4.0549999999999917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42"/>
  <sheetViews>
    <sheetView zoomScale="85" zoomScaleNormal="85" workbookViewId="0">
      <selection activeCell="B16" sqref="B16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46143.293148958299</v>
      </c>
      <c r="B3" s="5" t="s">
        <v>75</v>
      </c>
      <c r="C3" s="11">
        <v>0.29314814814814799</v>
      </c>
      <c r="D3" s="11" t="s">
        <v>62</v>
      </c>
      <c r="E3" s="11">
        <v>0.46304398148148201</v>
      </c>
      <c r="F3" s="12">
        <f t="shared" ref="F3:F42" si="1">(IF(E3-C3&lt;0,"24:00"-C3+E3,E3-C3))*24</f>
        <v>4.0775000000000166</v>
      </c>
      <c r="G3" s="13">
        <f t="shared" ref="G3:G42" si="2">F3-H3</f>
        <v>3.1130555555555768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0.96444444444443977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46143.585138541697</v>
      </c>
      <c r="B4" s="5" t="s">
        <v>75</v>
      </c>
      <c r="C4" s="11">
        <v>0.58513888888888899</v>
      </c>
      <c r="D4" s="11" t="s">
        <v>62</v>
      </c>
      <c r="E4" s="11">
        <v>0.65550925925925896</v>
      </c>
      <c r="F4" s="12">
        <f t="shared" si="1"/>
        <v>1.6888888888888793</v>
      </c>
      <c r="G4" s="13">
        <f t="shared" si="2"/>
        <v>1.6888888888888793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15.13750000000001</v>
      </c>
      <c r="K4" s="23">
        <f>SUMIF(B:B,"西塔台管制席",G:G)+SUMIF(B:B,"东塔台管制席",G:G)</f>
        <v>8.921111111111113</v>
      </c>
      <c r="L4" s="23">
        <f>SUMIF(B:B,"西塔台管制席",H:H)+SUMIF(B:B,"东塔台管制席",H:H)</f>
        <v>6.2163888888888952</v>
      </c>
      <c r="M4" s="19"/>
    </row>
    <row r="5" spans="1:16" ht="18.75" x14ac:dyDescent="0.25">
      <c r="A5" s="10">
        <f t="shared" ca="1" si="0"/>
        <v>46143.678130208304</v>
      </c>
      <c r="B5" s="5" t="s">
        <v>75</v>
      </c>
      <c r="C5" s="11">
        <v>0.67465277777777799</v>
      </c>
      <c r="D5" s="11" t="s">
        <v>62</v>
      </c>
      <c r="E5" s="11">
        <v>0.75497685185185204</v>
      </c>
      <c r="F5" s="12">
        <f t="shared" si="1"/>
        <v>1.9277777777777771</v>
      </c>
      <c r="G5" s="13">
        <f t="shared" si="2"/>
        <v>1.9277777777777771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41.990000000000066</v>
      </c>
      <c r="K5" s="23">
        <f>SUMIF(B:B,"西塔台协调席",G:G)+SUMIF(B:B,"东塔台协调席",G:G)</f>
        <v>33.176944444444516</v>
      </c>
      <c r="L5" s="23">
        <f>SUMIF(B:B,"西塔台协调席",H:H)+SUMIF(B:B,"东塔台协调席",H:H)</f>
        <v>8.8130555555555503</v>
      </c>
      <c r="M5" s="19"/>
    </row>
    <row r="6" spans="1:16" ht="18.75" x14ac:dyDescent="0.25">
      <c r="A6" s="10">
        <f t="shared" ca="1" si="0"/>
        <v>46147.131962847197</v>
      </c>
      <c r="B6" s="5" t="s">
        <v>83</v>
      </c>
      <c r="C6" s="11">
        <v>0.13195601851851901</v>
      </c>
      <c r="D6" s="11" t="s">
        <v>62</v>
      </c>
      <c r="E6" s="11">
        <v>0.263043981481482</v>
      </c>
      <c r="F6" s="12">
        <f t="shared" si="1"/>
        <v>3.1461111111111117</v>
      </c>
      <c r="G6" s="13">
        <f t="shared" si="2"/>
        <v>0</v>
      </c>
      <c r="H6" s="13">
        <f t="shared" si="3"/>
        <v>3.1461111111111117</v>
      </c>
      <c r="I6" s="21" t="s">
        <v>67</v>
      </c>
      <c r="J6" s="22">
        <f>SUMIF(B:B,"放行席",F:F)</f>
        <v>5.7686111111111034</v>
      </c>
      <c r="K6" s="23">
        <f>SUMIF(B:B,"放行席",G:G)</f>
        <v>0</v>
      </c>
      <c r="L6" s="23">
        <f>SUMIF(B:B,"放行席",H:H)</f>
        <v>5.7686111111111034</v>
      </c>
      <c r="M6" s="19"/>
    </row>
    <row r="7" spans="1:16" ht="18.75" x14ac:dyDescent="0.25">
      <c r="A7" s="10">
        <f t="shared" ca="1" si="0"/>
        <v>46147.263340277801</v>
      </c>
      <c r="B7" s="5" t="s">
        <v>81</v>
      </c>
      <c r="C7" s="11">
        <v>0.26333333333333298</v>
      </c>
      <c r="D7" s="11" t="s">
        <v>62</v>
      </c>
      <c r="E7" s="11">
        <v>0.29723379629629598</v>
      </c>
      <c r="F7" s="12">
        <f t="shared" si="1"/>
        <v>0.81361111111111217</v>
      </c>
      <c r="G7" s="13">
        <f t="shared" si="2"/>
        <v>0</v>
      </c>
      <c r="H7" s="13">
        <f t="shared" si="3"/>
        <v>0.81361111111111217</v>
      </c>
      <c r="I7" s="21" t="s">
        <v>68</v>
      </c>
      <c r="J7" s="22">
        <f>SUMIF(B:B,"地面席",F:F)</f>
        <v>2.4550000000000081</v>
      </c>
      <c r="K7" s="23">
        <f>SUMIF(B:B,"地面席",G:G)</f>
        <v>0</v>
      </c>
      <c r="L7" s="23">
        <f>SUMIF(B:B,"地面席",H:H)</f>
        <v>2.4550000000000081</v>
      </c>
      <c r="M7" s="19"/>
    </row>
    <row r="8" spans="1:16" ht="18.75" x14ac:dyDescent="0.25">
      <c r="A8" s="10">
        <f t="shared" ca="1" si="0"/>
        <v>46150.958022569401</v>
      </c>
      <c r="B8" s="5" t="s">
        <v>79</v>
      </c>
      <c r="C8" s="11">
        <v>0.95802083333333299</v>
      </c>
      <c r="D8" s="11" t="s">
        <v>62</v>
      </c>
      <c r="E8" s="11">
        <v>0.111527777777778</v>
      </c>
      <c r="F8" s="12">
        <f t="shared" si="1"/>
        <v>3.6841666666666804</v>
      </c>
      <c r="G8" s="13">
        <f t="shared" si="2"/>
        <v>1.0075000000000083</v>
      </c>
      <c r="H8" s="13">
        <f t="shared" si="3"/>
        <v>2.6766666666666721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46151.417257754598</v>
      </c>
      <c r="B9" s="5" t="s">
        <v>81</v>
      </c>
      <c r="C9" s="11">
        <v>0.417256944444444</v>
      </c>
      <c r="D9" s="11" t="s">
        <v>62</v>
      </c>
      <c r="E9" s="11">
        <v>0.533368055555556</v>
      </c>
      <c r="F9" s="12">
        <f t="shared" si="1"/>
        <v>2.7866666666666879</v>
      </c>
      <c r="G9" s="13">
        <f t="shared" si="2"/>
        <v>2.7866666666666879</v>
      </c>
      <c r="H9" s="13">
        <f t="shared" si="3"/>
        <v>0</v>
      </c>
      <c r="I9" s="21" t="s">
        <v>70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46151.771952314797</v>
      </c>
      <c r="B10" s="5" t="s">
        <v>81</v>
      </c>
      <c r="C10" s="11">
        <v>0.77194444444444399</v>
      </c>
      <c r="D10" s="11" t="s">
        <v>62</v>
      </c>
      <c r="E10" s="11">
        <v>0.86216435185185203</v>
      </c>
      <c r="F10" s="12">
        <f t="shared" si="1"/>
        <v>2.165277777777793</v>
      </c>
      <c r="G10" s="13">
        <f t="shared" si="2"/>
        <v>2.165277777777793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46154.583385416699</v>
      </c>
      <c r="B11" s="5" t="s">
        <v>82</v>
      </c>
      <c r="C11" s="11">
        <v>0.58337962962962997</v>
      </c>
      <c r="D11" s="11" t="s">
        <v>62</v>
      </c>
      <c r="E11" s="11">
        <v>0.75700231481481495</v>
      </c>
      <c r="F11" s="12">
        <f t="shared" si="1"/>
        <v>4.1669444444444395</v>
      </c>
      <c r="G11" s="13">
        <f t="shared" si="2"/>
        <v>4.1669444444444395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46155.293475231498</v>
      </c>
      <c r="B12" s="5" t="s">
        <v>75</v>
      </c>
      <c r="C12" s="11">
        <v>0.29347222222222202</v>
      </c>
      <c r="D12" s="11" t="s">
        <v>62</v>
      </c>
      <c r="E12" s="11">
        <v>0.42400462962962998</v>
      </c>
      <c r="F12" s="12">
        <f t="shared" si="1"/>
        <v>3.132777777777791</v>
      </c>
      <c r="G12" s="13">
        <f t="shared" si="2"/>
        <v>2.176111111111128</v>
      </c>
      <c r="H12" s="13">
        <f t="shared" si="3"/>
        <v>0.956666666666663</v>
      </c>
      <c r="I12" s="27" t="s">
        <v>73</v>
      </c>
      <c r="J12" s="28">
        <f>SUMIF(B:B,"管制教员席",F:F)</f>
        <v>1.8099999999999838</v>
      </c>
      <c r="K12" s="29">
        <f>SUMIF(B:B,"管制教员席",G:G)</f>
        <v>0</v>
      </c>
      <c r="L12" s="29">
        <f>SUMIF(B:B,"管制教员席",H:H)</f>
        <v>1.8099999999999838</v>
      </c>
      <c r="M12" s="19"/>
    </row>
    <row r="13" spans="1:16" ht="18.75" x14ac:dyDescent="0.15">
      <c r="A13" s="10">
        <f t="shared" ca="1" si="0"/>
        <v>46155.5019434028</v>
      </c>
      <c r="B13" s="5" t="s">
        <v>75</v>
      </c>
      <c r="C13" s="11">
        <v>0.50193287037037004</v>
      </c>
      <c r="D13" s="11" t="s">
        <v>62</v>
      </c>
      <c r="E13" s="11">
        <v>0.59047453703703701</v>
      </c>
      <c r="F13" s="12">
        <f t="shared" si="1"/>
        <v>2.1250000000000071</v>
      </c>
      <c r="G13" s="13">
        <f t="shared" si="2"/>
        <v>2.1250000000000071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46155.710304629603</v>
      </c>
      <c r="B14" s="5" t="s">
        <v>75</v>
      </c>
      <c r="C14" s="11">
        <v>0.71030092592592597</v>
      </c>
      <c r="D14" s="11" t="s">
        <v>62</v>
      </c>
      <c r="E14" s="11">
        <v>0.83993055555555596</v>
      </c>
      <c r="F14" s="12">
        <f t="shared" si="1"/>
        <v>3.1111111111111196</v>
      </c>
      <c r="G14" s="13">
        <f t="shared" si="2"/>
        <v>3.1111111111111196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46156.293755208302</v>
      </c>
      <c r="B15" s="5" t="s">
        <v>82</v>
      </c>
      <c r="C15" s="11">
        <v>0.29375000000000001</v>
      </c>
      <c r="D15" s="11" t="s">
        <v>62</v>
      </c>
      <c r="E15" s="11">
        <v>0.36771990740740701</v>
      </c>
      <c r="F15" s="12">
        <f t="shared" si="1"/>
        <v>1.775277777777768</v>
      </c>
      <c r="G15" s="13">
        <f t="shared" si="2"/>
        <v>0.82527777777777667</v>
      </c>
      <c r="H15" s="13">
        <f t="shared" si="3"/>
        <v>0.9499999999999913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46160.1317277778</v>
      </c>
      <c r="B16" s="5" t="s">
        <v>86</v>
      </c>
      <c r="C16" s="11">
        <v>0.13150462962963</v>
      </c>
      <c r="D16" s="11" t="s">
        <v>62</v>
      </c>
      <c r="E16" s="11">
        <v>0.20692129629629599</v>
      </c>
      <c r="F16" s="12">
        <f t="shared" si="1"/>
        <v>1.8099999999999838</v>
      </c>
      <c r="G16" s="13">
        <f t="shared" si="2"/>
        <v>0</v>
      </c>
      <c r="H16" s="13">
        <f t="shared" si="3"/>
        <v>1.8099999999999838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46160.207117245402</v>
      </c>
      <c r="B17" s="5" t="s">
        <v>83</v>
      </c>
      <c r="C17" s="11">
        <v>0.20711805555555601</v>
      </c>
      <c r="D17" s="11" t="s">
        <v>62</v>
      </c>
      <c r="E17" s="11">
        <v>0.21423611111111099</v>
      </c>
      <c r="F17" s="12">
        <f t="shared" si="1"/>
        <v>0.1708333333333194</v>
      </c>
      <c r="G17" s="13">
        <f t="shared" si="2"/>
        <v>0</v>
      </c>
      <c r="H17" s="13">
        <f t="shared" si="3"/>
        <v>0.1708333333333194</v>
      </c>
      <c r="I17" s="35" t="s">
        <v>77</v>
      </c>
      <c r="J17" s="36">
        <f>J4+J5+J6+J7+J10</f>
        <v>65.351111111111194</v>
      </c>
      <c r="K17" s="37">
        <f>K4+K5+K6+K7+K10</f>
        <v>42.098055555555632</v>
      </c>
      <c r="L17" s="38">
        <f>L4+L5+L6+L7+L10</f>
        <v>23.253055555555559</v>
      </c>
      <c r="M17" s="39"/>
    </row>
    <row r="18" spans="1:13" ht="20.25" x14ac:dyDescent="0.25">
      <c r="A18" s="10">
        <f t="shared" ca="1" si="0"/>
        <v>46160.214276041697</v>
      </c>
      <c r="B18" s="5" t="s">
        <v>81</v>
      </c>
      <c r="C18" s="11">
        <v>0.21427083333333299</v>
      </c>
      <c r="D18" s="11" t="s">
        <v>62</v>
      </c>
      <c r="E18" s="11">
        <v>0.300451388888889</v>
      </c>
      <c r="F18" s="12">
        <f t="shared" si="1"/>
        <v>2.068333333333344</v>
      </c>
      <c r="G18" s="13">
        <f t="shared" si="2"/>
        <v>0</v>
      </c>
      <c r="H18" s="13">
        <f t="shared" si="3"/>
        <v>2.068333333333344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46163.131595601903</v>
      </c>
      <c r="B19" s="5" t="s">
        <v>83</v>
      </c>
      <c r="C19" s="11">
        <v>0.13158564814814799</v>
      </c>
      <c r="D19" s="11" t="s">
        <v>62</v>
      </c>
      <c r="E19" s="11">
        <v>0.233738425925926</v>
      </c>
      <c r="F19" s="12">
        <f t="shared" si="1"/>
        <v>2.4516666666666724</v>
      </c>
      <c r="G19" s="13">
        <f t="shared" si="2"/>
        <v>0</v>
      </c>
      <c r="H19" s="13">
        <f t="shared" si="3"/>
        <v>2.4516666666666724</v>
      </c>
      <c r="I19" s="35" t="s">
        <v>78</v>
      </c>
      <c r="J19" s="36">
        <f t="shared" ref="J19:L19" si="6">J12</f>
        <v>1.8099999999999838</v>
      </c>
      <c r="K19" s="37">
        <f t="shared" si="6"/>
        <v>0</v>
      </c>
      <c r="L19" s="38">
        <f t="shared" si="6"/>
        <v>1.8099999999999838</v>
      </c>
      <c r="M19" s="39"/>
    </row>
    <row r="20" spans="1:13" ht="20.25" x14ac:dyDescent="0.15">
      <c r="A20" s="10">
        <f t="shared" ca="1" si="0"/>
        <v>46163.956921643497</v>
      </c>
      <c r="B20" s="5" t="s">
        <v>82</v>
      </c>
      <c r="C20" s="11">
        <v>0.95206018518518498</v>
      </c>
      <c r="D20" s="11" t="s">
        <v>62</v>
      </c>
      <c r="E20" s="11">
        <v>0.107905092592593</v>
      </c>
      <c r="F20" s="12">
        <f t="shared" si="1"/>
        <v>3.7402777777777927</v>
      </c>
      <c r="G20" s="13">
        <f t="shared" si="2"/>
        <v>1.1505555555555609</v>
      </c>
      <c r="H20" s="13">
        <f t="shared" si="3"/>
        <v>2.5897222222222318</v>
      </c>
      <c r="I20" s="40" t="s">
        <v>80</v>
      </c>
      <c r="J20" s="65">
        <f>J16+J17+J18+J19</f>
        <v>67.161111111111182</v>
      </c>
      <c r="K20" s="66"/>
      <c r="L20" s="67"/>
      <c r="M20" s="41"/>
    </row>
    <row r="21" spans="1:13" ht="20.25" x14ac:dyDescent="0.25">
      <c r="A21" s="10">
        <f t="shared" ca="1" si="0"/>
        <v>46166.501680555601</v>
      </c>
      <c r="B21" s="5" t="s">
        <v>75</v>
      </c>
      <c r="C21" s="11">
        <v>0.50167824074074097</v>
      </c>
      <c r="D21" s="11" t="s">
        <v>62</v>
      </c>
      <c r="E21" s="11">
        <v>0.63084490740740695</v>
      </c>
      <c r="F21" s="12">
        <f t="shared" si="1"/>
        <v>3.0999999999999837</v>
      </c>
      <c r="G21" s="13">
        <f t="shared" si="2"/>
        <v>3.0999999999999837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46166.709491087997</v>
      </c>
      <c r="B22" s="5" t="s">
        <v>75</v>
      </c>
      <c r="C22" s="11">
        <v>0.70949074074074103</v>
      </c>
      <c r="D22" s="11" t="s">
        <v>62</v>
      </c>
      <c r="E22" s="11">
        <v>0.80150462962962998</v>
      </c>
      <c r="F22" s="12">
        <f t="shared" si="1"/>
        <v>2.2083333333333348</v>
      </c>
      <c r="G22" s="13">
        <f t="shared" si="2"/>
        <v>2.2083333333333348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46166.883305324103</v>
      </c>
      <c r="B23" s="5" t="s">
        <v>79</v>
      </c>
      <c r="C23" s="11">
        <v>0.88329861111111097</v>
      </c>
      <c r="D23" s="11" t="s">
        <v>62</v>
      </c>
      <c r="E23" s="11">
        <v>0.9559375</v>
      </c>
      <c r="F23" s="12">
        <f t="shared" si="1"/>
        <v>1.7433333333333367</v>
      </c>
      <c r="G23" s="13">
        <f t="shared" si="2"/>
        <v>1.7433333333333367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46167.419385300898</v>
      </c>
      <c r="B24" s="5" t="s">
        <v>81</v>
      </c>
      <c r="C24" s="11">
        <v>0.419375</v>
      </c>
      <c r="D24" s="11" t="s">
        <v>62</v>
      </c>
      <c r="E24" s="11">
        <v>0.53537037037037005</v>
      </c>
      <c r="F24" s="12">
        <f t="shared" si="1"/>
        <v>2.7838888888888813</v>
      </c>
      <c r="G24" s="13">
        <f t="shared" si="2"/>
        <v>2.7838888888888813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46167.545827546302</v>
      </c>
      <c r="B25" s="5" t="s">
        <v>81</v>
      </c>
      <c r="C25" s="11">
        <v>0.54582175925925902</v>
      </c>
      <c r="D25" s="11" t="s">
        <v>62</v>
      </c>
      <c r="E25" s="11">
        <v>0.58771990740740698</v>
      </c>
      <c r="F25" s="12">
        <f t="shared" si="1"/>
        <v>1.0055555555555511</v>
      </c>
      <c r="G25" s="13">
        <f t="shared" si="2"/>
        <v>1.0055555555555511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46167.709854861103</v>
      </c>
      <c r="B26" s="5" t="s">
        <v>81</v>
      </c>
      <c r="C26" s="11">
        <v>0.70984953703703701</v>
      </c>
      <c r="D26" s="11" t="s">
        <v>62</v>
      </c>
      <c r="E26" s="11">
        <v>0.837361111111111</v>
      </c>
      <c r="F26" s="12">
        <f t="shared" si="1"/>
        <v>3.0602777777777757</v>
      </c>
      <c r="G26" s="13">
        <f t="shared" si="2"/>
        <v>3.0602777777777757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46168.292072800898</v>
      </c>
      <c r="B27" s="5" t="s">
        <v>81</v>
      </c>
      <c r="C27" s="11">
        <v>0.29207175925925899</v>
      </c>
      <c r="D27" s="11" t="s">
        <v>62</v>
      </c>
      <c r="E27" s="11">
        <v>0.36447916666666702</v>
      </c>
      <c r="F27" s="12">
        <f t="shared" si="1"/>
        <v>1.7377777777777927</v>
      </c>
      <c r="G27" s="13">
        <f t="shared" si="2"/>
        <v>0.74750000000001693</v>
      </c>
      <c r="H27" s="13">
        <f t="shared" si="3"/>
        <v>0.99027777777777581</v>
      </c>
      <c r="I27"/>
      <c r="J27"/>
    </row>
    <row r="28" spans="1:13" ht="18.75" x14ac:dyDescent="0.15">
      <c r="A28" s="10">
        <f t="shared" ca="1" si="0"/>
        <v>46170.950946643497</v>
      </c>
      <c r="B28" s="5" t="s">
        <v>81</v>
      </c>
      <c r="C28" s="11">
        <v>0.95093749999999999</v>
      </c>
      <c r="D28" s="11" t="s">
        <v>62</v>
      </c>
      <c r="E28" s="11">
        <v>0.12582175925925901</v>
      </c>
      <c r="F28" s="12">
        <f t="shared" si="1"/>
        <v>4.1972222222222166</v>
      </c>
      <c r="G28" s="13">
        <f t="shared" si="2"/>
        <v>1.1775000000000002</v>
      </c>
      <c r="H28" s="13">
        <f t="shared" si="3"/>
        <v>3.0197222222222164</v>
      </c>
      <c r="I28"/>
      <c r="J28"/>
    </row>
    <row r="29" spans="1:13" ht="18.75" x14ac:dyDescent="0.15">
      <c r="A29" s="10">
        <f t="shared" ca="1" si="0"/>
        <v>46171.4623565972</v>
      </c>
      <c r="B29" s="5" t="s">
        <v>79</v>
      </c>
      <c r="C29" s="11">
        <v>0.46234953703703702</v>
      </c>
      <c r="D29" s="11" t="s">
        <v>62</v>
      </c>
      <c r="E29" s="11">
        <v>0.46349537037036997</v>
      </c>
      <c r="F29" s="12">
        <f t="shared" si="1"/>
        <v>2.7499999999990976E-2</v>
      </c>
      <c r="G29" s="13">
        <f t="shared" si="2"/>
        <v>2.7499999999990976E-2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46172.138283333297</v>
      </c>
      <c r="B30" s="5" t="s">
        <v>84</v>
      </c>
      <c r="C30" s="11">
        <v>0.138275462962963</v>
      </c>
      <c r="D30" s="11" t="s">
        <v>62</v>
      </c>
      <c r="E30" s="11">
        <v>0.24056712962963001</v>
      </c>
      <c r="F30" s="12">
        <f t="shared" si="1"/>
        <v>2.4550000000000081</v>
      </c>
      <c r="G30" s="13">
        <f t="shared" si="2"/>
        <v>0</v>
      </c>
      <c r="H30" s="13">
        <f t="shared" si="3"/>
        <v>2.4550000000000081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42"/>
  <sheetViews>
    <sheetView topLeftCell="A7" zoomScale="85" zoomScaleNormal="85" workbookViewId="0">
      <selection activeCell="D32" sqref="D3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46143.020243402803</v>
      </c>
      <c r="B3" s="5" t="s">
        <v>81</v>
      </c>
      <c r="C3" s="11">
        <v>1.1574074074074101E-5</v>
      </c>
      <c r="D3" s="11" t="s">
        <v>62</v>
      </c>
      <c r="E3" s="11">
        <v>9.5509259259259294E-2</v>
      </c>
      <c r="F3" s="12">
        <f t="shared" ref="F3:F42" si="1">(IF(E3-C3&lt;0,"24:00"-C3+E3,E3-C3))*24</f>
        <v>2.2919444444444452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2.2919444444444452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46147.1395358796</v>
      </c>
      <c r="B4" s="5" t="s">
        <v>82</v>
      </c>
      <c r="C4" s="11">
        <v>0.139525462962963</v>
      </c>
      <c r="D4" s="11" t="s">
        <v>62</v>
      </c>
      <c r="E4" s="11">
        <v>0.30003472222222199</v>
      </c>
      <c r="F4" s="12">
        <f t="shared" si="1"/>
        <v>3.852222222222216</v>
      </c>
      <c r="G4" s="13">
        <f t="shared" si="2"/>
        <v>0</v>
      </c>
      <c r="H4" s="13">
        <f t="shared" si="3"/>
        <v>3.852222222222216</v>
      </c>
      <c r="I4" s="21" t="s">
        <v>65</v>
      </c>
      <c r="J4" s="22">
        <f>SUMIF(B:B,"西塔台管制席",F:F)+SUMIF(B:B,"东塔台管制席",F:F)</f>
        <v>40.761944444444445</v>
      </c>
      <c r="K4" s="23">
        <f>SUMIF(B:B,"西塔台管制席",G:G)+SUMIF(B:B,"东塔台管制席",G:G)</f>
        <v>14.845555555555542</v>
      </c>
      <c r="L4" s="23">
        <f>SUMIF(B:B,"西塔台管制席",H:H)+SUMIF(B:B,"东塔台管制席",H:H)</f>
        <v>25.916388888888889</v>
      </c>
      <c r="M4" s="19"/>
    </row>
    <row r="5" spans="1:16" ht="18.75" x14ac:dyDescent="0.25">
      <c r="A5" s="10">
        <f t="shared" ca="1" si="0"/>
        <v>46147.952124536998</v>
      </c>
      <c r="B5" s="5" t="s">
        <v>82</v>
      </c>
      <c r="C5" s="11">
        <v>0.95211805555555595</v>
      </c>
      <c r="D5" s="11" t="s">
        <v>62</v>
      </c>
      <c r="E5" s="11">
        <v>0.146782407407407</v>
      </c>
      <c r="F5" s="12">
        <f t="shared" si="1"/>
        <v>4.6719444444444251</v>
      </c>
      <c r="G5" s="13">
        <f t="shared" si="2"/>
        <v>1.1491666666666571</v>
      </c>
      <c r="H5" s="13">
        <f t="shared" si="3"/>
        <v>3.522777777777768</v>
      </c>
      <c r="I5" s="21" t="s">
        <v>66</v>
      </c>
      <c r="J5" s="22">
        <f>SUMIF(B:B,"西塔台协调席",F:F)+SUMIF(B:B,"东塔台协调席",F:F)</f>
        <v>23.767222222222237</v>
      </c>
      <c r="K5" s="23">
        <f>SUMIF(B:B,"西塔台协调席",G:G)+SUMIF(B:B,"东塔台协调席",G:G)</f>
        <v>14.886944444444469</v>
      </c>
      <c r="L5" s="23">
        <f>SUMIF(B:B,"西塔台协调席",H:H)+SUMIF(B:B,"东塔台协调席",H:H)</f>
        <v>8.8802777777777671</v>
      </c>
      <c r="M5" s="19"/>
    </row>
    <row r="6" spans="1:16" ht="18.75" x14ac:dyDescent="0.25">
      <c r="A6" s="10">
        <f t="shared" ca="1" si="0"/>
        <v>46151.015814583297</v>
      </c>
      <c r="B6" s="5" t="s">
        <v>82</v>
      </c>
      <c r="C6" s="11">
        <v>1.5810185185185201E-2</v>
      </c>
      <c r="D6" s="11" t="s">
        <v>62</v>
      </c>
      <c r="E6" s="11">
        <v>0.14694444444444399</v>
      </c>
      <c r="F6" s="12">
        <f t="shared" si="1"/>
        <v>3.1472222222222106</v>
      </c>
      <c r="G6" s="13">
        <f t="shared" si="2"/>
        <v>0</v>
      </c>
      <c r="H6" s="13">
        <f t="shared" si="3"/>
        <v>3.1472222222222106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46151.418135532404</v>
      </c>
      <c r="B7" s="5" t="s">
        <v>82</v>
      </c>
      <c r="C7" s="11">
        <v>0.41818287037037</v>
      </c>
      <c r="D7" s="11" t="s">
        <v>62</v>
      </c>
      <c r="E7" s="11">
        <v>0.53109953703703705</v>
      </c>
      <c r="F7" s="12">
        <f t="shared" si="1"/>
        <v>2.7100000000000093</v>
      </c>
      <c r="G7" s="13">
        <f t="shared" si="2"/>
        <v>2.7100000000000093</v>
      </c>
      <c r="H7" s="13">
        <f t="shared" si="3"/>
        <v>0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46151.585225347197</v>
      </c>
      <c r="B8" s="5" t="s">
        <v>81</v>
      </c>
      <c r="C8" s="11">
        <v>0.58521990740740704</v>
      </c>
      <c r="D8" s="11" t="s">
        <v>62</v>
      </c>
      <c r="E8" s="11">
        <v>0.71695601851851898</v>
      </c>
      <c r="F8" s="12">
        <f t="shared" si="1"/>
        <v>3.1616666666666866</v>
      </c>
      <c r="G8" s="13">
        <f t="shared" si="2"/>
        <v>3.1616666666666866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46154.362955671299</v>
      </c>
      <c r="B9" s="5" t="s">
        <v>61</v>
      </c>
      <c r="C9" s="11">
        <v>0.362951388888889</v>
      </c>
      <c r="D9" s="11" t="s">
        <v>62</v>
      </c>
      <c r="E9" s="11">
        <v>0.47850694444444403</v>
      </c>
      <c r="F9" s="12">
        <f t="shared" si="1"/>
        <v>2.7733333333333205</v>
      </c>
      <c r="G9" s="13">
        <f t="shared" si="2"/>
        <v>2.7733333333333205</v>
      </c>
      <c r="H9" s="13">
        <f t="shared" si="3"/>
        <v>0</v>
      </c>
      <c r="I9" s="21" t="s">
        <v>70</v>
      </c>
      <c r="J9" s="22">
        <f>SUMIF(B:B,"航班调度席",F:F)</f>
        <v>11.581388888888904</v>
      </c>
      <c r="K9" s="23">
        <f>SUMIF(B:B,"航班调度席",G:G)</f>
        <v>11.581388888888904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46154.509357175899</v>
      </c>
      <c r="B10" s="5" t="s">
        <v>82</v>
      </c>
      <c r="C10" s="11">
        <v>0.50935185185185206</v>
      </c>
      <c r="D10" s="11" t="s">
        <v>62</v>
      </c>
      <c r="E10" s="11">
        <v>0.59134259259259303</v>
      </c>
      <c r="F10" s="12">
        <f t="shared" si="1"/>
        <v>1.9677777777777834</v>
      </c>
      <c r="G10" s="13">
        <f t="shared" si="2"/>
        <v>1.9677777777777834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46154.753459838001</v>
      </c>
      <c r="B11" s="5" t="s">
        <v>82</v>
      </c>
      <c r="C11" s="11">
        <v>0.75320601851851798</v>
      </c>
      <c r="D11" s="11" t="s">
        <v>62</v>
      </c>
      <c r="E11" s="11">
        <v>0.842824074074074</v>
      </c>
      <c r="F11" s="12">
        <f t="shared" si="1"/>
        <v>2.1508333333333445</v>
      </c>
      <c r="G11" s="13">
        <f t="shared" si="2"/>
        <v>2.1508333333333445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46155.418667129597</v>
      </c>
      <c r="B12" s="5" t="s">
        <v>75</v>
      </c>
      <c r="C12" s="11">
        <v>0.41865740740740698</v>
      </c>
      <c r="D12" s="11" t="s">
        <v>62</v>
      </c>
      <c r="E12" s="11">
        <v>0.50908564814814805</v>
      </c>
      <c r="F12" s="12">
        <f t="shared" si="1"/>
        <v>2.1702777777777857</v>
      </c>
      <c r="G12" s="13">
        <f t="shared" si="2"/>
        <v>2.1702777777777857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46155.585093287002</v>
      </c>
      <c r="B13" s="5" t="s">
        <v>75</v>
      </c>
      <c r="C13" s="11">
        <v>0.58509259259259305</v>
      </c>
      <c r="D13" s="11" t="s">
        <v>62</v>
      </c>
      <c r="E13" s="11">
        <v>0.71605324074074095</v>
      </c>
      <c r="F13" s="12">
        <f t="shared" si="1"/>
        <v>3.1430555555555495</v>
      </c>
      <c r="G13" s="13">
        <f t="shared" si="2"/>
        <v>3.1430555555555495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46155.834507060201</v>
      </c>
      <c r="B14" s="5" t="s">
        <v>75</v>
      </c>
      <c r="C14" s="11">
        <v>0.83450231481481496</v>
      </c>
      <c r="D14" s="11" t="s">
        <v>62</v>
      </c>
      <c r="E14" s="11">
        <v>0.95841435185185198</v>
      </c>
      <c r="F14" s="12">
        <f t="shared" si="1"/>
        <v>2.9738888888888884</v>
      </c>
      <c r="G14" s="13">
        <f t="shared" si="2"/>
        <v>2.9738888888888884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46159.140998032402</v>
      </c>
      <c r="B15" s="5" t="s">
        <v>82</v>
      </c>
      <c r="C15" s="11">
        <v>0.14099537037036999</v>
      </c>
      <c r="D15" s="11" t="s">
        <v>62</v>
      </c>
      <c r="E15" s="11">
        <v>0.22184027777777801</v>
      </c>
      <c r="F15" s="12">
        <f t="shared" si="1"/>
        <v>1.9402777777777924</v>
      </c>
      <c r="G15" s="13">
        <f t="shared" si="2"/>
        <v>0</v>
      </c>
      <c r="H15" s="13">
        <f t="shared" si="3"/>
        <v>1.9402777777777924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46159.221816203702</v>
      </c>
      <c r="B16" s="5" t="s">
        <v>75</v>
      </c>
      <c r="C16" s="11">
        <v>0.22180555555555601</v>
      </c>
      <c r="D16" s="11" t="s">
        <v>62</v>
      </c>
      <c r="E16" s="11">
        <v>0.30042824074074098</v>
      </c>
      <c r="F16" s="12">
        <f t="shared" si="1"/>
        <v>1.8869444444444394</v>
      </c>
      <c r="G16" s="13">
        <f t="shared" si="2"/>
        <v>0</v>
      </c>
      <c r="H16" s="13">
        <f t="shared" si="3"/>
        <v>1.8869444444444394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46160.014866088</v>
      </c>
      <c r="B17" s="5" t="s">
        <v>81</v>
      </c>
      <c r="C17" s="11">
        <v>1.37384259259259E-2</v>
      </c>
      <c r="D17" s="11" t="s">
        <v>62</v>
      </c>
      <c r="E17" s="11">
        <v>9.3657407407407398E-2</v>
      </c>
      <c r="F17" s="12">
        <f t="shared" si="1"/>
        <v>1.9180555555555558</v>
      </c>
      <c r="G17" s="13">
        <f t="shared" si="2"/>
        <v>0</v>
      </c>
      <c r="H17" s="13">
        <f t="shared" si="3"/>
        <v>1.9180555555555558</v>
      </c>
      <c r="I17" s="35" t="s">
        <v>77</v>
      </c>
      <c r="J17" s="36">
        <f>J4+J5+J6+J7+J10</f>
        <v>64.529166666666683</v>
      </c>
      <c r="K17" s="37">
        <f>K4+K5+K6+K7+K10</f>
        <v>29.732500000000009</v>
      </c>
      <c r="L17" s="38">
        <f>L4+L5+L6+L7+L10</f>
        <v>34.796666666666653</v>
      </c>
      <c r="M17" s="39"/>
    </row>
    <row r="18" spans="1:13" ht="20.25" x14ac:dyDescent="0.25">
      <c r="A18" s="10">
        <f t="shared" ca="1" si="0"/>
        <v>46160.093689236099</v>
      </c>
      <c r="B18" s="5" t="s">
        <v>79</v>
      </c>
      <c r="C18" s="11">
        <v>9.36805555555556E-2</v>
      </c>
      <c r="D18" s="11" t="s">
        <v>62</v>
      </c>
      <c r="E18" s="11">
        <v>0.14263888888888901</v>
      </c>
      <c r="F18" s="12">
        <f t="shared" si="1"/>
        <v>1.1750000000000018</v>
      </c>
      <c r="G18" s="13">
        <f t="shared" si="2"/>
        <v>0</v>
      </c>
      <c r="H18" s="13">
        <f t="shared" si="3"/>
        <v>1.1750000000000018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46162.423944444403</v>
      </c>
      <c r="B19" s="5" t="s">
        <v>61</v>
      </c>
      <c r="C19" s="11">
        <v>0.42393518518518503</v>
      </c>
      <c r="D19" s="11" t="s">
        <v>62</v>
      </c>
      <c r="E19" s="11">
        <v>0.51688657407407401</v>
      </c>
      <c r="F19" s="12">
        <f t="shared" si="1"/>
        <v>2.2308333333333357</v>
      </c>
      <c r="G19" s="13">
        <f t="shared" si="2"/>
        <v>2.2308333333333357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46162.5423934028</v>
      </c>
      <c r="B20" s="5" t="s">
        <v>61</v>
      </c>
      <c r="C20" s="11">
        <v>0.54238425925925904</v>
      </c>
      <c r="D20" s="11" t="s">
        <v>62</v>
      </c>
      <c r="E20" s="11">
        <v>0.61041666666666705</v>
      </c>
      <c r="F20" s="12">
        <f t="shared" si="1"/>
        <v>1.6327777777777923</v>
      </c>
      <c r="G20" s="13">
        <f t="shared" si="2"/>
        <v>1.6327777777777923</v>
      </c>
      <c r="H20" s="13">
        <f t="shared" si="3"/>
        <v>0</v>
      </c>
      <c r="I20" s="40" t="s">
        <v>80</v>
      </c>
      <c r="J20" s="65">
        <f>J16+J17+J18+J19</f>
        <v>64.529166666666683</v>
      </c>
      <c r="K20" s="66"/>
      <c r="L20" s="67"/>
      <c r="M20" s="41"/>
    </row>
    <row r="21" spans="1:13" ht="20.25" x14ac:dyDescent="0.25">
      <c r="A21" s="10">
        <f t="shared" ca="1" si="0"/>
        <v>46162.6879028935</v>
      </c>
      <c r="B21" s="5" t="s">
        <v>82</v>
      </c>
      <c r="C21" s="11">
        <v>0.68789351851851899</v>
      </c>
      <c r="D21" s="11" t="s">
        <v>62</v>
      </c>
      <c r="E21" s="11">
        <v>0.77920138888888901</v>
      </c>
      <c r="F21" s="12">
        <f t="shared" si="1"/>
        <v>2.1913888888888806</v>
      </c>
      <c r="G21" s="13">
        <f t="shared" si="2"/>
        <v>2.1913888888888806</v>
      </c>
      <c r="H21" s="13">
        <f t="shared" si="3"/>
        <v>0</v>
      </c>
      <c r="I21" s="42" t="s">
        <v>4</v>
      </c>
      <c r="J21" s="43">
        <f>SUM(J8:J9)</f>
        <v>11.581388888888904</v>
      </c>
      <c r="K21" s="37">
        <f>SUM(K8:K9)</f>
        <v>11.581388888888904</v>
      </c>
      <c r="L21" s="38">
        <f>SUM(L8:L9)</f>
        <v>0</v>
      </c>
      <c r="M21" s="44"/>
    </row>
    <row r="22" spans="1:13" ht="18.75" x14ac:dyDescent="0.15">
      <c r="A22" s="10">
        <f t="shared" ca="1" si="0"/>
        <v>46162.855590393498</v>
      </c>
      <c r="B22" s="5" t="s">
        <v>82</v>
      </c>
      <c r="C22" s="11">
        <v>0.85559027777777796</v>
      </c>
      <c r="D22" s="11" t="s">
        <v>62</v>
      </c>
      <c r="E22" s="11">
        <v>0.96052083333333305</v>
      </c>
      <c r="F22" s="12">
        <f t="shared" si="1"/>
        <v>2.518333333333322</v>
      </c>
      <c r="G22" s="13">
        <f t="shared" si="2"/>
        <v>2.518333333333322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46163.394233911997</v>
      </c>
      <c r="B23" s="5" t="s">
        <v>61</v>
      </c>
      <c r="C23" s="11">
        <v>0.39422453703703703</v>
      </c>
      <c r="D23" s="11" t="s">
        <v>62</v>
      </c>
      <c r="E23" s="11">
        <v>0.49540509259259302</v>
      </c>
      <c r="F23" s="12">
        <f t="shared" si="1"/>
        <v>2.4283333333333439</v>
      </c>
      <c r="G23" s="13">
        <f t="shared" si="2"/>
        <v>2.4283333333333439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46163.522514930599</v>
      </c>
      <c r="B24" s="5" t="s">
        <v>81</v>
      </c>
      <c r="C24" s="11">
        <v>0.522511574074074</v>
      </c>
      <c r="D24" s="11" t="s">
        <v>62</v>
      </c>
      <c r="E24" s="11">
        <v>0.63363425925925898</v>
      </c>
      <c r="F24" s="12">
        <f t="shared" si="1"/>
        <v>2.6669444444444395</v>
      </c>
      <c r="G24" s="13">
        <f t="shared" si="2"/>
        <v>2.6669444444444395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46163.634054861097</v>
      </c>
      <c r="B25" s="5" t="s">
        <v>61</v>
      </c>
      <c r="C25" s="11">
        <v>0.63405092592592605</v>
      </c>
      <c r="D25" s="11" t="s">
        <v>62</v>
      </c>
      <c r="E25" s="11">
        <v>0.73888888888888904</v>
      </c>
      <c r="F25" s="12">
        <f t="shared" si="1"/>
        <v>2.5161111111111119</v>
      </c>
      <c r="G25" s="13">
        <f t="shared" si="2"/>
        <v>2.5161111111111119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46163.773112615701</v>
      </c>
      <c r="B26" s="5" t="s">
        <v>82</v>
      </c>
      <c r="C26" s="11">
        <v>0.77310185185185198</v>
      </c>
      <c r="D26" s="11" t="s">
        <v>62</v>
      </c>
      <c r="E26" s="11">
        <v>0.86302083333333302</v>
      </c>
      <c r="F26" s="12">
        <f t="shared" si="1"/>
        <v>2.1580555555555447</v>
      </c>
      <c r="G26" s="13">
        <f t="shared" si="2"/>
        <v>2.1580555555555447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46164.292732407397</v>
      </c>
      <c r="B27" s="5" t="s">
        <v>81</v>
      </c>
      <c r="C27" s="11">
        <v>0.29273148148148098</v>
      </c>
      <c r="D27" s="11" t="s">
        <v>62</v>
      </c>
      <c r="E27" s="11">
        <v>0.36546296296296299</v>
      </c>
      <c r="F27" s="12">
        <f t="shared" si="1"/>
        <v>1.7455555555555682</v>
      </c>
      <c r="G27" s="13">
        <f t="shared" si="2"/>
        <v>0.77111111111112018</v>
      </c>
      <c r="H27" s="13">
        <f t="shared" si="3"/>
        <v>0.974444444444448</v>
      </c>
      <c r="I27"/>
      <c r="J27"/>
    </row>
    <row r="28" spans="1:13" ht="18.75" x14ac:dyDescent="0.15">
      <c r="A28" s="10">
        <f t="shared" ca="1" si="0"/>
        <v>46167.014545717597</v>
      </c>
      <c r="B28" s="5" t="s">
        <v>82</v>
      </c>
      <c r="C28" s="11">
        <v>1.4537037037036999E-2</v>
      </c>
      <c r="D28" s="11" t="s">
        <v>62</v>
      </c>
      <c r="E28" s="11">
        <v>0.14549768518518499</v>
      </c>
      <c r="F28" s="12">
        <f t="shared" si="1"/>
        <v>3.1430555555555522</v>
      </c>
      <c r="G28" s="13">
        <f t="shared" si="2"/>
        <v>0</v>
      </c>
      <c r="H28" s="13">
        <f t="shared" si="3"/>
        <v>3.1430555555555522</v>
      </c>
      <c r="I28"/>
      <c r="J28"/>
    </row>
    <row r="29" spans="1:13" ht="18.75" x14ac:dyDescent="0.15">
      <c r="A29" s="10">
        <f t="shared" ca="1" si="0"/>
        <v>46168.139200231497</v>
      </c>
      <c r="B29" s="5" t="s">
        <v>82</v>
      </c>
      <c r="C29" s="11">
        <v>0.13918981481481499</v>
      </c>
      <c r="D29" s="11" t="s">
        <v>62</v>
      </c>
      <c r="E29" s="11">
        <v>0.30062499999999998</v>
      </c>
      <c r="F29" s="12">
        <f t="shared" si="1"/>
        <v>3.8744444444444399</v>
      </c>
      <c r="G29" s="13">
        <f t="shared" si="2"/>
        <v>0</v>
      </c>
      <c r="H29" s="13">
        <f t="shared" si="3"/>
        <v>3.8744444444444399</v>
      </c>
      <c r="I29"/>
      <c r="J29"/>
    </row>
    <row r="30" spans="1:13" ht="18.75" x14ac:dyDescent="0.15">
      <c r="A30" s="10">
        <f t="shared" ca="1" si="0"/>
        <v>46171.139425462999</v>
      </c>
      <c r="B30" s="5" t="s">
        <v>79</v>
      </c>
      <c r="C30" s="11">
        <v>0.13942129629629599</v>
      </c>
      <c r="D30" s="11" t="s">
        <v>62</v>
      </c>
      <c r="E30" s="11">
        <v>0.22574074074074099</v>
      </c>
      <c r="F30" s="12">
        <f t="shared" si="1"/>
        <v>2.0716666666666801</v>
      </c>
      <c r="G30" s="13">
        <f t="shared" si="2"/>
        <v>0</v>
      </c>
      <c r="H30" s="13">
        <f t="shared" si="3"/>
        <v>2.0716666666666801</v>
      </c>
      <c r="I30"/>
      <c r="J30"/>
    </row>
    <row r="31" spans="1:13" ht="18.75" x14ac:dyDescent="0.15">
      <c r="A31" s="10">
        <f t="shared" ca="1" si="0"/>
        <v>46171.2257173611</v>
      </c>
      <c r="B31" s="5" t="s">
        <v>81</v>
      </c>
      <c r="C31" s="11">
        <v>0.225717592592593</v>
      </c>
      <c r="D31" s="11" t="s">
        <v>62</v>
      </c>
      <c r="E31" s="11">
        <v>0.30108796296296297</v>
      </c>
      <c r="F31" s="12">
        <f t="shared" si="1"/>
        <v>1.8088888888888794</v>
      </c>
      <c r="G31" s="13">
        <f t="shared" si="2"/>
        <v>0</v>
      </c>
      <c r="H31" s="13">
        <f t="shared" si="3"/>
        <v>1.8088888888888794</v>
      </c>
      <c r="I31"/>
      <c r="J31"/>
    </row>
    <row r="32" spans="1:13" ht="18.75" x14ac:dyDescent="0.15">
      <c r="A32" s="10">
        <f t="shared" ca="1" si="0"/>
        <v>46172.010913888902</v>
      </c>
      <c r="B32" s="5" t="s">
        <v>79</v>
      </c>
      <c r="C32" s="11">
        <v>1.18981481481481E-2</v>
      </c>
      <c r="D32" s="11" t="s">
        <v>62</v>
      </c>
      <c r="E32" s="11">
        <v>0.144803240740741</v>
      </c>
      <c r="F32" s="12">
        <f t="shared" si="1"/>
        <v>3.1897222222222297</v>
      </c>
      <c r="G32" s="13">
        <f t="shared" si="2"/>
        <v>0</v>
      </c>
      <c r="H32" s="13">
        <f t="shared" si="3"/>
        <v>3.1897222222222297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42"/>
  <sheetViews>
    <sheetView zoomScale="85" zoomScaleNormal="85" workbookViewId="0">
      <selection activeCell="O29" sqref="O2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46143.417375231496</v>
      </c>
      <c r="B3" s="5" t="s">
        <v>61</v>
      </c>
      <c r="C3" s="11">
        <v>0.417372685185185</v>
      </c>
      <c r="D3" s="11" t="s">
        <v>62</v>
      </c>
      <c r="E3" s="11">
        <v>0.45954861111111101</v>
      </c>
      <c r="F3" s="12">
        <f t="shared" ref="F3:F42" si="1">(IF(E3-C3&lt;0,"24:00"-C3+E3,E3-C3))*24</f>
        <v>1.0122222222222241</v>
      </c>
      <c r="G3" s="13">
        <f t="shared" ref="G3:G42" si="2">F3-H3</f>
        <v>1.0122222222222241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46143.459579976901</v>
      </c>
      <c r="B4" s="5" t="s">
        <v>79</v>
      </c>
      <c r="C4" s="11">
        <v>0.45957175925925903</v>
      </c>
      <c r="D4" s="11" t="s">
        <v>62</v>
      </c>
      <c r="E4" s="11">
        <v>0.59052083333333305</v>
      </c>
      <c r="F4" s="12">
        <f t="shared" si="1"/>
        <v>3.1427777777777766</v>
      </c>
      <c r="G4" s="13">
        <f t="shared" si="2"/>
        <v>3.1427777777777766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33.374444444444471</v>
      </c>
      <c r="K4" s="23">
        <f>SUMIF(B:B,"西塔台管制席",G:G)+SUMIF(B:B,"东塔台管制席",G:G)</f>
        <v>19.921944444444485</v>
      </c>
      <c r="L4" s="23">
        <f>SUMIF(B:B,"西塔台管制席",H:H)+SUMIF(B:B,"东塔台管制席",H:H)</f>
        <v>13.452499999999993</v>
      </c>
      <c r="M4" s="19"/>
    </row>
    <row r="5" spans="1:16" ht="18.75" x14ac:dyDescent="0.25">
      <c r="A5" s="10">
        <f t="shared" ca="1" si="0"/>
        <v>46143.834980671301</v>
      </c>
      <c r="B5" s="5" t="s">
        <v>75</v>
      </c>
      <c r="C5" s="11">
        <v>0.834976851851852</v>
      </c>
      <c r="D5" s="11" t="s">
        <v>62</v>
      </c>
      <c r="E5" s="11">
        <v>0.95795138888888898</v>
      </c>
      <c r="F5" s="12">
        <f t="shared" si="1"/>
        <v>2.9513888888888875</v>
      </c>
      <c r="G5" s="13">
        <f t="shared" si="2"/>
        <v>2.9513888888888875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18.612500000000001</v>
      </c>
      <c r="K5" s="23">
        <f>SUMIF(B:B,"西塔台协调席",G:G)+SUMIF(B:B,"东塔台协调席",G:G)</f>
        <v>14.674166666666663</v>
      </c>
      <c r="L5" s="23">
        <f>SUMIF(B:B,"西塔台协调席",H:H)+SUMIF(B:B,"东塔台协调席",H:H)</f>
        <v>3.9383333333333392</v>
      </c>
      <c r="M5" s="19"/>
    </row>
    <row r="6" spans="1:16" ht="18.75" x14ac:dyDescent="0.25">
      <c r="A6" s="10">
        <f t="shared" ca="1" si="0"/>
        <v>46148.140771874998</v>
      </c>
      <c r="B6" s="5" t="s">
        <v>82</v>
      </c>
      <c r="C6" s="11">
        <v>0.14076388888888899</v>
      </c>
      <c r="D6" s="11" t="s">
        <v>62</v>
      </c>
      <c r="E6" s="11">
        <v>0.29837962962962999</v>
      </c>
      <c r="F6" s="12">
        <f t="shared" si="1"/>
        <v>3.7827777777777838</v>
      </c>
      <c r="G6" s="13">
        <f t="shared" si="2"/>
        <v>0</v>
      </c>
      <c r="H6" s="13">
        <f t="shared" si="3"/>
        <v>3.7827777777777838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46151.140515740699</v>
      </c>
      <c r="B7" s="5" t="s">
        <v>84</v>
      </c>
      <c r="C7" s="11">
        <v>0.140509259259259</v>
      </c>
      <c r="D7" s="11" t="s">
        <v>62</v>
      </c>
      <c r="E7" s="11">
        <v>0.22111111111111101</v>
      </c>
      <c r="F7" s="12">
        <f t="shared" si="1"/>
        <v>1.9344444444444482</v>
      </c>
      <c r="G7" s="13">
        <f t="shared" si="2"/>
        <v>0</v>
      </c>
      <c r="H7" s="13">
        <f t="shared" si="3"/>
        <v>1.9344444444444482</v>
      </c>
      <c r="I7" s="21" t="s">
        <v>68</v>
      </c>
      <c r="J7" s="22">
        <f>SUMIF(B:B,"地面席",F:F)</f>
        <v>3.9902777777777763</v>
      </c>
      <c r="K7" s="23">
        <f>SUMIF(B:B,"地面席",G:G)</f>
        <v>0</v>
      </c>
      <c r="L7" s="23">
        <f>SUMIF(B:B,"地面席",H:H)</f>
        <v>3.9902777777777763</v>
      </c>
      <c r="M7" s="19"/>
    </row>
    <row r="8" spans="1:16" ht="18.75" x14ac:dyDescent="0.25">
      <c r="A8" s="10">
        <f t="shared" ca="1" si="0"/>
        <v>46152.0149290509</v>
      </c>
      <c r="B8" s="5" t="s">
        <v>75</v>
      </c>
      <c r="C8" s="11">
        <v>1.49189814814815E-2</v>
      </c>
      <c r="D8" s="11" t="s">
        <v>62</v>
      </c>
      <c r="E8" s="11">
        <v>0.13976851851851901</v>
      </c>
      <c r="F8" s="12">
        <f t="shared" si="1"/>
        <v>2.9963888888889003</v>
      </c>
      <c r="G8" s="13">
        <f t="shared" si="2"/>
        <v>0</v>
      </c>
      <c r="H8" s="13">
        <f t="shared" si="3"/>
        <v>2.9963888888889003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46154.356270138902</v>
      </c>
      <c r="B9" s="5" t="s">
        <v>81</v>
      </c>
      <c r="C9" s="11">
        <v>0.35626157407407399</v>
      </c>
      <c r="D9" s="11" t="s">
        <v>62</v>
      </c>
      <c r="E9" s="11">
        <v>0.50872685185185196</v>
      </c>
      <c r="F9" s="12">
        <f t="shared" si="1"/>
        <v>3.6591666666666711</v>
      </c>
      <c r="G9" s="13">
        <f t="shared" si="2"/>
        <v>3.6591666666666711</v>
      </c>
      <c r="H9" s="13">
        <f t="shared" si="3"/>
        <v>0</v>
      </c>
      <c r="I9" s="21" t="s">
        <v>70</v>
      </c>
      <c r="J9" s="22">
        <f>SUMIF(B:B,"航班调度席",F:F)</f>
        <v>1.0122222222222241</v>
      </c>
      <c r="K9" s="23">
        <f>SUMIF(B:B,"航班调度席",G:G)</f>
        <v>1.0122222222222241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46154.837416319402</v>
      </c>
      <c r="B10" s="5" t="s">
        <v>82</v>
      </c>
      <c r="C10" s="11">
        <v>0.83740740740740705</v>
      </c>
      <c r="D10" s="11" t="s">
        <v>62</v>
      </c>
      <c r="E10" s="11">
        <v>0.95697916666666705</v>
      </c>
      <c r="F10" s="12">
        <f t="shared" si="1"/>
        <v>2.86972222222224</v>
      </c>
      <c r="G10" s="13">
        <f t="shared" si="2"/>
        <v>2.86972222222224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46155.500843981499</v>
      </c>
      <c r="B11" s="5" t="s">
        <v>79</v>
      </c>
      <c r="C11" s="11">
        <v>0.50083333333333302</v>
      </c>
      <c r="D11" s="11" t="s">
        <v>62</v>
      </c>
      <c r="E11" s="11">
        <v>0.60918981481481504</v>
      </c>
      <c r="F11" s="12">
        <f t="shared" si="1"/>
        <v>2.6005555555555686</v>
      </c>
      <c r="G11" s="13">
        <f t="shared" si="2"/>
        <v>2.6005555555555686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46155.711211574097</v>
      </c>
      <c r="B12" s="5" t="s">
        <v>79</v>
      </c>
      <c r="C12" s="11">
        <v>0.711203703703704</v>
      </c>
      <c r="D12" s="11" t="s">
        <v>62</v>
      </c>
      <c r="E12" s="11">
        <v>0.83988425925925903</v>
      </c>
      <c r="F12" s="12">
        <f t="shared" si="1"/>
        <v>3.0883333333333205</v>
      </c>
      <c r="G12" s="13">
        <f t="shared" si="2"/>
        <v>3.0883333333333205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46156.294001157403</v>
      </c>
      <c r="B13" s="5" t="s">
        <v>81</v>
      </c>
      <c r="C13" s="11">
        <v>0.29408564814814803</v>
      </c>
      <c r="D13" s="11" t="s">
        <v>62</v>
      </c>
      <c r="E13" s="11">
        <v>0.367685185185185</v>
      </c>
      <c r="F13" s="12">
        <f t="shared" si="1"/>
        <v>1.7663888888888875</v>
      </c>
      <c r="G13" s="13">
        <f t="shared" si="2"/>
        <v>0.82444444444444853</v>
      </c>
      <c r="H13" s="13">
        <f t="shared" si="3"/>
        <v>0.94194444444443892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46160.140451851898</v>
      </c>
      <c r="B14" s="5" t="s">
        <v>82</v>
      </c>
      <c r="C14" s="11">
        <v>0.140451388888889</v>
      </c>
      <c r="D14" s="11" t="s">
        <v>62</v>
      </c>
      <c r="E14" s="11">
        <v>0.30052083333333302</v>
      </c>
      <c r="F14" s="12">
        <f t="shared" si="1"/>
        <v>3.8416666666666561</v>
      </c>
      <c r="G14" s="13">
        <f t="shared" si="2"/>
        <v>0</v>
      </c>
      <c r="H14" s="13">
        <f t="shared" si="3"/>
        <v>3.8416666666666561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46163.140406597202</v>
      </c>
      <c r="B15" s="5" t="s">
        <v>84</v>
      </c>
      <c r="C15" s="11">
        <v>0.14040509259259301</v>
      </c>
      <c r="D15" s="11" t="s">
        <v>62</v>
      </c>
      <c r="E15" s="11">
        <v>0.226064814814815</v>
      </c>
      <c r="F15" s="12">
        <f t="shared" si="1"/>
        <v>2.0558333333333279</v>
      </c>
      <c r="G15" s="13">
        <f t="shared" si="2"/>
        <v>0</v>
      </c>
      <c r="H15" s="13">
        <f t="shared" si="3"/>
        <v>2.0558333333333279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46167.140306944399</v>
      </c>
      <c r="B16" s="5" t="s">
        <v>82</v>
      </c>
      <c r="C16" s="11">
        <v>0.140300925925926</v>
      </c>
      <c r="D16" s="11" t="s">
        <v>62</v>
      </c>
      <c r="E16" s="11">
        <v>0.238703703703704</v>
      </c>
      <c r="F16" s="12">
        <f t="shared" si="1"/>
        <v>2.3616666666666721</v>
      </c>
      <c r="G16" s="13">
        <f t="shared" si="2"/>
        <v>0</v>
      </c>
      <c r="H16" s="13">
        <f t="shared" si="3"/>
        <v>2.3616666666666721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46167.955817245398</v>
      </c>
      <c r="B17" s="5" t="s">
        <v>82</v>
      </c>
      <c r="C17" s="11">
        <v>0.95581018518518501</v>
      </c>
      <c r="D17" s="11" t="s">
        <v>62</v>
      </c>
      <c r="E17" s="11">
        <v>0.14443287037037</v>
      </c>
      <c r="F17" s="12">
        <f t="shared" si="1"/>
        <v>4.5269444444444398</v>
      </c>
      <c r="G17" s="13">
        <f t="shared" si="2"/>
        <v>1.0605555555555597</v>
      </c>
      <c r="H17" s="13">
        <f t="shared" si="3"/>
        <v>3.4663888888888801</v>
      </c>
      <c r="I17" s="35" t="s">
        <v>77</v>
      </c>
      <c r="J17" s="36">
        <f>J4+J5+J6+J7+J10</f>
        <v>55.977222222222252</v>
      </c>
      <c r="K17" s="37">
        <f>K4+K5+K6+K7+K10</f>
        <v>34.596111111111149</v>
      </c>
      <c r="L17" s="38">
        <f>L4+L5+L6+L7+L10</f>
        <v>21.38111111111111</v>
      </c>
      <c r="M17" s="39"/>
    </row>
    <row r="18" spans="1:13" ht="20.25" x14ac:dyDescent="0.25">
      <c r="A18" s="10">
        <f t="shared" ca="1" si="0"/>
        <v>46170.521530902799</v>
      </c>
      <c r="B18" s="5" t="s">
        <v>81</v>
      </c>
      <c r="C18" s="11">
        <v>0.52152777777777803</v>
      </c>
      <c r="D18" s="11" t="s">
        <v>62</v>
      </c>
      <c r="E18" s="11">
        <v>0.69609953703703698</v>
      </c>
      <c r="F18" s="12">
        <f t="shared" si="1"/>
        <v>4.1897222222222146</v>
      </c>
      <c r="G18" s="13">
        <f t="shared" si="2"/>
        <v>4.1897222222222146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46170.7711516204</v>
      </c>
      <c r="B19" s="5" t="s">
        <v>82</v>
      </c>
      <c r="C19" s="11">
        <v>0.77114583333333298</v>
      </c>
      <c r="D19" s="11" t="s">
        <v>62</v>
      </c>
      <c r="E19" s="11">
        <v>0.86094907407407395</v>
      </c>
      <c r="F19" s="12">
        <f t="shared" si="1"/>
        <v>2.1552777777777834</v>
      </c>
      <c r="G19" s="13">
        <f t="shared" si="2"/>
        <v>2.1552777777777834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46171.422337037002</v>
      </c>
      <c r="B20" s="5" t="s">
        <v>79</v>
      </c>
      <c r="C20" s="11">
        <v>0.42232638888888901</v>
      </c>
      <c r="D20" s="11" t="s">
        <v>62</v>
      </c>
      <c r="E20" s="11">
        <v>0.52765046296296303</v>
      </c>
      <c r="F20" s="12">
        <f t="shared" si="1"/>
        <v>2.5277777777777763</v>
      </c>
      <c r="G20" s="13">
        <f t="shared" si="2"/>
        <v>2.5277777777777763</v>
      </c>
      <c r="H20" s="13">
        <f t="shared" si="3"/>
        <v>0</v>
      </c>
      <c r="I20" s="40" t="s">
        <v>80</v>
      </c>
      <c r="J20" s="65">
        <f>J16+J17+J18+J19</f>
        <v>55.977222222222252</v>
      </c>
      <c r="K20" s="66"/>
      <c r="L20" s="67"/>
      <c r="M20" s="41"/>
    </row>
    <row r="21" spans="1:13" ht="20.25" x14ac:dyDescent="0.25">
      <c r="A21" s="10">
        <f t="shared" ca="1" si="0"/>
        <v>46171.609023611098</v>
      </c>
      <c r="B21" s="5" t="s">
        <v>81</v>
      </c>
      <c r="C21" s="11">
        <v>0.60901620370370402</v>
      </c>
      <c r="D21" s="11" t="s">
        <v>62</v>
      </c>
      <c r="E21" s="11">
        <v>0.73607638888888904</v>
      </c>
      <c r="F21" s="12">
        <f t="shared" si="1"/>
        <v>3.0494444444444406</v>
      </c>
      <c r="G21" s="13">
        <f t="shared" si="2"/>
        <v>3.0494444444444406</v>
      </c>
      <c r="H21" s="13">
        <f t="shared" si="3"/>
        <v>0</v>
      </c>
      <c r="I21" s="42" t="s">
        <v>4</v>
      </c>
      <c r="J21" s="43">
        <f>SUM(J8:J9)</f>
        <v>1.0122222222222241</v>
      </c>
      <c r="K21" s="37">
        <f>SUM(K8:K9)</f>
        <v>1.0122222222222241</v>
      </c>
      <c r="L21" s="38">
        <f>SUM(L8:L9)</f>
        <v>0</v>
      </c>
      <c r="M21" s="44"/>
    </row>
    <row r="22" spans="1:13" ht="18.75" x14ac:dyDescent="0.15">
      <c r="A22" s="10">
        <f t="shared" ca="1" si="0"/>
        <v>46171.856454513902</v>
      </c>
      <c r="B22" s="5" t="s">
        <v>82</v>
      </c>
      <c r="C22" s="11">
        <v>0.85644675925925895</v>
      </c>
      <c r="D22" s="11" t="s">
        <v>62</v>
      </c>
      <c r="E22" s="11">
        <v>0.95965277777777802</v>
      </c>
      <c r="F22" s="12">
        <f t="shared" si="1"/>
        <v>2.4769444444444577</v>
      </c>
      <c r="G22" s="13">
        <f t="shared" si="2"/>
        <v>2.4769444444444577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42"/>
  <sheetViews>
    <sheetView topLeftCell="A10" zoomScale="85" zoomScaleNormal="85" workbookViewId="0">
      <selection activeCell="G36" sqref="G36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46143.528315277799</v>
      </c>
      <c r="B3" s="5" t="s">
        <v>75</v>
      </c>
      <c r="C3" s="11">
        <v>0.45886574074074099</v>
      </c>
      <c r="D3" s="11" t="s">
        <v>62</v>
      </c>
      <c r="E3" s="11">
        <v>0.58905092592592601</v>
      </c>
      <c r="F3" s="12">
        <f t="shared" ref="F3:F42" si="1">(IF(E3-C3&lt;0,"24:00"-C3+E3,E3-C3))*24</f>
        <v>3.1244444444444404</v>
      </c>
      <c r="G3" s="13">
        <f t="shared" ref="G3:G42" si="2">F3-H3</f>
        <v>3.1244444444444404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46143.749709606498</v>
      </c>
      <c r="B4" s="5" t="s">
        <v>75</v>
      </c>
      <c r="C4" s="11">
        <v>0.74969907407407399</v>
      </c>
      <c r="D4" s="11" t="s">
        <v>62</v>
      </c>
      <c r="E4" s="11">
        <v>0.84013888888888899</v>
      </c>
      <c r="F4" s="12">
        <f t="shared" si="1"/>
        <v>2.17055555555556</v>
      </c>
      <c r="G4" s="13">
        <f t="shared" si="2"/>
        <v>2.17055555555556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22.897500000000036</v>
      </c>
      <c r="K4" s="23">
        <f>SUMIF(B:B,"西塔台管制席",G:G)+SUMIF(B:B,"东塔台管制席",G:G)</f>
        <v>8.849722222222276</v>
      </c>
      <c r="L4" s="23">
        <f>SUMIF(B:B,"西塔台管制席",H:H)+SUMIF(B:B,"东塔台管制席",H:H)</f>
        <v>14.047777777777762</v>
      </c>
      <c r="M4" s="19"/>
    </row>
    <row r="5" spans="1:16" ht="18.75" x14ac:dyDescent="0.25">
      <c r="A5" s="10">
        <f t="shared" ca="1" si="0"/>
        <v>46144.293444675903</v>
      </c>
      <c r="B5" s="5" t="s">
        <v>82</v>
      </c>
      <c r="C5" s="11">
        <v>0.29343750000000002</v>
      </c>
      <c r="D5" s="11" t="s">
        <v>62</v>
      </c>
      <c r="E5" s="11">
        <v>0.363298611111111</v>
      </c>
      <c r="F5" s="12">
        <f t="shared" si="1"/>
        <v>1.6766666666666636</v>
      </c>
      <c r="G5" s="13">
        <f t="shared" si="2"/>
        <v>0.7191666666666725</v>
      </c>
      <c r="H5" s="13">
        <f t="shared" si="3"/>
        <v>0.95749999999999114</v>
      </c>
      <c r="I5" s="21" t="s">
        <v>66</v>
      </c>
      <c r="J5" s="22">
        <f>SUMIF(B:B,"西塔台协调席",F:F)+SUMIF(B:B,"东塔台协调席",F:F)</f>
        <v>39.144999999999982</v>
      </c>
      <c r="K5" s="23">
        <f>SUMIF(B:B,"西塔台协调席",G:G)+SUMIF(B:B,"东塔台协调席",G:G)</f>
        <v>26.561388888888889</v>
      </c>
      <c r="L5" s="23">
        <f>SUMIF(B:B,"西塔台协调席",H:H)+SUMIF(B:B,"东塔台协调席",H:H)</f>
        <v>12.583611111111091</v>
      </c>
      <c r="M5" s="19"/>
    </row>
    <row r="6" spans="1:16" ht="18.75" x14ac:dyDescent="0.25">
      <c r="A6" s="10">
        <f t="shared" ca="1" si="0"/>
        <v>46146.953043171299</v>
      </c>
      <c r="B6" s="5" t="s">
        <v>79</v>
      </c>
      <c r="C6" s="11">
        <v>0.95303240740740702</v>
      </c>
      <c r="D6" s="11" t="s">
        <v>62</v>
      </c>
      <c r="E6" s="11">
        <v>9.5069444444444401E-2</v>
      </c>
      <c r="F6" s="12">
        <f t="shared" si="1"/>
        <v>3.4088888888888969</v>
      </c>
      <c r="G6" s="13">
        <f t="shared" si="2"/>
        <v>1.1272222222222315</v>
      </c>
      <c r="H6" s="13">
        <f t="shared" si="3"/>
        <v>2.2816666666666654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46150.521421874997</v>
      </c>
      <c r="B7" s="5" t="s">
        <v>75</v>
      </c>
      <c r="C7" s="11">
        <v>0.52141203703703698</v>
      </c>
      <c r="D7" s="11" t="s">
        <v>62</v>
      </c>
      <c r="E7" s="11">
        <v>0.692696759259259</v>
      </c>
      <c r="F7" s="12">
        <f t="shared" si="1"/>
        <v>4.1108333333333285</v>
      </c>
      <c r="G7" s="13">
        <f t="shared" si="2"/>
        <v>4.1108333333333285</v>
      </c>
      <c r="H7" s="13">
        <f t="shared" si="3"/>
        <v>0</v>
      </c>
      <c r="I7" s="21" t="s">
        <v>68</v>
      </c>
      <c r="J7" s="22">
        <f>SUMIF(B:B,"地面席",F:F)</f>
        <v>2.0052777777777839</v>
      </c>
      <c r="K7" s="23">
        <f>SUMIF(B:B,"地面席",G:G)</f>
        <v>0</v>
      </c>
      <c r="L7" s="23">
        <f>SUMIF(B:B,"地面席",H:H)</f>
        <v>2.0052777777777839</v>
      </c>
      <c r="M7" s="19"/>
    </row>
    <row r="8" spans="1:16" ht="18.75" x14ac:dyDescent="0.25">
      <c r="A8" s="10">
        <f t="shared" ca="1" si="0"/>
        <v>46150.772502430598</v>
      </c>
      <c r="B8" s="5" t="s">
        <v>79</v>
      </c>
      <c r="C8" s="11">
        <v>0.77249999999999996</v>
      </c>
      <c r="D8" s="11" t="s">
        <v>62</v>
      </c>
      <c r="E8" s="11">
        <v>0.86072916666666699</v>
      </c>
      <c r="F8" s="12">
        <f t="shared" si="1"/>
        <v>2.1175000000000086</v>
      </c>
      <c r="G8" s="13">
        <f t="shared" si="2"/>
        <v>2.1175000000000086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46151.5849759259</v>
      </c>
      <c r="B9" s="5" t="s">
        <v>82</v>
      </c>
      <c r="C9" s="11">
        <v>0.58496527777777796</v>
      </c>
      <c r="D9" s="11" t="s">
        <v>62</v>
      </c>
      <c r="E9" s="11">
        <v>0.71700231481481502</v>
      </c>
      <c r="F9" s="12">
        <f t="shared" si="1"/>
        <v>3.1688888888888895</v>
      </c>
      <c r="G9" s="13">
        <f t="shared" si="2"/>
        <v>3.1688888888888895</v>
      </c>
      <c r="H9" s="13">
        <f t="shared" si="3"/>
        <v>0</v>
      </c>
      <c r="I9" s="21" t="s">
        <v>70</v>
      </c>
      <c r="J9" s="22">
        <f>SUMIF(B:B,"航班调度席",F:F)</f>
        <v>0.80194444444444768</v>
      </c>
      <c r="K9" s="23">
        <f>SUMIF(B:B,"航班调度席",G:G)</f>
        <v>0.80194444444444768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46151.857512499999</v>
      </c>
      <c r="B10" s="5" t="s">
        <v>81</v>
      </c>
      <c r="C10" s="11">
        <v>0.85785879629629602</v>
      </c>
      <c r="D10" s="11" t="s">
        <v>62</v>
      </c>
      <c r="E10" s="11">
        <v>0.95679398148148198</v>
      </c>
      <c r="F10" s="12">
        <f t="shared" si="1"/>
        <v>2.374444444444463</v>
      </c>
      <c r="G10" s="13">
        <f t="shared" si="2"/>
        <v>2.374444444444463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46152.293717592598</v>
      </c>
      <c r="B11" s="5" t="s">
        <v>75</v>
      </c>
      <c r="C11" s="11">
        <v>0.29371527777777801</v>
      </c>
      <c r="D11" s="11" t="s">
        <v>62</v>
      </c>
      <c r="E11" s="11">
        <v>0.367650462962963</v>
      </c>
      <c r="F11" s="12">
        <f t="shared" si="1"/>
        <v>1.7744444444444398</v>
      </c>
      <c r="G11" s="13">
        <f t="shared" si="2"/>
        <v>0.8236111111111204</v>
      </c>
      <c r="H11" s="13">
        <f t="shared" si="3"/>
        <v>0.95083333333331943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46154.137577661997</v>
      </c>
      <c r="B12" s="5" t="s">
        <v>79</v>
      </c>
      <c r="C12" s="11">
        <v>0.13756944444444399</v>
      </c>
      <c r="D12" s="11" t="s">
        <v>62</v>
      </c>
      <c r="E12" s="11">
        <v>0.23269675925925901</v>
      </c>
      <c r="F12" s="12">
        <f t="shared" si="1"/>
        <v>2.2830555555555603</v>
      </c>
      <c r="G12" s="13">
        <f t="shared" si="2"/>
        <v>0</v>
      </c>
      <c r="H12" s="13">
        <f t="shared" si="3"/>
        <v>2.2830555555555603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46154.2327479167</v>
      </c>
      <c r="B13" s="5" t="s">
        <v>81</v>
      </c>
      <c r="C13" s="11">
        <v>0.23274305555555599</v>
      </c>
      <c r="D13" s="11" t="s">
        <v>62</v>
      </c>
      <c r="E13" s="11">
        <v>0.30401620370370402</v>
      </c>
      <c r="F13" s="12">
        <f t="shared" si="1"/>
        <v>1.7105555555555527</v>
      </c>
      <c r="G13" s="13">
        <f t="shared" si="2"/>
        <v>0</v>
      </c>
      <c r="H13" s="13">
        <f t="shared" si="3"/>
        <v>1.7105555555555527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46156.1400208333</v>
      </c>
      <c r="B14" s="5" t="s">
        <v>84</v>
      </c>
      <c r="C14" s="11">
        <v>0.140011574074074</v>
      </c>
      <c r="D14" s="11" t="s">
        <v>62</v>
      </c>
      <c r="E14" s="11">
        <v>0.22356481481481499</v>
      </c>
      <c r="F14" s="12">
        <f t="shared" si="1"/>
        <v>2.0052777777777839</v>
      </c>
      <c r="G14" s="13">
        <f t="shared" si="2"/>
        <v>0</v>
      </c>
      <c r="H14" s="13">
        <f t="shared" si="3"/>
        <v>2.0052777777777839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46158.950711458303</v>
      </c>
      <c r="B15" s="5" t="s">
        <v>81</v>
      </c>
      <c r="C15" s="11">
        <v>0.95070601851851899</v>
      </c>
      <c r="D15" s="11" t="s">
        <v>62</v>
      </c>
      <c r="E15" s="11">
        <v>9.1539351851851899E-2</v>
      </c>
      <c r="F15" s="12">
        <f t="shared" si="1"/>
        <v>3.3799999999999901</v>
      </c>
      <c r="G15" s="13">
        <f t="shared" si="2"/>
        <v>1.1830555555555446</v>
      </c>
      <c r="H15" s="13">
        <f t="shared" si="3"/>
        <v>2.1969444444444455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46159.952418749999</v>
      </c>
      <c r="B16" s="5" t="s">
        <v>75</v>
      </c>
      <c r="C16" s="11">
        <v>0.95241898148148196</v>
      </c>
      <c r="D16" s="11" t="s">
        <v>62</v>
      </c>
      <c r="E16" s="11">
        <v>9.6631944444444506E-2</v>
      </c>
      <c r="F16" s="12">
        <f t="shared" si="1"/>
        <v>3.461111111111101</v>
      </c>
      <c r="G16" s="13">
        <f t="shared" si="2"/>
        <v>1.1419444444444329</v>
      </c>
      <c r="H16" s="13">
        <f t="shared" si="3"/>
        <v>2.3191666666666682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46163.137568518498</v>
      </c>
      <c r="B17" s="5" t="s">
        <v>79</v>
      </c>
      <c r="C17" s="11">
        <v>0.13755787037037001</v>
      </c>
      <c r="D17" s="11" t="s">
        <v>62</v>
      </c>
      <c r="E17" s="11">
        <v>0.239722222222222</v>
      </c>
      <c r="F17" s="12">
        <f t="shared" si="1"/>
        <v>2.4519444444444476</v>
      </c>
      <c r="G17" s="13">
        <f t="shared" si="2"/>
        <v>0</v>
      </c>
      <c r="H17" s="13">
        <f t="shared" si="3"/>
        <v>2.4519444444444476</v>
      </c>
      <c r="I17" s="35" t="s">
        <v>77</v>
      </c>
      <c r="J17" s="36">
        <f>J4+J5+J6+J7+J10</f>
        <v>64.047777777777796</v>
      </c>
      <c r="K17" s="37">
        <f>K4+K5+K6+K7+K10</f>
        <v>35.411111111111168</v>
      </c>
      <c r="L17" s="38">
        <f>L4+L5+L6+L7+L10</f>
        <v>28.636666666666638</v>
      </c>
      <c r="M17" s="39"/>
    </row>
    <row r="18" spans="1:13" ht="20.25" x14ac:dyDescent="0.25">
      <c r="A18" s="10">
        <f t="shared" ca="1" si="0"/>
        <v>46163.239778240699</v>
      </c>
      <c r="B18" s="5" t="s">
        <v>81</v>
      </c>
      <c r="C18" s="11">
        <v>0.23976851851851899</v>
      </c>
      <c r="D18" s="11" t="s">
        <v>62</v>
      </c>
      <c r="E18" s="11">
        <v>0.30009259259259302</v>
      </c>
      <c r="F18" s="12">
        <f t="shared" si="1"/>
        <v>1.4477777777777767</v>
      </c>
      <c r="G18" s="13">
        <f t="shared" si="2"/>
        <v>0</v>
      </c>
      <c r="H18" s="13">
        <f t="shared" si="3"/>
        <v>1.4477777777777767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46164.014947916701</v>
      </c>
      <c r="B19" s="5" t="s">
        <v>75</v>
      </c>
      <c r="C19" s="11">
        <v>1.49421296296296E-2</v>
      </c>
      <c r="D19" s="11" t="s">
        <v>62</v>
      </c>
      <c r="E19" s="11">
        <v>0.14476851851851899</v>
      </c>
      <c r="F19" s="12">
        <f t="shared" si="1"/>
        <v>3.1158333333333452</v>
      </c>
      <c r="G19" s="13">
        <f t="shared" si="2"/>
        <v>0</v>
      </c>
      <c r="H19" s="13">
        <f t="shared" si="3"/>
        <v>3.1158333333333452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46166.354652546303</v>
      </c>
      <c r="B20" s="5" t="s">
        <v>75</v>
      </c>
      <c r="C20" s="11">
        <v>0.35465277777777798</v>
      </c>
      <c r="D20" s="11" t="s">
        <v>62</v>
      </c>
      <c r="E20" s="11">
        <v>0.44042824074074099</v>
      </c>
      <c r="F20" s="12">
        <f t="shared" si="1"/>
        <v>2.0586111111111123</v>
      </c>
      <c r="G20" s="13">
        <f t="shared" si="2"/>
        <v>2.0586111111111123</v>
      </c>
      <c r="H20" s="13">
        <f t="shared" si="3"/>
        <v>0</v>
      </c>
      <c r="I20" s="40" t="s">
        <v>80</v>
      </c>
      <c r="J20" s="65">
        <f>J16+J17+J18+J19</f>
        <v>64.047777777777796</v>
      </c>
      <c r="K20" s="66"/>
      <c r="L20" s="67"/>
      <c r="M20" s="41"/>
    </row>
    <row r="21" spans="1:13" ht="20.25" x14ac:dyDescent="0.25">
      <c r="A21" s="10">
        <f t="shared" ca="1" si="0"/>
        <v>46166.440476388903</v>
      </c>
      <c r="B21" s="5" t="s">
        <v>81</v>
      </c>
      <c r="C21" s="11">
        <v>0.44047453703703698</v>
      </c>
      <c r="D21" s="11" t="s">
        <v>62</v>
      </c>
      <c r="E21" s="11">
        <v>0.487800925925926</v>
      </c>
      <c r="F21" s="12">
        <f t="shared" si="1"/>
        <v>1.1358333333333364</v>
      </c>
      <c r="G21" s="13">
        <f t="shared" si="2"/>
        <v>1.1358333333333364</v>
      </c>
      <c r="H21" s="13">
        <f t="shared" si="3"/>
        <v>0</v>
      </c>
      <c r="I21" s="42" t="s">
        <v>4</v>
      </c>
      <c r="J21" s="43">
        <f>SUM(J8:J9)</f>
        <v>0.80194444444444768</v>
      </c>
      <c r="K21" s="37">
        <f>SUM(K8:K9)</f>
        <v>0.80194444444444768</v>
      </c>
      <c r="L21" s="38">
        <f>SUM(L8:L9)</f>
        <v>0</v>
      </c>
      <c r="M21" s="44"/>
    </row>
    <row r="22" spans="1:13" ht="18.75" x14ac:dyDescent="0.15">
      <c r="A22" s="10">
        <f t="shared" ca="1" si="0"/>
        <v>46166.487844907402</v>
      </c>
      <c r="B22" s="5" t="s">
        <v>75</v>
      </c>
      <c r="C22" s="11">
        <v>0.487835648148148</v>
      </c>
      <c r="D22" s="11" t="s">
        <v>62</v>
      </c>
      <c r="E22" s="11">
        <v>0.50825231481481503</v>
      </c>
      <c r="F22" s="12">
        <f t="shared" si="1"/>
        <v>0.49000000000000865</v>
      </c>
      <c r="G22" s="13">
        <f t="shared" si="2"/>
        <v>0.49000000000000865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46166.875136342598</v>
      </c>
      <c r="B23" s="5" t="s">
        <v>75</v>
      </c>
      <c r="C23" s="11">
        <v>0.87512731481481498</v>
      </c>
      <c r="D23" s="11" t="s">
        <v>62</v>
      </c>
      <c r="E23" s="11">
        <v>0.95609953703703698</v>
      </c>
      <c r="F23" s="12">
        <f t="shared" si="1"/>
        <v>1.943333333333328</v>
      </c>
      <c r="G23" s="13">
        <f t="shared" si="2"/>
        <v>1.943333333333328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46167.379807986101</v>
      </c>
      <c r="B24" s="5" t="s">
        <v>61</v>
      </c>
      <c r="C24" s="11">
        <v>0.37980324074074101</v>
      </c>
      <c r="D24" s="11" t="s">
        <v>62</v>
      </c>
      <c r="E24" s="11">
        <v>0.413217592592593</v>
      </c>
      <c r="F24" s="12">
        <f t="shared" si="1"/>
        <v>0.80194444444444768</v>
      </c>
      <c r="G24" s="13">
        <f t="shared" si="2"/>
        <v>0.80194444444444768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46167.421544907404</v>
      </c>
      <c r="B25" s="5" t="s">
        <v>82</v>
      </c>
      <c r="C25" s="11">
        <v>0.42153935185185198</v>
      </c>
      <c r="D25" s="11" t="s">
        <v>62</v>
      </c>
      <c r="E25" s="11">
        <v>0.44618055555555602</v>
      </c>
      <c r="F25" s="12">
        <f t="shared" si="1"/>
        <v>0.59138888888889696</v>
      </c>
      <c r="G25" s="13">
        <f t="shared" si="2"/>
        <v>0.59138888888889696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46167.461159953702</v>
      </c>
      <c r="B26" s="5" t="s">
        <v>82</v>
      </c>
      <c r="C26" s="11">
        <v>0.46115740740740702</v>
      </c>
      <c r="D26" s="11" t="s">
        <v>62</v>
      </c>
      <c r="E26" s="11">
        <v>0.50805555555555604</v>
      </c>
      <c r="F26" s="12">
        <f t="shared" si="1"/>
        <v>1.1255555555555765</v>
      </c>
      <c r="G26" s="13">
        <f t="shared" si="2"/>
        <v>1.1255555555555765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46167.583494213002</v>
      </c>
      <c r="B27" s="5" t="s">
        <v>81</v>
      </c>
      <c r="C27" s="11">
        <v>0.58348379629629599</v>
      </c>
      <c r="D27" s="11" t="s">
        <v>62</v>
      </c>
      <c r="E27" s="11">
        <v>0.715173611111111</v>
      </c>
      <c r="F27" s="12">
        <f t="shared" si="1"/>
        <v>3.1605555555555602</v>
      </c>
      <c r="G27" s="13">
        <f t="shared" si="2"/>
        <v>3.1605555555555602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46167.833561921303</v>
      </c>
      <c r="B28" s="5" t="s">
        <v>81</v>
      </c>
      <c r="C28" s="11">
        <v>0.833553240740741</v>
      </c>
      <c r="D28" s="11" t="s">
        <v>62</v>
      </c>
      <c r="E28" s="11">
        <v>0.95206018518518498</v>
      </c>
      <c r="F28" s="12">
        <f t="shared" si="1"/>
        <v>2.8441666666666556</v>
      </c>
      <c r="G28" s="13">
        <f t="shared" si="2"/>
        <v>2.8441666666666556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46171.016135532402</v>
      </c>
      <c r="B29" s="5" t="s">
        <v>79</v>
      </c>
      <c r="C29" s="11">
        <v>1.6238425925925899E-2</v>
      </c>
      <c r="D29" s="11" t="s">
        <v>62</v>
      </c>
      <c r="E29" s="11">
        <v>0.14395833333333299</v>
      </c>
      <c r="F29" s="12">
        <f t="shared" si="1"/>
        <v>3.0652777777777702</v>
      </c>
      <c r="G29" s="13">
        <f t="shared" si="2"/>
        <v>0</v>
      </c>
      <c r="H29" s="13">
        <f t="shared" si="3"/>
        <v>3.0652777777777702</v>
      </c>
      <c r="I29"/>
      <c r="J29"/>
    </row>
    <row r="30" spans="1:13" ht="18.75" x14ac:dyDescent="0.15">
      <c r="A30" s="10">
        <f t="shared" ca="1" si="0"/>
        <v>46172.139569097199</v>
      </c>
      <c r="B30" s="5" t="s">
        <v>79</v>
      </c>
      <c r="C30" s="11">
        <v>0.13956018518518501</v>
      </c>
      <c r="D30" s="11" t="s">
        <v>62</v>
      </c>
      <c r="E30" s="11">
        <v>0.26490740740740698</v>
      </c>
      <c r="F30" s="12">
        <f t="shared" si="1"/>
        <v>3.0083333333333275</v>
      </c>
      <c r="G30" s="13">
        <f t="shared" si="2"/>
        <v>0</v>
      </c>
      <c r="H30" s="13">
        <f t="shared" si="3"/>
        <v>3.0083333333333275</v>
      </c>
      <c r="I30"/>
      <c r="J30"/>
    </row>
    <row r="31" spans="1:13" ht="18.75" x14ac:dyDescent="0.15">
      <c r="A31" s="10">
        <f t="shared" ca="1" si="0"/>
        <v>46172.264967476898</v>
      </c>
      <c r="B31" s="5" t="s">
        <v>81</v>
      </c>
      <c r="C31" s="11">
        <v>0.26496527777777801</v>
      </c>
      <c r="D31" s="11" t="s">
        <v>62</v>
      </c>
      <c r="E31" s="11">
        <v>0.300069444444444</v>
      </c>
      <c r="F31" s="12">
        <f t="shared" si="1"/>
        <v>0.84249999999998382</v>
      </c>
      <c r="G31" s="13">
        <f t="shared" si="2"/>
        <v>0</v>
      </c>
      <c r="H31" s="13">
        <f t="shared" si="3"/>
        <v>0.84249999999998382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46143.020386805598</v>
      </c>
      <c r="B3" s="5" t="s">
        <v>86</v>
      </c>
      <c r="C3" s="11">
        <v>1.0659722222222201E-2</v>
      </c>
      <c r="D3" s="11" t="s">
        <v>62</v>
      </c>
      <c r="E3" s="11">
        <v>0.146030092592593</v>
      </c>
      <c r="F3" s="12">
        <f t="shared" ref="F3:F42" si="1">(IF(E3-C3&lt;0,"24:00"-C3+E3,E3-C3))*24</f>
        <v>3.2488888888888994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3.2488888888888994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46144.138075000003</v>
      </c>
      <c r="B4" s="5" t="s">
        <v>82</v>
      </c>
      <c r="C4" s="11">
        <v>0.13806712962963</v>
      </c>
      <c r="D4" s="11" t="s">
        <v>62</v>
      </c>
      <c r="E4" s="11">
        <v>0.29940972222222201</v>
      </c>
      <c r="F4" s="12">
        <f t="shared" si="1"/>
        <v>3.8722222222222085</v>
      </c>
      <c r="G4" s="13">
        <f t="shared" si="2"/>
        <v>0</v>
      </c>
      <c r="H4" s="13">
        <f t="shared" si="3"/>
        <v>3.8722222222222085</v>
      </c>
      <c r="I4" s="21" t="s">
        <v>65</v>
      </c>
      <c r="J4" s="22">
        <f>SUMIF(B:B,"西塔台管制席",F:F)+SUMIF(B:B,"东塔台管制席",F:F)</f>
        <v>34.28833333333327</v>
      </c>
      <c r="K4" s="23">
        <f>SUMIF(B:B,"西塔台管制席",G:G)+SUMIF(B:B,"东塔台管制席",G:G)</f>
        <v>16.225277777777784</v>
      </c>
      <c r="L4" s="23">
        <f>SUMIF(B:B,"西塔台管制席",H:H)+SUMIF(B:B,"东塔台管制席",H:H)</f>
        <v>18.063055555555493</v>
      </c>
      <c r="M4" s="19"/>
    </row>
    <row r="5" spans="1:16" ht="18.75" x14ac:dyDescent="0.25">
      <c r="A5" s="10">
        <f t="shared" ca="1" si="0"/>
        <v>46146.3541849537</v>
      </c>
      <c r="B5" s="5" t="s">
        <v>81</v>
      </c>
      <c r="C5" s="11">
        <v>0.354178240740741</v>
      </c>
      <c r="D5" s="11" t="s">
        <v>62</v>
      </c>
      <c r="E5" s="11">
        <v>0.38910879629629602</v>
      </c>
      <c r="F5" s="12">
        <f t="shared" si="1"/>
        <v>0.8383333333333205</v>
      </c>
      <c r="G5" s="13">
        <f t="shared" si="2"/>
        <v>0.8383333333333205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25.197222222222177</v>
      </c>
      <c r="K5" s="23">
        <f>SUMIF(B:B,"西塔台协调席",G:G)+SUMIF(B:B,"东塔台协调席",G:G)</f>
        <v>19.113888888888866</v>
      </c>
      <c r="L5" s="23">
        <f>SUMIF(B:B,"西塔台协调席",H:H)+SUMIF(B:B,"东塔台协调席",H:H)</f>
        <v>6.0833333333333126</v>
      </c>
      <c r="M5" s="19"/>
    </row>
    <row r="6" spans="1:16" ht="18.75" x14ac:dyDescent="0.25">
      <c r="A6" s="10">
        <f t="shared" ca="1" si="0"/>
        <v>46146.389157870399</v>
      </c>
      <c r="B6" s="5" t="s">
        <v>75</v>
      </c>
      <c r="C6" s="11">
        <v>0.38915509259259301</v>
      </c>
      <c r="D6" s="11" t="s">
        <v>62</v>
      </c>
      <c r="E6" s="11">
        <v>0.52839120370370396</v>
      </c>
      <c r="F6" s="12">
        <f t="shared" si="1"/>
        <v>3.3416666666666628</v>
      </c>
      <c r="G6" s="13">
        <f t="shared" si="2"/>
        <v>3.3416666666666628</v>
      </c>
      <c r="H6" s="13">
        <f t="shared" si="3"/>
        <v>0</v>
      </c>
      <c r="I6" s="21" t="s">
        <v>67</v>
      </c>
      <c r="J6" s="22">
        <f>SUMIF(B:B,"放行席",F:F)</f>
        <v>2.3147222222222159</v>
      </c>
      <c r="K6" s="23">
        <f>SUMIF(B:B,"放行席",G:G)</f>
        <v>0</v>
      </c>
      <c r="L6" s="23">
        <f>SUMIF(B:B,"放行席",H:H)</f>
        <v>2.3147222222222159</v>
      </c>
      <c r="M6" s="19"/>
    </row>
    <row r="7" spans="1:16" ht="18.75" x14ac:dyDescent="0.25">
      <c r="A7" s="10">
        <f t="shared" ca="1" si="0"/>
        <v>46146.6217414352</v>
      </c>
      <c r="B7" s="5" t="s">
        <v>75</v>
      </c>
      <c r="C7" s="11">
        <v>0.62173611111111104</v>
      </c>
      <c r="D7" s="11" t="s">
        <v>62</v>
      </c>
      <c r="E7" s="11">
        <v>0.71574074074074101</v>
      </c>
      <c r="F7" s="12">
        <f t="shared" si="1"/>
        <v>2.2561111111111192</v>
      </c>
      <c r="G7" s="13">
        <f t="shared" si="2"/>
        <v>2.2561111111111192</v>
      </c>
      <c r="H7" s="13">
        <f t="shared" si="3"/>
        <v>0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46146.823059143499</v>
      </c>
      <c r="B8" s="5" t="s">
        <v>75</v>
      </c>
      <c r="C8" s="11">
        <v>0.82305555555555598</v>
      </c>
      <c r="D8" s="11" t="s">
        <v>62</v>
      </c>
      <c r="E8" s="11">
        <v>0.95694444444444404</v>
      </c>
      <c r="F8" s="12">
        <f t="shared" si="1"/>
        <v>3.2133333333333134</v>
      </c>
      <c r="G8" s="13">
        <f t="shared" si="2"/>
        <v>3.2133333333333134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46147.293137731504</v>
      </c>
      <c r="B9" s="5" t="s">
        <v>82</v>
      </c>
      <c r="C9" s="11">
        <v>0.29313657407407401</v>
      </c>
      <c r="D9" s="11" t="s">
        <v>62</v>
      </c>
      <c r="E9" s="11">
        <v>0.42302083333333301</v>
      </c>
      <c r="F9" s="12">
        <f t="shared" si="1"/>
        <v>3.1172222222222161</v>
      </c>
      <c r="G9" s="13">
        <f t="shared" si="2"/>
        <v>2.1525000000000007</v>
      </c>
      <c r="H9" s="13">
        <f t="shared" si="3"/>
        <v>0.96472222222221538</v>
      </c>
      <c r="I9" s="21" t="s">
        <v>70</v>
      </c>
      <c r="J9" s="22">
        <f>SUMIF(B:B,"航班调度席",F:F)</f>
        <v>5.9766666666666959</v>
      </c>
      <c r="K9" s="23">
        <f>SUMIF(B:B,"航班调度席",G:G)</f>
        <v>5.9766666666666959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46147.751027430597</v>
      </c>
      <c r="B10" s="5" t="s">
        <v>86</v>
      </c>
      <c r="C10" s="11">
        <v>0.75101851851851897</v>
      </c>
      <c r="D10" s="11" t="s">
        <v>62</v>
      </c>
      <c r="E10" s="11">
        <v>0.88054398148148105</v>
      </c>
      <c r="F10" s="12">
        <f t="shared" si="1"/>
        <v>3.1086111111110899</v>
      </c>
      <c r="G10" s="13">
        <f t="shared" si="2"/>
        <v>3.1086111111110899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46148.008095949102</v>
      </c>
      <c r="B11" s="5" t="s">
        <v>79</v>
      </c>
      <c r="C11" s="11">
        <v>8.0902777777777796E-3</v>
      </c>
      <c r="D11" s="11" t="s">
        <v>62</v>
      </c>
      <c r="E11" s="11">
        <v>9.9398148148148097E-2</v>
      </c>
      <c r="F11" s="12">
        <f t="shared" si="1"/>
        <v>2.1913888888888877</v>
      </c>
      <c r="G11" s="13">
        <f t="shared" si="2"/>
        <v>0</v>
      </c>
      <c r="H11" s="13">
        <f t="shared" si="3"/>
        <v>2.1913888888888877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46151.1389023148</v>
      </c>
      <c r="B12" s="5" t="s">
        <v>79</v>
      </c>
      <c r="C12" s="11">
        <v>0.13890046296296299</v>
      </c>
      <c r="D12" s="11" t="s">
        <v>62</v>
      </c>
      <c r="E12" s="11">
        <v>0.247708333333333</v>
      </c>
      <c r="F12" s="12">
        <f t="shared" si="1"/>
        <v>2.6113888888888805</v>
      </c>
      <c r="G12" s="13">
        <f t="shared" si="2"/>
        <v>0</v>
      </c>
      <c r="H12" s="13">
        <f t="shared" si="3"/>
        <v>2.6113888888888805</v>
      </c>
      <c r="I12" s="27" t="s">
        <v>73</v>
      </c>
      <c r="J12" s="28">
        <f>SUMIF(B:B,"管制教员席",F:F)</f>
        <v>17.084166666666668</v>
      </c>
      <c r="K12" s="29">
        <f>SUMIF(B:B,"管制教员席",G:G)</f>
        <v>8.4097222222222321</v>
      </c>
      <c r="L12" s="29">
        <f>SUMIF(B:B,"管制教员席",H:H)</f>
        <v>8.6744444444444362</v>
      </c>
      <c r="M12" s="19"/>
    </row>
    <row r="13" spans="1:16" ht="18.75" x14ac:dyDescent="0.15">
      <c r="A13" s="10">
        <f t="shared" ca="1" si="0"/>
        <v>46151.247764583299</v>
      </c>
      <c r="B13" s="5" t="s">
        <v>81</v>
      </c>
      <c r="C13" s="11">
        <v>0.24775462962962999</v>
      </c>
      <c r="D13" s="11" t="s">
        <v>62</v>
      </c>
      <c r="E13" s="11">
        <v>0.30106481481481501</v>
      </c>
      <c r="F13" s="12">
        <f t="shared" si="1"/>
        <v>1.2794444444444404</v>
      </c>
      <c r="G13" s="13">
        <f t="shared" si="2"/>
        <v>0</v>
      </c>
      <c r="H13" s="13">
        <f t="shared" si="3"/>
        <v>1.2794444444444404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46155.012213194401</v>
      </c>
      <c r="B14" s="5" t="s">
        <v>75</v>
      </c>
      <c r="C14" s="11">
        <v>1.2210648148148101E-2</v>
      </c>
      <c r="D14" s="11" t="s">
        <v>62</v>
      </c>
      <c r="E14" s="11">
        <v>1.25925925925926E-2</v>
      </c>
      <c r="F14" s="12">
        <f t="shared" si="1"/>
        <v>9.1666666666679747E-3</v>
      </c>
      <c r="G14" s="13">
        <f t="shared" si="2"/>
        <v>0</v>
      </c>
      <c r="H14" s="13">
        <f t="shared" si="3"/>
        <v>9.1666666666679747E-3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46155.012665740702</v>
      </c>
      <c r="B15" s="5" t="s">
        <v>86</v>
      </c>
      <c r="C15" s="11">
        <v>1.2662037037036999E-2</v>
      </c>
      <c r="D15" s="11" t="s">
        <v>62</v>
      </c>
      <c r="E15" s="11">
        <v>0.145069444444444</v>
      </c>
      <c r="F15" s="12">
        <f t="shared" si="1"/>
        <v>3.1777777777777683</v>
      </c>
      <c r="G15" s="13">
        <f t="shared" si="2"/>
        <v>0</v>
      </c>
      <c r="H15" s="13">
        <f t="shared" si="3"/>
        <v>3.1777777777777683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46156.130600810196</v>
      </c>
      <c r="B16" s="5" t="s">
        <v>86</v>
      </c>
      <c r="C16" s="11">
        <v>0.13059027777777801</v>
      </c>
      <c r="D16" s="11" t="s">
        <v>62</v>
      </c>
      <c r="E16" s="11">
        <v>0.22424768518518501</v>
      </c>
      <c r="F16" s="12">
        <f t="shared" si="1"/>
        <v>2.2477777777777677</v>
      </c>
      <c r="G16" s="13">
        <f t="shared" si="2"/>
        <v>0</v>
      </c>
      <c r="H16" s="13">
        <f t="shared" si="3"/>
        <v>2.2477777777777677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46158.371402199104</v>
      </c>
      <c r="B17" s="5" t="s">
        <v>61</v>
      </c>
      <c r="C17" s="11">
        <v>0.37140046296296297</v>
      </c>
      <c r="D17" s="11" t="s">
        <v>62</v>
      </c>
      <c r="E17" s="11">
        <v>0.49758101851851899</v>
      </c>
      <c r="F17" s="12">
        <f t="shared" si="1"/>
        <v>3.0283333333333444</v>
      </c>
      <c r="G17" s="13">
        <f t="shared" si="2"/>
        <v>3.0283333333333444</v>
      </c>
      <c r="H17" s="13">
        <f t="shared" si="3"/>
        <v>0</v>
      </c>
      <c r="I17" s="35" t="s">
        <v>77</v>
      </c>
      <c r="J17" s="36">
        <f>J4+J5+J6+J7+J10</f>
        <v>61.800277777777666</v>
      </c>
      <c r="K17" s="37">
        <f>K4+K5+K6+K7+K10</f>
        <v>35.33916666666665</v>
      </c>
      <c r="L17" s="38">
        <f>L4+L5+L6+L7+L10</f>
        <v>26.461111111111023</v>
      </c>
      <c r="M17" s="39"/>
    </row>
    <row r="18" spans="1:13" ht="20.25" x14ac:dyDescent="0.25">
      <c r="A18" s="10">
        <f t="shared" ca="1" si="0"/>
        <v>46158.521910648102</v>
      </c>
      <c r="B18" s="5" t="s">
        <v>86</v>
      </c>
      <c r="C18" s="11">
        <v>0.52190972222222198</v>
      </c>
      <c r="D18" s="11" t="s">
        <v>62</v>
      </c>
      <c r="E18" s="11">
        <v>0.65447916666666694</v>
      </c>
      <c r="F18" s="12">
        <f t="shared" si="1"/>
        <v>3.1816666666666791</v>
      </c>
      <c r="G18" s="13">
        <f t="shared" si="2"/>
        <v>3.1816666666666791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46158.7719313657</v>
      </c>
      <c r="B19" s="5" t="s">
        <v>86</v>
      </c>
      <c r="C19" s="11">
        <v>0.77192129629629602</v>
      </c>
      <c r="D19" s="11" t="s">
        <v>62</v>
      </c>
      <c r="E19" s="11">
        <v>0.86023148148148199</v>
      </c>
      <c r="F19" s="12">
        <f t="shared" si="1"/>
        <v>2.1194444444444631</v>
      </c>
      <c r="G19" s="13">
        <f t="shared" si="2"/>
        <v>2.1194444444444631</v>
      </c>
      <c r="H19" s="13">
        <f t="shared" si="3"/>
        <v>0</v>
      </c>
      <c r="I19" s="35" t="s">
        <v>78</v>
      </c>
      <c r="J19" s="36">
        <f t="shared" ref="J19:L19" si="6">J12</f>
        <v>17.084166666666668</v>
      </c>
      <c r="K19" s="37">
        <f t="shared" si="6"/>
        <v>8.4097222222222321</v>
      </c>
      <c r="L19" s="38">
        <f t="shared" si="6"/>
        <v>8.6744444444444362</v>
      </c>
      <c r="M19" s="39"/>
    </row>
    <row r="20" spans="1:13" ht="20.25" x14ac:dyDescent="0.15">
      <c r="A20" s="10">
        <f t="shared" ca="1" si="0"/>
        <v>46159.377233911997</v>
      </c>
      <c r="B20" s="5" t="s">
        <v>61</v>
      </c>
      <c r="C20" s="11">
        <v>0.377233796296296</v>
      </c>
      <c r="D20" s="11" t="s">
        <v>62</v>
      </c>
      <c r="E20" s="11">
        <v>0.42231481481481498</v>
      </c>
      <c r="F20" s="12">
        <f t="shared" si="1"/>
        <v>1.0819444444444555</v>
      </c>
      <c r="G20" s="13">
        <f t="shared" si="2"/>
        <v>1.0819444444444555</v>
      </c>
      <c r="H20" s="13">
        <f t="shared" si="3"/>
        <v>0</v>
      </c>
      <c r="I20" s="40" t="s">
        <v>80</v>
      </c>
      <c r="J20" s="65">
        <f>J16+J17+J18+J19</f>
        <v>78.884444444444341</v>
      </c>
      <c r="K20" s="66"/>
      <c r="L20" s="67"/>
      <c r="M20" s="41"/>
    </row>
    <row r="21" spans="1:13" ht="20.25" x14ac:dyDescent="0.25">
      <c r="A21" s="10">
        <f t="shared" ca="1" si="0"/>
        <v>46159.429309027801</v>
      </c>
      <c r="B21" s="5" t="s">
        <v>79</v>
      </c>
      <c r="C21" s="11">
        <v>0.429305555555556</v>
      </c>
      <c r="D21" s="11" t="s">
        <v>62</v>
      </c>
      <c r="E21" s="11">
        <v>0.52783564814814798</v>
      </c>
      <c r="F21" s="12">
        <f t="shared" si="1"/>
        <v>2.3647222222222077</v>
      </c>
      <c r="G21" s="13">
        <f t="shared" si="2"/>
        <v>2.3647222222222077</v>
      </c>
      <c r="H21" s="13">
        <f t="shared" si="3"/>
        <v>0</v>
      </c>
      <c r="I21" s="42" t="s">
        <v>4</v>
      </c>
      <c r="J21" s="43">
        <f>SUM(J8:J9)</f>
        <v>5.9766666666666959</v>
      </c>
      <c r="K21" s="37">
        <f>SUM(K8:K9)</f>
        <v>5.9766666666666959</v>
      </c>
      <c r="L21" s="38">
        <f>SUM(L8:L9)</f>
        <v>0</v>
      </c>
      <c r="M21" s="44"/>
    </row>
    <row r="22" spans="1:13" ht="18.75" x14ac:dyDescent="0.15">
      <c r="A22" s="10">
        <f t="shared" ca="1" si="0"/>
        <v>46159.688370717602</v>
      </c>
      <c r="B22" s="5" t="s">
        <v>61</v>
      </c>
      <c r="C22" s="11">
        <v>0.68836805555555503</v>
      </c>
      <c r="D22" s="11" t="s">
        <v>62</v>
      </c>
      <c r="E22" s="11">
        <v>0.76613425925925904</v>
      </c>
      <c r="F22" s="12">
        <f t="shared" si="1"/>
        <v>1.8663888888888964</v>
      </c>
      <c r="G22" s="13">
        <f t="shared" si="2"/>
        <v>1.8663888888888964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46159.814363078702</v>
      </c>
      <c r="B23" s="5" t="s">
        <v>75</v>
      </c>
      <c r="C23" s="11">
        <v>0.81436342592592603</v>
      </c>
      <c r="D23" s="11" t="s">
        <v>62</v>
      </c>
      <c r="E23" s="11">
        <v>0.95721064814814805</v>
      </c>
      <c r="F23" s="12">
        <f t="shared" si="1"/>
        <v>3.4283333333333283</v>
      </c>
      <c r="G23" s="13">
        <f t="shared" si="2"/>
        <v>3.4283333333333283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46160.2928805556</v>
      </c>
      <c r="B24" s="5" t="s">
        <v>82</v>
      </c>
      <c r="C24" s="11">
        <v>0.292951388888889</v>
      </c>
      <c r="D24" s="11" t="s">
        <v>62</v>
      </c>
      <c r="E24" s="11">
        <v>0.33238425925925902</v>
      </c>
      <c r="F24" s="12">
        <f t="shared" si="1"/>
        <v>0.94638888888888051</v>
      </c>
      <c r="G24" s="13">
        <f t="shared" si="2"/>
        <v>0</v>
      </c>
      <c r="H24" s="13">
        <f t="shared" si="3"/>
        <v>0.94638888888888051</v>
      </c>
      <c r="I24"/>
      <c r="J24"/>
    </row>
    <row r="25" spans="1:13" ht="18.75" x14ac:dyDescent="0.15">
      <c r="A25" s="10">
        <f t="shared" ca="1" si="0"/>
        <v>46160.3324333333</v>
      </c>
      <c r="B25" s="5" t="s">
        <v>75</v>
      </c>
      <c r="C25" s="11">
        <v>0.33243055555555601</v>
      </c>
      <c r="D25" s="11" t="s">
        <v>62</v>
      </c>
      <c r="E25" s="11">
        <v>0.36609953703703701</v>
      </c>
      <c r="F25" s="12">
        <f t="shared" si="1"/>
        <v>0.8080555555555442</v>
      </c>
      <c r="G25" s="13">
        <f t="shared" si="2"/>
        <v>0.7863888888888968</v>
      </c>
      <c r="H25" s="13">
        <f t="shared" si="3"/>
        <v>2.1666666666647405E-2</v>
      </c>
      <c r="I25"/>
      <c r="J25"/>
    </row>
    <row r="26" spans="1:13" ht="18.75" x14ac:dyDescent="0.15">
      <c r="A26" s="10">
        <f t="shared" ca="1" si="0"/>
        <v>46163.0089346065</v>
      </c>
      <c r="B26" s="5" t="s">
        <v>75</v>
      </c>
      <c r="C26" s="11">
        <v>8.9236111111111096E-3</v>
      </c>
      <c r="D26" s="11" t="s">
        <v>62</v>
      </c>
      <c r="E26" s="11">
        <v>0.14510416666666701</v>
      </c>
      <c r="F26" s="12">
        <f t="shared" si="1"/>
        <v>3.2683333333333415</v>
      </c>
      <c r="G26" s="13">
        <f t="shared" si="2"/>
        <v>0</v>
      </c>
      <c r="H26" s="13">
        <f t="shared" si="3"/>
        <v>3.2683333333333415</v>
      </c>
      <c r="I26"/>
      <c r="J26"/>
    </row>
    <row r="27" spans="1:13" ht="18.75" x14ac:dyDescent="0.15">
      <c r="A27" s="10">
        <f t="shared" ca="1" si="0"/>
        <v>46164.131533101798</v>
      </c>
      <c r="B27" s="5" t="s">
        <v>83</v>
      </c>
      <c r="C27" s="11">
        <v>0.13152777777777799</v>
      </c>
      <c r="D27" s="11" t="s">
        <v>62</v>
      </c>
      <c r="E27" s="11">
        <v>0.22797453703703699</v>
      </c>
      <c r="F27" s="12">
        <f t="shared" si="1"/>
        <v>2.3147222222222159</v>
      </c>
      <c r="G27" s="13">
        <f t="shared" si="2"/>
        <v>0</v>
      </c>
      <c r="H27" s="13">
        <f t="shared" si="3"/>
        <v>2.3147222222222159</v>
      </c>
      <c r="I27"/>
      <c r="J27"/>
    </row>
    <row r="28" spans="1:13" ht="18.75" x14ac:dyDescent="0.15">
      <c r="A28" s="10">
        <f t="shared" ca="1" si="0"/>
        <v>46167.137721296298</v>
      </c>
      <c r="B28" s="5" t="s">
        <v>79</v>
      </c>
      <c r="C28" s="11">
        <v>0.137719907407407</v>
      </c>
      <c r="D28" s="11" t="s">
        <v>62</v>
      </c>
      <c r="E28" s="11">
        <v>0.23505787037036999</v>
      </c>
      <c r="F28" s="12">
        <f t="shared" si="1"/>
        <v>2.3361111111111117</v>
      </c>
      <c r="G28" s="13">
        <f t="shared" si="2"/>
        <v>0</v>
      </c>
      <c r="H28" s="13">
        <f t="shared" si="3"/>
        <v>2.3361111111111117</v>
      </c>
      <c r="I28"/>
      <c r="J28"/>
    </row>
    <row r="29" spans="1:13" ht="18.75" x14ac:dyDescent="0.15">
      <c r="A29" s="10">
        <f t="shared" ca="1" si="0"/>
        <v>46167.235424421298</v>
      </c>
      <c r="B29" s="5" t="s">
        <v>81</v>
      </c>
      <c r="C29" s="11">
        <v>0.235416666666667</v>
      </c>
      <c r="D29" s="11" t="s">
        <v>62</v>
      </c>
      <c r="E29" s="11">
        <v>0.29811342592592599</v>
      </c>
      <c r="F29" s="12">
        <f t="shared" si="1"/>
        <v>1.5047222222222159</v>
      </c>
      <c r="G29" s="13">
        <f t="shared" si="2"/>
        <v>0</v>
      </c>
      <c r="H29" s="13">
        <f t="shared" si="3"/>
        <v>1.5047222222222159</v>
      </c>
      <c r="I29"/>
      <c r="J29"/>
    </row>
    <row r="30" spans="1:13" ht="18.75" x14ac:dyDescent="0.15">
      <c r="A30" s="10">
        <f t="shared" ca="1" si="0"/>
        <v>46168.012372222198</v>
      </c>
      <c r="B30" s="5" t="s">
        <v>79</v>
      </c>
      <c r="C30" s="11">
        <v>1.23726851851852E-2</v>
      </c>
      <c r="D30" s="11" t="s">
        <v>62</v>
      </c>
      <c r="E30" s="11">
        <v>0.14427083333333299</v>
      </c>
      <c r="F30" s="12">
        <f t="shared" si="1"/>
        <v>3.1655555555555468</v>
      </c>
      <c r="G30" s="13">
        <f t="shared" si="2"/>
        <v>0</v>
      </c>
      <c r="H30" s="13">
        <f t="shared" si="3"/>
        <v>3.1655555555555468</v>
      </c>
      <c r="I30"/>
      <c r="J30"/>
    </row>
    <row r="31" spans="1:13" ht="18.75" x14ac:dyDescent="0.15">
      <c r="A31" s="10">
        <f t="shared" ca="1" si="0"/>
        <v>46170.354286342597</v>
      </c>
      <c r="B31" s="5" t="s">
        <v>82</v>
      </c>
      <c r="C31" s="11">
        <v>0.35431712962963002</v>
      </c>
      <c r="D31" s="11" t="s">
        <v>62</v>
      </c>
      <c r="E31" s="11">
        <v>0.40814814814814798</v>
      </c>
      <c r="F31" s="12">
        <f t="shared" si="1"/>
        <v>1.291944444444431</v>
      </c>
      <c r="G31" s="13">
        <f t="shared" si="2"/>
        <v>1.291944444444431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46170.417466782397</v>
      </c>
      <c r="B32" s="5" t="s">
        <v>82</v>
      </c>
      <c r="C32" s="11">
        <v>0.41746527777777798</v>
      </c>
      <c r="D32" s="11" t="s">
        <v>62</v>
      </c>
      <c r="E32" s="11">
        <v>0.52687499999999998</v>
      </c>
      <c r="F32" s="12">
        <f t="shared" si="1"/>
        <v>2.6258333333333281</v>
      </c>
      <c r="G32" s="13">
        <f t="shared" si="2"/>
        <v>2.6258333333333281</v>
      </c>
      <c r="H32" s="13">
        <f t="shared" si="3"/>
        <v>0</v>
      </c>
      <c r="I32"/>
      <c r="J32"/>
    </row>
    <row r="33" spans="1:11" ht="18.75" x14ac:dyDescent="0.15">
      <c r="A33" s="10">
        <f t="shared" ca="1" si="0"/>
        <v>46170.687450463003</v>
      </c>
      <c r="B33" s="5" t="s">
        <v>81</v>
      </c>
      <c r="C33" s="11">
        <v>0.68744212962963003</v>
      </c>
      <c r="D33" s="11" t="s">
        <v>62</v>
      </c>
      <c r="E33" s="11">
        <v>0.77666666666666695</v>
      </c>
      <c r="F33" s="12">
        <f t="shared" si="1"/>
        <v>2.1413888888888861</v>
      </c>
      <c r="G33" s="13">
        <f t="shared" si="2"/>
        <v>2.1413888888888861</v>
      </c>
      <c r="H33" s="13">
        <f t="shared" si="3"/>
        <v>0</v>
      </c>
      <c r="I33"/>
      <c r="J33"/>
    </row>
    <row r="34" spans="1:11" ht="18.75" x14ac:dyDescent="0.15">
      <c r="A34" s="10">
        <f t="shared" ca="1" si="0"/>
        <v>46170.854182175899</v>
      </c>
      <c r="B34" s="5" t="s">
        <v>82</v>
      </c>
      <c r="C34" s="11">
        <v>0.854178240740741</v>
      </c>
      <c r="D34" s="11" t="s">
        <v>62</v>
      </c>
      <c r="E34" s="11">
        <v>0.95728009259259295</v>
      </c>
      <c r="F34" s="12">
        <f t="shared" si="1"/>
        <v>2.4744444444444467</v>
      </c>
      <c r="G34" s="13">
        <f t="shared" si="2"/>
        <v>2.4744444444444467</v>
      </c>
      <c r="H34" s="13">
        <f t="shared" si="3"/>
        <v>0</v>
      </c>
      <c r="I34"/>
      <c r="J34"/>
    </row>
    <row r="35" spans="1:11" ht="18.75" x14ac:dyDescent="0.15">
      <c r="A35" s="10">
        <f t="shared" ca="1" si="0"/>
        <v>46171.292240046299</v>
      </c>
      <c r="B35" s="5" t="s">
        <v>82</v>
      </c>
      <c r="C35" s="11">
        <v>0.29223379629629598</v>
      </c>
      <c r="D35" s="11" t="s">
        <v>62</v>
      </c>
      <c r="E35" s="11">
        <v>0.42891203703703701</v>
      </c>
      <c r="F35" s="12">
        <f t="shared" si="1"/>
        <v>3.2802777777777847</v>
      </c>
      <c r="G35" s="13">
        <f t="shared" si="2"/>
        <v>2.2938888888888966</v>
      </c>
      <c r="H35" s="13">
        <f t="shared" si="3"/>
        <v>0.98638888888888809</v>
      </c>
      <c r="I35"/>
      <c r="J35"/>
    </row>
    <row r="36" spans="1:11" ht="18.75" x14ac:dyDescent="0.15">
      <c r="A36" s="10">
        <f t="shared" ca="1" si="0"/>
        <v>46171.521465161997</v>
      </c>
      <c r="B36" s="5" t="s">
        <v>82</v>
      </c>
      <c r="C36" s="11">
        <v>0.52145833333333302</v>
      </c>
      <c r="D36" s="11" t="s">
        <v>62</v>
      </c>
      <c r="E36" s="11">
        <v>0.61512731481481497</v>
      </c>
      <c r="F36" s="12">
        <f t="shared" si="1"/>
        <v>2.2480555555555668</v>
      </c>
      <c r="G36" s="13">
        <f t="shared" si="2"/>
        <v>2.2480555555555668</v>
      </c>
      <c r="H36" s="13">
        <f t="shared" si="3"/>
        <v>0</v>
      </c>
      <c r="I36"/>
      <c r="J36"/>
    </row>
    <row r="37" spans="1:11" ht="18.75" x14ac:dyDescent="0.15">
      <c r="A37" s="10">
        <f t="shared" ca="1" si="0"/>
        <v>46171.730284953701</v>
      </c>
      <c r="B37" s="5" t="s">
        <v>81</v>
      </c>
      <c r="C37" s="11">
        <v>0.73035879629629596</v>
      </c>
      <c r="D37" s="11" t="s">
        <v>62</v>
      </c>
      <c r="E37" s="11">
        <v>0.859872685185185</v>
      </c>
      <c r="F37" s="12">
        <f t="shared" si="1"/>
        <v>3.1083333333333369</v>
      </c>
      <c r="G37" s="13">
        <f t="shared" si="2"/>
        <v>3.1083333333333369</v>
      </c>
      <c r="H37" s="13">
        <f t="shared" si="3"/>
        <v>0</v>
      </c>
      <c r="I37"/>
      <c r="J37"/>
    </row>
    <row r="38" spans="1:11" ht="18.75" x14ac:dyDescent="0.15">
      <c r="A38" s="10">
        <f t="shared" ca="1" si="0"/>
        <v>46172.292131134302</v>
      </c>
      <c r="B38" s="5" t="s">
        <v>82</v>
      </c>
      <c r="C38" s="11">
        <v>0.29212962962963002</v>
      </c>
      <c r="D38" s="11" t="s">
        <v>62</v>
      </c>
      <c r="E38" s="11">
        <v>0.36557870370370399</v>
      </c>
      <c r="F38" s="12">
        <f t="shared" si="1"/>
        <v>1.7627777777777753</v>
      </c>
      <c r="G38" s="13">
        <f t="shared" si="2"/>
        <v>0.77388888888890417</v>
      </c>
      <c r="H38" s="13">
        <f t="shared" si="3"/>
        <v>0.98888888888887116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46143.1401625</v>
      </c>
      <c r="B3" s="5" t="s">
        <v>79</v>
      </c>
      <c r="C3" s="11">
        <v>0.140162037037037</v>
      </c>
      <c r="D3" s="11" t="s">
        <v>62</v>
      </c>
      <c r="E3" s="11">
        <v>0.29896990740740698</v>
      </c>
      <c r="F3" s="12">
        <f t="shared" ref="F3:F42" si="1">(IF(E3-C3&lt;0,"24:00"-C3+E3,E3-C3))*24</f>
        <v>3.8113888888888794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3.8113888888888794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46144.131933217599</v>
      </c>
      <c r="B4" s="5" t="s">
        <v>83</v>
      </c>
      <c r="C4" s="11">
        <v>0.13193287037036999</v>
      </c>
      <c r="D4" s="11" t="s">
        <v>62</v>
      </c>
      <c r="E4" s="11">
        <v>0.203645833333333</v>
      </c>
      <c r="F4" s="12">
        <f t="shared" si="1"/>
        <v>1.7211111111111121</v>
      </c>
      <c r="G4" s="13">
        <f t="shared" si="2"/>
        <v>0</v>
      </c>
      <c r="H4" s="13">
        <f t="shared" si="3"/>
        <v>1.7211111111111121</v>
      </c>
      <c r="I4" s="21" t="s">
        <v>65</v>
      </c>
      <c r="J4" s="22">
        <f>SUMIF(B:B,"西塔台管制席",F:F)+SUMIF(B:B,"东塔台管制席",F:F)</f>
        <v>27.961388888888855</v>
      </c>
      <c r="K4" s="23">
        <f>SUMIF(B:B,"西塔台管制席",G:G)+SUMIF(B:B,"东塔台管制席",G:G)</f>
        <v>13.665555555555555</v>
      </c>
      <c r="L4" s="23">
        <f>SUMIF(B:B,"西塔台管制席",H:H)+SUMIF(B:B,"东塔台管制席",H:H)</f>
        <v>14.295833333333306</v>
      </c>
      <c r="M4" s="19"/>
    </row>
    <row r="5" spans="1:16" ht="18.75" x14ac:dyDescent="0.25">
      <c r="A5" s="10">
        <f t="shared" ca="1" si="0"/>
        <v>46144.203676736099</v>
      </c>
      <c r="B5" s="5" t="s">
        <v>81</v>
      </c>
      <c r="C5" s="11">
        <v>0.20366898148148099</v>
      </c>
      <c r="D5" s="11" t="s">
        <v>62</v>
      </c>
      <c r="E5" s="11">
        <v>0.29802083333333301</v>
      </c>
      <c r="F5" s="12">
        <f t="shared" si="1"/>
        <v>2.2644444444444485</v>
      </c>
      <c r="G5" s="13">
        <f t="shared" si="2"/>
        <v>0</v>
      </c>
      <c r="H5" s="13">
        <f t="shared" si="3"/>
        <v>2.2644444444444485</v>
      </c>
      <c r="I5" s="21" t="s">
        <v>66</v>
      </c>
      <c r="J5" s="22">
        <f>SUMIF(B:B,"西塔台协调席",F:F)+SUMIF(B:B,"东塔台协调席",F:F)</f>
        <v>21.683888888888866</v>
      </c>
      <c r="K5" s="23">
        <f>SUMIF(B:B,"西塔台协调席",G:G)+SUMIF(B:B,"东塔台协调席",G:G)</f>
        <v>10.570833333333338</v>
      </c>
      <c r="L5" s="23">
        <f>SUMIF(B:B,"西塔台协调席",H:H)+SUMIF(B:B,"东塔台协调席",H:H)</f>
        <v>11.11305555555553</v>
      </c>
      <c r="M5" s="19"/>
    </row>
    <row r="6" spans="1:16" ht="18.75" x14ac:dyDescent="0.25">
      <c r="A6" s="10">
        <f t="shared" ca="1" si="0"/>
        <v>46151.015889120397</v>
      </c>
      <c r="B6" s="5" t="s">
        <v>81</v>
      </c>
      <c r="C6" s="11">
        <v>1.5879629629629601E-2</v>
      </c>
      <c r="D6" s="11" t="s">
        <v>62</v>
      </c>
      <c r="E6" s="11">
        <v>0.10387731481481501</v>
      </c>
      <c r="F6" s="12">
        <f t="shared" si="1"/>
        <v>2.1119444444444495</v>
      </c>
      <c r="G6" s="13">
        <f t="shared" si="2"/>
        <v>0</v>
      </c>
      <c r="H6" s="13">
        <f t="shared" si="3"/>
        <v>2.1119444444444495</v>
      </c>
      <c r="I6" s="21" t="s">
        <v>67</v>
      </c>
      <c r="J6" s="22">
        <f>SUMIF(B:B,"放行席",F:F)</f>
        <v>1.7211111111111121</v>
      </c>
      <c r="K6" s="23">
        <f>SUMIF(B:B,"放行席",G:G)</f>
        <v>0</v>
      </c>
      <c r="L6" s="23">
        <f>SUMIF(B:B,"放行席",H:H)</f>
        <v>1.7211111111111121</v>
      </c>
      <c r="M6" s="19"/>
    </row>
    <row r="7" spans="1:16" ht="18.75" x14ac:dyDescent="0.25">
      <c r="A7" s="10">
        <f t="shared" ca="1" si="0"/>
        <v>46151.1039634259</v>
      </c>
      <c r="B7" s="5" t="s">
        <v>79</v>
      </c>
      <c r="C7" s="11">
        <v>0.103958333333333</v>
      </c>
      <c r="D7" s="11" t="s">
        <v>62</v>
      </c>
      <c r="E7" s="11">
        <v>0.14601851851851899</v>
      </c>
      <c r="F7" s="12">
        <f t="shared" si="1"/>
        <v>1.0094444444444637</v>
      </c>
      <c r="G7" s="13">
        <f t="shared" si="2"/>
        <v>0</v>
      </c>
      <c r="H7" s="13">
        <f t="shared" si="3"/>
        <v>1.0094444444444637</v>
      </c>
      <c r="I7" s="21" t="s">
        <v>68</v>
      </c>
      <c r="J7" s="22">
        <f>SUMIF(B:B,"地面席",F:F)</f>
        <v>2.1888888888888962</v>
      </c>
      <c r="K7" s="23">
        <f>SUMIF(B:B,"地面席",G:G)</f>
        <v>0</v>
      </c>
      <c r="L7" s="23">
        <f>SUMIF(B:B,"地面席",H:H)</f>
        <v>2.1888888888888962</v>
      </c>
      <c r="M7" s="19"/>
    </row>
    <row r="8" spans="1:16" ht="18.75" x14ac:dyDescent="0.25">
      <c r="A8" s="10">
        <f t="shared" ca="1" si="0"/>
        <v>46151.677895254601</v>
      </c>
      <c r="B8" s="5" t="s">
        <v>61</v>
      </c>
      <c r="C8" s="11">
        <v>0.67789351851851898</v>
      </c>
      <c r="D8" s="11" t="s">
        <v>62</v>
      </c>
      <c r="E8" s="11">
        <v>0.73471064814814802</v>
      </c>
      <c r="F8" s="12">
        <f t="shared" si="1"/>
        <v>1.3636111111110969</v>
      </c>
      <c r="G8" s="13">
        <f t="shared" si="2"/>
        <v>1.3636111111110969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46152.136410763902</v>
      </c>
      <c r="B9" s="5" t="s">
        <v>82</v>
      </c>
      <c r="C9" s="11">
        <v>0.13640046296296299</v>
      </c>
      <c r="D9" s="11" t="s">
        <v>62</v>
      </c>
      <c r="E9" s="11">
        <v>0.22410879629629599</v>
      </c>
      <c r="F9" s="12">
        <f t="shared" si="1"/>
        <v>2.104999999999992</v>
      </c>
      <c r="G9" s="13">
        <f t="shared" si="2"/>
        <v>0</v>
      </c>
      <c r="H9" s="13">
        <f t="shared" si="3"/>
        <v>2.104999999999992</v>
      </c>
      <c r="I9" s="21" t="s">
        <v>70</v>
      </c>
      <c r="J9" s="22">
        <f>SUMIF(B:B,"航班调度席",F:F)</f>
        <v>17.107222222222227</v>
      </c>
      <c r="K9" s="23">
        <f>SUMIF(B:B,"航班调度席",G:G)</f>
        <v>17.107222222222227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46152.2244663194</v>
      </c>
      <c r="B10" s="5" t="s">
        <v>75</v>
      </c>
      <c r="C10" s="11">
        <v>0.22445601851851901</v>
      </c>
      <c r="D10" s="11" t="s">
        <v>62</v>
      </c>
      <c r="E10" s="11">
        <v>0.30313657407407402</v>
      </c>
      <c r="F10" s="12">
        <f t="shared" si="1"/>
        <v>1.8883333333333201</v>
      </c>
      <c r="G10" s="13">
        <f t="shared" si="2"/>
        <v>0</v>
      </c>
      <c r="H10" s="13">
        <f t="shared" si="3"/>
        <v>1.8883333333333201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46155.139153588003</v>
      </c>
      <c r="B11" s="5" t="s">
        <v>84</v>
      </c>
      <c r="C11" s="11">
        <v>0.139143518518518</v>
      </c>
      <c r="D11" s="11" t="s">
        <v>62</v>
      </c>
      <c r="E11" s="11">
        <v>0.23034722222222201</v>
      </c>
      <c r="F11" s="12">
        <f t="shared" si="1"/>
        <v>2.1888888888888962</v>
      </c>
      <c r="G11" s="13">
        <f t="shared" si="2"/>
        <v>0</v>
      </c>
      <c r="H11" s="13">
        <f t="shared" si="3"/>
        <v>2.1888888888888962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46156.007348495397</v>
      </c>
      <c r="B12" s="5" t="s">
        <v>82</v>
      </c>
      <c r="C12" s="11">
        <v>7.3379629629629602E-3</v>
      </c>
      <c r="D12" s="11" t="s">
        <v>62</v>
      </c>
      <c r="E12" s="11">
        <v>0.10349537037037</v>
      </c>
      <c r="F12" s="12">
        <f t="shared" si="1"/>
        <v>2.307777777777769</v>
      </c>
      <c r="G12" s="13">
        <f t="shared" si="2"/>
        <v>0</v>
      </c>
      <c r="H12" s="13">
        <f t="shared" si="3"/>
        <v>2.307777777777769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46156.103531828703</v>
      </c>
      <c r="B13" s="5" t="s">
        <v>79</v>
      </c>
      <c r="C13" s="11">
        <v>0.10353009259259301</v>
      </c>
      <c r="D13" s="11" t="s">
        <v>62</v>
      </c>
      <c r="E13" s="11">
        <v>0.14729166666666699</v>
      </c>
      <c r="F13" s="12">
        <f t="shared" si="1"/>
        <v>1.0502777777777754</v>
      </c>
      <c r="G13" s="13">
        <f t="shared" si="2"/>
        <v>0</v>
      </c>
      <c r="H13" s="13">
        <f t="shared" si="3"/>
        <v>1.0502777777777754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46158.649370717598</v>
      </c>
      <c r="B14" s="5" t="s">
        <v>82</v>
      </c>
      <c r="C14" s="11">
        <v>0.649363425925926</v>
      </c>
      <c r="D14" s="11" t="s">
        <v>62</v>
      </c>
      <c r="E14" s="11">
        <v>0.77944444444444405</v>
      </c>
      <c r="F14" s="12">
        <f t="shared" si="1"/>
        <v>3.1219444444444333</v>
      </c>
      <c r="G14" s="13">
        <f t="shared" si="2"/>
        <v>3.1219444444444333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46158.855299884301</v>
      </c>
      <c r="B15" s="5" t="s">
        <v>81</v>
      </c>
      <c r="C15" s="11">
        <v>0.85528935185185195</v>
      </c>
      <c r="D15" s="11" t="s">
        <v>62</v>
      </c>
      <c r="E15" s="11">
        <v>0.95865740740740701</v>
      </c>
      <c r="F15" s="12">
        <f t="shared" si="1"/>
        <v>2.4808333333333215</v>
      </c>
      <c r="G15" s="13">
        <f t="shared" si="2"/>
        <v>2.4808333333333215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46159.414872453701</v>
      </c>
      <c r="B16" s="5" t="s">
        <v>75</v>
      </c>
      <c r="C16" s="11">
        <v>0.414872685185185</v>
      </c>
      <c r="D16" s="11" t="s">
        <v>62</v>
      </c>
      <c r="E16" s="11">
        <v>0.52672453703703703</v>
      </c>
      <c r="F16" s="12">
        <f t="shared" si="1"/>
        <v>2.6844444444444489</v>
      </c>
      <c r="G16" s="13">
        <f t="shared" si="2"/>
        <v>2.6844444444444489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46159.814507870396</v>
      </c>
      <c r="B17" s="5" t="s">
        <v>79</v>
      </c>
      <c r="C17" s="11">
        <v>0.81450231481481505</v>
      </c>
      <c r="D17" s="11" t="s">
        <v>62</v>
      </c>
      <c r="E17" s="11">
        <v>0.95840277777777805</v>
      </c>
      <c r="F17" s="12">
        <f t="shared" si="1"/>
        <v>3.4536111111111119</v>
      </c>
      <c r="G17" s="13">
        <f t="shared" si="2"/>
        <v>3.4536111111111119</v>
      </c>
      <c r="H17" s="13">
        <f t="shared" si="3"/>
        <v>0</v>
      </c>
      <c r="I17" s="35" t="s">
        <v>77</v>
      </c>
      <c r="J17" s="36">
        <f>J4+J5+J6+J7+J10</f>
        <v>53.555277777777732</v>
      </c>
      <c r="K17" s="37">
        <f>K4+K5+K6+K7+K10</f>
        <v>24.236388888888893</v>
      </c>
      <c r="L17" s="38">
        <f>L4+L5+L6+L7+L10</f>
        <v>29.318888888888846</v>
      </c>
      <c r="M17" s="39"/>
    </row>
    <row r="18" spans="1:13" ht="20.25" x14ac:dyDescent="0.25">
      <c r="A18" s="10">
        <f t="shared" ca="1" si="0"/>
        <v>46160.293603009297</v>
      </c>
      <c r="B18" s="5" t="s">
        <v>81</v>
      </c>
      <c r="C18" s="11">
        <v>0.29359953703703701</v>
      </c>
      <c r="D18" s="11" t="s">
        <v>62</v>
      </c>
      <c r="E18" s="11">
        <v>0.32895833333333302</v>
      </c>
      <c r="F18" s="12">
        <f t="shared" si="1"/>
        <v>0.84861111111110432</v>
      </c>
      <c r="G18" s="13">
        <f t="shared" si="2"/>
        <v>0</v>
      </c>
      <c r="H18" s="13">
        <f t="shared" si="3"/>
        <v>0.84861111111110432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46160.329037962998</v>
      </c>
      <c r="B19" s="5" t="s">
        <v>79</v>
      </c>
      <c r="C19" s="11">
        <v>0.32902777777777797</v>
      </c>
      <c r="D19" s="11" t="s">
        <v>62</v>
      </c>
      <c r="E19" s="11">
        <v>0.36805555555555602</v>
      </c>
      <c r="F19" s="12">
        <f t="shared" si="1"/>
        <v>0.9366666666666732</v>
      </c>
      <c r="G19" s="13">
        <f t="shared" si="2"/>
        <v>0.83333333333335302</v>
      </c>
      <c r="H19" s="13">
        <f t="shared" si="3"/>
        <v>0.10333333333332018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46162.952833449097</v>
      </c>
      <c r="B20" s="5" t="s">
        <v>81</v>
      </c>
      <c r="C20" s="11">
        <v>0.95282407407407399</v>
      </c>
      <c r="D20" s="11" t="s">
        <v>62</v>
      </c>
      <c r="E20" s="11">
        <v>0.12593750000000001</v>
      </c>
      <c r="F20" s="12">
        <f t="shared" si="1"/>
        <v>4.1547222222222242</v>
      </c>
      <c r="G20" s="13">
        <f t="shared" si="2"/>
        <v>1.1322222222222242</v>
      </c>
      <c r="H20" s="13">
        <f t="shared" si="3"/>
        <v>3.0225</v>
      </c>
      <c r="I20" s="40" t="s">
        <v>80</v>
      </c>
      <c r="J20" s="65">
        <f>J16+J17+J18+J19</f>
        <v>53.555277777777732</v>
      </c>
      <c r="K20" s="66"/>
      <c r="L20" s="67"/>
      <c r="M20" s="41"/>
    </row>
    <row r="21" spans="1:13" ht="20.25" x14ac:dyDescent="0.25">
      <c r="A21" s="10">
        <f t="shared" ca="1" si="0"/>
        <v>46164.137478703698</v>
      </c>
      <c r="B21" s="5" t="s">
        <v>82</v>
      </c>
      <c r="C21" s="11">
        <v>0.13747685185185199</v>
      </c>
      <c r="D21" s="11" t="s">
        <v>62</v>
      </c>
      <c r="E21" s="11">
        <v>0.300335648148148</v>
      </c>
      <c r="F21" s="12">
        <f t="shared" si="1"/>
        <v>3.9086111111111044</v>
      </c>
      <c r="G21" s="13">
        <f t="shared" si="2"/>
        <v>0</v>
      </c>
      <c r="H21" s="13">
        <f t="shared" si="3"/>
        <v>3.9086111111111044</v>
      </c>
      <c r="I21" s="42" t="s">
        <v>4</v>
      </c>
      <c r="J21" s="43">
        <f>SUM(J8:J9)</f>
        <v>17.107222222222227</v>
      </c>
      <c r="K21" s="37">
        <f>SUM(K8:K9)</f>
        <v>17.107222222222227</v>
      </c>
      <c r="L21" s="38">
        <f>SUM(L8:L9)</f>
        <v>0</v>
      </c>
      <c r="M21" s="44"/>
    </row>
    <row r="22" spans="1:13" ht="18.75" x14ac:dyDescent="0.15">
      <c r="A22" s="10">
        <f t="shared" ca="1" si="0"/>
        <v>46166.366018402798</v>
      </c>
      <c r="B22" s="5" t="s">
        <v>61</v>
      </c>
      <c r="C22" s="11">
        <v>0.36601851851851902</v>
      </c>
      <c r="D22" s="11" t="s">
        <v>62</v>
      </c>
      <c r="E22" s="11">
        <v>0.45821759259259298</v>
      </c>
      <c r="F22" s="12">
        <f t="shared" si="1"/>
        <v>2.2127777777777751</v>
      </c>
      <c r="G22" s="13">
        <f t="shared" si="2"/>
        <v>2.2127777777777751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46166.625720833297</v>
      </c>
      <c r="B23" s="5" t="s">
        <v>79</v>
      </c>
      <c r="C23" s="11">
        <v>0.62571759259259296</v>
      </c>
      <c r="D23" s="11" t="s">
        <v>62</v>
      </c>
      <c r="E23" s="11">
        <v>0.71427083333333297</v>
      </c>
      <c r="F23" s="12">
        <f t="shared" si="1"/>
        <v>2.1252777777777601</v>
      </c>
      <c r="G23" s="13">
        <f t="shared" si="2"/>
        <v>2.1252777777777601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46166.793019560202</v>
      </c>
      <c r="B24" s="5" t="s">
        <v>75</v>
      </c>
      <c r="C24" s="11">
        <v>0.79300925925925903</v>
      </c>
      <c r="D24" s="11" t="s">
        <v>62</v>
      </c>
      <c r="E24" s="11">
        <v>0.87949074074074096</v>
      </c>
      <c r="F24" s="12">
        <f t="shared" si="1"/>
        <v>2.0755555555555665</v>
      </c>
      <c r="G24" s="13">
        <f t="shared" si="2"/>
        <v>2.0755555555555665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46167.292619791697</v>
      </c>
      <c r="B25" s="5" t="s">
        <v>81</v>
      </c>
      <c r="C25" s="11">
        <v>0.29261574074074098</v>
      </c>
      <c r="D25" s="11" t="s">
        <v>62</v>
      </c>
      <c r="E25" s="11">
        <v>0.42490740740740701</v>
      </c>
      <c r="F25" s="12">
        <f t="shared" si="1"/>
        <v>3.1749999999999847</v>
      </c>
      <c r="G25" s="13">
        <f t="shared" si="2"/>
        <v>2.1977777777777767</v>
      </c>
      <c r="H25" s="13">
        <f t="shared" si="3"/>
        <v>0.977222222222208</v>
      </c>
      <c r="I25"/>
      <c r="J25"/>
    </row>
    <row r="26" spans="1:13" ht="18.75" x14ac:dyDescent="0.15">
      <c r="A26" s="10">
        <f t="shared" ca="1" si="0"/>
        <v>46167.667360185202</v>
      </c>
      <c r="B26" s="5" t="s">
        <v>82</v>
      </c>
      <c r="C26" s="11">
        <v>0.66734953703703703</v>
      </c>
      <c r="D26" s="11" t="s">
        <v>62</v>
      </c>
      <c r="E26" s="11">
        <v>0.83949074074074104</v>
      </c>
      <c r="F26" s="12">
        <f t="shared" si="1"/>
        <v>4.1313888888888961</v>
      </c>
      <c r="G26" s="13">
        <f t="shared" si="2"/>
        <v>4.1313888888888961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46170.354896296303</v>
      </c>
      <c r="B27" s="5" t="s">
        <v>61</v>
      </c>
      <c r="C27" s="11">
        <v>0.35489583333333302</v>
      </c>
      <c r="D27" s="11" t="s">
        <v>62</v>
      </c>
      <c r="E27" s="11">
        <v>0.48875000000000002</v>
      </c>
      <c r="F27" s="12">
        <f t="shared" si="1"/>
        <v>3.2125000000000079</v>
      </c>
      <c r="G27" s="13">
        <f t="shared" si="2"/>
        <v>3.2125000000000079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46170.537920486102</v>
      </c>
      <c r="B28" s="5" t="s">
        <v>61</v>
      </c>
      <c r="C28" s="11">
        <v>0.53791666666666704</v>
      </c>
      <c r="D28" s="11" t="s">
        <v>62</v>
      </c>
      <c r="E28" s="11">
        <v>0.73792824074074104</v>
      </c>
      <c r="F28" s="12">
        <f t="shared" si="1"/>
        <v>4.8002777777777759</v>
      </c>
      <c r="G28" s="13">
        <f t="shared" si="2"/>
        <v>4.8002777777777759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46171.375541203699</v>
      </c>
      <c r="B29" s="5" t="s">
        <v>61</v>
      </c>
      <c r="C29" s="11">
        <v>0.37553240740740701</v>
      </c>
      <c r="D29" s="11" t="s">
        <v>62</v>
      </c>
      <c r="E29" s="11">
        <v>0.51457175925925902</v>
      </c>
      <c r="F29" s="12">
        <f t="shared" si="1"/>
        <v>3.3369444444444483</v>
      </c>
      <c r="G29" s="13">
        <f t="shared" si="2"/>
        <v>3.3369444444444483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46171.539988194403</v>
      </c>
      <c r="B30" s="5" t="s">
        <v>61</v>
      </c>
      <c r="C30" s="11">
        <v>0.539988425925926</v>
      </c>
      <c r="D30" s="11" t="s">
        <v>62</v>
      </c>
      <c r="E30" s="11">
        <v>0.63086805555555603</v>
      </c>
      <c r="F30" s="12">
        <f t="shared" si="1"/>
        <v>2.1811111111111208</v>
      </c>
      <c r="G30" s="13">
        <f t="shared" si="2"/>
        <v>2.1811111111111208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46144.9410832176</v>
      </c>
      <c r="B3" s="5" t="s">
        <v>64</v>
      </c>
      <c r="C3" s="11">
        <v>0.93899305555555601</v>
      </c>
      <c r="D3" s="11" t="s">
        <v>62</v>
      </c>
      <c r="E3" s="11">
        <v>0.13666666666666699</v>
      </c>
      <c r="F3" s="12">
        <f t="shared" ref="F3:F42" si="1">(IF(E3-C3&lt;0,"24:00"-C3+E3,E3-C3))*24</f>
        <v>4.7441666666666631</v>
      </c>
      <c r="G3" s="13">
        <f t="shared" ref="G3:G42" si="2">F3-H3</f>
        <v>1.4641666666666553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3.2800000000000078</v>
      </c>
      <c r="I3" s="16" t="s">
        <v>63</v>
      </c>
      <c r="J3" s="17">
        <f>SUMIF(B:B,"带班主任",F:F)</f>
        <v>67.507222222222197</v>
      </c>
      <c r="K3" s="18">
        <f>SUMIF(B:B,"带班主任",G:G)</f>
        <v>42.665833333333346</v>
      </c>
      <c r="L3" s="18">
        <f>SUMIF(B:B,"带班主任",H:H)</f>
        <v>24.841388888888858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46145.543259490703</v>
      </c>
      <c r="B4" s="5" t="s">
        <v>64</v>
      </c>
      <c r="C4" s="11">
        <v>0.54186342592592596</v>
      </c>
      <c r="D4" s="11" t="s">
        <v>62</v>
      </c>
      <c r="E4" s="11">
        <v>0.58753472222222203</v>
      </c>
      <c r="F4" s="12">
        <f t="shared" si="1"/>
        <v>1.0961111111111057</v>
      </c>
      <c r="G4" s="13">
        <f t="shared" si="2"/>
        <v>1.0961111111111057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7.8230555555555572</v>
      </c>
      <c r="K4" s="23">
        <f>SUMIF(B:B,"西塔台管制席",G:G)+SUMIF(B:B,"东塔台管制席",G:G)</f>
        <v>0.68361111111112782</v>
      </c>
      <c r="L4" s="23">
        <f>SUMIF(B:B,"西塔台管制席",H:H)+SUMIF(B:B,"东塔台管制席",H:H)</f>
        <v>7.1394444444444298</v>
      </c>
      <c r="M4" s="19"/>
    </row>
    <row r="5" spans="1:16" ht="18.75" x14ac:dyDescent="0.25">
      <c r="A5" s="10">
        <f t="shared" ca="1" si="0"/>
        <v>46145.618362731497</v>
      </c>
      <c r="B5" s="5" t="s">
        <v>61</v>
      </c>
      <c r="C5" s="11">
        <v>0.61835648148148104</v>
      </c>
      <c r="D5" s="11" t="s">
        <v>62</v>
      </c>
      <c r="E5" s="11">
        <v>0.715671296296296</v>
      </c>
      <c r="F5" s="12">
        <f t="shared" si="1"/>
        <v>2.3355555555555592</v>
      </c>
      <c r="G5" s="13">
        <f t="shared" si="2"/>
        <v>2.3355555555555592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11.563333333333322</v>
      </c>
      <c r="K5" s="23">
        <f>SUMIF(B:B,"西塔台协调席",G:G)+SUMIF(B:B,"东塔台协调席",G:G)</f>
        <v>6.1219444444444324</v>
      </c>
      <c r="L5" s="23">
        <f>SUMIF(B:B,"西塔台协调席",H:H)+SUMIF(B:B,"东塔台协调席",H:H)</f>
        <v>5.4413888888888895</v>
      </c>
      <c r="M5" s="19"/>
    </row>
    <row r="6" spans="1:16" ht="18.75" x14ac:dyDescent="0.25">
      <c r="A6" s="10">
        <f t="shared" ca="1" si="0"/>
        <v>46146.134422222203</v>
      </c>
      <c r="B6" s="5" t="s">
        <v>64</v>
      </c>
      <c r="C6" s="11">
        <v>0.13233796296296299</v>
      </c>
      <c r="D6" s="11" t="s">
        <v>62</v>
      </c>
      <c r="E6" s="11">
        <v>0.30333333333333301</v>
      </c>
      <c r="F6" s="12">
        <f t="shared" si="1"/>
        <v>4.1038888888888803</v>
      </c>
      <c r="G6" s="13">
        <f t="shared" si="2"/>
        <v>0</v>
      </c>
      <c r="H6" s="13">
        <f t="shared" si="3"/>
        <v>4.1038888888888803</v>
      </c>
      <c r="I6" s="21" t="s">
        <v>67</v>
      </c>
      <c r="J6" s="22">
        <f>SUMIF(B:B,"放行席",F:F)</f>
        <v>1.9177777777777922</v>
      </c>
      <c r="K6" s="23">
        <f>SUMIF(B:B,"放行席",G:G)</f>
        <v>0</v>
      </c>
      <c r="L6" s="23">
        <f>SUMIF(B:B,"放行席",H:H)</f>
        <v>1.9177777777777922</v>
      </c>
      <c r="M6" s="19"/>
    </row>
    <row r="7" spans="1:16" ht="18.75" x14ac:dyDescent="0.25">
      <c r="A7" s="10">
        <f t="shared" ca="1" si="0"/>
        <v>46148.9610783565</v>
      </c>
      <c r="B7" s="5" t="s">
        <v>75</v>
      </c>
      <c r="C7" s="11">
        <v>0.95903935185185196</v>
      </c>
      <c r="D7" s="11" t="s">
        <v>62</v>
      </c>
      <c r="E7" s="11">
        <v>0.11851851851851899</v>
      </c>
      <c r="F7" s="12">
        <f t="shared" si="1"/>
        <v>3.8275000000000086</v>
      </c>
      <c r="G7" s="13">
        <f t="shared" si="2"/>
        <v>0.98305555555555291</v>
      </c>
      <c r="H7" s="13">
        <f t="shared" si="3"/>
        <v>2.8444444444444557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46150.015129050902</v>
      </c>
      <c r="B8" s="5" t="s">
        <v>82</v>
      </c>
      <c r="C8" s="11">
        <v>1.51273148148148E-2</v>
      </c>
      <c r="D8" s="11" t="s">
        <v>62</v>
      </c>
      <c r="E8" s="11">
        <v>0.143587962962963</v>
      </c>
      <c r="F8" s="12">
        <f t="shared" si="1"/>
        <v>3.083055555555557</v>
      </c>
      <c r="G8" s="13">
        <f t="shared" si="2"/>
        <v>0</v>
      </c>
      <c r="H8" s="13">
        <f t="shared" si="3"/>
        <v>3.083055555555557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46153.329793402801</v>
      </c>
      <c r="B9" s="5" t="s">
        <v>64</v>
      </c>
      <c r="C9" s="11">
        <v>0.32979166666666698</v>
      </c>
      <c r="D9" s="11" t="s">
        <v>62</v>
      </c>
      <c r="E9" s="11">
        <v>0.48936342592592602</v>
      </c>
      <c r="F9" s="12">
        <f t="shared" si="1"/>
        <v>3.8297222222222169</v>
      </c>
      <c r="G9" s="13">
        <f t="shared" si="2"/>
        <v>3.7447222222222329</v>
      </c>
      <c r="H9" s="13">
        <f t="shared" si="3"/>
        <v>8.4999999999983977E-2</v>
      </c>
      <c r="I9" s="21" t="s">
        <v>70</v>
      </c>
      <c r="J9" s="22">
        <f>SUMIF(B:B,"航班调度席",F:F)</f>
        <v>2.3355555555555592</v>
      </c>
      <c r="K9" s="23">
        <f>SUMIF(B:B,"航班调度席",G:G)</f>
        <v>2.3355555555555592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46153.498856597202</v>
      </c>
      <c r="B10" s="5" t="s">
        <v>64</v>
      </c>
      <c r="C10" s="11">
        <v>0.496770833333333</v>
      </c>
      <c r="D10" s="11" t="s">
        <v>62</v>
      </c>
      <c r="E10" s="11">
        <v>0.54586805555555595</v>
      </c>
      <c r="F10" s="12">
        <f t="shared" si="1"/>
        <v>1.178333333333351</v>
      </c>
      <c r="G10" s="13">
        <f t="shared" si="2"/>
        <v>1.178333333333351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46153.939667476901</v>
      </c>
      <c r="B11" s="5" t="s">
        <v>64</v>
      </c>
      <c r="C11" s="11">
        <v>0.93758101851851805</v>
      </c>
      <c r="D11" s="11" t="s">
        <v>62</v>
      </c>
      <c r="E11" s="11">
        <v>0.13288194444444401</v>
      </c>
      <c r="F11" s="12">
        <f t="shared" si="1"/>
        <v>4.6872222222222231</v>
      </c>
      <c r="G11" s="13">
        <f t="shared" si="2"/>
        <v>1.4980555555555668</v>
      </c>
      <c r="H11" s="13">
        <f t="shared" si="3"/>
        <v>3.1891666666666563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46156.939977314803</v>
      </c>
      <c r="B12" s="5" t="s">
        <v>64</v>
      </c>
      <c r="C12" s="11">
        <v>0.93789351851851899</v>
      </c>
      <c r="D12" s="11" t="s">
        <v>62</v>
      </c>
      <c r="E12" s="11">
        <v>0.1340625</v>
      </c>
      <c r="F12" s="12">
        <f t="shared" si="1"/>
        <v>4.7080555555555446</v>
      </c>
      <c r="G12" s="13">
        <f t="shared" si="2"/>
        <v>1.4905555555555443</v>
      </c>
      <c r="H12" s="13">
        <f t="shared" si="3"/>
        <v>3.2175000000000002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46157.544138078702</v>
      </c>
      <c r="B13" s="5" t="s">
        <v>64</v>
      </c>
      <c r="C13" s="11">
        <v>0.54204861111111102</v>
      </c>
      <c r="D13" s="11" t="s">
        <v>62</v>
      </c>
      <c r="E13" s="11">
        <v>0.64048611111111098</v>
      </c>
      <c r="F13" s="12">
        <f t="shared" si="1"/>
        <v>2.3624999999999989</v>
      </c>
      <c r="G13" s="13">
        <f t="shared" si="2"/>
        <v>2.3624999999999989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46157.671920833302</v>
      </c>
      <c r="B14" s="5" t="s">
        <v>64</v>
      </c>
      <c r="C14" s="11">
        <v>0.66983796296296305</v>
      </c>
      <c r="D14" s="11" t="s">
        <v>62</v>
      </c>
      <c r="E14" s="11">
        <v>0.72107638888888903</v>
      </c>
      <c r="F14" s="12">
        <f t="shared" si="1"/>
        <v>1.2297222222222235</v>
      </c>
      <c r="G14" s="13">
        <f t="shared" si="2"/>
        <v>1.2297222222222235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46157.7349875</v>
      </c>
      <c r="B15" s="5" t="s">
        <v>64</v>
      </c>
      <c r="C15" s="11">
        <v>0.73289351851851903</v>
      </c>
      <c r="D15" s="11" t="s">
        <v>62</v>
      </c>
      <c r="E15" s="11">
        <v>0.75031250000000005</v>
      </c>
      <c r="F15" s="12">
        <f t="shared" si="1"/>
        <v>0.41805555555554452</v>
      </c>
      <c r="G15" s="13">
        <f t="shared" si="2"/>
        <v>0.41805555555554452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46157.790933680597</v>
      </c>
      <c r="B16" s="5" t="s">
        <v>64</v>
      </c>
      <c r="C16" s="11">
        <v>0.78953703703703704</v>
      </c>
      <c r="D16" s="11" t="s">
        <v>62</v>
      </c>
      <c r="E16" s="11">
        <v>0.79862268518518498</v>
      </c>
      <c r="F16" s="12">
        <f t="shared" si="1"/>
        <v>0.21805555555555056</v>
      </c>
      <c r="G16" s="13">
        <f t="shared" si="2"/>
        <v>0.21805555555555056</v>
      </c>
      <c r="H16" s="13">
        <f t="shared" si="3"/>
        <v>0</v>
      </c>
      <c r="I16" s="35" t="s">
        <v>63</v>
      </c>
      <c r="J16" s="36">
        <f t="shared" ref="J16:L16" si="4">J3</f>
        <v>67.507222222222197</v>
      </c>
      <c r="K16" s="37">
        <f t="shared" si="4"/>
        <v>42.665833333333346</v>
      </c>
      <c r="L16" s="38">
        <f t="shared" si="4"/>
        <v>24.841388888888858</v>
      </c>
      <c r="M16" s="39"/>
    </row>
    <row r="17" spans="1:13" ht="20.25" x14ac:dyDescent="0.25">
      <c r="A17" s="10">
        <f t="shared" ca="1" si="0"/>
        <v>46158.134233449098</v>
      </c>
      <c r="B17" s="5" t="s">
        <v>64</v>
      </c>
      <c r="C17" s="11">
        <v>0.132141203703704</v>
      </c>
      <c r="D17" s="11" t="s">
        <v>62</v>
      </c>
      <c r="E17" s="11">
        <v>0.29631944444444402</v>
      </c>
      <c r="F17" s="12">
        <f t="shared" si="1"/>
        <v>3.9402777777777604</v>
      </c>
      <c r="G17" s="13">
        <f t="shared" si="2"/>
        <v>0</v>
      </c>
      <c r="H17" s="13">
        <f t="shared" si="3"/>
        <v>3.9402777777777604</v>
      </c>
      <c r="I17" s="35" t="s">
        <v>77</v>
      </c>
      <c r="J17" s="36">
        <f>J4+J5+J6+J7+J10</f>
        <v>21.304166666666674</v>
      </c>
      <c r="K17" s="37">
        <f>K4+K5+K6+K7+K10</f>
        <v>6.8055555555555607</v>
      </c>
      <c r="L17" s="38">
        <f>L4+L5+L6+L7+L10</f>
        <v>14.498611111111112</v>
      </c>
      <c r="M17" s="39"/>
    </row>
    <row r="18" spans="1:13" ht="20.25" x14ac:dyDescent="0.25">
      <c r="A18" s="10">
        <f t="shared" ca="1" si="0"/>
        <v>46160.939528009301</v>
      </c>
      <c r="B18" s="5" t="s">
        <v>64</v>
      </c>
      <c r="C18" s="11">
        <v>0.93813657407407403</v>
      </c>
      <c r="D18" s="11" t="s">
        <v>62</v>
      </c>
      <c r="E18" s="11">
        <v>0.13671296296296301</v>
      </c>
      <c r="F18" s="12">
        <f t="shared" si="1"/>
        <v>4.7658333333333358</v>
      </c>
      <c r="G18" s="13">
        <f t="shared" si="2"/>
        <v>1.4847222222222234</v>
      </c>
      <c r="H18" s="13">
        <f t="shared" si="3"/>
        <v>3.2811111111111124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46161.575843749997</v>
      </c>
      <c r="B19" s="5" t="s">
        <v>64</v>
      </c>
      <c r="C19" s="11">
        <v>0.57374999999999998</v>
      </c>
      <c r="D19" s="11" t="s">
        <v>62</v>
      </c>
      <c r="E19" s="11">
        <v>0.63943287037037</v>
      </c>
      <c r="F19" s="12">
        <f t="shared" si="1"/>
        <v>1.5763888888888804</v>
      </c>
      <c r="G19" s="13">
        <f t="shared" si="2"/>
        <v>1.5763888888888804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46161.762683101799</v>
      </c>
      <c r="B20" s="5" t="s">
        <v>64</v>
      </c>
      <c r="C20" s="11">
        <v>0.76059027777777799</v>
      </c>
      <c r="D20" s="11" t="s">
        <v>62</v>
      </c>
      <c r="E20" s="11">
        <v>0.80057870370370399</v>
      </c>
      <c r="F20" s="12">
        <f t="shared" si="1"/>
        <v>0.95972222222222392</v>
      </c>
      <c r="G20" s="13">
        <f t="shared" si="2"/>
        <v>0.95972222222222392</v>
      </c>
      <c r="H20" s="13">
        <f t="shared" si="3"/>
        <v>0</v>
      </c>
      <c r="I20" s="40" t="s">
        <v>80</v>
      </c>
      <c r="J20" s="65">
        <f>J16+J17+J18+J19</f>
        <v>88.811388888888871</v>
      </c>
      <c r="K20" s="66"/>
      <c r="L20" s="67"/>
      <c r="M20" s="41"/>
    </row>
    <row r="21" spans="1:13" ht="20.25" x14ac:dyDescent="0.25">
      <c r="A21" s="10">
        <f t="shared" ca="1" si="0"/>
        <v>46162.014371180601</v>
      </c>
      <c r="B21" s="5" t="s">
        <v>81</v>
      </c>
      <c r="C21" s="11">
        <v>1.4363425925925899E-2</v>
      </c>
      <c r="D21" s="11" t="s">
        <v>62</v>
      </c>
      <c r="E21" s="11">
        <v>0.122569444444444</v>
      </c>
      <c r="F21" s="12">
        <f t="shared" si="1"/>
        <v>2.5969444444444343</v>
      </c>
      <c r="G21" s="13">
        <f t="shared" si="2"/>
        <v>0</v>
      </c>
      <c r="H21" s="13">
        <f t="shared" si="3"/>
        <v>2.5969444444444343</v>
      </c>
      <c r="I21" s="42" t="s">
        <v>4</v>
      </c>
      <c r="J21" s="43">
        <f>SUM(J8:J9)</f>
        <v>2.3355555555555592</v>
      </c>
      <c r="K21" s="37">
        <f>SUM(K8:K9)</f>
        <v>2.3355555555555592</v>
      </c>
      <c r="L21" s="38">
        <f>SUM(L8:L9)</f>
        <v>0</v>
      </c>
      <c r="M21" s="44"/>
    </row>
    <row r="22" spans="1:13" ht="18.75" x14ac:dyDescent="0.15">
      <c r="A22" s="10">
        <f t="shared" ca="1" si="0"/>
        <v>46162.122624305601</v>
      </c>
      <c r="B22" s="5" t="s">
        <v>79</v>
      </c>
      <c r="C22" s="11">
        <v>0.122615740740741</v>
      </c>
      <c r="D22" s="11" t="s">
        <v>62</v>
      </c>
      <c r="E22" s="11">
        <v>0.14229166666666701</v>
      </c>
      <c r="F22" s="12">
        <f t="shared" si="1"/>
        <v>0.47222222222222432</v>
      </c>
      <c r="G22" s="13">
        <f t="shared" si="2"/>
        <v>0</v>
      </c>
      <c r="H22" s="13">
        <f t="shared" si="3"/>
        <v>0.47222222222222432</v>
      </c>
      <c r="I22"/>
      <c r="J22"/>
    </row>
    <row r="23" spans="1:13" ht="18.75" x14ac:dyDescent="0.15">
      <c r="A23" s="10">
        <f t="shared" ca="1" si="0"/>
        <v>46164.542977546298</v>
      </c>
      <c r="B23" s="5" t="s">
        <v>64</v>
      </c>
      <c r="C23" s="11">
        <v>0.54228009259259302</v>
      </c>
      <c r="D23" s="11" t="s">
        <v>62</v>
      </c>
      <c r="E23" s="11">
        <v>0.72453703703703698</v>
      </c>
      <c r="F23" s="12">
        <f t="shared" si="1"/>
        <v>4.374166666666655</v>
      </c>
      <c r="G23" s="13">
        <f t="shared" si="2"/>
        <v>4.374166666666655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46164.747538773103</v>
      </c>
      <c r="B24" s="5" t="s">
        <v>64</v>
      </c>
      <c r="C24" s="11">
        <v>0.74753472222222195</v>
      </c>
      <c r="D24" s="11" t="s">
        <v>62</v>
      </c>
      <c r="E24" s="11">
        <v>0.79487268518518495</v>
      </c>
      <c r="F24" s="12">
        <f t="shared" si="1"/>
        <v>1.136111111111112</v>
      </c>
      <c r="G24" s="13">
        <f t="shared" si="2"/>
        <v>1.136111111111112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46165.134928819403</v>
      </c>
      <c r="B25" s="5" t="s">
        <v>82</v>
      </c>
      <c r="C25" s="11">
        <v>0.132141203703704</v>
      </c>
      <c r="D25" s="11" t="s">
        <v>62</v>
      </c>
      <c r="E25" s="11">
        <v>0.247997685185185</v>
      </c>
      <c r="F25" s="12">
        <f t="shared" si="1"/>
        <v>2.7805555555555443</v>
      </c>
      <c r="G25" s="13">
        <f t="shared" si="2"/>
        <v>0</v>
      </c>
      <c r="H25" s="13">
        <f t="shared" si="3"/>
        <v>2.7805555555555443</v>
      </c>
      <c r="I25"/>
      <c r="J25"/>
    </row>
    <row r="26" spans="1:13" ht="18.75" x14ac:dyDescent="0.15">
      <c r="A26" s="10">
        <f t="shared" ca="1" si="0"/>
        <v>46165.834566898098</v>
      </c>
      <c r="B26" s="5" t="s">
        <v>75</v>
      </c>
      <c r="C26" s="11">
        <v>0.83386574074074105</v>
      </c>
      <c r="D26" s="11" t="s">
        <v>62</v>
      </c>
      <c r="E26" s="11">
        <v>0.96271990740740698</v>
      </c>
      <c r="F26" s="12">
        <f t="shared" si="1"/>
        <v>3.0924999999999825</v>
      </c>
      <c r="G26" s="13">
        <f t="shared" si="2"/>
        <v>3.0924999999999825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46166.299855208301</v>
      </c>
      <c r="B27" s="5" t="s">
        <v>79</v>
      </c>
      <c r="C27" s="11">
        <v>0.29984953703703698</v>
      </c>
      <c r="D27" s="11" t="s">
        <v>62</v>
      </c>
      <c r="E27" s="11">
        <v>0.36181712962962997</v>
      </c>
      <c r="F27" s="12">
        <f t="shared" si="1"/>
        <v>1.4872222222222318</v>
      </c>
      <c r="G27" s="13">
        <f t="shared" si="2"/>
        <v>0.68361111111112782</v>
      </c>
      <c r="H27" s="13">
        <f t="shared" si="3"/>
        <v>0.80361111111110395</v>
      </c>
      <c r="I27"/>
      <c r="J27"/>
    </row>
    <row r="28" spans="1:13" ht="18.75" x14ac:dyDescent="0.15">
      <c r="A28" s="10">
        <f t="shared" ca="1" si="0"/>
        <v>46168.5218082176</v>
      </c>
      <c r="B28" s="5" t="s">
        <v>64</v>
      </c>
      <c r="C28" s="11">
        <v>0.52111111111111097</v>
      </c>
      <c r="D28" s="11" t="s">
        <v>62</v>
      </c>
      <c r="E28" s="11">
        <v>0.62824074074074099</v>
      </c>
      <c r="F28" s="12">
        <f t="shared" si="1"/>
        <v>2.5711111111111205</v>
      </c>
      <c r="G28" s="13">
        <f t="shared" si="2"/>
        <v>2.5711111111111205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46168.793246527799</v>
      </c>
      <c r="B29" s="5" t="s">
        <v>64</v>
      </c>
      <c r="C29" s="11">
        <v>0.79185185185185203</v>
      </c>
      <c r="D29" s="11" t="s">
        <v>62</v>
      </c>
      <c r="E29" s="11">
        <v>0.93894675925925897</v>
      </c>
      <c r="F29" s="12">
        <f t="shared" si="1"/>
        <v>3.5302777777777665</v>
      </c>
      <c r="G29" s="13">
        <f t="shared" si="2"/>
        <v>3.5302777777777665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46169.313412268501</v>
      </c>
      <c r="B30" s="5" t="s">
        <v>64</v>
      </c>
      <c r="C30" s="11">
        <v>0.31270833333333298</v>
      </c>
      <c r="D30" s="11" t="s">
        <v>62</v>
      </c>
      <c r="E30" s="11">
        <v>0.423877314814815</v>
      </c>
      <c r="F30" s="12">
        <f t="shared" si="1"/>
        <v>2.6680555555555685</v>
      </c>
      <c r="G30" s="13">
        <f t="shared" si="2"/>
        <v>2.1730555555555684</v>
      </c>
      <c r="H30" s="13">
        <f t="shared" si="3"/>
        <v>0.49500000000000011</v>
      </c>
      <c r="I30"/>
      <c r="J30"/>
    </row>
    <row r="31" spans="1:13" ht="18.75" x14ac:dyDescent="0.15">
      <c r="A31" s="10">
        <f t="shared" ca="1" si="0"/>
        <v>46169.425442245403</v>
      </c>
      <c r="B31" s="5" t="s">
        <v>81</v>
      </c>
      <c r="C31" s="11">
        <v>0.42405092592592603</v>
      </c>
      <c r="D31" s="11" t="s">
        <v>62</v>
      </c>
      <c r="E31" s="11">
        <v>0.50931712962963005</v>
      </c>
      <c r="F31" s="12">
        <f t="shared" si="1"/>
        <v>2.0463888888888966</v>
      </c>
      <c r="G31" s="13">
        <f t="shared" si="2"/>
        <v>2.0463888888888966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46169.9391733796</v>
      </c>
      <c r="B32" s="5" t="s">
        <v>64</v>
      </c>
      <c r="C32" s="11">
        <v>0.93777777777777804</v>
      </c>
      <c r="D32" s="11" t="s">
        <v>62</v>
      </c>
      <c r="E32" s="11">
        <v>0.135393518518519</v>
      </c>
      <c r="F32" s="12">
        <f t="shared" si="1"/>
        <v>4.7427777777777829</v>
      </c>
      <c r="G32" s="13">
        <f t="shared" si="2"/>
        <v>1.493333333333327</v>
      </c>
      <c r="H32" s="13">
        <f t="shared" si="3"/>
        <v>3.2494444444444559</v>
      </c>
      <c r="I32"/>
      <c r="J32"/>
    </row>
    <row r="33" spans="1:11" ht="18.75" x14ac:dyDescent="0.15">
      <c r="A33" s="10">
        <f t="shared" ca="1" si="0"/>
        <v>46172.542141088001</v>
      </c>
      <c r="B33" s="5" t="s">
        <v>64</v>
      </c>
      <c r="C33" s="11">
        <v>0.54181712962963002</v>
      </c>
      <c r="D33" s="11" t="s">
        <v>62</v>
      </c>
      <c r="E33" s="11">
        <v>0.67557870370370399</v>
      </c>
      <c r="F33" s="12">
        <f t="shared" si="1"/>
        <v>3.2102777777777751</v>
      </c>
      <c r="G33" s="13">
        <f t="shared" si="2"/>
        <v>3.2102777777777751</v>
      </c>
      <c r="H33" s="13">
        <f t="shared" si="3"/>
        <v>0</v>
      </c>
      <c r="I33"/>
      <c r="J33"/>
    </row>
    <row r="34" spans="1:11" ht="18.75" x14ac:dyDescent="0.15">
      <c r="A34" s="10">
        <f t="shared" ca="1" si="0"/>
        <v>46172.707433564799</v>
      </c>
      <c r="B34" s="5" t="s">
        <v>64</v>
      </c>
      <c r="C34" s="11">
        <v>0.70743055555555501</v>
      </c>
      <c r="D34" s="11" t="s">
        <v>62</v>
      </c>
      <c r="E34" s="11">
        <v>0.77453703703703702</v>
      </c>
      <c r="F34" s="12">
        <f t="shared" si="1"/>
        <v>1.6105555555555684</v>
      </c>
      <c r="G34" s="13">
        <f t="shared" si="2"/>
        <v>1.6105555555555684</v>
      </c>
      <c r="H34" s="13">
        <f t="shared" si="3"/>
        <v>0</v>
      </c>
      <c r="I34"/>
      <c r="J34"/>
    </row>
    <row r="35" spans="1:11" ht="18.75" x14ac:dyDescent="0.15">
      <c r="A35" s="10">
        <f t="shared" ca="1" si="0"/>
        <v>46172.789871412002</v>
      </c>
      <c r="B35" s="5" t="s">
        <v>64</v>
      </c>
      <c r="C35" s="11">
        <v>0.78847222222222202</v>
      </c>
      <c r="D35" s="11" t="s">
        <v>62</v>
      </c>
      <c r="E35" s="11">
        <v>0.79799768518518499</v>
      </c>
      <c r="F35" s="12">
        <f t="shared" si="1"/>
        <v>0.22861111111111132</v>
      </c>
      <c r="G35" s="13">
        <f t="shared" si="2"/>
        <v>0.22861111111111132</v>
      </c>
      <c r="H35" s="13">
        <f t="shared" si="3"/>
        <v>0</v>
      </c>
      <c r="I35"/>
      <c r="J35"/>
    </row>
    <row r="36" spans="1:11" ht="18.75" x14ac:dyDescent="0.15">
      <c r="A36" s="10">
        <f t="shared" ca="1" si="0"/>
        <v>46173.134266435198</v>
      </c>
      <c r="B36" s="5" t="s">
        <v>83</v>
      </c>
      <c r="C36" s="11">
        <v>0.13287037037037</v>
      </c>
      <c r="D36" s="11" t="s">
        <v>62</v>
      </c>
      <c r="E36" s="11">
        <v>0.21277777777777801</v>
      </c>
      <c r="F36" s="12">
        <f t="shared" si="1"/>
        <v>1.9177777777777922</v>
      </c>
      <c r="G36" s="13">
        <f t="shared" si="2"/>
        <v>0</v>
      </c>
      <c r="H36" s="13">
        <f t="shared" si="3"/>
        <v>1.9177777777777922</v>
      </c>
      <c r="I36"/>
      <c r="J36"/>
    </row>
    <row r="37" spans="1:11" ht="18.75" x14ac:dyDescent="0.15">
      <c r="A37" s="10">
        <f t="shared" ca="1" si="0"/>
        <v>46173.791730787001</v>
      </c>
      <c r="B37" s="5" t="s">
        <v>64</v>
      </c>
      <c r="C37" s="11">
        <v>0.79172453703703705</v>
      </c>
      <c r="D37" s="11" t="s">
        <v>62</v>
      </c>
      <c r="E37" s="11">
        <v>0.94244212962963003</v>
      </c>
      <c r="F37" s="12">
        <f t="shared" si="1"/>
        <v>3.6172222222222317</v>
      </c>
      <c r="G37" s="13">
        <f t="shared" si="2"/>
        <v>3.6172222222222317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46144.353394791702</v>
      </c>
      <c r="B3" s="5" t="s">
        <v>64</v>
      </c>
      <c r="C3" s="11">
        <v>0.35339120370370403</v>
      </c>
      <c r="D3" s="11" t="s">
        <v>62</v>
      </c>
      <c r="E3" s="11">
        <v>0.51048611111111097</v>
      </c>
      <c r="F3" s="12">
        <f t="shared" ref="F3:F42" si="1">(IF(E3-C3&lt;0,"24:00"-C3+E3,E3-C3))*24</f>
        <v>3.7702777777777667</v>
      </c>
      <c r="G3" s="13">
        <f t="shared" ref="G3:G42" si="2">F3-H3</f>
        <v>3.7702777777777667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72.675555555555576</v>
      </c>
      <c r="K3" s="18">
        <f>SUMIF(B:B,"带班主任",G:G)</f>
        <v>49.908611111111171</v>
      </c>
      <c r="L3" s="18">
        <f>SUMIF(B:B,"带班主任",H:H)</f>
        <v>22.766944444444416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46144.521763888901</v>
      </c>
      <c r="B4" s="5" t="s">
        <v>64</v>
      </c>
      <c r="C4" s="11">
        <v>0.52175925925925903</v>
      </c>
      <c r="D4" s="11" t="s">
        <v>62</v>
      </c>
      <c r="E4" s="11">
        <v>0.54842592592592598</v>
      </c>
      <c r="F4" s="12">
        <f t="shared" si="1"/>
        <v>0.64000000000000679</v>
      </c>
      <c r="G4" s="13">
        <f t="shared" si="2"/>
        <v>0.64000000000000679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14.33250000000003</v>
      </c>
      <c r="K4" s="23">
        <f>SUMIF(B:B,"西塔台管制席",G:G)+SUMIF(B:B,"东塔台管制席",G:G)</f>
        <v>8.1883333333333645</v>
      </c>
      <c r="L4" s="23">
        <f>SUMIF(B:B,"西塔台管制席",H:H)+SUMIF(B:B,"东塔台管制席",H:H)</f>
        <v>6.1441666666666661</v>
      </c>
      <c r="M4" s="19"/>
    </row>
    <row r="5" spans="1:16" ht="18.75" x14ac:dyDescent="0.25">
      <c r="A5" s="10">
        <f t="shared" ca="1" si="0"/>
        <v>46144.631476736096</v>
      </c>
      <c r="B5" s="5" t="s">
        <v>61</v>
      </c>
      <c r="C5" s="11">
        <v>0.63146990740740705</v>
      </c>
      <c r="D5" s="11" t="s">
        <v>62</v>
      </c>
      <c r="E5" s="11">
        <v>0.77268518518518503</v>
      </c>
      <c r="F5" s="12">
        <f t="shared" si="1"/>
        <v>3.3891666666666715</v>
      </c>
      <c r="G5" s="13">
        <f t="shared" si="2"/>
        <v>3.3891666666666715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3.123055555555537</v>
      </c>
      <c r="K5" s="23">
        <f>SUMIF(B:B,"西塔台协调席",G:G)+SUMIF(B:B,"东塔台协调席",G:G)</f>
        <v>2.1024999999999849</v>
      </c>
      <c r="L5" s="23">
        <f>SUMIF(B:B,"西塔台协调席",H:H)+SUMIF(B:B,"东塔台协调席",H:H)</f>
        <v>1.0205555555555521</v>
      </c>
      <c r="M5" s="19"/>
    </row>
    <row r="6" spans="1:16" ht="18.75" x14ac:dyDescent="0.25">
      <c r="A6" s="10">
        <f t="shared" ca="1" si="0"/>
        <v>46145.292157986099</v>
      </c>
      <c r="B6" s="5" t="s">
        <v>64</v>
      </c>
      <c r="C6" s="11">
        <v>0.29215277777777798</v>
      </c>
      <c r="D6" s="11" t="s">
        <v>62</v>
      </c>
      <c r="E6" s="11">
        <v>0.42439814814814802</v>
      </c>
      <c r="F6" s="12">
        <f t="shared" si="1"/>
        <v>3.173888888888881</v>
      </c>
      <c r="G6" s="13">
        <f t="shared" si="2"/>
        <v>2.185555555555561</v>
      </c>
      <c r="H6" s="13">
        <f t="shared" si="3"/>
        <v>0.98833333333331996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46145.424429745399</v>
      </c>
      <c r="B7" s="5" t="s">
        <v>79</v>
      </c>
      <c r="C7" s="11">
        <v>0.42442129629629599</v>
      </c>
      <c r="D7" s="11" t="s">
        <v>62</v>
      </c>
      <c r="E7" s="11">
        <v>0.50684027777777796</v>
      </c>
      <c r="F7" s="12">
        <f t="shared" si="1"/>
        <v>1.9780555555555672</v>
      </c>
      <c r="G7" s="13">
        <f t="shared" si="2"/>
        <v>1.9780555555555672</v>
      </c>
      <c r="H7" s="13">
        <f t="shared" si="3"/>
        <v>0</v>
      </c>
      <c r="I7" s="21" t="s">
        <v>68</v>
      </c>
      <c r="J7" s="22">
        <f>SUMIF(B:B,"地面席",F:F)</f>
        <v>2.16444444444444</v>
      </c>
      <c r="K7" s="23">
        <f>SUMIF(B:B,"地面席",G:G)</f>
        <v>0</v>
      </c>
      <c r="L7" s="23">
        <f>SUMIF(B:B,"地面席",H:H)</f>
        <v>2.16444444444444</v>
      </c>
      <c r="M7" s="19"/>
    </row>
    <row r="8" spans="1:16" ht="18.75" x14ac:dyDescent="0.25">
      <c r="A8" s="10">
        <f t="shared" ca="1" si="0"/>
        <v>46145.583874074102</v>
      </c>
      <c r="B8" s="5" t="s">
        <v>64</v>
      </c>
      <c r="C8" s="11">
        <v>0.58386574074074105</v>
      </c>
      <c r="D8" s="11" t="s">
        <v>62</v>
      </c>
      <c r="E8" s="11">
        <v>0.63447916666666704</v>
      </c>
      <c r="F8" s="12">
        <f t="shared" si="1"/>
        <v>1.2147222222222238</v>
      </c>
      <c r="G8" s="13">
        <f t="shared" si="2"/>
        <v>1.2147222222222238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46145.643163888897</v>
      </c>
      <c r="B9" s="5" t="s">
        <v>64</v>
      </c>
      <c r="C9" s="11">
        <v>0.64315972222222195</v>
      </c>
      <c r="D9" s="11" t="s">
        <v>62</v>
      </c>
      <c r="E9" s="11">
        <v>0.67026620370370404</v>
      </c>
      <c r="F9" s="12">
        <f t="shared" si="1"/>
        <v>0.65055555555557021</v>
      </c>
      <c r="G9" s="13">
        <f t="shared" si="2"/>
        <v>0.65055555555557021</v>
      </c>
      <c r="H9" s="13">
        <f t="shared" si="3"/>
        <v>0</v>
      </c>
      <c r="I9" s="21" t="s">
        <v>70</v>
      </c>
      <c r="J9" s="22">
        <f>SUMIF(B:B,"航班调度席",F:F)</f>
        <v>3.3891666666666715</v>
      </c>
      <c r="K9" s="23">
        <f>SUMIF(B:B,"航班调度席",G:G)</f>
        <v>3.3891666666666715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46145.670303587998</v>
      </c>
      <c r="B10" s="5" t="s">
        <v>79</v>
      </c>
      <c r="C10" s="11">
        <v>0.67030092592592605</v>
      </c>
      <c r="D10" s="11" t="s">
        <v>62</v>
      </c>
      <c r="E10" s="11">
        <v>0.75684027777777796</v>
      </c>
      <c r="F10" s="12">
        <f t="shared" si="1"/>
        <v>2.0769444444444458</v>
      </c>
      <c r="G10" s="13">
        <f t="shared" si="2"/>
        <v>2.0769444444444458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46149.138423611097</v>
      </c>
      <c r="B11" s="5" t="s">
        <v>84</v>
      </c>
      <c r="C11" s="11">
        <v>0.138414351851852</v>
      </c>
      <c r="D11" s="11" t="s">
        <v>62</v>
      </c>
      <c r="E11" s="11">
        <v>0.228599537037037</v>
      </c>
      <c r="F11" s="12">
        <f t="shared" si="1"/>
        <v>2.16444444444444</v>
      </c>
      <c r="G11" s="13">
        <f t="shared" si="2"/>
        <v>0</v>
      </c>
      <c r="H11" s="13">
        <f t="shared" si="3"/>
        <v>2.16444444444444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46149.625484837998</v>
      </c>
      <c r="B12" s="5" t="s">
        <v>64</v>
      </c>
      <c r="C12" s="11">
        <v>0.62547453703703704</v>
      </c>
      <c r="D12" s="11" t="s">
        <v>62</v>
      </c>
      <c r="E12" s="11">
        <v>0.76298611111111103</v>
      </c>
      <c r="F12" s="12">
        <f t="shared" si="1"/>
        <v>3.3002777777777759</v>
      </c>
      <c r="G12" s="13">
        <f t="shared" si="2"/>
        <v>3.3002777777777759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46149.763011458301</v>
      </c>
      <c r="B13" s="5" t="s">
        <v>79</v>
      </c>
      <c r="C13" s="11">
        <v>0.763009259259259</v>
      </c>
      <c r="D13" s="11" t="s">
        <v>62</v>
      </c>
      <c r="E13" s="11">
        <v>0.83811342592592597</v>
      </c>
      <c r="F13" s="12">
        <f t="shared" si="1"/>
        <v>1.8025000000000073</v>
      </c>
      <c r="G13" s="13">
        <f t="shared" si="2"/>
        <v>1.8025000000000073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46150.132381944401</v>
      </c>
      <c r="B14" s="5" t="s">
        <v>64</v>
      </c>
      <c r="C14" s="11">
        <v>0.132372685185185</v>
      </c>
      <c r="D14" s="11" t="s">
        <v>62</v>
      </c>
      <c r="E14" s="11">
        <v>0.29833333333333301</v>
      </c>
      <c r="F14" s="12">
        <f t="shared" si="1"/>
        <v>3.983055555555552</v>
      </c>
      <c r="G14" s="13">
        <f t="shared" si="2"/>
        <v>0</v>
      </c>
      <c r="H14" s="13">
        <f t="shared" si="3"/>
        <v>3.983055555555552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46152.506046875002</v>
      </c>
      <c r="B15" s="5" t="s">
        <v>64</v>
      </c>
      <c r="C15" s="11">
        <v>0.50604166666666694</v>
      </c>
      <c r="D15" s="11" t="s">
        <v>62</v>
      </c>
      <c r="E15" s="11">
        <v>0.65885416666666696</v>
      </c>
      <c r="F15" s="12">
        <f t="shared" si="1"/>
        <v>3.6675000000000004</v>
      </c>
      <c r="G15" s="13">
        <f t="shared" si="2"/>
        <v>3.6675000000000004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46152.756363425899</v>
      </c>
      <c r="B16" s="5" t="s">
        <v>64</v>
      </c>
      <c r="C16" s="11">
        <v>0.75635416666666699</v>
      </c>
      <c r="D16" s="11" t="s">
        <v>62</v>
      </c>
      <c r="E16" s="11">
        <v>0.94251157407407404</v>
      </c>
      <c r="F16" s="12">
        <f t="shared" si="1"/>
        <v>4.4677777777777692</v>
      </c>
      <c r="G16" s="13">
        <f t="shared" si="2"/>
        <v>4.4677777777777692</v>
      </c>
      <c r="H16" s="13">
        <f t="shared" si="3"/>
        <v>0</v>
      </c>
      <c r="I16" s="35" t="s">
        <v>63</v>
      </c>
      <c r="J16" s="36">
        <f t="shared" ref="J16:L16" si="4">J3</f>
        <v>72.675555555555576</v>
      </c>
      <c r="K16" s="37">
        <f t="shared" si="4"/>
        <v>49.908611111111171</v>
      </c>
      <c r="L16" s="38">
        <f t="shared" si="4"/>
        <v>22.766944444444416</v>
      </c>
      <c r="M16" s="39"/>
    </row>
    <row r="17" spans="1:13" ht="20.25" x14ac:dyDescent="0.25">
      <c r="A17" s="10">
        <f t="shared" ca="1" si="0"/>
        <v>46153.417334953701</v>
      </c>
      <c r="B17" s="5" t="s">
        <v>79</v>
      </c>
      <c r="C17" s="11">
        <v>0.417106481481481</v>
      </c>
      <c r="D17" s="11" t="s">
        <v>62</v>
      </c>
      <c r="E17" s="11">
        <v>0.51422453703703697</v>
      </c>
      <c r="F17" s="12">
        <f t="shared" si="1"/>
        <v>2.3308333333333433</v>
      </c>
      <c r="G17" s="13">
        <f t="shared" si="2"/>
        <v>2.3308333333333433</v>
      </c>
      <c r="H17" s="13">
        <f t="shared" si="3"/>
        <v>0</v>
      </c>
      <c r="I17" s="35" t="s">
        <v>77</v>
      </c>
      <c r="J17" s="36">
        <f>J4+J5+J6+J7+J10</f>
        <v>19.620000000000005</v>
      </c>
      <c r="K17" s="37">
        <f>K4+K5+K6+K7+K10</f>
        <v>10.290833333333349</v>
      </c>
      <c r="L17" s="38">
        <f>L4+L5+L6+L7+L10</f>
        <v>9.3291666666666586</v>
      </c>
      <c r="M17" s="39"/>
    </row>
    <row r="18" spans="1:13" ht="20.25" x14ac:dyDescent="0.25">
      <c r="A18" s="10">
        <f t="shared" ca="1" si="0"/>
        <v>46153.614534375003</v>
      </c>
      <c r="B18" s="5" t="s">
        <v>64</v>
      </c>
      <c r="C18" s="11">
        <v>0.61452546296296295</v>
      </c>
      <c r="D18" s="11" t="s">
        <v>62</v>
      </c>
      <c r="E18" s="11">
        <v>0.86170138888888903</v>
      </c>
      <c r="F18" s="12">
        <f t="shared" si="1"/>
        <v>5.9322222222222258</v>
      </c>
      <c r="G18" s="13">
        <f t="shared" si="2"/>
        <v>5.9322222222222258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46157.013064467603</v>
      </c>
      <c r="B19" s="5" t="s">
        <v>79</v>
      </c>
      <c r="C19" s="11">
        <v>1.30555555555556E-2</v>
      </c>
      <c r="D19" s="11" t="s">
        <v>62</v>
      </c>
      <c r="E19" s="11">
        <v>0.146261574074074</v>
      </c>
      <c r="F19" s="12">
        <f t="shared" si="1"/>
        <v>3.1969444444444415</v>
      </c>
      <c r="G19" s="13">
        <f t="shared" si="2"/>
        <v>0</v>
      </c>
      <c r="H19" s="13">
        <f t="shared" si="3"/>
        <v>3.1969444444444415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46157.937726736098</v>
      </c>
      <c r="B20" s="5" t="s">
        <v>64</v>
      </c>
      <c r="C20" s="11">
        <v>0.93771990740740696</v>
      </c>
      <c r="D20" s="11" t="s">
        <v>62</v>
      </c>
      <c r="E20" s="11">
        <v>0.138680555555556</v>
      </c>
      <c r="F20" s="12">
        <f t="shared" si="1"/>
        <v>4.8230555555555767</v>
      </c>
      <c r="G20" s="13">
        <f t="shared" si="2"/>
        <v>1.4947222222222329</v>
      </c>
      <c r="H20" s="13">
        <f t="shared" si="3"/>
        <v>3.3283333333333438</v>
      </c>
      <c r="I20" s="40" t="s">
        <v>80</v>
      </c>
      <c r="J20" s="65">
        <f>J16+J17+J18+J19</f>
        <v>92.29555555555558</v>
      </c>
      <c r="K20" s="66"/>
      <c r="L20" s="67"/>
      <c r="M20" s="41"/>
    </row>
    <row r="21" spans="1:13" ht="20.25" x14ac:dyDescent="0.25">
      <c r="A21" s="10">
        <f t="shared" ca="1" si="0"/>
        <v>46161.140615972203</v>
      </c>
      <c r="B21" s="5" t="s">
        <v>79</v>
      </c>
      <c r="C21" s="11">
        <v>0.14061342592592599</v>
      </c>
      <c r="D21" s="11" t="s">
        <v>62</v>
      </c>
      <c r="E21" s="11">
        <v>0.26341435185185202</v>
      </c>
      <c r="F21" s="12">
        <f t="shared" si="1"/>
        <v>2.9472222222222246</v>
      </c>
      <c r="G21" s="13">
        <f t="shared" si="2"/>
        <v>0</v>
      </c>
      <c r="H21" s="13">
        <f t="shared" si="3"/>
        <v>2.9472222222222246</v>
      </c>
      <c r="I21" s="42" t="s">
        <v>4</v>
      </c>
      <c r="J21" s="43">
        <f>SUM(J8:J9)</f>
        <v>3.3891666666666715</v>
      </c>
      <c r="K21" s="37">
        <f>SUM(K8:K9)</f>
        <v>3.3891666666666715</v>
      </c>
      <c r="L21" s="38">
        <f>SUM(L8:L9)</f>
        <v>0</v>
      </c>
      <c r="M21" s="44"/>
    </row>
    <row r="22" spans="1:13" ht="18.75" x14ac:dyDescent="0.15">
      <c r="A22" s="10">
        <f t="shared" ca="1" si="0"/>
        <v>46161.263464930598</v>
      </c>
      <c r="B22" s="5" t="s">
        <v>81</v>
      </c>
      <c r="C22" s="11">
        <v>0.26346064814814801</v>
      </c>
      <c r="D22" s="11" t="s">
        <v>62</v>
      </c>
      <c r="E22" s="11">
        <v>0.30598379629629602</v>
      </c>
      <c r="F22" s="12">
        <f t="shared" si="1"/>
        <v>1.0205555555555521</v>
      </c>
      <c r="G22" s="13">
        <f t="shared" si="2"/>
        <v>0</v>
      </c>
      <c r="H22" s="13">
        <f t="shared" si="3"/>
        <v>1.0205555555555521</v>
      </c>
      <c r="I22"/>
      <c r="J22"/>
    </row>
    <row r="23" spans="1:13" ht="18.75" x14ac:dyDescent="0.15">
      <c r="A23" s="10">
        <f t="shared" ca="1" si="0"/>
        <v>46161.633628703697</v>
      </c>
      <c r="B23" s="5" t="s">
        <v>64</v>
      </c>
      <c r="C23" s="11">
        <v>0.63362268518518505</v>
      </c>
      <c r="D23" s="11" t="s">
        <v>62</v>
      </c>
      <c r="E23" s="11">
        <v>0.76716435185185206</v>
      </c>
      <c r="F23" s="12">
        <f t="shared" si="1"/>
        <v>3.2050000000000081</v>
      </c>
      <c r="G23" s="13">
        <f t="shared" si="2"/>
        <v>3.2050000000000081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46162.131854398103</v>
      </c>
      <c r="B24" s="5" t="s">
        <v>64</v>
      </c>
      <c r="C24" s="11">
        <v>0.131851851851852</v>
      </c>
      <c r="D24" s="11" t="s">
        <v>62</v>
      </c>
      <c r="E24" s="11">
        <v>0.30118055555555601</v>
      </c>
      <c r="F24" s="12">
        <f t="shared" si="1"/>
        <v>4.0638888888888962</v>
      </c>
      <c r="G24" s="13">
        <f t="shared" si="2"/>
        <v>0</v>
      </c>
      <c r="H24" s="13">
        <f t="shared" si="3"/>
        <v>4.0638888888888962</v>
      </c>
      <c r="I24"/>
      <c r="J24"/>
    </row>
    <row r="25" spans="1:13" ht="18.75" x14ac:dyDescent="0.15">
      <c r="A25" s="10">
        <f t="shared" ca="1" si="0"/>
        <v>46164.353335763903</v>
      </c>
      <c r="B25" s="5" t="s">
        <v>64</v>
      </c>
      <c r="C25" s="11">
        <v>0.353333333333333</v>
      </c>
      <c r="D25" s="11" t="s">
        <v>62</v>
      </c>
      <c r="E25" s="11">
        <v>0.54804398148148104</v>
      </c>
      <c r="F25" s="12">
        <f t="shared" si="1"/>
        <v>4.6730555555555533</v>
      </c>
      <c r="G25" s="13">
        <f t="shared" si="2"/>
        <v>4.6730555555555533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46164.7906337963</v>
      </c>
      <c r="B26" s="5" t="s">
        <v>64</v>
      </c>
      <c r="C26" s="11">
        <v>0.79062500000000002</v>
      </c>
      <c r="D26" s="11" t="s">
        <v>62</v>
      </c>
      <c r="E26" s="11">
        <v>0.945775462962963</v>
      </c>
      <c r="F26" s="12">
        <f t="shared" si="1"/>
        <v>3.7236111111111114</v>
      </c>
      <c r="G26" s="13">
        <f t="shared" si="2"/>
        <v>3.7236111111111114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46165.292818402799</v>
      </c>
      <c r="B27" s="5" t="s">
        <v>64</v>
      </c>
      <c r="C27" s="11">
        <v>0.29281249999999998</v>
      </c>
      <c r="D27" s="11" t="s">
        <v>62</v>
      </c>
      <c r="E27" s="11">
        <v>0.54809027777777797</v>
      </c>
      <c r="F27" s="12">
        <f t="shared" si="1"/>
        <v>6.1266666666666723</v>
      </c>
      <c r="G27" s="13">
        <f t="shared" si="2"/>
        <v>5.1541666666666801</v>
      </c>
      <c r="H27" s="13">
        <f t="shared" si="3"/>
        <v>0.97249999999999215</v>
      </c>
      <c r="I27"/>
      <c r="J27"/>
    </row>
    <row r="28" spans="1:13" ht="18.75" x14ac:dyDescent="0.15">
      <c r="A28" s="10">
        <f t="shared" ca="1" si="0"/>
        <v>46165.792811111103</v>
      </c>
      <c r="B28" s="5" t="s">
        <v>64</v>
      </c>
      <c r="C28" s="11">
        <v>0.79280092592592599</v>
      </c>
      <c r="D28" s="11" t="s">
        <v>62</v>
      </c>
      <c r="E28" s="11">
        <v>0.94575231481481503</v>
      </c>
      <c r="F28" s="12">
        <f t="shared" si="1"/>
        <v>3.6708333333333369</v>
      </c>
      <c r="G28" s="13">
        <f t="shared" si="2"/>
        <v>3.6708333333333369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46166.2922414352</v>
      </c>
      <c r="B29" s="5" t="s">
        <v>64</v>
      </c>
      <c r="C29" s="11">
        <v>0.29223379629629598</v>
      </c>
      <c r="D29" s="11" t="s">
        <v>62</v>
      </c>
      <c r="E29" s="11">
        <v>0.36032407407407402</v>
      </c>
      <c r="F29" s="12">
        <f t="shared" si="1"/>
        <v>1.634166666666673</v>
      </c>
      <c r="G29" s="13">
        <f t="shared" si="2"/>
        <v>0.64777777777778489</v>
      </c>
      <c r="H29" s="13">
        <f t="shared" si="3"/>
        <v>0.98638888888888809</v>
      </c>
      <c r="I29"/>
      <c r="J29"/>
    </row>
    <row r="30" spans="1:13" ht="18.75" x14ac:dyDescent="0.15">
      <c r="A30" s="10">
        <f t="shared" ca="1" si="0"/>
        <v>46169.131930324103</v>
      </c>
      <c r="B30" s="5" t="s">
        <v>64</v>
      </c>
      <c r="C30" s="11">
        <v>0.13192129629629601</v>
      </c>
      <c r="D30" s="11" t="s">
        <v>62</v>
      </c>
      <c r="E30" s="11">
        <v>0.31851851851851798</v>
      </c>
      <c r="F30" s="12">
        <f t="shared" si="1"/>
        <v>4.4783333333333273</v>
      </c>
      <c r="G30" s="13">
        <f t="shared" si="2"/>
        <v>0</v>
      </c>
      <c r="H30" s="13">
        <f t="shared" si="3"/>
        <v>4.4783333333333273</v>
      </c>
      <c r="I30"/>
      <c r="J30"/>
    </row>
    <row r="31" spans="1:13" ht="18.75" x14ac:dyDescent="0.15">
      <c r="A31" s="10">
        <f t="shared" ca="1" si="0"/>
        <v>46173.132123842603</v>
      </c>
      <c r="B31" s="5" t="s">
        <v>64</v>
      </c>
      <c r="C31" s="11">
        <v>0.132118055555556</v>
      </c>
      <c r="D31" s="11" t="s">
        <v>62</v>
      </c>
      <c r="E31" s="11">
        <v>0.297372685185185</v>
      </c>
      <c r="F31" s="12">
        <f t="shared" si="1"/>
        <v>3.966111111111096</v>
      </c>
      <c r="G31" s="13">
        <f t="shared" si="2"/>
        <v>0</v>
      </c>
      <c r="H31" s="13">
        <f t="shared" si="3"/>
        <v>3.966111111111096</v>
      </c>
      <c r="I31"/>
      <c r="J31"/>
    </row>
    <row r="32" spans="1:13" ht="18.75" x14ac:dyDescent="0.15">
      <c r="A32" s="10">
        <f t="shared" ca="1" si="0"/>
        <v>46173.750760648101</v>
      </c>
      <c r="B32" s="5" t="s">
        <v>75</v>
      </c>
      <c r="C32" s="11">
        <v>0.75075231481481497</v>
      </c>
      <c r="D32" s="11" t="s">
        <v>62</v>
      </c>
      <c r="E32" s="11">
        <v>0.83835648148148101</v>
      </c>
      <c r="F32" s="12">
        <f t="shared" si="1"/>
        <v>2.1024999999999849</v>
      </c>
      <c r="G32" s="13">
        <f t="shared" si="2"/>
        <v>2.1024999999999849</v>
      </c>
      <c r="H32" s="13">
        <f t="shared" si="3"/>
        <v>0</v>
      </c>
      <c r="I32"/>
      <c r="J32"/>
    </row>
    <row r="33" spans="1:11" ht="18.75" x14ac:dyDescent="0.15">
      <c r="A33" s="10">
        <f t="shared" ca="1" si="0"/>
        <v>46173.937046296298</v>
      </c>
      <c r="B33" s="5" t="s">
        <v>64</v>
      </c>
      <c r="C33" s="11">
        <v>0.937037037037037</v>
      </c>
      <c r="D33" s="11" t="s">
        <v>62</v>
      </c>
      <c r="E33" s="11">
        <v>0.99997685185185203</v>
      </c>
      <c r="F33" s="12">
        <f t="shared" si="1"/>
        <v>1.5105555555555608</v>
      </c>
      <c r="G33" s="13">
        <f t="shared" si="2"/>
        <v>1.5105555555555608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46143.020520717597</v>
      </c>
      <c r="B3" s="5" t="s">
        <v>82</v>
      </c>
      <c r="C3" s="11">
        <v>1.1574074074074101E-5</v>
      </c>
      <c r="D3" s="11" t="s">
        <v>62</v>
      </c>
      <c r="E3" s="11">
        <v>9.5555555555555602E-2</v>
      </c>
      <c r="F3" s="12">
        <f t="shared" ref="F3:F42" si="1">(IF(E3-C3&lt;0,"24:00"-C3+E3,E3-C3))*24</f>
        <v>2.2930555555555565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2.2930555555555565</v>
      </c>
      <c r="I3" s="16" t="s">
        <v>63</v>
      </c>
      <c r="J3" s="17">
        <f>SUMIF(B:B,"带班主任",F:F)</f>
        <v>75.744444444444468</v>
      </c>
      <c r="K3" s="18">
        <f>SUMIF(B:B,"带班主任",G:G)</f>
        <v>49.205000000000055</v>
      </c>
      <c r="L3" s="18">
        <f>SUMIF(B:B,"带班主任",H:H)</f>
        <v>26.539444444444417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46143.543051273104</v>
      </c>
      <c r="B4" s="5" t="s">
        <v>64</v>
      </c>
      <c r="C4" s="11">
        <v>0.54304398148148103</v>
      </c>
      <c r="D4" s="11" t="s">
        <v>62</v>
      </c>
      <c r="E4" s="11">
        <v>0.63164351851851896</v>
      </c>
      <c r="F4" s="12">
        <f t="shared" si="1"/>
        <v>2.1263888888889104</v>
      </c>
      <c r="G4" s="13">
        <f t="shared" si="2"/>
        <v>2.1263888888889104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2.2930555555555565</v>
      </c>
      <c r="K4" s="23">
        <f>SUMIF(B:B,"西塔台管制席",G:G)+SUMIF(B:B,"东塔台管制席",G:G)</f>
        <v>0</v>
      </c>
      <c r="L4" s="23">
        <f>SUMIF(B:B,"西塔台管制席",H:H)+SUMIF(B:B,"东塔台管制席",H:H)</f>
        <v>2.2930555555555565</v>
      </c>
      <c r="M4" s="19"/>
    </row>
    <row r="5" spans="1:16" ht="18.75" x14ac:dyDescent="0.25">
      <c r="A5" s="10">
        <f t="shared" ca="1" si="0"/>
        <v>46143.901285069398</v>
      </c>
      <c r="B5" s="5" t="s">
        <v>64</v>
      </c>
      <c r="C5" s="11">
        <v>0.901284722222222</v>
      </c>
      <c r="D5" s="11" t="s">
        <v>62</v>
      </c>
      <c r="E5" s="11">
        <v>0.94423611111111105</v>
      </c>
      <c r="F5" s="12">
        <f t="shared" si="1"/>
        <v>1.0308333333333373</v>
      </c>
      <c r="G5" s="13">
        <f t="shared" si="2"/>
        <v>1.0308333333333373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46144.130093518499</v>
      </c>
      <c r="B6" s="5" t="s">
        <v>64</v>
      </c>
      <c r="C6" s="11">
        <v>0.13009259259259301</v>
      </c>
      <c r="D6" s="11" t="s">
        <v>62</v>
      </c>
      <c r="E6" s="11">
        <v>0.36197916666666702</v>
      </c>
      <c r="F6" s="12">
        <f t="shared" si="1"/>
        <v>5.5652777777777764</v>
      </c>
      <c r="G6" s="13">
        <f t="shared" si="2"/>
        <v>0.68750000000001688</v>
      </c>
      <c r="H6" s="13">
        <f t="shared" si="3"/>
        <v>4.8777777777777596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46146.3538877315</v>
      </c>
      <c r="B7" s="5" t="s">
        <v>64</v>
      </c>
      <c r="C7" s="11">
        <v>0.35387731481481499</v>
      </c>
      <c r="D7" s="11" t="s">
        <v>62</v>
      </c>
      <c r="E7" s="11">
        <v>0.54942129629629599</v>
      </c>
      <c r="F7" s="12">
        <f t="shared" si="1"/>
        <v>4.693055555555544</v>
      </c>
      <c r="G7" s="13">
        <f t="shared" si="2"/>
        <v>4.693055555555544</v>
      </c>
      <c r="H7" s="13">
        <f t="shared" si="3"/>
        <v>0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46146.813850462997</v>
      </c>
      <c r="B8" s="5" t="s">
        <v>64</v>
      </c>
      <c r="C8" s="11">
        <v>0.81384259259259295</v>
      </c>
      <c r="D8" s="11" t="s">
        <v>62</v>
      </c>
      <c r="E8" s="11">
        <v>0.94293981481481504</v>
      </c>
      <c r="F8" s="12">
        <f t="shared" si="1"/>
        <v>3.0983333333333301</v>
      </c>
      <c r="G8" s="13">
        <f t="shared" si="2"/>
        <v>3.0983333333333301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46150.540539236099</v>
      </c>
      <c r="B9" s="5" t="s">
        <v>64</v>
      </c>
      <c r="C9" s="11">
        <v>0.54053240740740705</v>
      </c>
      <c r="D9" s="11" t="s">
        <v>62</v>
      </c>
      <c r="E9" s="11">
        <v>0.80616898148148097</v>
      </c>
      <c r="F9" s="12">
        <f t="shared" si="1"/>
        <v>6.3752777777777743</v>
      </c>
      <c r="G9" s="13">
        <f t="shared" si="2"/>
        <v>6.3752777777777743</v>
      </c>
      <c r="H9" s="13">
        <f t="shared" si="3"/>
        <v>0</v>
      </c>
      <c r="I9" s="21" t="s">
        <v>70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46151.130821643499</v>
      </c>
      <c r="B10" s="5" t="s">
        <v>64</v>
      </c>
      <c r="C10" s="11">
        <v>0.13082175925925901</v>
      </c>
      <c r="D10" s="11" t="s">
        <v>62</v>
      </c>
      <c r="E10" s="11">
        <v>0.29881944444444403</v>
      </c>
      <c r="F10" s="12">
        <f t="shared" si="1"/>
        <v>4.0319444444444406</v>
      </c>
      <c r="G10" s="13">
        <f t="shared" si="2"/>
        <v>0</v>
      </c>
      <c r="H10" s="13">
        <f t="shared" si="3"/>
        <v>4.0319444444444406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46151.790981134298</v>
      </c>
      <c r="B11" s="5" t="s">
        <v>64</v>
      </c>
      <c r="C11" s="11">
        <v>0.79097222222222197</v>
      </c>
      <c r="D11" s="11" t="s">
        <v>62</v>
      </c>
      <c r="E11" s="11">
        <v>0.94349537037037001</v>
      </c>
      <c r="F11" s="12">
        <f t="shared" si="1"/>
        <v>3.6605555555555531</v>
      </c>
      <c r="G11" s="13">
        <f t="shared" si="2"/>
        <v>3.6605555555555531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46152.292384375003</v>
      </c>
      <c r="B12" s="5" t="s">
        <v>64</v>
      </c>
      <c r="C12" s="11">
        <v>0.29238425925925898</v>
      </c>
      <c r="D12" s="11" t="s">
        <v>62</v>
      </c>
      <c r="E12" s="11">
        <v>0.366493055555556</v>
      </c>
      <c r="F12" s="12">
        <f t="shared" si="1"/>
        <v>1.7786111111111285</v>
      </c>
      <c r="G12" s="13">
        <f t="shared" si="2"/>
        <v>0.79583333333335249</v>
      </c>
      <c r="H12" s="13">
        <f t="shared" si="3"/>
        <v>0.98277777777777597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46154.938729861096</v>
      </c>
      <c r="B13" s="5" t="s">
        <v>64</v>
      </c>
      <c r="C13" s="11">
        <v>0.93872685185185201</v>
      </c>
      <c r="D13" s="11" t="s">
        <v>62</v>
      </c>
      <c r="E13" s="11">
        <v>0.140914351851852</v>
      </c>
      <c r="F13" s="12">
        <f t="shared" si="1"/>
        <v>4.8525</v>
      </c>
      <c r="G13" s="13">
        <f t="shared" si="2"/>
        <v>1.4705555555555518</v>
      </c>
      <c r="H13" s="13">
        <f t="shared" si="3"/>
        <v>3.3819444444444482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46156.132754861101</v>
      </c>
      <c r="B14" s="5" t="s">
        <v>64</v>
      </c>
      <c r="C14" s="11">
        <v>0.13275462962963</v>
      </c>
      <c r="D14" s="11" t="s">
        <v>62</v>
      </c>
      <c r="E14" s="11">
        <v>0.29886574074074101</v>
      </c>
      <c r="F14" s="12">
        <f t="shared" si="1"/>
        <v>3.9866666666666646</v>
      </c>
      <c r="G14" s="13">
        <f t="shared" si="2"/>
        <v>0</v>
      </c>
      <c r="H14" s="13">
        <f t="shared" si="3"/>
        <v>3.9866666666666646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46158.357857523202</v>
      </c>
      <c r="B15" s="5" t="s">
        <v>64</v>
      </c>
      <c r="C15" s="11">
        <v>0.35784722222222198</v>
      </c>
      <c r="D15" s="11" t="s">
        <v>62</v>
      </c>
      <c r="E15" s="11">
        <v>0.55240740740740701</v>
      </c>
      <c r="F15" s="12">
        <f t="shared" si="1"/>
        <v>4.6694444444444407</v>
      </c>
      <c r="G15" s="13">
        <f t="shared" si="2"/>
        <v>4.6694444444444407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46158.7904486111</v>
      </c>
      <c r="B16" s="5" t="s">
        <v>64</v>
      </c>
      <c r="C16" s="11">
        <v>0.79043981481481496</v>
      </c>
      <c r="D16" s="11" t="s">
        <v>62</v>
      </c>
      <c r="E16" s="11">
        <v>0.94336805555555603</v>
      </c>
      <c r="F16" s="12">
        <f t="shared" si="1"/>
        <v>3.6702777777777857</v>
      </c>
      <c r="G16" s="13">
        <f t="shared" si="2"/>
        <v>3.6702777777777857</v>
      </c>
      <c r="H16" s="13">
        <f t="shared" si="3"/>
        <v>0</v>
      </c>
      <c r="I16" s="35" t="s">
        <v>63</v>
      </c>
      <c r="J16" s="36">
        <f t="shared" ref="J16:L16" si="4">J3</f>
        <v>75.744444444444468</v>
      </c>
      <c r="K16" s="37">
        <f t="shared" si="4"/>
        <v>49.205000000000055</v>
      </c>
      <c r="L16" s="38">
        <f t="shared" si="4"/>
        <v>26.539444444444417</v>
      </c>
      <c r="M16" s="39"/>
    </row>
    <row r="17" spans="1:13" ht="20.25" x14ac:dyDescent="0.25">
      <c r="A17" s="10">
        <f t="shared" ca="1" si="0"/>
        <v>46159.292891666701</v>
      </c>
      <c r="B17" s="5" t="s">
        <v>64</v>
      </c>
      <c r="C17" s="11">
        <v>0.29288194444444399</v>
      </c>
      <c r="D17" s="11" t="s">
        <v>62</v>
      </c>
      <c r="E17" s="11">
        <v>0.54784722222222204</v>
      </c>
      <c r="F17" s="12">
        <f t="shared" si="1"/>
        <v>6.1191666666666737</v>
      </c>
      <c r="G17" s="13">
        <f t="shared" si="2"/>
        <v>5.1483333333333379</v>
      </c>
      <c r="H17" s="13">
        <f t="shared" si="3"/>
        <v>0.97083333333333588</v>
      </c>
      <c r="I17" s="35" t="s">
        <v>77</v>
      </c>
      <c r="J17" s="36">
        <f>J4+J5+J6+J7+J10</f>
        <v>2.2930555555555565</v>
      </c>
      <c r="K17" s="37">
        <f>K4+K5+K6+K7+K10</f>
        <v>0</v>
      </c>
      <c r="L17" s="38">
        <f>L4+L5+L6+L7+L10</f>
        <v>2.2930555555555565</v>
      </c>
      <c r="M17" s="39"/>
    </row>
    <row r="18" spans="1:13" ht="20.25" x14ac:dyDescent="0.25">
      <c r="A18" s="10">
        <f t="shared" ca="1" si="0"/>
        <v>46159.938421874998</v>
      </c>
      <c r="B18" s="5" t="s">
        <v>64</v>
      </c>
      <c r="C18" s="11">
        <v>0.93841435185185196</v>
      </c>
      <c r="D18" s="11" t="s">
        <v>62</v>
      </c>
      <c r="E18" s="11">
        <v>0.13787037037037</v>
      </c>
      <c r="F18" s="12">
        <f t="shared" si="1"/>
        <v>4.7869444444444333</v>
      </c>
      <c r="G18" s="13">
        <f t="shared" si="2"/>
        <v>1.478055555555553</v>
      </c>
      <c r="H18" s="13">
        <f t="shared" si="3"/>
        <v>3.3088888888888803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46162.537244560197</v>
      </c>
      <c r="B19" s="5" t="s">
        <v>64</v>
      </c>
      <c r="C19" s="11">
        <v>0.53724537037037001</v>
      </c>
      <c r="D19" s="11" t="s">
        <v>62</v>
      </c>
      <c r="E19" s="11">
        <v>0.79865740740740698</v>
      </c>
      <c r="F19" s="12">
        <f t="shared" si="1"/>
        <v>6.2738888888888873</v>
      </c>
      <c r="G19" s="13">
        <f t="shared" si="2"/>
        <v>6.2738888888888873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46163.131975347198</v>
      </c>
      <c r="B20" s="5" t="s">
        <v>64</v>
      </c>
      <c r="C20" s="11">
        <v>0.131967592592593</v>
      </c>
      <c r="D20" s="11" t="s">
        <v>62</v>
      </c>
      <c r="E20" s="11">
        <v>0.29930555555555599</v>
      </c>
      <c r="F20" s="12">
        <f t="shared" si="1"/>
        <v>4.0161111111111119</v>
      </c>
      <c r="G20" s="13">
        <f t="shared" si="2"/>
        <v>0</v>
      </c>
      <c r="H20" s="13">
        <f t="shared" si="3"/>
        <v>4.0161111111111119</v>
      </c>
      <c r="I20" s="40" t="s">
        <v>80</v>
      </c>
      <c r="J20" s="65">
        <f>J16+J17+J18+J19</f>
        <v>78.037500000000023</v>
      </c>
      <c r="K20" s="66"/>
      <c r="L20" s="67"/>
      <c r="M20" s="41"/>
    </row>
    <row r="21" spans="1:13" ht="20.25" x14ac:dyDescent="0.25">
      <c r="A21" s="10">
        <f t="shared" ca="1" si="0"/>
        <v>46163.805748032399</v>
      </c>
      <c r="B21" s="5" t="s">
        <v>64</v>
      </c>
      <c r="C21" s="11">
        <v>0.80574074074074098</v>
      </c>
      <c r="D21" s="11" t="s">
        <v>62</v>
      </c>
      <c r="E21" s="11">
        <v>0.940578703703704</v>
      </c>
      <c r="F21" s="12">
        <f t="shared" si="1"/>
        <v>3.2361111111111125</v>
      </c>
      <c r="G21" s="13">
        <f t="shared" si="2"/>
        <v>3.2361111111111125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46164.2924017361</v>
      </c>
      <c r="B22" s="5" t="s">
        <v>64</v>
      </c>
      <c r="C22" s="11">
        <v>0.29239583333333302</v>
      </c>
      <c r="D22" s="11" t="s">
        <v>62</v>
      </c>
      <c r="E22" s="11">
        <v>0.36627314814814799</v>
      </c>
      <c r="F22" s="12">
        <f t="shared" si="1"/>
        <v>1.7730555555555592</v>
      </c>
      <c r="G22" s="13">
        <f t="shared" si="2"/>
        <v>0.79055555555556012</v>
      </c>
      <c r="H22" s="13">
        <f t="shared" si="3"/>
        <v>0.98249999999999904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46148.357896527799</v>
      </c>
      <c r="B3" s="5" t="s">
        <v>64</v>
      </c>
      <c r="C3" s="11">
        <v>0.35789351851851903</v>
      </c>
      <c r="D3" s="11" t="s">
        <v>62</v>
      </c>
      <c r="E3" s="11">
        <v>0.55325231481481496</v>
      </c>
      <c r="F3" s="12">
        <f t="shared" ref="F3:F42" si="1">(IF(E3-C3&lt;0,"24:00"-C3+E3,E3-C3))*24</f>
        <v>4.6886111111111024</v>
      </c>
      <c r="G3" s="13">
        <f t="shared" ref="G3:G42" si="2">F3-H3</f>
        <v>4.6886111111111024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55.471111111111114</v>
      </c>
      <c r="K3" s="18">
        <f>SUMIF(B:B,"带班主任",G:G)</f>
        <v>40.276666666666699</v>
      </c>
      <c r="L3" s="18">
        <f>SUMIF(B:B,"带班主任",H:H)</f>
        <v>15.194444444444422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46148.804962152797</v>
      </c>
      <c r="B4" s="5" t="s">
        <v>64</v>
      </c>
      <c r="C4" s="11">
        <v>0.804953703703704</v>
      </c>
      <c r="D4" s="11" t="s">
        <v>62</v>
      </c>
      <c r="E4" s="11">
        <v>0.94800925925925905</v>
      </c>
      <c r="F4" s="12">
        <f t="shared" si="1"/>
        <v>3.4333333333333211</v>
      </c>
      <c r="G4" s="13">
        <f t="shared" si="2"/>
        <v>3.4333333333333211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25.208333333333307</v>
      </c>
      <c r="K4" s="23">
        <f>SUMIF(B:B,"西塔台管制席",G:G)+SUMIF(B:B,"东塔台管制席",G:G)</f>
        <v>17.372499999999985</v>
      </c>
      <c r="L4" s="23">
        <f>SUMIF(B:B,"西塔台管制席",H:H)+SUMIF(B:B,"东塔台管制席",H:H)</f>
        <v>7.8358333333333201</v>
      </c>
      <c r="M4" s="19"/>
    </row>
    <row r="5" spans="1:16" ht="18.75" x14ac:dyDescent="0.25">
      <c r="A5" s="10">
        <f t="shared" ca="1" si="0"/>
        <v>46149.281401851898</v>
      </c>
      <c r="B5" s="5" t="s">
        <v>64</v>
      </c>
      <c r="C5" s="11">
        <v>0.281400462962963</v>
      </c>
      <c r="D5" s="11" t="s">
        <v>62</v>
      </c>
      <c r="E5" s="11">
        <v>0.53136574074074105</v>
      </c>
      <c r="F5" s="12">
        <f t="shared" si="1"/>
        <v>5.9991666666666728</v>
      </c>
      <c r="G5" s="13">
        <f t="shared" si="2"/>
        <v>4.7527777777777933</v>
      </c>
      <c r="H5" s="13">
        <f t="shared" si="3"/>
        <v>1.2463888888888794</v>
      </c>
      <c r="I5" s="21" t="s">
        <v>66</v>
      </c>
      <c r="J5" s="22">
        <f>SUMIF(B:B,"西塔台协调席",F:F)+SUMIF(B:B,"东塔台协调席",F:F)</f>
        <v>17.620555555555562</v>
      </c>
      <c r="K5" s="23">
        <f>SUMIF(B:B,"西塔台协调席",G:G)+SUMIF(B:B,"东塔台协调席",G:G)</f>
        <v>15.191388888888913</v>
      </c>
      <c r="L5" s="23">
        <f>SUMIF(B:B,"西塔台协调席",H:H)+SUMIF(B:B,"东塔台协调席",H:H)</f>
        <v>2.4291666666666467</v>
      </c>
      <c r="M5" s="19"/>
    </row>
    <row r="6" spans="1:16" ht="18.75" x14ac:dyDescent="0.25">
      <c r="A6" s="10">
        <f t="shared" ca="1" si="0"/>
        <v>46150.139502083301</v>
      </c>
      <c r="B6" s="5" t="s">
        <v>84</v>
      </c>
      <c r="C6" s="11">
        <v>0.13950231481481501</v>
      </c>
      <c r="D6" s="11" t="s">
        <v>62</v>
      </c>
      <c r="E6" s="11">
        <v>0.22334490740740701</v>
      </c>
      <c r="F6" s="12">
        <f t="shared" si="1"/>
        <v>2.0122222222222081</v>
      </c>
      <c r="G6" s="13">
        <f t="shared" si="2"/>
        <v>0</v>
      </c>
      <c r="H6" s="13">
        <f t="shared" si="3"/>
        <v>2.0122222222222081</v>
      </c>
      <c r="I6" s="21" t="s">
        <v>67</v>
      </c>
      <c r="J6" s="22">
        <f>SUMIF(B:B,"放行席",F:F)</f>
        <v>2.341111111111128</v>
      </c>
      <c r="K6" s="23">
        <f>SUMIF(B:B,"放行席",G:G)</f>
        <v>0</v>
      </c>
      <c r="L6" s="23">
        <f>SUMIF(B:B,"放行席",H:H)</f>
        <v>2.341111111111128</v>
      </c>
      <c r="M6" s="19"/>
    </row>
    <row r="7" spans="1:16" ht="18.75" x14ac:dyDescent="0.25">
      <c r="A7" s="10">
        <f t="shared" ca="1" si="0"/>
        <v>46150.231232754602</v>
      </c>
      <c r="B7" s="5" t="s">
        <v>75</v>
      </c>
      <c r="C7" s="11">
        <v>0.23122685185185199</v>
      </c>
      <c r="D7" s="11" t="s">
        <v>62</v>
      </c>
      <c r="E7" s="11">
        <v>0.29896990740740698</v>
      </c>
      <c r="F7" s="12">
        <f t="shared" si="1"/>
        <v>1.6258333333333197</v>
      </c>
      <c r="G7" s="13">
        <f t="shared" si="2"/>
        <v>0</v>
      </c>
      <c r="H7" s="13">
        <f t="shared" si="3"/>
        <v>1.6258333333333197</v>
      </c>
      <c r="I7" s="21" t="s">
        <v>68</v>
      </c>
      <c r="J7" s="22">
        <f>SUMIF(B:B,"地面席",F:F)</f>
        <v>2.0122222222222081</v>
      </c>
      <c r="K7" s="23">
        <f>SUMIF(B:B,"地面席",G:G)</f>
        <v>0</v>
      </c>
      <c r="L7" s="23">
        <f>SUMIF(B:B,"地面席",H:H)</f>
        <v>2.0122222222222081</v>
      </c>
      <c r="M7" s="19"/>
    </row>
    <row r="8" spans="1:16" ht="18.75" x14ac:dyDescent="0.25">
      <c r="A8" s="10">
        <f t="shared" ca="1" si="0"/>
        <v>46152.544765856503</v>
      </c>
      <c r="B8" s="5" t="s">
        <v>75</v>
      </c>
      <c r="C8" s="11">
        <v>0.54465277777777799</v>
      </c>
      <c r="D8" s="11" t="s">
        <v>62</v>
      </c>
      <c r="E8" s="11">
        <v>0.65240740740740699</v>
      </c>
      <c r="F8" s="12">
        <f t="shared" si="1"/>
        <v>2.5861111111110962</v>
      </c>
      <c r="G8" s="13">
        <f t="shared" si="2"/>
        <v>2.5861111111110962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46152.652437037003</v>
      </c>
      <c r="B9" s="5" t="s">
        <v>64</v>
      </c>
      <c r="C9" s="11">
        <v>0.65243055555555596</v>
      </c>
      <c r="D9" s="11" t="s">
        <v>62</v>
      </c>
      <c r="E9" s="11">
        <v>0.76190972222222197</v>
      </c>
      <c r="F9" s="12">
        <f t="shared" si="1"/>
        <v>2.6274999999999844</v>
      </c>
      <c r="G9" s="13">
        <f t="shared" si="2"/>
        <v>2.6274999999999844</v>
      </c>
      <c r="H9" s="13">
        <f t="shared" si="3"/>
        <v>0</v>
      </c>
      <c r="I9" s="21" t="s">
        <v>70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46152.761961226897</v>
      </c>
      <c r="B10" s="5" t="s">
        <v>75</v>
      </c>
      <c r="C10" s="11">
        <v>0.76195601851851802</v>
      </c>
      <c r="D10" s="11" t="s">
        <v>62</v>
      </c>
      <c r="E10" s="11">
        <v>0.79928240740740697</v>
      </c>
      <c r="F10" s="12">
        <f t="shared" si="1"/>
        <v>0.89583333333333481</v>
      </c>
      <c r="G10" s="13">
        <f t="shared" si="2"/>
        <v>0.89583333333333481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46153.139360185203</v>
      </c>
      <c r="B11" s="5" t="s">
        <v>82</v>
      </c>
      <c r="C11" s="11">
        <v>0.139351851851852</v>
      </c>
      <c r="D11" s="11" t="s">
        <v>62</v>
      </c>
      <c r="E11" s="11">
        <v>0.30560185185185201</v>
      </c>
      <c r="F11" s="12">
        <f t="shared" si="1"/>
        <v>3.99</v>
      </c>
      <c r="G11" s="13">
        <f t="shared" si="2"/>
        <v>0</v>
      </c>
      <c r="H11" s="13">
        <f t="shared" si="3"/>
        <v>3.99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46153.312863078703</v>
      </c>
      <c r="B12" s="5" t="s">
        <v>64</v>
      </c>
      <c r="C12" s="11">
        <v>0.31285879629629598</v>
      </c>
      <c r="D12" s="11" t="s">
        <v>62</v>
      </c>
      <c r="E12" s="11">
        <v>0.333356481481482</v>
      </c>
      <c r="F12" s="12">
        <f t="shared" si="1"/>
        <v>0.4919444444444645</v>
      </c>
      <c r="G12" s="13">
        <f t="shared" si="2"/>
        <v>5.5555555557651459E-4</v>
      </c>
      <c r="H12" s="13">
        <f t="shared" si="3"/>
        <v>0.49138888888888799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46153.762870023202</v>
      </c>
      <c r="B13" s="5" t="s">
        <v>75</v>
      </c>
      <c r="C13" s="11">
        <v>0.76287037037036998</v>
      </c>
      <c r="D13" s="11" t="s">
        <v>62</v>
      </c>
      <c r="E13" s="11">
        <v>0.84167824074074105</v>
      </c>
      <c r="F13" s="12">
        <f t="shared" si="1"/>
        <v>1.8913888888889057</v>
      </c>
      <c r="G13" s="13">
        <f t="shared" si="2"/>
        <v>1.8913888888889057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46153.857189583301</v>
      </c>
      <c r="B14" s="5" t="s">
        <v>64</v>
      </c>
      <c r="C14" s="11">
        <v>0.85718749999999999</v>
      </c>
      <c r="D14" s="11" t="s">
        <v>62</v>
      </c>
      <c r="E14" s="11">
        <v>0.94506944444444396</v>
      </c>
      <c r="F14" s="12">
        <f t="shared" si="1"/>
        <v>2.1091666666666553</v>
      </c>
      <c r="G14" s="13">
        <f t="shared" si="2"/>
        <v>2.1091666666666553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46154.297189351899</v>
      </c>
      <c r="B16" s="5" t="s">
        <v>64</v>
      </c>
      <c r="C16" s="11">
        <v>0.29371527777777801</v>
      </c>
      <c r="D16" s="11" t="s">
        <v>62</v>
      </c>
      <c r="E16" s="11">
        <v>0.36430555555555599</v>
      </c>
      <c r="F16" s="12">
        <f t="shared" si="1"/>
        <v>1.6941666666666717</v>
      </c>
      <c r="G16" s="13">
        <f t="shared" si="2"/>
        <v>0.74333333333335228</v>
      </c>
      <c r="H16" s="13">
        <f t="shared" si="3"/>
        <v>0.95083333333331943</v>
      </c>
      <c r="I16" s="35" t="s">
        <v>63</v>
      </c>
      <c r="J16" s="36">
        <f t="shared" ref="J16:L16" si="4">J3</f>
        <v>55.471111111111114</v>
      </c>
      <c r="K16" s="37">
        <f t="shared" si="4"/>
        <v>40.276666666666699</v>
      </c>
      <c r="L16" s="38">
        <f t="shared" si="4"/>
        <v>15.194444444444422</v>
      </c>
      <c r="M16" s="39"/>
    </row>
    <row r="17" spans="1:13" ht="20.25" x14ac:dyDescent="0.25">
      <c r="A17" s="10">
        <f t="shared" ca="1" si="0"/>
        <v>46156.504724537001</v>
      </c>
      <c r="B17" s="5" t="s">
        <v>81</v>
      </c>
      <c r="C17" s="11">
        <v>0.50472222222222196</v>
      </c>
      <c r="D17" s="11" t="s">
        <v>62</v>
      </c>
      <c r="E17" s="11">
        <v>0.63634259259259296</v>
      </c>
      <c r="F17" s="12">
        <f t="shared" si="1"/>
        <v>3.158888888888904</v>
      </c>
      <c r="G17" s="13">
        <f t="shared" si="2"/>
        <v>3.158888888888904</v>
      </c>
      <c r="H17" s="13">
        <f t="shared" si="3"/>
        <v>0</v>
      </c>
      <c r="I17" s="35" t="s">
        <v>77</v>
      </c>
      <c r="J17" s="36">
        <f>J4+J5+J6+J7+J10</f>
        <v>47.182222222222201</v>
      </c>
      <c r="K17" s="37">
        <f>K4+K5+K6+K7+K10</f>
        <v>32.563888888888897</v>
      </c>
      <c r="L17" s="38">
        <f>L4+L5+L6+L7+L10</f>
        <v>14.618333333333302</v>
      </c>
      <c r="M17" s="39"/>
    </row>
    <row r="18" spans="1:13" ht="20.25" x14ac:dyDescent="0.25">
      <c r="A18" s="10">
        <f t="shared" ca="1" si="0"/>
        <v>46156.755535995399</v>
      </c>
      <c r="B18" s="5" t="s">
        <v>81</v>
      </c>
      <c r="C18" s="11">
        <v>0.75553240740740701</v>
      </c>
      <c r="D18" s="11" t="s">
        <v>62</v>
      </c>
      <c r="E18" s="11">
        <v>0.80546296296296305</v>
      </c>
      <c r="F18" s="12">
        <f t="shared" si="1"/>
        <v>1.1983333333333448</v>
      </c>
      <c r="G18" s="13">
        <f t="shared" si="2"/>
        <v>1.1983333333333448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46156.812375694397</v>
      </c>
      <c r="B19" s="5" t="s">
        <v>82</v>
      </c>
      <c r="C19" s="11">
        <v>0.81237268518518502</v>
      </c>
      <c r="D19" s="11" t="s">
        <v>62</v>
      </c>
      <c r="E19" s="11">
        <v>0.88076388888888901</v>
      </c>
      <c r="F19" s="12">
        <f t="shared" si="1"/>
        <v>1.6413888888888959</v>
      </c>
      <c r="G19" s="13">
        <f t="shared" si="2"/>
        <v>1.6413888888888959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46157.130712036997</v>
      </c>
      <c r="B20" s="5" t="s">
        <v>64</v>
      </c>
      <c r="C20" s="11">
        <v>0.13070601851851901</v>
      </c>
      <c r="D20" s="11" t="s">
        <v>62</v>
      </c>
      <c r="E20" s="11">
        <v>0.30336805555555602</v>
      </c>
      <c r="F20" s="12">
        <f t="shared" si="1"/>
        <v>4.1438888888888883</v>
      </c>
      <c r="G20" s="13">
        <f t="shared" si="2"/>
        <v>0</v>
      </c>
      <c r="H20" s="13">
        <f t="shared" si="3"/>
        <v>4.1438888888888883</v>
      </c>
      <c r="I20" s="40" t="s">
        <v>80</v>
      </c>
      <c r="J20" s="65">
        <f>J16+J17+J18+J19</f>
        <v>102.65333333333331</v>
      </c>
      <c r="K20" s="66"/>
      <c r="L20" s="67"/>
      <c r="M20" s="41"/>
    </row>
    <row r="21" spans="1:13" ht="20.25" x14ac:dyDescent="0.25">
      <c r="A21" s="10">
        <f t="shared" ca="1" si="0"/>
        <v>46160.356881713</v>
      </c>
      <c r="B21" s="5" t="s">
        <v>64</v>
      </c>
      <c r="C21" s="11">
        <v>0.356875</v>
      </c>
      <c r="D21" s="11" t="s">
        <v>62</v>
      </c>
      <c r="E21" s="11">
        <v>0.54944444444444496</v>
      </c>
      <c r="F21" s="12">
        <f t="shared" si="1"/>
        <v>4.6216666666666786</v>
      </c>
      <c r="G21" s="13">
        <f t="shared" si="2"/>
        <v>4.6216666666666786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46160.790427893502</v>
      </c>
      <c r="B22" s="5" t="s">
        <v>64</v>
      </c>
      <c r="C22" s="11">
        <v>0.79042824074074103</v>
      </c>
      <c r="D22" s="11" t="s">
        <v>62</v>
      </c>
      <c r="E22" s="11">
        <v>0.94560185185185197</v>
      </c>
      <c r="F22" s="12">
        <f t="shared" si="1"/>
        <v>3.7241666666666626</v>
      </c>
      <c r="G22" s="13">
        <f t="shared" si="2"/>
        <v>3.7241666666666626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46161.294444675899</v>
      </c>
      <c r="B23" s="5" t="s">
        <v>64</v>
      </c>
      <c r="C23" s="11">
        <v>0.29444444444444401</v>
      </c>
      <c r="D23" s="11" t="s">
        <v>62</v>
      </c>
      <c r="E23" s="11">
        <v>0.58464120370370398</v>
      </c>
      <c r="F23" s="12">
        <f t="shared" si="1"/>
        <v>6.9647222222222389</v>
      </c>
      <c r="G23" s="13">
        <f t="shared" si="2"/>
        <v>6.0313888888889036</v>
      </c>
      <c r="H23" s="13">
        <f t="shared" si="3"/>
        <v>0.93333333333333535</v>
      </c>
      <c r="I23"/>
      <c r="J23"/>
    </row>
    <row r="24" spans="1:13" ht="18.75" x14ac:dyDescent="0.15">
      <c r="A24" s="10">
        <f t="shared" ca="1" si="0"/>
        <v>46162.133952662</v>
      </c>
      <c r="B24" s="5" t="s">
        <v>83</v>
      </c>
      <c r="C24" s="11">
        <v>0.133946759259259</v>
      </c>
      <c r="D24" s="11" t="s">
        <v>62</v>
      </c>
      <c r="E24" s="11">
        <v>0.23149305555555599</v>
      </c>
      <c r="F24" s="12">
        <f t="shared" si="1"/>
        <v>2.341111111111128</v>
      </c>
      <c r="G24" s="13">
        <f t="shared" si="2"/>
        <v>0</v>
      </c>
      <c r="H24" s="13">
        <f t="shared" si="3"/>
        <v>2.341111111111128</v>
      </c>
      <c r="I24"/>
      <c r="J24"/>
    </row>
    <row r="25" spans="1:13" ht="18.75" x14ac:dyDescent="0.15">
      <c r="A25" s="10">
        <f t="shared" ca="1" si="0"/>
        <v>46164.353569907398</v>
      </c>
      <c r="B25" s="5" t="s">
        <v>82</v>
      </c>
      <c r="C25" s="11">
        <v>0.353796296296296</v>
      </c>
      <c r="D25" s="11" t="s">
        <v>62</v>
      </c>
      <c r="E25" s="11">
        <v>0.50687499999999996</v>
      </c>
      <c r="F25" s="12">
        <f t="shared" si="1"/>
        <v>3.6738888888888952</v>
      </c>
      <c r="G25" s="13">
        <f t="shared" si="2"/>
        <v>3.6738888888888952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46164.875114467599</v>
      </c>
      <c r="B26" s="5" t="s">
        <v>82</v>
      </c>
      <c r="C26" s="11">
        <v>0.87510416666666702</v>
      </c>
      <c r="D26" s="11" t="s">
        <v>62</v>
      </c>
      <c r="E26" s="11">
        <v>0.96552083333333305</v>
      </c>
      <c r="F26" s="12">
        <f t="shared" si="1"/>
        <v>2.1699999999999848</v>
      </c>
      <c r="G26" s="13">
        <f t="shared" si="2"/>
        <v>2.1699999999999848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46165.480258912001</v>
      </c>
      <c r="B27" s="5" t="s">
        <v>75</v>
      </c>
      <c r="C27" s="11">
        <v>0.48025462962963</v>
      </c>
      <c r="D27" s="11" t="s">
        <v>62</v>
      </c>
      <c r="E27" s="11">
        <v>0.54793981481481502</v>
      </c>
      <c r="F27" s="12">
        <f t="shared" si="1"/>
        <v>1.6244444444444404</v>
      </c>
      <c r="G27" s="13">
        <f t="shared" si="2"/>
        <v>1.6244444444444404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46165.634274652803</v>
      </c>
      <c r="B28" s="5" t="s">
        <v>79</v>
      </c>
      <c r="C28" s="11">
        <v>0.63427083333333301</v>
      </c>
      <c r="D28" s="11" t="s">
        <v>62</v>
      </c>
      <c r="E28" s="11">
        <v>0.75782407407407404</v>
      </c>
      <c r="F28" s="12">
        <f t="shared" si="1"/>
        <v>2.9652777777777848</v>
      </c>
      <c r="G28" s="13">
        <f t="shared" si="2"/>
        <v>2.9652777777777848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46165.941455208304</v>
      </c>
      <c r="B29" s="5" t="s">
        <v>64</v>
      </c>
      <c r="C29" s="11">
        <v>0.94144675925925903</v>
      </c>
      <c r="D29" s="11" t="s">
        <v>62</v>
      </c>
      <c r="E29" s="11">
        <v>0.140798611111111</v>
      </c>
      <c r="F29" s="12">
        <f t="shared" si="1"/>
        <v>4.7844444444444472</v>
      </c>
      <c r="G29" s="13">
        <f t="shared" si="2"/>
        <v>1.4052777777777834</v>
      </c>
      <c r="H29" s="13">
        <f t="shared" si="3"/>
        <v>3.3791666666666638</v>
      </c>
      <c r="I29"/>
      <c r="J29"/>
    </row>
    <row r="30" spans="1:13" ht="18.75" x14ac:dyDescent="0.15">
      <c r="A30" s="10">
        <f t="shared" ca="1" si="0"/>
        <v>46166.542853240702</v>
      </c>
      <c r="B30" s="5" t="s">
        <v>64</v>
      </c>
      <c r="C30" s="11">
        <v>0.54284722222222204</v>
      </c>
      <c r="D30" s="11" t="s">
        <v>62</v>
      </c>
      <c r="E30" s="11">
        <v>0.79863425925925902</v>
      </c>
      <c r="F30" s="12">
        <f t="shared" si="1"/>
        <v>6.1388888888888875</v>
      </c>
      <c r="G30" s="13">
        <f t="shared" si="2"/>
        <v>6.1388888888888875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46167.129172916699</v>
      </c>
      <c r="B31" s="5" t="s">
        <v>64</v>
      </c>
      <c r="C31" s="11">
        <v>0.12916666666666701</v>
      </c>
      <c r="D31" s="11" t="s">
        <v>62</v>
      </c>
      <c r="E31" s="11">
        <v>0.29789351851851897</v>
      </c>
      <c r="F31" s="12">
        <f t="shared" si="1"/>
        <v>4.0494444444444468</v>
      </c>
      <c r="G31" s="13">
        <f t="shared" si="2"/>
        <v>0</v>
      </c>
      <c r="H31" s="13">
        <f t="shared" si="3"/>
        <v>4.0494444444444468</v>
      </c>
      <c r="I31"/>
      <c r="J31"/>
    </row>
    <row r="32" spans="1:13" ht="18.75" x14ac:dyDescent="0.15">
      <c r="A32" s="10">
        <f t="shared" ca="1" si="0"/>
        <v>46168.356362731502</v>
      </c>
      <c r="B32" s="5" t="s">
        <v>82</v>
      </c>
      <c r="C32" s="11">
        <v>0.35635416666666703</v>
      </c>
      <c r="D32" s="11" t="s">
        <v>62</v>
      </c>
      <c r="E32" s="11">
        <v>0.51372685185185196</v>
      </c>
      <c r="F32" s="12">
        <f t="shared" si="1"/>
        <v>3.7769444444444384</v>
      </c>
      <c r="G32" s="13">
        <f t="shared" si="2"/>
        <v>3.7769444444444384</v>
      </c>
      <c r="H32" s="13">
        <f t="shared" si="3"/>
        <v>0</v>
      </c>
      <c r="I32"/>
      <c r="J32"/>
    </row>
    <row r="33" spans="1:11" ht="18.75" x14ac:dyDescent="0.15">
      <c r="A33" s="10">
        <f t="shared" ca="1" si="0"/>
        <v>46168.6262152778</v>
      </c>
      <c r="B33" s="5" t="s">
        <v>82</v>
      </c>
      <c r="C33" s="11">
        <v>0.62621527777777797</v>
      </c>
      <c r="D33" s="11" t="s">
        <v>62</v>
      </c>
      <c r="E33" s="11">
        <v>0.75725694444444402</v>
      </c>
      <c r="F33" s="12">
        <f t="shared" si="1"/>
        <v>3.1449999999999854</v>
      </c>
      <c r="G33" s="13">
        <f t="shared" si="2"/>
        <v>3.1449999999999854</v>
      </c>
      <c r="H33" s="13">
        <f t="shared" si="3"/>
        <v>0</v>
      </c>
      <c r="I33"/>
      <c r="J33"/>
    </row>
    <row r="34" spans="1:11" ht="18.75" x14ac:dyDescent="0.15">
      <c r="A34" s="10">
        <f t="shared" ca="1" si="0"/>
        <v>46169.145420833302</v>
      </c>
      <c r="B34" s="5" t="s">
        <v>79</v>
      </c>
      <c r="C34" s="11">
        <v>0.145416666666667</v>
      </c>
      <c r="D34" s="11" t="s">
        <v>62</v>
      </c>
      <c r="E34" s="11">
        <v>0.30565972222222199</v>
      </c>
      <c r="F34" s="12">
        <f t="shared" si="1"/>
        <v>3.8458333333333199</v>
      </c>
      <c r="G34" s="13">
        <f t="shared" si="2"/>
        <v>0</v>
      </c>
      <c r="H34" s="13">
        <f t="shared" si="3"/>
        <v>3.8458333333333199</v>
      </c>
      <c r="I34"/>
      <c r="J34"/>
    </row>
    <row r="35" spans="1:11" ht="18.75" x14ac:dyDescent="0.15">
      <c r="A35" s="10">
        <f t="shared" ca="1" si="0"/>
        <v>46169.834258680603</v>
      </c>
      <c r="B35" s="5" t="s">
        <v>75</v>
      </c>
      <c r="C35" s="11">
        <v>0.83425925925925903</v>
      </c>
      <c r="D35" s="11" t="s">
        <v>62</v>
      </c>
      <c r="E35" s="11">
        <v>0.96414351851851798</v>
      </c>
      <c r="F35" s="12">
        <f t="shared" si="1"/>
        <v>3.1172222222222148</v>
      </c>
      <c r="G35" s="13">
        <f t="shared" si="2"/>
        <v>3.1172222222222148</v>
      </c>
      <c r="H35" s="13">
        <f t="shared" si="3"/>
        <v>0</v>
      </c>
      <c r="I35"/>
      <c r="J35"/>
    </row>
    <row r="36" spans="1:11" ht="18.75" x14ac:dyDescent="0.15">
      <c r="A36" s="10">
        <f t="shared" ca="1" si="0"/>
        <v>46170.299862847198</v>
      </c>
      <c r="B36" s="5" t="s">
        <v>81</v>
      </c>
      <c r="C36" s="11">
        <v>0.29986111111111102</v>
      </c>
      <c r="D36" s="11" t="s">
        <v>62</v>
      </c>
      <c r="E36" s="11">
        <v>0.363298611111111</v>
      </c>
      <c r="F36" s="12">
        <f t="shared" si="1"/>
        <v>1.5224999999999995</v>
      </c>
      <c r="G36" s="13">
        <f t="shared" si="2"/>
        <v>0.7191666666666725</v>
      </c>
      <c r="H36" s="13">
        <f t="shared" si="3"/>
        <v>0.80333333333332702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46143.291793981502</v>
      </c>
      <c r="B3" s="5" t="s">
        <v>64</v>
      </c>
      <c r="C3" s="11">
        <v>0.291793981481481</v>
      </c>
      <c r="D3" s="11" t="s">
        <v>62</v>
      </c>
      <c r="E3" s="11">
        <v>0.55042824074074104</v>
      </c>
      <c r="F3" s="12">
        <f t="shared" ref="F3:F42" si="1">(IF(E3-C3&lt;0,"24:00"-C3+E3,E3-C3))*24</f>
        <v>6.2072222222222404</v>
      </c>
      <c r="G3" s="13">
        <f t="shared" ref="G3:G42" si="2">F3-H3</f>
        <v>5.2102777777777929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0.99694444444444752</v>
      </c>
      <c r="I3" s="16" t="s">
        <v>63</v>
      </c>
      <c r="J3" s="17">
        <f>SUMIF(B:B,"带班主任",F:F)</f>
        <v>91.701666666666654</v>
      </c>
      <c r="K3" s="18">
        <f>SUMIF(B:B,"带班主任",G:G)</f>
        <v>58.359722222222246</v>
      </c>
      <c r="L3" s="18">
        <f>SUMIF(B:B,"带班主任",H:H)</f>
        <v>33.341944444444408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46143.938276851899</v>
      </c>
      <c r="B4" s="5" t="s">
        <v>64</v>
      </c>
      <c r="C4" s="11">
        <v>0.93827546296296305</v>
      </c>
      <c r="D4" s="11" t="s">
        <v>62</v>
      </c>
      <c r="E4" s="11">
        <v>0.1378125</v>
      </c>
      <c r="F4" s="12">
        <f t="shared" si="1"/>
        <v>4.788888888888887</v>
      </c>
      <c r="G4" s="13">
        <f t="shared" si="2"/>
        <v>1.4813888888888869</v>
      </c>
      <c r="H4" s="13">
        <f t="shared" si="3"/>
        <v>3.3075000000000001</v>
      </c>
      <c r="I4" s="21" t="s">
        <v>65</v>
      </c>
      <c r="J4" s="22">
        <f>SUMIF(B:B,"西塔台管制席",F:F)+SUMIF(B:B,"东塔台管制席",F:F)</f>
        <v>15.458611111111056</v>
      </c>
      <c r="K4" s="23">
        <f>SUMIF(B:B,"西塔台管制席",G:G)+SUMIF(B:B,"东塔台管制席",G:G)</f>
        <v>12.758611111111055</v>
      </c>
      <c r="L4" s="23">
        <f>SUMIF(B:B,"西塔台管制席",H:H)+SUMIF(B:B,"东塔台管制席",H:H)</f>
        <v>2.7</v>
      </c>
      <c r="M4" s="19"/>
    </row>
    <row r="5" spans="1:16" ht="18.75" x14ac:dyDescent="0.25">
      <c r="A5" s="10">
        <f t="shared" ca="1" si="0"/>
        <v>46146.938615046303</v>
      </c>
      <c r="B5" s="5" t="s">
        <v>64</v>
      </c>
      <c r="C5" s="11">
        <v>0.93861111111111095</v>
      </c>
      <c r="D5" s="11" t="s">
        <v>62</v>
      </c>
      <c r="E5" s="11">
        <v>0.13968749999999999</v>
      </c>
      <c r="F5" s="12">
        <f t="shared" si="1"/>
        <v>4.8258333333333372</v>
      </c>
      <c r="G5" s="13">
        <f t="shared" si="2"/>
        <v>1.4733333333333372</v>
      </c>
      <c r="H5" s="13">
        <f t="shared" si="3"/>
        <v>3.3525</v>
      </c>
      <c r="I5" s="21" t="s">
        <v>66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46147.542424305597</v>
      </c>
      <c r="B6" s="5" t="s">
        <v>64</v>
      </c>
      <c r="C6" s="11">
        <v>0.54241898148148104</v>
      </c>
      <c r="D6" s="11" t="s">
        <v>62</v>
      </c>
      <c r="E6" s="11">
        <v>0.79960648148148195</v>
      </c>
      <c r="F6" s="12">
        <f t="shared" si="1"/>
        <v>6.1725000000000216</v>
      </c>
      <c r="G6" s="13">
        <f t="shared" si="2"/>
        <v>6.1725000000000216</v>
      </c>
      <c r="H6" s="13">
        <f t="shared" si="3"/>
        <v>0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46148.131587268501</v>
      </c>
      <c r="B7" s="5" t="s">
        <v>64</v>
      </c>
      <c r="C7" s="11">
        <v>0.13158564814814799</v>
      </c>
      <c r="D7" s="11" t="s">
        <v>62</v>
      </c>
      <c r="E7" s="11">
        <v>0.29931712962962997</v>
      </c>
      <c r="F7" s="12">
        <f t="shared" si="1"/>
        <v>4.0255555555555675</v>
      </c>
      <c r="G7" s="13">
        <f t="shared" si="2"/>
        <v>0</v>
      </c>
      <c r="H7" s="13">
        <f t="shared" si="3"/>
        <v>4.0255555555555675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46150.355109722201</v>
      </c>
      <c r="B8" s="5" t="s">
        <v>79</v>
      </c>
      <c r="C8" s="11">
        <v>0.355104166666667</v>
      </c>
      <c r="D8" s="11" t="s">
        <v>62</v>
      </c>
      <c r="E8" s="11">
        <v>0.52646990740740696</v>
      </c>
      <c r="F8" s="12">
        <f t="shared" si="1"/>
        <v>4.112777777777759</v>
      </c>
      <c r="G8" s="13">
        <f t="shared" si="2"/>
        <v>4.112777777777759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46150.688348726799</v>
      </c>
      <c r="B9" s="5" t="s">
        <v>79</v>
      </c>
      <c r="C9" s="11">
        <v>0.68835648148148199</v>
      </c>
      <c r="D9" s="11" t="s">
        <v>62</v>
      </c>
      <c r="E9" s="11">
        <v>0.77864583333333304</v>
      </c>
      <c r="F9" s="12">
        <f t="shared" si="1"/>
        <v>2.1669444444444252</v>
      </c>
      <c r="G9" s="13">
        <f t="shared" si="2"/>
        <v>2.1669444444444252</v>
      </c>
      <c r="H9" s="13">
        <f t="shared" si="3"/>
        <v>0</v>
      </c>
      <c r="I9" s="21" t="s">
        <v>70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46151.951626157403</v>
      </c>
      <c r="B10" s="5" t="s">
        <v>82</v>
      </c>
      <c r="C10" s="11">
        <v>0.95162037037036995</v>
      </c>
      <c r="D10" s="11" t="s">
        <v>62</v>
      </c>
      <c r="E10" s="11">
        <v>0.1125</v>
      </c>
      <c r="F10" s="12">
        <f t="shared" si="1"/>
        <v>3.8611111111111209</v>
      </c>
      <c r="G10" s="13">
        <f t="shared" si="2"/>
        <v>1.1611111111111208</v>
      </c>
      <c r="H10" s="13">
        <f t="shared" si="3"/>
        <v>2.7</v>
      </c>
      <c r="I10" s="21" t="s">
        <v>71</v>
      </c>
      <c r="J10" s="22">
        <f>SUMIF(B:B,"综合协调席",F:F)</f>
        <v>1.8644444444444392</v>
      </c>
      <c r="K10" s="23">
        <f>SUMIF(B:B,"综合协调席",G:G)</f>
        <v>1.8644444444444392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46154.541835763899</v>
      </c>
      <c r="B11" s="5" t="s">
        <v>64</v>
      </c>
      <c r="C11" s="11">
        <v>0.54182870370370395</v>
      </c>
      <c r="D11" s="11" t="s">
        <v>62</v>
      </c>
      <c r="E11" s="11">
        <v>0.800451388888889</v>
      </c>
      <c r="F11" s="12">
        <f t="shared" si="1"/>
        <v>6.2069444444444413</v>
      </c>
      <c r="G11" s="13">
        <f t="shared" si="2"/>
        <v>6.2069444444444413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46155.131455324103</v>
      </c>
      <c r="B12" s="5" t="s">
        <v>64</v>
      </c>
      <c r="C12" s="11">
        <v>0.131446759259259</v>
      </c>
      <c r="D12" s="11" t="s">
        <v>62</v>
      </c>
      <c r="E12" s="11">
        <v>0.30037037037037001</v>
      </c>
      <c r="F12" s="12">
        <f t="shared" si="1"/>
        <v>4.0541666666666645</v>
      </c>
      <c r="G12" s="13">
        <f t="shared" si="2"/>
        <v>0</v>
      </c>
      <c r="H12" s="13">
        <f t="shared" si="3"/>
        <v>4.0541666666666645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46155.794308796299</v>
      </c>
      <c r="B13" s="5" t="s">
        <v>64</v>
      </c>
      <c r="C13" s="11">
        <v>0.79430555555555504</v>
      </c>
      <c r="D13" s="11" t="s">
        <v>62</v>
      </c>
      <c r="E13" s="11">
        <v>0.94638888888888895</v>
      </c>
      <c r="F13" s="12">
        <f t="shared" si="1"/>
        <v>3.6500000000000137</v>
      </c>
      <c r="G13" s="13">
        <f t="shared" si="2"/>
        <v>3.6500000000000137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46156.2924591435</v>
      </c>
      <c r="B14" s="5" t="s">
        <v>64</v>
      </c>
      <c r="C14" s="11">
        <v>0.29245370370370399</v>
      </c>
      <c r="D14" s="11" t="s">
        <v>62</v>
      </c>
      <c r="E14" s="11">
        <v>0.3646875</v>
      </c>
      <c r="F14" s="12">
        <f t="shared" si="1"/>
        <v>1.7336111111111041</v>
      </c>
      <c r="G14" s="13">
        <f t="shared" si="2"/>
        <v>0.75250000000000838</v>
      </c>
      <c r="H14" s="13">
        <f t="shared" si="3"/>
        <v>0.98111111111109572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46159.521397453696</v>
      </c>
      <c r="B15" s="5" t="s">
        <v>79</v>
      </c>
      <c r="C15" s="11">
        <v>0.52138888888888901</v>
      </c>
      <c r="D15" s="11" t="s">
        <v>62</v>
      </c>
      <c r="E15" s="11">
        <v>0.65362268518518496</v>
      </c>
      <c r="F15" s="12">
        <f t="shared" si="1"/>
        <v>3.1736111111111027</v>
      </c>
      <c r="G15" s="13">
        <f t="shared" si="2"/>
        <v>3.1736111111111027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46159.730423379602</v>
      </c>
      <c r="B16" s="5" t="s">
        <v>79</v>
      </c>
      <c r="C16" s="11">
        <v>0.73041666666666705</v>
      </c>
      <c r="D16" s="11" t="s">
        <v>62</v>
      </c>
      <c r="E16" s="11">
        <v>0.81975694444444402</v>
      </c>
      <c r="F16" s="12">
        <f t="shared" si="1"/>
        <v>2.1441666666666475</v>
      </c>
      <c r="G16" s="13">
        <f t="shared" si="2"/>
        <v>2.1441666666666475</v>
      </c>
      <c r="H16" s="13">
        <f t="shared" si="3"/>
        <v>0</v>
      </c>
      <c r="I16" s="35" t="s">
        <v>63</v>
      </c>
      <c r="J16" s="36">
        <f t="shared" ref="J16:L16" si="4">J3</f>
        <v>91.701666666666654</v>
      </c>
      <c r="K16" s="37">
        <f t="shared" si="4"/>
        <v>58.359722222222246</v>
      </c>
      <c r="L16" s="38">
        <f t="shared" si="4"/>
        <v>33.341944444444408</v>
      </c>
      <c r="M16" s="39"/>
    </row>
    <row r="17" spans="1:13" ht="20.25" x14ac:dyDescent="0.25">
      <c r="A17" s="10">
        <f t="shared" ca="1" si="0"/>
        <v>46162.355585532401</v>
      </c>
      <c r="B17" s="5" t="s">
        <v>64</v>
      </c>
      <c r="C17" s="11">
        <v>0.35557870370370398</v>
      </c>
      <c r="D17" s="11" t="s">
        <v>62</v>
      </c>
      <c r="E17" s="11">
        <v>0.54453703703703704</v>
      </c>
      <c r="F17" s="12">
        <f t="shared" si="1"/>
        <v>4.534999999999993</v>
      </c>
      <c r="G17" s="13">
        <f t="shared" si="2"/>
        <v>4.534999999999993</v>
      </c>
      <c r="H17" s="13">
        <f t="shared" si="3"/>
        <v>0</v>
      </c>
      <c r="I17" s="35" t="s">
        <v>77</v>
      </c>
      <c r="J17" s="36">
        <f>J4+J5+J6+J7+J10</f>
        <v>17.323055555555495</v>
      </c>
      <c r="K17" s="37">
        <f>K4+K5+K6+K7+K10</f>
        <v>14.623055555555494</v>
      </c>
      <c r="L17" s="38">
        <f>L4+L5+L6+L7+L10</f>
        <v>2.7</v>
      </c>
      <c r="M17" s="39"/>
    </row>
    <row r="18" spans="1:13" ht="20.25" x14ac:dyDescent="0.25">
      <c r="A18" s="10">
        <f t="shared" ca="1" si="0"/>
        <v>46162.790085995402</v>
      </c>
      <c r="B18" s="5" t="s">
        <v>64</v>
      </c>
      <c r="C18" s="11">
        <v>0.79008101851851897</v>
      </c>
      <c r="D18" s="11" t="s">
        <v>62</v>
      </c>
      <c r="E18" s="11">
        <v>0.94690972222222203</v>
      </c>
      <c r="F18" s="12">
        <f t="shared" si="1"/>
        <v>3.7638888888888733</v>
      </c>
      <c r="G18" s="13">
        <f t="shared" si="2"/>
        <v>3.7638888888888733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46163.292254861102</v>
      </c>
      <c r="B19" s="5" t="s">
        <v>64</v>
      </c>
      <c r="C19" s="11">
        <v>0.29224537037037002</v>
      </c>
      <c r="D19" s="11" t="s">
        <v>62</v>
      </c>
      <c r="E19" s="11">
        <v>0.55075231481481501</v>
      </c>
      <c r="F19" s="12">
        <f t="shared" si="1"/>
        <v>6.2041666666666799</v>
      </c>
      <c r="G19" s="13">
        <f t="shared" si="2"/>
        <v>5.2180555555555692</v>
      </c>
      <c r="H19" s="13">
        <f t="shared" si="3"/>
        <v>0.98611111111111116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46163.937237268503</v>
      </c>
      <c r="B20" s="5" t="s">
        <v>64</v>
      </c>
      <c r="C20" s="11">
        <v>0.937233796296296</v>
      </c>
      <c r="D20" s="11" t="s">
        <v>62</v>
      </c>
      <c r="E20" s="11">
        <v>0.13802083333333301</v>
      </c>
      <c r="F20" s="12">
        <f t="shared" si="1"/>
        <v>4.8188888888888881</v>
      </c>
      <c r="G20" s="13">
        <f t="shared" si="2"/>
        <v>1.5063888888888961</v>
      </c>
      <c r="H20" s="13">
        <f t="shared" si="3"/>
        <v>3.312499999999992</v>
      </c>
      <c r="I20" s="40" t="s">
        <v>80</v>
      </c>
      <c r="J20" s="65">
        <f>J16+J17+J18+J19</f>
        <v>109.02472222222215</v>
      </c>
      <c r="K20" s="66"/>
      <c r="L20" s="67"/>
      <c r="M20" s="41"/>
    </row>
    <row r="21" spans="1:13" ht="20.25" x14ac:dyDescent="0.25">
      <c r="A21" s="10">
        <f t="shared" ca="1" si="0"/>
        <v>46166.936983449101</v>
      </c>
      <c r="B21" s="5" t="s">
        <v>64</v>
      </c>
      <c r="C21" s="11">
        <v>0.93697916666666703</v>
      </c>
      <c r="D21" s="11" t="s">
        <v>62</v>
      </c>
      <c r="E21" s="11">
        <v>0.136354166666667</v>
      </c>
      <c r="F21" s="12">
        <f t="shared" si="1"/>
        <v>4.7849999999999993</v>
      </c>
      <c r="G21" s="13">
        <f t="shared" si="2"/>
        <v>1.5124999999999913</v>
      </c>
      <c r="H21" s="13">
        <f t="shared" si="3"/>
        <v>3.272500000000008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46167.541995949097</v>
      </c>
      <c r="B22" s="5" t="s">
        <v>64</v>
      </c>
      <c r="C22" s="11">
        <v>0.54199074074074105</v>
      </c>
      <c r="D22" s="11" t="s">
        <v>62</v>
      </c>
      <c r="E22" s="11">
        <v>0.79886574074074101</v>
      </c>
      <c r="F22" s="12">
        <f t="shared" si="1"/>
        <v>6.1649999999999991</v>
      </c>
      <c r="G22" s="13">
        <f t="shared" si="2"/>
        <v>6.1649999999999991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46168.131648842602</v>
      </c>
      <c r="B23" s="5" t="s">
        <v>64</v>
      </c>
      <c r="C23" s="11">
        <v>0.13164351851851899</v>
      </c>
      <c r="D23" s="11" t="s">
        <v>62</v>
      </c>
      <c r="E23" s="11">
        <v>0.29962962962963002</v>
      </c>
      <c r="F23" s="12">
        <f t="shared" si="1"/>
        <v>4.0316666666666645</v>
      </c>
      <c r="G23" s="13">
        <f t="shared" si="2"/>
        <v>0</v>
      </c>
      <c r="H23" s="13">
        <f t="shared" si="3"/>
        <v>4.0316666666666645</v>
      </c>
      <c r="I23"/>
      <c r="J23"/>
    </row>
    <row r="24" spans="1:13" ht="18.75" x14ac:dyDescent="0.15">
      <c r="A24" s="10">
        <f t="shared" ca="1" si="0"/>
        <v>46170.424635879601</v>
      </c>
      <c r="B24" s="5" t="s">
        <v>85</v>
      </c>
      <c r="C24" s="11">
        <v>0.42462962962963002</v>
      </c>
      <c r="D24" s="11" t="s">
        <v>62</v>
      </c>
      <c r="E24" s="11">
        <v>0.50231481481481499</v>
      </c>
      <c r="F24" s="12">
        <f t="shared" si="1"/>
        <v>1.8644444444444392</v>
      </c>
      <c r="G24" s="13">
        <f t="shared" si="2"/>
        <v>1.8644444444444392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46170.540206134297</v>
      </c>
      <c r="B25" s="5" t="s">
        <v>64</v>
      </c>
      <c r="C25" s="11">
        <v>0.54019675925925903</v>
      </c>
      <c r="D25" s="11" t="s">
        <v>62</v>
      </c>
      <c r="E25" s="11">
        <v>0.80106481481481495</v>
      </c>
      <c r="F25" s="12">
        <f t="shared" si="1"/>
        <v>6.2608333333333421</v>
      </c>
      <c r="G25" s="13">
        <f t="shared" si="2"/>
        <v>6.2608333333333421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46171.130484722198</v>
      </c>
      <c r="B26" s="5" t="s">
        <v>64</v>
      </c>
      <c r="C26" s="11">
        <v>0.13047453703703699</v>
      </c>
      <c r="D26" s="11" t="s">
        <v>62</v>
      </c>
      <c r="E26" s="11">
        <v>0.297569444444444</v>
      </c>
      <c r="F26" s="12">
        <f t="shared" si="1"/>
        <v>4.0102777777777678</v>
      </c>
      <c r="G26" s="13">
        <f t="shared" si="2"/>
        <v>0</v>
      </c>
      <c r="H26" s="13">
        <f t="shared" si="3"/>
        <v>4.0102777777777678</v>
      </c>
      <c r="I26"/>
      <c r="J26"/>
    </row>
    <row r="27" spans="1:13" ht="18.75" x14ac:dyDescent="0.15">
      <c r="A27" s="10">
        <f t="shared" ca="1" si="0"/>
        <v>46171.790710763897</v>
      </c>
      <c r="B27" s="5" t="s">
        <v>64</v>
      </c>
      <c r="C27" s="11">
        <v>0.79070601851851896</v>
      </c>
      <c r="D27" s="11" t="s">
        <v>62</v>
      </c>
      <c r="E27" s="11">
        <v>0.94568287037037002</v>
      </c>
      <c r="F27" s="12">
        <f t="shared" si="1"/>
        <v>3.7194444444444255</v>
      </c>
      <c r="G27" s="13">
        <f t="shared" si="2"/>
        <v>3.7194444444444255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46172.291206713002</v>
      </c>
      <c r="B28" s="5" t="s">
        <v>64</v>
      </c>
      <c r="C28" s="11">
        <v>0.29120370370370402</v>
      </c>
      <c r="D28" s="11" t="s">
        <v>62</v>
      </c>
      <c r="E28" s="11">
        <v>0.36381944444444397</v>
      </c>
      <c r="F28" s="12">
        <f t="shared" si="1"/>
        <v>1.7427777777777589</v>
      </c>
      <c r="G28" s="13">
        <f t="shared" si="2"/>
        <v>0.7316666666666638</v>
      </c>
      <c r="H28" s="13">
        <f t="shared" si="3"/>
        <v>1.0111111111110951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42"/>
  <sheetViews>
    <sheetView topLeftCell="A4" zoomScale="85" zoomScaleNormal="85" workbookViewId="0">
      <selection activeCell="N33" sqref="N33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46143.134732407401</v>
      </c>
      <c r="B3" s="5" t="s">
        <v>83</v>
      </c>
      <c r="C3" s="11">
        <v>0.13472222222222199</v>
      </c>
      <c r="D3" s="11" t="s">
        <v>62</v>
      </c>
      <c r="E3" s="11">
        <v>0.218865740740741</v>
      </c>
      <c r="F3" s="12">
        <f t="shared" ref="F3:F42" si="1">(IF(E3-C3&lt;0,"24:00"-C3+E3,E3-C3))*24</f>
        <v>2.0194444444444564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2.0194444444444564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46143.687736805601</v>
      </c>
      <c r="B4" s="5" t="s">
        <v>85</v>
      </c>
      <c r="C4" s="11">
        <v>0.687731481481482</v>
      </c>
      <c r="D4" s="11" t="s">
        <v>62</v>
      </c>
      <c r="E4" s="11">
        <v>0.77946759259259302</v>
      </c>
      <c r="F4" s="12">
        <f t="shared" si="1"/>
        <v>2.2016666666666644</v>
      </c>
      <c r="G4" s="13">
        <f t="shared" si="2"/>
        <v>2.2016666666666644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39.314166666666743</v>
      </c>
      <c r="K4" s="23">
        <f>SUMIF(B:B,"西塔台管制席",G:G)+SUMIF(B:B,"东塔台管制席",G:G)</f>
        <v>23.683611111111166</v>
      </c>
      <c r="L4" s="23">
        <f>SUMIF(B:B,"西塔台管制席",H:H)+SUMIF(B:B,"东塔台管制席",H:H)</f>
        <v>15.630555555555571</v>
      </c>
      <c r="M4" s="19"/>
    </row>
    <row r="5" spans="1:16" ht="18.75" x14ac:dyDescent="0.25">
      <c r="A5" s="10">
        <f t="shared" ca="1" si="0"/>
        <v>46143.822817013897</v>
      </c>
      <c r="B5" s="5" t="s">
        <v>61</v>
      </c>
      <c r="C5" s="11">
        <v>0.82281249999999995</v>
      </c>
      <c r="D5" s="11" t="s">
        <v>62</v>
      </c>
      <c r="E5" s="11">
        <v>0.84476851851851897</v>
      </c>
      <c r="F5" s="12">
        <f t="shared" si="1"/>
        <v>0.52694444444445665</v>
      </c>
      <c r="G5" s="13">
        <f t="shared" si="2"/>
        <v>0.52694444444445665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7.2738888888889175</v>
      </c>
      <c r="K5" s="23">
        <f>SUMIF(B:B,"西塔台协调席",G:G)+SUMIF(B:B,"东塔台协调席",G:G)</f>
        <v>4.7930555555555729</v>
      </c>
      <c r="L5" s="23">
        <f>SUMIF(B:B,"西塔台协调席",H:H)+SUMIF(B:B,"东塔台协调席",H:H)</f>
        <v>2.4808333333333441</v>
      </c>
      <c r="M5" s="19"/>
    </row>
    <row r="6" spans="1:16" ht="18.75" x14ac:dyDescent="0.25">
      <c r="A6" s="10">
        <f t="shared" ca="1" si="0"/>
        <v>46143.952608796302</v>
      </c>
      <c r="B6" s="5" t="s">
        <v>79</v>
      </c>
      <c r="C6" s="11">
        <v>0.95260416666666703</v>
      </c>
      <c r="D6" s="11" t="s">
        <v>62</v>
      </c>
      <c r="E6" s="11">
        <v>1.2430555555555599E-2</v>
      </c>
      <c r="F6" s="12">
        <f t="shared" si="1"/>
        <v>1.4358333333333255</v>
      </c>
      <c r="G6" s="13">
        <f t="shared" si="2"/>
        <v>1.1374999999999911</v>
      </c>
      <c r="H6" s="13">
        <f t="shared" si="3"/>
        <v>0.29833333333333439</v>
      </c>
      <c r="I6" s="21" t="s">
        <v>67</v>
      </c>
      <c r="J6" s="22">
        <f>SUMIF(B:B,"放行席",F:F)</f>
        <v>2.0194444444444564</v>
      </c>
      <c r="K6" s="23">
        <f>SUMIF(B:B,"放行席",G:G)</f>
        <v>0</v>
      </c>
      <c r="L6" s="23">
        <f>SUMIF(B:B,"放行席",H:H)</f>
        <v>2.0194444444444564</v>
      </c>
      <c r="M6" s="19"/>
    </row>
    <row r="7" spans="1:16" ht="18.75" x14ac:dyDescent="0.25">
      <c r="A7" s="10">
        <f t="shared" ca="1" si="0"/>
        <v>46144.0124961806</v>
      </c>
      <c r="B7" s="5" t="s">
        <v>82</v>
      </c>
      <c r="C7" s="11">
        <v>1.2488425925925899E-2</v>
      </c>
      <c r="D7" s="11" t="s">
        <v>62</v>
      </c>
      <c r="E7" s="11">
        <v>0.14484953703703701</v>
      </c>
      <c r="F7" s="12">
        <f t="shared" si="1"/>
        <v>3.1766666666666667</v>
      </c>
      <c r="G7" s="13">
        <f t="shared" si="2"/>
        <v>0</v>
      </c>
      <c r="H7" s="13">
        <f t="shared" si="3"/>
        <v>3.1766666666666667</v>
      </c>
      <c r="I7" s="21" t="s">
        <v>68</v>
      </c>
      <c r="J7" s="22">
        <f>SUMIF(B:B,"地面席",F:F)</f>
        <v>4.0894444444444549</v>
      </c>
      <c r="K7" s="23">
        <f>SUMIF(B:B,"地面席",G:G)</f>
        <v>0</v>
      </c>
      <c r="L7" s="23">
        <f>SUMIF(B:B,"地面席",H:H)</f>
        <v>4.0894444444444549</v>
      </c>
      <c r="M7" s="19"/>
    </row>
    <row r="8" spans="1:16" ht="18.75" x14ac:dyDescent="0.25">
      <c r="A8" s="10">
        <f t="shared" ca="1" si="0"/>
        <v>46150.376054513901</v>
      </c>
      <c r="B8" s="5" t="s">
        <v>61</v>
      </c>
      <c r="C8" s="11">
        <v>0.37605324074074098</v>
      </c>
      <c r="D8" s="11" t="s">
        <v>62</v>
      </c>
      <c r="E8" s="11">
        <v>0.48239583333333302</v>
      </c>
      <c r="F8" s="12">
        <f t="shared" si="1"/>
        <v>2.5522222222222091</v>
      </c>
      <c r="G8" s="13">
        <f t="shared" si="2"/>
        <v>2.5522222222222091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46150.520836342599</v>
      </c>
      <c r="B9" s="5" t="s">
        <v>79</v>
      </c>
      <c r="C9" s="11">
        <v>0.52083333333333304</v>
      </c>
      <c r="D9" s="11" t="s">
        <v>62</v>
      </c>
      <c r="E9" s="11">
        <v>0.69525462962963003</v>
      </c>
      <c r="F9" s="12">
        <f t="shared" si="1"/>
        <v>4.1861111111111278</v>
      </c>
      <c r="G9" s="13">
        <f t="shared" si="2"/>
        <v>4.1861111111111278</v>
      </c>
      <c r="H9" s="13">
        <f t="shared" si="3"/>
        <v>0</v>
      </c>
      <c r="I9" s="21" t="s">
        <v>70</v>
      </c>
      <c r="J9" s="22">
        <f>SUMIF(B:B,"航班调度席",F:F)</f>
        <v>5.2552777777777919</v>
      </c>
      <c r="K9" s="23">
        <f>SUMIF(B:B,"航班调度席",G:G)</f>
        <v>5.2552777777777919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46150.703287037002</v>
      </c>
      <c r="B10" s="5" t="s">
        <v>61</v>
      </c>
      <c r="C10" s="11">
        <v>0.70328703703703699</v>
      </c>
      <c r="D10" s="11" t="s">
        <v>62</v>
      </c>
      <c r="E10" s="11">
        <v>0.75273148148148195</v>
      </c>
      <c r="F10" s="12">
        <f t="shared" si="1"/>
        <v>1.186666666666679</v>
      </c>
      <c r="G10" s="13">
        <f t="shared" si="2"/>
        <v>1.186666666666679</v>
      </c>
      <c r="H10" s="13">
        <f t="shared" si="3"/>
        <v>0</v>
      </c>
      <c r="I10" s="21" t="s">
        <v>71</v>
      </c>
      <c r="J10" s="22">
        <f>SUMIF(B:B,"综合协调席",F:F)</f>
        <v>6.5763888888888733</v>
      </c>
      <c r="K10" s="23">
        <f>SUMIF(B:B,"综合协调席",G:G)</f>
        <v>6.5763888888888733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46150.773316435203</v>
      </c>
      <c r="B11" s="5" t="s">
        <v>75</v>
      </c>
      <c r="C11" s="11">
        <v>0.77331018518518502</v>
      </c>
      <c r="D11" s="11" t="s">
        <v>62</v>
      </c>
      <c r="E11" s="11">
        <v>0.86171296296296296</v>
      </c>
      <c r="F11" s="12">
        <f t="shared" si="1"/>
        <v>2.1216666666666706</v>
      </c>
      <c r="G11" s="13">
        <f t="shared" si="2"/>
        <v>2.1216666666666706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46151.3812741898</v>
      </c>
      <c r="B12" s="5" t="s">
        <v>61</v>
      </c>
      <c r="C12" s="11">
        <v>0.381273148148148</v>
      </c>
      <c r="D12" s="11" t="s">
        <v>62</v>
      </c>
      <c r="E12" s="11">
        <v>0.42249999999999999</v>
      </c>
      <c r="F12" s="12">
        <f t="shared" si="1"/>
        <v>0.98944444444444768</v>
      </c>
      <c r="G12" s="13">
        <f t="shared" si="2"/>
        <v>0.98944444444444768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46151.523665509303</v>
      </c>
      <c r="B13" s="5" t="s">
        <v>82</v>
      </c>
      <c r="C13" s="11">
        <v>0.52365740740740696</v>
      </c>
      <c r="D13" s="11" t="s">
        <v>62</v>
      </c>
      <c r="E13" s="11">
        <v>0.592326388888889</v>
      </c>
      <c r="F13" s="12">
        <f t="shared" si="1"/>
        <v>1.6480555555555689</v>
      </c>
      <c r="G13" s="13">
        <f t="shared" si="2"/>
        <v>1.6480555555555689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46151.710187152799</v>
      </c>
      <c r="B14" s="5" t="s">
        <v>82</v>
      </c>
      <c r="C14" s="11">
        <v>0.71018518518518503</v>
      </c>
      <c r="D14" s="11" t="s">
        <v>62</v>
      </c>
      <c r="E14" s="11">
        <v>0.77803240740740698</v>
      </c>
      <c r="F14" s="12">
        <f t="shared" si="1"/>
        <v>1.6283333333333267</v>
      </c>
      <c r="G14" s="13">
        <f t="shared" si="2"/>
        <v>1.6283333333333267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46151.855035995402</v>
      </c>
      <c r="B16" s="5" t="s">
        <v>82</v>
      </c>
      <c r="C16" s="11">
        <v>0.85503472222222199</v>
      </c>
      <c r="D16" s="11" t="s">
        <v>62</v>
      </c>
      <c r="E16" s="11">
        <v>0.95778935185185199</v>
      </c>
      <c r="F16" s="12">
        <f t="shared" si="1"/>
        <v>2.46611111111112</v>
      </c>
      <c r="G16" s="13">
        <f t="shared" si="2"/>
        <v>2.46611111111112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46152.293429282399</v>
      </c>
      <c r="B17" s="5" t="s">
        <v>79</v>
      </c>
      <c r="C17" s="11">
        <v>0.29342592592592598</v>
      </c>
      <c r="D17" s="11" t="s">
        <v>62</v>
      </c>
      <c r="E17" s="11">
        <v>0.36802083333333302</v>
      </c>
      <c r="F17" s="12">
        <f t="shared" si="1"/>
        <v>1.790277777777769</v>
      </c>
      <c r="G17" s="13">
        <f t="shared" si="2"/>
        <v>0.83250000000000091</v>
      </c>
      <c r="H17" s="13">
        <f t="shared" si="3"/>
        <v>0.95777777777776807</v>
      </c>
      <c r="I17" s="35" t="s">
        <v>77</v>
      </c>
      <c r="J17" s="36">
        <f>J4+J5+J6+J7+J10</f>
        <v>59.27333333333344</v>
      </c>
      <c r="K17" s="37">
        <f>K4+K5+K6+K7+K10</f>
        <v>35.053055555555609</v>
      </c>
      <c r="L17" s="38">
        <f>L4+L5+L6+L7+L10</f>
        <v>24.220277777777824</v>
      </c>
      <c r="M17" s="39"/>
    </row>
    <row r="18" spans="1:13" ht="20.25" x14ac:dyDescent="0.25">
      <c r="A18" s="10">
        <f t="shared" ca="1" si="0"/>
        <v>46159.300980671302</v>
      </c>
      <c r="B18" s="5" t="s">
        <v>84</v>
      </c>
      <c r="C18" s="11">
        <v>0.136388888888889</v>
      </c>
      <c r="D18" s="11" t="s">
        <v>62</v>
      </c>
      <c r="E18" s="11">
        <v>0.21575231481481499</v>
      </c>
      <c r="F18" s="12">
        <f t="shared" si="1"/>
        <v>1.9047222222222238</v>
      </c>
      <c r="G18" s="13">
        <f t="shared" si="2"/>
        <v>0</v>
      </c>
      <c r="H18" s="13">
        <f t="shared" si="3"/>
        <v>1.9047222222222238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46159.3013721065</v>
      </c>
      <c r="B19" s="5" t="s">
        <v>79</v>
      </c>
      <c r="C19" s="11">
        <v>0.21594907407407399</v>
      </c>
      <c r="D19" s="11" t="s">
        <v>62</v>
      </c>
      <c r="E19" s="11">
        <v>0.30150462962962998</v>
      </c>
      <c r="F19" s="12">
        <f t="shared" si="1"/>
        <v>2.0533333333333439</v>
      </c>
      <c r="G19" s="13">
        <f t="shared" si="2"/>
        <v>0</v>
      </c>
      <c r="H19" s="13">
        <f t="shared" si="3"/>
        <v>2.0533333333333439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46162.705470023102</v>
      </c>
      <c r="B20" s="5" t="s">
        <v>82</v>
      </c>
      <c r="C20" s="11">
        <v>0.52004629629629595</v>
      </c>
      <c r="D20" s="11" t="s">
        <v>62</v>
      </c>
      <c r="E20" s="11">
        <v>0.69186342592592598</v>
      </c>
      <c r="F20" s="12">
        <f t="shared" si="1"/>
        <v>4.1236111111111207</v>
      </c>
      <c r="G20" s="13">
        <f t="shared" si="2"/>
        <v>4.1236111111111207</v>
      </c>
      <c r="H20" s="13">
        <f t="shared" si="3"/>
        <v>0</v>
      </c>
      <c r="I20" s="40" t="s">
        <v>80</v>
      </c>
      <c r="J20" s="65">
        <f>J16+J17+J18+J19</f>
        <v>59.27333333333344</v>
      </c>
      <c r="K20" s="66"/>
      <c r="L20" s="67"/>
      <c r="M20" s="41"/>
    </row>
    <row r="21" spans="1:13" ht="20.25" x14ac:dyDescent="0.25">
      <c r="A21" s="10">
        <f t="shared" ca="1" si="0"/>
        <v>46162.771139351898</v>
      </c>
      <c r="B21" s="5" t="s">
        <v>82</v>
      </c>
      <c r="C21" s="11">
        <v>0.77113425925925905</v>
      </c>
      <c r="D21" s="11" t="s">
        <v>62</v>
      </c>
      <c r="E21" s="11">
        <v>0.86261574074074099</v>
      </c>
      <c r="F21" s="12">
        <f t="shared" si="1"/>
        <v>2.1955555555555666</v>
      </c>
      <c r="G21" s="13">
        <f t="shared" si="2"/>
        <v>2.1955555555555666</v>
      </c>
      <c r="H21" s="13">
        <f t="shared" si="3"/>
        <v>0</v>
      </c>
      <c r="I21" s="42" t="s">
        <v>4</v>
      </c>
      <c r="J21" s="43">
        <f>SUM(J8:J9)</f>
        <v>5.2552777777777919</v>
      </c>
      <c r="K21" s="37">
        <f>SUM(K8:K9)</f>
        <v>5.2552777777777919</v>
      </c>
      <c r="L21" s="38">
        <f>SUM(L8:L9)</f>
        <v>0</v>
      </c>
      <c r="M21" s="44"/>
    </row>
    <row r="22" spans="1:13" ht="18.75" x14ac:dyDescent="0.15">
      <c r="A22" s="10">
        <f t="shared" ca="1" si="0"/>
        <v>46163.416526273097</v>
      </c>
      <c r="B22" s="5" t="s">
        <v>81</v>
      </c>
      <c r="C22" s="11">
        <v>0.41800925925925903</v>
      </c>
      <c r="D22" s="11" t="s">
        <v>62</v>
      </c>
      <c r="E22" s="11">
        <v>0.52931712962962996</v>
      </c>
      <c r="F22" s="12">
        <f t="shared" si="1"/>
        <v>2.6713888888889024</v>
      </c>
      <c r="G22" s="13">
        <f t="shared" si="2"/>
        <v>2.6713888888889024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46163.626110995399</v>
      </c>
      <c r="B23" s="5" t="s">
        <v>82</v>
      </c>
      <c r="C23" s="11">
        <v>0.62611111111111095</v>
      </c>
      <c r="D23" s="11" t="s">
        <v>62</v>
      </c>
      <c r="E23" s="11">
        <v>0.77635416666666701</v>
      </c>
      <c r="F23" s="12">
        <f t="shared" si="1"/>
        <v>3.6058333333333454</v>
      </c>
      <c r="G23" s="13">
        <f t="shared" si="2"/>
        <v>3.6058333333333454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46164.293933101799</v>
      </c>
      <c r="B24" s="5" t="s">
        <v>82</v>
      </c>
      <c r="C24" s="11">
        <v>0.29392361111111098</v>
      </c>
      <c r="D24" s="11" t="s">
        <v>62</v>
      </c>
      <c r="E24" s="11">
        <v>0.36162037037036998</v>
      </c>
      <c r="F24" s="12">
        <f t="shared" si="1"/>
        <v>1.624722222222216</v>
      </c>
      <c r="G24" s="13">
        <f t="shared" si="2"/>
        <v>0.67888888888888799</v>
      </c>
      <c r="H24" s="13">
        <f t="shared" si="3"/>
        <v>0.94583333333332797</v>
      </c>
      <c r="I24"/>
      <c r="J24"/>
    </row>
    <row r="25" spans="1:13" ht="18.75" x14ac:dyDescent="0.15">
      <c r="A25" s="10">
        <f t="shared" ca="1" si="0"/>
        <v>46166.950790162002</v>
      </c>
      <c r="B25" s="5" t="s">
        <v>79</v>
      </c>
      <c r="C25" s="11">
        <v>0.95078703703703704</v>
      </c>
      <c r="D25" s="11" t="s">
        <v>62</v>
      </c>
      <c r="E25" s="11">
        <v>0.14824074074074101</v>
      </c>
      <c r="F25" s="12">
        <f t="shared" si="1"/>
        <v>4.7388888888888951</v>
      </c>
      <c r="G25" s="13">
        <f t="shared" si="2"/>
        <v>1.181111111111111</v>
      </c>
      <c r="H25" s="13">
        <f t="shared" si="3"/>
        <v>3.5577777777777841</v>
      </c>
      <c r="I25"/>
      <c r="J25"/>
    </row>
    <row r="26" spans="1:13" ht="18.75" x14ac:dyDescent="0.15">
      <c r="A26" s="10">
        <f t="shared" ca="1" si="0"/>
        <v>46167.805006365699</v>
      </c>
      <c r="B26" s="5" t="s">
        <v>85</v>
      </c>
      <c r="C26" s="11">
        <v>0.80500000000000005</v>
      </c>
      <c r="D26" s="11" t="s">
        <v>62</v>
      </c>
      <c r="E26" s="11">
        <v>0.91804398148148103</v>
      </c>
      <c r="F26" s="12">
        <f t="shared" si="1"/>
        <v>2.7130555555555436</v>
      </c>
      <c r="G26" s="13">
        <f t="shared" si="2"/>
        <v>2.7130555555555436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46168.137564467601</v>
      </c>
      <c r="B27" s="5" t="s">
        <v>84</v>
      </c>
      <c r="C27" s="11">
        <v>0.13755787037037001</v>
      </c>
      <c r="D27" s="11" t="s">
        <v>62</v>
      </c>
      <c r="E27" s="11">
        <v>0.22858796296296299</v>
      </c>
      <c r="F27" s="12">
        <f t="shared" si="1"/>
        <v>2.1847222222222316</v>
      </c>
      <c r="G27" s="13">
        <f t="shared" si="2"/>
        <v>0</v>
      </c>
      <c r="H27" s="13">
        <f t="shared" si="3"/>
        <v>2.1847222222222316</v>
      </c>
      <c r="I27"/>
      <c r="J27"/>
    </row>
    <row r="28" spans="1:13" ht="18.75" x14ac:dyDescent="0.15">
      <c r="A28" s="10">
        <f t="shared" ca="1" si="0"/>
        <v>46170.814537847204</v>
      </c>
      <c r="B28" s="5" t="s">
        <v>85</v>
      </c>
      <c r="C28" s="11">
        <v>0.81453703703703695</v>
      </c>
      <c r="D28" s="11" t="s">
        <v>62</v>
      </c>
      <c r="E28" s="11">
        <v>0.87517361111111103</v>
      </c>
      <c r="F28" s="12">
        <f t="shared" si="1"/>
        <v>1.4552777777777779</v>
      </c>
      <c r="G28" s="13">
        <f t="shared" si="2"/>
        <v>1.4552777777777779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46171.137417476799</v>
      </c>
      <c r="B29" s="5" t="s">
        <v>82</v>
      </c>
      <c r="C29" s="11">
        <v>0.13740740740740701</v>
      </c>
      <c r="D29" s="11" t="s">
        <v>62</v>
      </c>
      <c r="E29" s="11">
        <v>0.30128472222222202</v>
      </c>
      <c r="F29" s="12">
        <f t="shared" si="1"/>
        <v>3.9330555555555602</v>
      </c>
      <c r="G29" s="13">
        <f t="shared" si="2"/>
        <v>0</v>
      </c>
      <c r="H29" s="13">
        <f t="shared" si="3"/>
        <v>3.9330555555555602</v>
      </c>
      <c r="I29"/>
      <c r="J29"/>
    </row>
    <row r="30" spans="1:13" ht="18.75" x14ac:dyDescent="0.15">
      <c r="A30" s="10">
        <f t="shared" ca="1" si="0"/>
        <v>46171.550352546299</v>
      </c>
      <c r="B30" s="5" t="s">
        <v>85</v>
      </c>
      <c r="C30" s="11">
        <v>0.55034722222222199</v>
      </c>
      <c r="D30" s="11" t="s">
        <v>62</v>
      </c>
      <c r="E30" s="11">
        <v>0.55894675925925896</v>
      </c>
      <c r="F30" s="12">
        <f t="shared" si="1"/>
        <v>0.2063888888888874</v>
      </c>
      <c r="G30" s="13">
        <f t="shared" si="2"/>
        <v>0.2063888888888874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46172.012042129601</v>
      </c>
      <c r="B31" s="5" t="s">
        <v>75</v>
      </c>
      <c r="C31" s="11">
        <v>1.2037037037037001E-2</v>
      </c>
      <c r="D31" s="11" t="s">
        <v>62</v>
      </c>
      <c r="E31" s="11">
        <v>0.115405092592593</v>
      </c>
      <c r="F31" s="12">
        <f t="shared" si="1"/>
        <v>2.4808333333333441</v>
      </c>
      <c r="G31" s="13">
        <f t="shared" si="2"/>
        <v>0</v>
      </c>
      <c r="H31" s="13">
        <f t="shared" si="3"/>
        <v>2.4808333333333441</v>
      </c>
      <c r="I31"/>
      <c r="J31"/>
    </row>
    <row r="32" spans="1:13" ht="18.75" x14ac:dyDescent="0.15">
      <c r="A32" s="10">
        <f t="shared" ca="1" si="0"/>
        <v>46172.115470023098</v>
      </c>
      <c r="B32" s="5" t="s">
        <v>82</v>
      </c>
      <c r="C32" s="11">
        <v>0.115462962962963</v>
      </c>
      <c r="D32" s="11" t="s">
        <v>62</v>
      </c>
      <c r="E32" s="11">
        <v>0.144953703703704</v>
      </c>
      <c r="F32" s="12">
        <f t="shared" si="1"/>
        <v>0.70777777777778395</v>
      </c>
      <c r="G32" s="13">
        <f t="shared" si="2"/>
        <v>0</v>
      </c>
      <c r="H32" s="13">
        <f t="shared" si="3"/>
        <v>0.70777777777778395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P42"/>
  <sheetViews>
    <sheetView tabSelected="1" zoomScale="85" zoomScaleNormal="85" workbookViewId="0">
      <selection activeCell="M58" sqref="M58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46149.367995601897</v>
      </c>
      <c r="B3" s="5" t="s">
        <v>85</v>
      </c>
      <c r="C3" s="11">
        <v>0.36798611111111101</v>
      </c>
      <c r="D3" s="11" t="s">
        <v>62</v>
      </c>
      <c r="E3" s="11">
        <v>0.5340625</v>
      </c>
      <c r="F3" s="12">
        <f t="shared" ref="F3:F42" si="1">(IF(E3-C3&lt;0,"24:00"-C3+E3,E3-C3))*24</f>
        <v>3.9858333333333356</v>
      </c>
      <c r="G3" s="13">
        <f t="shared" ref="G3:G42" si="2">F3-H3</f>
        <v>3.9858333333333356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46149.633557291701</v>
      </c>
      <c r="B4" s="5" t="s">
        <v>85</v>
      </c>
      <c r="C4" s="11">
        <v>0.55021990740740701</v>
      </c>
      <c r="D4" s="11" t="s">
        <v>62</v>
      </c>
      <c r="E4" s="11">
        <v>0.67811342592592605</v>
      </c>
      <c r="F4" s="12">
        <f t="shared" si="1"/>
        <v>3.0694444444444571</v>
      </c>
      <c r="G4" s="13">
        <f t="shared" si="2"/>
        <v>3.0694444444444571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46150.378831828697</v>
      </c>
      <c r="B5" s="5" t="s">
        <v>85</v>
      </c>
      <c r="C5" s="11">
        <v>0.37883101851851803</v>
      </c>
      <c r="D5" s="11" t="s">
        <v>62</v>
      </c>
      <c r="E5" s="11">
        <v>0.467060185185185</v>
      </c>
      <c r="F5" s="12">
        <f t="shared" si="1"/>
        <v>2.1175000000000073</v>
      </c>
      <c r="G5" s="13">
        <f t="shared" si="2"/>
        <v>2.1175000000000073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46150.698276157404</v>
      </c>
      <c r="B6" s="5" t="s">
        <v>85</v>
      </c>
      <c r="C6" s="11">
        <v>0.69827546296296295</v>
      </c>
      <c r="D6" s="11" t="s">
        <v>62</v>
      </c>
      <c r="E6" s="11">
        <v>0.74350694444444398</v>
      </c>
      <c r="F6" s="12">
        <f t="shared" si="1"/>
        <v>1.0855555555555449</v>
      </c>
      <c r="G6" s="13">
        <f t="shared" si="2"/>
        <v>1.0855555555555449</v>
      </c>
      <c r="H6" s="13">
        <f t="shared" si="3"/>
        <v>0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46151.3679646991</v>
      </c>
      <c r="B7" s="5" t="s">
        <v>85</v>
      </c>
      <c r="C7" s="11">
        <v>0.36796296296296299</v>
      </c>
      <c r="D7" s="11" t="s">
        <v>62</v>
      </c>
      <c r="E7" s="11">
        <v>0.38457175925925902</v>
      </c>
      <c r="F7" s="12">
        <f t="shared" si="1"/>
        <v>0.39861111111110459</v>
      </c>
      <c r="G7" s="13">
        <f t="shared" si="2"/>
        <v>0.39861111111110459</v>
      </c>
      <c r="H7" s="13">
        <f t="shared" si="3"/>
        <v>0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46155.3800380787</v>
      </c>
      <c r="B8" s="5" t="s">
        <v>85</v>
      </c>
      <c r="C8" s="11">
        <v>0.38003472222222201</v>
      </c>
      <c r="D8" s="11" t="s">
        <v>62</v>
      </c>
      <c r="E8" s="11">
        <v>0.55017361111111096</v>
      </c>
      <c r="F8" s="12">
        <f t="shared" si="1"/>
        <v>4.0833333333333348</v>
      </c>
      <c r="G8" s="13">
        <f t="shared" si="2"/>
        <v>4.0833333333333348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46156.388138194401</v>
      </c>
      <c r="B9" s="5" t="s">
        <v>85</v>
      </c>
      <c r="C9" s="11">
        <v>0.38813657407407398</v>
      </c>
      <c r="D9" s="11" t="s">
        <v>62</v>
      </c>
      <c r="E9" s="11">
        <v>0.47442129629629598</v>
      </c>
      <c r="F9" s="12">
        <f t="shared" si="1"/>
        <v>2.070833333333328</v>
      </c>
      <c r="G9" s="13">
        <f t="shared" si="2"/>
        <v>2.070833333333328</v>
      </c>
      <c r="H9" s="13">
        <f t="shared" si="3"/>
        <v>0</v>
      </c>
      <c r="I9" s="21" t="s">
        <v>70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46156.605827430598</v>
      </c>
      <c r="B10" s="5" t="s">
        <v>85</v>
      </c>
      <c r="C10" s="11">
        <v>0.60582175925925896</v>
      </c>
      <c r="D10" s="11" t="s">
        <v>62</v>
      </c>
      <c r="E10" s="11">
        <v>0.717592592592593</v>
      </c>
      <c r="F10" s="12">
        <f t="shared" si="1"/>
        <v>2.682500000000017</v>
      </c>
      <c r="G10" s="13">
        <f t="shared" si="2"/>
        <v>2.682500000000017</v>
      </c>
      <c r="H10" s="13">
        <f t="shared" si="3"/>
        <v>0</v>
      </c>
      <c r="I10" s="21" t="s">
        <v>71</v>
      </c>
      <c r="J10" s="22">
        <f>SUMIF(B:B,"综合协调席",F:F)</f>
        <v>32.538333333333362</v>
      </c>
      <c r="K10" s="23">
        <f>SUMIF(B:B,"综合协调席",G:G)</f>
        <v>31.529722222222247</v>
      </c>
      <c r="L10" s="23">
        <f>SUMIF(B:B,"综合协调席",H:H)</f>
        <v>1.008611111111112</v>
      </c>
      <c r="M10" s="19"/>
    </row>
    <row r="11" spans="1:16" ht="18.75" x14ac:dyDescent="0.25">
      <c r="A11" s="10">
        <f t="shared" ca="1" si="0"/>
        <v>46157.362421064798</v>
      </c>
      <c r="B11" s="5" t="s">
        <v>85</v>
      </c>
      <c r="C11" s="11">
        <v>0.362418981481481</v>
      </c>
      <c r="D11" s="11" t="s">
        <v>62</v>
      </c>
      <c r="E11" s="11">
        <v>0.49534722222222199</v>
      </c>
      <c r="F11" s="12">
        <f t="shared" si="1"/>
        <v>3.190277777777784</v>
      </c>
      <c r="G11" s="13">
        <f t="shared" si="2"/>
        <v>3.190277777777784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46158.423521527802</v>
      </c>
      <c r="B12" s="5" t="s">
        <v>85</v>
      </c>
      <c r="C12" s="11">
        <v>0.42351851851851902</v>
      </c>
      <c r="D12" s="11" t="s">
        <v>62</v>
      </c>
      <c r="E12" s="11">
        <v>0.53215277777777803</v>
      </c>
      <c r="F12" s="12">
        <f t="shared" si="1"/>
        <v>2.6072222222222163</v>
      </c>
      <c r="G12" s="13">
        <f t="shared" si="2"/>
        <v>2.6072222222222163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46167.847868981502</v>
      </c>
      <c r="B13" s="5" t="s">
        <v>85</v>
      </c>
      <c r="C13" s="11">
        <v>0.84785879629629601</v>
      </c>
      <c r="D13" s="11" t="s">
        <v>62</v>
      </c>
      <c r="E13" s="11">
        <v>4.2025462962963001E-2</v>
      </c>
      <c r="F13" s="12">
        <f t="shared" si="1"/>
        <v>4.6600000000000072</v>
      </c>
      <c r="G13" s="13">
        <f t="shared" si="2"/>
        <v>3.6513888888888952</v>
      </c>
      <c r="H13" s="13">
        <f t="shared" si="3"/>
        <v>1.008611111111112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46168.397114814798</v>
      </c>
      <c r="B14" s="5" t="s">
        <v>85</v>
      </c>
      <c r="C14" s="11">
        <v>0.39710648148148098</v>
      </c>
      <c r="D14" s="11" t="s">
        <v>62</v>
      </c>
      <c r="E14" s="11">
        <v>0.50490740740740703</v>
      </c>
      <c r="F14" s="12">
        <f t="shared" si="1"/>
        <v>2.5872222222222252</v>
      </c>
      <c r="G14" s="13">
        <f t="shared" si="2"/>
        <v>2.5872222222222252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77</v>
      </c>
      <c r="J17" s="36">
        <f>J4+J5+J6+J7+J10</f>
        <v>32.538333333333362</v>
      </c>
      <c r="K17" s="37">
        <f>K4+K5+K6+K7+K10</f>
        <v>31.529722222222247</v>
      </c>
      <c r="L17" s="38">
        <f>L4+L5+L6+L7+L10</f>
        <v>1.008611111111112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80</v>
      </c>
      <c r="J20" s="65">
        <f>J16+J17+J18+J19</f>
        <v>32.538333333333362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46150.783183101797</v>
      </c>
      <c r="B3" s="5" t="s">
        <v>85</v>
      </c>
      <c r="C3" s="11">
        <v>0.78318287037037004</v>
      </c>
      <c r="D3" s="11" t="s">
        <v>62</v>
      </c>
      <c r="E3" s="11">
        <v>0.91211805555555603</v>
      </c>
      <c r="F3" s="12">
        <f t="shared" ref="F3:F42" si="1">(IF(E3-C3&lt;0,"24:00"-C3+E3,E3-C3))*24</f>
        <v>3.0944444444444636</v>
      </c>
      <c r="G3" s="13">
        <f t="shared" ref="G3:G42" si="2">F3-H3</f>
        <v>3.0944444444444636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46151.3875976852</v>
      </c>
      <c r="B4" s="5" t="s">
        <v>85</v>
      </c>
      <c r="C4" s="11">
        <v>0.38759259259259299</v>
      </c>
      <c r="D4" s="11" t="s">
        <v>62</v>
      </c>
      <c r="E4" s="11">
        <v>0.48092592592592598</v>
      </c>
      <c r="F4" s="12">
        <f t="shared" si="1"/>
        <v>2.2399999999999918</v>
      </c>
      <c r="G4" s="13">
        <f t="shared" si="2"/>
        <v>2.2399999999999918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46151.480968518503</v>
      </c>
      <c r="B5" s="5" t="s">
        <v>85</v>
      </c>
      <c r="C5" s="11">
        <v>0.52262731481481495</v>
      </c>
      <c r="D5" s="11" t="s">
        <v>62</v>
      </c>
      <c r="E5" s="11">
        <v>0.60603009259259299</v>
      </c>
      <c r="F5" s="12">
        <f t="shared" si="1"/>
        <v>2.0016666666666731</v>
      </c>
      <c r="G5" s="13">
        <f t="shared" si="2"/>
        <v>2.0016666666666731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46153.8140607639</v>
      </c>
      <c r="B6" s="5" t="s">
        <v>85</v>
      </c>
      <c r="C6" s="11">
        <v>0.81405092592592598</v>
      </c>
      <c r="D6" s="11" t="s">
        <v>62</v>
      </c>
      <c r="E6" s="11">
        <v>0.9559375</v>
      </c>
      <c r="F6" s="12">
        <f t="shared" si="1"/>
        <v>3.4052777777777763</v>
      </c>
      <c r="G6" s="13">
        <f t="shared" si="2"/>
        <v>3.4052777777777763</v>
      </c>
      <c r="H6" s="13">
        <f t="shared" si="3"/>
        <v>0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46155.405334837997</v>
      </c>
      <c r="B7" s="5" t="s">
        <v>85</v>
      </c>
      <c r="C7" s="11">
        <v>0.38449074074074102</v>
      </c>
      <c r="D7" s="11" t="s">
        <v>62</v>
      </c>
      <c r="E7" s="11">
        <v>0.41973379629629598</v>
      </c>
      <c r="F7" s="12">
        <f t="shared" si="1"/>
        <v>0.845833333333319</v>
      </c>
      <c r="G7" s="13">
        <f t="shared" si="2"/>
        <v>0.845833333333319</v>
      </c>
      <c r="H7" s="13">
        <f t="shared" si="3"/>
        <v>0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46162.827777893501</v>
      </c>
      <c r="B8" s="5" t="s">
        <v>85</v>
      </c>
      <c r="C8" s="11">
        <v>0.82777777777777795</v>
      </c>
      <c r="D8" s="11" t="s">
        <v>62</v>
      </c>
      <c r="E8" s="11">
        <v>0.99449074074074095</v>
      </c>
      <c r="F8" s="12">
        <f t="shared" si="1"/>
        <v>4.0011111111111122</v>
      </c>
      <c r="G8" s="13">
        <f t="shared" si="2"/>
        <v>4.0011111111111122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46163.426171874999</v>
      </c>
      <c r="B9" s="5" t="s">
        <v>85</v>
      </c>
      <c r="C9" s="11">
        <v>0.384502314814815</v>
      </c>
      <c r="D9" s="11" t="s">
        <v>62</v>
      </c>
      <c r="E9" s="11">
        <v>0.50958333333333306</v>
      </c>
      <c r="F9" s="12">
        <f t="shared" si="1"/>
        <v>3.0019444444444332</v>
      </c>
      <c r="G9" s="13">
        <f t="shared" si="2"/>
        <v>3.0019444444444332</v>
      </c>
      <c r="H9" s="13">
        <f t="shared" si="3"/>
        <v>0</v>
      </c>
      <c r="I9" s="21" t="s">
        <v>70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46163.426405555598</v>
      </c>
      <c r="B10" s="5" t="s">
        <v>85</v>
      </c>
      <c r="C10" s="11">
        <v>0.59306712962963004</v>
      </c>
      <c r="D10" s="11" t="s">
        <v>62</v>
      </c>
      <c r="E10" s="11">
        <v>0.71814814814814798</v>
      </c>
      <c r="F10" s="12">
        <f t="shared" si="1"/>
        <v>3.0019444444444305</v>
      </c>
      <c r="G10" s="13">
        <f t="shared" si="2"/>
        <v>3.0019444444444305</v>
      </c>
      <c r="H10" s="13">
        <f t="shared" si="3"/>
        <v>0</v>
      </c>
      <c r="I10" s="21" t="s">
        <v>71</v>
      </c>
      <c r="J10" s="22">
        <f>SUMIF(B:B,"综合协调席",F:F)</f>
        <v>31.289722222222174</v>
      </c>
      <c r="K10" s="23">
        <f>SUMIF(B:B,"综合协调席",G:G)</f>
        <v>29.894999999999953</v>
      </c>
      <c r="L10" s="23">
        <f>SUMIF(B:B,"综合协调席",H:H)</f>
        <v>1.3947222222222218</v>
      </c>
      <c r="M10" s="19"/>
    </row>
    <row r="11" spans="1:16" ht="18.75" x14ac:dyDescent="0.25">
      <c r="A11" s="10">
        <f t="shared" ca="1" si="0"/>
        <v>46164.873071643502</v>
      </c>
      <c r="B11" s="5" t="s">
        <v>85</v>
      </c>
      <c r="C11" s="11">
        <v>0.83140046296296299</v>
      </c>
      <c r="D11" s="11" t="s">
        <v>62</v>
      </c>
      <c r="E11" s="11">
        <v>5.8113425925925902E-2</v>
      </c>
      <c r="F11" s="12">
        <f t="shared" si="1"/>
        <v>5.441111111111109</v>
      </c>
      <c r="G11" s="13">
        <f t="shared" si="2"/>
        <v>4.0463888888888873</v>
      </c>
      <c r="H11" s="13">
        <f t="shared" si="3"/>
        <v>1.3947222222222218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46165.464018286999</v>
      </c>
      <c r="B12" s="5" t="s">
        <v>85</v>
      </c>
      <c r="C12" s="11">
        <v>0.464016203703704</v>
      </c>
      <c r="D12" s="11" t="s">
        <v>62</v>
      </c>
      <c r="E12" s="11">
        <v>0.49625000000000002</v>
      </c>
      <c r="F12" s="12">
        <f t="shared" si="1"/>
        <v>0.77361111111110459</v>
      </c>
      <c r="G12" s="13">
        <f t="shared" si="2"/>
        <v>0.77361111111110459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46165.856465856501</v>
      </c>
      <c r="B13" s="5" t="s">
        <v>85</v>
      </c>
      <c r="C13" s="11">
        <v>0.81479166666666702</v>
      </c>
      <c r="D13" s="11" t="s">
        <v>62</v>
      </c>
      <c r="E13" s="11">
        <v>0.95990740740740699</v>
      </c>
      <c r="F13" s="12">
        <f t="shared" si="1"/>
        <v>3.4827777777777591</v>
      </c>
      <c r="G13" s="13">
        <f t="shared" si="2"/>
        <v>3.4827777777777591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77</v>
      </c>
      <c r="J17" s="36">
        <f>J4+J5+J6+J7+J10</f>
        <v>31.289722222222174</v>
      </c>
      <c r="K17" s="37">
        <f>K4+K5+K6+K7+K10</f>
        <v>29.894999999999953</v>
      </c>
      <c r="L17" s="38">
        <f>L4+L5+L6+L7+L10</f>
        <v>1.3947222222222218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80</v>
      </c>
      <c r="J20" s="65">
        <f>J16+J17+J18+J19</f>
        <v>31.289722222222174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46143.020714236103</v>
      </c>
      <c r="B3" s="5" t="s">
        <v>87</v>
      </c>
      <c r="C3" s="11">
        <v>1.37615740740741E-2</v>
      </c>
      <c r="D3" s="11" t="s">
        <v>62</v>
      </c>
      <c r="E3" s="11">
        <v>0.14609953703703699</v>
      </c>
      <c r="F3" s="12">
        <f t="shared" ref="F3:F42" si="1">(IF(E3-C3&lt;0,"24:00"-C3+E3,E3-C3))*24</f>
        <v>3.1761111111111093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3.1761111111111093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46147.3762377315</v>
      </c>
      <c r="B4" s="5" t="s">
        <v>61</v>
      </c>
      <c r="C4" s="11">
        <v>0.37622685185185201</v>
      </c>
      <c r="D4" s="11" t="s">
        <v>62</v>
      </c>
      <c r="E4" s="11">
        <v>0.43498842592592601</v>
      </c>
      <c r="F4" s="12">
        <f t="shared" si="1"/>
        <v>1.4102777777777762</v>
      </c>
      <c r="G4" s="13">
        <f t="shared" si="2"/>
        <v>1.4102777777777762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6.9013888888888539</v>
      </c>
      <c r="K4" s="23">
        <f>SUMIF(B:B,"西塔台管制席",G:G)+SUMIF(B:B,"东塔台管制席",G:G)</f>
        <v>3.8780555555555258</v>
      </c>
      <c r="L4" s="23">
        <f>SUMIF(B:B,"西塔台管制席",H:H)+SUMIF(B:B,"东塔台管制席",H:H)</f>
        <v>3.0233333333333281</v>
      </c>
      <c r="M4" s="19"/>
    </row>
    <row r="5" spans="1:16" ht="18.75" x14ac:dyDescent="0.25">
      <c r="A5" s="10">
        <f t="shared" ca="1" si="0"/>
        <v>46147.751106249998</v>
      </c>
      <c r="B5" s="5" t="s">
        <v>87</v>
      </c>
      <c r="C5" s="11">
        <v>0.75109953703703702</v>
      </c>
      <c r="D5" s="11" t="s">
        <v>62</v>
      </c>
      <c r="E5" s="11">
        <v>0.88064814814814796</v>
      </c>
      <c r="F5" s="12">
        <f t="shared" si="1"/>
        <v>3.1091666666666624</v>
      </c>
      <c r="G5" s="13">
        <f t="shared" si="2"/>
        <v>3.1091666666666624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12.582499999999989</v>
      </c>
      <c r="K5" s="23">
        <f>SUMIF(B:B,"西塔台协调席",G:G)+SUMIF(B:B,"东塔台协调席",G:G)</f>
        <v>10.044722222222205</v>
      </c>
      <c r="L5" s="23">
        <f>SUMIF(B:B,"西塔台协调席",H:H)+SUMIF(B:B,"东塔台协调席",H:H)</f>
        <v>2.5377777777777837</v>
      </c>
      <c r="M5" s="19"/>
    </row>
    <row r="6" spans="1:16" ht="18.75" x14ac:dyDescent="0.25">
      <c r="A6" s="10">
        <f t="shared" ca="1" si="0"/>
        <v>46155.012939583299</v>
      </c>
      <c r="B6" s="5" t="s">
        <v>87</v>
      </c>
      <c r="C6" s="11">
        <v>1.29398148148148E-2</v>
      </c>
      <c r="D6" s="11" t="s">
        <v>62</v>
      </c>
      <c r="E6" s="11">
        <v>0.14499999999999999</v>
      </c>
      <c r="F6" s="12">
        <f t="shared" si="1"/>
        <v>3.1694444444444447</v>
      </c>
      <c r="G6" s="13">
        <f t="shared" si="2"/>
        <v>0</v>
      </c>
      <c r="H6" s="13">
        <f t="shared" si="3"/>
        <v>3.1694444444444447</v>
      </c>
      <c r="I6" s="21" t="s">
        <v>67</v>
      </c>
      <c r="J6" s="22">
        <f>SUMIF(B:B,"放行席",F:F)</f>
        <v>4.5277777777777919</v>
      </c>
      <c r="K6" s="23">
        <f>SUMIF(B:B,"放行席",G:G)</f>
        <v>0</v>
      </c>
      <c r="L6" s="23">
        <f>SUMIF(B:B,"放行席",H:H)</f>
        <v>4.5277777777777919</v>
      </c>
      <c r="M6" s="19"/>
    </row>
    <row r="7" spans="1:16" ht="18.75" x14ac:dyDescent="0.25">
      <c r="A7" s="10">
        <f t="shared" ca="1" si="0"/>
        <v>46156.1307229167</v>
      </c>
      <c r="B7" s="5" t="s">
        <v>87</v>
      </c>
      <c r="C7" s="11">
        <v>0.130717592592593</v>
      </c>
      <c r="D7" s="11" t="s">
        <v>62</v>
      </c>
      <c r="E7" s="11">
        <v>0.22431712962962999</v>
      </c>
      <c r="F7" s="12">
        <f t="shared" si="1"/>
        <v>2.2463888888888879</v>
      </c>
      <c r="G7" s="13">
        <f t="shared" si="2"/>
        <v>0</v>
      </c>
      <c r="H7" s="13">
        <f t="shared" si="3"/>
        <v>2.2463888888888879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46158.522033911999</v>
      </c>
      <c r="B8" s="5" t="s">
        <v>87</v>
      </c>
      <c r="C8" s="11">
        <v>0.52202546296296304</v>
      </c>
      <c r="D8" s="11" t="s">
        <v>62</v>
      </c>
      <c r="E8" s="11">
        <v>0.65464120370370404</v>
      </c>
      <c r="F8" s="12">
        <f t="shared" si="1"/>
        <v>3.1827777777777841</v>
      </c>
      <c r="G8" s="13">
        <f t="shared" si="2"/>
        <v>3.1827777777777841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46158.772004861101</v>
      </c>
      <c r="B9" s="5" t="s">
        <v>87</v>
      </c>
      <c r="C9" s="11">
        <v>0.77200231481481496</v>
      </c>
      <c r="D9" s="11" t="s">
        <v>62</v>
      </c>
      <c r="E9" s="11">
        <v>0.860335648148148</v>
      </c>
      <c r="F9" s="12">
        <f t="shared" si="1"/>
        <v>2.119999999999993</v>
      </c>
      <c r="G9" s="13">
        <f t="shared" si="2"/>
        <v>2.119999999999993</v>
      </c>
      <c r="H9" s="13">
        <f t="shared" si="3"/>
        <v>0</v>
      </c>
      <c r="I9" s="21" t="s">
        <v>70</v>
      </c>
      <c r="J9" s="22">
        <f>SUMIF(B:B,"航班调度席",F:F)</f>
        <v>1.4102777777777762</v>
      </c>
      <c r="K9" s="23">
        <f>SUMIF(B:B,"航班调度席",G:G)</f>
        <v>1.4102777777777762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46160.131876851898</v>
      </c>
      <c r="B10" s="5" t="s">
        <v>87</v>
      </c>
      <c r="C10" s="11">
        <v>0.13187499999999999</v>
      </c>
      <c r="D10" s="11" t="s">
        <v>62</v>
      </c>
      <c r="E10" s="11">
        <v>0.20681712962963</v>
      </c>
      <c r="F10" s="12">
        <f t="shared" si="1"/>
        <v>1.7986111111111203</v>
      </c>
      <c r="G10" s="13">
        <f t="shared" si="2"/>
        <v>0</v>
      </c>
      <c r="H10" s="13">
        <f t="shared" si="3"/>
        <v>1.7986111111111203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46162.520488541697</v>
      </c>
      <c r="B11" s="5" t="s">
        <v>81</v>
      </c>
      <c r="C11" s="11">
        <v>0.52048611111111098</v>
      </c>
      <c r="D11" s="11" t="s">
        <v>62</v>
      </c>
      <c r="E11" s="11">
        <v>0.652210648148148</v>
      </c>
      <c r="F11" s="12">
        <f t="shared" si="1"/>
        <v>3.1613888888888884</v>
      </c>
      <c r="G11" s="13">
        <f t="shared" si="2"/>
        <v>3.1613888888888884</v>
      </c>
      <c r="H11" s="13">
        <f t="shared" si="3"/>
        <v>0</v>
      </c>
      <c r="I11" s="24" t="s">
        <v>72</v>
      </c>
      <c r="J11" s="25">
        <f>SUMIF(B:B,"见习管制员",F:F)</f>
        <v>18.802500000000002</v>
      </c>
      <c r="K11" s="26">
        <f>SUMIF(B:B,"见习管制员",G:G)</f>
        <v>8.4119444444444404</v>
      </c>
      <c r="L11" s="26">
        <f>SUMIF(B:B,"见习管制员",H:H)</f>
        <v>10.390555555555562</v>
      </c>
      <c r="M11" s="19"/>
    </row>
    <row r="12" spans="1:16" ht="18.75" x14ac:dyDescent="0.25">
      <c r="A12" s="10">
        <f t="shared" ca="1" si="0"/>
        <v>46162.730119444401</v>
      </c>
      <c r="B12" s="5" t="s">
        <v>81</v>
      </c>
      <c r="C12" s="11">
        <v>0.73011574074074104</v>
      </c>
      <c r="D12" s="11" t="s">
        <v>62</v>
      </c>
      <c r="E12" s="11">
        <v>0.77643518518518495</v>
      </c>
      <c r="F12" s="12">
        <f t="shared" si="1"/>
        <v>1.1116666666666539</v>
      </c>
      <c r="G12" s="13">
        <f t="shared" si="2"/>
        <v>1.1116666666666539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46162.855688310199</v>
      </c>
      <c r="B13" s="5" t="s">
        <v>81</v>
      </c>
      <c r="C13" s="11">
        <v>0.85568287037037005</v>
      </c>
      <c r="D13" s="11" t="s">
        <v>62</v>
      </c>
      <c r="E13" s="11">
        <v>0.95765046296296297</v>
      </c>
      <c r="F13" s="12">
        <f t="shared" si="1"/>
        <v>2.44722222222223</v>
      </c>
      <c r="G13" s="13">
        <f t="shared" si="2"/>
        <v>2.44722222222223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46163.416304398103</v>
      </c>
      <c r="B14" s="5" t="s">
        <v>82</v>
      </c>
      <c r="C14" s="11">
        <v>0.41820601851851902</v>
      </c>
      <c r="D14" s="11" t="s">
        <v>62</v>
      </c>
      <c r="E14" s="11">
        <v>0.53067129629629595</v>
      </c>
      <c r="F14" s="12">
        <f t="shared" si="1"/>
        <v>2.6991666666666463</v>
      </c>
      <c r="G14" s="13">
        <f t="shared" si="2"/>
        <v>2.6991666666666463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46163.7726140046</v>
      </c>
      <c r="B15" s="5" t="s">
        <v>81</v>
      </c>
      <c r="C15" s="11">
        <v>0.77260416666666698</v>
      </c>
      <c r="D15" s="11" t="s">
        <v>62</v>
      </c>
      <c r="E15" s="11">
        <v>0.86209490740740702</v>
      </c>
      <c r="F15" s="12">
        <f t="shared" si="1"/>
        <v>2.1477777777777609</v>
      </c>
      <c r="G15" s="13">
        <f t="shared" si="2"/>
        <v>2.1477777777777609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46166.950978472203</v>
      </c>
      <c r="B16" s="5" t="s">
        <v>75</v>
      </c>
      <c r="C16" s="11">
        <v>0.950972222222222</v>
      </c>
      <c r="D16" s="11" t="s">
        <v>62</v>
      </c>
      <c r="E16" s="11">
        <v>0.105740740740741</v>
      </c>
      <c r="F16" s="12">
        <f t="shared" si="1"/>
        <v>3.7144444444444558</v>
      </c>
      <c r="G16" s="13">
        <f t="shared" si="2"/>
        <v>1.1766666666666721</v>
      </c>
      <c r="H16" s="13">
        <f t="shared" si="3"/>
        <v>2.5377777777777837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46168.129020370397</v>
      </c>
      <c r="B17" s="5" t="s">
        <v>83</v>
      </c>
      <c r="C17" s="11">
        <v>0.12901620370370401</v>
      </c>
      <c r="D17" s="11" t="s">
        <v>62</v>
      </c>
      <c r="E17" s="11">
        <v>0.223831018518519</v>
      </c>
      <c r="F17" s="12">
        <f t="shared" si="1"/>
        <v>2.2755555555555596</v>
      </c>
      <c r="G17" s="13">
        <f t="shared" si="2"/>
        <v>0</v>
      </c>
      <c r="H17" s="13">
        <f t="shared" si="3"/>
        <v>2.2755555555555596</v>
      </c>
      <c r="I17" s="35" t="s">
        <v>77</v>
      </c>
      <c r="J17" s="36">
        <f>J4+J5+J6+J7+J10</f>
        <v>24.011666666666635</v>
      </c>
      <c r="K17" s="37">
        <f>K4+K5+K6+K7+K10</f>
        <v>13.922777777777732</v>
      </c>
      <c r="L17" s="38">
        <f>L4+L5+L6+L7+L10</f>
        <v>10.088888888888903</v>
      </c>
      <c r="M17" s="39"/>
    </row>
    <row r="18" spans="1:13" ht="20.25" x14ac:dyDescent="0.25">
      <c r="A18" s="10">
        <f t="shared" ca="1" si="0"/>
        <v>46170.9508802083</v>
      </c>
      <c r="B18" s="5" t="s">
        <v>82</v>
      </c>
      <c r="C18" s="11">
        <v>0.95087962962963002</v>
      </c>
      <c r="D18" s="11" t="s">
        <v>62</v>
      </c>
      <c r="E18" s="11">
        <v>0.12597222222222201</v>
      </c>
      <c r="F18" s="12">
        <f t="shared" si="1"/>
        <v>4.2022222222222076</v>
      </c>
      <c r="G18" s="13">
        <f t="shared" si="2"/>
        <v>1.1788888888888795</v>
      </c>
      <c r="H18" s="13">
        <f t="shared" si="3"/>
        <v>3.0233333333333281</v>
      </c>
      <c r="I18" s="35" t="s">
        <v>72</v>
      </c>
      <c r="J18" s="36">
        <f t="shared" ref="J18:L18" si="5">J11</f>
        <v>18.802500000000002</v>
      </c>
      <c r="K18" s="37">
        <f t="shared" si="5"/>
        <v>8.4119444444444404</v>
      </c>
      <c r="L18" s="38">
        <f t="shared" si="5"/>
        <v>10.390555555555562</v>
      </c>
      <c r="M18" s="39"/>
    </row>
    <row r="19" spans="1:13" ht="20.25" x14ac:dyDescent="0.25">
      <c r="A19" s="10">
        <f t="shared" ca="1" si="0"/>
        <v>46172.129872338002</v>
      </c>
      <c r="B19" s="5" t="s">
        <v>83</v>
      </c>
      <c r="C19" s="11">
        <v>0.12987268518518499</v>
      </c>
      <c r="D19" s="11" t="s">
        <v>62</v>
      </c>
      <c r="E19" s="11">
        <v>0.223715277777778</v>
      </c>
      <c r="F19" s="12">
        <f t="shared" si="1"/>
        <v>2.2522222222222323</v>
      </c>
      <c r="G19" s="13">
        <f t="shared" si="2"/>
        <v>0</v>
      </c>
      <c r="H19" s="13">
        <f t="shared" si="3"/>
        <v>2.2522222222222323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80</v>
      </c>
      <c r="J20" s="65">
        <f>J16+J17+J18+J19</f>
        <v>42.814166666666637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1.4102777777777762</v>
      </c>
      <c r="K21" s="37">
        <f>SUM(K8:K9)</f>
        <v>1.4102777777777762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46143.293237615697</v>
      </c>
      <c r="B3" s="5" t="s">
        <v>79</v>
      </c>
      <c r="C3" s="11">
        <v>0.29322916666666698</v>
      </c>
      <c r="D3" s="11" t="s">
        <v>62</v>
      </c>
      <c r="E3" s="11">
        <v>0.46450231481481502</v>
      </c>
      <c r="F3" s="12">
        <f t="shared" ref="F3:F42" si="1">(IF(E3-C3&lt;0,"24:00"-C3+E3,E3-C3))*24</f>
        <v>4.1105555555555533</v>
      </c>
      <c r="G3" s="13">
        <f t="shared" ref="G3:G42" si="2">F3-H3</f>
        <v>3.1480555555555694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0.96249999999998392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46143.709078819396</v>
      </c>
      <c r="B4" s="5" t="s">
        <v>79</v>
      </c>
      <c r="C4" s="11">
        <v>0.70907407407407397</v>
      </c>
      <c r="D4" s="11" t="s">
        <v>62</v>
      </c>
      <c r="E4" s="11">
        <v>0.84028935185185205</v>
      </c>
      <c r="F4" s="12">
        <f t="shared" si="1"/>
        <v>3.149166666666674</v>
      </c>
      <c r="G4" s="13">
        <f t="shared" si="2"/>
        <v>3.149166666666674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42.02249999999998</v>
      </c>
      <c r="K4" s="23">
        <f>SUMIF(B:B,"西塔台管制席",G:G)+SUMIF(B:B,"东塔台管制席",G:G)</f>
        <v>23.897777777777812</v>
      </c>
      <c r="L4" s="23">
        <f>SUMIF(B:B,"西塔台管制席",H:H)+SUMIF(B:B,"东塔台管制席",H:H)</f>
        <v>18.124722222222168</v>
      </c>
      <c r="M4" s="19"/>
    </row>
    <row r="5" spans="1:16" ht="18.75" x14ac:dyDescent="0.25">
      <c r="A5" s="10">
        <f t="shared" ca="1" si="0"/>
        <v>46146.952948032398</v>
      </c>
      <c r="B5" s="5" t="s">
        <v>75</v>
      </c>
      <c r="C5" s="11">
        <v>0.95293981481481504</v>
      </c>
      <c r="D5" s="11" t="s">
        <v>62</v>
      </c>
      <c r="E5" s="11">
        <v>1.4756944444444401E-2</v>
      </c>
      <c r="F5" s="12">
        <f t="shared" si="1"/>
        <v>1.4836111111111046</v>
      </c>
      <c r="G5" s="13">
        <f t="shared" si="2"/>
        <v>1.1294444444444389</v>
      </c>
      <c r="H5" s="13">
        <f t="shared" si="3"/>
        <v>0.35416666666666563</v>
      </c>
      <c r="I5" s="21" t="s">
        <v>66</v>
      </c>
      <c r="J5" s="22">
        <f>SUMIF(B:B,"西塔台协调席",F:F)+SUMIF(B:B,"东塔台协调席",F:F)</f>
        <v>12.33166666666664</v>
      </c>
      <c r="K5" s="23">
        <f>SUMIF(B:B,"西塔台协调席",G:G)+SUMIF(B:B,"东塔台协调席",G:G)</f>
        <v>4.4566666666666546</v>
      </c>
      <c r="L5" s="23">
        <f>SUMIF(B:B,"西塔台协调席",H:H)+SUMIF(B:B,"东塔台协调席",H:H)</f>
        <v>7.8749999999999858</v>
      </c>
      <c r="M5" s="19"/>
    </row>
    <row r="6" spans="1:16" ht="18.75" x14ac:dyDescent="0.25">
      <c r="A6" s="10">
        <f t="shared" ca="1" si="0"/>
        <v>46147.014820486103</v>
      </c>
      <c r="B6" s="5" t="s">
        <v>81</v>
      </c>
      <c r="C6" s="11">
        <v>1.48148148148148E-2</v>
      </c>
      <c r="D6" s="11" t="s">
        <v>62</v>
      </c>
      <c r="E6" s="11">
        <v>0.138935185185185</v>
      </c>
      <c r="F6" s="12">
        <f t="shared" si="1"/>
        <v>2.9788888888888847</v>
      </c>
      <c r="G6" s="13">
        <f t="shared" si="2"/>
        <v>0</v>
      </c>
      <c r="H6" s="13">
        <f t="shared" si="3"/>
        <v>2.9788888888888847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46151.139324305601</v>
      </c>
      <c r="B7" s="5" t="s">
        <v>82</v>
      </c>
      <c r="C7" s="11">
        <v>0.13931712962963</v>
      </c>
      <c r="D7" s="11" t="s">
        <v>62</v>
      </c>
      <c r="E7" s="11">
        <v>0.301145833333333</v>
      </c>
      <c r="F7" s="12">
        <f t="shared" si="1"/>
        <v>3.8838888888888721</v>
      </c>
      <c r="G7" s="13">
        <f t="shared" si="2"/>
        <v>0</v>
      </c>
      <c r="H7" s="13">
        <f t="shared" si="3"/>
        <v>3.8838888888888721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46151.951972222203</v>
      </c>
      <c r="B8" s="5" t="s">
        <v>81</v>
      </c>
      <c r="C8" s="11">
        <v>0.951967592592593</v>
      </c>
      <c r="D8" s="11" t="s">
        <v>62</v>
      </c>
      <c r="E8" s="11">
        <v>0.11255787037037</v>
      </c>
      <c r="F8" s="12">
        <f t="shared" si="1"/>
        <v>3.8541666666666483</v>
      </c>
      <c r="G8" s="13">
        <f t="shared" si="2"/>
        <v>1.1527777777777684</v>
      </c>
      <c r="H8" s="13">
        <f t="shared" si="3"/>
        <v>2.70138888888888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46154.583484374998</v>
      </c>
      <c r="B9" s="5" t="s">
        <v>82</v>
      </c>
      <c r="C9" s="11">
        <v>0.58348379629629599</v>
      </c>
      <c r="D9" s="11" t="s">
        <v>62</v>
      </c>
      <c r="E9" s="11">
        <v>0.67438657407407399</v>
      </c>
      <c r="F9" s="12">
        <f t="shared" si="1"/>
        <v>2.181666666666672</v>
      </c>
      <c r="G9" s="13">
        <f t="shared" si="2"/>
        <v>2.181666666666672</v>
      </c>
      <c r="H9" s="13">
        <f t="shared" si="3"/>
        <v>0</v>
      </c>
      <c r="I9" s="21" t="s">
        <v>70</v>
      </c>
      <c r="J9" s="22">
        <f>SUMIF(B:B,"航班调度席",F:F)</f>
        <v>3.2122222222222083</v>
      </c>
      <c r="K9" s="23">
        <f>SUMIF(B:B,"航班调度席",G:G)</f>
        <v>3.2122222222222083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46154.710010995397</v>
      </c>
      <c r="B10" s="5" t="s">
        <v>61</v>
      </c>
      <c r="C10" s="11">
        <v>0.710011574074074</v>
      </c>
      <c r="D10" s="11" t="s">
        <v>62</v>
      </c>
      <c r="E10" s="11">
        <v>0.75186342592592603</v>
      </c>
      <c r="F10" s="12">
        <f t="shared" si="1"/>
        <v>1.0044444444444487</v>
      </c>
      <c r="G10" s="13">
        <f t="shared" si="2"/>
        <v>1.0044444444444487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46154.754713194401</v>
      </c>
      <c r="B11" s="5" t="s">
        <v>81</v>
      </c>
      <c r="C11" s="11">
        <v>0.75123842592592605</v>
      </c>
      <c r="D11" s="11" t="s">
        <v>62</v>
      </c>
      <c r="E11" s="11">
        <v>0.84184027777777803</v>
      </c>
      <c r="F11" s="12">
        <f t="shared" si="1"/>
        <v>2.1744444444444477</v>
      </c>
      <c r="G11" s="13">
        <f t="shared" si="2"/>
        <v>2.1744444444444477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46155.293413194398</v>
      </c>
      <c r="B12" s="5" t="s">
        <v>79</v>
      </c>
      <c r="C12" s="11">
        <v>0.29340277777777801</v>
      </c>
      <c r="D12" s="11" t="s">
        <v>62</v>
      </c>
      <c r="E12" s="11">
        <v>0.42489583333333297</v>
      </c>
      <c r="F12" s="12">
        <f t="shared" si="1"/>
        <v>3.1558333333333191</v>
      </c>
      <c r="G12" s="13">
        <f t="shared" si="2"/>
        <v>2.1974999999999998</v>
      </c>
      <c r="H12" s="13">
        <f t="shared" si="3"/>
        <v>0.95833333333331927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46155.5235306713</v>
      </c>
      <c r="B13" s="5" t="s">
        <v>61</v>
      </c>
      <c r="C13" s="11">
        <v>0.52353009259259298</v>
      </c>
      <c r="D13" s="11" t="s">
        <v>62</v>
      </c>
      <c r="E13" s="11">
        <v>0.55880787037037005</v>
      </c>
      <c r="F13" s="12">
        <f t="shared" si="1"/>
        <v>0.8466666666666498</v>
      </c>
      <c r="G13" s="13">
        <f t="shared" si="2"/>
        <v>0.8466666666666498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46155.605311574102</v>
      </c>
      <c r="B14" s="5" t="s">
        <v>79</v>
      </c>
      <c r="C14" s="11">
        <v>0.60530092592592599</v>
      </c>
      <c r="D14" s="11" t="s">
        <v>62</v>
      </c>
      <c r="E14" s="11">
        <v>0.71611111111111103</v>
      </c>
      <c r="F14" s="12">
        <f t="shared" si="1"/>
        <v>2.6594444444444409</v>
      </c>
      <c r="G14" s="13">
        <f t="shared" si="2"/>
        <v>2.6594444444444409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46155.716414351897</v>
      </c>
      <c r="B15" s="5" t="s">
        <v>61</v>
      </c>
      <c r="C15" s="11">
        <v>0.71641203703703704</v>
      </c>
      <c r="D15" s="11" t="s">
        <v>62</v>
      </c>
      <c r="E15" s="11">
        <v>0.77312499999999995</v>
      </c>
      <c r="F15" s="12">
        <f t="shared" si="1"/>
        <v>1.3611111111111098</v>
      </c>
      <c r="G15" s="13">
        <f t="shared" si="2"/>
        <v>1.3611111111111098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46158.952323495403</v>
      </c>
      <c r="B16" s="5" t="s">
        <v>82</v>
      </c>
      <c r="C16" s="11">
        <v>0.95231481481481495</v>
      </c>
      <c r="D16" s="11" t="s">
        <v>62</v>
      </c>
      <c r="E16" s="11">
        <v>9.28935185185185E-2</v>
      </c>
      <c r="F16" s="12">
        <f t="shared" si="1"/>
        <v>3.3738888888888856</v>
      </c>
      <c r="G16" s="13">
        <f t="shared" si="2"/>
        <v>1.1444444444444417</v>
      </c>
      <c r="H16" s="13">
        <f t="shared" si="3"/>
        <v>2.2294444444444439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46160.015917708297</v>
      </c>
      <c r="B17" s="5" t="s">
        <v>82</v>
      </c>
      <c r="C17" s="11">
        <v>1.5914351851851902E-2</v>
      </c>
      <c r="D17" s="11" t="s">
        <v>62</v>
      </c>
      <c r="E17" s="11">
        <v>0.146226851851852</v>
      </c>
      <c r="F17" s="12">
        <f t="shared" si="1"/>
        <v>3.1275000000000026</v>
      </c>
      <c r="G17" s="13">
        <f t="shared" si="2"/>
        <v>0</v>
      </c>
      <c r="H17" s="13">
        <f t="shared" si="3"/>
        <v>3.1275000000000026</v>
      </c>
      <c r="I17" s="35" t="s">
        <v>77</v>
      </c>
      <c r="J17" s="36">
        <f>J4+J5+J6+J7+J10</f>
        <v>54.354166666666622</v>
      </c>
      <c r="K17" s="37">
        <f>K4+K5+K6+K7+K10</f>
        <v>28.354444444444468</v>
      </c>
      <c r="L17" s="38">
        <f>L4+L5+L6+L7+L10</f>
        <v>25.999722222222154</v>
      </c>
      <c r="M17" s="39"/>
    </row>
    <row r="18" spans="1:13" ht="20.25" x14ac:dyDescent="0.25">
      <c r="A18" s="10">
        <f t="shared" ca="1" si="0"/>
        <v>46163.137699537001</v>
      </c>
      <c r="B18" s="5" t="s">
        <v>82</v>
      </c>
      <c r="C18" s="11">
        <v>0.13769675925925901</v>
      </c>
      <c r="D18" s="11" t="s">
        <v>62</v>
      </c>
      <c r="E18" s="11">
        <v>0.300532407407407</v>
      </c>
      <c r="F18" s="12">
        <f t="shared" si="1"/>
        <v>3.9080555555555518</v>
      </c>
      <c r="G18" s="13">
        <f t="shared" si="2"/>
        <v>0</v>
      </c>
      <c r="H18" s="13">
        <f t="shared" si="3"/>
        <v>3.9080555555555518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46164.01509375</v>
      </c>
      <c r="B19" s="5" t="s">
        <v>79</v>
      </c>
      <c r="C19" s="11">
        <v>1.50925925925926E-2</v>
      </c>
      <c r="D19" s="11" t="s">
        <v>62</v>
      </c>
      <c r="E19" s="11">
        <v>0.14238425925925899</v>
      </c>
      <c r="F19" s="12">
        <f t="shared" si="1"/>
        <v>3.0549999999999935</v>
      </c>
      <c r="G19" s="13">
        <f t="shared" si="2"/>
        <v>0</v>
      </c>
      <c r="H19" s="13">
        <f t="shared" si="3"/>
        <v>3.0549999999999935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46166.499998263898</v>
      </c>
      <c r="B20" s="5" t="s">
        <v>79</v>
      </c>
      <c r="C20" s="11">
        <v>0.49998842592592602</v>
      </c>
      <c r="D20" s="11" t="s">
        <v>62</v>
      </c>
      <c r="E20" s="11">
        <v>0.63105324074074098</v>
      </c>
      <c r="F20" s="12">
        <f t="shared" si="1"/>
        <v>3.1455555555555592</v>
      </c>
      <c r="G20" s="13">
        <f t="shared" si="2"/>
        <v>3.1455555555555592</v>
      </c>
      <c r="H20" s="13">
        <f t="shared" si="3"/>
        <v>0</v>
      </c>
      <c r="I20" s="40" t="s">
        <v>80</v>
      </c>
      <c r="J20" s="65">
        <f>J16+J17+J18+J19</f>
        <v>54.354166666666622</v>
      </c>
      <c r="K20" s="66"/>
      <c r="L20" s="67"/>
      <c r="M20" s="41"/>
    </row>
    <row r="21" spans="1:13" ht="20.25" x14ac:dyDescent="0.25">
      <c r="A21" s="10">
        <f t="shared" ca="1" si="0"/>
        <v>46166.708526504597</v>
      </c>
      <c r="B21" s="5" t="s">
        <v>79</v>
      </c>
      <c r="C21" s="11">
        <v>0.70851851851851899</v>
      </c>
      <c r="D21" s="11" t="s">
        <v>62</v>
      </c>
      <c r="E21" s="11">
        <v>0.79885416666666698</v>
      </c>
      <c r="F21" s="12">
        <f t="shared" si="1"/>
        <v>2.1680555555555516</v>
      </c>
      <c r="G21" s="13">
        <f t="shared" si="2"/>
        <v>2.1680555555555516</v>
      </c>
      <c r="H21" s="13">
        <f t="shared" si="3"/>
        <v>0</v>
      </c>
      <c r="I21" s="42" t="s">
        <v>4</v>
      </c>
      <c r="J21" s="43">
        <f>SUM(J8:J9)</f>
        <v>3.2122222222222083</v>
      </c>
      <c r="K21" s="37">
        <f>SUM(K8:K9)</f>
        <v>3.2122222222222083</v>
      </c>
      <c r="L21" s="38">
        <f>SUM(L8:L9)</f>
        <v>0</v>
      </c>
      <c r="M21" s="44"/>
    </row>
    <row r="22" spans="1:13" ht="18.75" x14ac:dyDescent="0.15">
      <c r="A22" s="10">
        <f t="shared" ca="1" si="0"/>
        <v>46167.014699884297</v>
      </c>
      <c r="B22" s="5" t="s">
        <v>81</v>
      </c>
      <c r="C22" s="11">
        <v>1.46990740740741E-2</v>
      </c>
      <c r="D22" s="11" t="s">
        <v>62</v>
      </c>
      <c r="E22" s="11">
        <v>9.1388888888888895E-2</v>
      </c>
      <c r="F22" s="12">
        <f t="shared" si="1"/>
        <v>1.8405555555555551</v>
      </c>
      <c r="G22" s="13">
        <f t="shared" si="2"/>
        <v>0</v>
      </c>
      <c r="H22" s="13">
        <f t="shared" si="3"/>
        <v>1.8405555555555551</v>
      </c>
      <c r="I22"/>
      <c r="J22"/>
    </row>
    <row r="23" spans="1:13" ht="18.75" x14ac:dyDescent="0.15">
      <c r="A23" s="10">
        <f t="shared" ca="1" si="0"/>
        <v>46167.502250578698</v>
      </c>
      <c r="B23" s="5" t="s">
        <v>82</v>
      </c>
      <c r="C23" s="11">
        <v>0.50224537037036998</v>
      </c>
      <c r="D23" s="11" t="s">
        <v>62</v>
      </c>
      <c r="E23" s="11">
        <v>0.67324074074074103</v>
      </c>
      <c r="F23" s="12">
        <f t="shared" si="1"/>
        <v>4.1038888888889051</v>
      </c>
      <c r="G23" s="13">
        <f t="shared" si="2"/>
        <v>4.1038888888889051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46143.952746875002</v>
      </c>
      <c r="B3" s="5" t="s">
        <v>75</v>
      </c>
      <c r="C3" s="11">
        <v>0.95274305555555605</v>
      </c>
      <c r="D3" s="11" t="s">
        <v>62</v>
      </c>
      <c r="E3" s="11">
        <v>9.7337962962962994E-3</v>
      </c>
      <c r="F3" s="12">
        <f t="shared" ref="F3:F42" si="1">(IF(E3-C3&lt;0,"24:00"-C3+E3,E3-C3))*24</f>
        <v>1.367777777777766</v>
      </c>
      <c r="G3" s="13">
        <f t="shared" ref="G3:G42" si="2">F3-H3</f>
        <v>1.1341666666666548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0.23361111111111119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46144.009762384303</v>
      </c>
      <c r="B4" s="5" t="s">
        <v>81</v>
      </c>
      <c r="C4" s="11">
        <v>9.7569444444444396E-3</v>
      </c>
      <c r="D4" s="11" t="s">
        <v>62</v>
      </c>
      <c r="E4" s="11">
        <v>0.14368055555555601</v>
      </c>
      <c r="F4" s="12">
        <f t="shared" si="1"/>
        <v>3.2141666666666775</v>
      </c>
      <c r="G4" s="13">
        <f t="shared" si="2"/>
        <v>0</v>
      </c>
      <c r="H4" s="13">
        <f t="shared" si="3"/>
        <v>3.2141666666666775</v>
      </c>
      <c r="I4" s="21" t="s">
        <v>65</v>
      </c>
      <c r="J4" s="22">
        <f>SUMIF(B:B,"西塔台管制席",F:F)+SUMIF(B:B,"东塔台管制席",F:F)</f>
        <v>22.219444444444484</v>
      </c>
      <c r="K4" s="23">
        <f>SUMIF(B:B,"西塔台管制席",G:G)+SUMIF(B:B,"东塔台管制席",G:G)</f>
        <v>13.792222222222247</v>
      </c>
      <c r="L4" s="23">
        <f>SUMIF(B:B,"西塔台管制席",H:H)+SUMIF(B:B,"东塔台管制席",H:H)</f>
        <v>8.4272222222222375</v>
      </c>
      <c r="M4" s="19"/>
    </row>
    <row r="5" spans="1:16" ht="18.75" x14ac:dyDescent="0.25">
      <c r="A5" s="10">
        <f t="shared" ca="1" si="0"/>
        <v>46146.354385995401</v>
      </c>
      <c r="B5" s="5" t="s">
        <v>82</v>
      </c>
      <c r="C5" s="11">
        <v>0.354375</v>
      </c>
      <c r="D5" s="11" t="s">
        <v>62</v>
      </c>
      <c r="E5" s="11">
        <v>0.38936342592592599</v>
      </c>
      <c r="F5" s="12">
        <f t="shared" si="1"/>
        <v>0.83972222222222381</v>
      </c>
      <c r="G5" s="13">
        <f t="shared" si="2"/>
        <v>0.83972222222222381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40.7777777777778</v>
      </c>
      <c r="K5" s="23">
        <f>SUMIF(B:B,"西塔台协调席",G:G)+SUMIF(B:B,"东塔台协调席",G:G)</f>
        <v>29.599444444444437</v>
      </c>
      <c r="L5" s="23">
        <f>SUMIF(B:B,"西塔台协调席",H:H)+SUMIF(B:B,"东塔台协调席",H:H)</f>
        <v>11.178333333333358</v>
      </c>
      <c r="M5" s="19"/>
    </row>
    <row r="6" spans="1:16" ht="18.75" x14ac:dyDescent="0.25">
      <c r="A6" s="10">
        <f t="shared" ca="1" si="0"/>
        <v>46146.389401504603</v>
      </c>
      <c r="B6" s="5" t="s">
        <v>79</v>
      </c>
      <c r="C6" s="11">
        <v>0.38939814814814799</v>
      </c>
      <c r="D6" s="11" t="s">
        <v>62</v>
      </c>
      <c r="E6" s="11">
        <v>0.52533564814814804</v>
      </c>
      <c r="F6" s="12">
        <f t="shared" si="1"/>
        <v>3.2625000000000011</v>
      </c>
      <c r="G6" s="13">
        <f t="shared" si="2"/>
        <v>3.2625000000000011</v>
      </c>
      <c r="H6" s="13">
        <f t="shared" si="3"/>
        <v>0</v>
      </c>
      <c r="I6" s="21" t="s">
        <v>67</v>
      </c>
      <c r="J6" s="22">
        <f>SUMIF(B:B,"放行席",F:F)</f>
        <v>4.6452777777777836</v>
      </c>
      <c r="K6" s="23">
        <f>SUMIF(B:B,"放行席",G:G)</f>
        <v>0</v>
      </c>
      <c r="L6" s="23">
        <f>SUMIF(B:B,"放行席",H:H)</f>
        <v>4.6452777777777836</v>
      </c>
      <c r="M6" s="19"/>
    </row>
    <row r="7" spans="1:16" ht="18.75" x14ac:dyDescent="0.25">
      <c r="A7" s="10">
        <f t="shared" ca="1" si="0"/>
        <v>46146.598331597197</v>
      </c>
      <c r="B7" s="5" t="s">
        <v>61</v>
      </c>
      <c r="C7" s="11">
        <v>0.59832175925925901</v>
      </c>
      <c r="D7" s="11" t="s">
        <v>62</v>
      </c>
      <c r="E7" s="11">
        <v>0.66773148148148198</v>
      </c>
      <c r="F7" s="12">
        <f t="shared" si="1"/>
        <v>1.6658333333333513</v>
      </c>
      <c r="G7" s="13">
        <f t="shared" si="2"/>
        <v>1.6658333333333513</v>
      </c>
      <c r="H7" s="13">
        <f t="shared" si="3"/>
        <v>0</v>
      </c>
      <c r="I7" s="21" t="s">
        <v>68</v>
      </c>
      <c r="J7" s="22">
        <f>SUMIF(B:B,"地面席",F:F)</f>
        <v>2.176111111111104</v>
      </c>
      <c r="K7" s="23">
        <f>SUMIF(B:B,"地面席",G:G)</f>
        <v>0</v>
      </c>
      <c r="L7" s="23">
        <f>SUMIF(B:B,"地面席",H:H)</f>
        <v>2.176111111111104</v>
      </c>
      <c r="M7" s="19"/>
    </row>
    <row r="8" spans="1:16" ht="18.75" x14ac:dyDescent="0.25">
      <c r="A8" s="10">
        <f t="shared" ca="1" si="0"/>
        <v>46146.853457291698</v>
      </c>
      <c r="B8" s="5" t="s">
        <v>79</v>
      </c>
      <c r="C8" s="11">
        <v>0.853449074074074</v>
      </c>
      <c r="D8" s="11" t="s">
        <v>62</v>
      </c>
      <c r="E8" s="11">
        <v>0.95758101851851896</v>
      </c>
      <c r="F8" s="12">
        <f t="shared" si="1"/>
        <v>2.499166666666679</v>
      </c>
      <c r="G8" s="13">
        <f t="shared" si="2"/>
        <v>2.499166666666679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46147.292413888899</v>
      </c>
      <c r="B9" s="5" t="s">
        <v>81</v>
      </c>
      <c r="C9" s="11">
        <v>0.29240740740740701</v>
      </c>
      <c r="D9" s="11" t="s">
        <v>62</v>
      </c>
      <c r="E9" s="11">
        <v>0.42013888888888901</v>
      </c>
      <c r="F9" s="12">
        <f t="shared" si="1"/>
        <v>3.065555555555568</v>
      </c>
      <c r="G9" s="13">
        <f t="shared" si="2"/>
        <v>2.0833333333333446</v>
      </c>
      <c r="H9" s="13">
        <f t="shared" si="3"/>
        <v>0.98222222222222344</v>
      </c>
      <c r="I9" s="21" t="s">
        <v>70</v>
      </c>
      <c r="J9" s="22">
        <f>SUMIF(B:B,"航班调度席",F:F)</f>
        <v>5.3297222222222391</v>
      </c>
      <c r="K9" s="23">
        <f>SUMIF(B:B,"航班调度席",G:G)</f>
        <v>5.3297222222222391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46147.522188773102</v>
      </c>
      <c r="B10" s="5" t="s">
        <v>81</v>
      </c>
      <c r="C10" s="11">
        <v>0.52218750000000003</v>
      </c>
      <c r="D10" s="11" t="s">
        <v>62</v>
      </c>
      <c r="E10" s="11">
        <v>0.65162037037037002</v>
      </c>
      <c r="F10" s="12">
        <f t="shared" si="1"/>
        <v>3.1063888888888798</v>
      </c>
      <c r="G10" s="13">
        <f t="shared" si="2"/>
        <v>3.1063888888888798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46147.773277546301</v>
      </c>
      <c r="B11" s="5" t="s">
        <v>81</v>
      </c>
      <c r="C11" s="11">
        <v>0.77327546296296301</v>
      </c>
      <c r="D11" s="11" t="s">
        <v>62</v>
      </c>
      <c r="E11" s="11">
        <v>0.87954861111111104</v>
      </c>
      <c r="F11" s="12">
        <f t="shared" si="1"/>
        <v>2.5505555555555528</v>
      </c>
      <c r="G11" s="13">
        <f t="shared" si="2"/>
        <v>2.5505555555555528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46152.130942592601</v>
      </c>
      <c r="B12" s="5" t="s">
        <v>83</v>
      </c>
      <c r="C12" s="11">
        <v>0.13093750000000001</v>
      </c>
      <c r="D12" s="11" t="s">
        <v>62</v>
      </c>
      <c r="E12" s="11">
        <v>0.22320601851851901</v>
      </c>
      <c r="F12" s="12">
        <f t="shared" si="1"/>
        <v>2.2144444444444558</v>
      </c>
      <c r="G12" s="13">
        <f t="shared" si="2"/>
        <v>0</v>
      </c>
      <c r="H12" s="13">
        <f t="shared" si="3"/>
        <v>2.2144444444444558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46155.138023148102</v>
      </c>
      <c r="B13" s="5" t="s">
        <v>79</v>
      </c>
      <c r="C13" s="11">
        <v>0.14241898148148099</v>
      </c>
      <c r="D13" s="11" t="s">
        <v>62</v>
      </c>
      <c r="E13" s="11">
        <v>0.299375</v>
      </c>
      <c r="F13" s="12">
        <f t="shared" si="1"/>
        <v>3.766944444444456</v>
      </c>
      <c r="G13" s="13">
        <f t="shared" si="2"/>
        <v>0</v>
      </c>
      <c r="H13" s="13">
        <f t="shared" si="3"/>
        <v>3.766944444444456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46155.952334606503</v>
      </c>
      <c r="B14" s="5" t="s">
        <v>75</v>
      </c>
      <c r="C14" s="11">
        <v>0.95232638888888899</v>
      </c>
      <c r="D14" s="11" t="s">
        <v>62</v>
      </c>
      <c r="E14" s="11">
        <v>0.108055555555556</v>
      </c>
      <c r="F14" s="12">
        <f t="shared" si="1"/>
        <v>3.7375000000000087</v>
      </c>
      <c r="G14" s="13">
        <f t="shared" si="2"/>
        <v>1.1441666666666648</v>
      </c>
      <c r="H14" s="13">
        <f t="shared" si="3"/>
        <v>2.5933333333333439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46158.521654050899</v>
      </c>
      <c r="B15" s="5" t="s">
        <v>81</v>
      </c>
      <c r="C15" s="11">
        <v>0.52164351851851898</v>
      </c>
      <c r="D15" s="11" t="s">
        <v>62</v>
      </c>
      <c r="E15" s="11">
        <v>0.65384259259259303</v>
      </c>
      <c r="F15" s="12">
        <f t="shared" si="1"/>
        <v>3.1727777777777773</v>
      </c>
      <c r="G15" s="13">
        <f t="shared" si="2"/>
        <v>3.1727777777777773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46158.669753356502</v>
      </c>
      <c r="B16" s="5" t="s">
        <v>61</v>
      </c>
      <c r="C16" s="11">
        <v>0.66974537037036996</v>
      </c>
      <c r="D16" s="11" t="s">
        <v>62</v>
      </c>
      <c r="E16" s="11">
        <v>0.74069444444444399</v>
      </c>
      <c r="F16" s="12">
        <f t="shared" si="1"/>
        <v>1.7027777777777766</v>
      </c>
      <c r="G16" s="13">
        <f t="shared" si="2"/>
        <v>1.7027777777777766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46158.779794444403</v>
      </c>
      <c r="B17" s="5" t="s">
        <v>82</v>
      </c>
      <c r="C17" s="11">
        <v>0.77979166666666699</v>
      </c>
      <c r="D17" s="11" t="s">
        <v>62</v>
      </c>
      <c r="E17" s="11">
        <v>0.86093750000000002</v>
      </c>
      <c r="F17" s="12">
        <f t="shared" si="1"/>
        <v>1.9474999999999927</v>
      </c>
      <c r="G17" s="13">
        <f t="shared" si="2"/>
        <v>1.9474999999999927</v>
      </c>
      <c r="H17" s="13">
        <f t="shared" si="3"/>
        <v>0</v>
      </c>
      <c r="I17" s="35" t="s">
        <v>77</v>
      </c>
      <c r="J17" s="36">
        <f>J4+J5+J6+J7+J10</f>
        <v>69.818611111111167</v>
      </c>
      <c r="K17" s="37">
        <f>K4+K5+K6+K7+K10</f>
        <v>43.39166666666668</v>
      </c>
      <c r="L17" s="38">
        <f>L4+L5+L6+L7+L10</f>
        <v>26.426944444444487</v>
      </c>
      <c r="M17" s="39"/>
    </row>
    <row r="18" spans="1:13" ht="20.25" x14ac:dyDescent="0.25">
      <c r="A18" s="10">
        <f t="shared" ca="1" si="0"/>
        <v>46159.419788310202</v>
      </c>
      <c r="B18" s="5" t="s">
        <v>61</v>
      </c>
      <c r="C18" s="11">
        <v>0.41978009259259302</v>
      </c>
      <c r="D18" s="11" t="s">
        <v>62</v>
      </c>
      <c r="E18" s="11">
        <v>0.50149305555555601</v>
      </c>
      <c r="F18" s="12">
        <f t="shared" si="1"/>
        <v>1.9611111111111117</v>
      </c>
      <c r="G18" s="13">
        <f t="shared" si="2"/>
        <v>1.9611111111111117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46159.526662268501</v>
      </c>
      <c r="B19" s="5" t="s">
        <v>75</v>
      </c>
      <c r="C19" s="11">
        <v>0.52665509259259302</v>
      </c>
      <c r="D19" s="11" t="s">
        <v>62</v>
      </c>
      <c r="E19" s="11">
        <v>0.65260416666666698</v>
      </c>
      <c r="F19" s="12">
        <f t="shared" si="1"/>
        <v>3.0227777777777751</v>
      </c>
      <c r="G19" s="13">
        <f t="shared" si="2"/>
        <v>3.0227777777777751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46159.731777777801</v>
      </c>
      <c r="B20" s="5" t="s">
        <v>75</v>
      </c>
      <c r="C20" s="11">
        <v>0.73177083333333304</v>
      </c>
      <c r="D20" s="11" t="s">
        <v>62</v>
      </c>
      <c r="E20" s="11">
        <v>0.81895833333333301</v>
      </c>
      <c r="F20" s="12">
        <f t="shared" si="1"/>
        <v>2.0924999999999994</v>
      </c>
      <c r="G20" s="13">
        <f t="shared" si="2"/>
        <v>2.0924999999999994</v>
      </c>
      <c r="H20" s="13">
        <f t="shared" si="3"/>
        <v>0</v>
      </c>
      <c r="I20" s="40" t="s">
        <v>80</v>
      </c>
      <c r="J20" s="65">
        <f>J16+J17+J18+J19</f>
        <v>69.818611111111167</v>
      </c>
      <c r="K20" s="66"/>
      <c r="L20" s="67"/>
      <c r="M20" s="41"/>
    </row>
    <row r="21" spans="1:13" ht="20.25" x14ac:dyDescent="0.25">
      <c r="A21" s="10">
        <f t="shared" ca="1" si="0"/>
        <v>46163.014867245402</v>
      </c>
      <c r="B21" s="5" t="s">
        <v>79</v>
      </c>
      <c r="C21" s="11">
        <v>1.4861111111111099E-2</v>
      </c>
      <c r="D21" s="11" t="s">
        <v>62</v>
      </c>
      <c r="E21" s="11">
        <v>0.14459490740740699</v>
      </c>
      <c r="F21" s="12">
        <f t="shared" si="1"/>
        <v>3.1136111111111013</v>
      </c>
      <c r="G21" s="13">
        <f t="shared" si="2"/>
        <v>0</v>
      </c>
      <c r="H21" s="13">
        <f t="shared" si="3"/>
        <v>3.1136111111111013</v>
      </c>
      <c r="I21" s="42" t="s">
        <v>4</v>
      </c>
      <c r="J21" s="43">
        <f>SUM(J8:J9)</f>
        <v>5.3297222222222391</v>
      </c>
      <c r="K21" s="37">
        <f>SUM(K8:K9)</f>
        <v>5.3297222222222391</v>
      </c>
      <c r="L21" s="38">
        <f>SUM(L8:L9)</f>
        <v>0</v>
      </c>
      <c r="M21" s="44"/>
    </row>
    <row r="22" spans="1:13" ht="18.75" x14ac:dyDescent="0.15">
      <c r="A22" s="10">
        <f t="shared" ca="1" si="0"/>
        <v>46164.1369023148</v>
      </c>
      <c r="B22" s="5" t="s">
        <v>84</v>
      </c>
      <c r="C22" s="11">
        <v>0.13689814814814799</v>
      </c>
      <c r="D22" s="11" t="s">
        <v>62</v>
      </c>
      <c r="E22" s="11">
        <v>0.22756944444444399</v>
      </c>
      <c r="F22" s="12">
        <f t="shared" si="1"/>
        <v>2.176111111111104</v>
      </c>
      <c r="G22" s="13">
        <f t="shared" si="2"/>
        <v>0</v>
      </c>
      <c r="H22" s="13">
        <f t="shared" si="3"/>
        <v>2.176111111111104</v>
      </c>
      <c r="I22"/>
      <c r="J22"/>
    </row>
    <row r="23" spans="1:13" ht="18.75" x14ac:dyDescent="0.15">
      <c r="A23" s="10">
        <f t="shared" ca="1" si="0"/>
        <v>46167.132463078698</v>
      </c>
      <c r="B23" s="5" t="s">
        <v>83</v>
      </c>
      <c r="C23" s="11">
        <v>0.13245370370370399</v>
      </c>
      <c r="D23" s="11" t="s">
        <v>62</v>
      </c>
      <c r="E23" s="11">
        <v>0.233738425925926</v>
      </c>
      <c r="F23" s="12">
        <f t="shared" si="1"/>
        <v>2.4308333333333283</v>
      </c>
      <c r="G23" s="13">
        <f t="shared" si="2"/>
        <v>0</v>
      </c>
      <c r="H23" s="13">
        <f t="shared" si="3"/>
        <v>2.4308333333333283</v>
      </c>
      <c r="I23"/>
      <c r="J23"/>
    </row>
    <row r="24" spans="1:13" ht="18.75" x14ac:dyDescent="0.15">
      <c r="A24" s="10">
        <f t="shared" ca="1" si="0"/>
        <v>46167.233766782403</v>
      </c>
      <c r="B24" s="5" t="s">
        <v>82</v>
      </c>
      <c r="C24" s="11">
        <v>0.233761574074074</v>
      </c>
      <c r="D24" s="11" t="s">
        <v>62</v>
      </c>
      <c r="E24" s="11">
        <v>0.29820601851851902</v>
      </c>
      <c r="F24" s="12">
        <f t="shared" si="1"/>
        <v>1.5466666666666806</v>
      </c>
      <c r="G24" s="13">
        <f t="shared" si="2"/>
        <v>0</v>
      </c>
      <c r="H24" s="13">
        <f t="shared" si="3"/>
        <v>1.5466666666666806</v>
      </c>
      <c r="I24"/>
      <c r="J24"/>
    </row>
    <row r="25" spans="1:13" ht="18.75" x14ac:dyDescent="0.15">
      <c r="A25" s="10">
        <f t="shared" ca="1" si="0"/>
        <v>46168.012497569398</v>
      </c>
      <c r="B25" s="5" t="s">
        <v>75</v>
      </c>
      <c r="C25" s="11">
        <v>1.2488425925925899E-2</v>
      </c>
      <c r="D25" s="11" t="s">
        <v>62</v>
      </c>
      <c r="E25" s="11">
        <v>0.145011574074074</v>
      </c>
      <c r="F25" s="12">
        <f t="shared" si="1"/>
        <v>3.1805555555555545</v>
      </c>
      <c r="G25" s="13">
        <f t="shared" si="2"/>
        <v>0</v>
      </c>
      <c r="H25" s="13">
        <f t="shared" si="3"/>
        <v>3.1805555555555545</v>
      </c>
      <c r="I25"/>
      <c r="J25"/>
    </row>
    <row r="26" spans="1:13" ht="18.75" x14ac:dyDescent="0.15">
      <c r="A26" s="10">
        <f t="shared" ca="1" si="0"/>
        <v>46170.354404976897</v>
      </c>
      <c r="B26" s="5" t="s">
        <v>81</v>
      </c>
      <c r="C26" s="11">
        <v>0.35439814814814802</v>
      </c>
      <c r="D26" s="11" t="s">
        <v>62</v>
      </c>
      <c r="E26" s="11">
        <v>0.527013888888889</v>
      </c>
      <c r="F26" s="12">
        <f t="shared" si="1"/>
        <v>4.1427777777777841</v>
      </c>
      <c r="G26" s="13">
        <f t="shared" si="2"/>
        <v>4.1427777777777841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46170.6897559028</v>
      </c>
      <c r="B27" s="5" t="s">
        <v>82</v>
      </c>
      <c r="C27" s="11">
        <v>0.68974537037036998</v>
      </c>
      <c r="D27" s="11" t="s">
        <v>62</v>
      </c>
      <c r="E27" s="11">
        <v>0.77776620370370397</v>
      </c>
      <c r="F27" s="12">
        <f t="shared" si="1"/>
        <v>2.1125000000000158</v>
      </c>
      <c r="G27" s="13">
        <f t="shared" si="2"/>
        <v>2.1125000000000158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46170.855833333299</v>
      </c>
      <c r="B28" s="5" t="s">
        <v>81</v>
      </c>
      <c r="C28" s="11">
        <v>0.855833333333333</v>
      </c>
      <c r="D28" s="11" t="s">
        <v>62</v>
      </c>
      <c r="E28" s="11">
        <v>0.95679398148148198</v>
      </c>
      <c r="F28" s="12">
        <f t="shared" si="1"/>
        <v>2.4230555555555755</v>
      </c>
      <c r="G28" s="13">
        <f t="shared" si="2"/>
        <v>2.4230555555555755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46171.2927402778</v>
      </c>
      <c r="B29" s="5" t="s">
        <v>81</v>
      </c>
      <c r="C29" s="11">
        <v>0.29273148148148098</v>
      </c>
      <c r="D29" s="11" t="s">
        <v>62</v>
      </c>
      <c r="E29" s="11">
        <v>0.421064814814815</v>
      </c>
      <c r="F29" s="12">
        <f t="shared" si="1"/>
        <v>3.0800000000000165</v>
      </c>
      <c r="G29" s="13">
        <f t="shared" si="2"/>
        <v>2.1055555555555685</v>
      </c>
      <c r="H29" s="13">
        <f t="shared" si="3"/>
        <v>0.974444444444448</v>
      </c>
      <c r="I29"/>
      <c r="J29"/>
    </row>
    <row r="30" spans="1:13" ht="18.75" x14ac:dyDescent="0.15">
      <c r="A30" s="10">
        <f t="shared" ca="1" si="0"/>
        <v>46171.4457259259</v>
      </c>
      <c r="B30" s="5" t="s">
        <v>75</v>
      </c>
      <c r="C30" s="11">
        <v>0.44571759259259303</v>
      </c>
      <c r="D30" s="11" t="s">
        <v>62</v>
      </c>
      <c r="E30" s="11">
        <v>0.463981481481481</v>
      </c>
      <c r="F30" s="12">
        <f t="shared" si="1"/>
        <v>0.43833333333331126</v>
      </c>
      <c r="G30" s="13">
        <f t="shared" si="2"/>
        <v>0.43833333333331126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46171.522027083302</v>
      </c>
      <c r="B31" s="5" t="s">
        <v>81</v>
      </c>
      <c r="C31" s="11">
        <v>0.52202546296296304</v>
      </c>
      <c r="D31" s="11" t="s">
        <v>62</v>
      </c>
      <c r="E31" s="11">
        <v>0.61298611111111101</v>
      </c>
      <c r="F31" s="12">
        <f t="shared" si="1"/>
        <v>2.1830555555555513</v>
      </c>
      <c r="G31" s="13">
        <f t="shared" si="2"/>
        <v>2.1830555555555513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46171.730453472199</v>
      </c>
      <c r="B32" s="5" t="s">
        <v>82</v>
      </c>
      <c r="C32" s="11">
        <v>0.73045138888888905</v>
      </c>
      <c r="D32" s="11" t="s">
        <v>62</v>
      </c>
      <c r="E32" s="11">
        <v>0.86090277777777802</v>
      </c>
      <c r="F32" s="12">
        <f t="shared" si="1"/>
        <v>3.1308333333333351</v>
      </c>
      <c r="G32" s="13">
        <f t="shared" si="2"/>
        <v>3.1308333333333351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42"/>
  <sheetViews>
    <sheetView topLeftCell="A7" zoomScale="85" zoomScaleNormal="85" workbookViewId="0">
      <selection activeCell="D28" sqref="D28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46145.140130439802</v>
      </c>
      <c r="B3" s="5" t="s">
        <v>82</v>
      </c>
      <c r="C3" s="11">
        <v>0.140127314814815</v>
      </c>
      <c r="D3" s="11" t="s">
        <v>62</v>
      </c>
      <c r="E3" s="11">
        <v>0.242824074074074</v>
      </c>
      <c r="F3" s="12">
        <f t="shared" ref="F3:F42" si="1">(IF(E3-C3&lt;0,"24:00"-C3+E3,E3-C3))*24</f>
        <v>2.4647222222222158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2.4647222222222158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46145.242907175903</v>
      </c>
      <c r="B4" s="5" t="s">
        <v>75</v>
      </c>
      <c r="C4" s="11">
        <v>0.24290509259259299</v>
      </c>
      <c r="D4" s="11" t="s">
        <v>62</v>
      </c>
      <c r="E4" s="11">
        <v>0.30273148148148099</v>
      </c>
      <c r="F4" s="12">
        <f t="shared" si="1"/>
        <v>1.435833333333312</v>
      </c>
      <c r="G4" s="13">
        <f t="shared" si="2"/>
        <v>0</v>
      </c>
      <c r="H4" s="13">
        <f t="shared" si="3"/>
        <v>1.435833333333312</v>
      </c>
      <c r="I4" s="21" t="s">
        <v>65</v>
      </c>
      <c r="J4" s="22">
        <f>SUMIF(B:B,"西塔台管制席",F:F)+SUMIF(B:B,"东塔台管制席",F:F)</f>
        <v>30.572499999999973</v>
      </c>
      <c r="K4" s="23">
        <f>SUMIF(B:B,"西塔台管制席",G:G)+SUMIF(B:B,"东塔台管制席",G:G)</f>
        <v>18.790833333333364</v>
      </c>
      <c r="L4" s="23">
        <f>SUMIF(B:B,"西塔台管制席",H:H)+SUMIF(B:B,"东塔台管制席",H:H)</f>
        <v>11.781666666666611</v>
      </c>
      <c r="M4" s="19"/>
    </row>
    <row r="5" spans="1:16" ht="18.75" x14ac:dyDescent="0.25">
      <c r="A5" s="10">
        <f t="shared" ca="1" si="0"/>
        <v>46146.132990161997</v>
      </c>
      <c r="B5" s="5" t="s">
        <v>83</v>
      </c>
      <c r="C5" s="11">
        <v>0.132986111111111</v>
      </c>
      <c r="D5" s="11" t="s">
        <v>62</v>
      </c>
      <c r="E5" s="11">
        <v>0.207303240740741</v>
      </c>
      <c r="F5" s="12">
        <f t="shared" si="1"/>
        <v>1.7836111111111199</v>
      </c>
      <c r="G5" s="13">
        <f t="shared" si="2"/>
        <v>0</v>
      </c>
      <c r="H5" s="13">
        <f t="shared" si="3"/>
        <v>1.7836111111111199</v>
      </c>
      <c r="I5" s="21" t="s">
        <v>66</v>
      </c>
      <c r="J5" s="22">
        <f>SUMIF(B:B,"西塔台协调席",F:F)+SUMIF(B:B,"东塔台协调席",F:F)</f>
        <v>34.460833333333262</v>
      </c>
      <c r="K5" s="23">
        <f>SUMIF(B:B,"西塔台协调席",G:G)+SUMIF(B:B,"东塔台协调席",G:G)</f>
        <v>26.739166666666605</v>
      </c>
      <c r="L5" s="23">
        <f>SUMIF(B:B,"西塔台协调席",H:H)+SUMIF(B:B,"东塔台协调席",H:H)</f>
        <v>7.7216666666666534</v>
      </c>
      <c r="M5" s="19"/>
    </row>
    <row r="6" spans="1:16" ht="18.75" x14ac:dyDescent="0.25">
      <c r="A6" s="10">
        <f t="shared" ca="1" si="0"/>
        <v>46148.358999536998</v>
      </c>
      <c r="B6" s="5" t="s">
        <v>75</v>
      </c>
      <c r="C6" s="11">
        <v>0.358993055555556</v>
      </c>
      <c r="D6" s="11" t="s">
        <v>62</v>
      </c>
      <c r="E6" s="11">
        <v>0.51726851851851896</v>
      </c>
      <c r="F6" s="12">
        <f t="shared" si="1"/>
        <v>3.7986111111111112</v>
      </c>
      <c r="G6" s="13">
        <f t="shared" si="2"/>
        <v>3.7986111111111112</v>
      </c>
      <c r="H6" s="13">
        <f t="shared" si="3"/>
        <v>0</v>
      </c>
      <c r="I6" s="21" t="s">
        <v>67</v>
      </c>
      <c r="J6" s="22">
        <f>SUMIF(B:B,"放行席",F:F)</f>
        <v>1.7836111111111199</v>
      </c>
      <c r="K6" s="23">
        <f>SUMIF(B:B,"放行席",G:G)</f>
        <v>0</v>
      </c>
      <c r="L6" s="23">
        <f>SUMIF(B:B,"放行席",H:H)</f>
        <v>1.7836111111111199</v>
      </c>
      <c r="M6" s="19"/>
    </row>
    <row r="7" spans="1:16" ht="18.75" x14ac:dyDescent="0.25">
      <c r="A7" s="10">
        <f t="shared" ca="1" si="0"/>
        <v>46148.626802893501</v>
      </c>
      <c r="B7" s="5" t="s">
        <v>79</v>
      </c>
      <c r="C7" s="11">
        <v>0.62679398148148102</v>
      </c>
      <c r="D7" s="11" t="s">
        <v>62</v>
      </c>
      <c r="E7" s="11">
        <v>0.768009259259259</v>
      </c>
      <c r="F7" s="12">
        <f t="shared" si="1"/>
        <v>3.3891666666666715</v>
      </c>
      <c r="G7" s="13">
        <f t="shared" si="2"/>
        <v>3.3891666666666715</v>
      </c>
      <c r="H7" s="13">
        <f t="shared" si="3"/>
        <v>0</v>
      </c>
      <c r="I7" s="21" t="s">
        <v>68</v>
      </c>
      <c r="J7" s="22">
        <f>SUMIF(B:B,"地面席",F:F)</f>
        <v>2.0772222222222241</v>
      </c>
      <c r="K7" s="23">
        <f>SUMIF(B:B,"地面席",G:G)</f>
        <v>0</v>
      </c>
      <c r="L7" s="23">
        <f>SUMIF(B:B,"地面席",H:H)</f>
        <v>2.0772222222222241</v>
      </c>
      <c r="M7" s="19"/>
    </row>
    <row r="8" spans="1:16" ht="18.75" x14ac:dyDescent="0.25">
      <c r="A8" s="10">
        <f t="shared" ca="1" si="0"/>
        <v>46148.876415972198</v>
      </c>
      <c r="B8" s="5" t="s">
        <v>75</v>
      </c>
      <c r="C8" s="11">
        <v>0.87641203703703696</v>
      </c>
      <c r="D8" s="11" t="s">
        <v>62</v>
      </c>
      <c r="E8" s="11">
        <v>0.96707175925925903</v>
      </c>
      <c r="F8" s="12">
        <f t="shared" si="1"/>
        <v>2.1758333333333297</v>
      </c>
      <c r="G8" s="13">
        <f t="shared" si="2"/>
        <v>2.1758333333333297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46149.300730902803</v>
      </c>
      <c r="B9" s="5" t="s">
        <v>79</v>
      </c>
      <c r="C9" s="11">
        <v>0.30072916666666699</v>
      </c>
      <c r="D9" s="11" t="s">
        <v>62</v>
      </c>
      <c r="E9" s="11">
        <v>0.42335648148148097</v>
      </c>
      <c r="F9" s="12">
        <f t="shared" si="1"/>
        <v>2.9430555555555356</v>
      </c>
      <c r="G9" s="13">
        <f t="shared" si="2"/>
        <v>2.1605555555555518</v>
      </c>
      <c r="H9" s="13">
        <f t="shared" si="3"/>
        <v>0.78249999999998376</v>
      </c>
      <c r="I9" s="21" t="s">
        <v>70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46149.517694097201</v>
      </c>
      <c r="B10" s="5" t="s">
        <v>75</v>
      </c>
      <c r="C10" s="11">
        <v>0.51768518518518503</v>
      </c>
      <c r="D10" s="11" t="s">
        <v>62</v>
      </c>
      <c r="E10" s="11">
        <v>0.62769675925925905</v>
      </c>
      <c r="F10" s="12">
        <f t="shared" si="1"/>
        <v>2.6402777777777766</v>
      </c>
      <c r="G10" s="13">
        <f t="shared" si="2"/>
        <v>2.6402777777777766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46160.502637731501</v>
      </c>
      <c r="B11" s="5" t="s">
        <v>75</v>
      </c>
      <c r="C11" s="11">
        <v>0.50262731481481504</v>
      </c>
      <c r="D11" s="11" t="s">
        <v>62</v>
      </c>
      <c r="E11" s="11">
        <v>0.63018518518518496</v>
      </c>
      <c r="F11" s="12">
        <f t="shared" si="1"/>
        <v>3.0613888888888781</v>
      </c>
      <c r="G11" s="13">
        <f t="shared" si="2"/>
        <v>3.0613888888888781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46160.754736111099</v>
      </c>
      <c r="B12" s="5" t="s">
        <v>79</v>
      </c>
      <c r="C12" s="11">
        <v>0.754733796296296</v>
      </c>
      <c r="D12" s="11" t="s">
        <v>62</v>
      </c>
      <c r="E12" s="11">
        <v>0.88365740740740695</v>
      </c>
      <c r="F12" s="12">
        <f t="shared" si="1"/>
        <v>3.0941666666666627</v>
      </c>
      <c r="G12" s="13">
        <f t="shared" si="2"/>
        <v>3.0941666666666627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46161.008973148098</v>
      </c>
      <c r="B13" s="5" t="s">
        <v>81</v>
      </c>
      <c r="C13" s="11">
        <v>8.9699074074074108E-3</v>
      </c>
      <c r="D13" s="11" t="s">
        <v>62</v>
      </c>
      <c r="E13" s="11">
        <v>0.13938657407407401</v>
      </c>
      <c r="F13" s="12">
        <f t="shared" si="1"/>
        <v>3.1299999999999981</v>
      </c>
      <c r="G13" s="13">
        <f t="shared" si="2"/>
        <v>0</v>
      </c>
      <c r="H13" s="13">
        <f t="shared" si="3"/>
        <v>3.1299999999999981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46161.500126620398</v>
      </c>
      <c r="B14" s="5" t="s">
        <v>75</v>
      </c>
      <c r="C14" s="11">
        <v>0.50011574074074105</v>
      </c>
      <c r="D14" s="11" t="s">
        <v>62</v>
      </c>
      <c r="E14" s="11">
        <v>0.545914351851852</v>
      </c>
      <c r="F14" s="12">
        <f t="shared" si="1"/>
        <v>1.0991666666666626</v>
      </c>
      <c r="G14" s="13">
        <f t="shared" si="2"/>
        <v>1.0991666666666626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46161.626453009303</v>
      </c>
      <c r="B15" s="5" t="s">
        <v>79</v>
      </c>
      <c r="C15" s="11">
        <v>0.62644675925925897</v>
      </c>
      <c r="D15" s="11" t="s">
        <v>62</v>
      </c>
      <c r="E15" s="11">
        <v>0.75642361111111101</v>
      </c>
      <c r="F15" s="12">
        <f t="shared" si="1"/>
        <v>3.1194444444444489</v>
      </c>
      <c r="G15" s="13">
        <f t="shared" si="2"/>
        <v>3.1194444444444489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46161.834636689797</v>
      </c>
      <c r="B16" s="5" t="s">
        <v>75</v>
      </c>
      <c r="C16" s="11">
        <v>0.83462962962963005</v>
      </c>
      <c r="D16" s="11" t="s">
        <v>62</v>
      </c>
      <c r="E16" s="11">
        <v>0.96273148148148102</v>
      </c>
      <c r="F16" s="12">
        <f t="shared" si="1"/>
        <v>3.0744444444444232</v>
      </c>
      <c r="G16" s="13">
        <f t="shared" si="2"/>
        <v>3.0744444444444232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46162.300441666703</v>
      </c>
      <c r="B17" s="5" t="s">
        <v>82</v>
      </c>
      <c r="C17" s="11">
        <v>0.30043981481481502</v>
      </c>
      <c r="D17" s="11" t="s">
        <v>62</v>
      </c>
      <c r="E17" s="11">
        <v>0.36601851851851902</v>
      </c>
      <c r="F17" s="12">
        <f t="shared" si="1"/>
        <v>1.573888888888896</v>
      </c>
      <c r="G17" s="13">
        <f t="shared" si="2"/>
        <v>0.78444444444446493</v>
      </c>
      <c r="H17" s="13">
        <f t="shared" si="3"/>
        <v>0.78944444444443107</v>
      </c>
      <c r="I17" s="35" t="s">
        <v>77</v>
      </c>
      <c r="J17" s="36">
        <f>J4+J5+J6+J7+J10</f>
        <v>68.894166666666564</v>
      </c>
      <c r="K17" s="37">
        <f>K4+K5+K6+K7+K10</f>
        <v>45.529999999999973</v>
      </c>
      <c r="L17" s="38">
        <f>L4+L5+L6+L7+L10</f>
        <v>23.364166666666613</v>
      </c>
      <c r="M17" s="39"/>
    </row>
    <row r="18" spans="1:13" ht="20.25" x14ac:dyDescent="0.25">
      <c r="A18" s="10">
        <f t="shared" ca="1" si="0"/>
        <v>46164.959427083297</v>
      </c>
      <c r="B18" s="5" t="s">
        <v>81</v>
      </c>
      <c r="C18" s="11">
        <v>0.95942129629629602</v>
      </c>
      <c r="D18" s="11" t="s">
        <v>62</v>
      </c>
      <c r="E18" s="11">
        <v>0.13149305555555599</v>
      </c>
      <c r="F18" s="12">
        <f t="shared" si="1"/>
        <v>4.1297222222222389</v>
      </c>
      <c r="G18" s="13">
        <f t="shared" si="2"/>
        <v>0.97388888888889547</v>
      </c>
      <c r="H18" s="13">
        <f t="shared" si="3"/>
        <v>3.1558333333333435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46165.750697685202</v>
      </c>
      <c r="B19" s="5" t="s">
        <v>75</v>
      </c>
      <c r="C19" s="11">
        <v>0.750694444444444</v>
      </c>
      <c r="D19" s="11" t="s">
        <v>62</v>
      </c>
      <c r="E19" s="11">
        <v>0.83835648148148101</v>
      </c>
      <c r="F19" s="12">
        <f t="shared" si="1"/>
        <v>2.1038888888888883</v>
      </c>
      <c r="G19" s="13">
        <f t="shared" si="2"/>
        <v>2.1038888888888883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46166.015382754602</v>
      </c>
      <c r="B20" s="5" t="s">
        <v>82</v>
      </c>
      <c r="C20" s="11">
        <v>1.53819444444444E-2</v>
      </c>
      <c r="D20" s="11" t="s">
        <v>62</v>
      </c>
      <c r="E20" s="11">
        <v>0.14575231481481499</v>
      </c>
      <c r="F20" s="12">
        <f t="shared" si="1"/>
        <v>3.1288888888888939</v>
      </c>
      <c r="G20" s="13">
        <f t="shared" si="2"/>
        <v>0</v>
      </c>
      <c r="H20" s="13">
        <f t="shared" si="3"/>
        <v>3.1288888888888939</v>
      </c>
      <c r="I20" s="40" t="s">
        <v>80</v>
      </c>
      <c r="J20" s="65">
        <f>J16+J17+J18+J19</f>
        <v>68.894166666666564</v>
      </c>
      <c r="K20" s="66"/>
      <c r="L20" s="67"/>
      <c r="M20" s="41"/>
    </row>
    <row r="21" spans="1:13" ht="20.25" x14ac:dyDescent="0.25">
      <c r="A21" s="10">
        <f t="shared" ca="1" si="0"/>
        <v>46169.139965046299</v>
      </c>
      <c r="B21" s="5" t="s">
        <v>82</v>
      </c>
      <c r="C21" s="11">
        <v>0.13996527777777801</v>
      </c>
      <c r="D21" s="11" t="s">
        <v>62</v>
      </c>
      <c r="E21" s="11">
        <v>0.29953703703703699</v>
      </c>
      <c r="F21" s="12">
        <f t="shared" si="1"/>
        <v>3.8297222222222156</v>
      </c>
      <c r="G21" s="13">
        <f t="shared" si="2"/>
        <v>0</v>
      </c>
      <c r="H21" s="13">
        <f t="shared" si="3"/>
        <v>3.8297222222222156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46170.140172916697</v>
      </c>
      <c r="B22" s="5" t="s">
        <v>84</v>
      </c>
      <c r="C22" s="11">
        <v>0.140162037037037</v>
      </c>
      <c r="D22" s="11" t="s">
        <v>62</v>
      </c>
      <c r="E22" s="11">
        <v>0.226712962962963</v>
      </c>
      <c r="F22" s="12">
        <f t="shared" si="1"/>
        <v>2.0772222222222241</v>
      </c>
      <c r="G22" s="13">
        <f t="shared" si="2"/>
        <v>0</v>
      </c>
      <c r="H22" s="13">
        <f t="shared" si="3"/>
        <v>2.0772222222222241</v>
      </c>
      <c r="I22"/>
      <c r="J22"/>
    </row>
    <row r="23" spans="1:13" ht="18.75" x14ac:dyDescent="0.15">
      <c r="A23" s="10">
        <f t="shared" ca="1" si="0"/>
        <v>46172.355736226898</v>
      </c>
      <c r="B23" s="5" t="s">
        <v>81</v>
      </c>
      <c r="C23" s="11">
        <v>0.35572916666666698</v>
      </c>
      <c r="D23" s="11" t="s">
        <v>62</v>
      </c>
      <c r="E23" s="11">
        <v>0.50660879629629596</v>
      </c>
      <c r="F23" s="12">
        <f t="shared" si="1"/>
        <v>3.6211111111110954</v>
      </c>
      <c r="G23" s="13">
        <f t="shared" si="2"/>
        <v>3.6211111111110954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46172.626263310201</v>
      </c>
      <c r="B24" s="5" t="s">
        <v>82</v>
      </c>
      <c r="C24" s="11">
        <v>0.62626157407407401</v>
      </c>
      <c r="D24" s="11" t="s">
        <v>62</v>
      </c>
      <c r="E24" s="11">
        <v>0.76622685185185202</v>
      </c>
      <c r="F24" s="12">
        <f t="shared" si="1"/>
        <v>3.3591666666666722</v>
      </c>
      <c r="G24" s="13">
        <f t="shared" si="2"/>
        <v>3.3591666666666722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46172.875507754601</v>
      </c>
      <c r="B25" s="5" t="s">
        <v>81</v>
      </c>
      <c r="C25" s="11">
        <v>0.875497685185185</v>
      </c>
      <c r="D25" s="11" t="s">
        <v>62</v>
      </c>
      <c r="E25" s="11">
        <v>0.96429398148148104</v>
      </c>
      <c r="F25" s="12">
        <f t="shared" si="1"/>
        <v>2.131111111111105</v>
      </c>
      <c r="G25" s="13">
        <f t="shared" si="2"/>
        <v>2.131111111111105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46173.3005774306</v>
      </c>
      <c r="B26" s="5" t="s">
        <v>79</v>
      </c>
      <c r="C26" s="11">
        <v>0.30056712962963</v>
      </c>
      <c r="D26" s="11" t="s">
        <v>62</v>
      </c>
      <c r="E26" s="11">
        <v>0.40406249999999999</v>
      </c>
      <c r="F26" s="12">
        <f t="shared" si="1"/>
        <v>2.4838888888888797</v>
      </c>
      <c r="G26" s="13">
        <f t="shared" si="2"/>
        <v>1.6975000000000082</v>
      </c>
      <c r="H26" s="13">
        <f t="shared" si="3"/>
        <v>0.78638888888887148</v>
      </c>
      <c r="I26"/>
      <c r="J26"/>
    </row>
    <row r="27" spans="1:13" ht="18.75" x14ac:dyDescent="0.15">
      <c r="A27" s="10">
        <f t="shared" ca="1" si="0"/>
        <v>46173.412614351902</v>
      </c>
      <c r="B27" s="5" t="s">
        <v>79</v>
      </c>
      <c r="C27" s="11">
        <v>0.41260416666666699</v>
      </c>
      <c r="D27" s="11" t="s">
        <v>62</v>
      </c>
      <c r="E27" s="11">
        <v>0.46203703703703702</v>
      </c>
      <c r="F27" s="12">
        <f t="shared" si="1"/>
        <v>1.1863888888888807</v>
      </c>
      <c r="G27" s="13">
        <f t="shared" si="2"/>
        <v>1.1863888888888807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46173.5428300926</v>
      </c>
      <c r="B28" s="5" t="s">
        <v>75</v>
      </c>
      <c r="C28" s="11">
        <v>0.54282407407407396</v>
      </c>
      <c r="D28" s="11" t="s">
        <v>62</v>
      </c>
      <c r="E28" s="11">
        <v>0.62863425925925898</v>
      </c>
      <c r="F28" s="12">
        <f t="shared" si="1"/>
        <v>2.0594444444444404</v>
      </c>
      <c r="G28" s="13">
        <f t="shared" si="2"/>
        <v>2.0594444444444404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P42"/>
  <sheetViews>
    <sheetView topLeftCell="A3" zoomScale="85" zoomScaleNormal="85" workbookViewId="0">
      <selection activeCell="E33" sqref="E33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46144.958239930602</v>
      </c>
      <c r="B3" s="5" t="s">
        <v>81</v>
      </c>
      <c r="C3" s="11">
        <v>0.95822916666666702</v>
      </c>
      <c r="D3" s="11" t="s">
        <v>62</v>
      </c>
      <c r="E3" s="11">
        <v>0.10968749999999999</v>
      </c>
      <c r="F3" s="12">
        <f t="shared" ref="F3:F42" si="1">(IF(E3-C3&lt;0,"24:00"-C3+E3,E3-C3))*24</f>
        <v>3.6349999999999913</v>
      </c>
      <c r="G3" s="13">
        <f t="shared" ref="G3:G42" si="2">F3-H3</f>
        <v>1.0024999999999915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2.6324999999999998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46146.013820138898</v>
      </c>
      <c r="B4" s="5" t="s">
        <v>82</v>
      </c>
      <c r="C4" s="11">
        <v>1.38194444444444E-2</v>
      </c>
      <c r="D4" s="11" t="s">
        <v>62</v>
      </c>
      <c r="E4" s="11">
        <v>0.14379629629629601</v>
      </c>
      <c r="F4" s="12">
        <f t="shared" si="1"/>
        <v>3.1194444444444382</v>
      </c>
      <c r="G4" s="13">
        <f t="shared" si="2"/>
        <v>0</v>
      </c>
      <c r="H4" s="13">
        <f t="shared" si="3"/>
        <v>3.1194444444444382</v>
      </c>
      <c r="I4" s="21" t="s">
        <v>65</v>
      </c>
      <c r="J4" s="22">
        <f>SUMIF(B:B,"西塔台管制席",F:F)+SUMIF(B:B,"东塔台管制席",F:F)</f>
        <v>37.597222222222243</v>
      </c>
      <c r="K4" s="23">
        <f>SUMIF(B:B,"西塔台管制席",G:G)+SUMIF(B:B,"东塔台管制席",G:G)</f>
        <v>17.043333333333361</v>
      </c>
      <c r="L4" s="23">
        <f>SUMIF(B:B,"西塔台管制席",H:H)+SUMIF(B:B,"东塔台管制席",H:H)</f>
        <v>20.553888888888885</v>
      </c>
      <c r="M4" s="19"/>
    </row>
    <row r="5" spans="1:16" ht="18.75" x14ac:dyDescent="0.25">
      <c r="A5" s="10">
        <f t="shared" ca="1" si="0"/>
        <v>46149.131284490701</v>
      </c>
      <c r="B5" s="5" t="s">
        <v>83</v>
      </c>
      <c r="C5" s="11">
        <v>0.13128472222222201</v>
      </c>
      <c r="D5" s="11" t="s">
        <v>62</v>
      </c>
      <c r="E5" s="11">
        <v>0.22824074074074099</v>
      </c>
      <c r="F5" s="12">
        <f t="shared" si="1"/>
        <v>2.3269444444444556</v>
      </c>
      <c r="G5" s="13">
        <f t="shared" si="2"/>
        <v>0</v>
      </c>
      <c r="H5" s="13">
        <f t="shared" si="3"/>
        <v>2.3269444444444556</v>
      </c>
      <c r="I5" s="21" t="s">
        <v>66</v>
      </c>
      <c r="J5" s="22">
        <f>SUMIF(B:B,"西塔台协调席",F:F)+SUMIF(B:B,"东塔台协调席",F:F)</f>
        <v>32.589166666666635</v>
      </c>
      <c r="K5" s="23">
        <f>SUMIF(B:B,"西塔台协调席",G:G)+SUMIF(B:B,"东塔台协调席",G:G)</f>
        <v>21.884444444444398</v>
      </c>
      <c r="L5" s="23">
        <f>SUMIF(B:B,"西塔台协调席",H:H)+SUMIF(B:B,"东塔台协调席",H:H)</f>
        <v>10.704722222222234</v>
      </c>
      <c r="M5" s="19"/>
    </row>
    <row r="6" spans="1:16" ht="18.75" x14ac:dyDescent="0.25">
      <c r="A6" s="10">
        <f t="shared" ca="1" si="0"/>
        <v>46149.727635995398</v>
      </c>
      <c r="B6" s="5" t="s">
        <v>75</v>
      </c>
      <c r="C6" s="11">
        <v>0.72762731481481502</v>
      </c>
      <c r="D6" s="11" t="s">
        <v>62</v>
      </c>
      <c r="E6" s="11">
        <v>0.83834490740740697</v>
      </c>
      <c r="F6" s="12">
        <f t="shared" si="1"/>
        <v>2.6572222222222068</v>
      </c>
      <c r="G6" s="13">
        <f t="shared" si="2"/>
        <v>2.6572222222222068</v>
      </c>
      <c r="H6" s="13">
        <f t="shared" si="3"/>
        <v>0</v>
      </c>
      <c r="I6" s="21" t="s">
        <v>67</v>
      </c>
      <c r="J6" s="22">
        <f>SUMIF(B:B,"放行席",F:F)</f>
        <v>2.3269444444444556</v>
      </c>
      <c r="K6" s="23">
        <f>SUMIF(B:B,"放行席",G:G)</f>
        <v>0</v>
      </c>
      <c r="L6" s="23">
        <f>SUMIF(B:B,"放行席",H:H)</f>
        <v>2.3269444444444556</v>
      </c>
      <c r="M6" s="19"/>
    </row>
    <row r="7" spans="1:16" ht="18.75" x14ac:dyDescent="0.25">
      <c r="A7" s="10">
        <f t="shared" ca="1" si="0"/>
        <v>46150.139613657397</v>
      </c>
      <c r="B7" s="5" t="s">
        <v>79</v>
      </c>
      <c r="C7" s="11">
        <v>0.139606481481481</v>
      </c>
      <c r="D7" s="11" t="s">
        <v>62</v>
      </c>
      <c r="E7" s="11">
        <v>0.30208333333333298</v>
      </c>
      <c r="F7" s="12">
        <f t="shared" si="1"/>
        <v>3.8994444444444474</v>
      </c>
      <c r="G7" s="13">
        <f t="shared" si="2"/>
        <v>0</v>
      </c>
      <c r="H7" s="13">
        <f t="shared" si="3"/>
        <v>3.8994444444444474</v>
      </c>
      <c r="I7" s="21" t="s">
        <v>68</v>
      </c>
      <c r="J7" s="22">
        <f>SUMIF(B:B,"地面席",F:F)</f>
        <v>2.1430555555555677</v>
      </c>
      <c r="K7" s="23">
        <f>SUMIF(B:B,"地面席",G:G)</f>
        <v>0</v>
      </c>
      <c r="L7" s="23">
        <f>SUMIF(B:B,"地面席",H:H)</f>
        <v>2.1430555555555677</v>
      </c>
      <c r="M7" s="19"/>
    </row>
    <row r="8" spans="1:16" ht="18.75" x14ac:dyDescent="0.25">
      <c r="A8" s="10">
        <f t="shared" ca="1" si="0"/>
        <v>46152.356572222197</v>
      </c>
      <c r="B8" s="5" t="s">
        <v>75</v>
      </c>
      <c r="C8" s="11">
        <v>0.3565625</v>
      </c>
      <c r="D8" s="11" t="s">
        <v>62</v>
      </c>
      <c r="E8" s="11">
        <v>0.517048611111111</v>
      </c>
      <c r="F8" s="12">
        <f t="shared" si="1"/>
        <v>3.8516666666666639</v>
      </c>
      <c r="G8" s="13">
        <f t="shared" si="2"/>
        <v>3.8516666666666639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46152.664115509302</v>
      </c>
      <c r="B9" s="5" t="s">
        <v>79</v>
      </c>
      <c r="C9" s="11">
        <v>0.66410879629629604</v>
      </c>
      <c r="D9" s="11" t="s">
        <v>62</v>
      </c>
      <c r="E9" s="11">
        <v>0.76907407407407402</v>
      </c>
      <c r="F9" s="12">
        <f t="shared" si="1"/>
        <v>2.5191666666666714</v>
      </c>
      <c r="G9" s="13">
        <f t="shared" si="2"/>
        <v>2.5191666666666714</v>
      </c>
      <c r="H9" s="13">
        <f t="shared" si="3"/>
        <v>0</v>
      </c>
      <c r="I9" s="21" t="s">
        <v>70</v>
      </c>
      <c r="J9" s="22">
        <f>SUMIF(B:B,"航班调度席",F:F)</f>
        <v>5.2477777777777668</v>
      </c>
      <c r="K9" s="23">
        <f>SUMIF(B:B,"航班调度席",G:G)</f>
        <v>5.2477777777777668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46152.836879976901</v>
      </c>
      <c r="B10" s="5" t="s">
        <v>75</v>
      </c>
      <c r="C10" s="11">
        <v>0.83687500000000004</v>
      </c>
      <c r="D10" s="11" t="s">
        <v>62</v>
      </c>
      <c r="E10" s="11">
        <v>0.96383101851851805</v>
      </c>
      <c r="F10" s="12">
        <f t="shared" si="1"/>
        <v>3.0469444444444322</v>
      </c>
      <c r="G10" s="13">
        <f t="shared" si="2"/>
        <v>3.0469444444444322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46153.298512384303</v>
      </c>
      <c r="B11" s="5" t="s">
        <v>79</v>
      </c>
      <c r="C11" s="11">
        <v>0.29850694444444398</v>
      </c>
      <c r="D11" s="11" t="s">
        <v>62</v>
      </c>
      <c r="E11" s="11">
        <v>0.42565972222222198</v>
      </c>
      <c r="F11" s="12">
        <f t="shared" si="1"/>
        <v>3.0516666666666721</v>
      </c>
      <c r="G11" s="13">
        <f t="shared" si="2"/>
        <v>2.215833333333336</v>
      </c>
      <c r="H11" s="13">
        <f t="shared" si="3"/>
        <v>0.83583333333333609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46153.507277662</v>
      </c>
      <c r="B12" s="5" t="s">
        <v>75</v>
      </c>
      <c r="C12" s="11">
        <v>0.50726851851851895</v>
      </c>
      <c r="D12" s="11" t="s">
        <v>62</v>
      </c>
      <c r="E12" s="11">
        <v>0.62733796296296296</v>
      </c>
      <c r="F12" s="12">
        <f t="shared" si="1"/>
        <v>2.8816666666666562</v>
      </c>
      <c r="G12" s="13">
        <f t="shared" si="2"/>
        <v>2.8816666666666562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46153.834637731503</v>
      </c>
      <c r="B13" s="5" t="s">
        <v>79</v>
      </c>
      <c r="C13" s="11">
        <v>0.83462962962963005</v>
      </c>
      <c r="D13" s="11" t="s">
        <v>62</v>
      </c>
      <c r="E13" s="11">
        <v>0.96457175925925898</v>
      </c>
      <c r="F13" s="12">
        <f t="shared" si="1"/>
        <v>3.1186111111110941</v>
      </c>
      <c r="G13" s="13">
        <f t="shared" si="2"/>
        <v>3.1186111111110941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>
        <f t="shared" ca="1" si="0"/>
        <v>46154.299518518499</v>
      </c>
      <c r="B14" s="5" t="s">
        <v>81</v>
      </c>
      <c r="C14" s="11">
        <v>0.29951388888888902</v>
      </c>
      <c r="D14" s="11" t="s">
        <v>62</v>
      </c>
      <c r="E14" s="11">
        <v>0.36539351851851798</v>
      </c>
      <c r="F14" s="12">
        <f t="shared" si="1"/>
        <v>1.5811111111110949</v>
      </c>
      <c r="G14" s="13">
        <f t="shared" si="2"/>
        <v>0.76944444444443993</v>
      </c>
      <c r="H14" s="13">
        <f t="shared" si="3"/>
        <v>0.81166666666665499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46156.375420601798</v>
      </c>
      <c r="B15" s="5" t="s">
        <v>61</v>
      </c>
      <c r="C15" s="11">
        <v>0.37541666666666701</v>
      </c>
      <c r="D15" s="11" t="s">
        <v>62</v>
      </c>
      <c r="E15" s="11">
        <v>0.46056712962962998</v>
      </c>
      <c r="F15" s="12">
        <f t="shared" si="1"/>
        <v>2.0436111111111113</v>
      </c>
      <c r="G15" s="13">
        <f t="shared" si="2"/>
        <v>2.0436111111111113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46156.577920023097</v>
      </c>
      <c r="B16" s="5" t="s">
        <v>61</v>
      </c>
      <c r="C16" s="11">
        <v>0.57791666666666697</v>
      </c>
      <c r="D16" s="11" t="s">
        <v>62</v>
      </c>
      <c r="E16" s="11">
        <v>0.71142361111111097</v>
      </c>
      <c r="F16" s="12">
        <f t="shared" si="1"/>
        <v>3.2041666666666559</v>
      </c>
      <c r="G16" s="13">
        <f t="shared" si="2"/>
        <v>3.2041666666666559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46157.013306944398</v>
      </c>
      <c r="B17" s="5" t="s">
        <v>75</v>
      </c>
      <c r="C17" s="11">
        <v>1.32986111111111E-2</v>
      </c>
      <c r="D17" s="11" t="s">
        <v>62</v>
      </c>
      <c r="E17" s="11">
        <v>0.109641203703704</v>
      </c>
      <c r="F17" s="12">
        <f t="shared" si="1"/>
        <v>2.3122222222222297</v>
      </c>
      <c r="G17" s="13">
        <f t="shared" si="2"/>
        <v>0</v>
      </c>
      <c r="H17" s="13">
        <f t="shared" si="3"/>
        <v>2.3122222222222297</v>
      </c>
      <c r="I17" s="35" t="s">
        <v>77</v>
      </c>
      <c r="J17" s="36">
        <f>J4+J5+J6+J7+J10</f>
        <v>74.656388888888884</v>
      </c>
      <c r="K17" s="37">
        <f>K4+K5+K6+K7+K10</f>
        <v>38.927777777777763</v>
      </c>
      <c r="L17" s="38">
        <f>L4+L5+L6+L7+L10</f>
        <v>35.728611111111142</v>
      </c>
      <c r="M17" s="39"/>
    </row>
    <row r="18" spans="1:13" ht="20.25" x14ac:dyDescent="0.25">
      <c r="A18" s="10">
        <f t="shared" ca="1" si="0"/>
        <v>46157.109675462998</v>
      </c>
      <c r="B18" s="5" t="s">
        <v>82</v>
      </c>
      <c r="C18" s="11">
        <v>0.109675925925926</v>
      </c>
      <c r="D18" s="11" t="s">
        <v>62</v>
      </c>
      <c r="E18" s="11">
        <v>0.14668981481481499</v>
      </c>
      <c r="F18" s="12">
        <f t="shared" si="1"/>
        <v>0.88833333333333597</v>
      </c>
      <c r="G18" s="13">
        <f t="shared" si="2"/>
        <v>0</v>
      </c>
      <c r="H18" s="13">
        <f t="shared" si="3"/>
        <v>0.88833333333333597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46157.957561226904</v>
      </c>
      <c r="B19" s="5" t="s">
        <v>79</v>
      </c>
      <c r="C19" s="11">
        <v>0.95755787037036999</v>
      </c>
      <c r="D19" s="11" t="s">
        <v>62</v>
      </c>
      <c r="E19" s="11">
        <v>0.109675925925926</v>
      </c>
      <c r="F19" s="12">
        <f t="shared" si="1"/>
        <v>3.6508333333333445</v>
      </c>
      <c r="G19" s="13">
        <f t="shared" si="2"/>
        <v>1.0186111111111207</v>
      </c>
      <c r="H19" s="13">
        <f t="shared" si="3"/>
        <v>2.6322222222222238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46161.138126041697</v>
      </c>
      <c r="B20" s="5" t="s">
        <v>82</v>
      </c>
      <c r="C20" s="11">
        <v>0.138125</v>
      </c>
      <c r="D20" s="11" t="s">
        <v>62</v>
      </c>
      <c r="E20" s="11">
        <v>0.30612268518518498</v>
      </c>
      <c r="F20" s="12">
        <f t="shared" si="1"/>
        <v>4.0319444444444397</v>
      </c>
      <c r="G20" s="13">
        <f t="shared" si="2"/>
        <v>0</v>
      </c>
      <c r="H20" s="13">
        <f t="shared" si="3"/>
        <v>4.0319444444444397</v>
      </c>
      <c r="I20" s="40" t="s">
        <v>80</v>
      </c>
      <c r="J20" s="65">
        <f>J16+J17+J18+J19</f>
        <v>74.656388888888884</v>
      </c>
      <c r="K20" s="66"/>
      <c r="L20" s="67"/>
      <c r="M20" s="41"/>
    </row>
    <row r="21" spans="1:13" ht="20.25" x14ac:dyDescent="0.25">
      <c r="A21" s="10">
        <f t="shared" ca="1" si="0"/>
        <v>46162.140026157402</v>
      </c>
      <c r="B21" s="5" t="s">
        <v>84</v>
      </c>
      <c r="C21" s="11">
        <v>0.14002314814814801</v>
      </c>
      <c r="D21" s="11" t="s">
        <v>62</v>
      </c>
      <c r="E21" s="11">
        <v>0.22931712962963</v>
      </c>
      <c r="F21" s="12">
        <f t="shared" si="1"/>
        <v>2.1430555555555677</v>
      </c>
      <c r="G21" s="13">
        <f t="shared" si="2"/>
        <v>0</v>
      </c>
      <c r="H21" s="13">
        <f t="shared" si="3"/>
        <v>2.1430555555555677</v>
      </c>
      <c r="I21" s="42" t="s">
        <v>4</v>
      </c>
      <c r="J21" s="43">
        <f>SUM(J8:J9)</f>
        <v>5.2477777777777668</v>
      </c>
      <c r="K21" s="37">
        <f>SUM(K8:K9)</f>
        <v>5.2477777777777668</v>
      </c>
      <c r="L21" s="38">
        <f>SUM(L8:L9)</f>
        <v>0</v>
      </c>
      <c r="M21" s="44"/>
    </row>
    <row r="22" spans="1:13" ht="18.75" x14ac:dyDescent="0.15">
      <c r="A22" s="10">
        <f t="shared" ca="1" si="0"/>
        <v>46164.352995601897</v>
      </c>
      <c r="B22" s="5" t="s">
        <v>81</v>
      </c>
      <c r="C22" s="11">
        <v>0.35370370370370402</v>
      </c>
      <c r="D22" s="11" t="s">
        <v>62</v>
      </c>
      <c r="E22" s="11">
        <v>0.50650462962963005</v>
      </c>
      <c r="F22" s="12">
        <f t="shared" si="1"/>
        <v>3.6672222222222248</v>
      </c>
      <c r="G22" s="13">
        <f t="shared" si="2"/>
        <v>3.6672222222222248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46164.645318750001</v>
      </c>
      <c r="B23" s="5" t="s">
        <v>82</v>
      </c>
      <c r="C23" s="11">
        <v>0.64531249999999996</v>
      </c>
      <c r="D23" s="11" t="s">
        <v>62</v>
      </c>
      <c r="E23" s="11">
        <v>0.75481481481481505</v>
      </c>
      <c r="F23" s="12">
        <f t="shared" si="1"/>
        <v>2.6280555555555623</v>
      </c>
      <c r="G23" s="13">
        <f t="shared" si="2"/>
        <v>2.6280555555555623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46164.874578472198</v>
      </c>
      <c r="B24" s="5" t="s">
        <v>81</v>
      </c>
      <c r="C24" s="11">
        <v>0.87457175925925901</v>
      </c>
      <c r="D24" s="11" t="s">
        <v>62</v>
      </c>
      <c r="E24" s="11">
        <v>9.2592592592592605E-3</v>
      </c>
      <c r="F24" s="12">
        <f t="shared" si="1"/>
        <v>3.2325000000000061</v>
      </c>
      <c r="G24" s="13">
        <f t="shared" si="2"/>
        <v>3.0102777777777838</v>
      </c>
      <c r="H24" s="13">
        <f t="shared" si="3"/>
        <v>0.22222222222222227</v>
      </c>
      <c r="I24"/>
      <c r="J24"/>
    </row>
    <row r="25" spans="1:13" ht="18.75" x14ac:dyDescent="0.15">
      <c r="A25" s="10">
        <f t="shared" ca="1" si="0"/>
        <v>46165.352723726799</v>
      </c>
      <c r="B25" s="5" t="s">
        <v>79</v>
      </c>
      <c r="C25" s="11">
        <v>0.35369212962962998</v>
      </c>
      <c r="D25" s="11" t="s">
        <v>62</v>
      </c>
      <c r="E25" s="11">
        <v>0.44776620370370401</v>
      </c>
      <c r="F25" s="12">
        <f t="shared" si="1"/>
        <v>2.2577777777777768</v>
      </c>
      <c r="G25" s="13">
        <f t="shared" si="2"/>
        <v>2.2577777777777768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46165.500800463</v>
      </c>
      <c r="B26" s="5" t="s">
        <v>79</v>
      </c>
      <c r="C26" s="11">
        <v>0.50085648148148099</v>
      </c>
      <c r="D26" s="11" t="s">
        <v>62</v>
      </c>
      <c r="E26" s="11">
        <v>0.63774305555555599</v>
      </c>
      <c r="F26" s="12">
        <f t="shared" si="1"/>
        <v>3.2852777777778002</v>
      </c>
      <c r="G26" s="13">
        <f t="shared" si="2"/>
        <v>3.2852777777778002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46168.958448263897</v>
      </c>
      <c r="B27" s="5" t="s">
        <v>81</v>
      </c>
      <c r="C27" s="11">
        <v>0.95843750000000005</v>
      </c>
      <c r="D27" s="11" t="s">
        <v>62</v>
      </c>
      <c r="E27" s="11">
        <v>0.113530092592593</v>
      </c>
      <c r="F27" s="12">
        <f t="shared" si="1"/>
        <v>3.7222222222222308</v>
      </c>
      <c r="G27" s="13">
        <f t="shared" si="2"/>
        <v>0.99749999999999872</v>
      </c>
      <c r="H27" s="13">
        <f t="shared" si="3"/>
        <v>2.724722222222232</v>
      </c>
      <c r="I27"/>
      <c r="J27"/>
    </row>
    <row r="28" spans="1:13" ht="18.75" x14ac:dyDescent="0.15">
      <c r="A28" s="10">
        <f t="shared" ca="1" si="0"/>
        <v>46170.014023611096</v>
      </c>
      <c r="B28" s="5" t="s">
        <v>82</v>
      </c>
      <c r="C28" s="11">
        <v>1.4016203703703701E-2</v>
      </c>
      <c r="D28" s="11" t="s">
        <v>62</v>
      </c>
      <c r="E28" s="11">
        <v>0.144143518518519</v>
      </c>
      <c r="F28" s="12">
        <f t="shared" si="1"/>
        <v>3.1230555555555668</v>
      </c>
      <c r="G28" s="13">
        <f t="shared" si="2"/>
        <v>0</v>
      </c>
      <c r="H28" s="13">
        <f t="shared" si="3"/>
        <v>3.1230555555555668</v>
      </c>
      <c r="I28"/>
      <c r="J28"/>
    </row>
    <row r="29" spans="1:13" ht="18.75" x14ac:dyDescent="0.15">
      <c r="A29" s="10">
        <f t="shared" ca="1" si="0"/>
        <v>46173.137750578702</v>
      </c>
      <c r="B29" s="5" t="s">
        <v>82</v>
      </c>
      <c r="C29" s="11">
        <v>0.13774305555555599</v>
      </c>
      <c r="D29" s="11" t="s">
        <v>62</v>
      </c>
      <c r="E29" s="11">
        <v>0.222060185185185</v>
      </c>
      <c r="F29" s="12">
        <f t="shared" si="1"/>
        <v>2.0236111111110962</v>
      </c>
      <c r="G29" s="13">
        <f t="shared" si="2"/>
        <v>0</v>
      </c>
      <c r="H29" s="13">
        <f t="shared" si="3"/>
        <v>2.0236111111110962</v>
      </c>
      <c r="I29"/>
      <c r="J29"/>
    </row>
    <row r="30" spans="1:13" ht="18.75" x14ac:dyDescent="0.15">
      <c r="A30" s="10">
        <f t="shared" ca="1" si="0"/>
        <v>46173.222095833298</v>
      </c>
      <c r="B30" s="5" t="s">
        <v>75</v>
      </c>
      <c r="C30" s="11">
        <v>0.22209490740740701</v>
      </c>
      <c r="D30" s="11" t="s">
        <v>62</v>
      </c>
      <c r="E30" s="11">
        <v>0.30548611111111101</v>
      </c>
      <c r="F30" s="12">
        <f t="shared" si="1"/>
        <v>2.0013888888888962</v>
      </c>
      <c r="G30" s="13">
        <f t="shared" si="2"/>
        <v>0</v>
      </c>
      <c r="H30" s="13">
        <f t="shared" si="3"/>
        <v>2.0013888888888962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 t="str">
        <f t="shared" ref="A3:A42" ca="1" si="0">IF(B3="","",IF(A3="",NOW(),A3))</f>
        <v/>
      </c>
      <c r="B3" s="5"/>
      <c r="C3" s="11"/>
      <c r="D3" s="11"/>
      <c r="E3" s="11"/>
      <c r="F3" s="12">
        <f t="shared" ref="F3:F42" si="1">(IF(E3-C3&lt;0,"24:00"-C3+E3,E3-C3))*24</f>
        <v>0</v>
      </c>
      <c r="G3" s="13">
        <f t="shared" ref="G3:G42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65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66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67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68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69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70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71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72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73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74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76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77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72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78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80</v>
      </c>
      <c r="J20" s="65">
        <f>J16+J17+J18+J19</f>
        <v>0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42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41</vt:i4>
      </vt:variant>
    </vt:vector>
  </HeadingPairs>
  <TitlesOfParts>
    <vt:vector size="41" baseType="lpstr">
      <vt:lpstr>sheet1</vt:lpstr>
      <vt:lpstr>温若春</vt:lpstr>
      <vt:lpstr>明嘉</vt:lpstr>
      <vt:lpstr>徐万友</vt:lpstr>
      <vt:lpstr>耿若岩</vt:lpstr>
      <vt:lpstr>李明</vt:lpstr>
      <vt:lpstr>张虎</vt:lpstr>
      <vt:lpstr>马莲花</vt:lpstr>
      <vt:lpstr>刘国莲</vt:lpstr>
      <vt:lpstr>杜涛</vt:lpstr>
      <vt:lpstr>张文中</vt:lpstr>
      <vt:lpstr>李秋实</vt:lpstr>
      <vt:lpstr>周岸</vt:lpstr>
      <vt:lpstr>詹泽彬</vt:lpstr>
      <vt:lpstr>张笑延</vt:lpstr>
      <vt:lpstr>沈宁</vt:lpstr>
      <vt:lpstr>胡鑫</vt:lpstr>
      <vt:lpstr>邓心豪</vt:lpstr>
      <vt:lpstr>黄恩</vt:lpstr>
      <vt:lpstr>严亮</vt:lpstr>
      <vt:lpstr>边昊</vt:lpstr>
      <vt:lpstr>张宗根</vt:lpstr>
      <vt:lpstr>潘伟生</vt:lpstr>
      <vt:lpstr>蔡昊霖</vt:lpstr>
      <vt:lpstr>叶大鹏</vt:lpstr>
      <vt:lpstr>王建超</vt:lpstr>
      <vt:lpstr>王风瑞</vt:lpstr>
      <vt:lpstr>金鼎</vt:lpstr>
      <vt:lpstr>董志华</vt:lpstr>
      <vt:lpstr>姜文夫</vt:lpstr>
      <vt:lpstr>郭永杰</vt:lpstr>
      <vt:lpstr>吴疆</vt:lpstr>
      <vt:lpstr>朱永春</vt:lpstr>
      <vt:lpstr>刘琦</vt:lpstr>
      <vt:lpstr>巴富毅</vt:lpstr>
      <vt:lpstr>蒋露裕</vt:lpstr>
      <vt:lpstr>陈宏伟</vt:lpstr>
      <vt:lpstr>蓝宇航</vt:lpstr>
      <vt:lpstr>程卓</vt:lpstr>
      <vt:lpstr>郑文卓</vt:lpstr>
      <vt:lpstr>宋天霖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jserver</cp:lastModifiedBy>
  <dcterms:created xsi:type="dcterms:W3CDTF">2006-09-16T00:00:00Z</dcterms:created>
  <dcterms:modified xsi:type="dcterms:W3CDTF">2026-07-18T17:17:25Z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9B62FFEF6258459F90575BFDB66D1EA4_13</vt:lpwstr>
  </property>
  <property fmtid="{D5CDD505-2E9C-101B-9397-08002B2CF9AE}" pid="3" name="KSOProductBuildVer">
    <vt:lpwstr>2052-12.1.0.17857</vt:lpwstr>
  </property>
</Properties>
</file>